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o Gia" sheetId="1" state="visible" r:id="rId1"/>
  </sheets>
  <definedNames>
    <definedName name="_xlnm.Print_Area" localSheetId="0">'Bao Gia'!$A$1:$J$24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9">
    <font>
      <name val="Calibri"/>
      <family val="2"/>
      <color theme="1"/>
      <sz val="11"/>
      <scheme val="minor"/>
    </font>
    <font>
      <name val="Cambria"/>
      <charset val="1"/>
      <b val="1"/>
      <color rgb="FF1F4E5F"/>
      <sz val="15"/>
    </font>
    <font>
      <name val="Cambria"/>
      <charset val="1"/>
      <color rgb="FFFFFFFF"/>
      <sz val="1"/>
    </font>
    <font>
      <name val="Cambria"/>
      <charset val="1"/>
      <i val="1"/>
      <color rgb="FF595959"/>
      <sz val="9"/>
    </font>
    <font>
      <name val="Cambria"/>
      <charset val="1"/>
      <b val="1"/>
      <color rgb="FFC00000"/>
      <sz val="20"/>
    </font>
    <font>
      <name val="Cambria"/>
      <charset val="1"/>
      <b val="1"/>
      <sz val="11"/>
    </font>
    <font>
      <name val="Calibri"/>
      <charset val="1"/>
      <color theme="1"/>
      <sz val="11"/>
    </font>
    <font>
      <name val="Cambria"/>
      <charset val="1"/>
      <b val="1"/>
      <color rgb="FFC00000"/>
      <sz val="11"/>
    </font>
    <font>
      <name val="Calibri"/>
      <charset val="1"/>
      <b val="1"/>
      <color rgb="FFFFFFFF"/>
      <sz val="10"/>
    </font>
    <font>
      <name val="Cambria"/>
      <charset val="1"/>
      <b val="1"/>
      <color rgb="FF8B4000"/>
      <sz val="11"/>
    </font>
    <font>
      <name val="Cambria"/>
      <charset val="1"/>
      <sz val="10"/>
    </font>
    <font>
      <name val="Cambria"/>
      <charset val="1"/>
      <i val="1"/>
      <color rgb="FF1F4E5F"/>
      <sz val="10"/>
    </font>
    <font>
      <name val="Cambria"/>
      <charset val="1"/>
      <b val="1"/>
      <i val="1"/>
      <color rgb="FF1F4E5F"/>
      <sz val="11"/>
    </font>
    <font>
      <name val="Cambria"/>
      <charset val="1"/>
      <i val="1"/>
      <sz val="11"/>
    </font>
    <font>
      <name val="Cambria"/>
      <charset val="1"/>
      <b val="1"/>
      <color rgb="FF808080"/>
      <sz val="10"/>
    </font>
    <font>
      <name val="Cambria"/>
      <charset val="1"/>
      <b val="1"/>
      <color rgb="FF1F4E5F"/>
      <sz val="11"/>
    </font>
    <font>
      <name val="Cambria"/>
      <charset val="1"/>
      <b val="1"/>
      <sz val="12"/>
    </font>
    <font>
      <name val="Cambria"/>
      <charset val="1"/>
      <b val="1"/>
      <color rgb="FFFFFFFF"/>
      <sz val="10"/>
    </font>
    <font>
      <name val="Cambria"/>
      <charset val="1"/>
      <sz val="9"/>
    </font>
  </fonts>
  <fills count="7">
    <fill>
      <patternFill/>
    </fill>
    <fill>
      <patternFill patternType="gray125"/>
    </fill>
    <fill>
      <patternFill patternType="solid">
        <fgColor rgb="FFFFF2CC"/>
        <bgColor rgb="FFFFF4CD"/>
      </patternFill>
    </fill>
    <fill>
      <patternFill patternType="solid">
        <fgColor rgb="FF1F4E5F"/>
        <bgColor rgb="FF1F4E79"/>
      </patternFill>
    </fill>
    <fill>
      <patternFill patternType="solid">
        <fgColor rgb="FFFCE4D6"/>
        <bgColor rgb="FFFFF2CC"/>
      </patternFill>
    </fill>
    <fill>
      <patternFill patternType="solid">
        <fgColor rgb="FFFFF7DD"/>
        <bgColor rgb="FFFFF3E0"/>
      </patternFill>
    </fill>
    <fill>
      <patternFill patternType="solid">
        <fgColor rgb="FFEAF1F4"/>
        <bgColor rgb="FFF4F7FB"/>
      </patternFill>
    </fill>
  </fills>
  <borders count="18">
    <border>
      <left/>
      <right/>
      <top/>
      <bottom/>
      <diagonal/>
    </border>
    <border>
      <left style="thin">
        <color rgb="FFBFD3DA"/>
      </left>
      <right style="thin">
        <color rgb="FFBFD3DA"/>
      </right>
      <top style="thin">
        <color rgb="FFBFD3DA"/>
      </top>
      <bottom style="thin">
        <color rgb="FFBFD3DA"/>
      </bottom>
      <diagonal/>
    </border>
    <border>
      <left style="thin">
        <color rgb="FFBFD3DA"/>
      </left>
      <right/>
      <top style="thin">
        <color rgb="FFBFD3DA"/>
      </top>
      <bottom style="thin">
        <color rgb="FFBFD3DA"/>
      </bottom>
      <diagonal/>
    </border>
    <border>
      <left/>
      <right/>
      <top style="thin">
        <color rgb="FFBFD3DA"/>
      </top>
      <bottom style="thin">
        <color rgb="FFBFD3DA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D3DA"/>
      </right>
      <top style="thin">
        <color rgb="FFBFD3DA"/>
      </top>
      <bottom style="thin">
        <color rgb="FFBFD3DA"/>
      </bottom>
      <diagonal/>
    </border>
    <border>
      <left style="medium">
        <color rgb="FFC9A24B"/>
      </left>
      <right style="medium">
        <color rgb="FFC9A24B"/>
      </right>
      <top style="medium">
        <color rgb="FFC9A24B"/>
      </top>
      <bottom style="medium">
        <color rgb="FFC9A24B"/>
      </bottom>
      <diagonal/>
    </border>
    <border>
      <left/>
      <right/>
      <top style="medium">
        <color rgb="FFC9A24B"/>
      </top>
      <bottom style="medium">
        <color rgb="FFC9A24B"/>
      </bottom>
      <diagonal/>
    </border>
    <border>
      <left/>
      <right style="medium">
        <color rgb="FFC9A24B"/>
      </right>
      <top style="medium">
        <color rgb="FFC9A24B"/>
      </top>
      <bottom style="medium">
        <color rgb="FFC9A24B"/>
      </bottom>
      <diagonal/>
    </border>
    <border>
      <left/>
      <right/>
      <top style="thin">
        <color rgb="FFBFD3DA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BFD3DA"/>
      </right>
      <top style="thin">
        <color rgb="FFBFD3DA"/>
      </top>
      <bottom/>
      <diagonal/>
    </border>
    <border>
      <left/>
      <right/>
      <top style="medium">
        <color rgb="FFC9A24B"/>
      </top>
      <bottom/>
      <diagonal/>
    </border>
    <border>
      <left/>
      <right style="medium">
        <color rgb="FFC9A24B"/>
      </right>
      <top style="medium">
        <color rgb="FFC9A24B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applyAlignment="1" pivotButton="0" quotePrefix="0" xfId="0">
      <alignment horizontal="right" vertical="center"/>
    </xf>
    <xf numFmtId="164" fontId="6" fillId="0" borderId="0" pivotButton="0" quotePrefix="0" xfId="0"/>
    <xf numFmtId="9" fontId="7" fillId="2" borderId="1" applyAlignment="1" pivotButton="0" quotePrefix="0" xfId="0">
      <alignment horizontal="center" vertical="center" wrapText="1"/>
    </xf>
    <xf numFmtId="0" fontId="7" fillId="2" borderId="2" pivotButton="0" quotePrefix="0" xfId="0"/>
    <xf numFmtId="0" fontId="0" fillId="0" borderId="3" pivotButton="0" quotePrefix="0" xfId="0"/>
    <xf numFmtId="0" fontId="5" fillId="0" borderId="0" applyAlignment="1" pivotButton="0" quotePrefix="0" xfId="0">
      <alignment horizontal="right" vertical="center"/>
    </xf>
    <xf numFmtId="0" fontId="6" fillId="0" borderId="2" pivotButton="0" quotePrefix="0" xfId="0"/>
    <xf numFmtId="0" fontId="6" fillId="0" borderId="2" applyAlignment="1" pivotButton="0" quotePrefix="0" xfId="0">
      <alignment horizontal="left" vertical="center" wrapText="1"/>
    </xf>
    <xf numFmtId="0" fontId="7" fillId="0" borderId="0" pivotButton="0" quotePrefix="0" xfId="0"/>
    <xf numFmtId="0" fontId="7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8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4" fontId="6" fillId="0" borderId="1" applyAlignment="1" pivotButton="0" quotePrefix="0" xfId="0">
      <alignment horizontal="right" vertical="center"/>
    </xf>
    <xf numFmtId="0" fontId="11" fillId="0" borderId="7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0" fontId="0" fillId="0" borderId="8" pivotButton="0" quotePrefix="0" xfId="0"/>
    <xf numFmtId="3" fontId="7" fillId="5" borderId="1" applyAlignment="1" pivotButton="0" quotePrefix="0" xfId="0">
      <alignment horizontal="center" vertical="center" wrapText="1"/>
    </xf>
    <xf numFmtId="0" fontId="6" fillId="5" borderId="1" pivotButton="0" quotePrefix="0" xfId="0"/>
    <xf numFmtId="4" fontId="7" fillId="5" borderId="1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4" fillId="0" borderId="0" pivotButton="0" quotePrefix="0" xfId="0"/>
    <xf numFmtId="0" fontId="15" fillId="0" borderId="0" pivotButton="0" quotePrefix="0" xfId="0"/>
    <xf numFmtId="0" fontId="16" fillId="2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7" fillId="3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/>
    </xf>
    <xf numFmtId="0" fontId="18" fillId="0" borderId="4" applyAlignment="1" pivotButton="0" quotePrefix="0" xfId="0">
      <alignment horizontal="right" vertical="center"/>
    </xf>
    <xf numFmtId="0" fontId="18" fillId="6" borderId="4" applyAlignment="1" pivotButton="0" quotePrefix="0" xfId="0">
      <alignment horizontal="left" vertical="center"/>
    </xf>
    <xf numFmtId="0" fontId="18" fillId="6" borderId="4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40"/>
  <sheetViews>
    <sheetView workbookViewId="0">
      <selection activeCell="A1" sqref="A1"/>
    </sheetView>
  </sheetViews>
  <sheetFormatPr baseColWidth="8" defaultColWidth="8.676190476190479" defaultRowHeight="15"/>
  <cols>
    <col width="22.2857142857143" customWidth="1" min="1" max="1"/>
    <col width="18" customWidth="1" min="2" max="2"/>
    <col width="12" customWidth="1" min="3" max="3"/>
    <col width="44" customWidth="1" min="4" max="4"/>
    <col width="16.1428571428571" customWidth="1" min="5" max="5"/>
    <col width="18.2857142857143" customWidth="1" min="6" max="6"/>
    <col width="17.4285714285714" customWidth="1" min="7" max="7"/>
    <col width="17.2857142857143" customWidth="1" min="8" max="8"/>
    <col width="16.1428571428571" customWidth="1" min="9" max="9"/>
    <col width="13.5714285714286" customWidth="1" min="10" max="10"/>
    <col width="23.2857142857143" customWidth="1" min="11" max="11"/>
    <col hidden="1" width="13" customWidth="1" min="13" max="13"/>
  </cols>
  <sheetData>
    <row r="1" ht="18" customHeight="1">
      <c r="B1" s="1" t="inlineStr">
        <is>
          <t>CÔNG TY TNHH MÁY CÔNG TRÌNH MIỀN NAM</t>
        </is>
      </c>
      <c r="N1" s="2">
        <f>MATCH($C$9,{"Giá vốn";"Giá VIP";"Giá ưu đãi";"Giá đại lý";"Giá gara"},0)+4</f>
        <v/>
      </c>
    </row>
    <row r="2">
      <c r="B2" s="3" t="inlineStr">
        <is>
          <t>Địa chỉ: …………………   |   ĐT: …………………   |   MST: …………………</t>
        </is>
      </c>
    </row>
    <row r="4" ht="30" customHeight="1">
      <c r="B4" s="4" t="inlineStr">
        <is>
          <t>PHIẾU BÁO GIÁ</t>
        </is>
      </c>
    </row>
    <row r="5">
      <c r="B5" t="inlineStr">
        <is>
          <t>Số:</t>
        </is>
      </c>
      <c r="C5" s="5" t="inlineStr">
        <is>
          <t>BG-001</t>
        </is>
      </c>
      <c r="G5" s="6" t="inlineStr">
        <is>
          <t>Ngày:</t>
        </is>
      </c>
      <c r="H5" s="7">
        <f>TODAY()</f>
        <v/>
      </c>
      <c r="I5" s="6" t="inlineStr">
        <is>
          <t>VAT (%):</t>
        </is>
      </c>
      <c r="J5" s="8" t="n">
        <v>0.08</v>
      </c>
    </row>
    <row r="6">
      <c r="B6" s="5" t="inlineStr">
        <is>
          <t>Khách hàng:</t>
        </is>
      </c>
      <c r="C6" s="9" t="n"/>
      <c r="D6" s="10" t="n"/>
      <c r="E6" s="10" t="n"/>
      <c r="G6" s="11" t="inlineStr">
        <is>
          <t>Điện thoại:</t>
        </is>
      </c>
      <c r="H6" s="12" t="n"/>
      <c r="I6" s="10" t="n"/>
      <c r="J6" s="10" t="n"/>
    </row>
    <row r="7">
      <c r="B7" s="5" t="inlineStr">
        <is>
          <t>Địa chỉ:</t>
        </is>
      </c>
      <c r="C7" s="13" t="n"/>
      <c r="D7" s="10" t="n"/>
      <c r="E7" s="10" t="n"/>
      <c r="G7" s="11" t="inlineStr">
        <is>
          <t>MST:</t>
        </is>
      </c>
      <c r="H7" s="12" t="n"/>
      <c r="I7" s="10" t="n"/>
      <c r="J7" s="10" t="n"/>
    </row>
    <row r="8">
      <c r="B8" s="5" t="inlineStr">
        <is>
          <t>Nhà xe:</t>
        </is>
      </c>
      <c r="C8" s="9" t="n"/>
      <c r="D8" s="10" t="n"/>
      <c r="E8" s="10" t="n"/>
      <c r="G8" s="11" t="inlineStr">
        <is>
          <t>Giờ nhận:</t>
        </is>
      </c>
      <c r="H8" s="12" t="n"/>
      <c r="I8" s="10" t="n"/>
      <c r="J8" s="10" t="n"/>
    </row>
    <row r="9">
      <c r="B9" s="14" t="inlineStr">
        <is>
          <t>Bảng giá áp dụng:</t>
        </is>
      </c>
      <c r="C9" s="15" t="inlineStr">
        <is>
          <t>Giá VIP</t>
        </is>
      </c>
      <c r="D9" s="16" t="n"/>
      <c r="E9" s="17" t="n"/>
    </row>
    <row r="10" ht="39.75" customHeight="1">
      <c r="B10" s="18" t="inlineStr">
        <is>
          <t>STT</t>
        </is>
      </c>
      <c r="C10" s="18" t="inlineStr">
        <is>
          <t>Mã HH</t>
        </is>
      </c>
      <c r="D10" s="18" t="inlineStr">
        <is>
          <t>Tên vật tư sản phẩm</t>
        </is>
      </c>
      <c r="E10" s="18" t="inlineStr">
        <is>
          <t>ĐVT</t>
        </is>
      </c>
      <c r="F10" s="18" t="inlineStr">
        <is>
          <t>Số lượng</t>
        </is>
      </c>
      <c r="G10" s="18" t="inlineStr">
        <is>
          <t>Đơn giá (chưa VAT)</t>
        </is>
      </c>
      <c r="H10" s="18" t="inlineStr">
        <is>
          <t>Thành tiền (chưa VAT)</t>
        </is>
      </c>
      <c r="I10" s="18" t="inlineStr">
        <is>
          <t>Thuế VAT (8%)</t>
        </is>
      </c>
      <c r="J10" s="18" t="inlineStr">
        <is>
          <t>Tổng tiền (gồm VAT)</t>
        </is>
      </c>
      <c r="K10" s="18" t="inlineStr">
        <is>
          <t>🎚️ Cấp giá</t>
        </is>
      </c>
    </row>
    <row r="11">
      <c r="B11" s="19" t="n">
        <v>1</v>
      </c>
      <c r="C11" s="20" t="n"/>
      <c r="D11" s="21" t="n"/>
      <c r="E11" s="19" t="n"/>
      <c r="F11" s="22" t="n"/>
      <c r="G11" s="23" t="n"/>
      <c r="H11" s="23" t="n"/>
      <c r="I11" s="23" t="n"/>
      <c r="J11" s="23" t="n"/>
      <c r="K11" s="24" t="n"/>
    </row>
    <row r="12">
      <c r="B12" s="19" t="n">
        <v>2</v>
      </c>
      <c r="C12" s="20" t="n"/>
      <c r="D12" s="21" t="n"/>
      <c r="E12" s="19" t="n"/>
      <c r="F12" s="22" t="n"/>
      <c r="G12" s="23" t="n"/>
      <c r="H12" s="23" t="n"/>
      <c r="I12" s="23" t="n"/>
      <c r="J12" s="23" t="n"/>
      <c r="K12" s="24" t="n"/>
    </row>
    <row r="13">
      <c r="B13" s="19" t="n">
        <v>3</v>
      </c>
      <c r="C13" s="20" t="n"/>
      <c r="D13" s="21" t="n"/>
      <c r="E13" s="19" t="n"/>
      <c r="F13" s="22" t="n"/>
      <c r="G13" s="23" t="n"/>
      <c r="H13" s="23" t="n"/>
      <c r="I13" s="23" t="n"/>
      <c r="J13" s="23" t="n"/>
      <c r="K13" s="24" t="n"/>
    </row>
    <row r="14">
      <c r="B14" s="19" t="n">
        <v>4</v>
      </c>
      <c r="C14" s="20" t="n"/>
      <c r="D14" s="21" t="n"/>
      <c r="E14" s="19" t="n"/>
      <c r="F14" s="22" t="n"/>
      <c r="G14" s="23" t="n"/>
      <c r="H14" s="23" t="n"/>
      <c r="I14" s="23" t="n"/>
      <c r="J14" s="23" t="n"/>
      <c r="K14" s="24" t="n"/>
    </row>
    <row r="15">
      <c r="B15" s="19" t="n">
        <v>5</v>
      </c>
      <c r="C15" s="20" t="n"/>
      <c r="D15" s="21" t="n"/>
      <c r="E15" s="19" t="n"/>
      <c r="F15" s="22" t="n"/>
      <c r="G15" s="23" t="n"/>
      <c r="H15" s="23" t="n"/>
      <c r="I15" s="23" t="n"/>
      <c r="J15" s="23" t="n"/>
      <c r="K15" s="24" t="n"/>
    </row>
    <row r="16">
      <c r="B16" s="19" t="n">
        <v>6</v>
      </c>
      <c r="C16" s="20" t="n"/>
      <c r="D16" s="21" t="n"/>
      <c r="E16" s="19" t="n"/>
      <c r="F16" s="22" t="n"/>
      <c r="G16" s="23" t="n"/>
      <c r="H16" s="23" t="n"/>
      <c r="I16" s="23" t="n"/>
      <c r="J16" s="23" t="n"/>
      <c r="K16" s="24" t="n"/>
    </row>
    <row r="17">
      <c r="B17" s="19" t="n">
        <v>7</v>
      </c>
      <c r="C17" s="20" t="n"/>
      <c r="D17" s="21" t="n"/>
      <c r="E17" s="19" t="n"/>
      <c r="F17" s="22" t="n"/>
      <c r="G17" s="23" t="n"/>
      <c r="H17" s="23" t="n"/>
      <c r="I17" s="23" t="n"/>
      <c r="J17" s="23" t="n"/>
      <c r="K17" s="24" t="n"/>
    </row>
    <row r="18">
      <c r="B18" s="19" t="n">
        <v>8</v>
      </c>
      <c r="C18" s="20" t="n"/>
      <c r="D18" s="21" t="n"/>
      <c r="E18" s="19" t="n"/>
      <c r="F18" s="22" t="n"/>
      <c r="G18" s="23" t="n"/>
      <c r="H18" s="23" t="n"/>
      <c r="I18" s="23" t="n"/>
      <c r="J18" s="23" t="n"/>
      <c r="K18" s="24" t="n"/>
    </row>
    <row r="19">
      <c r="B19" s="25" t="inlineStr">
        <is>
          <t>Tổng cộng</t>
        </is>
      </c>
      <c r="C19" s="10" t="n"/>
      <c r="D19" s="10" t="n"/>
      <c r="E19" s="26" t="n"/>
      <c r="F19" s="27">
        <f>SUM($F$11:$F$18)</f>
        <v/>
      </c>
      <c r="G19" s="28" t="n"/>
      <c r="H19" s="29">
        <f>SUM($H$11:$H$18)</f>
        <v/>
      </c>
      <c r="I19" s="29">
        <f>SUM($I$11:$I$18)</f>
        <v/>
      </c>
      <c r="J19" s="29">
        <f>SUM($J$11:$J$18)</f>
        <v/>
      </c>
    </row>
    <row r="20" ht="33.75" customHeight="1">
      <c r="B20" s="30" t="inlineStr">
        <is>
          <t>Bằng chữ: Không đồng./.</t>
        </is>
      </c>
    </row>
    <row r="22">
      <c r="C22" s="31" t="inlineStr">
        <is>
          <t>KHÁCH HÀNG</t>
        </is>
      </c>
      <c r="H22" s="31" t="inlineStr">
        <is>
          <t>NGƯỜI BÁO GIÁ</t>
        </is>
      </c>
    </row>
    <row r="23">
      <c r="H23" s="32" t="inlineStr">
        <is>
          <t>Luân Nguyễn</t>
        </is>
      </c>
    </row>
    <row r="26">
      <c r="B26" s="33" t="inlineStr">
        <is>
          <t>──────── 🔎 TÌM NHANH (không in ra) ────────</t>
        </is>
      </c>
    </row>
    <row r="27">
      <c r="B27" s="34" t="inlineStr">
        <is>
          <t>🔎 Gõ:</t>
        </is>
      </c>
      <c r="C27" s="35" t="n"/>
      <c r="D27" s="36" t="n"/>
      <c r="E27" s="36" t="n"/>
      <c r="F27" s="37" t="n"/>
    </row>
    <row r="28">
      <c r="C28" s="38" t="inlineStr">
        <is>
          <t>Mã HH</t>
        </is>
      </c>
      <c r="D28" s="38" t="inlineStr">
        <is>
          <t>Tên hàng</t>
        </is>
      </c>
      <c r="E28" s="38" t="inlineStr">
        <is>
          <t>ĐVT</t>
        </is>
      </c>
      <c r="F28" s="38" t="inlineStr">
        <is>
          <t>ĐK</t>
        </is>
      </c>
      <c r="G28" s="38" t="inlineStr">
        <is>
          <t>Giá vốn</t>
        </is>
      </c>
      <c r="H28" s="38" t="inlineStr">
        <is>
          <t>Giá VIP</t>
        </is>
      </c>
      <c r="I28" s="38" t="inlineStr">
        <is>
          <t>Giá ưu đãi</t>
        </is>
      </c>
      <c r="J28" s="38" t="inlineStr">
        <is>
          <t>Giá đại lý</t>
        </is>
      </c>
      <c r="K28" s="38" t="inlineStr">
        <is>
          <t>Giá gara</t>
        </is>
      </c>
    </row>
    <row r="29">
      <c r="C29" s="39">
        <f>IF(M29="","",INDEX('📂 DATA'!$A$2:$A$7684,M29))</f>
        <v/>
      </c>
      <c r="D29" s="39">
        <f>IF(M29="","",INDEX('📂 DATA'!$B$2:$B$7684,M29))</f>
        <v/>
      </c>
      <c r="E29" s="39">
        <f>IF(M29="","",INDEX('📂 DATA'!$D$2:$D$7684,M29))</f>
        <v/>
      </c>
      <c r="F29" s="39">
        <f>IF(M29="","",INDEX('📂 DATA'!$J$2:$J$7684,M29))</f>
        <v/>
      </c>
      <c r="G29" s="40">
        <f>IF(M29="","",INDEX('📂 DATA'!$E$2:$E$7684,M29))</f>
        <v/>
      </c>
      <c r="H29" s="40">
        <f>IF(M29="","",INDEX('📂 DATA'!$F$2:$F$7684,M29))</f>
        <v/>
      </c>
      <c r="I29" s="40">
        <f>IF(M29="","",INDEX('📂 DATA'!$G$2:$G$7684,M29))</f>
        <v/>
      </c>
      <c r="J29" s="40">
        <f>IF(M29="","",INDEX('📂 DATA'!$H$2:$H$7684,M29))</f>
        <v/>
      </c>
      <c r="K29" s="40">
        <f>IF(M29="","",INDEX('📂 DATA'!$I$2:$I$7684,M29))</f>
        <v/>
      </c>
      <c r="M29">
        <f>IFERROR(MATCH(1,'📂 DATA'!$O$2:$O$7684,0),"")</f>
        <v/>
      </c>
    </row>
    <row r="30">
      <c r="C30" s="41">
        <f>IF(M30="","",INDEX('📂 DATA'!$A$2:$A$7684,M30))</f>
        <v/>
      </c>
      <c r="D30" s="41">
        <f>IF(M30="","",INDEX('📂 DATA'!$B$2:$B$7684,M30))</f>
        <v/>
      </c>
      <c r="E30" s="41">
        <f>IF(M30="","",INDEX('📂 DATA'!$D$2:$D$7684,M30))</f>
        <v/>
      </c>
      <c r="F30" s="41">
        <f>IF(M30="","",INDEX('📂 DATA'!$J$2:$J$7684,M30))</f>
        <v/>
      </c>
      <c r="G30" s="42">
        <f>IF(M30="","",INDEX('📂 DATA'!$E$2:$E$7684,M30))</f>
        <v/>
      </c>
      <c r="H30" s="42">
        <f>IF(M30="","",INDEX('📂 DATA'!$F$2:$F$7684,M30))</f>
        <v/>
      </c>
      <c r="I30" s="42">
        <f>IF(M30="","",INDEX('📂 DATA'!$G$2:$G$7684,M30))</f>
        <v/>
      </c>
      <c r="J30" s="42">
        <f>IF(M30="","",INDEX('📂 DATA'!$H$2:$H$7684,M30))</f>
        <v/>
      </c>
      <c r="K30" s="42">
        <f>IF(M30="","",INDEX('📂 DATA'!$I$2:$I$7684,M30))</f>
        <v/>
      </c>
      <c r="M30">
        <f>IFERROR(MATCH(2,'📂 DATA'!$O$2:$O$7684,0),"")</f>
        <v/>
      </c>
    </row>
    <row r="31">
      <c r="C31" s="39">
        <f>IF(M31="","",INDEX('📂 DATA'!$A$2:$A$7684,M31))</f>
        <v/>
      </c>
      <c r="D31" s="39">
        <f>IF(M31="","",INDEX('📂 DATA'!$B$2:$B$7684,M31))</f>
        <v/>
      </c>
      <c r="E31" s="39">
        <f>IF(M31="","",INDEX('📂 DATA'!$D$2:$D$7684,M31))</f>
        <v/>
      </c>
      <c r="F31" s="39">
        <f>IF(M31="","",INDEX('📂 DATA'!$J$2:$J$7684,M31))</f>
        <v/>
      </c>
      <c r="G31" s="40">
        <f>IF(M31="","",INDEX('📂 DATA'!$E$2:$E$7684,M31))</f>
        <v/>
      </c>
      <c r="H31" s="40">
        <f>IF(M31="","",INDEX('📂 DATA'!$F$2:$F$7684,M31))</f>
        <v/>
      </c>
      <c r="I31" s="40">
        <f>IF(M31="","",INDEX('📂 DATA'!$G$2:$G$7684,M31))</f>
        <v/>
      </c>
      <c r="J31" s="40">
        <f>IF(M31="","",INDEX('📂 DATA'!$H$2:$H$7684,M31))</f>
        <v/>
      </c>
      <c r="K31" s="40">
        <f>IF(M31="","",INDEX('📂 DATA'!$I$2:$I$7684,M31))</f>
        <v/>
      </c>
      <c r="M31">
        <f>IFERROR(MATCH(3,'📂 DATA'!$O$2:$O$7684,0),"")</f>
        <v/>
      </c>
    </row>
    <row r="32">
      <c r="C32" s="41">
        <f>IF(M32="","",INDEX('📂 DATA'!$A$2:$A$7684,M32))</f>
        <v/>
      </c>
      <c r="D32" s="41">
        <f>IF(M32="","",INDEX('📂 DATA'!$B$2:$B$7684,M32))</f>
        <v/>
      </c>
      <c r="E32" s="41">
        <f>IF(M32="","",INDEX('📂 DATA'!$D$2:$D$7684,M32))</f>
        <v/>
      </c>
      <c r="F32" s="41">
        <f>IF(M32="","",INDEX('📂 DATA'!$J$2:$J$7684,M32))</f>
        <v/>
      </c>
      <c r="G32" s="42">
        <f>IF(M32="","",INDEX('📂 DATA'!$E$2:$E$7684,M32))</f>
        <v/>
      </c>
      <c r="H32" s="42">
        <f>IF(M32="","",INDEX('📂 DATA'!$F$2:$F$7684,M32))</f>
        <v/>
      </c>
      <c r="I32" s="42">
        <f>IF(M32="","",INDEX('📂 DATA'!$G$2:$G$7684,M32))</f>
        <v/>
      </c>
      <c r="J32" s="42">
        <f>IF(M32="","",INDEX('📂 DATA'!$H$2:$H$7684,M32))</f>
        <v/>
      </c>
      <c r="K32" s="42">
        <f>IF(M32="","",INDEX('📂 DATA'!$I$2:$I$7684,M32))</f>
        <v/>
      </c>
      <c r="M32">
        <f>IFERROR(MATCH(4,'📂 DATA'!$O$2:$O$7684,0),"")</f>
        <v/>
      </c>
    </row>
    <row r="33">
      <c r="C33" s="39">
        <f>IF(M33="","",INDEX('📂 DATA'!$A$2:$A$7684,M33))</f>
        <v/>
      </c>
      <c r="D33" s="39">
        <f>IF(M33="","",INDEX('📂 DATA'!$B$2:$B$7684,M33))</f>
        <v/>
      </c>
      <c r="E33" s="39">
        <f>IF(M33="","",INDEX('📂 DATA'!$D$2:$D$7684,M33))</f>
        <v/>
      </c>
      <c r="F33" s="39">
        <f>IF(M33="","",INDEX('📂 DATA'!$J$2:$J$7684,M33))</f>
        <v/>
      </c>
      <c r="G33" s="40">
        <f>IF(M33="","",INDEX('📂 DATA'!$E$2:$E$7684,M33))</f>
        <v/>
      </c>
      <c r="H33" s="40">
        <f>IF(M33="","",INDEX('📂 DATA'!$F$2:$F$7684,M33))</f>
        <v/>
      </c>
      <c r="I33" s="40">
        <f>IF(M33="","",INDEX('📂 DATA'!$G$2:$G$7684,M33))</f>
        <v/>
      </c>
      <c r="J33" s="40">
        <f>IF(M33="","",INDEX('📂 DATA'!$H$2:$H$7684,M33))</f>
        <v/>
      </c>
      <c r="K33" s="40">
        <f>IF(M33="","",INDEX('📂 DATA'!$I$2:$I$7684,M33))</f>
        <v/>
      </c>
      <c r="M33">
        <f>IFERROR(MATCH(5,'📂 DATA'!$O$2:$O$7684,0),"")</f>
        <v/>
      </c>
    </row>
    <row r="34">
      <c r="C34" s="41">
        <f>IF(M34="","",INDEX('📂 DATA'!$A$2:$A$7684,M34))</f>
        <v/>
      </c>
      <c r="D34" s="41">
        <f>IF(M34="","",INDEX('📂 DATA'!$B$2:$B$7684,M34))</f>
        <v/>
      </c>
      <c r="E34" s="41">
        <f>IF(M34="","",INDEX('📂 DATA'!$D$2:$D$7684,M34))</f>
        <v/>
      </c>
      <c r="F34" s="41">
        <f>IF(M34="","",INDEX('📂 DATA'!$J$2:$J$7684,M34))</f>
        <v/>
      </c>
      <c r="G34" s="42">
        <f>IF(M34="","",INDEX('📂 DATA'!$E$2:$E$7684,M34))</f>
        <v/>
      </c>
      <c r="H34" s="42">
        <f>IF(M34="","",INDEX('📂 DATA'!$F$2:$F$7684,M34))</f>
        <v/>
      </c>
      <c r="I34" s="42">
        <f>IF(M34="","",INDEX('📂 DATA'!$G$2:$G$7684,M34))</f>
        <v/>
      </c>
      <c r="J34" s="42">
        <f>IF(M34="","",INDEX('📂 DATA'!$H$2:$H$7684,M34))</f>
        <v/>
      </c>
      <c r="K34" s="42">
        <f>IF(M34="","",INDEX('📂 DATA'!$I$2:$I$7684,M34))</f>
        <v/>
      </c>
      <c r="M34">
        <f>IFERROR(MATCH(6,'📂 DATA'!$O$2:$O$7684,0),"")</f>
        <v/>
      </c>
    </row>
    <row r="35">
      <c r="C35" s="39">
        <f>IF(M35="","",INDEX('📂 DATA'!$A$2:$A$7684,M35))</f>
        <v/>
      </c>
      <c r="D35" s="39">
        <f>IF(M35="","",INDEX('📂 DATA'!$B$2:$B$7684,M35))</f>
        <v/>
      </c>
      <c r="E35" s="39">
        <f>IF(M35="","",INDEX('📂 DATA'!$D$2:$D$7684,M35))</f>
        <v/>
      </c>
      <c r="F35" s="39">
        <f>IF(M35="","",INDEX('📂 DATA'!$J$2:$J$7684,M35))</f>
        <v/>
      </c>
      <c r="G35" s="40">
        <f>IF(M35="","",INDEX('📂 DATA'!$E$2:$E$7684,M35))</f>
        <v/>
      </c>
      <c r="H35" s="40">
        <f>IF(M35="","",INDEX('📂 DATA'!$F$2:$F$7684,M35))</f>
        <v/>
      </c>
      <c r="I35" s="40">
        <f>IF(M35="","",INDEX('📂 DATA'!$G$2:$G$7684,M35))</f>
        <v/>
      </c>
      <c r="J35" s="40">
        <f>IF(M35="","",INDEX('📂 DATA'!$H$2:$H$7684,M35))</f>
        <v/>
      </c>
      <c r="K35" s="40">
        <f>IF(M35="","",INDEX('📂 DATA'!$I$2:$I$7684,M35))</f>
        <v/>
      </c>
      <c r="M35">
        <f>IFERROR(MATCH(7,'📂 DATA'!$O$2:$O$7684,0),"")</f>
        <v/>
      </c>
    </row>
    <row r="36">
      <c r="C36" s="41">
        <f>IF(M36="","",INDEX('📂 DATA'!$A$2:$A$7684,M36))</f>
        <v/>
      </c>
      <c r="D36" s="41">
        <f>IF(M36="","",INDEX('📂 DATA'!$B$2:$B$7684,M36))</f>
        <v/>
      </c>
      <c r="E36" s="41">
        <f>IF(M36="","",INDEX('📂 DATA'!$D$2:$D$7684,M36))</f>
        <v/>
      </c>
      <c r="F36" s="41">
        <f>IF(M36="","",INDEX('📂 DATA'!$J$2:$J$7684,M36))</f>
        <v/>
      </c>
      <c r="G36" s="42">
        <f>IF(M36="","",INDEX('📂 DATA'!$E$2:$E$7684,M36))</f>
        <v/>
      </c>
      <c r="H36" s="42">
        <f>IF(M36="","",INDEX('📂 DATA'!$F$2:$F$7684,M36))</f>
        <v/>
      </c>
      <c r="I36" s="42">
        <f>IF(M36="","",INDEX('📂 DATA'!$G$2:$G$7684,M36))</f>
        <v/>
      </c>
      <c r="J36" s="42">
        <f>IF(M36="","",INDEX('📂 DATA'!$H$2:$H$7684,M36))</f>
        <v/>
      </c>
      <c r="K36" s="42">
        <f>IF(M36="","",INDEX('📂 DATA'!$I$2:$I$7684,M36))</f>
        <v/>
      </c>
      <c r="M36">
        <f>IFERROR(MATCH(8,'📂 DATA'!$O$2:$O$7684,0),"")</f>
        <v/>
      </c>
    </row>
    <row r="37">
      <c r="C37" s="39">
        <f>IF(M37="","",INDEX('📂 DATA'!$A$2:$A$7684,M37))</f>
        <v/>
      </c>
      <c r="D37" s="39">
        <f>IF(M37="","",INDEX('📂 DATA'!$B$2:$B$7684,M37))</f>
        <v/>
      </c>
      <c r="E37" s="39">
        <f>IF(M37="","",INDEX('📂 DATA'!$D$2:$D$7684,M37))</f>
        <v/>
      </c>
      <c r="F37" s="39">
        <f>IF(M37="","",INDEX('📂 DATA'!$J$2:$J$7684,M37))</f>
        <v/>
      </c>
      <c r="G37" s="40">
        <f>IF(M37="","",INDEX('📂 DATA'!$E$2:$E$7684,M37))</f>
        <v/>
      </c>
      <c r="H37" s="40">
        <f>IF(M37="","",INDEX('📂 DATA'!$F$2:$F$7684,M37))</f>
        <v/>
      </c>
      <c r="I37" s="40">
        <f>IF(M37="","",INDEX('📂 DATA'!$G$2:$G$7684,M37))</f>
        <v/>
      </c>
      <c r="J37" s="40">
        <f>IF(M37="","",INDEX('📂 DATA'!$H$2:$H$7684,M37))</f>
        <v/>
      </c>
      <c r="K37" s="40">
        <f>IF(M37="","",INDEX('📂 DATA'!$I$2:$I$7684,M37))</f>
        <v/>
      </c>
      <c r="M37">
        <f>IFERROR(MATCH(9,'📂 DATA'!$O$2:$O$7684,0),"")</f>
        <v/>
      </c>
    </row>
    <row r="38">
      <c r="C38" s="41">
        <f>IF(M38="","",INDEX('📂 DATA'!$A$2:$A$7684,M38))</f>
        <v/>
      </c>
      <c r="D38" s="41">
        <f>IF(M38="","",INDEX('📂 DATA'!$B$2:$B$7684,M38))</f>
        <v/>
      </c>
      <c r="E38" s="41">
        <f>IF(M38="","",INDEX('📂 DATA'!$D$2:$D$7684,M38))</f>
        <v/>
      </c>
      <c r="F38" s="41">
        <f>IF(M38="","",INDEX('📂 DATA'!$J$2:$J$7684,M38))</f>
        <v/>
      </c>
      <c r="G38" s="42">
        <f>IF(M38="","",INDEX('📂 DATA'!$E$2:$E$7684,M38))</f>
        <v/>
      </c>
      <c r="H38" s="42">
        <f>IF(M38="","",INDEX('📂 DATA'!$F$2:$F$7684,M38))</f>
        <v/>
      </c>
      <c r="I38" s="42">
        <f>IF(M38="","",INDEX('📂 DATA'!$G$2:$G$7684,M38))</f>
        <v/>
      </c>
      <c r="J38" s="42">
        <f>IF(M38="","",INDEX('📂 DATA'!$H$2:$H$7684,M38))</f>
        <v/>
      </c>
      <c r="K38" s="42">
        <f>IF(M38="","",INDEX('📂 DATA'!$I$2:$I$7684,M38))</f>
        <v/>
      </c>
      <c r="M38">
        <f>IFERROR(MATCH(10,'📂 DATA'!$O$2:$O$7684,0),"")</f>
        <v/>
      </c>
    </row>
    <row r="39">
      <c r="C39" s="39">
        <f>IF(M39="","",INDEX('📂 DATA'!$A$2:$A$7684,M39))</f>
        <v/>
      </c>
      <c r="D39" s="39">
        <f>IF(M39="","",INDEX('📂 DATA'!$B$2:$B$7684,M39))</f>
        <v/>
      </c>
      <c r="E39" s="39">
        <f>IF(M39="","",INDEX('📂 DATA'!$D$2:$D$7684,M39))</f>
        <v/>
      </c>
      <c r="F39" s="39">
        <f>IF(M39="","",INDEX('📂 DATA'!$J$2:$J$7684,M39))</f>
        <v/>
      </c>
      <c r="G39" s="40">
        <f>IF(M39="","",INDEX('📂 DATA'!$E$2:$E$7684,M39))</f>
        <v/>
      </c>
      <c r="H39" s="40">
        <f>IF(M39="","",INDEX('📂 DATA'!$F$2:$F$7684,M39))</f>
        <v/>
      </c>
      <c r="I39" s="40">
        <f>IF(M39="","",INDEX('📂 DATA'!$G$2:$G$7684,M39))</f>
        <v/>
      </c>
      <c r="J39" s="40">
        <f>IF(M39="","",INDEX('📂 DATA'!$H$2:$H$7684,M39))</f>
        <v/>
      </c>
      <c r="K39" s="40">
        <f>IF(M39="","",INDEX('📂 DATA'!$I$2:$I$7684,M39))</f>
        <v/>
      </c>
      <c r="M39">
        <f>IFERROR(MATCH(11,'📂 DATA'!$O$2:$O$7684,0),"")</f>
        <v/>
      </c>
    </row>
    <row r="40">
      <c r="C40" s="41">
        <f>IF(M40="","",INDEX('📂 DATA'!$A$2:$A$7684,M40))</f>
        <v/>
      </c>
      <c r="D40" s="41">
        <f>IF(M40="","",INDEX('📂 DATA'!$B$2:$B$7684,M40))</f>
        <v/>
      </c>
      <c r="E40" s="41">
        <f>IF(M40="","",INDEX('📂 DATA'!$D$2:$D$7684,M40))</f>
        <v/>
      </c>
      <c r="F40" s="41">
        <f>IF(M40="","",INDEX('📂 DATA'!$J$2:$J$7684,M40))</f>
        <v/>
      </c>
      <c r="G40" s="42">
        <f>IF(M40="","",INDEX('📂 DATA'!$E$2:$E$7684,M40))</f>
        <v/>
      </c>
      <c r="H40" s="42">
        <f>IF(M40="","",INDEX('📂 DATA'!$F$2:$F$7684,M40))</f>
        <v/>
      </c>
      <c r="I40" s="42">
        <f>IF(M40="","",INDEX('📂 DATA'!$G$2:$G$7684,M40))</f>
        <v/>
      </c>
      <c r="J40" s="42">
        <f>IF(M40="","",INDEX('📂 DATA'!$H$2:$H$7684,M40))</f>
        <v/>
      </c>
      <c r="K40" s="42">
        <f>IF(M40="","",INDEX('📂 DATA'!$I$2:$I$7684,M40))</f>
        <v/>
      </c>
      <c r="M40">
        <f>IFERROR(MATCH(12,'📂 DATA'!$O$2:$O$7684,0),"")</f>
        <v/>
      </c>
    </row>
  </sheetData>
  <mergeCells count="16">
    <mergeCell ref="B20:J20"/>
    <mergeCell ref="H22:J22"/>
    <mergeCell ref="H23:J23"/>
    <mergeCell ref="C22:E22"/>
    <mergeCell ref="C8:E8"/>
    <mergeCell ref="H8:J8"/>
    <mergeCell ref="C9:E9"/>
    <mergeCell ref="B1:J1"/>
    <mergeCell ref="B2:J2"/>
    <mergeCell ref="B4:J4"/>
    <mergeCell ref="B19:E19"/>
    <mergeCell ref="C27:F27"/>
    <mergeCell ref="C7:E7"/>
    <mergeCell ref="H7:J7"/>
    <mergeCell ref="C6:E6"/>
    <mergeCell ref="H6:J6"/>
  </mergeCells>
  <pageMargins left="0.75" right="0.75" top="1" bottom="1" header="0.511811023622047" footer="0.511811023622047"/>
  <pageSetup orientation="landscape" paperSize="1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2026-06-24T18:08:24Z</dcterms:created>
  <dcterms:modified xmlns:dcterms="http://purl.org/dc/terms/" xmlns:xsi="http://www.w3.org/2001/XMLSchema-instance" xsi:type="dcterms:W3CDTF">2026-06-24T18:14:47Z</dcterms:modified>
</cp:coreProperties>
</file>