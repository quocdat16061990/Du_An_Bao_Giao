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00" tabRatio="500" firstSheet="0" activeTab="0" autoFilterDateGrouping="1"/>
  </bookViews>
  <sheets>
    <sheet name="BÁO GIÁ" sheetId="1" state="visible" r:id="rId1"/>
  </sheets>
  <definedNames>
    <definedName name="_xlnm.Print_Area" localSheetId="0">'BÁO GIÁ'!$A$1:$G$37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6">
    <font>
      <name val="Calibri"/>
      <charset val="1"/>
      <color theme="1"/>
      <sz val="11"/>
    </font>
    <font>
      <name val="Calibri"/>
      <charset val="1"/>
      <b val="1"/>
      <color rgb="FFFFFFFF"/>
      <sz val="17"/>
    </font>
    <font>
      <name val="Calibri"/>
      <charset val="1"/>
      <color rgb="FF7F7F7F"/>
      <sz val="10"/>
    </font>
    <font>
      <name val="Calibri"/>
      <charset val="1"/>
      <b val="1"/>
      <color rgb="FFFFFFFF"/>
      <sz val="15"/>
    </font>
    <font>
      <name val="Calibri"/>
      <charset val="1"/>
      <i val="1"/>
      <sz val="10"/>
    </font>
    <font>
      <name val="Calibri"/>
      <charset val="1"/>
      <b val="1"/>
      <sz val="10"/>
    </font>
    <font>
      <name val="Calibri"/>
      <charset val="1"/>
      <sz val="10"/>
    </font>
    <font>
      <name val="Calibri"/>
      <charset val="1"/>
      <b val="1"/>
      <color rgb="FFFFFFFF"/>
      <sz val="10.5"/>
    </font>
    <font>
      <name val="Calibri"/>
      <charset val="1"/>
      <color rgb="FF0000FF"/>
      <sz val="10"/>
    </font>
    <font>
      <name val="Calibri"/>
      <charset val="1"/>
      <b val="1"/>
      <color rgb="FFFFFFFF"/>
      <sz val="11"/>
    </font>
    <font>
      <name val="Calibri"/>
      <charset val="1"/>
      <b val="1"/>
      <i val="1"/>
      <color rgb="FF1F3864"/>
      <sz val="10"/>
    </font>
    <font>
      <name val="Calibri"/>
      <charset val="1"/>
      <b val="1"/>
      <color rgb="FF1F3864"/>
      <sz val="11"/>
    </font>
    <font>
      <name val="Calibri"/>
      <charset val="1"/>
      <b val="1"/>
      <i val="1"/>
      <color rgb="FF1F3864"/>
      <sz val="10.5"/>
    </font>
    <font>
      <name val="Calibri"/>
      <charset val="1"/>
      <b val="1"/>
      <sz val="11.5"/>
    </font>
    <font>
      <name val="Calibri"/>
      <charset val="1"/>
      <color rgb="FF7F7F7F"/>
      <sz val="9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A8C"/>
        <bgColor rgb="FF1F3864"/>
      </patternFill>
    </fill>
    <fill>
      <patternFill patternType="solid">
        <fgColor rgb="FFEAF1F8"/>
        <bgColor rgb="FFF7F9FC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FFF3CC"/>
        <bgColor rgb="FFF7F9F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49">
    <xf numFmtId="0" fontId="0" fillId="0" borderId="0"/>
    <xf numFmtId="43" fontId="15" fillId="0" borderId="0"/>
    <xf numFmtId="44" fontId="15" fillId="0" borderId="0"/>
    <xf numFmtId="9" fontId="15" fillId="0" borderId="0"/>
    <xf numFmtId="41" fontId="15" fillId="0" borderId="0"/>
    <xf numFmtId="42" fontId="15" fillId="0" borderId="0"/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8" borderId="3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4" applyAlignment="1">
      <alignment vertical="center"/>
    </xf>
    <xf numFmtId="0" fontId="23" fillId="0" borderId="4" applyAlignment="1">
      <alignment vertical="center"/>
    </xf>
    <xf numFmtId="0" fontId="24" fillId="0" borderId="5" applyAlignment="1">
      <alignment vertical="center"/>
    </xf>
    <xf numFmtId="0" fontId="24" fillId="0" borderId="0" applyAlignment="1">
      <alignment vertical="center"/>
    </xf>
    <xf numFmtId="0" fontId="25" fillId="9" borderId="6" applyAlignment="1">
      <alignment vertical="center"/>
    </xf>
    <xf numFmtId="0" fontId="26" fillId="10" borderId="7" applyAlignment="1">
      <alignment vertical="center"/>
    </xf>
    <xf numFmtId="0" fontId="27" fillId="10" borderId="6" applyAlignment="1">
      <alignment vertical="center"/>
    </xf>
    <xf numFmtId="0" fontId="28" fillId="11" borderId="8" applyAlignment="1">
      <alignment vertical="center"/>
    </xf>
    <xf numFmtId="0" fontId="29" fillId="0" borderId="9" applyAlignment="1">
      <alignment vertical="center"/>
    </xf>
    <xf numFmtId="0" fontId="30" fillId="0" borderId="1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3" fillId="14" borderId="0" applyAlignment="1">
      <alignment vertical="center"/>
    </xf>
    <xf numFmtId="0" fontId="34" fillId="15" borderId="0" applyAlignment="1">
      <alignment vertical="center"/>
    </xf>
    <xf numFmtId="0" fontId="35" fillId="16" borderId="0" applyAlignment="1">
      <alignment vertical="center"/>
    </xf>
    <xf numFmtId="0" fontId="35" fillId="17" borderId="0" applyAlignment="1">
      <alignment vertical="center"/>
    </xf>
    <xf numFmtId="0" fontId="34" fillId="18" borderId="0" applyAlignment="1">
      <alignment vertical="center"/>
    </xf>
    <xf numFmtId="0" fontId="34" fillId="19" borderId="0" applyAlignment="1">
      <alignment vertical="center"/>
    </xf>
    <xf numFmtId="0" fontId="35" fillId="20" borderId="0" applyAlignment="1">
      <alignment vertical="center"/>
    </xf>
    <xf numFmtId="0" fontId="35" fillId="21" borderId="0" applyAlignment="1">
      <alignment vertical="center"/>
    </xf>
    <xf numFmtId="0" fontId="34" fillId="22" borderId="0" applyAlignment="1">
      <alignment vertical="center"/>
    </xf>
    <xf numFmtId="0" fontId="34" fillId="23" borderId="0" applyAlignment="1">
      <alignment vertical="center"/>
    </xf>
    <xf numFmtId="0" fontId="35" fillId="24" borderId="0" applyAlignment="1">
      <alignment vertical="center"/>
    </xf>
    <xf numFmtId="0" fontId="35" fillId="25" borderId="0" applyAlignment="1">
      <alignment vertical="center"/>
    </xf>
    <xf numFmtId="0" fontId="34" fillId="26" borderId="0" applyAlignment="1">
      <alignment vertical="center"/>
    </xf>
    <xf numFmtId="0" fontId="34" fillId="27" borderId="0" applyAlignment="1">
      <alignment vertical="center"/>
    </xf>
    <xf numFmtId="0" fontId="35" fillId="28" borderId="0" applyAlignment="1">
      <alignment vertical="center"/>
    </xf>
    <xf numFmtId="0" fontId="35" fillId="29" borderId="0" applyAlignment="1">
      <alignment vertical="center"/>
    </xf>
    <xf numFmtId="0" fontId="34" fillId="30" borderId="0" applyAlignment="1">
      <alignment vertical="center"/>
    </xf>
    <xf numFmtId="0" fontId="34" fillId="31" borderId="0" applyAlignment="1">
      <alignment vertical="center"/>
    </xf>
    <xf numFmtId="0" fontId="35" fillId="32" borderId="0" applyAlignment="1">
      <alignment vertical="center"/>
    </xf>
    <xf numFmtId="0" fontId="35" fillId="33" borderId="0" applyAlignment="1">
      <alignment vertical="center"/>
    </xf>
    <xf numFmtId="0" fontId="34" fillId="34" borderId="0" applyAlignment="1">
      <alignment vertical="center"/>
    </xf>
    <xf numFmtId="0" fontId="34" fillId="35" borderId="0" applyAlignment="1">
      <alignment vertical="center"/>
    </xf>
    <xf numFmtId="0" fontId="35" fillId="36" borderId="0" applyAlignment="1">
      <alignment vertical="center"/>
    </xf>
    <xf numFmtId="0" fontId="35" fillId="37" borderId="0" applyAlignment="1">
      <alignment vertical="center"/>
    </xf>
    <xf numFmtId="0" fontId="34" fillId="38" borderId="0" applyAlignment="1">
      <alignment vertical="center"/>
    </xf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3" fontId="8" fillId="4" borderId="1" applyAlignment="1" pivotButton="0" quotePrefix="0" xfId="0">
      <alignment horizontal="right" vertical="center" wrapText="1"/>
    </xf>
    <xf numFmtId="3" fontId="6" fillId="4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3" fontId="8" fillId="5" borderId="1" applyAlignment="1" pivotButton="0" quotePrefix="0" xfId="0">
      <alignment horizontal="right" vertical="center" wrapText="1"/>
    </xf>
    <xf numFmtId="3" fontId="6" fillId="5" borderId="1" applyAlignment="1" pivotButton="0" quotePrefix="0" xfId="0">
      <alignment horizontal="right" vertical="center" wrapText="1"/>
    </xf>
    <xf numFmtId="0" fontId="5" fillId="6" borderId="2" applyAlignment="1" pivotButton="0" quotePrefix="0" xfId="0">
      <alignment horizontal="right" vertical="center" wrapText="1"/>
    </xf>
    <xf numFmtId="3" fontId="5" fillId="6" borderId="1" applyAlignment="1" pivotButton="0" quotePrefix="0" xfId="0">
      <alignment horizontal="right" vertical="center" wrapText="1"/>
    </xf>
    <xf numFmtId="0" fontId="9" fillId="2" borderId="2" applyAlignment="1" pivotButton="0" quotePrefix="0" xfId="0">
      <alignment horizontal="right" vertical="center" wrapText="1"/>
    </xf>
    <xf numFmtId="3" fontId="9" fillId="2" borderId="1" applyAlignment="1" pivotButton="0" quotePrefix="0" xfId="0">
      <alignment horizontal="right" vertical="center" wrapText="1"/>
    </xf>
    <xf numFmtId="0" fontId="10" fillId="7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 wrapText="1"/>
    </xf>
    <xf numFmtId="0" fontId="13" fillId="0" borderId="0" applyAlignment="1" pivotButton="0" quotePrefix="0" xfId="0">
      <alignment horizontal="right" vertical="center" wrapText="1"/>
    </xf>
    <xf numFmtId="0" fontId="14" fillId="0" borderId="0" applyAlignment="1" pivotButton="0" quotePrefix="0" xfId="0">
      <alignment horizontal="right" vertical="center" wrapText="1"/>
    </xf>
    <xf numFmtId="0" fontId="0" fillId="0" borderId="12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7F7F7F"/>
      <rgbColor rgb="009999FF"/>
      <rgbColor rgb="00993366"/>
      <rgbColor rgb="00FFF3CC"/>
      <rgbColor rgb="00EAF1F8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7F9FC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2E5A8C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showGridLines="0" tabSelected="1" workbookViewId="0">
      <pane ySplit="14" topLeftCell="A15" activePane="bottomLeft" state="frozen"/>
      <selection activeCell="A1" sqref="A1"/>
      <selection pane="bottomLeft" activeCell="L25" sqref="L25"/>
    </sheetView>
  </sheetViews>
  <sheetFormatPr baseColWidth="8" defaultColWidth="8.676190476190479" defaultRowHeight="15"/>
  <cols>
    <col width="6" customWidth="1" min="1" max="1"/>
    <col width="42" customWidth="1" min="2" max="2"/>
    <col width="13" customWidth="1" min="3" max="3"/>
    <col width="9" customWidth="1" min="4" max="4"/>
    <col width="6" customWidth="1" min="5" max="5"/>
    <col width="14" customWidth="1" min="6" max="6"/>
    <col width="16" customWidth="1" min="7" max="7"/>
  </cols>
  <sheetData>
    <row r="1">
      <c r="A1" s="1" t="inlineStr">
        <is>
          <t>CÔNG TY TNHH MÁY CÔNG TRÌNH MIỀN NAM</t>
        </is>
      </c>
    </row>
    <row r="2"/>
    <row r="3">
      <c r="A3" s="2" t="inlineStr">
        <is>
          <t>Địa chỉ: 4/4/1/8 Đường số 3, Khu phố 31, Phường Hiệp Bình, TP. Hồ Chí Minh</t>
        </is>
      </c>
    </row>
    <row r="4">
      <c r="A4" s="2" t="inlineStr">
        <is>
          <t>STK: 1036116670 - Ngân hàng Vietcombank - Chi nhánh Đông Sài Gòn</t>
        </is>
      </c>
    </row>
    <row r="6" ht="19.4" customHeight="1">
      <c r="A6" s="3" t="inlineStr">
        <is>
          <t>BẢNG BÁO GIÁ</t>
        </is>
      </c>
    </row>
    <row r="7">
      <c r="A7" s="4" t="inlineStr">
        <is>
          <t>TP. Hồ Chí Minh, ngày</t>
        </is>
      </c>
    </row>
    <row r="9">
      <c r="A9" s="5" t="inlineStr">
        <is>
          <t xml:space="preserve">Khách hàng: </t>
        </is>
      </c>
    </row>
    <row r="10">
      <c r="A10" s="6" t="inlineStr">
        <is>
          <t xml:space="preserve">Địa chỉ: </t>
        </is>
      </c>
    </row>
    <row r="11">
      <c r="A11" s="6" t="inlineStr">
        <is>
          <t xml:space="preserve">Mã số thuế: </t>
        </is>
      </c>
    </row>
    <row r="12">
      <c r="A12" s="6" t="inlineStr">
        <is>
          <t xml:space="preserve">Email: </t>
        </is>
      </c>
    </row>
    <row r="14" ht="21.75" customHeight="1">
      <c r="A14" s="7" t="inlineStr">
        <is>
          <t>STT</t>
        </is>
      </c>
      <c r="B14" s="7" t="inlineStr">
        <is>
          <t>TÊN HÀNG HÓA</t>
        </is>
      </c>
      <c r="C14" s="7" t="inlineStr">
        <is>
          <t>MÃ HH</t>
        </is>
      </c>
      <c r="D14" s="7" t="inlineStr">
        <is>
          <t>ĐVT</t>
        </is>
      </c>
      <c r="E14" s="7" t="inlineStr">
        <is>
          <t>SL</t>
        </is>
      </c>
      <c r="F14" s="7" t="inlineStr">
        <is>
          <t>ĐƠN GIÁ</t>
        </is>
      </c>
      <c r="G14" s="7" t="inlineStr">
        <is>
          <t>THÀNH TIỀN</t>
        </is>
      </c>
    </row>
    <row r="15" ht="30" customHeight="1">
      <c r="A15" s="8" t="n"/>
      <c r="B15" s="9" t="n"/>
      <c r="C15" s="8" t="n"/>
      <c r="D15" s="8" t="n"/>
      <c r="E15" s="8" t="n"/>
      <c r="F15" s="10" t="n"/>
      <c r="G15" s="11">
        <f>F15*E15</f>
        <v/>
      </c>
    </row>
    <row r="16" ht="30" customHeight="1">
      <c r="A16" s="12" t="n"/>
      <c r="B16" s="13" t="n"/>
      <c r="C16" s="12" t="n"/>
      <c r="D16" s="12" t="n"/>
      <c r="E16" s="12" t="n"/>
      <c r="F16" s="14" t="n"/>
      <c r="G16" s="15">
        <f>F16*E16</f>
        <v/>
      </c>
    </row>
    <row r="17" ht="30" customHeight="1">
      <c r="A17" s="8" t="n"/>
      <c r="B17" s="9" t="n"/>
      <c r="C17" s="8" t="n"/>
      <c r="D17" s="8" t="n"/>
      <c r="E17" s="8" t="n"/>
      <c r="F17" s="10" t="n"/>
      <c r="G17" s="11">
        <f>F17*E17</f>
        <v/>
      </c>
    </row>
    <row r="18" ht="30" customHeight="1">
      <c r="A18" s="12" t="n"/>
      <c r="B18" s="13" t="n"/>
      <c r="C18" s="12" t="n"/>
      <c r="D18" s="12" t="n"/>
      <c r="E18" s="12" t="n"/>
      <c r="F18" s="14" t="n"/>
      <c r="G18" s="15">
        <f>F18*E18</f>
        <v/>
      </c>
    </row>
    <row r="19" ht="30" customHeight="1">
      <c r="A19" s="8" t="n"/>
      <c r="B19" s="9" t="n"/>
      <c r="C19" s="8" t="n"/>
      <c r="D19" s="8" t="n"/>
      <c r="E19" s="8" t="n"/>
      <c r="F19" s="10" t="n"/>
      <c r="G19" s="11">
        <f>F19*E19</f>
        <v/>
      </c>
    </row>
    <row r="20">
      <c r="A20" s="16" t="inlineStr">
        <is>
          <t>Cộng tiền hàng (chưa VAT)</t>
        </is>
      </c>
      <c r="B20" s="26" t="n"/>
      <c r="C20" s="26" t="n"/>
      <c r="D20" s="26" t="n"/>
      <c r="E20" s="26" t="n"/>
      <c r="F20" s="26" t="n"/>
      <c r="G20" s="17">
        <f>ROUND(G22/1.08,0)</f>
        <v/>
      </c>
    </row>
    <row r="21">
      <c r="A21" s="16" t="inlineStr">
        <is>
          <t>Thuế GTGT 8%</t>
        </is>
      </c>
      <c r="B21" s="26" t="n"/>
      <c r="C21" s="26" t="n"/>
      <c r="D21" s="26" t="n"/>
      <c r="E21" s="26" t="n"/>
      <c r="F21" s="26" t="n"/>
      <c r="G21" s="17">
        <f>G22-G20</f>
        <v/>
      </c>
    </row>
    <row r="22">
      <c r="A22" s="18" t="inlineStr">
        <is>
          <t>TỔNG CỘNG (đã có VAT)</t>
        </is>
      </c>
      <c r="B22" s="26" t="n"/>
      <c r="C22" s="26" t="n"/>
      <c r="D22" s="26" t="n"/>
      <c r="E22" s="26" t="n"/>
      <c r="F22" s="26" t="n"/>
      <c r="G22" s="19">
        <f>SUM(G15:G19)</f>
        <v/>
      </c>
    </row>
    <row r="23" ht="19.5" customHeight="1">
      <c r="A23" s="20" t="inlineStr">
        <is>
          <t xml:space="preserve">Bằng chữ: </t>
        </is>
      </c>
    </row>
    <row r="25">
      <c r="A25" s="21" t="inlineStr">
        <is>
          <t>ĐIỀU KIỆN</t>
        </is>
      </c>
    </row>
    <row r="26">
      <c r="A26" s="6" t="inlineStr">
        <is>
          <t>•  Giá trên đã bao gồm VAT 8%</t>
        </is>
      </c>
    </row>
    <row r="27">
      <c r="A27" s="6" t="inlineStr">
        <is>
          <t>•  Giao hàng: Tại Kho Công ty CP Cơ Giới Miền Nam - 250 Quốc Lộ 1A, P. An Phú Đông, Q.12, TP.HCM</t>
        </is>
      </c>
    </row>
    <row r="28">
      <c r="A28" s="6" t="inlineStr">
        <is>
          <t>•  Báo giá có hiệu lực trong 03 ngày kể từ ngày lập</t>
        </is>
      </c>
    </row>
    <row r="29">
      <c r="A29" s="6" t="inlineStr">
        <is>
          <t>•  Thanh toán: 100% giá trị tiền hàng trước khi giao</t>
        </is>
      </c>
    </row>
    <row r="30">
      <c r="A30" s="6" t="inlineStr">
        <is>
          <t>•  Hàng mới 100%, bảo hành theo tiêu chuẩn nhà sản xuất</t>
        </is>
      </c>
    </row>
    <row r="32">
      <c r="A32" s="22" t="inlineStr">
        <is>
          <t>Chân thành cảm ơn Quý Khách!</t>
        </is>
      </c>
    </row>
    <row r="35">
      <c r="A35" s="23" t="inlineStr">
        <is>
          <t>Nhân viên bán hàng</t>
        </is>
      </c>
    </row>
    <row r="36">
      <c r="A36" s="24" t="inlineStr">
        <is>
          <t>Nguyễn Văn Luân</t>
        </is>
      </c>
    </row>
    <row r="37">
      <c r="A37" s="25" t="inlineStr">
        <is>
          <t>0974.78.15.15</t>
        </is>
      </c>
    </row>
  </sheetData>
  <mergeCells count="23">
    <mergeCell ref="A32:G32"/>
    <mergeCell ref="A1:G2"/>
    <mergeCell ref="A35:G35"/>
    <mergeCell ref="A4:G4"/>
    <mergeCell ref="A29:G29"/>
    <mergeCell ref="A21:F21"/>
    <mergeCell ref="A10:G10"/>
    <mergeCell ref="A28:G28"/>
    <mergeCell ref="A9:G9"/>
    <mergeCell ref="A30:G30"/>
    <mergeCell ref="A22:F22"/>
    <mergeCell ref="A20:F20"/>
    <mergeCell ref="A11:G11"/>
    <mergeCell ref="A36:G36"/>
    <mergeCell ref="A6:G6"/>
    <mergeCell ref="A7:G7"/>
    <mergeCell ref="A25:G25"/>
    <mergeCell ref="A37:G37"/>
    <mergeCell ref="A27:G27"/>
    <mergeCell ref="A3:G3"/>
    <mergeCell ref="A12:G12"/>
    <mergeCell ref="A26:G26"/>
    <mergeCell ref="A23:G23"/>
  </mergeCells>
  <pageMargins left="0.75" right="0.75" top="1" bottom="1" header="0.511811023622047" footer="0.511811023622047"/>
  <pageSetup orientation="portrait" paperSize="1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2026-07-31T02:19:00Z</dcterms:created>
  <dcterms:modified xsi:type="dcterms:W3CDTF">2026-07-31T02:59:58Z</dcterms:modified>
  <cp:lastModifiedBy>win10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F130E521A60D46528BAE172A160BE09B_12</vt:lpwstr>
  </property>
  <property name="KSOProductBuildVer" fmtid="{D5CDD505-2E9C-101B-9397-08002B2CF9AE}" pid="3">
    <vt:lpwstr>1033-12.1.0.27458</vt:lpwstr>
  </property>
  <property name="CalculationRule" fmtid="{D5CDD505-2E9C-101B-9397-08002B2CF9AE}" pid="4">
    <vt:i4>0</vt:i4>
  </property>
</Properties>
</file>