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ASHBOARD" sheetId="1" state="visible" r:id="rId1"/>
    <sheet xmlns:r="http://schemas.openxmlformats.org/officeDocument/2006/relationships" name="TRA CỨU TỔNG HỢP" sheetId="2" state="visible" r:id="rId2"/>
    <sheet xmlns:r="http://schemas.openxmlformats.org/officeDocument/2006/relationships" name="🚗 BÁO GIÁ TURBO " sheetId="3" state="visible" r:id="rId3"/>
    <sheet xmlns:r="http://schemas.openxmlformats.org/officeDocument/2006/relationships" name="RUỘT TURBO" sheetId="4" state="visible" r:id="rId4"/>
    <sheet xmlns:r="http://schemas.openxmlformats.org/officeDocument/2006/relationships" name="📒 DANH SÁCH KH" sheetId="5" state="visible" r:id="rId5"/>
    <sheet xmlns:r="http://schemas.openxmlformats.org/officeDocument/2006/relationships" name="🚌 NHÀ XE"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65">
    <font>
      <name val="Calibri"/>
      <charset val="1"/>
      <family val="0"/>
      <color theme="1"/>
      <sz val="11"/>
    </font>
    <font>
      <name val="Arial"/>
      <family val="0"/>
      <sz val="10"/>
    </font>
    <font>
      <name val="Arial"/>
      <family val="0"/>
      <sz val="10"/>
    </font>
    <font>
      <name val="Arial"/>
      <family val="0"/>
      <sz val="10"/>
    </font>
    <font>
      <name val="Calibri"/>
      <charset val="1"/>
      <family val="0"/>
      <b val="1"/>
      <color rgb="FFFFFFFF"/>
      <sz val="22"/>
    </font>
    <font>
      <name val="Calibri"/>
      <charset val="1"/>
      <family val="0"/>
      <i val="1"/>
      <color rgb="FF7F7F7F"/>
      <sz val="10"/>
    </font>
    <font>
      <name val="Calibri"/>
      <charset val="1"/>
      <family val="0"/>
      <b val="1"/>
      <color rgb="FFFFFFFF"/>
      <sz val="9"/>
    </font>
    <font>
      <name val="Calibri"/>
      <charset val="1"/>
      <family val="0"/>
      <b val="1"/>
      <color rgb="FFFFFFFF"/>
      <sz val="28"/>
    </font>
    <font>
      <name val="Calibri"/>
      <charset val="1"/>
      <family val="0"/>
      <i val="1"/>
      <color rgb="FFFFFFFF"/>
      <sz val="9"/>
    </font>
    <font>
      <name val="Calibri"/>
      <charset val="1"/>
      <family val="0"/>
      <b val="1"/>
      <color rgb="FFFFFFFF"/>
      <sz val="12"/>
    </font>
    <font>
      <name val="Calibri"/>
      <charset val="1"/>
      <family val="0"/>
      <b val="1"/>
      <color rgb="FF000000"/>
      <sz val="10"/>
    </font>
    <font>
      <name val="Calibri"/>
      <charset val="1"/>
      <family val="0"/>
      <b val="1"/>
      <color rgb="FF2E5FA3"/>
      <sz val="10"/>
    </font>
    <font>
      <name val="Calibri"/>
      <charset val="1"/>
      <family val="0"/>
      <color rgb="FF404040"/>
      <sz val="9"/>
    </font>
    <font>
      <name val="Calibri"/>
      <charset val="1"/>
      <family val="0"/>
      <b val="1"/>
      <color rgb="FFC9A84C"/>
      <sz val="8"/>
    </font>
    <font>
      <name val="Calibri"/>
      <charset val="1"/>
      <family val="0"/>
      <b val="1"/>
      <color rgb="FFC00000"/>
      <sz val="10"/>
    </font>
    <font>
      <name val="Calibri"/>
      <charset val="1"/>
      <family val="0"/>
      <color rgb="FF000000"/>
      <sz val="9"/>
    </font>
    <font>
      <name val="Calibri"/>
      <charset val="1"/>
      <family val="0"/>
      <b val="1"/>
      <color rgb="FFC00000"/>
      <sz val="8"/>
    </font>
    <font>
      <name val="Calibri"/>
      <charset val="1"/>
      <family val="0"/>
      <b val="1"/>
      <color rgb="FF2E5FA3"/>
      <sz val="8"/>
    </font>
    <font>
      <name val="Calibri"/>
      <charset val="1"/>
      <family val="0"/>
      <b val="1"/>
      <color rgb="FF833C00"/>
      <sz val="10"/>
    </font>
    <font>
      <name val="Calibri"/>
      <charset val="1"/>
      <family val="0"/>
      <b val="1"/>
      <color rgb="FF833C00"/>
      <sz val="8"/>
    </font>
    <font>
      <name val="Calibri"/>
      <charset val="1"/>
      <family val="0"/>
      <b val="1"/>
      <color rgb="FF1F3864"/>
      <sz val="10"/>
    </font>
    <font>
      <name val="Calibri"/>
      <charset val="1"/>
      <family val="0"/>
      <b val="1"/>
      <color rgb="FF1F3864"/>
      <sz val="8"/>
    </font>
    <font>
      <name val="Calibri"/>
      <charset val="1"/>
      <family val="0"/>
      <b val="1"/>
      <color rgb="FF375623"/>
      <sz val="10"/>
    </font>
    <font>
      <name val="Calibri"/>
      <charset val="1"/>
      <family val="0"/>
      <b val="1"/>
      <color rgb="FF375623"/>
      <sz val="8"/>
    </font>
    <font>
      <name val="Calibri"/>
      <charset val="1"/>
      <family val="0"/>
      <b val="1"/>
      <color rgb="FFC55A11"/>
      <sz val="10"/>
    </font>
    <font>
      <name val="Calibri"/>
      <charset val="1"/>
      <family val="0"/>
      <b val="1"/>
      <color rgb="FFC55A11"/>
      <sz val="8"/>
    </font>
    <font>
      <name val="Calibri"/>
      <charset val="1"/>
      <family val="0"/>
      <b val="1"/>
      <color rgb="FF7030A0"/>
      <sz val="10"/>
    </font>
    <font>
      <name val="Calibri"/>
      <charset val="1"/>
      <family val="0"/>
      <b val="1"/>
      <color rgb="FF7030A0"/>
      <sz val="8"/>
    </font>
    <font>
      <name val="Calibri"/>
      <charset val="1"/>
      <family val="0"/>
      <b val="1"/>
      <color rgb="FF005B96"/>
      <sz val="10"/>
    </font>
    <font>
      <name val="Calibri"/>
      <charset val="1"/>
      <family val="0"/>
      <b val="1"/>
      <color rgb="FF005B96"/>
      <sz val="8"/>
    </font>
    <font>
      <name val="Calibri"/>
      <charset val="1"/>
      <family val="0"/>
      <b val="1"/>
      <color rgb="FF404040"/>
      <sz val="10"/>
    </font>
    <font>
      <name val="Calibri"/>
      <charset val="1"/>
      <family val="0"/>
      <b val="1"/>
      <color rgb="FF404040"/>
      <sz val="8"/>
    </font>
    <font>
      <name val="Calibri"/>
      <charset val="1"/>
      <family val="0"/>
      <b val="1"/>
      <color rgb="FF2E5FA3"/>
      <sz val="11"/>
    </font>
    <font>
      <name val="Calibri"/>
      <charset val="1"/>
      <family val="0"/>
      <color rgb="FF404040"/>
      <sz val="10"/>
    </font>
    <font>
      <name val="Calibri"/>
      <charset val="1"/>
      <family val="0"/>
      <b val="1"/>
      <color rgb="FF375623"/>
      <sz val="11"/>
    </font>
    <font>
      <name val="Calibri"/>
      <charset val="1"/>
      <family val="0"/>
      <b val="1"/>
      <color rgb="FFC55A11"/>
      <sz val="11"/>
    </font>
    <font>
      <name val="Calibri"/>
      <charset val="1"/>
      <family val="0"/>
      <b val="1"/>
      <color rgb="FF9C0006"/>
      <sz val="11"/>
    </font>
    <font>
      <name val="Calibri"/>
      <charset val="1"/>
      <family val="0"/>
      <i val="1"/>
      <color rgb="FFBDD7EE"/>
      <sz val="9"/>
    </font>
    <font>
      <name val="Calibri"/>
      <charset val="1"/>
      <family val="0"/>
      <b val="1"/>
      <color rgb="FFFFFFFF"/>
      <sz val="18"/>
    </font>
    <font>
      <name val="Calibri"/>
      <charset val="1"/>
      <family val="0"/>
      <b val="1"/>
      <color rgb="FF1F3864"/>
      <sz val="12"/>
    </font>
    <font>
      <name val="Calibri"/>
      <charset val="1"/>
      <family val="0"/>
      <b val="1"/>
      <color rgb="FFC00000"/>
      <sz val="14"/>
    </font>
    <font>
      <name val="Calibri"/>
      <charset val="1"/>
      <family val="0"/>
      <i val="1"/>
      <color rgb="FF7F6000"/>
      <sz val="9"/>
    </font>
    <font>
      <name val="Calibri"/>
      <charset val="1"/>
      <family val="0"/>
      <b val="1"/>
      <color rgb="FF2E75B6"/>
      <sz val="9"/>
    </font>
    <font>
      <name val="Calibri"/>
      <charset val="1"/>
      <family val="0"/>
      <b val="1"/>
      <color rgb="FF2E75B6"/>
      <sz val="11"/>
    </font>
    <font>
      <name val="Calibri"/>
      <charset val="1"/>
      <family val="0"/>
      <b val="1"/>
      <color rgb="FF375623"/>
      <sz val="9"/>
    </font>
    <font>
      <name val="Calibri"/>
      <charset val="1"/>
      <family val="0"/>
      <i val="1"/>
      <color rgb="FF999999"/>
      <sz val="8"/>
    </font>
    <font>
      <name val="Calibri"/>
      <charset val="1"/>
      <family val="0"/>
      <b val="1"/>
      <color rgb="FFFFFFFF"/>
      <sz val="13"/>
    </font>
    <font>
      <name val="Calibri"/>
      <charset val="1"/>
      <family val="0"/>
      <b val="1"/>
      <color rgb="FF1F3864"/>
      <sz val="9"/>
    </font>
    <font>
      <name val="Calibri"/>
      <charset val="1"/>
      <family val="0"/>
      <color rgb="FF000000"/>
      <sz val="8"/>
    </font>
    <font>
      <name val="Calibri"/>
      <charset val="1"/>
      <family val="0"/>
      <b val="1"/>
      <color rgb="FF833C00"/>
      <sz val="9"/>
    </font>
    <font>
      <name val="Calibri"/>
      <charset val="1"/>
      <family val="0"/>
      <b val="1"/>
      <color rgb="FFFFFFFF"/>
      <sz val="15"/>
    </font>
    <font>
      <name val="Calibri"/>
      <charset val="1"/>
      <family val="0"/>
      <b val="1"/>
      <color rgb="FF999999"/>
      <sz val="8"/>
    </font>
    <font>
      <name val="Calibri"/>
      <charset val="1"/>
      <family val="0"/>
      <b val="1"/>
      <color rgb="FFFFFFFF"/>
      <sz val="10"/>
    </font>
    <font>
      <name val="Calibri"/>
      <charset val="1"/>
      <family val="0"/>
      <color rgb="FF006100"/>
      <sz val="9"/>
    </font>
    <font>
      <name val="Calibri"/>
      <charset val="1"/>
      <family val="0"/>
      <color rgb="FF888888"/>
      <sz val="8"/>
    </font>
    <font>
      <name val="Calibri"/>
      <charset val="1"/>
      <family val="0"/>
      <b val="1"/>
      <color rgb="FFC00000"/>
      <sz val="9"/>
    </font>
    <font>
      <name val="Noto Sans CJK SC"/>
      <family val="2"/>
      <color rgb="FF000000"/>
      <sz val="9"/>
    </font>
    <font>
      <name val="Arial"/>
      <charset val="1"/>
      <family val="0"/>
      <b val="1"/>
      <color rgb="FFFFFFFF"/>
      <sz val="13"/>
    </font>
    <font>
      <name val="Arial"/>
      <charset val="1"/>
      <family val="0"/>
      <b val="1"/>
      <color rgb="FFFFFFFF"/>
      <sz val="9"/>
    </font>
    <font>
      <name val="Calibri"/>
      <charset val="134"/>
      <family val="0"/>
      <color theme="1"/>
      <sz val="11"/>
    </font>
    <font>
      <name val="Arial"/>
      <charset val="1"/>
      <family val="0"/>
      <b val="1"/>
      <color rgb="FFC0392B"/>
      <sz val="9"/>
    </font>
    <font>
      <name val="Arial"/>
      <charset val="1"/>
      <family val="0"/>
      <color rgb="FF1A1A2E"/>
      <sz val="9"/>
    </font>
    <font>
      <name val="Calibri"/>
      <charset val="1"/>
      <family val="0"/>
      <b val="1"/>
      <color rgb="FFFFFFFF"/>
      <sz val="11"/>
    </font>
    <font>
      <name val="Calibri"/>
      <charset val="1"/>
      <family val="0"/>
      <color rgb="FFC00000"/>
      <sz val="9"/>
    </font>
    <font>
      <name val="Calibri"/>
      <charset val="1"/>
      <family val="0"/>
      <color rgb="FF555555"/>
      <sz val="8"/>
    </font>
  </fonts>
  <fills count="31">
    <fill>
      <patternFill/>
    </fill>
    <fill>
      <patternFill patternType="gray125"/>
    </fill>
    <fill>
      <patternFill patternType="solid">
        <fgColor rgb="FFF2F2F2"/>
        <bgColor rgb="FFF0F4F8"/>
      </patternFill>
    </fill>
    <fill>
      <patternFill patternType="solid">
        <fgColor rgb="FF1F3864"/>
        <bgColor rgb="FF1A395C"/>
      </patternFill>
    </fill>
    <fill>
      <patternFill patternType="solid">
        <fgColor rgb="FF2E5FA3"/>
        <bgColor rgb="FF136CA9"/>
      </patternFill>
    </fill>
    <fill>
      <patternFill patternType="solid">
        <fgColor rgb="FF375623"/>
        <bgColor rgb="FF2C4A1E"/>
      </patternFill>
    </fill>
    <fill>
      <patternFill patternType="solid">
        <fgColor rgb="FF9C0006"/>
        <bgColor rgb="FFC00000"/>
      </patternFill>
    </fill>
    <fill>
      <patternFill patternType="solid">
        <fgColor rgb="FFC55A11"/>
        <bgColor rgb="FFC1392A"/>
      </patternFill>
    </fill>
    <fill>
      <patternFill patternType="solid">
        <fgColor rgb="FF17375E"/>
        <bgColor rgb="FF1A395C"/>
      </patternFill>
    </fill>
    <fill>
      <patternFill patternType="solid">
        <fgColor rgb="FFDEEAF1"/>
        <bgColor rgb="FFE2EFDA"/>
      </patternFill>
    </fill>
    <fill>
      <patternFill patternType="solid">
        <fgColor rgb="FFE2EFDA"/>
        <bgColor rgb="FFDEEAF1"/>
      </patternFill>
    </fill>
    <fill>
      <patternFill patternType="solid">
        <fgColor rgb="FFFFFFFF"/>
        <bgColor rgb="FFF4F8FC"/>
      </patternFill>
    </fill>
    <fill>
      <patternFill patternType="solid">
        <fgColor rgb="FF404040"/>
        <bgColor rgb="FF2C4A1E"/>
      </patternFill>
    </fill>
    <fill>
      <patternFill patternType="solid">
        <fgColor rgb="FFFFC7CE"/>
        <bgColor rgb="FFFCE4D6"/>
      </patternFill>
    </fill>
    <fill>
      <patternFill patternType="solid">
        <fgColor rgb="FFFFF2CC"/>
        <bgColor rgb="FFFFF3E0"/>
      </patternFill>
    </fill>
    <fill>
      <patternFill patternType="solid">
        <fgColor rgb="FF2E75B6"/>
        <bgColor rgb="FF136CA9"/>
      </patternFill>
    </fill>
    <fill>
      <patternFill patternType="solid">
        <fgColor rgb="FFEAF2FB"/>
        <bgColor rgb="FFF0F4F8"/>
      </patternFill>
    </fill>
    <fill>
      <patternFill patternType="solid">
        <fgColor rgb="FFEEF4E8"/>
        <bgColor rgb="FFF1F7EC"/>
      </patternFill>
    </fill>
    <fill>
      <patternFill patternType="solid">
        <fgColor rgb="FFFFF8E7"/>
        <bgColor rgb="FFFFF3E0"/>
      </patternFill>
    </fill>
    <fill>
      <patternFill patternType="solid">
        <fgColor rgb="FFFCE4D6"/>
        <bgColor rgb="FFFFF2CC"/>
      </patternFill>
    </fill>
    <fill>
      <patternFill patternType="solid">
        <fgColor rgb="FFF4F8FC"/>
        <bgColor rgb="FFF0F4F8"/>
      </patternFill>
    </fill>
    <fill>
      <patternFill patternType="solid">
        <fgColor rgb="FF2C4A1E"/>
        <bgColor rgb="FF375623"/>
      </patternFill>
    </fill>
    <fill>
      <patternFill patternType="solid">
        <fgColor rgb="FFF1F7EC"/>
        <bgColor rgb="FFEEF4E8"/>
      </patternFill>
    </fill>
    <fill>
      <patternFill patternType="solid">
        <fgColor rgb="FF1A395C"/>
        <bgColor rgb="FF17375E"/>
      </patternFill>
    </fill>
    <fill>
      <patternFill patternType="solid">
        <fgColor rgb="FFE48A1F"/>
        <bgColor rgb="FFC9A84C"/>
      </patternFill>
    </fill>
    <fill>
      <patternFill patternType="solid">
        <fgColor rgb="FF136CA9"/>
        <bgColor rgb="FF2E75B6"/>
      </patternFill>
    </fill>
    <fill>
      <patternFill patternType="solid">
        <fgColor rgb="FFC1392A"/>
        <bgColor rgb="FFC0392B"/>
      </patternFill>
    </fill>
    <fill>
      <patternFill patternType="solid">
        <fgColor rgb="FF0D7574"/>
        <bgColor rgb="FF136CA9"/>
      </patternFill>
    </fill>
    <fill>
      <patternFill patternType="solid">
        <fgColor rgb="FFFFF3E0"/>
        <bgColor rgb="FFFDF1EA"/>
      </patternFill>
    </fill>
    <fill>
      <patternFill patternType="solid">
        <fgColor rgb="FFF0F4F8"/>
        <bgColor rgb="FFF2F2F2"/>
      </patternFill>
    </fill>
    <fill>
      <patternFill patternType="solid">
        <fgColor rgb="FFFDF1EA"/>
        <bgColor rgb="FFFFF3E0"/>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D6DCE4"/>
      </left>
      <right style="thin">
        <color rgb="FFD6DCE4"/>
      </right>
      <top style="thin">
        <color rgb="FFD6DCE4"/>
      </top>
      <bottom style="thin">
        <color rgb="FFD6DCE4"/>
      </bottom>
      <diagonal/>
    </border>
    <border>
      <left style="thin">
        <color rgb="FFAFCCF3"/>
      </left>
      <right style="thin">
        <color rgb="FFAFCCF3"/>
      </right>
      <top style="thin">
        <color rgb="FFAFCCF3"/>
      </top>
      <bottom style="thin">
        <color rgb="FFAFCCF3"/>
      </bottom>
      <diagonal/>
    </border>
    <border>
      <left style="thin">
        <color rgb="FFD0D0D0"/>
      </left>
      <right style="thin">
        <color rgb="FFD0D0D0"/>
      </right>
      <top style="thin">
        <color rgb="FFD0D0D0"/>
      </top>
      <bottom style="thin">
        <color rgb="FFD0D0D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3" borderId="0" applyAlignment="1" pivotButton="0" quotePrefix="0" xfId="0">
      <alignment horizontal="center" vertical="center"/>
    </xf>
    <xf numFmtId="0" fontId="5" fillId="2" borderId="0" applyAlignment="1" pivotButton="0" quotePrefix="0" xfId="0">
      <alignment horizontal="center" vertical="center"/>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7" fillId="3" borderId="0" applyAlignment="1" pivotButton="0" quotePrefix="0" xfId="0">
      <alignment horizontal="center"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7" fillId="6" borderId="0" applyAlignment="1" pivotButton="0" quotePrefix="0" xfId="0">
      <alignment horizontal="center" vertical="center"/>
    </xf>
    <xf numFmtId="0" fontId="7" fillId="7" borderId="0" applyAlignment="1" pivotButton="0" quotePrefix="0" xfId="0">
      <alignment horizontal="center"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9" fillId="8" borderId="0" applyAlignment="1" pivotButton="0" quotePrefix="0" xfId="0">
      <alignment horizontal="left" vertical="center"/>
    </xf>
    <xf numFmtId="0" fontId="9" fillId="5" borderId="0" applyAlignment="1" pivotButton="0" quotePrefix="0" xfId="0">
      <alignment horizontal="left"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0" fillId="5" borderId="0" applyAlignment="1" pivotButton="0" quotePrefix="0" xfId="0">
      <alignment horizontal="general" vertical="bottom"/>
    </xf>
    <xf numFmtId="0" fontId="10" fillId="9" borderId="1" applyAlignment="1" pivotButton="0" quotePrefix="0" xfId="0">
      <alignment horizontal="left" vertical="center"/>
    </xf>
    <xf numFmtId="0" fontId="11" fillId="9" borderId="1" applyAlignment="1" pivotButton="0" quotePrefix="0" xfId="0">
      <alignment horizontal="center" vertical="center"/>
    </xf>
    <xf numFmtId="0" fontId="12" fillId="9" borderId="1" applyAlignment="1" pivotButton="0" quotePrefix="0" xfId="0">
      <alignment horizontal="center" vertical="center"/>
    </xf>
    <xf numFmtId="0" fontId="13" fillId="9" borderId="1" applyAlignment="1" pivotButton="0" quotePrefix="0" xfId="0">
      <alignment horizontal="left" vertical="center"/>
    </xf>
    <xf numFmtId="0" fontId="14" fillId="10" borderId="1" applyAlignment="1" pivotButton="0" quotePrefix="0" xfId="0">
      <alignment horizontal="left" vertical="center"/>
    </xf>
    <xf numFmtId="0" fontId="14" fillId="10" borderId="1" applyAlignment="1" pivotButton="0" quotePrefix="0" xfId="0">
      <alignment horizontal="center" vertical="center"/>
    </xf>
    <xf numFmtId="0" fontId="15" fillId="10" borderId="1" applyAlignment="1" pivotButton="0" quotePrefix="0" xfId="0">
      <alignment horizontal="center" vertical="center"/>
    </xf>
    <xf numFmtId="0" fontId="16" fillId="10" borderId="1" applyAlignment="1" pivotButton="0" quotePrefix="0" xfId="0">
      <alignment horizontal="left" vertical="center"/>
    </xf>
    <xf numFmtId="0" fontId="0" fillId="10" borderId="0" applyAlignment="1" pivotButton="0" quotePrefix="0" xfId="0">
      <alignment horizontal="general" vertical="bottom"/>
    </xf>
    <xf numFmtId="0" fontId="10" fillId="11" borderId="1" applyAlignment="1" pivotButton="0" quotePrefix="0" xfId="0">
      <alignment horizontal="left" vertical="center"/>
    </xf>
    <xf numFmtId="0" fontId="11" fillId="11" borderId="1" applyAlignment="1" pivotButton="0" quotePrefix="0" xfId="0">
      <alignment horizontal="center" vertical="center"/>
    </xf>
    <xf numFmtId="0" fontId="12" fillId="11" borderId="1" applyAlignment="1" pivotButton="0" quotePrefix="0" xfId="0">
      <alignment horizontal="center" vertical="center"/>
    </xf>
    <xf numFmtId="0" fontId="17" fillId="11" borderId="1" applyAlignment="1" pivotButton="0" quotePrefix="0" xfId="0">
      <alignment horizontal="left" vertical="center"/>
    </xf>
    <xf numFmtId="0" fontId="18" fillId="11" borderId="1" applyAlignment="1" pivotButton="0" quotePrefix="0" xfId="0">
      <alignment horizontal="left" vertical="center"/>
    </xf>
    <xf numFmtId="0" fontId="18" fillId="11" borderId="1" applyAlignment="1" pivotButton="0" quotePrefix="0" xfId="0">
      <alignment horizontal="center" vertical="center"/>
    </xf>
    <xf numFmtId="0" fontId="15" fillId="11" borderId="1" applyAlignment="1" pivotButton="0" quotePrefix="0" xfId="0">
      <alignment horizontal="center" vertical="center"/>
    </xf>
    <xf numFmtId="0" fontId="19" fillId="11" borderId="1" applyAlignment="1" pivotButton="0" quotePrefix="0" xfId="0">
      <alignment horizontal="left" vertical="center"/>
    </xf>
    <xf numFmtId="0" fontId="0" fillId="11" borderId="0" applyAlignment="1" pivotButton="0" quotePrefix="0" xfId="0">
      <alignment horizontal="general" vertical="bottom"/>
    </xf>
    <xf numFmtId="0" fontId="17" fillId="9" borderId="1" applyAlignment="1" pivotButton="0" quotePrefix="0" xfId="0">
      <alignment horizontal="left" vertical="center"/>
    </xf>
    <xf numFmtId="0" fontId="20" fillId="10" borderId="1" applyAlignment="1" pivotButton="0" quotePrefix="0" xfId="0">
      <alignment horizontal="left" vertical="center"/>
    </xf>
    <xf numFmtId="0" fontId="20" fillId="10" borderId="1" applyAlignment="1" pivotButton="0" quotePrefix="0" xfId="0">
      <alignment horizontal="center" vertical="center"/>
    </xf>
    <xf numFmtId="0" fontId="21" fillId="10" borderId="1" applyAlignment="1" pivotButton="0" quotePrefix="0" xfId="0">
      <alignment horizontal="left" vertical="center"/>
    </xf>
    <xf numFmtId="0" fontId="22" fillId="11" borderId="1" applyAlignment="1" pivotButton="0" quotePrefix="0" xfId="0">
      <alignment horizontal="left" vertical="center"/>
    </xf>
    <xf numFmtId="0" fontId="22" fillId="11" borderId="1" applyAlignment="1" pivotButton="0" quotePrefix="0" xfId="0">
      <alignment horizontal="center" vertical="center"/>
    </xf>
    <xf numFmtId="0" fontId="23" fillId="11" borderId="1" applyAlignment="1" pivotButton="0" quotePrefix="0" xfId="0">
      <alignment horizontal="left" vertical="center"/>
    </xf>
    <xf numFmtId="0" fontId="24" fillId="10" borderId="1" applyAlignment="1" pivotButton="0" quotePrefix="0" xfId="0">
      <alignment horizontal="left" vertical="center"/>
    </xf>
    <xf numFmtId="0" fontId="24" fillId="10" borderId="1" applyAlignment="1" pivotButton="0" quotePrefix="0" xfId="0">
      <alignment horizontal="center" vertical="center"/>
    </xf>
    <xf numFmtId="0" fontId="25" fillId="10" borderId="1" applyAlignment="1" pivotButton="0" quotePrefix="0" xfId="0">
      <alignment horizontal="left" vertical="center"/>
    </xf>
    <xf numFmtId="0" fontId="26" fillId="11" borderId="1" applyAlignment="1" pivotButton="0" quotePrefix="0" xfId="0">
      <alignment horizontal="left" vertical="center"/>
    </xf>
    <xf numFmtId="0" fontId="26" fillId="11" borderId="1" applyAlignment="1" pivotButton="0" quotePrefix="0" xfId="0">
      <alignment horizontal="center" vertical="center"/>
    </xf>
    <xf numFmtId="0" fontId="27" fillId="11" borderId="1" applyAlignment="1" pivotButton="0" quotePrefix="0" xfId="0">
      <alignment horizontal="left" vertical="center"/>
    </xf>
    <xf numFmtId="0" fontId="28" fillId="10" borderId="1" applyAlignment="1" pivotButton="0" quotePrefix="0" xfId="0">
      <alignment horizontal="left" vertical="center"/>
    </xf>
    <xf numFmtId="0" fontId="28" fillId="10" borderId="1" applyAlignment="1" pivotButton="0" quotePrefix="0" xfId="0">
      <alignment horizontal="center" vertical="center"/>
    </xf>
    <xf numFmtId="0" fontId="29" fillId="10" borderId="1" applyAlignment="1" pivotButton="0" quotePrefix="0" xfId="0">
      <alignment horizontal="left" vertical="center"/>
    </xf>
    <xf numFmtId="0" fontId="30" fillId="11" borderId="1" applyAlignment="1" pivotButton="0" quotePrefix="0" xfId="0">
      <alignment horizontal="left" vertical="center"/>
    </xf>
    <xf numFmtId="0" fontId="30" fillId="11" borderId="1" applyAlignment="1" pivotButton="0" quotePrefix="0" xfId="0">
      <alignment horizontal="center" vertical="center"/>
    </xf>
    <xf numFmtId="0" fontId="31" fillId="11" borderId="1" applyAlignment="1" pivotButton="0" quotePrefix="0" xfId="0">
      <alignment horizontal="left" vertical="center"/>
    </xf>
    <xf numFmtId="0" fontId="9" fillId="12" borderId="0" applyAlignment="1" pivotButton="0" quotePrefix="0" xfId="0">
      <alignment horizontal="left" vertical="center"/>
    </xf>
    <xf numFmtId="0" fontId="6" fillId="12" borderId="1" applyAlignment="1" pivotButton="0" quotePrefix="0" xfId="0">
      <alignment horizontal="center" vertical="center"/>
    </xf>
    <xf numFmtId="0" fontId="0" fillId="12" borderId="0" applyAlignment="1" pivotButton="0" quotePrefix="0" xfId="0">
      <alignment horizontal="general" vertical="bottom"/>
    </xf>
    <xf numFmtId="0" fontId="14" fillId="2" borderId="1" applyAlignment="1" pivotButton="0" quotePrefix="0" xfId="0">
      <alignment horizontal="left" vertical="center"/>
    </xf>
    <xf numFmtId="0" fontId="14" fillId="2" borderId="1" applyAlignment="1" pivotButton="0" quotePrefix="0" xfId="0">
      <alignment horizontal="center" vertical="center"/>
    </xf>
    <xf numFmtId="0" fontId="15" fillId="2" borderId="1" applyAlignment="1" pivotButton="0" quotePrefix="0" xfId="0">
      <alignment horizontal="center" vertical="center"/>
    </xf>
    <xf numFmtId="0" fontId="16" fillId="2" borderId="1" applyAlignment="1" pivotButton="0" quotePrefix="0" xfId="0">
      <alignment horizontal="left" vertical="center"/>
    </xf>
    <xf numFmtId="0" fontId="11" fillId="11" borderId="1" applyAlignment="1" pivotButton="0" quotePrefix="0" xfId="0">
      <alignment horizontal="left" vertical="center"/>
    </xf>
    <xf numFmtId="0" fontId="9" fillId="6" borderId="0" applyAlignment="1" pivotButton="0" quotePrefix="0" xfId="0">
      <alignment horizontal="left" vertical="center"/>
    </xf>
    <xf numFmtId="0" fontId="22" fillId="2" borderId="1" applyAlignment="1" pivotButton="0" quotePrefix="0" xfId="0">
      <alignment horizontal="left" vertical="center"/>
    </xf>
    <xf numFmtId="0" fontId="22" fillId="2" borderId="1" applyAlignment="1" pivotButton="0" quotePrefix="0" xfId="0">
      <alignment horizontal="center" vertical="center"/>
    </xf>
    <xf numFmtId="0" fontId="23" fillId="2" borderId="1" applyAlignment="1" pivotButton="0" quotePrefix="0" xfId="0">
      <alignment horizontal="left" vertical="center"/>
    </xf>
    <xf numFmtId="0" fontId="6" fillId="6" borderId="1" applyAlignment="1" pivotButton="0" quotePrefix="0" xfId="0">
      <alignment horizontal="center" vertical="center"/>
    </xf>
    <xf numFmtId="0" fontId="24" fillId="11" borderId="1" applyAlignment="1" pivotButton="0" quotePrefix="0" xfId="0">
      <alignment horizontal="left" vertical="center"/>
    </xf>
    <xf numFmtId="0" fontId="24" fillId="11" borderId="1" applyAlignment="1" pivotButton="0" quotePrefix="0" xfId="0">
      <alignment horizontal="center" vertical="center"/>
    </xf>
    <xf numFmtId="0" fontId="25" fillId="11" borderId="1" applyAlignment="1" pivotButton="0" quotePrefix="0" xfId="0">
      <alignment horizontal="left" vertical="center"/>
    </xf>
    <xf numFmtId="0" fontId="10" fillId="10" borderId="1" applyAlignment="1" pivotButton="0" quotePrefix="0" xfId="0">
      <alignment horizontal="left" vertical="center"/>
    </xf>
    <xf numFmtId="0" fontId="32" fillId="10" borderId="1" applyAlignment="1" pivotButton="0" quotePrefix="0" xfId="0">
      <alignment horizontal="center" vertical="center"/>
    </xf>
    <xf numFmtId="0" fontId="33" fillId="10" borderId="1" applyAlignment="1" pivotButton="0" quotePrefix="0" xfId="0">
      <alignment horizontal="center" vertical="center"/>
    </xf>
    <xf numFmtId="0" fontId="26" fillId="2" borderId="1" applyAlignment="1" pivotButton="0" quotePrefix="0" xfId="0">
      <alignment horizontal="left" vertical="center"/>
    </xf>
    <xf numFmtId="0" fontId="26" fillId="2" borderId="1" applyAlignment="1" pivotButton="0" quotePrefix="0" xfId="0">
      <alignment horizontal="center" vertical="center"/>
    </xf>
    <xf numFmtId="0" fontId="27" fillId="2" borderId="1" applyAlignment="1" pivotButton="0" quotePrefix="0" xfId="0">
      <alignment horizontal="left" vertical="center"/>
    </xf>
    <xf numFmtId="0" fontId="34" fillId="11" borderId="1" applyAlignment="1" pivotButton="0" quotePrefix="0" xfId="0">
      <alignment horizontal="center" vertical="center"/>
    </xf>
    <xf numFmtId="0" fontId="33" fillId="11" borderId="1" applyAlignment="1" pivotButton="0" quotePrefix="0" xfId="0">
      <alignment horizontal="center" vertical="center"/>
    </xf>
    <xf numFmtId="0" fontId="35" fillId="10" borderId="1" applyAlignment="1" pivotButton="0" quotePrefix="0" xfId="0">
      <alignment horizontal="center" vertical="center"/>
    </xf>
    <xf numFmtId="0" fontId="10" fillId="13" borderId="1" applyAlignment="1" pivotButton="0" quotePrefix="0" xfId="0">
      <alignment horizontal="left" vertical="center"/>
    </xf>
    <xf numFmtId="0" fontId="36" fillId="13" borderId="1" applyAlignment="1" pivotButton="0" quotePrefix="0" xfId="0">
      <alignment horizontal="center" vertical="center"/>
    </xf>
    <xf numFmtId="0" fontId="33" fillId="13" borderId="1" applyAlignment="1" pivotButton="0" quotePrefix="0" xfId="0">
      <alignment horizontal="center" vertical="center"/>
    </xf>
    <xf numFmtId="0" fontId="37" fillId="3" borderId="0" applyAlignment="1" pivotButton="0" quotePrefix="0" xfId="0">
      <alignment horizontal="center" vertical="center"/>
    </xf>
    <xf numFmtId="0" fontId="38" fillId="3" borderId="0" applyAlignment="1" pivotButton="0" quotePrefix="0" xfId="0">
      <alignment horizontal="center" vertical="center"/>
    </xf>
    <xf numFmtId="0" fontId="39" fillId="0" borderId="0" applyAlignment="1" pivotButton="0" quotePrefix="0" xfId="0">
      <alignment horizontal="right" vertical="center"/>
    </xf>
    <xf numFmtId="0" fontId="40" fillId="14" borderId="1" applyAlignment="1" pivotButton="0" quotePrefix="0" xfId="0">
      <alignment horizontal="left" vertical="center"/>
    </xf>
    <xf numFmtId="0" fontId="41" fillId="0" borderId="0" applyAlignment="1" pivotButton="0" quotePrefix="0" xfId="0">
      <alignment horizontal="left" vertical="center"/>
    </xf>
    <xf numFmtId="0" fontId="42" fillId="0" borderId="0" applyAlignment="1" pivotButton="0" quotePrefix="0" xfId="0">
      <alignment horizontal="right" vertical="center"/>
    </xf>
    <xf numFmtId="0" fontId="43" fillId="0" borderId="0" applyAlignment="1" pivotButton="0" quotePrefix="0" xfId="0">
      <alignment horizontal="left" vertical="center"/>
    </xf>
    <xf numFmtId="0" fontId="44" fillId="0" borderId="0" applyAlignment="1" pivotButton="0" quotePrefix="0" xfId="0">
      <alignment horizontal="right" vertical="center"/>
    </xf>
    <xf numFmtId="0" fontId="34" fillId="0" borderId="0" applyAlignment="1" pivotButton="0" quotePrefix="0" xfId="0">
      <alignment horizontal="left" vertical="center"/>
    </xf>
    <xf numFmtId="0" fontId="45" fillId="0" borderId="0" applyAlignment="1" pivotButton="0" quotePrefix="0" xfId="0">
      <alignment horizontal="left" vertical="center"/>
    </xf>
    <xf numFmtId="0" fontId="46" fillId="15" borderId="0" applyAlignment="1" pivotButton="0" quotePrefix="0" xfId="0">
      <alignment horizontal="left" vertical="center"/>
    </xf>
    <xf numFmtId="0" fontId="6" fillId="15" borderId="1" applyAlignment="1" pivotButton="0" quotePrefix="0" xfId="0">
      <alignment horizontal="center" vertical="center" wrapText="1"/>
    </xf>
    <xf numFmtId="0" fontId="15" fillId="11" borderId="1" applyAlignment="1" pivotButton="0" quotePrefix="0" xfId="0">
      <alignment horizontal="left" vertical="center"/>
    </xf>
    <xf numFmtId="0" fontId="47" fillId="11" borderId="1" applyAlignment="1" pivotButton="0" quotePrefix="0" xfId="0">
      <alignment horizontal="left" vertical="center"/>
    </xf>
    <xf numFmtId="0" fontId="48" fillId="11" borderId="1" applyAlignment="1" pivotButton="0" quotePrefix="0" xfId="0">
      <alignment horizontal="left" vertical="center" wrapText="1"/>
    </xf>
    <xf numFmtId="0" fontId="49" fillId="11" borderId="1" applyAlignment="1" pivotButton="0" quotePrefix="0" xfId="0">
      <alignment horizontal="center" vertical="center"/>
    </xf>
    <xf numFmtId="0" fontId="15" fillId="16" borderId="1" applyAlignment="1" pivotButton="0" quotePrefix="0" xfId="0">
      <alignment horizontal="left" vertical="center"/>
    </xf>
    <xf numFmtId="0" fontId="47" fillId="16" borderId="1" applyAlignment="1" pivotButton="0" quotePrefix="0" xfId="0">
      <alignment horizontal="left" vertical="center"/>
    </xf>
    <xf numFmtId="0" fontId="48" fillId="16" borderId="1" applyAlignment="1" pivotButton="0" quotePrefix="0" xfId="0">
      <alignment horizontal="left" vertical="center" wrapText="1"/>
    </xf>
    <xf numFmtId="0" fontId="49" fillId="16" borderId="1" applyAlignment="1" pivotButton="0" quotePrefix="0" xfId="0">
      <alignment horizontal="center" vertical="center"/>
    </xf>
    <xf numFmtId="0" fontId="46" fillId="5" borderId="0" applyAlignment="1" pivotButton="0" quotePrefix="0" xfId="0">
      <alignment horizontal="left" vertical="center"/>
    </xf>
    <xf numFmtId="0" fontId="6" fillId="5" borderId="1" applyAlignment="1" pivotButton="0" quotePrefix="0" xfId="0">
      <alignment horizontal="center" vertical="center" wrapText="1"/>
    </xf>
    <xf numFmtId="0" fontId="15" fillId="17" borderId="1" applyAlignment="1" pivotButton="0" quotePrefix="0" xfId="0">
      <alignment horizontal="left" vertical="center"/>
    </xf>
    <xf numFmtId="0" fontId="47" fillId="17" borderId="1" applyAlignment="1" pivotButton="0" quotePrefix="0" xfId="0">
      <alignment horizontal="left" vertical="center"/>
    </xf>
    <xf numFmtId="0" fontId="48" fillId="17" borderId="1" applyAlignment="1" pivotButton="0" quotePrefix="0" xfId="0">
      <alignment horizontal="left" vertical="center" wrapText="1"/>
    </xf>
    <xf numFmtId="0" fontId="49" fillId="17" borderId="1" applyAlignment="1" pivotButton="0" quotePrefix="0" xfId="0">
      <alignment horizontal="center" vertical="center"/>
    </xf>
    <xf numFmtId="0" fontId="50" fillId="3" borderId="0" applyAlignment="1" pivotButton="0" quotePrefix="0" xfId="0">
      <alignment horizontal="center" vertical="center"/>
    </xf>
    <xf numFmtId="0" fontId="41" fillId="18" borderId="0" applyAlignment="1" pivotButton="0" quotePrefix="0" xfId="0">
      <alignment horizontal="center" vertical="center"/>
    </xf>
    <xf numFmtId="0" fontId="6" fillId="4" borderId="2" applyAlignment="1" pivotButton="0" quotePrefix="0" xfId="0">
      <alignment horizontal="center" vertical="center" wrapText="1"/>
    </xf>
    <xf numFmtId="0" fontId="6" fillId="7" borderId="2" applyAlignment="1" pivotButton="0" quotePrefix="0" xfId="0">
      <alignment horizontal="center" vertical="center" wrapText="1"/>
    </xf>
    <xf numFmtId="0" fontId="51" fillId="0" borderId="0" applyAlignment="1" pivotButton="0" quotePrefix="0" xfId="0">
      <alignment horizontal="general" vertical="bottom"/>
    </xf>
    <xf numFmtId="0" fontId="52" fillId="8" borderId="0" applyAlignment="1" pivotButton="0" quotePrefix="0" xfId="0">
      <alignment horizontal="left" vertical="center"/>
    </xf>
    <xf numFmtId="0" fontId="15" fillId="14" borderId="2" applyAlignment="1" pivotButton="0" quotePrefix="0" xfId="0">
      <alignment horizontal="left" vertical="center"/>
    </xf>
    <xf numFmtId="0" fontId="47" fillId="14" borderId="2" applyAlignment="1" pivotButton="0" quotePrefix="0" xfId="0">
      <alignment horizontal="left" vertical="center"/>
    </xf>
    <xf numFmtId="0" fontId="48" fillId="14" borderId="2" applyAlignment="1" pivotButton="0" quotePrefix="0" xfId="0">
      <alignment horizontal="left" vertical="center" wrapText="1"/>
    </xf>
    <xf numFmtId="0" fontId="49" fillId="14" borderId="2" applyAlignment="1" pivotButton="0" quotePrefix="0" xfId="0">
      <alignment horizontal="center" vertical="center"/>
    </xf>
    <xf numFmtId="3" fontId="53" fillId="14" borderId="2" applyAlignment="1" pivotButton="0" quotePrefix="0" xfId="0">
      <alignment horizontal="right" vertical="center"/>
    </xf>
    <xf numFmtId="0" fontId="15" fillId="14" borderId="2" applyAlignment="1" pivotButton="0" quotePrefix="0" xfId="0">
      <alignment horizontal="center" vertical="center"/>
    </xf>
    <xf numFmtId="0" fontId="0" fillId="0" borderId="0" applyAlignment="1" pivotButton="0" quotePrefix="0" xfId="0">
      <alignment horizontal="general" vertical="bottom" wrapText="1"/>
    </xf>
    <xf numFmtId="0" fontId="54" fillId="19" borderId="2" applyAlignment="1" pivotButton="0" quotePrefix="0" xfId="0">
      <alignment horizontal="left" vertical="center"/>
    </xf>
    <xf numFmtId="0" fontId="55" fillId="19" borderId="2" applyAlignment="1" pivotButton="0" quotePrefix="0" xfId="0">
      <alignment horizontal="left" vertical="center"/>
    </xf>
    <xf numFmtId="0" fontId="15" fillId="19" borderId="2" applyAlignment="1" pivotButton="0" quotePrefix="0" xfId="0">
      <alignment horizontal="left" vertical="center"/>
    </xf>
    <xf numFmtId="0" fontId="48" fillId="19" borderId="2" applyAlignment="1" pivotButton="0" quotePrefix="0" xfId="0">
      <alignment horizontal="left" vertical="center" wrapText="1"/>
    </xf>
    <xf numFmtId="0" fontId="49" fillId="19" borderId="2" applyAlignment="1" pivotButton="0" quotePrefix="0" xfId="0">
      <alignment horizontal="center" vertical="center"/>
    </xf>
    <xf numFmtId="3" fontId="53" fillId="19" borderId="2" applyAlignment="1" pivotButton="0" quotePrefix="0" xfId="0">
      <alignment horizontal="right" vertical="center"/>
    </xf>
    <xf numFmtId="0" fontId="15" fillId="19" borderId="2" applyAlignment="1" pivotButton="0" quotePrefix="0" xfId="0">
      <alignment horizontal="center" vertical="center"/>
    </xf>
    <xf numFmtId="0" fontId="15" fillId="10" borderId="2" applyAlignment="1" pivotButton="0" quotePrefix="0" xfId="0">
      <alignment horizontal="left" vertical="center"/>
    </xf>
    <xf numFmtId="0" fontId="47" fillId="10" borderId="2" applyAlignment="1" pivotButton="0" quotePrefix="0" xfId="0">
      <alignment horizontal="left" vertical="center"/>
    </xf>
    <xf numFmtId="0" fontId="48" fillId="10" borderId="2" applyAlignment="1" pivotButton="0" quotePrefix="0" xfId="0">
      <alignment horizontal="left" vertical="center" wrapText="1"/>
    </xf>
    <xf numFmtId="0" fontId="49" fillId="10" borderId="2" applyAlignment="1" pivotButton="0" quotePrefix="0" xfId="0">
      <alignment horizontal="center" vertical="center"/>
    </xf>
    <xf numFmtId="3" fontId="53" fillId="10" borderId="2" applyAlignment="1" pivotButton="0" quotePrefix="0" xfId="0">
      <alignment horizontal="right" vertical="center"/>
    </xf>
    <xf numFmtId="0" fontId="15" fillId="10" borderId="2" applyAlignment="1" pivotButton="0" quotePrefix="0" xfId="0">
      <alignment horizontal="center" vertical="center"/>
    </xf>
    <xf numFmtId="0" fontId="15" fillId="20" borderId="2" applyAlignment="1" pivotButton="0" quotePrefix="0" xfId="0">
      <alignment horizontal="left" vertical="center"/>
    </xf>
    <xf numFmtId="0" fontId="47" fillId="20" borderId="2" applyAlignment="1" pivotButton="0" quotePrefix="0" xfId="0">
      <alignment horizontal="left" vertical="center"/>
    </xf>
    <xf numFmtId="0" fontId="48" fillId="20" borderId="2" applyAlignment="1" pivotButton="0" quotePrefix="0" xfId="0">
      <alignment horizontal="left" vertical="center" wrapText="1"/>
    </xf>
    <xf numFmtId="0" fontId="49" fillId="20" borderId="2" applyAlignment="1" pivotButton="0" quotePrefix="0" xfId="0">
      <alignment horizontal="center" vertical="center"/>
    </xf>
    <xf numFmtId="3" fontId="53" fillId="20" borderId="2" applyAlignment="1" pivotButton="0" quotePrefix="0" xfId="0">
      <alignment horizontal="right" vertical="center"/>
    </xf>
    <xf numFmtId="0" fontId="15" fillId="20" borderId="2" applyAlignment="1" pivotButton="0" quotePrefix="0" xfId="0">
      <alignment horizontal="center" vertical="center"/>
    </xf>
    <xf numFmtId="0" fontId="15" fillId="10" borderId="2" applyAlignment="1" pivotButton="0" quotePrefix="0" xfId="0">
      <alignment horizontal="left" vertical="center" wrapText="1"/>
    </xf>
    <xf numFmtId="0" fontId="15" fillId="11" borderId="2" applyAlignment="1" pivotButton="0" quotePrefix="0" xfId="0">
      <alignment horizontal="left" vertical="center"/>
    </xf>
    <xf numFmtId="0" fontId="47" fillId="11" borderId="2" applyAlignment="1" pivotButton="0" quotePrefix="0" xfId="0">
      <alignment horizontal="left" vertical="center"/>
    </xf>
    <xf numFmtId="0" fontId="48" fillId="11" borderId="2" applyAlignment="1" pivotButton="0" quotePrefix="0" xfId="0">
      <alignment horizontal="left" vertical="center" wrapText="1"/>
    </xf>
    <xf numFmtId="0" fontId="49" fillId="11" borderId="2" applyAlignment="1" pivotButton="0" quotePrefix="0" xfId="0">
      <alignment horizontal="center" vertical="center"/>
    </xf>
    <xf numFmtId="3" fontId="53" fillId="11" borderId="2" applyAlignment="1" pivotButton="0" quotePrefix="0" xfId="0">
      <alignment horizontal="right" vertical="center"/>
    </xf>
    <xf numFmtId="0" fontId="15" fillId="11" borderId="2" applyAlignment="1" pivotButton="0" quotePrefix="0" xfId="0">
      <alignment horizontal="center" vertical="center"/>
    </xf>
    <xf numFmtId="0" fontId="15" fillId="14" borderId="2" applyAlignment="1" pivotButton="0" quotePrefix="0" xfId="0">
      <alignment horizontal="left" vertical="center" wrapText="1"/>
    </xf>
    <xf numFmtId="0" fontId="15" fillId="19" borderId="2" applyAlignment="1" pivotButton="0" quotePrefix="0" xfId="0">
      <alignment horizontal="left" vertical="center" wrapText="1"/>
    </xf>
    <xf numFmtId="0" fontId="15" fillId="20" borderId="2" applyAlignment="1" pivotButton="0" quotePrefix="0" xfId="0">
      <alignment horizontal="left" vertical="center" wrapText="1"/>
    </xf>
    <xf numFmtId="0" fontId="15" fillId="11" borderId="2" applyAlignment="1" pivotButton="0" quotePrefix="0" xfId="0">
      <alignment horizontal="left" vertical="center" wrapText="1"/>
    </xf>
    <xf numFmtId="0" fontId="6" fillId="5" borderId="2" applyAlignment="1" pivotButton="0" quotePrefix="0" xfId="0">
      <alignment horizontal="center" vertical="center" wrapText="1"/>
    </xf>
    <xf numFmtId="0" fontId="52" fillId="21" borderId="0" applyAlignment="1" pivotButton="0" quotePrefix="0" xfId="0">
      <alignment horizontal="left" vertical="center"/>
    </xf>
    <xf numFmtId="0" fontId="15" fillId="22" borderId="2" applyAlignment="1" pivotButton="0" quotePrefix="0" xfId="0">
      <alignment horizontal="left" vertical="center"/>
    </xf>
    <xf numFmtId="0" fontId="47" fillId="22" borderId="2" applyAlignment="1" pivotButton="0" quotePrefix="0" xfId="0">
      <alignment horizontal="left" vertical="center"/>
    </xf>
    <xf numFmtId="0" fontId="48" fillId="22" borderId="2" applyAlignment="1" pivotButton="0" quotePrefix="0" xfId="0">
      <alignment horizontal="left" vertical="center" wrapText="1"/>
    </xf>
    <xf numFmtId="0" fontId="49" fillId="22" borderId="2" applyAlignment="1" pivotButton="0" quotePrefix="0" xfId="0">
      <alignment horizontal="center" vertical="center"/>
    </xf>
    <xf numFmtId="3" fontId="53" fillId="22" borderId="2" applyAlignment="1" pivotButton="0" quotePrefix="0" xfId="0">
      <alignment horizontal="right" vertical="center"/>
    </xf>
    <xf numFmtId="0" fontId="15" fillId="22" borderId="2" applyAlignment="1" pivotButton="0" quotePrefix="0" xfId="0">
      <alignment horizontal="center" vertical="center"/>
    </xf>
    <xf numFmtId="0" fontId="15" fillId="22" borderId="2" applyAlignment="1" pivotButton="0" quotePrefix="0" xfId="0">
      <alignment horizontal="left" vertical="center" wrapText="1"/>
    </xf>
    <xf numFmtId="0" fontId="57" fillId="23" borderId="3" applyAlignment="1" pivotButton="0" quotePrefix="0" xfId="0">
      <alignment horizontal="center" vertical="center" wrapText="1"/>
    </xf>
    <xf numFmtId="0" fontId="58" fillId="23" borderId="3" applyAlignment="1" pivotButton="0" quotePrefix="0" xfId="0">
      <alignment horizontal="center" vertical="center" wrapText="1"/>
    </xf>
    <xf numFmtId="0" fontId="58" fillId="24" borderId="3" applyAlignment="1" pivotButton="0" quotePrefix="0" xfId="0">
      <alignment horizontal="center" vertical="center" wrapText="1"/>
    </xf>
    <xf numFmtId="0" fontId="58" fillId="25" borderId="3" applyAlignment="1" pivotButton="0" quotePrefix="0" xfId="0">
      <alignment horizontal="center" vertical="center" wrapText="1"/>
    </xf>
    <xf numFmtId="0" fontId="58" fillId="26" borderId="3" applyAlignment="1" pivotButton="0" quotePrefix="0" xfId="0">
      <alignment horizontal="center" vertical="center" wrapText="1"/>
    </xf>
    <xf numFmtId="0" fontId="58" fillId="27" borderId="3" applyAlignment="1" pivotButton="0" quotePrefix="0" xfId="0">
      <alignment horizontal="center" vertical="center" wrapText="1"/>
    </xf>
    <xf numFmtId="0" fontId="59" fillId="0" borderId="3" applyAlignment="1" pivotButton="0" quotePrefix="0" xfId="0">
      <alignment horizontal="general" vertical="center" wrapText="1"/>
    </xf>
    <xf numFmtId="0" fontId="60" fillId="28" borderId="3" applyAlignment="1" pivotButton="0" quotePrefix="0" xfId="0">
      <alignment horizontal="center" vertical="center" wrapText="1"/>
    </xf>
    <xf numFmtId="0" fontId="60" fillId="28" borderId="3" applyAlignment="1" pivotButton="0" quotePrefix="0" xfId="0">
      <alignment horizontal="left" vertical="center" wrapText="1"/>
    </xf>
    <xf numFmtId="0" fontId="60" fillId="28" borderId="3" applyAlignment="1" pivotButton="0" quotePrefix="0" xfId="0">
      <alignment horizontal="center" vertical="center"/>
    </xf>
    <xf numFmtId="0" fontId="60" fillId="28" borderId="3" applyAlignment="1" pivotButton="0" quotePrefix="0" xfId="0">
      <alignment horizontal="left" vertical="center"/>
    </xf>
    <xf numFmtId="0" fontId="61" fillId="11" borderId="3" applyAlignment="1" pivotButton="0" quotePrefix="0" xfId="0">
      <alignment horizontal="center" vertical="center" wrapText="1"/>
    </xf>
    <xf numFmtId="0" fontId="61" fillId="11" borderId="3" applyAlignment="1" pivotButton="0" quotePrefix="0" xfId="0">
      <alignment horizontal="left" vertical="center" wrapText="1"/>
    </xf>
    <xf numFmtId="0" fontId="61" fillId="11" borderId="3" applyAlignment="1" pivotButton="0" quotePrefix="0" xfId="0">
      <alignment horizontal="center" vertical="center"/>
    </xf>
    <xf numFmtId="0" fontId="61" fillId="29" borderId="3" applyAlignment="1" pivotButton="0" quotePrefix="0" xfId="0">
      <alignment horizontal="center" vertical="center" wrapText="1"/>
    </xf>
    <xf numFmtId="0" fontId="61" fillId="29" borderId="3" applyAlignment="1" pivotButton="0" quotePrefix="0" xfId="0">
      <alignment horizontal="left" vertical="center" wrapText="1"/>
    </xf>
    <xf numFmtId="0" fontId="61" fillId="29" borderId="3" applyAlignment="1" pivotButton="0" quotePrefix="0" xfId="0">
      <alignment horizontal="center" vertical="center"/>
    </xf>
    <xf numFmtId="0" fontId="61" fillId="29" borderId="3" applyAlignment="1" pivotButton="0" quotePrefix="0" xfId="0">
      <alignment horizontal="left" vertical="center"/>
    </xf>
    <xf numFmtId="0" fontId="61" fillId="11" borderId="3" applyAlignment="1" pivotButton="0" quotePrefix="0" xfId="0">
      <alignment horizontal="left" vertical="center"/>
    </xf>
    <xf numFmtId="0" fontId="20" fillId="14" borderId="0" applyAlignment="1" pivotButton="0" quotePrefix="0" xfId="0">
      <alignment horizontal="center" vertical="center"/>
    </xf>
    <xf numFmtId="0" fontId="46" fillId="8" borderId="0" applyAlignment="1" pivotButton="0" quotePrefix="0" xfId="0">
      <alignment horizontal="left" vertical="center"/>
    </xf>
    <xf numFmtId="0" fontId="62" fillId="7" borderId="0" applyAlignment="1" pivotButton="0" quotePrefix="0" xfId="0">
      <alignment horizontal="left" vertical="center"/>
    </xf>
    <xf numFmtId="0" fontId="6" fillId="7" borderId="4" applyAlignment="1" pivotButton="0" quotePrefix="0" xfId="0">
      <alignment horizontal="center" vertical="center" wrapText="1"/>
    </xf>
    <xf numFmtId="0" fontId="54" fillId="11" borderId="4" applyAlignment="1" pivotButton="0" quotePrefix="0" xfId="0">
      <alignment horizontal="center" vertical="center"/>
    </xf>
    <xf numFmtId="0" fontId="49" fillId="11" borderId="4" applyAlignment="1" pivotButton="0" quotePrefix="0" xfId="0">
      <alignment horizontal="left" vertical="center"/>
    </xf>
    <xf numFmtId="0" fontId="63" fillId="11" borderId="4" applyAlignment="1" pivotButton="0" quotePrefix="0" xfId="0">
      <alignment horizontal="center" vertical="center"/>
    </xf>
    <xf numFmtId="0" fontId="64" fillId="11" borderId="4" applyAlignment="1" pivotButton="0" quotePrefix="0" xfId="0">
      <alignment horizontal="left" vertical="center" wrapText="1"/>
    </xf>
    <xf numFmtId="0" fontId="53" fillId="11" borderId="4" applyAlignment="1" pivotButton="0" quotePrefix="0" xfId="0">
      <alignment horizontal="center" vertical="center"/>
    </xf>
    <xf numFmtId="0" fontId="54" fillId="30" borderId="4" applyAlignment="1" pivotButton="0" quotePrefix="0" xfId="0">
      <alignment horizontal="center" vertical="center"/>
    </xf>
    <xf numFmtId="0" fontId="49" fillId="30" borderId="4" applyAlignment="1" pivotButton="0" quotePrefix="0" xfId="0">
      <alignment horizontal="left" vertical="center"/>
    </xf>
    <xf numFmtId="0" fontId="63" fillId="30" borderId="4" applyAlignment="1" pivotButton="0" quotePrefix="0" xfId="0">
      <alignment horizontal="center" vertical="center"/>
    </xf>
    <xf numFmtId="0" fontId="64" fillId="30" borderId="4" applyAlignment="1" pivotButton="0" quotePrefix="0" xfId="0">
      <alignment horizontal="left" vertical="center" wrapText="1"/>
    </xf>
    <xf numFmtId="0" fontId="53" fillId="30" borderId="4" applyAlignment="1" pivotButton="0" quotePrefix="0" xfId="0">
      <alignment horizontal="center" vertical="center"/>
    </xf>
    <xf numFmtId="0" fontId="62" fillId="15" borderId="0" applyAlignment="1" pivotButton="0" quotePrefix="0" xfId="0">
      <alignment horizontal="left" vertical="center"/>
    </xf>
    <xf numFmtId="0" fontId="6" fillId="15" borderId="4" applyAlignment="1" pivotButton="0" quotePrefix="0" xfId="0">
      <alignment horizontal="center" vertical="center" wrapText="1"/>
    </xf>
    <xf numFmtId="0" fontId="47" fillId="11" borderId="4" applyAlignment="1" pivotButton="0" quotePrefix="0" xfId="0">
      <alignment horizontal="left" vertical="center"/>
    </xf>
    <xf numFmtId="0" fontId="54" fillId="16" borderId="4" applyAlignment="1" pivotButton="0" quotePrefix="0" xfId="0">
      <alignment horizontal="center" vertical="center"/>
    </xf>
    <xf numFmtId="0" fontId="47" fillId="16" borderId="4" applyAlignment="1" pivotButton="0" quotePrefix="0" xfId="0">
      <alignment horizontal="left" vertical="center"/>
    </xf>
    <xf numFmtId="0" fontId="63" fillId="16" borderId="4" applyAlignment="1" pivotButton="0" quotePrefix="0" xfId="0">
      <alignment horizontal="center" vertical="center"/>
    </xf>
    <xf numFmtId="0" fontId="64" fillId="16" borderId="4" applyAlignment="1" pivotButton="0" quotePrefix="0" xfId="0">
      <alignment horizontal="left" vertical="center" wrapText="1"/>
    </xf>
    <xf numFmtId="0" fontId="53" fillId="16" borderId="4" applyAlignment="1" pivotButton="0" quotePrefix="0" xfId="0">
      <alignment horizontal="center" vertical="center"/>
    </xf>
    <xf numFmtId="0" fontId="6" fillId="5" borderId="4" applyAlignment="1" pivotButton="0" quotePrefix="0" xfId="0">
      <alignment horizontal="center" vertical="center" wrapText="1"/>
    </xf>
    <xf numFmtId="0" fontId="62" fillId="5" borderId="0" applyAlignment="1" pivotButton="0" quotePrefix="0" xfId="0">
      <alignment horizontal="left" vertical="center"/>
    </xf>
    <xf numFmtId="0" fontId="54" fillId="17" borderId="4" applyAlignment="1" pivotButton="0" quotePrefix="0" xfId="0">
      <alignment horizontal="center" vertical="center"/>
    </xf>
    <xf numFmtId="0" fontId="47" fillId="17" borderId="4" applyAlignment="1" pivotButton="0" quotePrefix="0" xfId="0">
      <alignment horizontal="left" vertical="center"/>
    </xf>
    <xf numFmtId="0" fontId="63" fillId="17" borderId="4" applyAlignment="1" pivotButton="0" quotePrefix="0" xfId="0">
      <alignment horizontal="center" vertical="center"/>
    </xf>
    <xf numFmtId="0" fontId="64" fillId="17" borderId="4" applyAlignment="1" pivotButton="0" quotePrefix="0" xfId="0">
      <alignment horizontal="left" vertical="center" wrapText="1"/>
    </xf>
    <xf numFmtId="0" fontId="53" fillId="17" borderId="4"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3" borderId="0" applyAlignment="1" pivotButton="0" quotePrefix="0" xfId="0">
      <alignment horizontal="center" vertical="center"/>
    </xf>
    <xf numFmtId="0" fontId="5" fillId="2" borderId="0" applyAlignment="1" pivotButton="0" quotePrefix="0" xfId="0">
      <alignment horizontal="center" vertical="center"/>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6" borderId="0" applyAlignment="1" pivotButton="0" quotePrefix="0" xfId="0">
      <alignment horizontal="center" vertical="center"/>
    </xf>
    <xf numFmtId="0" fontId="6" fillId="7" borderId="0" applyAlignment="1" pivotButton="0" quotePrefix="0" xfId="0">
      <alignment horizontal="center" vertical="center"/>
    </xf>
    <xf numFmtId="0" fontId="7" fillId="3" borderId="0" applyAlignment="1" pivotButton="0" quotePrefix="0" xfId="0">
      <alignment horizontal="center" vertical="center"/>
    </xf>
    <xf numFmtId="0" fontId="7" fillId="4" borderId="0" applyAlignment="1" pivotButton="0" quotePrefix="0" xfId="0">
      <alignment horizontal="center" vertical="center"/>
    </xf>
    <xf numFmtId="0" fontId="7" fillId="5" borderId="0" applyAlignment="1" pivotButton="0" quotePrefix="0" xfId="0">
      <alignment horizontal="center" vertical="center"/>
    </xf>
    <xf numFmtId="0" fontId="7" fillId="6" borderId="0" applyAlignment="1" pivotButton="0" quotePrefix="0" xfId="0">
      <alignment horizontal="center" vertical="center"/>
    </xf>
    <xf numFmtId="0" fontId="7" fillId="7" borderId="0" applyAlignment="1" pivotButton="0" quotePrefix="0" xfId="0">
      <alignment horizontal="center" vertical="center"/>
    </xf>
    <xf numFmtId="0" fontId="8" fillId="3" borderId="0" applyAlignment="1" pivotButton="0" quotePrefix="0" xfId="0">
      <alignment horizontal="center" vertical="center"/>
    </xf>
    <xf numFmtId="0" fontId="8" fillId="4" borderId="0" applyAlignment="1" pivotButton="0" quotePrefix="0" xfId="0">
      <alignment horizontal="center" vertical="center"/>
    </xf>
    <xf numFmtId="0" fontId="8" fillId="5" borderId="0" applyAlignment="1" pivotButton="0" quotePrefix="0" xfId="0">
      <alignment horizontal="center" vertical="center"/>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9" fillId="8" borderId="0" applyAlignment="1" pivotButton="0" quotePrefix="0" xfId="0">
      <alignment horizontal="left" vertical="center"/>
    </xf>
    <xf numFmtId="0" fontId="9" fillId="5" borderId="0" applyAlignment="1" pivotButton="0" quotePrefix="0" xfId="0">
      <alignment horizontal="left"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0" fillId="5" borderId="0" applyAlignment="1" pivotButton="0" quotePrefix="0" xfId="0">
      <alignment horizontal="general" vertical="bottom"/>
    </xf>
    <xf numFmtId="0" fontId="10" fillId="9" borderId="1" applyAlignment="1" pivotButton="0" quotePrefix="0" xfId="0">
      <alignment horizontal="left" vertical="center"/>
    </xf>
    <xf numFmtId="0" fontId="11" fillId="9" borderId="1" applyAlignment="1" pivotButton="0" quotePrefix="0" xfId="0">
      <alignment horizontal="center" vertical="center"/>
    </xf>
    <xf numFmtId="0" fontId="12" fillId="9" borderId="1" applyAlignment="1" pivotButton="0" quotePrefix="0" xfId="0">
      <alignment horizontal="center" vertical="center"/>
    </xf>
    <xf numFmtId="0" fontId="13" fillId="9" borderId="1" applyAlignment="1" pivotButton="0" quotePrefix="0" xfId="0">
      <alignment horizontal="left" vertical="center"/>
    </xf>
    <xf numFmtId="0" fontId="14" fillId="10" borderId="1" applyAlignment="1" pivotButton="0" quotePrefix="0" xfId="0">
      <alignment horizontal="left" vertical="center"/>
    </xf>
    <xf numFmtId="0" fontId="14" fillId="10" borderId="1" applyAlignment="1" pivotButton="0" quotePrefix="0" xfId="0">
      <alignment horizontal="center" vertical="center"/>
    </xf>
    <xf numFmtId="0" fontId="15" fillId="10" borderId="1" applyAlignment="1" pivotButton="0" quotePrefix="0" xfId="0">
      <alignment horizontal="center" vertical="center"/>
    </xf>
    <xf numFmtId="0" fontId="16" fillId="10" borderId="1" applyAlignment="1" pivotButton="0" quotePrefix="0" xfId="0">
      <alignment horizontal="left" vertical="center"/>
    </xf>
    <xf numFmtId="0" fontId="0" fillId="10" borderId="0" applyAlignment="1" pivotButton="0" quotePrefix="0" xfId="0">
      <alignment horizontal="general" vertical="bottom"/>
    </xf>
    <xf numFmtId="0" fontId="10" fillId="11" borderId="1" applyAlignment="1" pivotButton="0" quotePrefix="0" xfId="0">
      <alignment horizontal="left" vertical="center"/>
    </xf>
    <xf numFmtId="0" fontId="11" fillId="11" borderId="1" applyAlignment="1" pivotButton="0" quotePrefix="0" xfId="0">
      <alignment horizontal="center" vertical="center"/>
    </xf>
    <xf numFmtId="0" fontId="12" fillId="11" borderId="1" applyAlignment="1" pivotButton="0" quotePrefix="0" xfId="0">
      <alignment horizontal="center" vertical="center"/>
    </xf>
    <xf numFmtId="0" fontId="17" fillId="11" borderId="1" applyAlignment="1" pivotButton="0" quotePrefix="0" xfId="0">
      <alignment horizontal="left" vertical="center"/>
    </xf>
    <xf numFmtId="0" fontId="18" fillId="11" borderId="1" applyAlignment="1" pivotButton="0" quotePrefix="0" xfId="0">
      <alignment horizontal="left" vertical="center"/>
    </xf>
    <xf numFmtId="0" fontId="18" fillId="11" borderId="1" applyAlignment="1" pivotButton="0" quotePrefix="0" xfId="0">
      <alignment horizontal="center" vertical="center"/>
    </xf>
    <xf numFmtId="0" fontId="15" fillId="11" borderId="1" applyAlignment="1" pivotButton="0" quotePrefix="0" xfId="0">
      <alignment horizontal="center" vertical="center"/>
    </xf>
    <xf numFmtId="0" fontId="19" fillId="11" borderId="1" applyAlignment="1" pivotButton="0" quotePrefix="0" xfId="0">
      <alignment horizontal="left" vertical="center"/>
    </xf>
    <xf numFmtId="0" fontId="0" fillId="11" borderId="0" applyAlignment="1" pivotButton="0" quotePrefix="0" xfId="0">
      <alignment horizontal="general" vertical="bottom"/>
    </xf>
    <xf numFmtId="0" fontId="17" fillId="9" borderId="1" applyAlignment="1" pivotButton="0" quotePrefix="0" xfId="0">
      <alignment horizontal="left" vertical="center"/>
    </xf>
    <xf numFmtId="0" fontId="20" fillId="10" borderId="1" applyAlignment="1" pivotButton="0" quotePrefix="0" xfId="0">
      <alignment horizontal="left" vertical="center"/>
    </xf>
    <xf numFmtId="0" fontId="20" fillId="10" borderId="1" applyAlignment="1" pivotButton="0" quotePrefix="0" xfId="0">
      <alignment horizontal="center" vertical="center"/>
    </xf>
    <xf numFmtId="0" fontId="21" fillId="10" borderId="1" applyAlignment="1" pivotButton="0" quotePrefix="0" xfId="0">
      <alignment horizontal="left" vertical="center"/>
    </xf>
    <xf numFmtId="0" fontId="22" fillId="11" borderId="1" applyAlignment="1" pivotButton="0" quotePrefix="0" xfId="0">
      <alignment horizontal="left" vertical="center"/>
    </xf>
    <xf numFmtId="0" fontId="22" fillId="11" borderId="1" applyAlignment="1" pivotButton="0" quotePrefix="0" xfId="0">
      <alignment horizontal="center" vertical="center"/>
    </xf>
    <xf numFmtId="0" fontId="23" fillId="11" borderId="1" applyAlignment="1" pivotButton="0" quotePrefix="0" xfId="0">
      <alignment horizontal="left" vertical="center"/>
    </xf>
    <xf numFmtId="0" fontId="24" fillId="10" borderId="1" applyAlignment="1" pivotButton="0" quotePrefix="0" xfId="0">
      <alignment horizontal="left" vertical="center"/>
    </xf>
    <xf numFmtId="0" fontId="24" fillId="10" borderId="1" applyAlignment="1" pivotButton="0" quotePrefix="0" xfId="0">
      <alignment horizontal="center" vertical="center"/>
    </xf>
    <xf numFmtId="0" fontId="25" fillId="10" borderId="1" applyAlignment="1" pivotButton="0" quotePrefix="0" xfId="0">
      <alignment horizontal="left" vertical="center"/>
    </xf>
    <xf numFmtId="0" fontId="26" fillId="11" borderId="1" applyAlignment="1" pivotButton="0" quotePrefix="0" xfId="0">
      <alignment horizontal="left" vertical="center"/>
    </xf>
    <xf numFmtId="0" fontId="26" fillId="11" borderId="1" applyAlignment="1" pivotButton="0" quotePrefix="0" xfId="0">
      <alignment horizontal="center" vertical="center"/>
    </xf>
    <xf numFmtId="0" fontId="27" fillId="11" borderId="1" applyAlignment="1" pivotButton="0" quotePrefix="0" xfId="0">
      <alignment horizontal="left" vertical="center"/>
    </xf>
    <xf numFmtId="0" fontId="28" fillId="10" borderId="1" applyAlignment="1" pivotButton="0" quotePrefix="0" xfId="0">
      <alignment horizontal="left" vertical="center"/>
    </xf>
    <xf numFmtId="0" fontId="28" fillId="10" borderId="1" applyAlignment="1" pivotButton="0" quotePrefix="0" xfId="0">
      <alignment horizontal="center" vertical="center"/>
    </xf>
    <xf numFmtId="0" fontId="29" fillId="10" borderId="1" applyAlignment="1" pivotButton="0" quotePrefix="0" xfId="0">
      <alignment horizontal="left" vertical="center"/>
    </xf>
    <xf numFmtId="0" fontId="30" fillId="11" borderId="1" applyAlignment="1" pivotButton="0" quotePrefix="0" xfId="0">
      <alignment horizontal="left" vertical="center"/>
    </xf>
    <xf numFmtId="0" fontId="30" fillId="11" borderId="1" applyAlignment="1" pivotButton="0" quotePrefix="0" xfId="0">
      <alignment horizontal="center" vertical="center"/>
    </xf>
    <xf numFmtId="0" fontId="31" fillId="11" borderId="1" applyAlignment="1" pivotButton="0" quotePrefix="0" xfId="0">
      <alignment horizontal="left" vertical="center"/>
    </xf>
    <xf numFmtId="0" fontId="9" fillId="12" borderId="0" applyAlignment="1" pivotButton="0" quotePrefix="0" xfId="0">
      <alignment horizontal="left" vertical="center"/>
    </xf>
    <xf numFmtId="0" fontId="6" fillId="12" borderId="1" applyAlignment="1" pivotButton="0" quotePrefix="0" xfId="0">
      <alignment horizontal="center" vertical="center"/>
    </xf>
    <xf numFmtId="0" fontId="0" fillId="12" borderId="0" applyAlignment="1" pivotButton="0" quotePrefix="0" xfId="0">
      <alignment horizontal="general" vertical="bottom"/>
    </xf>
    <xf numFmtId="0" fontId="14" fillId="2" borderId="1" applyAlignment="1" pivotButton="0" quotePrefix="0" xfId="0">
      <alignment horizontal="left" vertical="center"/>
    </xf>
    <xf numFmtId="0" fontId="14" fillId="2" borderId="1" applyAlignment="1" pivotButton="0" quotePrefix="0" xfId="0">
      <alignment horizontal="center" vertical="center"/>
    </xf>
    <xf numFmtId="0" fontId="15" fillId="2" borderId="1" applyAlignment="1" pivotButton="0" quotePrefix="0" xfId="0">
      <alignment horizontal="center" vertical="center"/>
    </xf>
    <xf numFmtId="0" fontId="16" fillId="2" borderId="1" applyAlignment="1" pivotButton="0" quotePrefix="0" xfId="0">
      <alignment horizontal="left" vertical="center"/>
    </xf>
    <xf numFmtId="0" fontId="11" fillId="11" borderId="1" applyAlignment="1" pivotButton="0" quotePrefix="0" xfId="0">
      <alignment horizontal="left" vertical="center"/>
    </xf>
    <xf numFmtId="0" fontId="9" fillId="6" borderId="0" applyAlignment="1" pivotButton="0" quotePrefix="0" xfId="0">
      <alignment horizontal="left" vertical="center"/>
    </xf>
    <xf numFmtId="0" fontId="22" fillId="2" borderId="1" applyAlignment="1" pivotButton="0" quotePrefix="0" xfId="0">
      <alignment horizontal="left" vertical="center"/>
    </xf>
    <xf numFmtId="0" fontId="22" fillId="2" borderId="1" applyAlignment="1" pivotButton="0" quotePrefix="0" xfId="0">
      <alignment horizontal="center" vertical="center"/>
    </xf>
    <xf numFmtId="0" fontId="23" fillId="2" borderId="1" applyAlignment="1" pivotButton="0" quotePrefix="0" xfId="0">
      <alignment horizontal="left" vertical="center"/>
    </xf>
    <xf numFmtId="0" fontId="6" fillId="6" borderId="1" applyAlignment="1" pivotButton="0" quotePrefix="0" xfId="0">
      <alignment horizontal="center" vertical="center"/>
    </xf>
    <xf numFmtId="0" fontId="24" fillId="11" borderId="1" applyAlignment="1" pivotButton="0" quotePrefix="0" xfId="0">
      <alignment horizontal="left" vertical="center"/>
    </xf>
    <xf numFmtId="0" fontId="24" fillId="11" borderId="1" applyAlignment="1" pivotButton="0" quotePrefix="0" xfId="0">
      <alignment horizontal="center" vertical="center"/>
    </xf>
    <xf numFmtId="0" fontId="25" fillId="11" borderId="1" applyAlignment="1" pivotButton="0" quotePrefix="0" xfId="0">
      <alignment horizontal="left" vertical="center"/>
    </xf>
    <xf numFmtId="0" fontId="10" fillId="10" borderId="1" applyAlignment="1" pivotButton="0" quotePrefix="0" xfId="0">
      <alignment horizontal="left" vertical="center"/>
    </xf>
    <xf numFmtId="0" fontId="32" fillId="10" borderId="1" applyAlignment="1" pivotButton="0" quotePrefix="0" xfId="0">
      <alignment horizontal="center" vertical="center"/>
    </xf>
    <xf numFmtId="0" fontId="33" fillId="10" borderId="1" applyAlignment="1" pivotButton="0" quotePrefix="0" xfId="0">
      <alignment horizontal="center" vertical="center"/>
    </xf>
    <xf numFmtId="0" fontId="26" fillId="2" borderId="1" applyAlignment="1" pivotButton="0" quotePrefix="0" xfId="0">
      <alignment horizontal="left" vertical="center"/>
    </xf>
    <xf numFmtId="0" fontId="26" fillId="2" borderId="1" applyAlignment="1" pivotButton="0" quotePrefix="0" xfId="0">
      <alignment horizontal="center" vertical="center"/>
    </xf>
    <xf numFmtId="0" fontId="27" fillId="2" borderId="1" applyAlignment="1" pivotButton="0" quotePrefix="0" xfId="0">
      <alignment horizontal="left" vertical="center"/>
    </xf>
    <xf numFmtId="0" fontId="34" fillId="11" borderId="1" applyAlignment="1" pivotButton="0" quotePrefix="0" xfId="0">
      <alignment horizontal="center" vertical="center"/>
    </xf>
    <xf numFmtId="0" fontId="33" fillId="11" borderId="1" applyAlignment="1" pivotButton="0" quotePrefix="0" xfId="0">
      <alignment horizontal="center" vertical="center"/>
    </xf>
    <xf numFmtId="0" fontId="35" fillId="10" borderId="1" applyAlignment="1" pivotButton="0" quotePrefix="0" xfId="0">
      <alignment horizontal="center" vertical="center"/>
    </xf>
    <xf numFmtId="0" fontId="10" fillId="13" borderId="1" applyAlignment="1" pivotButton="0" quotePrefix="0" xfId="0">
      <alignment horizontal="left" vertical="center"/>
    </xf>
    <xf numFmtId="0" fontId="36" fillId="13" borderId="1" applyAlignment="1" pivotButton="0" quotePrefix="0" xfId="0">
      <alignment horizontal="center" vertical="center"/>
    </xf>
    <xf numFmtId="0" fontId="33" fillId="13" borderId="1" applyAlignment="1" pivotButton="0" quotePrefix="0" xfId="0">
      <alignment horizontal="center" vertical="center"/>
    </xf>
    <xf numFmtId="0" fontId="37" fillId="3" borderId="0" applyAlignment="1" pivotButton="0" quotePrefix="0" xfId="0">
      <alignment horizontal="center" vertical="center"/>
    </xf>
    <xf numFmtId="0" fontId="38" fillId="3" borderId="0" applyAlignment="1" pivotButton="0" quotePrefix="0" xfId="0">
      <alignment horizontal="center" vertical="center"/>
    </xf>
    <xf numFmtId="0" fontId="39" fillId="0" borderId="0" applyAlignment="1" pivotButton="0" quotePrefix="0" xfId="0">
      <alignment horizontal="right" vertical="center"/>
    </xf>
    <xf numFmtId="0" fontId="40" fillId="14" borderId="1" applyAlignment="1" pivotButton="0" quotePrefix="0" xfId="0">
      <alignment horizontal="left" vertical="center"/>
    </xf>
    <xf numFmtId="0" fontId="0" fillId="0" borderId="7" pivotButton="0" quotePrefix="0" xfId="0"/>
    <xf numFmtId="0" fontId="0" fillId="0" borderId="8" pivotButton="0" quotePrefix="0" xfId="0"/>
    <xf numFmtId="0" fontId="41" fillId="0" borderId="0" applyAlignment="1" pivotButton="0" quotePrefix="0" xfId="0">
      <alignment horizontal="left" vertical="center"/>
    </xf>
    <xf numFmtId="0" fontId="42" fillId="0" borderId="0" applyAlignment="1" pivotButton="0" quotePrefix="0" xfId="0">
      <alignment horizontal="right" vertical="center"/>
    </xf>
    <xf numFmtId="0" fontId="43" fillId="0" borderId="0" applyAlignment="1" pivotButton="0" quotePrefix="0" xfId="0">
      <alignment horizontal="left" vertical="center"/>
    </xf>
    <xf numFmtId="0" fontId="44" fillId="0" borderId="0" applyAlignment="1" pivotButton="0" quotePrefix="0" xfId="0">
      <alignment horizontal="right" vertical="center"/>
    </xf>
    <xf numFmtId="0" fontId="34" fillId="0" borderId="0" applyAlignment="1" pivotButton="0" quotePrefix="0" xfId="0">
      <alignment horizontal="left" vertical="center"/>
    </xf>
    <xf numFmtId="0" fontId="45" fillId="0" borderId="0" applyAlignment="1" pivotButton="0" quotePrefix="0" xfId="0">
      <alignment horizontal="left" vertical="center"/>
    </xf>
    <xf numFmtId="0" fontId="46" fillId="15" borderId="0" applyAlignment="1" pivotButton="0" quotePrefix="0" xfId="0">
      <alignment horizontal="left" vertical="center"/>
    </xf>
    <xf numFmtId="0" fontId="6" fillId="15" borderId="1" applyAlignment="1" pivotButton="0" quotePrefix="0" xfId="0">
      <alignment horizontal="center" vertical="center" wrapText="1"/>
    </xf>
    <xf numFmtId="0" fontId="15" fillId="11" borderId="1" applyAlignment="1" pivotButton="0" quotePrefix="0" xfId="0">
      <alignment horizontal="left" vertical="center"/>
    </xf>
    <xf numFmtId="0" fontId="47" fillId="11" borderId="1" applyAlignment="1" pivotButton="0" quotePrefix="0" xfId="0">
      <alignment horizontal="left" vertical="center"/>
    </xf>
    <xf numFmtId="0" fontId="48" fillId="11" borderId="1" applyAlignment="1" pivotButton="0" quotePrefix="0" xfId="0">
      <alignment horizontal="left" vertical="center" wrapText="1"/>
    </xf>
    <xf numFmtId="0" fontId="49" fillId="11" borderId="1" applyAlignment="1" pivotButton="0" quotePrefix="0" xfId="0">
      <alignment horizontal="center" vertical="center"/>
    </xf>
    <xf numFmtId="0" fontId="15" fillId="16" borderId="1" applyAlignment="1" pivotButton="0" quotePrefix="0" xfId="0">
      <alignment horizontal="left" vertical="center"/>
    </xf>
    <xf numFmtId="0" fontId="47" fillId="16" borderId="1" applyAlignment="1" pivotButton="0" quotePrefix="0" xfId="0">
      <alignment horizontal="left" vertical="center"/>
    </xf>
    <xf numFmtId="0" fontId="48" fillId="16" borderId="1" applyAlignment="1" pivotButton="0" quotePrefix="0" xfId="0">
      <alignment horizontal="left" vertical="center" wrapText="1"/>
    </xf>
    <xf numFmtId="0" fontId="49" fillId="16" borderId="1" applyAlignment="1" pivotButton="0" quotePrefix="0" xfId="0">
      <alignment horizontal="center" vertical="center"/>
    </xf>
    <xf numFmtId="0" fontId="46" fillId="5" borderId="0" applyAlignment="1" pivotButton="0" quotePrefix="0" xfId="0">
      <alignment horizontal="left" vertical="center"/>
    </xf>
    <xf numFmtId="0" fontId="6" fillId="5" borderId="1" applyAlignment="1" pivotButton="0" quotePrefix="0" xfId="0">
      <alignment horizontal="center" vertical="center" wrapText="1"/>
    </xf>
    <xf numFmtId="0" fontId="15" fillId="17" borderId="1" applyAlignment="1" pivotButton="0" quotePrefix="0" xfId="0">
      <alignment horizontal="left" vertical="center"/>
    </xf>
    <xf numFmtId="0" fontId="47" fillId="17" borderId="1" applyAlignment="1" pivotButton="0" quotePrefix="0" xfId="0">
      <alignment horizontal="left" vertical="center"/>
    </xf>
    <xf numFmtId="0" fontId="48" fillId="17" borderId="1" applyAlignment="1" pivotButton="0" quotePrefix="0" xfId="0">
      <alignment horizontal="left" vertical="center" wrapText="1"/>
    </xf>
    <xf numFmtId="0" fontId="49" fillId="17" borderId="1" applyAlignment="1" pivotButton="0" quotePrefix="0" xfId="0">
      <alignment horizontal="center" vertical="center"/>
    </xf>
    <xf numFmtId="0" fontId="50" fillId="3" borderId="0" applyAlignment="1" pivotButton="0" quotePrefix="0" xfId="0">
      <alignment horizontal="center" vertical="center"/>
    </xf>
    <xf numFmtId="0" fontId="41" fillId="18" borderId="0" applyAlignment="1" pivotButton="0" quotePrefix="0" xfId="0">
      <alignment horizontal="center" vertical="center"/>
    </xf>
    <xf numFmtId="0" fontId="6" fillId="4" borderId="2" applyAlignment="1" pivotButton="0" quotePrefix="0" xfId="0">
      <alignment horizontal="center" vertical="center" wrapText="1"/>
    </xf>
    <xf numFmtId="0" fontId="6" fillId="7" borderId="2" applyAlignment="1" pivotButton="0" quotePrefix="0" xfId="0">
      <alignment horizontal="center" vertical="center" wrapText="1"/>
    </xf>
    <xf numFmtId="0" fontId="51" fillId="0" borderId="0" applyAlignment="1" pivotButton="0" quotePrefix="0" xfId="0">
      <alignment horizontal="general" vertical="bottom"/>
    </xf>
    <xf numFmtId="0" fontId="52" fillId="8" borderId="0" applyAlignment="1" pivotButton="0" quotePrefix="0" xfId="0">
      <alignment horizontal="left" vertical="center"/>
    </xf>
    <xf numFmtId="0" fontId="15" fillId="14" borderId="2" applyAlignment="1" pivotButton="0" quotePrefix="0" xfId="0">
      <alignment horizontal="left" vertical="center"/>
    </xf>
    <xf numFmtId="0" fontId="47" fillId="14" borderId="2" applyAlignment="1" pivotButton="0" quotePrefix="0" xfId="0">
      <alignment horizontal="left" vertical="center"/>
    </xf>
    <xf numFmtId="0" fontId="48" fillId="14" borderId="2" applyAlignment="1" pivotButton="0" quotePrefix="0" xfId="0">
      <alignment horizontal="left" vertical="center" wrapText="1"/>
    </xf>
    <xf numFmtId="0" fontId="49" fillId="14" borderId="2" applyAlignment="1" pivotButton="0" quotePrefix="0" xfId="0">
      <alignment horizontal="center" vertical="center"/>
    </xf>
    <xf numFmtId="3" fontId="53" fillId="14" borderId="2" applyAlignment="1" pivotButton="0" quotePrefix="0" xfId="0">
      <alignment horizontal="right" vertical="center"/>
    </xf>
    <xf numFmtId="0" fontId="15" fillId="14" borderId="2" applyAlignment="1" pivotButton="0" quotePrefix="0" xfId="0">
      <alignment horizontal="center" vertical="center"/>
    </xf>
    <xf numFmtId="0" fontId="0" fillId="0" borderId="0" applyAlignment="1" pivotButton="0" quotePrefix="0" xfId="0">
      <alignment horizontal="general" vertical="bottom" wrapText="1"/>
    </xf>
    <xf numFmtId="0" fontId="54" fillId="19" borderId="2" applyAlignment="1" pivotButton="0" quotePrefix="0" xfId="0">
      <alignment horizontal="left" vertical="center"/>
    </xf>
    <xf numFmtId="0" fontId="55" fillId="19" borderId="2" applyAlignment="1" pivotButton="0" quotePrefix="0" xfId="0">
      <alignment horizontal="left" vertical="center"/>
    </xf>
    <xf numFmtId="0" fontId="15" fillId="19" borderId="2" applyAlignment="1" pivotButton="0" quotePrefix="0" xfId="0">
      <alignment horizontal="left" vertical="center"/>
    </xf>
    <xf numFmtId="0" fontId="48" fillId="19" borderId="2" applyAlignment="1" pivotButton="0" quotePrefix="0" xfId="0">
      <alignment horizontal="left" vertical="center" wrapText="1"/>
    </xf>
    <xf numFmtId="0" fontId="49" fillId="19" borderId="2" applyAlignment="1" pivotButton="0" quotePrefix="0" xfId="0">
      <alignment horizontal="center" vertical="center"/>
    </xf>
    <xf numFmtId="3" fontId="53" fillId="19" borderId="2" applyAlignment="1" pivotButton="0" quotePrefix="0" xfId="0">
      <alignment horizontal="right" vertical="center"/>
    </xf>
    <xf numFmtId="0" fontId="15" fillId="19" borderId="2" applyAlignment="1" pivotButton="0" quotePrefix="0" xfId="0">
      <alignment horizontal="center" vertical="center"/>
    </xf>
    <xf numFmtId="0" fontId="15" fillId="10" borderId="2" applyAlignment="1" pivotButton="0" quotePrefix="0" xfId="0">
      <alignment horizontal="left" vertical="center"/>
    </xf>
    <xf numFmtId="0" fontId="47" fillId="10" borderId="2" applyAlignment="1" pivotButton="0" quotePrefix="0" xfId="0">
      <alignment horizontal="left" vertical="center"/>
    </xf>
    <xf numFmtId="0" fontId="48" fillId="10" borderId="2" applyAlignment="1" pivotButton="0" quotePrefix="0" xfId="0">
      <alignment horizontal="left" vertical="center" wrapText="1"/>
    </xf>
    <xf numFmtId="0" fontId="49" fillId="10" borderId="2" applyAlignment="1" pivotButton="0" quotePrefix="0" xfId="0">
      <alignment horizontal="center" vertical="center"/>
    </xf>
    <xf numFmtId="3" fontId="53" fillId="10" borderId="2" applyAlignment="1" pivotButton="0" quotePrefix="0" xfId="0">
      <alignment horizontal="right" vertical="center"/>
    </xf>
    <xf numFmtId="0" fontId="15" fillId="10" borderId="2" applyAlignment="1" pivotButton="0" quotePrefix="0" xfId="0">
      <alignment horizontal="center" vertical="center"/>
    </xf>
    <xf numFmtId="0" fontId="15" fillId="20" borderId="2" applyAlignment="1" pivotButton="0" quotePrefix="0" xfId="0">
      <alignment horizontal="left" vertical="center"/>
    </xf>
    <xf numFmtId="0" fontId="47" fillId="20" borderId="2" applyAlignment="1" pivotButton="0" quotePrefix="0" xfId="0">
      <alignment horizontal="left" vertical="center"/>
    </xf>
    <xf numFmtId="0" fontId="48" fillId="20" borderId="2" applyAlignment="1" pivotButton="0" quotePrefix="0" xfId="0">
      <alignment horizontal="left" vertical="center" wrapText="1"/>
    </xf>
    <xf numFmtId="0" fontId="49" fillId="20" borderId="2" applyAlignment="1" pivotButton="0" quotePrefix="0" xfId="0">
      <alignment horizontal="center" vertical="center"/>
    </xf>
    <xf numFmtId="3" fontId="53" fillId="20" borderId="2" applyAlignment="1" pivotButton="0" quotePrefix="0" xfId="0">
      <alignment horizontal="right" vertical="center"/>
    </xf>
    <xf numFmtId="0" fontId="15" fillId="20" borderId="2" applyAlignment="1" pivotButton="0" quotePrefix="0" xfId="0">
      <alignment horizontal="center" vertical="center"/>
    </xf>
    <xf numFmtId="0" fontId="15" fillId="10" borderId="2" applyAlignment="1" pivotButton="0" quotePrefix="0" xfId="0">
      <alignment horizontal="left" vertical="center" wrapText="1"/>
    </xf>
    <xf numFmtId="0" fontId="15" fillId="11" borderId="2" applyAlignment="1" pivotButton="0" quotePrefix="0" xfId="0">
      <alignment horizontal="left" vertical="center"/>
    </xf>
    <xf numFmtId="0" fontId="47" fillId="11" borderId="2" applyAlignment="1" pivotButton="0" quotePrefix="0" xfId="0">
      <alignment horizontal="left" vertical="center"/>
    </xf>
    <xf numFmtId="0" fontId="48" fillId="11" borderId="2" applyAlignment="1" pivotButton="0" quotePrefix="0" xfId="0">
      <alignment horizontal="left" vertical="center" wrapText="1"/>
    </xf>
    <xf numFmtId="0" fontId="49" fillId="11" borderId="2" applyAlignment="1" pivotButton="0" quotePrefix="0" xfId="0">
      <alignment horizontal="center" vertical="center"/>
    </xf>
    <xf numFmtId="3" fontId="53" fillId="11" borderId="2" applyAlignment="1" pivotButton="0" quotePrefix="0" xfId="0">
      <alignment horizontal="right" vertical="center"/>
    </xf>
    <xf numFmtId="0" fontId="15" fillId="11" borderId="2" applyAlignment="1" pivotButton="0" quotePrefix="0" xfId="0">
      <alignment horizontal="center" vertical="center"/>
    </xf>
    <xf numFmtId="0" fontId="15" fillId="14" borderId="2" applyAlignment="1" pivotButton="0" quotePrefix="0" xfId="0">
      <alignment horizontal="left" vertical="center" wrapText="1"/>
    </xf>
    <xf numFmtId="0" fontId="15" fillId="19" borderId="2" applyAlignment="1" pivotButton="0" quotePrefix="0" xfId="0">
      <alignment horizontal="left" vertical="center" wrapText="1"/>
    </xf>
    <xf numFmtId="0" fontId="15" fillId="20" borderId="2" applyAlignment="1" pivotButton="0" quotePrefix="0" xfId="0">
      <alignment horizontal="left" vertical="center" wrapText="1"/>
    </xf>
    <xf numFmtId="0" fontId="15" fillId="11" borderId="2" applyAlignment="1" pivotButton="0" quotePrefix="0" xfId="0">
      <alignment horizontal="left" vertical="center" wrapText="1"/>
    </xf>
    <xf numFmtId="0" fontId="6" fillId="5" borderId="2" applyAlignment="1" pivotButton="0" quotePrefix="0" xfId="0">
      <alignment horizontal="center" vertical="center" wrapText="1"/>
    </xf>
    <xf numFmtId="0" fontId="52" fillId="21" borderId="0" applyAlignment="1" pivotButton="0" quotePrefix="0" xfId="0">
      <alignment horizontal="left" vertical="center"/>
    </xf>
    <xf numFmtId="0" fontId="15" fillId="22" borderId="2" applyAlignment="1" pivotButton="0" quotePrefix="0" xfId="0">
      <alignment horizontal="left" vertical="center"/>
    </xf>
    <xf numFmtId="0" fontId="47" fillId="22" borderId="2" applyAlignment="1" pivotButton="0" quotePrefix="0" xfId="0">
      <alignment horizontal="left" vertical="center"/>
    </xf>
    <xf numFmtId="0" fontId="48" fillId="22" borderId="2" applyAlignment="1" pivotButton="0" quotePrefix="0" xfId="0">
      <alignment horizontal="left" vertical="center" wrapText="1"/>
    </xf>
    <xf numFmtId="0" fontId="49" fillId="22" borderId="2" applyAlignment="1" pivotButton="0" quotePrefix="0" xfId="0">
      <alignment horizontal="center" vertical="center"/>
    </xf>
    <xf numFmtId="3" fontId="53" fillId="22" borderId="2" applyAlignment="1" pivotButton="0" quotePrefix="0" xfId="0">
      <alignment horizontal="right" vertical="center"/>
    </xf>
    <xf numFmtId="0" fontId="15" fillId="22" borderId="2" applyAlignment="1" pivotButton="0" quotePrefix="0" xfId="0">
      <alignment horizontal="center" vertical="center"/>
    </xf>
    <xf numFmtId="0" fontId="15" fillId="22" borderId="2" applyAlignment="1" pivotButton="0" quotePrefix="0" xfId="0">
      <alignment horizontal="left" vertical="center" wrapText="1"/>
    </xf>
    <xf numFmtId="0" fontId="57" fillId="23" borderId="3" applyAlignment="1" pivotButton="0" quotePrefix="0" xfId="0">
      <alignment horizontal="center" vertical="center" wrapText="1"/>
    </xf>
    <xf numFmtId="0" fontId="58" fillId="23" borderId="3" applyAlignment="1" pivotButton="0" quotePrefix="0" xfId="0">
      <alignment horizontal="center" vertical="center" wrapText="1"/>
    </xf>
    <xf numFmtId="0" fontId="58" fillId="24" borderId="3" applyAlignment="1" pivotButton="0" quotePrefix="0" xfId="0">
      <alignment horizontal="center" vertical="center" wrapText="1"/>
    </xf>
    <xf numFmtId="0" fontId="58" fillId="25" borderId="3" applyAlignment="1" pivotButton="0" quotePrefix="0" xfId="0">
      <alignment horizontal="center" vertical="center" wrapText="1"/>
    </xf>
    <xf numFmtId="0" fontId="58" fillId="26" borderId="3" applyAlignment="1" pivotButton="0" quotePrefix="0" xfId="0">
      <alignment horizontal="center" vertical="center" wrapText="1"/>
    </xf>
    <xf numFmtId="0" fontId="58" fillId="27" borderId="3" applyAlignment="1" pivotButton="0" quotePrefix="0" xfId="0">
      <alignment horizontal="center" vertical="center" wrapText="1"/>
    </xf>
    <xf numFmtId="0" fontId="59" fillId="0" borderId="3" applyAlignment="1" pivotButton="0" quotePrefix="0" xfId="0">
      <alignment horizontal="general" vertical="center" wrapText="1"/>
    </xf>
    <xf numFmtId="0" fontId="60" fillId="28" borderId="3" applyAlignment="1" pivotButton="0" quotePrefix="0" xfId="0">
      <alignment horizontal="center" vertical="center" wrapText="1"/>
    </xf>
    <xf numFmtId="0" fontId="60" fillId="28" borderId="3" applyAlignment="1" pivotButton="0" quotePrefix="0" xfId="0">
      <alignment horizontal="left" vertical="center" wrapText="1"/>
    </xf>
    <xf numFmtId="0" fontId="60" fillId="28" borderId="3" applyAlignment="1" pivotButton="0" quotePrefix="0" xfId="0">
      <alignment horizontal="center" vertical="center"/>
    </xf>
    <xf numFmtId="0" fontId="60" fillId="28" borderId="3" applyAlignment="1" pivotButton="0" quotePrefix="0" xfId="0">
      <alignment horizontal="left" vertical="center"/>
    </xf>
    <xf numFmtId="0" fontId="61" fillId="11" borderId="3" applyAlignment="1" pivotButton="0" quotePrefix="0" xfId="0">
      <alignment horizontal="center" vertical="center" wrapText="1"/>
    </xf>
    <xf numFmtId="0" fontId="61" fillId="11" borderId="3" applyAlignment="1" pivotButton="0" quotePrefix="0" xfId="0">
      <alignment horizontal="left" vertical="center" wrapText="1"/>
    </xf>
    <xf numFmtId="0" fontId="61" fillId="11" borderId="3" applyAlignment="1" pivotButton="0" quotePrefix="0" xfId="0">
      <alignment horizontal="center" vertical="center"/>
    </xf>
    <xf numFmtId="0" fontId="61" fillId="29" borderId="3" applyAlignment="1" pivotButton="0" quotePrefix="0" xfId="0">
      <alignment horizontal="center" vertical="center" wrapText="1"/>
    </xf>
    <xf numFmtId="0" fontId="61" fillId="29" borderId="3" applyAlignment="1" pivotButton="0" quotePrefix="0" xfId="0">
      <alignment horizontal="left" vertical="center" wrapText="1"/>
    </xf>
    <xf numFmtId="0" fontId="61" fillId="29" borderId="3" applyAlignment="1" pivotButton="0" quotePrefix="0" xfId="0">
      <alignment horizontal="center" vertical="center"/>
    </xf>
    <xf numFmtId="0" fontId="61" fillId="29" borderId="3" applyAlignment="1" pivotButton="0" quotePrefix="0" xfId="0">
      <alignment horizontal="left" vertical="center"/>
    </xf>
    <xf numFmtId="0" fontId="61" fillId="11" borderId="3" applyAlignment="1" pivotButton="0" quotePrefix="0" xfId="0">
      <alignment horizontal="left" vertical="center"/>
    </xf>
    <xf numFmtId="0" fontId="20" fillId="14" borderId="0" applyAlignment="1" pivotButton="0" quotePrefix="0" xfId="0">
      <alignment horizontal="center" vertical="center"/>
    </xf>
    <xf numFmtId="0" fontId="46" fillId="8" borderId="0" applyAlignment="1" pivotButton="0" quotePrefix="0" xfId="0">
      <alignment horizontal="left" vertical="center"/>
    </xf>
    <xf numFmtId="0" fontId="62" fillId="7" borderId="0" applyAlignment="1" pivotButton="0" quotePrefix="0" xfId="0">
      <alignment horizontal="left" vertical="center"/>
    </xf>
    <xf numFmtId="0" fontId="6" fillId="7" borderId="4" applyAlignment="1" pivotButton="0" quotePrefix="0" xfId="0">
      <alignment horizontal="center" vertical="center" wrapText="1"/>
    </xf>
    <xf numFmtId="0" fontId="54" fillId="11" borderId="4" applyAlignment="1" pivotButton="0" quotePrefix="0" xfId="0">
      <alignment horizontal="center" vertical="center"/>
    </xf>
    <xf numFmtId="0" fontId="49" fillId="11" borderId="4" applyAlignment="1" pivotButton="0" quotePrefix="0" xfId="0">
      <alignment horizontal="left" vertical="center"/>
    </xf>
    <xf numFmtId="0" fontId="63" fillId="11" borderId="4" applyAlignment="1" pivotButton="0" quotePrefix="0" xfId="0">
      <alignment horizontal="center" vertical="center"/>
    </xf>
    <xf numFmtId="0" fontId="64" fillId="11" borderId="4" applyAlignment="1" pivotButton="0" quotePrefix="0" xfId="0">
      <alignment horizontal="left" vertical="center" wrapText="1"/>
    </xf>
    <xf numFmtId="0" fontId="53" fillId="11" borderId="4" applyAlignment="1" pivotButton="0" quotePrefix="0" xfId="0">
      <alignment horizontal="center" vertical="center"/>
    </xf>
    <xf numFmtId="0" fontId="54" fillId="30" borderId="4" applyAlignment="1" pivotButton="0" quotePrefix="0" xfId="0">
      <alignment horizontal="center" vertical="center"/>
    </xf>
    <xf numFmtId="0" fontId="49" fillId="30" borderId="4" applyAlignment="1" pivotButton="0" quotePrefix="0" xfId="0">
      <alignment horizontal="left" vertical="center"/>
    </xf>
    <xf numFmtId="0" fontId="63" fillId="30" borderId="4" applyAlignment="1" pivotButton="0" quotePrefix="0" xfId="0">
      <alignment horizontal="center" vertical="center"/>
    </xf>
    <xf numFmtId="0" fontId="64" fillId="30" borderId="4" applyAlignment="1" pivotButton="0" quotePrefix="0" xfId="0">
      <alignment horizontal="left" vertical="center" wrapText="1"/>
    </xf>
    <xf numFmtId="0" fontId="53" fillId="30" borderId="4" applyAlignment="1" pivotButton="0" quotePrefix="0" xfId="0">
      <alignment horizontal="center" vertical="center"/>
    </xf>
    <xf numFmtId="0" fontId="62" fillId="15" borderId="0" applyAlignment="1" pivotButton="0" quotePrefix="0" xfId="0">
      <alignment horizontal="left" vertical="center"/>
    </xf>
    <xf numFmtId="0" fontId="6" fillId="15" borderId="4" applyAlignment="1" pivotButton="0" quotePrefix="0" xfId="0">
      <alignment horizontal="center" vertical="center" wrapText="1"/>
    </xf>
    <xf numFmtId="0" fontId="47" fillId="11" borderId="4" applyAlignment="1" pivotButton="0" quotePrefix="0" xfId="0">
      <alignment horizontal="left" vertical="center"/>
    </xf>
    <xf numFmtId="0" fontId="54" fillId="16" borderId="4" applyAlignment="1" pivotButton="0" quotePrefix="0" xfId="0">
      <alignment horizontal="center" vertical="center"/>
    </xf>
    <xf numFmtId="0" fontId="47" fillId="16" borderId="4" applyAlignment="1" pivotButton="0" quotePrefix="0" xfId="0">
      <alignment horizontal="left" vertical="center"/>
    </xf>
    <xf numFmtId="0" fontId="63" fillId="16" borderId="4" applyAlignment="1" pivotButton="0" quotePrefix="0" xfId="0">
      <alignment horizontal="center" vertical="center"/>
    </xf>
    <xf numFmtId="0" fontId="64" fillId="16" borderId="4" applyAlignment="1" pivotButton="0" quotePrefix="0" xfId="0">
      <alignment horizontal="left" vertical="center" wrapText="1"/>
    </xf>
    <xf numFmtId="0" fontId="53" fillId="16" borderId="4" applyAlignment="1" pivotButton="0" quotePrefix="0" xfId="0">
      <alignment horizontal="center" vertical="center"/>
    </xf>
    <xf numFmtId="0" fontId="6" fillId="5" borderId="4" applyAlignment="1" pivotButton="0" quotePrefix="0" xfId="0">
      <alignment horizontal="center" vertical="center" wrapText="1"/>
    </xf>
    <xf numFmtId="0" fontId="62" fillId="5" borderId="0" applyAlignment="1" pivotButton="0" quotePrefix="0" xfId="0">
      <alignment horizontal="left" vertical="center"/>
    </xf>
    <xf numFmtId="0" fontId="54" fillId="17" borderId="4" applyAlignment="1" pivotButton="0" quotePrefix="0" xfId="0">
      <alignment horizontal="center" vertical="center"/>
    </xf>
    <xf numFmtId="0" fontId="47" fillId="17" borderId="4" applyAlignment="1" pivotButton="0" quotePrefix="0" xfId="0">
      <alignment horizontal="left" vertical="center"/>
    </xf>
    <xf numFmtId="0" fontId="63" fillId="17" borderId="4" applyAlignment="1" pivotButton="0" quotePrefix="0" xfId="0">
      <alignment horizontal="center" vertical="center"/>
    </xf>
    <xf numFmtId="0" fontId="64" fillId="17" borderId="4" applyAlignment="1" pivotButton="0" quotePrefix="0" xfId="0">
      <alignment horizontal="left" vertical="center" wrapText="1"/>
    </xf>
    <xf numFmtId="0" fontId="53" fillId="17" borderId="4"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8E7"/>
      <rgbColor rgb="FFFF00FF"/>
      <rgbColor rgb="FFF1F7EC"/>
      <rgbColor rgb="FF9C0006"/>
      <rgbColor rgb="FF006100"/>
      <rgbColor rgb="FF1A395C"/>
      <rgbColor rgb="FF7F6000"/>
      <rgbColor rgb="FF800080"/>
      <rgbColor rgb="FF0D7574"/>
      <rgbColor rgb="FFBFBFBF"/>
      <rgbColor rgb="FF7F7F7F"/>
      <rgbColor rgb="FF888888"/>
      <rgbColor rgb="FFC0392B"/>
      <rgbColor rgb="FFFFF2CC"/>
      <rgbColor rgb="FFEAF2FB"/>
      <rgbColor rgb="FF375623"/>
      <rgbColor rgb="FFFDF1EA"/>
      <rgbColor rgb="FF136CA9"/>
      <rgbColor rgb="FFBDD7EE"/>
      <rgbColor rgb="FF000080"/>
      <rgbColor rgb="FFFF00FF"/>
      <rgbColor rgb="FFEEF4E8"/>
      <rgbColor rgb="FFF2F2F2"/>
      <rgbColor rgb="FF800080"/>
      <rgbColor rgb="FFC1392A"/>
      <rgbColor rgb="FF005B96"/>
      <rgbColor rgb="FF0000FF"/>
      <rgbColor rgb="FFF4F8FC"/>
      <rgbColor rgb="FFDEEAF1"/>
      <rgbColor rgb="FFE2EFDA"/>
      <rgbColor rgb="FFFFF3E0"/>
      <rgbColor rgb="FFAFCCF3"/>
      <rgbColor rgb="FFD6DCE4"/>
      <rgbColor rgb="FFD0D0D0"/>
      <rgbColor rgb="FFFFC7CE"/>
      <rgbColor rgb="FF2E75B6"/>
      <rgbColor rgb="FFF0F4F8"/>
      <rgbColor rgb="FFC9A84C"/>
      <rgbColor rgb="FFFCE4D6"/>
      <rgbColor rgb="FFE48A1F"/>
      <rgbColor rgb="FFC55A11"/>
      <rgbColor rgb="FF555555"/>
      <rgbColor rgb="FF999999"/>
      <rgbColor rgb="FF17375E"/>
      <rgbColor rgb="FF2E5FA3"/>
      <rgbColor rgb="FF1A1A2E"/>
      <rgbColor rgb="FF2C4A1E"/>
      <rgbColor rgb="FF833C00"/>
      <rgbColor rgb="FF7030A0"/>
      <rgbColor rgb="FF1F3864"/>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3864"/>
    <outlinePr summaryBelow="1" summaryRight="1"/>
    <pageSetUpPr fitToPage="0"/>
  </sheetPr>
  <dimension ref="A1:M5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216" min="1" max="1"/>
    <col width="18" customWidth="1" style="216" min="2" max="2"/>
    <col width="14" customWidth="1" style="216" min="3" max="12"/>
    <col width="2" customWidth="1" style="216" min="13" max="13"/>
  </cols>
  <sheetData>
    <row r="1" ht="7.5" customHeight="1" s="217">
      <c r="A1" s="218" t="n"/>
      <c r="B1" s="218" t="n"/>
      <c r="C1" s="218" t="n"/>
      <c r="D1" s="218" t="n"/>
      <c r="E1" s="218" t="n"/>
      <c r="F1" s="218" t="n"/>
      <c r="G1" s="218" t="n"/>
      <c r="H1" s="218" t="n"/>
      <c r="I1" s="218" t="n"/>
      <c r="J1" s="218" t="n"/>
      <c r="K1" s="218" t="n"/>
      <c r="L1" s="218" t="n"/>
      <c r="M1" s="218" t="n"/>
    </row>
    <row r="2" ht="54.75" customHeight="1" s="217">
      <c r="A2" s="218" t="n"/>
      <c r="B2" s="219" t="inlineStr">
        <is>
          <t>📊  TURBO DIESEL — DASHBOARD TỔNG QUAN KHO HÀNG</t>
        </is>
      </c>
      <c r="M2" s="218" t="n"/>
    </row>
    <row r="3" ht="9.75" customHeight="1" s="217">
      <c r="A3" s="218" t="n"/>
      <c r="B3" s="218" t="n"/>
      <c r="C3" s="218" t="n"/>
      <c r="D3" s="218" t="n"/>
      <c r="E3" s="218" t="n"/>
      <c r="F3" s="218" t="n"/>
      <c r="G3" s="218" t="n"/>
      <c r="H3" s="218" t="n"/>
      <c r="I3" s="218" t="n"/>
      <c r="J3" s="218" t="n"/>
      <c r="K3" s="218" t="n"/>
      <c r="L3" s="218" t="n"/>
      <c r="M3" s="218" t="n"/>
    </row>
    <row r="4" ht="19.5" customHeight="1" s="217">
      <c r="A4" s="218" t="n"/>
      <c r="B4" s="220" t="inlineStr">
        <is>
          <t>Tự động cập nhật từ file BÁO GIÁ TURBO  ·  Nguồn: sheet 🚗 BÁO GIÁ TURBO</t>
        </is>
      </c>
      <c r="M4" s="218" t="n"/>
    </row>
    <row r="5" ht="12" customHeight="1" s="217">
      <c r="A5" s="218" t="n"/>
      <c r="B5" s="218" t="n"/>
      <c r="C5" s="218" t="n"/>
      <c r="D5" s="218" t="n"/>
      <c r="E5" s="218" t="n"/>
      <c r="F5" s="218" t="n"/>
      <c r="G5" s="218" t="n"/>
      <c r="H5" s="218" t="n"/>
      <c r="I5" s="218" t="n"/>
      <c r="J5" s="218" t="n"/>
      <c r="K5" s="218" t="n"/>
      <c r="L5" s="218" t="n"/>
      <c r="M5" s="218" t="n"/>
    </row>
    <row r="6" ht="39.75" customHeight="1" s="217">
      <c r="A6" s="218" t="n"/>
      <c r="B6" s="221" t="inlineStr">
        <is>
          <t>TỔNG SKU TURBO</t>
        </is>
      </c>
      <c r="D6" s="222" t="inlineStr">
        <is>
          <t>ĐÃ CÓ MÃ VT</t>
        </is>
      </c>
      <c r="F6" s="223" t="inlineStr">
        <is>
          <t>THƯƠNG HIỆU ĐỦ</t>
        </is>
      </c>
      <c r="H6" s="224" t="inlineStr">
        <is>
          <t>TRÙNG MÃ VT</t>
        </is>
      </c>
      <c r="J6" s="225" t="inlineStr">
        <is>
          <t>BỔ SUNG KHÁC TH</t>
        </is>
      </c>
      <c r="L6" s="218" t="n"/>
      <c r="M6" s="218" t="n"/>
    </row>
    <row r="7" ht="49.5" customHeight="1" s="217">
      <c r="A7" s="218" t="n"/>
      <c r="B7" s="226" t="n">
        <v>424</v>
      </c>
      <c r="D7" s="227" t="n">
        <v>365</v>
      </c>
      <c r="F7" s="228" t="n">
        <v>336</v>
      </c>
      <c r="H7" s="229" t="n">
        <v>26</v>
      </c>
      <c r="J7" s="230" t="n">
        <v>233</v>
      </c>
      <c r="L7" s="218" t="n"/>
      <c r="M7" s="218" t="n"/>
    </row>
    <row r="8" ht="30" customHeight="1" s="217">
      <c r="A8" s="218" t="n"/>
      <c r="B8" s="231" t="n"/>
      <c r="D8" s="232" t="inlineStr">
        <is>
          <t>86%</t>
        </is>
      </c>
      <c r="F8" s="233" t="inlineStr">
        <is>
          <t>79%</t>
        </is>
      </c>
      <c r="H8" s="234" t="inlineStr">
        <is>
          <t>cần xem lại</t>
        </is>
      </c>
      <c r="J8" s="235" t="inlineStr">
        <is>
          <t>khác thương hiệu</t>
        </is>
      </c>
      <c r="L8" s="218" t="n"/>
      <c r="M8" s="218" t="n"/>
    </row>
    <row r="9" ht="9.75" customHeight="1" s="217">
      <c r="A9" s="218" t="n"/>
      <c r="B9" s="218" t="n"/>
      <c r="C9" s="218" t="n"/>
      <c r="D9" s="218" t="n"/>
      <c r="E9" s="218" t="n"/>
      <c r="F9" s="218" t="n"/>
      <c r="G9" s="218" t="n"/>
      <c r="H9" s="218" t="n"/>
      <c r="I9" s="218" t="n"/>
      <c r="J9" s="218" t="n"/>
      <c r="K9" s="218" t="n"/>
      <c r="L9" s="218" t="n"/>
      <c r="M9" s="218" t="n"/>
    </row>
    <row r="10" ht="27.75" customHeight="1" s="217">
      <c r="A10" s="218" t="n"/>
      <c r="B10" s="236" t="inlineStr">
        <is>
          <t>🏭  TOP HÃNG MÁY  (theo số loại Turbo)</t>
        </is>
      </c>
      <c r="G10" s="237" t="inlineStr">
        <is>
          <t>🏷️  PHÂN BỔ THƯƠNG HIỆU</t>
        </is>
      </c>
      <c r="M10" s="218" t="n"/>
    </row>
    <row r="11" ht="19.5" customHeight="1" s="217">
      <c r="A11" s="218" t="n"/>
      <c r="B11" s="238" t="inlineStr">
        <is>
          <t>HÃNG MÁY</t>
        </is>
      </c>
      <c r="C11" s="238" t="inlineStr">
        <is>
          <t>SỐ LOẠI</t>
        </is>
      </c>
      <c r="D11" s="238" t="inlineStr">
        <is>
          <t>TỶ LỆ</t>
        </is>
      </c>
      <c r="E11" s="238" t="inlineStr">
        <is>
          <t>BAR</t>
        </is>
      </c>
      <c r="F11" s="218" t="n"/>
      <c r="G11" s="239" t="inlineStr">
        <is>
          <t>THƯƠNG HIỆU</t>
        </is>
      </c>
      <c r="H11" s="239" t="inlineStr">
        <is>
          <t>SỐ LOẠI</t>
        </is>
      </c>
      <c r="I11" s="239" t="inlineStr">
        <is>
          <t>TỶ LỆ</t>
        </is>
      </c>
      <c r="J11" s="239" t="inlineStr">
        <is>
          <t>BAR</t>
        </is>
      </c>
      <c r="K11" s="240" t="n"/>
      <c r="L11" s="240" t="n"/>
      <c r="M11" s="218" t="n"/>
    </row>
    <row r="12" ht="18" customHeight="1" s="217">
      <c r="A12" s="218" t="n"/>
      <c r="B12" s="241" t="inlineStr">
        <is>
          <t>HYUNDAI</t>
        </is>
      </c>
      <c r="C12" s="242" t="n">
        <v>68</v>
      </c>
      <c r="D12" s="243" t="inlineStr">
        <is>
          <t>16.0%</t>
        </is>
      </c>
      <c r="E12" s="244" t="inlineStr">
        <is>
          <t>████████████</t>
        </is>
      </c>
      <c r="F12" s="218" t="n"/>
      <c r="G12" s="245" t="inlineStr">
        <is>
          <t>SL</t>
        </is>
      </c>
      <c r="H12" s="246" t="n">
        <v>157</v>
      </c>
      <c r="I12" s="247" t="inlineStr">
        <is>
          <t>37.0%</t>
        </is>
      </c>
      <c r="J12" s="248" t="inlineStr">
        <is>
          <t>██████████████</t>
        </is>
      </c>
      <c r="K12" s="249" t="n"/>
      <c r="L12" s="249" t="n"/>
      <c r="M12" s="218" t="n"/>
    </row>
    <row r="13" ht="18" customHeight="1" s="217">
      <c r="A13" s="218" t="n"/>
      <c r="B13" s="250" t="inlineStr">
        <is>
          <t>CUMMINS</t>
        </is>
      </c>
      <c r="C13" s="251" t="n">
        <v>57</v>
      </c>
      <c r="D13" s="252" t="inlineStr">
        <is>
          <t>13.4%</t>
        </is>
      </c>
      <c r="E13" s="253" t="inlineStr">
        <is>
          <t>██████████</t>
        </is>
      </c>
      <c r="F13" s="218" t="n"/>
      <c r="G13" s="254" t="inlineStr">
        <is>
          <t>JRONE</t>
        </is>
      </c>
      <c r="H13" s="255" t="n">
        <v>63</v>
      </c>
      <c r="I13" s="256" t="inlineStr">
        <is>
          <t>14.9%</t>
        </is>
      </c>
      <c r="J13" s="257" t="inlineStr">
        <is>
          <t>█████</t>
        </is>
      </c>
      <c r="K13" s="258" t="n"/>
      <c r="L13" s="258" t="n"/>
      <c r="M13" s="218" t="n"/>
    </row>
    <row r="14" ht="18" customHeight="1" s="217">
      <c r="A14" s="218" t="n"/>
      <c r="B14" s="241" t="inlineStr">
        <is>
          <t>KOMATSU</t>
        </is>
      </c>
      <c r="C14" s="242" t="n">
        <v>44</v>
      </c>
      <c r="D14" s="243" t="inlineStr">
        <is>
          <t>10.4%</t>
        </is>
      </c>
      <c r="E14" s="259" t="inlineStr">
        <is>
          <t>███████</t>
        </is>
      </c>
      <c r="F14" s="218" t="n"/>
      <c r="G14" s="260" t="inlineStr">
        <is>
          <t>VIDARIR</t>
        </is>
      </c>
      <c r="H14" s="261" t="n">
        <v>45</v>
      </c>
      <c r="I14" s="247" t="inlineStr">
        <is>
          <t>10.6%</t>
        </is>
      </c>
      <c r="J14" s="262" t="inlineStr">
        <is>
          <t>████</t>
        </is>
      </c>
      <c r="K14" s="249" t="n"/>
      <c r="L14" s="249" t="n"/>
      <c r="M14" s="218" t="n"/>
    </row>
    <row r="15" ht="18" customHeight="1" s="217">
      <c r="A15" s="218" t="n"/>
      <c r="B15" s="250" t="inlineStr">
        <is>
          <t>CAT</t>
        </is>
      </c>
      <c r="C15" s="251" t="n">
        <v>34</v>
      </c>
      <c r="D15" s="252" t="inlineStr">
        <is>
          <t>8.0%</t>
        </is>
      </c>
      <c r="E15" s="253" t="inlineStr">
        <is>
          <t>██████</t>
        </is>
      </c>
      <c r="F15" s="218" t="n"/>
      <c r="G15" s="263" t="inlineStr">
        <is>
          <t>TBS</t>
        </is>
      </c>
      <c r="H15" s="264" t="n">
        <v>18</v>
      </c>
      <c r="I15" s="256" t="inlineStr">
        <is>
          <t>4.2%</t>
        </is>
      </c>
      <c r="J15" s="265" t="inlineStr">
        <is>
          <t>█</t>
        </is>
      </c>
      <c r="K15" s="258" t="n"/>
      <c r="L15" s="258" t="n"/>
      <c r="M15" s="218" t="n"/>
    </row>
    <row r="16" ht="18" customHeight="1" s="217">
      <c r="A16" s="218" t="n"/>
      <c r="B16" s="241" t="inlineStr">
        <is>
          <t>ISUZU</t>
        </is>
      </c>
      <c r="C16" s="242" t="n">
        <v>34</v>
      </c>
      <c r="D16" s="243" t="inlineStr">
        <is>
          <t>8.0%</t>
        </is>
      </c>
      <c r="E16" s="259" t="inlineStr">
        <is>
          <t>██████</t>
        </is>
      </c>
      <c r="F16" s="218" t="n"/>
      <c r="G16" s="266" t="inlineStr">
        <is>
          <t>FIRE</t>
        </is>
      </c>
      <c r="H16" s="267" t="n">
        <v>15</v>
      </c>
      <c r="I16" s="247" t="inlineStr">
        <is>
          <t>3.5%</t>
        </is>
      </c>
      <c r="J16" s="268" t="inlineStr">
        <is>
          <t>█</t>
        </is>
      </c>
      <c r="K16" s="249" t="n"/>
      <c r="L16" s="249" t="n"/>
      <c r="M16" s="218" t="n"/>
    </row>
    <row r="17" ht="18" customHeight="1" s="217">
      <c r="A17" s="218" t="n"/>
      <c r="B17" s="250" t="inlineStr">
        <is>
          <t>HITACHI</t>
        </is>
      </c>
      <c r="C17" s="251" t="n">
        <v>31</v>
      </c>
      <c r="D17" s="252" t="inlineStr">
        <is>
          <t>7.3%</t>
        </is>
      </c>
      <c r="E17" s="253" t="inlineStr">
        <is>
          <t>█████</t>
        </is>
      </c>
      <c r="F17" s="218" t="n"/>
      <c r="G17" s="269" t="inlineStr">
        <is>
          <t>EE</t>
        </is>
      </c>
      <c r="H17" s="270" t="n">
        <v>14</v>
      </c>
      <c r="I17" s="256" t="inlineStr">
        <is>
          <t>3.3%</t>
        </is>
      </c>
      <c r="J17" s="271" t="inlineStr">
        <is>
          <t>█</t>
        </is>
      </c>
      <c r="K17" s="258" t="n"/>
      <c r="L17" s="258" t="n"/>
      <c r="M17" s="218" t="n"/>
    </row>
    <row r="18" ht="18" customHeight="1" s="217">
      <c r="A18" s="218" t="n"/>
      <c r="B18" s="241" t="inlineStr">
        <is>
          <t>KOBELCO</t>
        </is>
      </c>
      <c r="C18" s="242" t="n">
        <v>19</v>
      </c>
      <c r="D18" s="243" t="inlineStr">
        <is>
          <t>4.5%</t>
        </is>
      </c>
      <c r="E18" s="259" t="inlineStr">
        <is>
          <t>███</t>
        </is>
      </c>
      <c r="F18" s="218" t="n"/>
      <c r="G18" s="272" t="inlineStr">
        <is>
          <t>MX</t>
        </is>
      </c>
      <c r="H18" s="273" t="n">
        <v>9</v>
      </c>
      <c r="I18" s="247" t="inlineStr">
        <is>
          <t>2.1%</t>
        </is>
      </c>
      <c r="J18" s="274" t="n"/>
      <c r="K18" s="249" t="n"/>
      <c r="L18" s="249" t="n"/>
      <c r="M18" s="218" t="n"/>
    </row>
    <row r="19" ht="18" customHeight="1" s="217">
      <c r="A19" s="218" t="n"/>
      <c r="B19" s="250" t="inlineStr">
        <is>
          <t>DEUTZ</t>
        </is>
      </c>
      <c r="C19" s="251" t="n">
        <v>15</v>
      </c>
      <c r="D19" s="252" t="inlineStr">
        <is>
          <t>3.5%</t>
        </is>
      </c>
      <c r="E19" s="253" t="inlineStr">
        <is>
          <t>██</t>
        </is>
      </c>
      <c r="F19" s="218" t="n"/>
      <c r="G19" s="275" t="inlineStr">
        <is>
          <t>GARRETT</t>
        </is>
      </c>
      <c r="H19" s="276" t="n">
        <v>2</v>
      </c>
      <c r="I19" s="256" t="inlineStr">
        <is>
          <t>0.5%</t>
        </is>
      </c>
      <c r="J19" s="277" t="n"/>
      <c r="K19" s="258" t="n"/>
      <c r="L19" s="258" t="n"/>
      <c r="M19" s="218" t="n"/>
    </row>
    <row r="20" ht="18" customHeight="1" s="217">
      <c r="A20" s="218" t="n"/>
      <c r="B20" s="241" t="inlineStr">
        <is>
          <t>FORD</t>
        </is>
      </c>
      <c r="C20" s="242" t="n">
        <v>15</v>
      </c>
      <c r="D20" s="243" t="inlineStr">
        <is>
          <t>3.5%</t>
        </is>
      </c>
      <c r="E20" s="259" t="inlineStr">
        <is>
          <t>██</t>
        </is>
      </c>
      <c r="F20" s="218" t="n"/>
      <c r="G20" s="218" t="n"/>
      <c r="H20" s="218" t="n"/>
      <c r="I20" s="218" t="n"/>
      <c r="J20" s="218" t="n"/>
      <c r="K20" s="218" t="n"/>
      <c r="L20" s="218" t="n"/>
      <c r="M20" s="218" t="n"/>
    </row>
    <row r="21" ht="18" customHeight="1" s="217">
      <c r="A21" s="218" t="n"/>
      <c r="B21" s="250" t="inlineStr">
        <is>
          <t>HINO</t>
        </is>
      </c>
      <c r="C21" s="251" t="n">
        <v>13</v>
      </c>
      <c r="D21" s="252" t="inlineStr">
        <is>
          <t>3.1%</t>
        </is>
      </c>
      <c r="E21" s="253" t="inlineStr">
        <is>
          <t>██</t>
        </is>
      </c>
      <c r="F21" s="218" t="n"/>
      <c r="G21" s="218" t="n"/>
      <c r="H21" s="218" t="n"/>
      <c r="I21" s="218" t="n"/>
      <c r="J21" s="218" t="n"/>
      <c r="K21" s="218" t="n"/>
      <c r="L21" s="218" t="n"/>
      <c r="M21" s="218" t="n"/>
    </row>
    <row r="22" ht="27.75" customHeight="1" s="217">
      <c r="A22" s="218" t="n"/>
      <c r="B22" s="241" t="inlineStr">
        <is>
          <t>PERKINS</t>
        </is>
      </c>
      <c r="C22" s="242" t="n">
        <v>12</v>
      </c>
      <c r="D22" s="243" t="inlineStr">
        <is>
          <t>2.8%</t>
        </is>
      </c>
      <c r="E22" s="259" t="inlineStr">
        <is>
          <t>██</t>
        </is>
      </c>
      <c r="F22" s="218" t="n"/>
      <c r="G22" s="278" t="inlineStr">
        <is>
          <t>⚙️  HÃNG SẢN XUẤT TURBO</t>
        </is>
      </c>
      <c r="M22" s="218" t="n"/>
    </row>
    <row r="23" ht="19.5" customHeight="1" s="217">
      <c r="A23" s="218" t="n"/>
      <c r="B23" s="250" t="inlineStr">
        <is>
          <t>NISSAN</t>
        </is>
      </c>
      <c r="C23" s="251" t="n">
        <v>11</v>
      </c>
      <c r="D23" s="252" t="inlineStr">
        <is>
          <t>2.6%</t>
        </is>
      </c>
      <c r="E23" s="253" t="inlineStr">
        <is>
          <t>█</t>
        </is>
      </c>
      <c r="F23" s="218" t="n"/>
      <c r="G23" s="279" t="inlineStr">
        <is>
          <t>HÃNG SX</t>
        </is>
      </c>
      <c r="H23" s="279" t="inlineStr">
        <is>
          <t>SỐ LOẠI</t>
        </is>
      </c>
      <c r="I23" s="279" t="inlineStr">
        <is>
          <t>TỶ LỆ</t>
        </is>
      </c>
      <c r="J23" s="279" t="inlineStr">
        <is>
          <t>BAR</t>
        </is>
      </c>
      <c r="K23" s="280" t="n"/>
      <c r="L23" s="280" t="n"/>
      <c r="M23" s="218" t="n"/>
    </row>
    <row r="24" ht="18" customHeight="1" s="217">
      <c r="A24" s="218" t="n"/>
      <c r="B24" s="218" t="n"/>
      <c r="C24" s="218" t="n"/>
      <c r="D24" s="218" t="n"/>
      <c r="E24" s="218" t="n"/>
      <c r="F24" s="218" t="n"/>
      <c r="G24" s="281" t="inlineStr">
        <is>
          <t>Garrett</t>
        </is>
      </c>
      <c r="H24" s="282" t="n">
        <v>121</v>
      </c>
      <c r="I24" s="283" t="inlineStr">
        <is>
          <t>28.5%</t>
        </is>
      </c>
      <c r="J24" s="284" t="inlineStr">
        <is>
          <t>██████████████</t>
        </is>
      </c>
      <c r="K24" s="218" t="n"/>
      <c r="L24" s="218" t="n"/>
      <c r="M24" s="218" t="n"/>
    </row>
    <row r="25" ht="18" customHeight="1" s="217">
      <c r="A25" s="218" t="n"/>
      <c r="B25" s="218" t="n"/>
      <c r="C25" s="218" t="n"/>
      <c r="D25" s="218" t="n"/>
      <c r="E25" s="218" t="n"/>
      <c r="F25" s="218" t="n"/>
      <c r="G25" s="285" t="inlineStr">
        <is>
          <t>Holset</t>
        </is>
      </c>
      <c r="H25" s="251" t="n">
        <v>82</v>
      </c>
      <c r="I25" s="256" t="inlineStr">
        <is>
          <t>19.3%</t>
        </is>
      </c>
      <c r="J25" s="253" t="inlineStr">
        <is>
          <t>█████████</t>
        </is>
      </c>
      <c r="K25" s="258" t="n"/>
      <c r="L25" s="258" t="n"/>
      <c r="M25" s="218" t="n"/>
    </row>
    <row r="26" ht="27.75" customHeight="1" s="217">
      <c r="A26" s="218" t="n"/>
      <c r="B26" s="286" t="inlineStr">
        <is>
          <t>✅  CHẤT LƯỢNG DỮ LIỆU</t>
        </is>
      </c>
      <c r="G26" s="287" t="inlineStr">
        <is>
          <t>IHI</t>
        </is>
      </c>
      <c r="H26" s="288" t="n">
        <v>81</v>
      </c>
      <c r="I26" s="283" t="inlineStr">
        <is>
          <t>19.1%</t>
        </is>
      </c>
      <c r="J26" s="289" t="inlineStr">
        <is>
          <t>█████████</t>
        </is>
      </c>
      <c r="K26" s="218" t="n"/>
      <c r="L26" s="218" t="n"/>
      <c r="M26" s="218" t="n"/>
    </row>
    <row r="27" ht="19.5" customHeight="1" s="217">
      <c r="A27" s="218" t="n"/>
      <c r="B27" s="290" t="inlineStr">
        <is>
          <t>TRƯỜNG</t>
        </is>
      </c>
      <c r="C27" s="290" t="inlineStr">
        <is>
          <t>ĐÃ ĐIỀN</t>
        </is>
      </c>
      <c r="D27" s="290" t="inlineStr">
        <is>
          <t>TỔNG</t>
        </is>
      </c>
      <c r="E27" s="290" t="inlineStr">
        <is>
          <t>HOÀN THÀNH</t>
        </is>
      </c>
      <c r="F27" s="218" t="n"/>
      <c r="G27" s="291" t="inlineStr">
        <is>
          <t>Mitsubishi</t>
        </is>
      </c>
      <c r="H27" s="292" t="n">
        <v>73</v>
      </c>
      <c r="I27" s="256" t="inlineStr">
        <is>
          <t>17.2%</t>
        </is>
      </c>
      <c r="J27" s="293" t="inlineStr">
        <is>
          <t>████████</t>
        </is>
      </c>
      <c r="K27" s="258" t="n"/>
      <c r="L27" s="258" t="n"/>
      <c r="M27" s="218" t="n"/>
    </row>
    <row r="28" ht="18" customHeight="1" s="217">
      <c r="A28" s="218" t="n"/>
      <c r="B28" s="294" t="inlineStr">
        <is>
          <t>OEM PART NO</t>
        </is>
      </c>
      <c r="C28" s="295" t="n">
        <v>424</v>
      </c>
      <c r="D28" s="296" t="n">
        <v>424</v>
      </c>
      <c r="E28" s="295" t="inlineStr">
        <is>
          <t>100.0%</t>
        </is>
      </c>
      <c r="F28" s="218" t="n"/>
      <c r="G28" s="297" t="inlineStr">
        <is>
          <t>BorgWarner</t>
        </is>
      </c>
      <c r="H28" s="298" t="n">
        <v>59</v>
      </c>
      <c r="I28" s="283" t="inlineStr">
        <is>
          <t>13.9%</t>
        </is>
      </c>
      <c r="J28" s="299" t="inlineStr">
        <is>
          <t>██████</t>
        </is>
      </c>
      <c r="K28" s="218" t="n"/>
      <c r="L28" s="218" t="n"/>
      <c r="M28" s="218" t="n"/>
    </row>
    <row r="29" ht="18" customHeight="1" s="217">
      <c r="A29" s="218" t="n"/>
      <c r="B29" s="250" t="inlineStr">
        <is>
          <t>MÃ VT</t>
        </is>
      </c>
      <c r="C29" s="300" t="n">
        <v>365</v>
      </c>
      <c r="D29" s="301" t="n">
        <v>424</v>
      </c>
      <c r="E29" s="300" t="inlineStr">
        <is>
          <t>86.1%</t>
        </is>
      </c>
      <c r="F29" s="218" t="n"/>
      <c r="G29" s="218" t="n"/>
      <c r="H29" s="218" t="n"/>
      <c r="I29" s="218" t="n"/>
      <c r="J29" s="218" t="n"/>
      <c r="K29" s="218" t="n"/>
      <c r="L29" s="218" t="n"/>
      <c r="M29" s="218" t="n"/>
    </row>
    <row r="30" ht="18" customHeight="1" s="217">
      <c r="A30" s="218" t="n"/>
      <c r="B30" s="294" t="inlineStr">
        <is>
          <t>THƯƠNG HIỆU</t>
        </is>
      </c>
      <c r="C30" s="302" t="n">
        <v>336</v>
      </c>
      <c r="D30" s="296" t="n">
        <v>424</v>
      </c>
      <c r="E30" s="302" t="inlineStr">
        <is>
          <t>79.2%</t>
        </is>
      </c>
      <c r="F30" s="218" t="n"/>
      <c r="G30" s="218" t="n"/>
      <c r="H30" s="218" t="n"/>
      <c r="I30" s="218" t="n"/>
      <c r="J30" s="218" t="n"/>
      <c r="K30" s="218" t="n"/>
      <c r="L30" s="218" t="n"/>
      <c r="M30" s="218" t="n"/>
    </row>
    <row r="31" ht="18" customHeight="1" s="217">
      <c r="A31" s="218" t="n"/>
      <c r="B31" s="303" t="inlineStr">
        <is>
          <t>TRÙNG MÃ VT</t>
        </is>
      </c>
      <c r="C31" s="304" t="n">
        <v>26</v>
      </c>
      <c r="D31" s="305" t="n">
        <v>365</v>
      </c>
      <c r="E31" s="304" t="inlineStr">
        <is>
          <t>7.1%</t>
        </is>
      </c>
      <c r="F31" s="218" t="n"/>
      <c r="G31" s="218" t="n"/>
      <c r="H31" s="218" t="n"/>
      <c r="I31" s="218" t="n"/>
      <c r="J31" s="218" t="n"/>
      <c r="K31" s="218" t="n"/>
      <c r="L31" s="218" t="n"/>
      <c r="M31" s="218" t="n"/>
    </row>
    <row r="32" ht="15" customHeight="1" s="217">
      <c r="A32" s="218" t="n"/>
      <c r="B32" s="218" t="n"/>
      <c r="C32" s="218" t="n"/>
      <c r="D32" s="218" t="n"/>
      <c r="E32" s="218" t="n"/>
      <c r="F32" s="218" t="n"/>
      <c r="G32" s="218" t="n"/>
      <c r="H32" s="218" t="n"/>
      <c r="I32" s="218" t="n"/>
      <c r="J32" s="218" t="n"/>
      <c r="K32" s="218" t="n"/>
      <c r="L32" s="218" t="n"/>
      <c r="M32" s="218" t="n"/>
    </row>
    <row r="33" ht="15" customHeight="1" s="217">
      <c r="A33" s="218" t="n"/>
      <c r="B33" s="218" t="n"/>
      <c r="C33" s="218" t="n"/>
      <c r="D33" s="218" t="n"/>
      <c r="E33" s="218" t="n"/>
      <c r="F33" s="218" t="n"/>
      <c r="G33" s="218" t="n"/>
      <c r="H33" s="218" t="n"/>
      <c r="I33" s="218" t="n"/>
      <c r="J33" s="218" t="n"/>
      <c r="K33" s="218" t="n"/>
      <c r="L33" s="218" t="n"/>
      <c r="M33" s="218" t="n"/>
    </row>
    <row r="34" ht="15" customHeight="1" s="217">
      <c r="A34" s="218" t="n"/>
      <c r="B34" s="218" t="n"/>
      <c r="C34" s="218" t="n"/>
      <c r="D34" s="218" t="n"/>
      <c r="E34" s="218" t="n"/>
      <c r="F34" s="218" t="n"/>
      <c r="G34" s="218" t="n"/>
      <c r="H34" s="218" t="n"/>
      <c r="I34" s="218" t="n"/>
      <c r="J34" s="218" t="n"/>
      <c r="K34" s="218" t="n"/>
      <c r="L34" s="218" t="n"/>
      <c r="M34" s="218" t="n"/>
    </row>
    <row r="35" ht="19.5" customHeight="1" s="217">
      <c r="A35" s="218" t="n"/>
      <c r="B35" s="306" t="inlineStr">
        <is>
          <t>Cập nhật lần cuối: từ file MÃ_VT_TURBO.xls  ·  Tổng bổ sung thêm 233 dòng khác thương hiệu  ·  Bản dành cho Claude Projects</t>
        </is>
      </c>
      <c r="M35" s="218" t="n"/>
    </row>
    <row r="36" ht="15" customHeight="1" s="217">
      <c r="A36" s="218" t="n"/>
      <c r="B36" s="218" t="n"/>
      <c r="C36" s="218" t="n"/>
      <c r="D36" s="218" t="n"/>
      <c r="E36" s="218" t="n"/>
      <c r="F36" s="218" t="n"/>
      <c r="G36" s="218" t="n"/>
      <c r="H36" s="218" t="n"/>
      <c r="I36" s="218" t="n"/>
      <c r="J36" s="218" t="n"/>
      <c r="K36" s="218" t="n"/>
      <c r="L36" s="218" t="n"/>
      <c r="M36" s="218" t="n"/>
    </row>
    <row r="37" ht="15" customHeight="1" s="217">
      <c r="A37" s="218" t="n"/>
      <c r="B37" s="218" t="n"/>
      <c r="C37" s="218" t="n"/>
      <c r="D37" s="218" t="n"/>
      <c r="E37" s="218" t="n"/>
      <c r="F37" s="218" t="n"/>
      <c r="G37" s="218" t="n"/>
      <c r="H37" s="218" t="n"/>
      <c r="I37" s="218" t="n"/>
      <c r="J37" s="218" t="n"/>
      <c r="K37" s="218" t="n"/>
      <c r="L37" s="218" t="n"/>
      <c r="M37" s="218" t="n"/>
    </row>
    <row r="38" ht="15" customHeight="1" s="217">
      <c r="A38" s="218" t="n"/>
      <c r="B38" s="218" t="n"/>
      <c r="C38" s="218" t="n"/>
      <c r="D38" s="218" t="n"/>
      <c r="E38" s="218" t="n"/>
      <c r="F38" s="218" t="n"/>
      <c r="G38" s="218" t="n"/>
      <c r="H38" s="218" t="n"/>
      <c r="I38" s="218" t="n"/>
      <c r="J38" s="218" t="n"/>
      <c r="K38" s="218" t="n"/>
      <c r="L38" s="218" t="n"/>
      <c r="M38" s="218" t="n"/>
    </row>
    <row r="39" ht="15" customHeight="1" s="217">
      <c r="A39" s="218" t="n"/>
      <c r="B39" s="218" t="n"/>
      <c r="C39" s="218" t="n"/>
      <c r="D39" s="218" t="n"/>
      <c r="E39" s="218" t="n"/>
      <c r="F39" s="218" t="n"/>
      <c r="G39" s="218" t="n"/>
      <c r="H39" s="218" t="n"/>
      <c r="I39" s="218" t="n"/>
      <c r="J39" s="218" t="n"/>
      <c r="K39" s="218" t="n"/>
      <c r="L39" s="218" t="n"/>
      <c r="M39" s="218" t="n"/>
    </row>
    <row r="40" ht="15" customHeight="1" s="217">
      <c r="A40" s="218" t="n"/>
      <c r="B40" s="218" t="n"/>
      <c r="C40" s="218" t="n"/>
      <c r="D40" s="218" t="n"/>
      <c r="E40" s="218" t="n"/>
      <c r="F40" s="218" t="n"/>
      <c r="G40" s="218" t="n"/>
      <c r="H40" s="218" t="n"/>
      <c r="I40" s="218" t="n"/>
      <c r="J40" s="218" t="n"/>
      <c r="K40" s="218" t="n"/>
      <c r="L40" s="218" t="n"/>
      <c r="M40" s="218" t="n"/>
    </row>
    <row r="41" ht="15" customHeight="1" s="217">
      <c r="A41" s="218" t="n"/>
      <c r="B41" s="218" t="n"/>
      <c r="C41" s="218" t="n"/>
      <c r="D41" s="218" t="n"/>
      <c r="E41" s="218" t="n"/>
      <c r="F41" s="218" t="n"/>
      <c r="G41" s="218" t="n"/>
      <c r="H41" s="218" t="n"/>
      <c r="I41" s="218" t="n"/>
      <c r="J41" s="218" t="n"/>
      <c r="K41" s="218" t="n"/>
      <c r="L41" s="218" t="n"/>
      <c r="M41" s="218" t="n"/>
    </row>
    <row r="42" ht="15" customHeight="1" s="217">
      <c r="A42" s="218" t="n"/>
      <c r="B42" s="218" t="n"/>
      <c r="C42" s="218" t="n"/>
      <c r="D42" s="218" t="n"/>
      <c r="E42" s="218" t="n"/>
      <c r="F42" s="218" t="n"/>
      <c r="G42" s="218" t="n"/>
      <c r="H42" s="218" t="n"/>
      <c r="I42" s="218" t="n"/>
      <c r="J42" s="218" t="n"/>
      <c r="K42" s="218" t="n"/>
      <c r="L42" s="218" t="n"/>
      <c r="M42" s="218" t="n"/>
    </row>
    <row r="43" ht="15" customHeight="1" s="217">
      <c r="A43" s="218" t="n"/>
      <c r="B43" s="218" t="n"/>
      <c r="C43" s="218" t="n"/>
      <c r="D43" s="218" t="n"/>
      <c r="E43" s="218" t="n"/>
      <c r="F43" s="218" t="n"/>
      <c r="G43" s="218" t="n"/>
      <c r="H43" s="218" t="n"/>
      <c r="I43" s="218" t="n"/>
      <c r="J43" s="218" t="n"/>
      <c r="K43" s="218" t="n"/>
      <c r="L43" s="218" t="n"/>
      <c r="M43" s="218" t="n"/>
    </row>
    <row r="44" ht="15" customHeight="1" s="217">
      <c r="A44" s="218" t="n"/>
      <c r="B44" s="218" t="n"/>
      <c r="C44" s="218" t="n"/>
      <c r="D44" s="218" t="n"/>
      <c r="E44" s="218" t="n"/>
      <c r="F44" s="218" t="n"/>
      <c r="G44" s="218" t="n"/>
      <c r="H44" s="218" t="n"/>
      <c r="I44" s="218" t="n"/>
      <c r="J44" s="218" t="n"/>
      <c r="K44" s="218" t="n"/>
      <c r="L44" s="218" t="n"/>
      <c r="M44" s="218" t="n"/>
    </row>
    <row r="45" ht="15" customHeight="1" s="217">
      <c r="A45" s="218" t="n"/>
      <c r="B45" s="218" t="n"/>
      <c r="C45" s="218" t="n"/>
      <c r="D45" s="218" t="n"/>
      <c r="E45" s="218" t="n"/>
      <c r="F45" s="218" t="n"/>
      <c r="G45" s="218" t="n"/>
      <c r="H45" s="218" t="n"/>
      <c r="I45" s="218" t="n"/>
      <c r="J45" s="218" t="n"/>
      <c r="K45" s="218" t="n"/>
      <c r="L45" s="218" t="n"/>
      <c r="M45" s="218" t="n"/>
    </row>
    <row r="46" ht="15" customHeight="1" s="217">
      <c r="A46" s="218" t="n"/>
      <c r="B46" s="218" t="n"/>
      <c r="C46" s="218" t="n"/>
      <c r="D46" s="218" t="n"/>
      <c r="E46" s="218" t="n"/>
      <c r="F46" s="218" t="n"/>
      <c r="G46" s="218" t="n"/>
      <c r="H46" s="218" t="n"/>
      <c r="I46" s="218" t="n"/>
      <c r="J46" s="218" t="n"/>
      <c r="K46" s="218" t="n"/>
      <c r="L46" s="218" t="n"/>
      <c r="M46" s="218" t="n"/>
    </row>
    <row r="47" ht="15" customHeight="1" s="217">
      <c r="A47" s="218" t="n"/>
      <c r="B47" s="218" t="n"/>
      <c r="C47" s="218" t="n"/>
      <c r="D47" s="218" t="n"/>
      <c r="E47" s="218" t="n"/>
      <c r="F47" s="218" t="n"/>
      <c r="G47" s="218" t="n"/>
      <c r="H47" s="218" t="n"/>
      <c r="I47" s="218" t="n"/>
      <c r="J47" s="218" t="n"/>
      <c r="K47" s="218" t="n"/>
      <c r="L47" s="218" t="n"/>
      <c r="M47" s="218" t="n"/>
    </row>
    <row r="48" ht="15" customHeight="1" s="217">
      <c r="A48" s="218" t="n"/>
      <c r="B48" s="218" t="n"/>
      <c r="C48" s="218" t="n"/>
      <c r="D48" s="218" t="n"/>
      <c r="E48" s="218" t="n"/>
      <c r="F48" s="218" t="n"/>
      <c r="G48" s="218" t="n"/>
      <c r="H48" s="218" t="n"/>
      <c r="I48" s="218" t="n"/>
      <c r="J48" s="218" t="n"/>
      <c r="K48" s="218" t="n"/>
      <c r="L48" s="218" t="n"/>
      <c r="M48" s="218" t="n"/>
    </row>
    <row r="49" ht="15" customHeight="1" s="217">
      <c r="A49" s="218" t="n"/>
      <c r="B49" s="218" t="n"/>
      <c r="C49" s="218" t="n"/>
      <c r="D49" s="218" t="n"/>
      <c r="E49" s="218" t="n"/>
      <c r="F49" s="218" t="n"/>
      <c r="G49" s="218" t="n"/>
      <c r="H49" s="218" t="n"/>
      <c r="I49" s="218" t="n"/>
      <c r="J49" s="218" t="n"/>
      <c r="K49" s="218" t="n"/>
      <c r="L49" s="218" t="n"/>
      <c r="M49" s="218" t="n"/>
    </row>
    <row r="50" ht="15" customHeight="1" s="217">
      <c r="A50" s="218" t="n"/>
      <c r="B50" s="218" t="n"/>
      <c r="C50" s="218" t="n"/>
      <c r="D50" s="218" t="n"/>
      <c r="E50" s="218" t="n"/>
      <c r="F50" s="218" t="n"/>
      <c r="G50" s="218" t="n"/>
      <c r="H50" s="218" t="n"/>
      <c r="I50" s="218" t="n"/>
      <c r="J50" s="218" t="n"/>
      <c r="K50" s="218" t="n"/>
      <c r="L50" s="218" t="n"/>
      <c r="M50" s="218" t="n"/>
    </row>
    <row r="51" ht="15" customHeight="1" s="217">
      <c r="A51" s="218" t="n"/>
      <c r="B51" s="218" t="n"/>
      <c r="C51" s="218" t="n"/>
      <c r="D51" s="218" t="n"/>
      <c r="E51" s="218" t="n"/>
      <c r="F51" s="218" t="n"/>
      <c r="G51" s="218" t="n"/>
      <c r="H51" s="218" t="n"/>
      <c r="I51" s="218" t="n"/>
      <c r="J51" s="218" t="n"/>
      <c r="K51" s="218" t="n"/>
      <c r="L51" s="218" t="n"/>
      <c r="M51" s="218" t="n"/>
    </row>
    <row r="52" ht="15" customHeight="1" s="217">
      <c r="A52" s="218" t="n"/>
      <c r="B52" s="218" t="n"/>
      <c r="C52" s="218" t="n"/>
      <c r="D52" s="218" t="n"/>
      <c r="E52" s="218" t="n"/>
      <c r="F52" s="218" t="n"/>
      <c r="G52" s="218" t="n"/>
      <c r="H52" s="218" t="n"/>
      <c r="I52" s="218" t="n"/>
      <c r="J52" s="218" t="n"/>
      <c r="K52" s="218" t="n"/>
      <c r="L52" s="218" t="n"/>
      <c r="M52" s="218" t="n"/>
    </row>
    <row r="53" ht="15" customHeight="1" s="217">
      <c r="A53" s="218" t="n"/>
      <c r="B53" s="218" t="n"/>
      <c r="C53" s="218" t="n"/>
      <c r="D53" s="218" t="n"/>
      <c r="E53" s="218" t="n"/>
      <c r="F53" s="218" t="n"/>
      <c r="G53" s="218" t="n"/>
      <c r="H53" s="218" t="n"/>
      <c r="I53" s="218" t="n"/>
      <c r="J53" s="218" t="n"/>
      <c r="K53" s="218" t="n"/>
      <c r="L53" s="218" t="n"/>
      <c r="M53" s="218" t="n"/>
    </row>
    <row r="54" ht="15" customHeight="1" s="217">
      <c r="A54" s="218" t="n"/>
      <c r="B54" s="218" t="n"/>
      <c r="C54" s="218" t="n"/>
      <c r="D54" s="218" t="n"/>
      <c r="E54" s="218" t="n"/>
      <c r="F54" s="218" t="n"/>
      <c r="G54" s="218" t="n"/>
      <c r="H54" s="218" t="n"/>
      <c r="I54" s="218" t="n"/>
      <c r="J54" s="218" t="n"/>
      <c r="K54" s="218" t="n"/>
      <c r="L54" s="218" t="n"/>
      <c r="M54" s="218" t="n"/>
    </row>
    <row r="55" ht="15" customHeight="1" s="217">
      <c r="A55" s="218" t="n"/>
      <c r="B55" s="218" t="n"/>
      <c r="C55" s="218" t="n"/>
      <c r="D55" s="218" t="n"/>
      <c r="E55" s="218" t="n"/>
      <c r="F55" s="218" t="n"/>
      <c r="G55" s="218" t="n"/>
      <c r="H55" s="218" t="n"/>
      <c r="I55" s="218" t="n"/>
      <c r="J55" s="218" t="n"/>
      <c r="K55" s="218" t="n"/>
      <c r="L55" s="218" t="n"/>
      <c r="M55" s="218" t="n"/>
    </row>
    <row r="56" ht="15" customHeight="1" s="217">
      <c r="A56" s="218" t="n"/>
      <c r="B56" s="218" t="n"/>
      <c r="C56" s="218" t="n"/>
      <c r="D56" s="218" t="n"/>
      <c r="E56" s="218" t="n"/>
      <c r="F56" s="218" t="n"/>
      <c r="G56" s="218" t="n"/>
      <c r="H56" s="218" t="n"/>
      <c r="I56" s="218" t="n"/>
      <c r="J56" s="218" t="n"/>
      <c r="K56" s="218" t="n"/>
      <c r="L56" s="218" t="n"/>
      <c r="M56" s="218" t="n"/>
    </row>
    <row r="57" ht="15" customHeight="1" s="217">
      <c r="A57" s="218" t="n"/>
      <c r="B57" s="218" t="n"/>
      <c r="C57" s="218" t="n"/>
      <c r="D57" s="218" t="n"/>
      <c r="E57" s="218" t="n"/>
      <c r="F57" s="218" t="n"/>
      <c r="G57" s="218" t="n"/>
      <c r="H57" s="218" t="n"/>
      <c r="I57" s="218" t="n"/>
      <c r="J57" s="218" t="n"/>
      <c r="K57" s="218" t="n"/>
      <c r="L57" s="218" t="n"/>
      <c r="M57" s="218" t="n"/>
    </row>
    <row r="58" ht="15" customHeight="1" s="217">
      <c r="A58" s="218" t="n"/>
      <c r="B58" s="218" t="n"/>
      <c r="C58" s="218" t="n"/>
      <c r="D58" s="218" t="n"/>
      <c r="E58" s="218" t="n"/>
      <c r="F58" s="218" t="n"/>
      <c r="G58" s="218" t="n"/>
      <c r="H58" s="218" t="n"/>
      <c r="I58" s="218" t="n"/>
      <c r="J58" s="218" t="n"/>
      <c r="K58" s="218" t="n"/>
      <c r="L58" s="218" t="n"/>
      <c r="M58" s="218" t="n"/>
    </row>
    <row r="59" ht="15" customHeight="1" s="217">
      <c r="A59" s="218" t="n"/>
      <c r="B59" s="218" t="n"/>
      <c r="C59" s="218" t="n"/>
      <c r="D59" s="218" t="n"/>
      <c r="E59" s="218" t="n"/>
      <c r="F59" s="218" t="n"/>
      <c r="G59" s="218" t="n"/>
      <c r="H59" s="218" t="n"/>
      <c r="I59" s="218" t="n"/>
      <c r="J59" s="218" t="n"/>
      <c r="K59" s="218" t="n"/>
      <c r="L59" s="218" t="n"/>
      <c r="M59" s="218" t="n"/>
    </row>
  </sheetData>
  <mergeCells count="22">
    <mergeCell ref="B35:L35"/>
    <mergeCell ref="B4:L4"/>
    <mergeCell ref="B7:C7"/>
    <mergeCell ref="G10:L10"/>
    <mergeCell ref="F6:G6"/>
    <mergeCell ref="F7:G7"/>
    <mergeCell ref="D6:E6"/>
    <mergeCell ref="H6:I6"/>
    <mergeCell ref="J6:K6"/>
    <mergeCell ref="B2:L2"/>
    <mergeCell ref="B8:C8"/>
    <mergeCell ref="F8:G8"/>
    <mergeCell ref="D7:E7"/>
    <mergeCell ref="H7:I7"/>
    <mergeCell ref="B10:F10"/>
    <mergeCell ref="G22:L22"/>
    <mergeCell ref="J7:K7"/>
    <mergeCell ref="D8:E8"/>
    <mergeCell ref="B6:C6"/>
    <mergeCell ref="H8:I8"/>
    <mergeCell ref="J8:K8"/>
    <mergeCell ref="B26:F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C00000"/>
    <outlinePr summaryBelow="1" summaryRight="1"/>
    <pageSetUpPr fitToPage="0"/>
  </sheetPr>
  <dimension ref="A1:I51"/>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16" min="1" max="2"/>
    <col width="20" customWidth="1" style="216" min="3" max="3"/>
    <col width="14" customWidth="1" style="216" min="4" max="4"/>
    <col width="32" customWidth="1" style="216" min="5" max="5"/>
    <col width="20" customWidth="1" style="216" min="6" max="6"/>
    <col width="18" customWidth="1" style="216" min="7" max="8"/>
    <col width="12" customWidth="1" style="216" min="9" max="9"/>
  </cols>
  <sheetData>
    <row r="1" ht="39.75" customHeight="1" s="217">
      <c r="A1" s="307" t="inlineStr">
        <is>
          <t>🔎  TRA CỨU TỔNG HỢP  —  TURBO &amp; RUỘT TURBO</t>
        </is>
      </c>
    </row>
    <row r="3" ht="27.75" customHeight="1" s="217">
      <c r="A3" s="308" t="inlineStr">
        <is>
          <t>🔍 GÕ TÌM:</t>
        </is>
      </c>
      <c r="B3" s="309" t="n"/>
      <c r="C3" s="310" t="n"/>
      <c r="D3" s="310" t="n"/>
      <c r="E3" s="311" t="n"/>
      <c r="F3" s="312" t="inlineStr">
        <is>
          <t>↳ Gõ MÃ VT / OEM / Model / Mã động cơ / Hãng máy — Enter để hiện</t>
        </is>
      </c>
    </row>
    <row r="4" ht="18" customHeight="1" s="217">
      <c r="A4" s="313" t="inlineStr">
        <is>
          <t>Turbo khớp:</t>
        </is>
      </c>
      <c r="B4" s="314">
        <f>IF($B$3="",0,COUNT('🚗 BÁO GIÁ TURBO '!$W$4:$W$690))</f>
        <v/>
      </c>
      <c r="C4" s="315" t="inlineStr">
        <is>
          <t>Ruột khớp:</t>
        </is>
      </c>
      <c r="D4" s="316">
        <f>IF($B$3="",0,COUNT('RUỘT TURBO'!$U$4:$U$892))</f>
        <v/>
      </c>
      <c r="E4" s="317" t="inlineStr">
        <is>
          <t>(Hiển thị tối đa 20 dòng mỗi loại — nếu nhiều hơn, gõ thêm ký tự cho gọn)</t>
        </is>
      </c>
    </row>
    <row r="6" ht="24" customHeight="1" s="217">
      <c r="A6" s="318" t="inlineStr">
        <is>
          <t>🚗  TURBO  (kết quả tra cứu — tối đa 20 dòng)</t>
        </is>
      </c>
    </row>
    <row r="7" ht="21.75" customHeight="1" s="217">
      <c r="A7" s="319" t="inlineStr">
        <is>
          <t>HÃNG MÁY</t>
        </is>
      </c>
      <c r="B7" s="319" t="inlineStr">
        <is>
          <t>MÃ VT</t>
        </is>
      </c>
      <c r="C7" s="319" t="inlineStr">
        <is>
          <t>MODEL TURBO</t>
        </is>
      </c>
      <c r="D7" s="319" t="inlineStr">
        <is>
          <t>MÃ ĐỘNG CƠ</t>
        </is>
      </c>
      <c r="E7" s="319" t="inlineStr">
        <is>
          <t>OEM PART NO</t>
        </is>
      </c>
      <c r="F7" s="319" t="inlineStr">
        <is>
          <t>ĐẶC ĐIỂM</t>
        </is>
      </c>
      <c r="G7" s="319" t="inlineStr">
        <is>
          <t>ỨNG DỤNG</t>
        </is>
      </c>
      <c r="H7" s="319" t="inlineStr">
        <is>
          <t>GHI CHÚ</t>
        </is>
      </c>
      <c r="I7" s="319" t="inlineStr">
        <is>
          <t>THƯƠNG HIỆU</t>
        </is>
      </c>
    </row>
    <row r="8" ht="15" customHeight="1" s="217">
      <c r="A8" s="320">
        <f>IFERROR(IF(INDEX('🚗 BÁO GIÁ TURBO '!$A$4:$A$690,MATCH(1,'🚗 BÁO GIÁ TURBO '!$W$4:$W$690,0))="","",INDEX('🚗 BÁO GIÁ TURBO '!$A$4:$A$690,MATCH(1,'🚗 BÁO GIÁ TURBO '!$W$4:$W$690,0))),"")</f>
        <v/>
      </c>
      <c r="B8" s="321">
        <f>IFERROR(IF(INDEX('🚗 BÁO GIÁ TURBO '!$B$4:$B$690,MATCH(1,'🚗 BÁO GIÁ TURBO '!$W$4:$W$690,0))="","",INDEX('🚗 BÁO GIÁ TURBO '!$B$4:$B$690,MATCH(1,'🚗 BÁO GIÁ TURBO '!$W$4:$W$690,0))),"")</f>
        <v/>
      </c>
      <c r="C8" s="320">
        <f>IFERROR(IF(INDEX('🚗 BÁO GIÁ TURBO '!$D$4:$D$690,MATCH(1,'🚗 BÁO GIÁ TURBO '!$W$4:$W$690,0))="","",INDEX('🚗 BÁO GIÁ TURBO '!$D$4:$D$690,MATCH(1,'🚗 BÁO GIÁ TURBO '!$W$4:$W$690,0))),"")</f>
        <v/>
      </c>
      <c r="D8" s="320">
        <f>IFERROR(IF(INDEX('🚗 BÁO GIÁ TURBO '!$E$4:$E$690,MATCH(1,'🚗 BÁO GIÁ TURBO '!$W$4:$W$690,0))="","",INDEX('🚗 BÁO GIÁ TURBO '!$E$4:$E$690,MATCH(1,'🚗 BÁO GIÁ TURBO '!$W$4:$W$690,0))),"")</f>
        <v/>
      </c>
      <c r="E8" s="322">
        <f>IFERROR(IF(INDEX('🚗 BÁO GIÁ TURBO '!$F$4:$F$690,MATCH(1,'🚗 BÁO GIÁ TURBO '!$W$4:$W$690,0))="","",INDEX('🚗 BÁO GIÁ TURBO '!$F$4:$F$690,MATCH(1,'🚗 BÁO GIÁ TURBO '!$W$4:$W$690,0))),"")</f>
        <v/>
      </c>
      <c r="F8" s="322">
        <f>IFERROR(IF(INDEX('🚗 BÁO GIÁ TURBO '!$G$4:$G$690,MATCH(1,'🚗 BÁO GIÁ TURBO '!$W$4:$W$690,0))="","",INDEX('🚗 BÁO GIÁ TURBO '!$G$4:$G$690,MATCH(1,'🚗 BÁO GIÁ TURBO '!$W$4:$W$690,0))),"")</f>
        <v/>
      </c>
      <c r="G8" s="322">
        <f>IFERROR(IF(INDEX('🚗 BÁO GIÁ TURBO '!$H$4:$H$690,MATCH(1,'🚗 BÁO GIÁ TURBO '!$W$4:$W$690,0))="","",INDEX('🚗 BÁO GIÁ TURBO '!$H$4:$H$690,MATCH(1,'🚗 BÁO GIÁ TURBO '!$W$4:$W$690,0))),"")</f>
        <v/>
      </c>
      <c r="H8" s="322">
        <f>IFERROR(IF(INDEX('🚗 BÁO GIÁ TURBO '!$I$4:$I$690,MATCH(1,'🚗 BÁO GIÁ TURBO '!$W$4:$W$690,0))="","",INDEX('🚗 BÁO GIÁ TURBO '!$I$4:$I$690,MATCH(1,'🚗 BÁO GIÁ TURBO '!$W$4:$W$690,0))),"")</f>
        <v/>
      </c>
      <c r="I8" s="323">
        <f>IFERROR(IF(INDEX('🚗 BÁO GIÁ TURBO '!$J$4:$J$690,MATCH(1,'🚗 BÁO GIÁ TURBO '!$W$4:$W$690,0))="","",INDEX('🚗 BÁO GIÁ TURBO '!$J$4:$J$690,MATCH(1,'🚗 BÁO GIÁ TURBO '!$W$4:$W$690,0))),"")</f>
        <v/>
      </c>
    </row>
    <row r="9" ht="15" customHeight="1" s="217">
      <c r="A9" s="324">
        <f>IFERROR(IF(INDEX('🚗 BÁO GIÁ TURBO '!$A$4:$A$690,MATCH(2,'🚗 BÁO GIÁ TURBO '!$W$4:$W$690,0))="","",INDEX('🚗 BÁO GIÁ TURBO '!$A$4:$A$690,MATCH(2,'🚗 BÁO GIÁ TURBO '!$W$4:$W$690,0))),"")</f>
        <v/>
      </c>
      <c r="B9" s="325">
        <f>IFERROR(IF(INDEX('🚗 BÁO GIÁ TURBO '!$B$4:$B$690,MATCH(2,'🚗 BÁO GIÁ TURBO '!$W$4:$W$690,0))="","",INDEX('🚗 BÁO GIÁ TURBO '!$B$4:$B$690,MATCH(2,'🚗 BÁO GIÁ TURBO '!$W$4:$W$690,0))),"")</f>
        <v/>
      </c>
      <c r="C9" s="324">
        <f>IFERROR(IF(INDEX('🚗 BÁO GIÁ TURBO '!$D$4:$D$690,MATCH(2,'🚗 BÁO GIÁ TURBO '!$W$4:$W$690,0))="","",INDEX('🚗 BÁO GIÁ TURBO '!$D$4:$D$690,MATCH(2,'🚗 BÁO GIÁ TURBO '!$W$4:$W$690,0))),"")</f>
        <v/>
      </c>
      <c r="D9" s="324">
        <f>IFERROR(IF(INDEX('🚗 BÁO GIÁ TURBO '!$E$4:$E$690,MATCH(2,'🚗 BÁO GIÁ TURBO '!$W$4:$W$690,0))="","",INDEX('🚗 BÁO GIÁ TURBO '!$E$4:$E$690,MATCH(2,'🚗 BÁO GIÁ TURBO '!$W$4:$W$690,0))),"")</f>
        <v/>
      </c>
      <c r="E9" s="326">
        <f>IFERROR(IF(INDEX('🚗 BÁO GIÁ TURBO '!$F$4:$F$690,MATCH(2,'🚗 BÁO GIÁ TURBO '!$W$4:$W$690,0))="","",INDEX('🚗 BÁO GIÁ TURBO '!$F$4:$F$690,MATCH(2,'🚗 BÁO GIÁ TURBO '!$W$4:$W$690,0))),"")</f>
        <v/>
      </c>
      <c r="F9" s="326">
        <f>IFERROR(IF(INDEX('🚗 BÁO GIÁ TURBO '!$G$4:$G$690,MATCH(2,'🚗 BÁO GIÁ TURBO '!$W$4:$W$690,0))="","",INDEX('🚗 BÁO GIÁ TURBO '!$G$4:$G$690,MATCH(2,'🚗 BÁO GIÁ TURBO '!$W$4:$W$690,0))),"")</f>
        <v/>
      </c>
      <c r="G9" s="326">
        <f>IFERROR(IF(INDEX('🚗 BÁO GIÁ TURBO '!$H$4:$H$690,MATCH(2,'🚗 BÁO GIÁ TURBO '!$W$4:$W$690,0))="","",INDEX('🚗 BÁO GIÁ TURBO '!$H$4:$H$690,MATCH(2,'🚗 BÁO GIÁ TURBO '!$W$4:$W$690,0))),"")</f>
        <v/>
      </c>
      <c r="H9" s="326">
        <f>IFERROR(IF(INDEX('🚗 BÁO GIÁ TURBO '!$I$4:$I$690,MATCH(2,'🚗 BÁO GIÁ TURBO '!$W$4:$W$690,0))="","",INDEX('🚗 BÁO GIÁ TURBO '!$I$4:$I$690,MATCH(2,'🚗 BÁO GIÁ TURBO '!$W$4:$W$690,0))),"")</f>
        <v/>
      </c>
      <c r="I9" s="327">
        <f>IFERROR(IF(INDEX('🚗 BÁO GIÁ TURBO '!$J$4:$J$690,MATCH(2,'🚗 BÁO GIÁ TURBO '!$W$4:$W$690,0))="","",INDEX('🚗 BÁO GIÁ TURBO '!$J$4:$J$690,MATCH(2,'🚗 BÁO GIÁ TURBO '!$W$4:$W$690,0))),"")</f>
        <v/>
      </c>
    </row>
    <row r="10" ht="15" customHeight="1" s="217">
      <c r="A10" s="320">
        <f>IFERROR(IF(INDEX('🚗 BÁO GIÁ TURBO '!$A$4:$A$690,MATCH(3,'🚗 BÁO GIÁ TURBO '!$W$4:$W$690,0))="","",INDEX('🚗 BÁO GIÁ TURBO '!$A$4:$A$690,MATCH(3,'🚗 BÁO GIÁ TURBO '!$W$4:$W$690,0))),"")</f>
        <v/>
      </c>
      <c r="B10" s="321">
        <f>IFERROR(IF(INDEX('🚗 BÁO GIÁ TURBO '!$B$4:$B$690,MATCH(3,'🚗 BÁO GIÁ TURBO '!$W$4:$W$690,0))="","",INDEX('🚗 BÁO GIÁ TURBO '!$B$4:$B$690,MATCH(3,'🚗 BÁO GIÁ TURBO '!$W$4:$W$690,0))),"")</f>
        <v/>
      </c>
      <c r="C10" s="320">
        <f>IFERROR(IF(INDEX('🚗 BÁO GIÁ TURBO '!$D$4:$D$690,MATCH(3,'🚗 BÁO GIÁ TURBO '!$W$4:$W$690,0))="","",INDEX('🚗 BÁO GIÁ TURBO '!$D$4:$D$690,MATCH(3,'🚗 BÁO GIÁ TURBO '!$W$4:$W$690,0))),"")</f>
        <v/>
      </c>
      <c r="D10" s="320">
        <f>IFERROR(IF(INDEX('🚗 BÁO GIÁ TURBO '!$E$4:$E$690,MATCH(3,'🚗 BÁO GIÁ TURBO '!$W$4:$W$690,0))="","",INDEX('🚗 BÁO GIÁ TURBO '!$E$4:$E$690,MATCH(3,'🚗 BÁO GIÁ TURBO '!$W$4:$W$690,0))),"")</f>
        <v/>
      </c>
      <c r="E10" s="322">
        <f>IFERROR(IF(INDEX('🚗 BÁO GIÁ TURBO '!$F$4:$F$690,MATCH(3,'🚗 BÁO GIÁ TURBO '!$W$4:$W$690,0))="","",INDEX('🚗 BÁO GIÁ TURBO '!$F$4:$F$690,MATCH(3,'🚗 BÁO GIÁ TURBO '!$W$4:$W$690,0))),"")</f>
        <v/>
      </c>
      <c r="F10" s="322">
        <f>IFERROR(IF(INDEX('🚗 BÁO GIÁ TURBO '!$G$4:$G$690,MATCH(3,'🚗 BÁO GIÁ TURBO '!$W$4:$W$690,0))="","",INDEX('🚗 BÁO GIÁ TURBO '!$G$4:$G$690,MATCH(3,'🚗 BÁO GIÁ TURBO '!$W$4:$W$690,0))),"")</f>
        <v/>
      </c>
      <c r="G10" s="322">
        <f>IFERROR(IF(INDEX('🚗 BÁO GIÁ TURBO '!$H$4:$H$690,MATCH(3,'🚗 BÁO GIÁ TURBO '!$W$4:$W$690,0))="","",INDEX('🚗 BÁO GIÁ TURBO '!$H$4:$H$690,MATCH(3,'🚗 BÁO GIÁ TURBO '!$W$4:$W$690,0))),"")</f>
        <v/>
      </c>
      <c r="H10" s="322">
        <f>IFERROR(IF(INDEX('🚗 BÁO GIÁ TURBO '!$I$4:$I$690,MATCH(3,'🚗 BÁO GIÁ TURBO '!$W$4:$W$690,0))="","",INDEX('🚗 BÁO GIÁ TURBO '!$I$4:$I$690,MATCH(3,'🚗 BÁO GIÁ TURBO '!$W$4:$W$690,0))),"")</f>
        <v/>
      </c>
      <c r="I10" s="323">
        <f>IFERROR(IF(INDEX('🚗 BÁO GIÁ TURBO '!$J$4:$J$690,MATCH(3,'🚗 BÁO GIÁ TURBO '!$W$4:$W$690,0))="","",INDEX('🚗 BÁO GIÁ TURBO '!$J$4:$J$690,MATCH(3,'🚗 BÁO GIÁ TURBO '!$W$4:$W$690,0))),"")</f>
        <v/>
      </c>
    </row>
    <row r="11" ht="15" customHeight="1" s="217">
      <c r="A11" s="324">
        <f>IFERROR(IF(INDEX('🚗 BÁO GIÁ TURBO '!$A$4:$A$690,MATCH(4,'🚗 BÁO GIÁ TURBO '!$W$4:$W$690,0))="","",INDEX('🚗 BÁO GIÁ TURBO '!$A$4:$A$690,MATCH(4,'🚗 BÁO GIÁ TURBO '!$W$4:$W$690,0))),"")</f>
        <v/>
      </c>
      <c r="B11" s="325">
        <f>IFERROR(IF(INDEX('🚗 BÁO GIÁ TURBO '!$B$4:$B$690,MATCH(4,'🚗 BÁO GIÁ TURBO '!$W$4:$W$690,0))="","",INDEX('🚗 BÁO GIÁ TURBO '!$B$4:$B$690,MATCH(4,'🚗 BÁO GIÁ TURBO '!$W$4:$W$690,0))),"")</f>
        <v/>
      </c>
      <c r="C11" s="324">
        <f>IFERROR(IF(INDEX('🚗 BÁO GIÁ TURBO '!$D$4:$D$690,MATCH(4,'🚗 BÁO GIÁ TURBO '!$W$4:$W$690,0))="","",INDEX('🚗 BÁO GIÁ TURBO '!$D$4:$D$690,MATCH(4,'🚗 BÁO GIÁ TURBO '!$W$4:$W$690,0))),"")</f>
        <v/>
      </c>
      <c r="D11" s="324">
        <f>IFERROR(IF(INDEX('🚗 BÁO GIÁ TURBO '!$E$4:$E$690,MATCH(4,'🚗 BÁO GIÁ TURBO '!$W$4:$W$690,0))="","",INDEX('🚗 BÁO GIÁ TURBO '!$E$4:$E$690,MATCH(4,'🚗 BÁO GIÁ TURBO '!$W$4:$W$690,0))),"")</f>
        <v/>
      </c>
      <c r="E11" s="326">
        <f>IFERROR(IF(INDEX('🚗 BÁO GIÁ TURBO '!$F$4:$F$690,MATCH(4,'🚗 BÁO GIÁ TURBO '!$W$4:$W$690,0))="","",INDEX('🚗 BÁO GIÁ TURBO '!$F$4:$F$690,MATCH(4,'🚗 BÁO GIÁ TURBO '!$W$4:$W$690,0))),"")</f>
        <v/>
      </c>
      <c r="F11" s="326">
        <f>IFERROR(IF(INDEX('🚗 BÁO GIÁ TURBO '!$G$4:$G$690,MATCH(4,'🚗 BÁO GIÁ TURBO '!$W$4:$W$690,0))="","",INDEX('🚗 BÁO GIÁ TURBO '!$G$4:$G$690,MATCH(4,'🚗 BÁO GIÁ TURBO '!$W$4:$W$690,0))),"")</f>
        <v/>
      </c>
      <c r="G11" s="326">
        <f>IFERROR(IF(INDEX('🚗 BÁO GIÁ TURBO '!$H$4:$H$690,MATCH(4,'🚗 BÁO GIÁ TURBO '!$W$4:$W$690,0))="","",INDEX('🚗 BÁO GIÁ TURBO '!$H$4:$H$690,MATCH(4,'🚗 BÁO GIÁ TURBO '!$W$4:$W$690,0))),"")</f>
        <v/>
      </c>
      <c r="H11" s="326">
        <f>IFERROR(IF(INDEX('🚗 BÁO GIÁ TURBO '!$I$4:$I$690,MATCH(4,'🚗 BÁO GIÁ TURBO '!$W$4:$W$690,0))="","",INDEX('🚗 BÁO GIÁ TURBO '!$I$4:$I$690,MATCH(4,'🚗 BÁO GIÁ TURBO '!$W$4:$W$690,0))),"")</f>
        <v/>
      </c>
      <c r="I11" s="327">
        <f>IFERROR(IF(INDEX('🚗 BÁO GIÁ TURBO '!$J$4:$J$690,MATCH(4,'🚗 BÁO GIÁ TURBO '!$W$4:$W$690,0))="","",INDEX('🚗 BÁO GIÁ TURBO '!$J$4:$J$690,MATCH(4,'🚗 BÁO GIÁ TURBO '!$W$4:$W$690,0))),"")</f>
        <v/>
      </c>
    </row>
    <row r="12" ht="15" customHeight="1" s="217">
      <c r="A12" s="320">
        <f>IFERROR(IF(INDEX('🚗 BÁO GIÁ TURBO '!$A$4:$A$690,MATCH(5,'🚗 BÁO GIÁ TURBO '!$W$4:$W$690,0))="","",INDEX('🚗 BÁO GIÁ TURBO '!$A$4:$A$690,MATCH(5,'🚗 BÁO GIÁ TURBO '!$W$4:$W$690,0))),"")</f>
        <v/>
      </c>
      <c r="B12" s="321">
        <f>IFERROR(IF(INDEX('🚗 BÁO GIÁ TURBO '!$B$4:$B$690,MATCH(5,'🚗 BÁO GIÁ TURBO '!$W$4:$W$690,0))="","",INDEX('🚗 BÁO GIÁ TURBO '!$B$4:$B$690,MATCH(5,'🚗 BÁO GIÁ TURBO '!$W$4:$W$690,0))),"")</f>
        <v/>
      </c>
      <c r="C12" s="320">
        <f>IFERROR(IF(INDEX('🚗 BÁO GIÁ TURBO '!$D$4:$D$690,MATCH(5,'🚗 BÁO GIÁ TURBO '!$W$4:$W$690,0))="","",INDEX('🚗 BÁO GIÁ TURBO '!$D$4:$D$690,MATCH(5,'🚗 BÁO GIÁ TURBO '!$W$4:$W$690,0))),"")</f>
        <v/>
      </c>
      <c r="D12" s="320">
        <f>IFERROR(IF(INDEX('🚗 BÁO GIÁ TURBO '!$E$4:$E$690,MATCH(5,'🚗 BÁO GIÁ TURBO '!$W$4:$W$690,0))="","",INDEX('🚗 BÁO GIÁ TURBO '!$E$4:$E$690,MATCH(5,'🚗 BÁO GIÁ TURBO '!$W$4:$W$690,0))),"")</f>
        <v/>
      </c>
      <c r="E12" s="322">
        <f>IFERROR(IF(INDEX('🚗 BÁO GIÁ TURBO '!$F$4:$F$690,MATCH(5,'🚗 BÁO GIÁ TURBO '!$W$4:$W$690,0))="","",INDEX('🚗 BÁO GIÁ TURBO '!$F$4:$F$690,MATCH(5,'🚗 BÁO GIÁ TURBO '!$W$4:$W$690,0))),"")</f>
        <v/>
      </c>
      <c r="F12" s="322">
        <f>IFERROR(IF(INDEX('🚗 BÁO GIÁ TURBO '!$G$4:$G$690,MATCH(5,'🚗 BÁO GIÁ TURBO '!$W$4:$W$690,0))="","",INDEX('🚗 BÁO GIÁ TURBO '!$G$4:$G$690,MATCH(5,'🚗 BÁO GIÁ TURBO '!$W$4:$W$690,0))),"")</f>
        <v/>
      </c>
      <c r="G12" s="322">
        <f>IFERROR(IF(INDEX('🚗 BÁO GIÁ TURBO '!$H$4:$H$690,MATCH(5,'🚗 BÁO GIÁ TURBO '!$W$4:$W$690,0))="","",INDEX('🚗 BÁO GIÁ TURBO '!$H$4:$H$690,MATCH(5,'🚗 BÁO GIÁ TURBO '!$W$4:$W$690,0))),"")</f>
        <v/>
      </c>
      <c r="H12" s="322">
        <f>IFERROR(IF(INDEX('🚗 BÁO GIÁ TURBO '!$I$4:$I$690,MATCH(5,'🚗 BÁO GIÁ TURBO '!$W$4:$W$690,0))="","",INDEX('🚗 BÁO GIÁ TURBO '!$I$4:$I$690,MATCH(5,'🚗 BÁO GIÁ TURBO '!$W$4:$W$690,0))),"")</f>
        <v/>
      </c>
      <c r="I12" s="323">
        <f>IFERROR(IF(INDEX('🚗 BÁO GIÁ TURBO '!$J$4:$J$690,MATCH(5,'🚗 BÁO GIÁ TURBO '!$W$4:$W$690,0))="","",INDEX('🚗 BÁO GIÁ TURBO '!$J$4:$J$690,MATCH(5,'🚗 BÁO GIÁ TURBO '!$W$4:$W$690,0))),"")</f>
        <v/>
      </c>
    </row>
    <row r="13" ht="15" customHeight="1" s="217">
      <c r="A13" s="324">
        <f>IFERROR(IF(INDEX('🚗 BÁO GIÁ TURBO '!$A$4:$A$690,MATCH(6,'🚗 BÁO GIÁ TURBO '!$W$4:$W$690,0))="","",INDEX('🚗 BÁO GIÁ TURBO '!$A$4:$A$690,MATCH(6,'🚗 BÁO GIÁ TURBO '!$W$4:$W$690,0))),"")</f>
        <v/>
      </c>
      <c r="B13" s="325">
        <f>IFERROR(IF(INDEX('🚗 BÁO GIÁ TURBO '!$B$4:$B$690,MATCH(6,'🚗 BÁO GIÁ TURBO '!$W$4:$W$690,0))="","",INDEX('🚗 BÁO GIÁ TURBO '!$B$4:$B$690,MATCH(6,'🚗 BÁO GIÁ TURBO '!$W$4:$W$690,0))),"")</f>
        <v/>
      </c>
      <c r="C13" s="324">
        <f>IFERROR(IF(INDEX('🚗 BÁO GIÁ TURBO '!$D$4:$D$690,MATCH(6,'🚗 BÁO GIÁ TURBO '!$W$4:$W$690,0))="","",INDEX('🚗 BÁO GIÁ TURBO '!$D$4:$D$690,MATCH(6,'🚗 BÁO GIÁ TURBO '!$W$4:$W$690,0))),"")</f>
        <v/>
      </c>
      <c r="D13" s="324">
        <f>IFERROR(IF(INDEX('🚗 BÁO GIÁ TURBO '!$E$4:$E$690,MATCH(6,'🚗 BÁO GIÁ TURBO '!$W$4:$W$690,0))="","",INDEX('🚗 BÁO GIÁ TURBO '!$E$4:$E$690,MATCH(6,'🚗 BÁO GIÁ TURBO '!$W$4:$W$690,0))),"")</f>
        <v/>
      </c>
      <c r="E13" s="326">
        <f>IFERROR(IF(INDEX('🚗 BÁO GIÁ TURBO '!$F$4:$F$690,MATCH(6,'🚗 BÁO GIÁ TURBO '!$W$4:$W$690,0))="","",INDEX('🚗 BÁO GIÁ TURBO '!$F$4:$F$690,MATCH(6,'🚗 BÁO GIÁ TURBO '!$W$4:$W$690,0))),"")</f>
        <v/>
      </c>
      <c r="F13" s="326">
        <f>IFERROR(IF(INDEX('🚗 BÁO GIÁ TURBO '!$G$4:$G$690,MATCH(6,'🚗 BÁO GIÁ TURBO '!$W$4:$W$690,0))="","",INDEX('🚗 BÁO GIÁ TURBO '!$G$4:$G$690,MATCH(6,'🚗 BÁO GIÁ TURBO '!$W$4:$W$690,0))),"")</f>
        <v/>
      </c>
      <c r="G13" s="326">
        <f>IFERROR(IF(INDEX('🚗 BÁO GIÁ TURBO '!$H$4:$H$690,MATCH(6,'🚗 BÁO GIÁ TURBO '!$W$4:$W$690,0))="","",INDEX('🚗 BÁO GIÁ TURBO '!$H$4:$H$690,MATCH(6,'🚗 BÁO GIÁ TURBO '!$W$4:$W$690,0))),"")</f>
        <v/>
      </c>
      <c r="H13" s="326">
        <f>IFERROR(IF(INDEX('🚗 BÁO GIÁ TURBO '!$I$4:$I$690,MATCH(6,'🚗 BÁO GIÁ TURBO '!$W$4:$W$690,0))="","",INDEX('🚗 BÁO GIÁ TURBO '!$I$4:$I$690,MATCH(6,'🚗 BÁO GIÁ TURBO '!$W$4:$W$690,0))),"")</f>
        <v/>
      </c>
      <c r="I13" s="327">
        <f>IFERROR(IF(INDEX('🚗 BÁO GIÁ TURBO '!$J$4:$J$690,MATCH(6,'🚗 BÁO GIÁ TURBO '!$W$4:$W$690,0))="","",INDEX('🚗 BÁO GIÁ TURBO '!$J$4:$J$690,MATCH(6,'🚗 BÁO GIÁ TURBO '!$W$4:$W$690,0))),"")</f>
        <v/>
      </c>
    </row>
    <row r="14" ht="15" customHeight="1" s="217">
      <c r="A14" s="320">
        <f>IFERROR(IF(INDEX('🚗 BÁO GIÁ TURBO '!$A$4:$A$690,MATCH(7,'🚗 BÁO GIÁ TURBO '!$W$4:$W$690,0))="","",INDEX('🚗 BÁO GIÁ TURBO '!$A$4:$A$690,MATCH(7,'🚗 BÁO GIÁ TURBO '!$W$4:$W$690,0))),"")</f>
        <v/>
      </c>
      <c r="B14" s="321">
        <f>IFERROR(IF(INDEX('🚗 BÁO GIÁ TURBO '!$B$4:$B$690,MATCH(7,'🚗 BÁO GIÁ TURBO '!$W$4:$W$690,0))="","",INDEX('🚗 BÁO GIÁ TURBO '!$B$4:$B$690,MATCH(7,'🚗 BÁO GIÁ TURBO '!$W$4:$W$690,0))),"")</f>
        <v/>
      </c>
      <c r="C14" s="320">
        <f>IFERROR(IF(INDEX('🚗 BÁO GIÁ TURBO '!$D$4:$D$690,MATCH(7,'🚗 BÁO GIÁ TURBO '!$W$4:$W$690,0))="","",INDEX('🚗 BÁO GIÁ TURBO '!$D$4:$D$690,MATCH(7,'🚗 BÁO GIÁ TURBO '!$W$4:$W$690,0))),"")</f>
        <v/>
      </c>
      <c r="D14" s="320">
        <f>IFERROR(IF(INDEX('🚗 BÁO GIÁ TURBO '!$E$4:$E$690,MATCH(7,'🚗 BÁO GIÁ TURBO '!$W$4:$W$690,0))="","",INDEX('🚗 BÁO GIÁ TURBO '!$E$4:$E$690,MATCH(7,'🚗 BÁO GIÁ TURBO '!$W$4:$W$690,0))),"")</f>
        <v/>
      </c>
      <c r="E14" s="322">
        <f>IFERROR(IF(INDEX('🚗 BÁO GIÁ TURBO '!$F$4:$F$690,MATCH(7,'🚗 BÁO GIÁ TURBO '!$W$4:$W$690,0))="","",INDEX('🚗 BÁO GIÁ TURBO '!$F$4:$F$690,MATCH(7,'🚗 BÁO GIÁ TURBO '!$W$4:$W$690,0))),"")</f>
        <v/>
      </c>
      <c r="F14" s="322">
        <f>IFERROR(IF(INDEX('🚗 BÁO GIÁ TURBO '!$G$4:$G$690,MATCH(7,'🚗 BÁO GIÁ TURBO '!$W$4:$W$690,0))="","",INDEX('🚗 BÁO GIÁ TURBO '!$G$4:$G$690,MATCH(7,'🚗 BÁO GIÁ TURBO '!$W$4:$W$690,0))),"")</f>
        <v/>
      </c>
      <c r="G14" s="322">
        <f>IFERROR(IF(INDEX('🚗 BÁO GIÁ TURBO '!$H$4:$H$690,MATCH(7,'🚗 BÁO GIÁ TURBO '!$W$4:$W$690,0))="","",INDEX('🚗 BÁO GIÁ TURBO '!$H$4:$H$690,MATCH(7,'🚗 BÁO GIÁ TURBO '!$W$4:$W$690,0))),"")</f>
        <v/>
      </c>
      <c r="H14" s="322">
        <f>IFERROR(IF(INDEX('🚗 BÁO GIÁ TURBO '!$I$4:$I$690,MATCH(7,'🚗 BÁO GIÁ TURBO '!$W$4:$W$690,0))="","",INDEX('🚗 BÁO GIÁ TURBO '!$I$4:$I$690,MATCH(7,'🚗 BÁO GIÁ TURBO '!$W$4:$W$690,0))),"")</f>
        <v/>
      </c>
      <c r="I14" s="323">
        <f>IFERROR(IF(INDEX('🚗 BÁO GIÁ TURBO '!$J$4:$J$690,MATCH(7,'🚗 BÁO GIÁ TURBO '!$W$4:$W$690,0))="","",INDEX('🚗 BÁO GIÁ TURBO '!$J$4:$J$690,MATCH(7,'🚗 BÁO GIÁ TURBO '!$W$4:$W$690,0))),"")</f>
        <v/>
      </c>
    </row>
    <row r="15" ht="15" customHeight="1" s="217">
      <c r="A15" s="324">
        <f>IFERROR(IF(INDEX('🚗 BÁO GIÁ TURBO '!$A$4:$A$690,MATCH(8,'🚗 BÁO GIÁ TURBO '!$W$4:$W$690,0))="","",INDEX('🚗 BÁO GIÁ TURBO '!$A$4:$A$690,MATCH(8,'🚗 BÁO GIÁ TURBO '!$W$4:$W$690,0))),"")</f>
        <v/>
      </c>
      <c r="B15" s="325">
        <f>IFERROR(IF(INDEX('🚗 BÁO GIÁ TURBO '!$B$4:$B$690,MATCH(8,'🚗 BÁO GIÁ TURBO '!$W$4:$W$690,0))="","",INDEX('🚗 BÁO GIÁ TURBO '!$B$4:$B$690,MATCH(8,'🚗 BÁO GIÁ TURBO '!$W$4:$W$690,0))),"")</f>
        <v/>
      </c>
      <c r="C15" s="324">
        <f>IFERROR(IF(INDEX('🚗 BÁO GIÁ TURBO '!$D$4:$D$690,MATCH(8,'🚗 BÁO GIÁ TURBO '!$W$4:$W$690,0))="","",INDEX('🚗 BÁO GIÁ TURBO '!$D$4:$D$690,MATCH(8,'🚗 BÁO GIÁ TURBO '!$W$4:$W$690,0))),"")</f>
        <v/>
      </c>
      <c r="D15" s="324">
        <f>IFERROR(IF(INDEX('🚗 BÁO GIÁ TURBO '!$E$4:$E$690,MATCH(8,'🚗 BÁO GIÁ TURBO '!$W$4:$W$690,0))="","",INDEX('🚗 BÁO GIÁ TURBO '!$E$4:$E$690,MATCH(8,'🚗 BÁO GIÁ TURBO '!$W$4:$W$690,0))),"")</f>
        <v/>
      </c>
      <c r="E15" s="326">
        <f>IFERROR(IF(INDEX('🚗 BÁO GIÁ TURBO '!$F$4:$F$690,MATCH(8,'🚗 BÁO GIÁ TURBO '!$W$4:$W$690,0))="","",INDEX('🚗 BÁO GIÁ TURBO '!$F$4:$F$690,MATCH(8,'🚗 BÁO GIÁ TURBO '!$W$4:$W$690,0))),"")</f>
        <v/>
      </c>
      <c r="F15" s="326">
        <f>IFERROR(IF(INDEX('🚗 BÁO GIÁ TURBO '!$G$4:$G$690,MATCH(8,'🚗 BÁO GIÁ TURBO '!$W$4:$W$690,0))="","",INDEX('🚗 BÁO GIÁ TURBO '!$G$4:$G$690,MATCH(8,'🚗 BÁO GIÁ TURBO '!$W$4:$W$690,0))),"")</f>
        <v/>
      </c>
      <c r="G15" s="326">
        <f>IFERROR(IF(INDEX('🚗 BÁO GIÁ TURBO '!$H$4:$H$690,MATCH(8,'🚗 BÁO GIÁ TURBO '!$W$4:$W$690,0))="","",INDEX('🚗 BÁO GIÁ TURBO '!$H$4:$H$690,MATCH(8,'🚗 BÁO GIÁ TURBO '!$W$4:$W$690,0))),"")</f>
        <v/>
      </c>
      <c r="H15" s="326">
        <f>IFERROR(IF(INDEX('🚗 BÁO GIÁ TURBO '!$I$4:$I$690,MATCH(8,'🚗 BÁO GIÁ TURBO '!$W$4:$W$690,0))="","",INDEX('🚗 BÁO GIÁ TURBO '!$I$4:$I$690,MATCH(8,'🚗 BÁO GIÁ TURBO '!$W$4:$W$690,0))),"")</f>
        <v/>
      </c>
      <c r="I15" s="327">
        <f>IFERROR(IF(INDEX('🚗 BÁO GIÁ TURBO '!$J$4:$J$690,MATCH(8,'🚗 BÁO GIÁ TURBO '!$W$4:$W$690,0))="","",INDEX('🚗 BÁO GIÁ TURBO '!$J$4:$J$690,MATCH(8,'🚗 BÁO GIÁ TURBO '!$W$4:$W$690,0))),"")</f>
        <v/>
      </c>
    </row>
    <row r="16" ht="15" customHeight="1" s="217">
      <c r="A16" s="320">
        <f>IFERROR(IF(INDEX('🚗 BÁO GIÁ TURBO '!$A$4:$A$690,MATCH(9,'🚗 BÁO GIÁ TURBO '!$W$4:$W$690,0))="","",INDEX('🚗 BÁO GIÁ TURBO '!$A$4:$A$690,MATCH(9,'🚗 BÁO GIÁ TURBO '!$W$4:$W$690,0))),"")</f>
        <v/>
      </c>
      <c r="B16" s="321">
        <f>IFERROR(IF(INDEX('🚗 BÁO GIÁ TURBO '!$B$4:$B$690,MATCH(9,'🚗 BÁO GIÁ TURBO '!$W$4:$W$690,0))="","",INDEX('🚗 BÁO GIÁ TURBO '!$B$4:$B$690,MATCH(9,'🚗 BÁO GIÁ TURBO '!$W$4:$W$690,0))),"")</f>
        <v/>
      </c>
      <c r="C16" s="320">
        <f>IFERROR(IF(INDEX('🚗 BÁO GIÁ TURBO '!$D$4:$D$690,MATCH(9,'🚗 BÁO GIÁ TURBO '!$W$4:$W$690,0))="","",INDEX('🚗 BÁO GIÁ TURBO '!$D$4:$D$690,MATCH(9,'🚗 BÁO GIÁ TURBO '!$W$4:$W$690,0))),"")</f>
        <v/>
      </c>
      <c r="D16" s="320">
        <f>IFERROR(IF(INDEX('🚗 BÁO GIÁ TURBO '!$E$4:$E$690,MATCH(9,'🚗 BÁO GIÁ TURBO '!$W$4:$W$690,0))="","",INDEX('🚗 BÁO GIÁ TURBO '!$E$4:$E$690,MATCH(9,'🚗 BÁO GIÁ TURBO '!$W$4:$W$690,0))),"")</f>
        <v/>
      </c>
      <c r="E16" s="322">
        <f>IFERROR(IF(INDEX('🚗 BÁO GIÁ TURBO '!$F$4:$F$690,MATCH(9,'🚗 BÁO GIÁ TURBO '!$W$4:$W$690,0))="","",INDEX('🚗 BÁO GIÁ TURBO '!$F$4:$F$690,MATCH(9,'🚗 BÁO GIÁ TURBO '!$W$4:$W$690,0))),"")</f>
        <v/>
      </c>
      <c r="F16" s="322">
        <f>IFERROR(IF(INDEX('🚗 BÁO GIÁ TURBO '!$G$4:$G$690,MATCH(9,'🚗 BÁO GIÁ TURBO '!$W$4:$W$690,0))="","",INDEX('🚗 BÁO GIÁ TURBO '!$G$4:$G$690,MATCH(9,'🚗 BÁO GIÁ TURBO '!$W$4:$W$690,0))),"")</f>
        <v/>
      </c>
      <c r="G16" s="322">
        <f>IFERROR(IF(INDEX('🚗 BÁO GIÁ TURBO '!$H$4:$H$690,MATCH(9,'🚗 BÁO GIÁ TURBO '!$W$4:$W$690,0))="","",INDEX('🚗 BÁO GIÁ TURBO '!$H$4:$H$690,MATCH(9,'🚗 BÁO GIÁ TURBO '!$W$4:$W$690,0))),"")</f>
        <v/>
      </c>
      <c r="H16" s="322">
        <f>IFERROR(IF(INDEX('🚗 BÁO GIÁ TURBO '!$I$4:$I$690,MATCH(9,'🚗 BÁO GIÁ TURBO '!$W$4:$W$690,0))="","",INDEX('🚗 BÁO GIÁ TURBO '!$I$4:$I$690,MATCH(9,'🚗 BÁO GIÁ TURBO '!$W$4:$W$690,0))),"")</f>
        <v/>
      </c>
      <c r="I16" s="323">
        <f>IFERROR(IF(INDEX('🚗 BÁO GIÁ TURBO '!$J$4:$J$690,MATCH(9,'🚗 BÁO GIÁ TURBO '!$W$4:$W$690,0))="","",INDEX('🚗 BÁO GIÁ TURBO '!$J$4:$J$690,MATCH(9,'🚗 BÁO GIÁ TURBO '!$W$4:$W$690,0))),"")</f>
        <v/>
      </c>
    </row>
    <row r="17" ht="15" customHeight="1" s="217">
      <c r="A17" s="324">
        <f>IFERROR(IF(INDEX('🚗 BÁO GIÁ TURBO '!$A$4:$A$690,MATCH(10,'🚗 BÁO GIÁ TURBO '!$W$4:$W$690,0))="","",INDEX('🚗 BÁO GIÁ TURBO '!$A$4:$A$690,MATCH(10,'🚗 BÁO GIÁ TURBO '!$W$4:$W$690,0))),"")</f>
        <v/>
      </c>
      <c r="B17" s="325">
        <f>IFERROR(IF(INDEX('🚗 BÁO GIÁ TURBO '!$B$4:$B$690,MATCH(10,'🚗 BÁO GIÁ TURBO '!$W$4:$W$690,0))="","",INDEX('🚗 BÁO GIÁ TURBO '!$B$4:$B$690,MATCH(10,'🚗 BÁO GIÁ TURBO '!$W$4:$W$690,0))),"")</f>
        <v/>
      </c>
      <c r="C17" s="324">
        <f>IFERROR(IF(INDEX('🚗 BÁO GIÁ TURBO '!$D$4:$D$690,MATCH(10,'🚗 BÁO GIÁ TURBO '!$W$4:$W$690,0))="","",INDEX('🚗 BÁO GIÁ TURBO '!$D$4:$D$690,MATCH(10,'🚗 BÁO GIÁ TURBO '!$W$4:$W$690,0))),"")</f>
        <v/>
      </c>
      <c r="D17" s="324">
        <f>IFERROR(IF(INDEX('🚗 BÁO GIÁ TURBO '!$E$4:$E$690,MATCH(10,'🚗 BÁO GIÁ TURBO '!$W$4:$W$690,0))="","",INDEX('🚗 BÁO GIÁ TURBO '!$E$4:$E$690,MATCH(10,'🚗 BÁO GIÁ TURBO '!$W$4:$W$690,0))),"")</f>
        <v/>
      </c>
      <c r="E17" s="326">
        <f>IFERROR(IF(INDEX('🚗 BÁO GIÁ TURBO '!$F$4:$F$690,MATCH(10,'🚗 BÁO GIÁ TURBO '!$W$4:$W$690,0))="","",INDEX('🚗 BÁO GIÁ TURBO '!$F$4:$F$690,MATCH(10,'🚗 BÁO GIÁ TURBO '!$W$4:$W$690,0))),"")</f>
        <v/>
      </c>
      <c r="F17" s="326">
        <f>IFERROR(IF(INDEX('🚗 BÁO GIÁ TURBO '!$G$4:$G$690,MATCH(10,'🚗 BÁO GIÁ TURBO '!$W$4:$W$690,0))="","",INDEX('🚗 BÁO GIÁ TURBO '!$G$4:$G$690,MATCH(10,'🚗 BÁO GIÁ TURBO '!$W$4:$W$690,0))),"")</f>
        <v/>
      </c>
      <c r="G17" s="326">
        <f>IFERROR(IF(INDEX('🚗 BÁO GIÁ TURBO '!$H$4:$H$690,MATCH(10,'🚗 BÁO GIÁ TURBO '!$W$4:$W$690,0))="","",INDEX('🚗 BÁO GIÁ TURBO '!$H$4:$H$690,MATCH(10,'🚗 BÁO GIÁ TURBO '!$W$4:$W$690,0))),"")</f>
        <v/>
      </c>
      <c r="H17" s="326">
        <f>IFERROR(IF(INDEX('🚗 BÁO GIÁ TURBO '!$I$4:$I$690,MATCH(10,'🚗 BÁO GIÁ TURBO '!$W$4:$W$690,0))="","",INDEX('🚗 BÁO GIÁ TURBO '!$I$4:$I$690,MATCH(10,'🚗 BÁO GIÁ TURBO '!$W$4:$W$690,0))),"")</f>
        <v/>
      </c>
      <c r="I17" s="327">
        <f>IFERROR(IF(INDEX('🚗 BÁO GIÁ TURBO '!$J$4:$J$690,MATCH(10,'🚗 BÁO GIÁ TURBO '!$W$4:$W$690,0))="","",INDEX('🚗 BÁO GIÁ TURBO '!$J$4:$J$690,MATCH(10,'🚗 BÁO GIÁ TURBO '!$W$4:$W$690,0))),"")</f>
        <v/>
      </c>
    </row>
    <row r="18" ht="15" customHeight="1" s="217">
      <c r="A18" s="320">
        <f>IFERROR(IF(INDEX('🚗 BÁO GIÁ TURBO '!$A$4:$A$690,MATCH(11,'🚗 BÁO GIÁ TURBO '!$W$4:$W$690,0))="","",INDEX('🚗 BÁO GIÁ TURBO '!$A$4:$A$690,MATCH(11,'🚗 BÁO GIÁ TURBO '!$W$4:$W$690,0))),"")</f>
        <v/>
      </c>
      <c r="B18" s="321">
        <f>IFERROR(IF(INDEX('🚗 BÁO GIÁ TURBO '!$B$4:$B$690,MATCH(11,'🚗 BÁO GIÁ TURBO '!$W$4:$W$690,0))="","",INDEX('🚗 BÁO GIÁ TURBO '!$B$4:$B$690,MATCH(11,'🚗 BÁO GIÁ TURBO '!$W$4:$W$690,0))),"")</f>
        <v/>
      </c>
      <c r="C18" s="320">
        <f>IFERROR(IF(INDEX('🚗 BÁO GIÁ TURBO '!$D$4:$D$690,MATCH(11,'🚗 BÁO GIÁ TURBO '!$W$4:$W$690,0))="","",INDEX('🚗 BÁO GIÁ TURBO '!$D$4:$D$690,MATCH(11,'🚗 BÁO GIÁ TURBO '!$W$4:$W$690,0))),"")</f>
        <v/>
      </c>
      <c r="D18" s="320">
        <f>IFERROR(IF(INDEX('🚗 BÁO GIÁ TURBO '!$E$4:$E$690,MATCH(11,'🚗 BÁO GIÁ TURBO '!$W$4:$W$690,0))="","",INDEX('🚗 BÁO GIÁ TURBO '!$E$4:$E$690,MATCH(11,'🚗 BÁO GIÁ TURBO '!$W$4:$W$690,0))),"")</f>
        <v/>
      </c>
      <c r="E18" s="322">
        <f>IFERROR(IF(INDEX('🚗 BÁO GIÁ TURBO '!$F$4:$F$690,MATCH(11,'🚗 BÁO GIÁ TURBO '!$W$4:$W$690,0))="","",INDEX('🚗 BÁO GIÁ TURBO '!$F$4:$F$690,MATCH(11,'🚗 BÁO GIÁ TURBO '!$W$4:$W$690,0))),"")</f>
        <v/>
      </c>
      <c r="F18" s="322">
        <f>IFERROR(IF(INDEX('🚗 BÁO GIÁ TURBO '!$G$4:$G$690,MATCH(11,'🚗 BÁO GIÁ TURBO '!$W$4:$W$690,0))="","",INDEX('🚗 BÁO GIÁ TURBO '!$G$4:$G$690,MATCH(11,'🚗 BÁO GIÁ TURBO '!$W$4:$W$690,0))),"")</f>
        <v/>
      </c>
      <c r="G18" s="322">
        <f>IFERROR(IF(INDEX('🚗 BÁO GIÁ TURBO '!$H$4:$H$690,MATCH(11,'🚗 BÁO GIÁ TURBO '!$W$4:$W$690,0))="","",INDEX('🚗 BÁO GIÁ TURBO '!$H$4:$H$690,MATCH(11,'🚗 BÁO GIÁ TURBO '!$W$4:$W$690,0))),"")</f>
        <v/>
      </c>
      <c r="H18" s="322">
        <f>IFERROR(IF(INDEX('🚗 BÁO GIÁ TURBO '!$I$4:$I$690,MATCH(11,'🚗 BÁO GIÁ TURBO '!$W$4:$W$690,0))="","",INDEX('🚗 BÁO GIÁ TURBO '!$I$4:$I$690,MATCH(11,'🚗 BÁO GIÁ TURBO '!$W$4:$W$690,0))),"")</f>
        <v/>
      </c>
      <c r="I18" s="323">
        <f>IFERROR(IF(INDEX('🚗 BÁO GIÁ TURBO '!$J$4:$J$690,MATCH(11,'🚗 BÁO GIÁ TURBO '!$W$4:$W$690,0))="","",INDEX('🚗 BÁO GIÁ TURBO '!$J$4:$J$690,MATCH(11,'🚗 BÁO GIÁ TURBO '!$W$4:$W$690,0))),"")</f>
        <v/>
      </c>
    </row>
    <row r="19" ht="15" customHeight="1" s="217">
      <c r="A19" s="324">
        <f>IFERROR(IF(INDEX('🚗 BÁO GIÁ TURBO '!$A$4:$A$690,MATCH(12,'🚗 BÁO GIÁ TURBO '!$W$4:$W$690,0))="","",INDEX('🚗 BÁO GIÁ TURBO '!$A$4:$A$690,MATCH(12,'🚗 BÁO GIÁ TURBO '!$W$4:$W$690,0))),"")</f>
        <v/>
      </c>
      <c r="B19" s="325">
        <f>IFERROR(IF(INDEX('🚗 BÁO GIÁ TURBO '!$B$4:$B$690,MATCH(12,'🚗 BÁO GIÁ TURBO '!$W$4:$W$690,0))="","",INDEX('🚗 BÁO GIÁ TURBO '!$B$4:$B$690,MATCH(12,'🚗 BÁO GIÁ TURBO '!$W$4:$W$690,0))),"")</f>
        <v/>
      </c>
      <c r="C19" s="324">
        <f>IFERROR(IF(INDEX('🚗 BÁO GIÁ TURBO '!$D$4:$D$690,MATCH(12,'🚗 BÁO GIÁ TURBO '!$W$4:$W$690,0))="","",INDEX('🚗 BÁO GIÁ TURBO '!$D$4:$D$690,MATCH(12,'🚗 BÁO GIÁ TURBO '!$W$4:$W$690,0))),"")</f>
        <v/>
      </c>
      <c r="D19" s="324">
        <f>IFERROR(IF(INDEX('🚗 BÁO GIÁ TURBO '!$E$4:$E$690,MATCH(12,'🚗 BÁO GIÁ TURBO '!$W$4:$W$690,0))="","",INDEX('🚗 BÁO GIÁ TURBO '!$E$4:$E$690,MATCH(12,'🚗 BÁO GIÁ TURBO '!$W$4:$W$690,0))),"")</f>
        <v/>
      </c>
      <c r="E19" s="326">
        <f>IFERROR(IF(INDEX('🚗 BÁO GIÁ TURBO '!$F$4:$F$690,MATCH(12,'🚗 BÁO GIÁ TURBO '!$W$4:$W$690,0))="","",INDEX('🚗 BÁO GIÁ TURBO '!$F$4:$F$690,MATCH(12,'🚗 BÁO GIÁ TURBO '!$W$4:$W$690,0))),"")</f>
        <v/>
      </c>
      <c r="F19" s="326">
        <f>IFERROR(IF(INDEX('🚗 BÁO GIÁ TURBO '!$G$4:$G$690,MATCH(12,'🚗 BÁO GIÁ TURBO '!$W$4:$W$690,0))="","",INDEX('🚗 BÁO GIÁ TURBO '!$G$4:$G$690,MATCH(12,'🚗 BÁO GIÁ TURBO '!$W$4:$W$690,0))),"")</f>
        <v/>
      </c>
      <c r="G19" s="326">
        <f>IFERROR(IF(INDEX('🚗 BÁO GIÁ TURBO '!$H$4:$H$690,MATCH(12,'🚗 BÁO GIÁ TURBO '!$W$4:$W$690,0))="","",INDEX('🚗 BÁO GIÁ TURBO '!$H$4:$H$690,MATCH(12,'🚗 BÁO GIÁ TURBO '!$W$4:$W$690,0))),"")</f>
        <v/>
      </c>
      <c r="H19" s="326">
        <f>IFERROR(IF(INDEX('🚗 BÁO GIÁ TURBO '!$I$4:$I$690,MATCH(12,'🚗 BÁO GIÁ TURBO '!$W$4:$W$690,0))="","",INDEX('🚗 BÁO GIÁ TURBO '!$I$4:$I$690,MATCH(12,'🚗 BÁO GIÁ TURBO '!$W$4:$W$690,0))),"")</f>
        <v/>
      </c>
      <c r="I19" s="327">
        <f>IFERROR(IF(INDEX('🚗 BÁO GIÁ TURBO '!$J$4:$J$690,MATCH(12,'🚗 BÁO GIÁ TURBO '!$W$4:$W$690,0))="","",INDEX('🚗 BÁO GIÁ TURBO '!$J$4:$J$690,MATCH(12,'🚗 BÁO GIÁ TURBO '!$W$4:$W$690,0))),"")</f>
        <v/>
      </c>
    </row>
    <row r="20" ht="15" customHeight="1" s="217">
      <c r="A20" s="320">
        <f>IFERROR(IF(INDEX('🚗 BÁO GIÁ TURBO '!$A$4:$A$690,MATCH(13,'🚗 BÁO GIÁ TURBO '!$W$4:$W$690,0))="","",INDEX('🚗 BÁO GIÁ TURBO '!$A$4:$A$690,MATCH(13,'🚗 BÁO GIÁ TURBO '!$W$4:$W$690,0))),"")</f>
        <v/>
      </c>
      <c r="B20" s="321">
        <f>IFERROR(IF(INDEX('🚗 BÁO GIÁ TURBO '!$B$4:$B$690,MATCH(13,'🚗 BÁO GIÁ TURBO '!$W$4:$W$690,0))="","",INDEX('🚗 BÁO GIÁ TURBO '!$B$4:$B$690,MATCH(13,'🚗 BÁO GIÁ TURBO '!$W$4:$W$690,0))),"")</f>
        <v/>
      </c>
      <c r="C20" s="320">
        <f>IFERROR(IF(INDEX('🚗 BÁO GIÁ TURBO '!$D$4:$D$690,MATCH(13,'🚗 BÁO GIÁ TURBO '!$W$4:$W$690,0))="","",INDEX('🚗 BÁO GIÁ TURBO '!$D$4:$D$690,MATCH(13,'🚗 BÁO GIÁ TURBO '!$W$4:$W$690,0))),"")</f>
        <v/>
      </c>
      <c r="D20" s="320">
        <f>IFERROR(IF(INDEX('🚗 BÁO GIÁ TURBO '!$E$4:$E$690,MATCH(13,'🚗 BÁO GIÁ TURBO '!$W$4:$W$690,0))="","",INDEX('🚗 BÁO GIÁ TURBO '!$E$4:$E$690,MATCH(13,'🚗 BÁO GIÁ TURBO '!$W$4:$W$690,0))),"")</f>
        <v/>
      </c>
      <c r="E20" s="322">
        <f>IFERROR(IF(INDEX('🚗 BÁO GIÁ TURBO '!$F$4:$F$690,MATCH(13,'🚗 BÁO GIÁ TURBO '!$W$4:$W$690,0))="","",INDEX('🚗 BÁO GIÁ TURBO '!$F$4:$F$690,MATCH(13,'🚗 BÁO GIÁ TURBO '!$W$4:$W$690,0))),"")</f>
        <v/>
      </c>
      <c r="F20" s="322">
        <f>IFERROR(IF(INDEX('🚗 BÁO GIÁ TURBO '!$G$4:$G$690,MATCH(13,'🚗 BÁO GIÁ TURBO '!$W$4:$W$690,0))="","",INDEX('🚗 BÁO GIÁ TURBO '!$G$4:$G$690,MATCH(13,'🚗 BÁO GIÁ TURBO '!$W$4:$W$690,0))),"")</f>
        <v/>
      </c>
      <c r="G20" s="322">
        <f>IFERROR(IF(INDEX('🚗 BÁO GIÁ TURBO '!$H$4:$H$690,MATCH(13,'🚗 BÁO GIÁ TURBO '!$W$4:$W$690,0))="","",INDEX('🚗 BÁO GIÁ TURBO '!$H$4:$H$690,MATCH(13,'🚗 BÁO GIÁ TURBO '!$W$4:$W$690,0))),"")</f>
        <v/>
      </c>
      <c r="H20" s="322">
        <f>IFERROR(IF(INDEX('🚗 BÁO GIÁ TURBO '!$I$4:$I$690,MATCH(13,'🚗 BÁO GIÁ TURBO '!$W$4:$W$690,0))="","",INDEX('🚗 BÁO GIÁ TURBO '!$I$4:$I$690,MATCH(13,'🚗 BÁO GIÁ TURBO '!$W$4:$W$690,0))),"")</f>
        <v/>
      </c>
      <c r="I20" s="323">
        <f>IFERROR(IF(INDEX('🚗 BÁO GIÁ TURBO '!$J$4:$J$690,MATCH(13,'🚗 BÁO GIÁ TURBO '!$W$4:$W$690,0))="","",INDEX('🚗 BÁO GIÁ TURBO '!$J$4:$J$690,MATCH(13,'🚗 BÁO GIÁ TURBO '!$W$4:$W$690,0))),"")</f>
        <v/>
      </c>
    </row>
    <row r="21" ht="15" customHeight="1" s="217">
      <c r="A21" s="324">
        <f>IFERROR(IF(INDEX('🚗 BÁO GIÁ TURBO '!$A$4:$A$690,MATCH(14,'🚗 BÁO GIÁ TURBO '!$W$4:$W$690,0))="","",INDEX('🚗 BÁO GIÁ TURBO '!$A$4:$A$690,MATCH(14,'🚗 BÁO GIÁ TURBO '!$W$4:$W$690,0))),"")</f>
        <v/>
      </c>
      <c r="B21" s="325">
        <f>IFERROR(IF(INDEX('🚗 BÁO GIÁ TURBO '!$B$4:$B$690,MATCH(14,'🚗 BÁO GIÁ TURBO '!$W$4:$W$690,0))="","",INDEX('🚗 BÁO GIÁ TURBO '!$B$4:$B$690,MATCH(14,'🚗 BÁO GIÁ TURBO '!$W$4:$W$690,0))),"")</f>
        <v/>
      </c>
      <c r="C21" s="324">
        <f>IFERROR(IF(INDEX('🚗 BÁO GIÁ TURBO '!$D$4:$D$690,MATCH(14,'🚗 BÁO GIÁ TURBO '!$W$4:$W$690,0))="","",INDEX('🚗 BÁO GIÁ TURBO '!$D$4:$D$690,MATCH(14,'🚗 BÁO GIÁ TURBO '!$W$4:$W$690,0))),"")</f>
        <v/>
      </c>
      <c r="D21" s="324">
        <f>IFERROR(IF(INDEX('🚗 BÁO GIÁ TURBO '!$E$4:$E$690,MATCH(14,'🚗 BÁO GIÁ TURBO '!$W$4:$W$690,0))="","",INDEX('🚗 BÁO GIÁ TURBO '!$E$4:$E$690,MATCH(14,'🚗 BÁO GIÁ TURBO '!$W$4:$W$690,0))),"")</f>
        <v/>
      </c>
      <c r="E21" s="326">
        <f>IFERROR(IF(INDEX('🚗 BÁO GIÁ TURBO '!$F$4:$F$690,MATCH(14,'🚗 BÁO GIÁ TURBO '!$W$4:$W$690,0))="","",INDEX('🚗 BÁO GIÁ TURBO '!$F$4:$F$690,MATCH(14,'🚗 BÁO GIÁ TURBO '!$W$4:$W$690,0))),"")</f>
        <v/>
      </c>
      <c r="F21" s="326">
        <f>IFERROR(IF(INDEX('🚗 BÁO GIÁ TURBO '!$G$4:$G$690,MATCH(14,'🚗 BÁO GIÁ TURBO '!$W$4:$W$690,0))="","",INDEX('🚗 BÁO GIÁ TURBO '!$G$4:$G$690,MATCH(14,'🚗 BÁO GIÁ TURBO '!$W$4:$W$690,0))),"")</f>
        <v/>
      </c>
      <c r="G21" s="326">
        <f>IFERROR(IF(INDEX('🚗 BÁO GIÁ TURBO '!$H$4:$H$690,MATCH(14,'🚗 BÁO GIÁ TURBO '!$W$4:$W$690,0))="","",INDEX('🚗 BÁO GIÁ TURBO '!$H$4:$H$690,MATCH(14,'🚗 BÁO GIÁ TURBO '!$W$4:$W$690,0))),"")</f>
        <v/>
      </c>
      <c r="H21" s="326">
        <f>IFERROR(IF(INDEX('🚗 BÁO GIÁ TURBO '!$I$4:$I$690,MATCH(14,'🚗 BÁO GIÁ TURBO '!$W$4:$W$690,0))="","",INDEX('🚗 BÁO GIÁ TURBO '!$I$4:$I$690,MATCH(14,'🚗 BÁO GIÁ TURBO '!$W$4:$W$690,0))),"")</f>
        <v/>
      </c>
      <c r="I21" s="327">
        <f>IFERROR(IF(INDEX('🚗 BÁO GIÁ TURBO '!$J$4:$J$690,MATCH(14,'🚗 BÁO GIÁ TURBO '!$W$4:$W$690,0))="","",INDEX('🚗 BÁO GIÁ TURBO '!$J$4:$J$690,MATCH(14,'🚗 BÁO GIÁ TURBO '!$W$4:$W$690,0))),"")</f>
        <v/>
      </c>
    </row>
    <row r="22" ht="15" customHeight="1" s="217">
      <c r="A22" s="320">
        <f>IFERROR(IF(INDEX('🚗 BÁO GIÁ TURBO '!$A$4:$A$690,MATCH(15,'🚗 BÁO GIÁ TURBO '!$W$4:$W$690,0))="","",INDEX('🚗 BÁO GIÁ TURBO '!$A$4:$A$690,MATCH(15,'🚗 BÁO GIÁ TURBO '!$W$4:$W$690,0))),"")</f>
        <v/>
      </c>
      <c r="B22" s="321">
        <f>IFERROR(IF(INDEX('🚗 BÁO GIÁ TURBO '!$B$4:$B$690,MATCH(15,'🚗 BÁO GIÁ TURBO '!$W$4:$W$690,0))="","",INDEX('🚗 BÁO GIÁ TURBO '!$B$4:$B$690,MATCH(15,'🚗 BÁO GIÁ TURBO '!$W$4:$W$690,0))),"")</f>
        <v/>
      </c>
      <c r="C22" s="320">
        <f>IFERROR(IF(INDEX('🚗 BÁO GIÁ TURBO '!$D$4:$D$690,MATCH(15,'🚗 BÁO GIÁ TURBO '!$W$4:$W$690,0))="","",INDEX('🚗 BÁO GIÁ TURBO '!$D$4:$D$690,MATCH(15,'🚗 BÁO GIÁ TURBO '!$W$4:$W$690,0))),"")</f>
        <v/>
      </c>
      <c r="D22" s="320">
        <f>IFERROR(IF(INDEX('🚗 BÁO GIÁ TURBO '!$E$4:$E$690,MATCH(15,'🚗 BÁO GIÁ TURBO '!$W$4:$W$690,0))="","",INDEX('🚗 BÁO GIÁ TURBO '!$E$4:$E$690,MATCH(15,'🚗 BÁO GIÁ TURBO '!$W$4:$W$690,0))),"")</f>
        <v/>
      </c>
      <c r="E22" s="322">
        <f>IFERROR(IF(INDEX('🚗 BÁO GIÁ TURBO '!$F$4:$F$690,MATCH(15,'🚗 BÁO GIÁ TURBO '!$W$4:$W$690,0))="","",INDEX('🚗 BÁO GIÁ TURBO '!$F$4:$F$690,MATCH(15,'🚗 BÁO GIÁ TURBO '!$W$4:$W$690,0))),"")</f>
        <v/>
      </c>
      <c r="F22" s="322">
        <f>IFERROR(IF(INDEX('🚗 BÁO GIÁ TURBO '!$G$4:$G$690,MATCH(15,'🚗 BÁO GIÁ TURBO '!$W$4:$W$690,0))="","",INDEX('🚗 BÁO GIÁ TURBO '!$G$4:$G$690,MATCH(15,'🚗 BÁO GIÁ TURBO '!$W$4:$W$690,0))),"")</f>
        <v/>
      </c>
      <c r="G22" s="322">
        <f>IFERROR(IF(INDEX('🚗 BÁO GIÁ TURBO '!$H$4:$H$690,MATCH(15,'🚗 BÁO GIÁ TURBO '!$W$4:$W$690,0))="","",INDEX('🚗 BÁO GIÁ TURBO '!$H$4:$H$690,MATCH(15,'🚗 BÁO GIÁ TURBO '!$W$4:$W$690,0))),"")</f>
        <v/>
      </c>
      <c r="H22" s="322">
        <f>IFERROR(IF(INDEX('🚗 BÁO GIÁ TURBO '!$I$4:$I$690,MATCH(15,'🚗 BÁO GIÁ TURBO '!$W$4:$W$690,0))="","",INDEX('🚗 BÁO GIÁ TURBO '!$I$4:$I$690,MATCH(15,'🚗 BÁO GIÁ TURBO '!$W$4:$W$690,0))),"")</f>
        <v/>
      </c>
      <c r="I22" s="323">
        <f>IFERROR(IF(INDEX('🚗 BÁO GIÁ TURBO '!$J$4:$J$690,MATCH(15,'🚗 BÁO GIÁ TURBO '!$W$4:$W$690,0))="","",INDEX('🚗 BÁO GIÁ TURBO '!$J$4:$J$690,MATCH(15,'🚗 BÁO GIÁ TURBO '!$W$4:$W$690,0))),"")</f>
        <v/>
      </c>
    </row>
    <row r="23" ht="15" customHeight="1" s="217">
      <c r="A23" s="324">
        <f>IFERROR(IF(INDEX('🚗 BÁO GIÁ TURBO '!$A$4:$A$690,MATCH(16,'🚗 BÁO GIÁ TURBO '!$W$4:$W$690,0))="","",INDEX('🚗 BÁO GIÁ TURBO '!$A$4:$A$690,MATCH(16,'🚗 BÁO GIÁ TURBO '!$W$4:$W$690,0))),"")</f>
        <v/>
      </c>
      <c r="B23" s="325">
        <f>IFERROR(IF(INDEX('🚗 BÁO GIÁ TURBO '!$B$4:$B$690,MATCH(16,'🚗 BÁO GIÁ TURBO '!$W$4:$W$690,0))="","",INDEX('🚗 BÁO GIÁ TURBO '!$B$4:$B$690,MATCH(16,'🚗 BÁO GIÁ TURBO '!$W$4:$W$690,0))),"")</f>
        <v/>
      </c>
      <c r="C23" s="324">
        <f>IFERROR(IF(INDEX('🚗 BÁO GIÁ TURBO '!$D$4:$D$690,MATCH(16,'🚗 BÁO GIÁ TURBO '!$W$4:$W$690,0))="","",INDEX('🚗 BÁO GIÁ TURBO '!$D$4:$D$690,MATCH(16,'🚗 BÁO GIÁ TURBO '!$W$4:$W$690,0))),"")</f>
        <v/>
      </c>
      <c r="D23" s="324">
        <f>IFERROR(IF(INDEX('🚗 BÁO GIÁ TURBO '!$E$4:$E$690,MATCH(16,'🚗 BÁO GIÁ TURBO '!$W$4:$W$690,0))="","",INDEX('🚗 BÁO GIÁ TURBO '!$E$4:$E$690,MATCH(16,'🚗 BÁO GIÁ TURBO '!$W$4:$W$690,0))),"")</f>
        <v/>
      </c>
      <c r="E23" s="326">
        <f>IFERROR(IF(INDEX('🚗 BÁO GIÁ TURBO '!$F$4:$F$690,MATCH(16,'🚗 BÁO GIÁ TURBO '!$W$4:$W$690,0))="","",INDEX('🚗 BÁO GIÁ TURBO '!$F$4:$F$690,MATCH(16,'🚗 BÁO GIÁ TURBO '!$W$4:$W$690,0))),"")</f>
        <v/>
      </c>
      <c r="F23" s="326">
        <f>IFERROR(IF(INDEX('🚗 BÁO GIÁ TURBO '!$G$4:$G$690,MATCH(16,'🚗 BÁO GIÁ TURBO '!$W$4:$W$690,0))="","",INDEX('🚗 BÁO GIÁ TURBO '!$G$4:$G$690,MATCH(16,'🚗 BÁO GIÁ TURBO '!$W$4:$W$690,0))),"")</f>
        <v/>
      </c>
      <c r="G23" s="326">
        <f>IFERROR(IF(INDEX('🚗 BÁO GIÁ TURBO '!$H$4:$H$690,MATCH(16,'🚗 BÁO GIÁ TURBO '!$W$4:$W$690,0))="","",INDEX('🚗 BÁO GIÁ TURBO '!$H$4:$H$690,MATCH(16,'🚗 BÁO GIÁ TURBO '!$W$4:$W$690,0))),"")</f>
        <v/>
      </c>
      <c r="H23" s="326">
        <f>IFERROR(IF(INDEX('🚗 BÁO GIÁ TURBO '!$I$4:$I$690,MATCH(16,'🚗 BÁO GIÁ TURBO '!$W$4:$W$690,0))="","",INDEX('🚗 BÁO GIÁ TURBO '!$I$4:$I$690,MATCH(16,'🚗 BÁO GIÁ TURBO '!$W$4:$W$690,0))),"")</f>
        <v/>
      </c>
      <c r="I23" s="327">
        <f>IFERROR(IF(INDEX('🚗 BÁO GIÁ TURBO '!$J$4:$J$690,MATCH(16,'🚗 BÁO GIÁ TURBO '!$W$4:$W$690,0))="","",INDEX('🚗 BÁO GIÁ TURBO '!$J$4:$J$690,MATCH(16,'🚗 BÁO GIÁ TURBO '!$W$4:$W$690,0))),"")</f>
        <v/>
      </c>
    </row>
    <row r="24" ht="15" customHeight="1" s="217">
      <c r="A24" s="320">
        <f>IFERROR(IF(INDEX('🚗 BÁO GIÁ TURBO '!$A$4:$A$690,MATCH(17,'🚗 BÁO GIÁ TURBO '!$W$4:$W$690,0))="","",INDEX('🚗 BÁO GIÁ TURBO '!$A$4:$A$690,MATCH(17,'🚗 BÁO GIÁ TURBO '!$W$4:$W$690,0))),"")</f>
        <v/>
      </c>
      <c r="B24" s="321">
        <f>IFERROR(IF(INDEX('🚗 BÁO GIÁ TURBO '!$B$4:$B$690,MATCH(17,'🚗 BÁO GIÁ TURBO '!$W$4:$W$690,0))="","",INDEX('🚗 BÁO GIÁ TURBO '!$B$4:$B$690,MATCH(17,'🚗 BÁO GIÁ TURBO '!$W$4:$W$690,0))),"")</f>
        <v/>
      </c>
      <c r="C24" s="320">
        <f>IFERROR(IF(INDEX('🚗 BÁO GIÁ TURBO '!$D$4:$D$690,MATCH(17,'🚗 BÁO GIÁ TURBO '!$W$4:$W$690,0))="","",INDEX('🚗 BÁO GIÁ TURBO '!$D$4:$D$690,MATCH(17,'🚗 BÁO GIÁ TURBO '!$W$4:$W$690,0))),"")</f>
        <v/>
      </c>
      <c r="D24" s="320">
        <f>IFERROR(IF(INDEX('🚗 BÁO GIÁ TURBO '!$E$4:$E$690,MATCH(17,'🚗 BÁO GIÁ TURBO '!$W$4:$W$690,0))="","",INDEX('🚗 BÁO GIÁ TURBO '!$E$4:$E$690,MATCH(17,'🚗 BÁO GIÁ TURBO '!$W$4:$W$690,0))),"")</f>
        <v/>
      </c>
      <c r="E24" s="322">
        <f>IFERROR(IF(INDEX('🚗 BÁO GIÁ TURBO '!$F$4:$F$690,MATCH(17,'🚗 BÁO GIÁ TURBO '!$W$4:$W$690,0))="","",INDEX('🚗 BÁO GIÁ TURBO '!$F$4:$F$690,MATCH(17,'🚗 BÁO GIÁ TURBO '!$W$4:$W$690,0))),"")</f>
        <v/>
      </c>
      <c r="F24" s="322">
        <f>IFERROR(IF(INDEX('🚗 BÁO GIÁ TURBO '!$G$4:$G$690,MATCH(17,'🚗 BÁO GIÁ TURBO '!$W$4:$W$690,0))="","",INDEX('🚗 BÁO GIÁ TURBO '!$G$4:$G$690,MATCH(17,'🚗 BÁO GIÁ TURBO '!$W$4:$W$690,0))),"")</f>
        <v/>
      </c>
      <c r="G24" s="322">
        <f>IFERROR(IF(INDEX('🚗 BÁO GIÁ TURBO '!$H$4:$H$690,MATCH(17,'🚗 BÁO GIÁ TURBO '!$W$4:$W$690,0))="","",INDEX('🚗 BÁO GIÁ TURBO '!$H$4:$H$690,MATCH(17,'🚗 BÁO GIÁ TURBO '!$W$4:$W$690,0))),"")</f>
        <v/>
      </c>
      <c r="H24" s="322">
        <f>IFERROR(IF(INDEX('🚗 BÁO GIÁ TURBO '!$I$4:$I$690,MATCH(17,'🚗 BÁO GIÁ TURBO '!$W$4:$W$690,0))="","",INDEX('🚗 BÁO GIÁ TURBO '!$I$4:$I$690,MATCH(17,'🚗 BÁO GIÁ TURBO '!$W$4:$W$690,0))),"")</f>
        <v/>
      </c>
      <c r="I24" s="323">
        <f>IFERROR(IF(INDEX('🚗 BÁO GIÁ TURBO '!$J$4:$J$690,MATCH(17,'🚗 BÁO GIÁ TURBO '!$W$4:$W$690,0))="","",INDEX('🚗 BÁO GIÁ TURBO '!$J$4:$J$690,MATCH(17,'🚗 BÁO GIÁ TURBO '!$W$4:$W$690,0))),"")</f>
        <v/>
      </c>
    </row>
    <row r="25" ht="15" customHeight="1" s="217">
      <c r="A25" s="324">
        <f>IFERROR(IF(INDEX('🚗 BÁO GIÁ TURBO '!$A$4:$A$690,MATCH(18,'🚗 BÁO GIÁ TURBO '!$W$4:$W$690,0))="","",INDEX('🚗 BÁO GIÁ TURBO '!$A$4:$A$690,MATCH(18,'🚗 BÁO GIÁ TURBO '!$W$4:$W$690,0))),"")</f>
        <v/>
      </c>
      <c r="B25" s="325">
        <f>IFERROR(IF(INDEX('🚗 BÁO GIÁ TURBO '!$B$4:$B$690,MATCH(18,'🚗 BÁO GIÁ TURBO '!$W$4:$W$690,0))="","",INDEX('🚗 BÁO GIÁ TURBO '!$B$4:$B$690,MATCH(18,'🚗 BÁO GIÁ TURBO '!$W$4:$W$690,0))),"")</f>
        <v/>
      </c>
      <c r="C25" s="324">
        <f>IFERROR(IF(INDEX('🚗 BÁO GIÁ TURBO '!$D$4:$D$690,MATCH(18,'🚗 BÁO GIÁ TURBO '!$W$4:$W$690,0))="","",INDEX('🚗 BÁO GIÁ TURBO '!$D$4:$D$690,MATCH(18,'🚗 BÁO GIÁ TURBO '!$W$4:$W$690,0))),"")</f>
        <v/>
      </c>
      <c r="D25" s="324">
        <f>IFERROR(IF(INDEX('🚗 BÁO GIÁ TURBO '!$E$4:$E$690,MATCH(18,'🚗 BÁO GIÁ TURBO '!$W$4:$W$690,0))="","",INDEX('🚗 BÁO GIÁ TURBO '!$E$4:$E$690,MATCH(18,'🚗 BÁO GIÁ TURBO '!$W$4:$W$690,0))),"")</f>
        <v/>
      </c>
      <c r="E25" s="326">
        <f>IFERROR(IF(INDEX('🚗 BÁO GIÁ TURBO '!$F$4:$F$690,MATCH(18,'🚗 BÁO GIÁ TURBO '!$W$4:$W$690,0))="","",INDEX('🚗 BÁO GIÁ TURBO '!$F$4:$F$690,MATCH(18,'🚗 BÁO GIÁ TURBO '!$W$4:$W$690,0))),"")</f>
        <v/>
      </c>
      <c r="F25" s="326">
        <f>IFERROR(IF(INDEX('🚗 BÁO GIÁ TURBO '!$G$4:$G$690,MATCH(18,'🚗 BÁO GIÁ TURBO '!$W$4:$W$690,0))="","",INDEX('🚗 BÁO GIÁ TURBO '!$G$4:$G$690,MATCH(18,'🚗 BÁO GIÁ TURBO '!$W$4:$W$690,0))),"")</f>
        <v/>
      </c>
      <c r="G25" s="326">
        <f>IFERROR(IF(INDEX('🚗 BÁO GIÁ TURBO '!$H$4:$H$690,MATCH(18,'🚗 BÁO GIÁ TURBO '!$W$4:$W$690,0))="","",INDEX('🚗 BÁO GIÁ TURBO '!$H$4:$H$690,MATCH(18,'🚗 BÁO GIÁ TURBO '!$W$4:$W$690,0))),"")</f>
        <v/>
      </c>
      <c r="H25" s="326">
        <f>IFERROR(IF(INDEX('🚗 BÁO GIÁ TURBO '!$I$4:$I$690,MATCH(18,'🚗 BÁO GIÁ TURBO '!$W$4:$W$690,0))="","",INDEX('🚗 BÁO GIÁ TURBO '!$I$4:$I$690,MATCH(18,'🚗 BÁO GIÁ TURBO '!$W$4:$W$690,0))),"")</f>
        <v/>
      </c>
      <c r="I25" s="327">
        <f>IFERROR(IF(INDEX('🚗 BÁO GIÁ TURBO '!$J$4:$J$690,MATCH(18,'🚗 BÁO GIÁ TURBO '!$W$4:$W$690,0))="","",INDEX('🚗 BÁO GIÁ TURBO '!$J$4:$J$690,MATCH(18,'🚗 BÁO GIÁ TURBO '!$W$4:$W$690,0))),"")</f>
        <v/>
      </c>
    </row>
    <row r="26" ht="15" customHeight="1" s="217">
      <c r="A26" s="320">
        <f>IFERROR(IF(INDEX('🚗 BÁO GIÁ TURBO '!$A$4:$A$690,MATCH(19,'🚗 BÁO GIÁ TURBO '!$W$4:$W$690,0))="","",INDEX('🚗 BÁO GIÁ TURBO '!$A$4:$A$690,MATCH(19,'🚗 BÁO GIÁ TURBO '!$W$4:$W$690,0))),"")</f>
        <v/>
      </c>
      <c r="B26" s="321">
        <f>IFERROR(IF(INDEX('🚗 BÁO GIÁ TURBO '!$B$4:$B$690,MATCH(19,'🚗 BÁO GIÁ TURBO '!$W$4:$W$690,0))="","",INDEX('🚗 BÁO GIÁ TURBO '!$B$4:$B$690,MATCH(19,'🚗 BÁO GIÁ TURBO '!$W$4:$W$690,0))),"")</f>
        <v/>
      </c>
      <c r="C26" s="320">
        <f>IFERROR(IF(INDEX('🚗 BÁO GIÁ TURBO '!$D$4:$D$690,MATCH(19,'🚗 BÁO GIÁ TURBO '!$W$4:$W$690,0))="","",INDEX('🚗 BÁO GIÁ TURBO '!$D$4:$D$690,MATCH(19,'🚗 BÁO GIÁ TURBO '!$W$4:$W$690,0))),"")</f>
        <v/>
      </c>
      <c r="D26" s="320">
        <f>IFERROR(IF(INDEX('🚗 BÁO GIÁ TURBO '!$E$4:$E$690,MATCH(19,'🚗 BÁO GIÁ TURBO '!$W$4:$W$690,0))="","",INDEX('🚗 BÁO GIÁ TURBO '!$E$4:$E$690,MATCH(19,'🚗 BÁO GIÁ TURBO '!$W$4:$W$690,0))),"")</f>
        <v/>
      </c>
      <c r="E26" s="322">
        <f>IFERROR(IF(INDEX('🚗 BÁO GIÁ TURBO '!$F$4:$F$690,MATCH(19,'🚗 BÁO GIÁ TURBO '!$W$4:$W$690,0))="","",INDEX('🚗 BÁO GIÁ TURBO '!$F$4:$F$690,MATCH(19,'🚗 BÁO GIÁ TURBO '!$W$4:$W$690,0))),"")</f>
        <v/>
      </c>
      <c r="F26" s="322">
        <f>IFERROR(IF(INDEX('🚗 BÁO GIÁ TURBO '!$G$4:$G$690,MATCH(19,'🚗 BÁO GIÁ TURBO '!$W$4:$W$690,0))="","",INDEX('🚗 BÁO GIÁ TURBO '!$G$4:$G$690,MATCH(19,'🚗 BÁO GIÁ TURBO '!$W$4:$W$690,0))),"")</f>
        <v/>
      </c>
      <c r="G26" s="322">
        <f>IFERROR(IF(INDEX('🚗 BÁO GIÁ TURBO '!$H$4:$H$690,MATCH(19,'🚗 BÁO GIÁ TURBO '!$W$4:$W$690,0))="","",INDEX('🚗 BÁO GIÁ TURBO '!$H$4:$H$690,MATCH(19,'🚗 BÁO GIÁ TURBO '!$W$4:$W$690,0))),"")</f>
        <v/>
      </c>
      <c r="H26" s="322">
        <f>IFERROR(IF(INDEX('🚗 BÁO GIÁ TURBO '!$I$4:$I$690,MATCH(19,'🚗 BÁO GIÁ TURBO '!$W$4:$W$690,0))="","",INDEX('🚗 BÁO GIÁ TURBO '!$I$4:$I$690,MATCH(19,'🚗 BÁO GIÁ TURBO '!$W$4:$W$690,0))),"")</f>
        <v/>
      </c>
      <c r="I26" s="323">
        <f>IFERROR(IF(INDEX('🚗 BÁO GIÁ TURBO '!$J$4:$J$690,MATCH(19,'🚗 BÁO GIÁ TURBO '!$W$4:$W$690,0))="","",INDEX('🚗 BÁO GIÁ TURBO '!$J$4:$J$690,MATCH(19,'🚗 BÁO GIÁ TURBO '!$W$4:$W$690,0))),"")</f>
        <v/>
      </c>
    </row>
    <row r="27" ht="15" customHeight="1" s="217">
      <c r="A27" s="324">
        <f>IFERROR(IF(INDEX('🚗 BÁO GIÁ TURBO '!$A$4:$A$690,MATCH(20,'🚗 BÁO GIÁ TURBO '!$W$4:$W$690,0))="","",INDEX('🚗 BÁO GIÁ TURBO '!$A$4:$A$690,MATCH(20,'🚗 BÁO GIÁ TURBO '!$W$4:$W$690,0))),"")</f>
        <v/>
      </c>
      <c r="B27" s="325">
        <f>IFERROR(IF(INDEX('🚗 BÁO GIÁ TURBO '!$B$4:$B$690,MATCH(20,'🚗 BÁO GIÁ TURBO '!$W$4:$W$690,0))="","",INDEX('🚗 BÁO GIÁ TURBO '!$B$4:$B$690,MATCH(20,'🚗 BÁO GIÁ TURBO '!$W$4:$W$690,0))),"")</f>
        <v/>
      </c>
      <c r="C27" s="324">
        <f>IFERROR(IF(INDEX('🚗 BÁO GIÁ TURBO '!$D$4:$D$690,MATCH(20,'🚗 BÁO GIÁ TURBO '!$W$4:$W$690,0))="","",INDEX('🚗 BÁO GIÁ TURBO '!$D$4:$D$690,MATCH(20,'🚗 BÁO GIÁ TURBO '!$W$4:$W$690,0))),"")</f>
        <v/>
      </c>
      <c r="D27" s="324">
        <f>IFERROR(IF(INDEX('🚗 BÁO GIÁ TURBO '!$E$4:$E$690,MATCH(20,'🚗 BÁO GIÁ TURBO '!$W$4:$W$690,0))="","",INDEX('🚗 BÁO GIÁ TURBO '!$E$4:$E$690,MATCH(20,'🚗 BÁO GIÁ TURBO '!$W$4:$W$690,0))),"")</f>
        <v/>
      </c>
      <c r="E27" s="326">
        <f>IFERROR(IF(INDEX('🚗 BÁO GIÁ TURBO '!$F$4:$F$690,MATCH(20,'🚗 BÁO GIÁ TURBO '!$W$4:$W$690,0))="","",INDEX('🚗 BÁO GIÁ TURBO '!$F$4:$F$690,MATCH(20,'🚗 BÁO GIÁ TURBO '!$W$4:$W$690,0))),"")</f>
        <v/>
      </c>
      <c r="F27" s="326">
        <f>IFERROR(IF(INDEX('🚗 BÁO GIÁ TURBO '!$G$4:$G$690,MATCH(20,'🚗 BÁO GIÁ TURBO '!$W$4:$W$690,0))="","",INDEX('🚗 BÁO GIÁ TURBO '!$G$4:$G$690,MATCH(20,'🚗 BÁO GIÁ TURBO '!$W$4:$W$690,0))),"")</f>
        <v/>
      </c>
      <c r="G27" s="326">
        <f>IFERROR(IF(INDEX('🚗 BÁO GIÁ TURBO '!$H$4:$H$690,MATCH(20,'🚗 BÁO GIÁ TURBO '!$W$4:$W$690,0))="","",INDEX('🚗 BÁO GIÁ TURBO '!$H$4:$H$690,MATCH(20,'🚗 BÁO GIÁ TURBO '!$W$4:$W$690,0))),"")</f>
        <v/>
      </c>
      <c r="H27" s="326">
        <f>IFERROR(IF(INDEX('🚗 BÁO GIÁ TURBO '!$I$4:$I$690,MATCH(20,'🚗 BÁO GIÁ TURBO '!$W$4:$W$690,0))="","",INDEX('🚗 BÁO GIÁ TURBO '!$I$4:$I$690,MATCH(20,'🚗 BÁO GIÁ TURBO '!$W$4:$W$690,0))),"")</f>
        <v/>
      </c>
      <c r="I27" s="327">
        <f>IFERROR(IF(INDEX('🚗 BÁO GIÁ TURBO '!$J$4:$J$690,MATCH(20,'🚗 BÁO GIÁ TURBO '!$W$4:$W$690,0))="","",INDEX('🚗 BÁO GIÁ TURBO '!$J$4:$J$690,MATCH(20,'🚗 BÁO GIÁ TURBO '!$W$4:$W$690,0))),"")</f>
        <v/>
      </c>
    </row>
    <row r="30" ht="24" customHeight="1" s="217">
      <c r="A30" s="328" t="inlineStr">
        <is>
          <t>🔧  RUỘT TURBO  (kết quả tra cứu — tối đa 20 dòng)</t>
        </is>
      </c>
    </row>
    <row r="31" ht="21.75" customHeight="1" s="217">
      <c r="A31" s="329" t="inlineStr">
        <is>
          <t>HÃNG MÁY</t>
        </is>
      </c>
      <c r="B31" s="329" t="inlineStr">
        <is>
          <t>MÃ VT</t>
        </is>
      </c>
      <c r="C31" s="329" t="inlineStr">
        <is>
          <t>MODEL TURBO</t>
        </is>
      </c>
      <c r="D31" s="329" t="inlineStr">
        <is>
          <t>MÃ ĐỘNG CƠ</t>
        </is>
      </c>
      <c r="E31" s="329" t="inlineStr">
        <is>
          <t>OEM PART NO</t>
        </is>
      </c>
      <c r="F31" s="329" t="inlineStr">
        <is>
          <t>ĐẶC ĐIỂM</t>
        </is>
      </c>
      <c r="G31" s="329" t="inlineStr">
        <is>
          <t>ỨNG DỤNG</t>
        </is>
      </c>
      <c r="H31" s="329" t="inlineStr">
        <is>
          <t>GHI CHÚ</t>
        </is>
      </c>
      <c r="I31" s="329" t="inlineStr">
        <is>
          <t>THƯƠNG HIỆU</t>
        </is>
      </c>
    </row>
    <row r="32" ht="15" customHeight="1" s="217">
      <c r="A32" s="320">
        <f>IFERROR(IF(INDEX('RUỘT TURBO'!$A$4:$A$892,MATCH(1,'RUỘT TURBO'!$U$4:$U$892,0))="","",INDEX('RUỘT TURBO'!$A$4:$A$892,MATCH(1,'RUỘT TURBO'!$U$4:$U$892,0))),"")</f>
        <v/>
      </c>
      <c r="B32" s="321">
        <f>IFERROR(IF(INDEX('RUỘT TURBO'!$B$4:$B$892,MATCH(1,'RUỘT TURBO'!$U$4:$U$892,0))="","",INDEX('RUỘT TURBO'!$B$4:$B$892,MATCH(1,'RUỘT TURBO'!$U$4:$U$892,0))),"")</f>
        <v/>
      </c>
      <c r="C32" s="320">
        <f>IFERROR(IF(INDEX('RUỘT TURBO'!$D$4:$D$892,MATCH(1,'RUỘT TURBO'!$U$4:$U$892,0))="","",INDEX('RUỘT TURBO'!$D$4:$D$892,MATCH(1,'RUỘT TURBO'!$U$4:$U$892,0))),"")</f>
        <v/>
      </c>
      <c r="D32" s="320">
        <f>IFERROR(IF(INDEX('RUỘT TURBO'!$E$4:$E$892,MATCH(1,'RUỘT TURBO'!$U$4:$U$892,0))="","",INDEX('RUỘT TURBO'!$E$4:$E$892,MATCH(1,'RUỘT TURBO'!$U$4:$U$892,0))),"")</f>
        <v/>
      </c>
      <c r="E32" s="322">
        <f>IFERROR(IF(INDEX('RUỘT TURBO'!$F$4:$F$892,MATCH(1,'RUỘT TURBO'!$U$4:$U$892,0))="","",INDEX('RUỘT TURBO'!$F$4:$F$892,MATCH(1,'RUỘT TURBO'!$U$4:$U$892,0))),"")</f>
        <v/>
      </c>
      <c r="F32" s="322" t="n"/>
      <c r="G32" s="322" t="n"/>
      <c r="H32" s="322">
        <f>IFERROR(IF(INDEX('RUỘT TURBO'!$G$4:$G$892,MATCH(1,'RUỘT TURBO'!$U$4:$U$892,0))="","",INDEX('RUỘT TURBO'!$G$4:$G$892,MATCH(1,'RUỘT TURBO'!$U$4:$U$892,0))),"")</f>
        <v/>
      </c>
      <c r="I32" s="323">
        <f>IFERROR(IF(INDEX('RUỘT TURBO'!$H$4:$H$892,MATCH(1,'RUỘT TURBO'!$U$4:$U$892,0))="","",INDEX('RUỘT TURBO'!$H$4:$H$892,MATCH(1,'RUỘT TURBO'!$U$4:$U$892,0))),"")</f>
        <v/>
      </c>
    </row>
    <row r="33" ht="15" customHeight="1" s="217">
      <c r="A33" s="330">
        <f>IFERROR(IF(INDEX('RUỘT TURBO'!$A$4:$A$892,MATCH(2,'RUỘT TURBO'!$U$4:$U$892,0))="","",INDEX('RUỘT TURBO'!$A$4:$A$892,MATCH(2,'RUỘT TURBO'!$U$4:$U$892,0))),"")</f>
        <v/>
      </c>
      <c r="B33" s="331">
        <f>IFERROR(IF(INDEX('RUỘT TURBO'!$B$4:$B$892,MATCH(2,'RUỘT TURBO'!$U$4:$U$892,0))="","",INDEX('RUỘT TURBO'!$B$4:$B$892,MATCH(2,'RUỘT TURBO'!$U$4:$U$892,0))),"")</f>
        <v/>
      </c>
      <c r="C33" s="330">
        <f>IFERROR(IF(INDEX('RUỘT TURBO'!$D$4:$D$892,MATCH(2,'RUỘT TURBO'!$U$4:$U$892,0))="","",INDEX('RUỘT TURBO'!$D$4:$D$892,MATCH(2,'RUỘT TURBO'!$U$4:$U$892,0))),"")</f>
        <v/>
      </c>
      <c r="D33" s="330">
        <f>IFERROR(IF(INDEX('RUỘT TURBO'!$E$4:$E$892,MATCH(2,'RUỘT TURBO'!$U$4:$U$892,0))="","",INDEX('RUỘT TURBO'!$E$4:$E$892,MATCH(2,'RUỘT TURBO'!$U$4:$U$892,0))),"")</f>
        <v/>
      </c>
      <c r="E33" s="332">
        <f>IFERROR(IF(INDEX('RUỘT TURBO'!$F$4:$F$892,MATCH(2,'RUỘT TURBO'!$U$4:$U$892,0))="","",INDEX('RUỘT TURBO'!$F$4:$F$892,MATCH(2,'RUỘT TURBO'!$U$4:$U$892,0))),"")</f>
        <v/>
      </c>
      <c r="F33" s="332" t="n"/>
      <c r="G33" s="332" t="n"/>
      <c r="H33" s="332">
        <f>IFERROR(IF(INDEX('RUỘT TURBO'!$G$4:$G$892,MATCH(2,'RUỘT TURBO'!$U$4:$U$892,0))="","",INDEX('RUỘT TURBO'!$G$4:$G$892,MATCH(2,'RUỘT TURBO'!$U$4:$U$892,0))),"")</f>
        <v/>
      </c>
      <c r="I33" s="333">
        <f>IFERROR(IF(INDEX('RUỘT TURBO'!$H$4:$H$892,MATCH(2,'RUỘT TURBO'!$U$4:$U$892,0))="","",INDEX('RUỘT TURBO'!$H$4:$H$892,MATCH(2,'RUỘT TURBO'!$U$4:$U$892,0))),"")</f>
        <v/>
      </c>
    </row>
    <row r="34" ht="15" customHeight="1" s="217">
      <c r="A34" s="320">
        <f>IFERROR(IF(INDEX('RUỘT TURBO'!$A$4:$A$892,MATCH(3,'RUỘT TURBO'!$U$4:$U$892,0))="","",INDEX('RUỘT TURBO'!$A$4:$A$892,MATCH(3,'RUỘT TURBO'!$U$4:$U$892,0))),"")</f>
        <v/>
      </c>
      <c r="B34" s="321">
        <f>IFERROR(IF(INDEX('RUỘT TURBO'!$B$4:$B$892,MATCH(3,'RUỘT TURBO'!$U$4:$U$892,0))="","",INDEX('RUỘT TURBO'!$B$4:$B$892,MATCH(3,'RUỘT TURBO'!$U$4:$U$892,0))),"")</f>
        <v/>
      </c>
      <c r="C34" s="320">
        <f>IFERROR(IF(INDEX('RUỘT TURBO'!$D$4:$D$892,MATCH(3,'RUỘT TURBO'!$U$4:$U$892,0))="","",INDEX('RUỘT TURBO'!$D$4:$D$892,MATCH(3,'RUỘT TURBO'!$U$4:$U$892,0))),"")</f>
        <v/>
      </c>
      <c r="D34" s="320">
        <f>IFERROR(IF(INDEX('RUỘT TURBO'!$E$4:$E$892,MATCH(3,'RUỘT TURBO'!$U$4:$U$892,0))="","",INDEX('RUỘT TURBO'!$E$4:$E$892,MATCH(3,'RUỘT TURBO'!$U$4:$U$892,0))),"")</f>
        <v/>
      </c>
      <c r="E34" s="322">
        <f>IFERROR(IF(INDEX('RUỘT TURBO'!$F$4:$F$892,MATCH(3,'RUỘT TURBO'!$U$4:$U$892,0))="","",INDEX('RUỘT TURBO'!$F$4:$F$892,MATCH(3,'RUỘT TURBO'!$U$4:$U$892,0))),"")</f>
        <v/>
      </c>
      <c r="F34" s="322" t="n"/>
      <c r="G34" s="322" t="n"/>
      <c r="H34" s="322">
        <f>IFERROR(IF(INDEX('RUỘT TURBO'!$G$4:$G$892,MATCH(3,'RUỘT TURBO'!$U$4:$U$892,0))="","",INDEX('RUỘT TURBO'!$G$4:$G$892,MATCH(3,'RUỘT TURBO'!$U$4:$U$892,0))),"")</f>
        <v/>
      </c>
      <c r="I34" s="323">
        <f>IFERROR(IF(INDEX('RUỘT TURBO'!$H$4:$H$892,MATCH(3,'RUỘT TURBO'!$U$4:$U$892,0))="","",INDEX('RUỘT TURBO'!$H$4:$H$892,MATCH(3,'RUỘT TURBO'!$U$4:$U$892,0))),"")</f>
        <v/>
      </c>
    </row>
    <row r="35" ht="15" customHeight="1" s="217">
      <c r="A35" s="330">
        <f>IFERROR(IF(INDEX('RUỘT TURBO'!$A$4:$A$892,MATCH(4,'RUỘT TURBO'!$U$4:$U$892,0))="","",INDEX('RUỘT TURBO'!$A$4:$A$892,MATCH(4,'RUỘT TURBO'!$U$4:$U$892,0))),"")</f>
        <v/>
      </c>
      <c r="B35" s="331">
        <f>IFERROR(IF(INDEX('RUỘT TURBO'!$B$4:$B$892,MATCH(4,'RUỘT TURBO'!$U$4:$U$892,0))="","",INDEX('RUỘT TURBO'!$B$4:$B$892,MATCH(4,'RUỘT TURBO'!$U$4:$U$892,0))),"")</f>
        <v/>
      </c>
      <c r="C35" s="330">
        <f>IFERROR(IF(INDEX('RUỘT TURBO'!$D$4:$D$892,MATCH(4,'RUỘT TURBO'!$U$4:$U$892,0))="","",INDEX('RUỘT TURBO'!$D$4:$D$892,MATCH(4,'RUỘT TURBO'!$U$4:$U$892,0))),"")</f>
        <v/>
      </c>
      <c r="D35" s="330">
        <f>IFERROR(IF(INDEX('RUỘT TURBO'!$E$4:$E$892,MATCH(4,'RUỘT TURBO'!$U$4:$U$892,0))="","",INDEX('RUỘT TURBO'!$E$4:$E$892,MATCH(4,'RUỘT TURBO'!$U$4:$U$892,0))),"")</f>
        <v/>
      </c>
      <c r="E35" s="332">
        <f>IFERROR(IF(INDEX('RUỘT TURBO'!$F$4:$F$892,MATCH(4,'RUỘT TURBO'!$U$4:$U$892,0))="","",INDEX('RUỘT TURBO'!$F$4:$F$892,MATCH(4,'RUỘT TURBO'!$U$4:$U$892,0))),"")</f>
        <v/>
      </c>
      <c r="F35" s="332" t="n"/>
      <c r="G35" s="332" t="n"/>
      <c r="H35" s="332">
        <f>IFERROR(IF(INDEX('RUỘT TURBO'!$G$4:$G$892,MATCH(4,'RUỘT TURBO'!$U$4:$U$892,0))="","",INDEX('RUỘT TURBO'!$G$4:$G$892,MATCH(4,'RUỘT TURBO'!$U$4:$U$892,0))),"")</f>
        <v/>
      </c>
      <c r="I35" s="333">
        <f>IFERROR(IF(INDEX('RUỘT TURBO'!$H$4:$H$892,MATCH(4,'RUỘT TURBO'!$U$4:$U$892,0))="","",INDEX('RUỘT TURBO'!$H$4:$H$892,MATCH(4,'RUỘT TURBO'!$U$4:$U$892,0))),"")</f>
        <v/>
      </c>
    </row>
    <row r="36" ht="15" customHeight="1" s="217">
      <c r="A36" s="320">
        <f>IFERROR(IF(INDEX('RUỘT TURBO'!$A$4:$A$892,MATCH(5,'RUỘT TURBO'!$U$4:$U$892,0))="","",INDEX('RUỘT TURBO'!$A$4:$A$892,MATCH(5,'RUỘT TURBO'!$U$4:$U$892,0))),"")</f>
        <v/>
      </c>
      <c r="B36" s="321">
        <f>IFERROR(IF(INDEX('RUỘT TURBO'!$B$4:$B$892,MATCH(5,'RUỘT TURBO'!$U$4:$U$892,0))="","",INDEX('RUỘT TURBO'!$B$4:$B$892,MATCH(5,'RUỘT TURBO'!$U$4:$U$892,0))),"")</f>
        <v/>
      </c>
      <c r="C36" s="320">
        <f>IFERROR(IF(INDEX('RUỘT TURBO'!$D$4:$D$892,MATCH(5,'RUỘT TURBO'!$U$4:$U$892,0))="","",INDEX('RUỘT TURBO'!$D$4:$D$892,MATCH(5,'RUỘT TURBO'!$U$4:$U$892,0))),"")</f>
        <v/>
      </c>
      <c r="D36" s="320">
        <f>IFERROR(IF(INDEX('RUỘT TURBO'!$E$4:$E$892,MATCH(5,'RUỘT TURBO'!$U$4:$U$892,0))="","",INDEX('RUỘT TURBO'!$E$4:$E$892,MATCH(5,'RUỘT TURBO'!$U$4:$U$892,0))),"")</f>
        <v/>
      </c>
      <c r="E36" s="322">
        <f>IFERROR(IF(INDEX('RUỘT TURBO'!$F$4:$F$892,MATCH(5,'RUỘT TURBO'!$U$4:$U$892,0))="","",INDEX('RUỘT TURBO'!$F$4:$F$892,MATCH(5,'RUỘT TURBO'!$U$4:$U$892,0))),"")</f>
        <v/>
      </c>
      <c r="F36" s="322" t="n"/>
      <c r="G36" s="322" t="n"/>
      <c r="H36" s="322">
        <f>IFERROR(IF(INDEX('RUỘT TURBO'!$G$4:$G$892,MATCH(5,'RUỘT TURBO'!$U$4:$U$892,0))="","",INDEX('RUỘT TURBO'!$G$4:$G$892,MATCH(5,'RUỘT TURBO'!$U$4:$U$892,0))),"")</f>
        <v/>
      </c>
      <c r="I36" s="323">
        <f>IFERROR(IF(INDEX('RUỘT TURBO'!$H$4:$H$892,MATCH(5,'RUỘT TURBO'!$U$4:$U$892,0))="","",INDEX('RUỘT TURBO'!$H$4:$H$892,MATCH(5,'RUỘT TURBO'!$U$4:$U$892,0))),"")</f>
        <v/>
      </c>
    </row>
    <row r="37" ht="15" customHeight="1" s="217">
      <c r="A37" s="330">
        <f>IFERROR(IF(INDEX('RUỘT TURBO'!$A$4:$A$892,MATCH(6,'RUỘT TURBO'!$U$4:$U$892,0))="","",INDEX('RUỘT TURBO'!$A$4:$A$892,MATCH(6,'RUỘT TURBO'!$U$4:$U$892,0))),"")</f>
        <v/>
      </c>
      <c r="B37" s="331">
        <f>IFERROR(IF(INDEX('RUỘT TURBO'!$B$4:$B$892,MATCH(6,'RUỘT TURBO'!$U$4:$U$892,0))="","",INDEX('RUỘT TURBO'!$B$4:$B$892,MATCH(6,'RUỘT TURBO'!$U$4:$U$892,0))),"")</f>
        <v/>
      </c>
      <c r="C37" s="330">
        <f>IFERROR(IF(INDEX('RUỘT TURBO'!$D$4:$D$892,MATCH(6,'RUỘT TURBO'!$U$4:$U$892,0))="","",INDEX('RUỘT TURBO'!$D$4:$D$892,MATCH(6,'RUỘT TURBO'!$U$4:$U$892,0))),"")</f>
        <v/>
      </c>
      <c r="D37" s="330">
        <f>IFERROR(IF(INDEX('RUỘT TURBO'!$E$4:$E$892,MATCH(6,'RUỘT TURBO'!$U$4:$U$892,0))="","",INDEX('RUỘT TURBO'!$E$4:$E$892,MATCH(6,'RUỘT TURBO'!$U$4:$U$892,0))),"")</f>
        <v/>
      </c>
      <c r="E37" s="332">
        <f>IFERROR(IF(INDEX('RUỘT TURBO'!$F$4:$F$892,MATCH(6,'RUỘT TURBO'!$U$4:$U$892,0))="","",INDEX('RUỘT TURBO'!$F$4:$F$892,MATCH(6,'RUỘT TURBO'!$U$4:$U$892,0))),"")</f>
        <v/>
      </c>
      <c r="F37" s="332" t="n"/>
      <c r="G37" s="332" t="n"/>
      <c r="H37" s="332">
        <f>IFERROR(IF(INDEX('RUỘT TURBO'!$G$4:$G$892,MATCH(6,'RUỘT TURBO'!$U$4:$U$892,0))="","",INDEX('RUỘT TURBO'!$G$4:$G$892,MATCH(6,'RUỘT TURBO'!$U$4:$U$892,0))),"")</f>
        <v/>
      </c>
      <c r="I37" s="333">
        <f>IFERROR(IF(INDEX('RUỘT TURBO'!$H$4:$H$892,MATCH(6,'RUỘT TURBO'!$U$4:$U$892,0))="","",INDEX('RUỘT TURBO'!$H$4:$H$892,MATCH(6,'RUỘT TURBO'!$U$4:$U$892,0))),"")</f>
        <v/>
      </c>
    </row>
    <row r="38" ht="15" customHeight="1" s="217">
      <c r="A38" s="320">
        <f>IFERROR(IF(INDEX('RUỘT TURBO'!$A$4:$A$892,MATCH(7,'RUỘT TURBO'!$U$4:$U$892,0))="","",INDEX('RUỘT TURBO'!$A$4:$A$892,MATCH(7,'RUỘT TURBO'!$U$4:$U$892,0))),"")</f>
        <v/>
      </c>
      <c r="B38" s="321">
        <f>IFERROR(IF(INDEX('RUỘT TURBO'!$B$4:$B$892,MATCH(7,'RUỘT TURBO'!$U$4:$U$892,0))="","",INDEX('RUỘT TURBO'!$B$4:$B$892,MATCH(7,'RUỘT TURBO'!$U$4:$U$892,0))),"")</f>
        <v/>
      </c>
      <c r="C38" s="320">
        <f>IFERROR(IF(INDEX('RUỘT TURBO'!$D$4:$D$892,MATCH(7,'RUỘT TURBO'!$U$4:$U$892,0))="","",INDEX('RUỘT TURBO'!$D$4:$D$892,MATCH(7,'RUỘT TURBO'!$U$4:$U$892,0))),"")</f>
        <v/>
      </c>
      <c r="D38" s="320">
        <f>IFERROR(IF(INDEX('RUỘT TURBO'!$E$4:$E$892,MATCH(7,'RUỘT TURBO'!$U$4:$U$892,0))="","",INDEX('RUỘT TURBO'!$E$4:$E$892,MATCH(7,'RUỘT TURBO'!$U$4:$U$892,0))),"")</f>
        <v/>
      </c>
      <c r="E38" s="322">
        <f>IFERROR(IF(INDEX('RUỘT TURBO'!$F$4:$F$892,MATCH(7,'RUỘT TURBO'!$U$4:$U$892,0))="","",INDEX('RUỘT TURBO'!$F$4:$F$892,MATCH(7,'RUỘT TURBO'!$U$4:$U$892,0))),"")</f>
        <v/>
      </c>
      <c r="F38" s="322" t="n"/>
      <c r="G38" s="322" t="n"/>
      <c r="H38" s="322">
        <f>IFERROR(IF(INDEX('RUỘT TURBO'!$G$4:$G$892,MATCH(7,'RUỘT TURBO'!$U$4:$U$892,0))="","",INDEX('RUỘT TURBO'!$G$4:$G$892,MATCH(7,'RUỘT TURBO'!$U$4:$U$892,0))),"")</f>
        <v/>
      </c>
      <c r="I38" s="323">
        <f>IFERROR(IF(INDEX('RUỘT TURBO'!$H$4:$H$892,MATCH(7,'RUỘT TURBO'!$U$4:$U$892,0))="","",INDEX('RUỘT TURBO'!$H$4:$H$892,MATCH(7,'RUỘT TURBO'!$U$4:$U$892,0))),"")</f>
        <v/>
      </c>
    </row>
    <row r="39" ht="15" customHeight="1" s="217">
      <c r="A39" s="330">
        <f>IFERROR(IF(INDEX('RUỘT TURBO'!$A$4:$A$892,MATCH(8,'RUỘT TURBO'!$U$4:$U$892,0))="","",INDEX('RUỘT TURBO'!$A$4:$A$892,MATCH(8,'RUỘT TURBO'!$U$4:$U$892,0))),"")</f>
        <v/>
      </c>
      <c r="B39" s="331">
        <f>IFERROR(IF(INDEX('RUỘT TURBO'!$B$4:$B$892,MATCH(8,'RUỘT TURBO'!$U$4:$U$892,0))="","",INDEX('RUỘT TURBO'!$B$4:$B$892,MATCH(8,'RUỘT TURBO'!$U$4:$U$892,0))),"")</f>
        <v/>
      </c>
      <c r="C39" s="330">
        <f>IFERROR(IF(INDEX('RUỘT TURBO'!$D$4:$D$892,MATCH(8,'RUỘT TURBO'!$U$4:$U$892,0))="","",INDEX('RUỘT TURBO'!$D$4:$D$892,MATCH(8,'RUỘT TURBO'!$U$4:$U$892,0))),"")</f>
        <v/>
      </c>
      <c r="D39" s="330">
        <f>IFERROR(IF(INDEX('RUỘT TURBO'!$E$4:$E$892,MATCH(8,'RUỘT TURBO'!$U$4:$U$892,0))="","",INDEX('RUỘT TURBO'!$E$4:$E$892,MATCH(8,'RUỘT TURBO'!$U$4:$U$892,0))),"")</f>
        <v/>
      </c>
      <c r="E39" s="332">
        <f>IFERROR(IF(INDEX('RUỘT TURBO'!$F$4:$F$892,MATCH(8,'RUỘT TURBO'!$U$4:$U$892,0))="","",INDEX('RUỘT TURBO'!$F$4:$F$892,MATCH(8,'RUỘT TURBO'!$U$4:$U$892,0))),"")</f>
        <v/>
      </c>
      <c r="F39" s="332" t="n"/>
      <c r="G39" s="332" t="n"/>
      <c r="H39" s="332">
        <f>IFERROR(IF(INDEX('RUỘT TURBO'!$G$4:$G$892,MATCH(8,'RUỘT TURBO'!$U$4:$U$892,0))="","",INDEX('RUỘT TURBO'!$G$4:$G$892,MATCH(8,'RUỘT TURBO'!$U$4:$U$892,0))),"")</f>
        <v/>
      </c>
      <c r="I39" s="333">
        <f>IFERROR(IF(INDEX('RUỘT TURBO'!$H$4:$H$892,MATCH(8,'RUỘT TURBO'!$U$4:$U$892,0))="","",INDEX('RUỘT TURBO'!$H$4:$H$892,MATCH(8,'RUỘT TURBO'!$U$4:$U$892,0))),"")</f>
        <v/>
      </c>
    </row>
    <row r="40" ht="15" customHeight="1" s="217">
      <c r="A40" s="320">
        <f>IFERROR(IF(INDEX('RUỘT TURBO'!$A$4:$A$892,MATCH(9,'RUỘT TURBO'!$U$4:$U$892,0))="","",INDEX('RUỘT TURBO'!$A$4:$A$892,MATCH(9,'RUỘT TURBO'!$U$4:$U$892,0))),"")</f>
        <v/>
      </c>
      <c r="B40" s="321">
        <f>IFERROR(IF(INDEX('RUỘT TURBO'!$B$4:$B$892,MATCH(9,'RUỘT TURBO'!$U$4:$U$892,0))="","",INDEX('RUỘT TURBO'!$B$4:$B$892,MATCH(9,'RUỘT TURBO'!$U$4:$U$892,0))),"")</f>
        <v/>
      </c>
      <c r="C40" s="320">
        <f>IFERROR(IF(INDEX('RUỘT TURBO'!$D$4:$D$892,MATCH(9,'RUỘT TURBO'!$U$4:$U$892,0))="","",INDEX('RUỘT TURBO'!$D$4:$D$892,MATCH(9,'RUỘT TURBO'!$U$4:$U$892,0))),"")</f>
        <v/>
      </c>
      <c r="D40" s="320">
        <f>IFERROR(IF(INDEX('RUỘT TURBO'!$E$4:$E$892,MATCH(9,'RUỘT TURBO'!$U$4:$U$892,0))="","",INDEX('RUỘT TURBO'!$E$4:$E$892,MATCH(9,'RUỘT TURBO'!$U$4:$U$892,0))),"")</f>
        <v/>
      </c>
      <c r="E40" s="322">
        <f>IFERROR(IF(INDEX('RUỘT TURBO'!$F$4:$F$892,MATCH(9,'RUỘT TURBO'!$U$4:$U$892,0))="","",INDEX('RUỘT TURBO'!$F$4:$F$892,MATCH(9,'RUỘT TURBO'!$U$4:$U$892,0))),"")</f>
        <v/>
      </c>
      <c r="F40" s="322" t="n"/>
      <c r="G40" s="322" t="n"/>
      <c r="H40" s="322">
        <f>IFERROR(IF(INDEX('RUỘT TURBO'!$G$4:$G$892,MATCH(9,'RUỘT TURBO'!$U$4:$U$892,0))="","",INDEX('RUỘT TURBO'!$G$4:$G$892,MATCH(9,'RUỘT TURBO'!$U$4:$U$892,0))),"")</f>
        <v/>
      </c>
      <c r="I40" s="323">
        <f>IFERROR(IF(INDEX('RUỘT TURBO'!$H$4:$H$892,MATCH(9,'RUỘT TURBO'!$U$4:$U$892,0))="","",INDEX('RUỘT TURBO'!$H$4:$H$892,MATCH(9,'RUỘT TURBO'!$U$4:$U$892,0))),"")</f>
        <v/>
      </c>
    </row>
    <row r="41" ht="15" customHeight="1" s="217">
      <c r="A41" s="330">
        <f>IFERROR(IF(INDEX('RUỘT TURBO'!$A$4:$A$892,MATCH(10,'RUỘT TURBO'!$U$4:$U$892,0))="","",INDEX('RUỘT TURBO'!$A$4:$A$892,MATCH(10,'RUỘT TURBO'!$U$4:$U$892,0))),"")</f>
        <v/>
      </c>
      <c r="B41" s="331">
        <f>IFERROR(IF(INDEX('RUỘT TURBO'!$B$4:$B$892,MATCH(10,'RUỘT TURBO'!$U$4:$U$892,0))="","",INDEX('RUỘT TURBO'!$B$4:$B$892,MATCH(10,'RUỘT TURBO'!$U$4:$U$892,0))),"")</f>
        <v/>
      </c>
      <c r="C41" s="330">
        <f>IFERROR(IF(INDEX('RUỘT TURBO'!$D$4:$D$892,MATCH(10,'RUỘT TURBO'!$U$4:$U$892,0))="","",INDEX('RUỘT TURBO'!$D$4:$D$892,MATCH(10,'RUỘT TURBO'!$U$4:$U$892,0))),"")</f>
        <v/>
      </c>
      <c r="D41" s="330">
        <f>IFERROR(IF(INDEX('RUỘT TURBO'!$E$4:$E$892,MATCH(10,'RUỘT TURBO'!$U$4:$U$892,0))="","",INDEX('RUỘT TURBO'!$E$4:$E$892,MATCH(10,'RUỘT TURBO'!$U$4:$U$892,0))),"")</f>
        <v/>
      </c>
      <c r="E41" s="332">
        <f>IFERROR(IF(INDEX('RUỘT TURBO'!$F$4:$F$892,MATCH(10,'RUỘT TURBO'!$U$4:$U$892,0))="","",INDEX('RUỘT TURBO'!$F$4:$F$892,MATCH(10,'RUỘT TURBO'!$U$4:$U$892,0))),"")</f>
        <v/>
      </c>
      <c r="F41" s="332" t="n"/>
      <c r="G41" s="332" t="n"/>
      <c r="H41" s="332">
        <f>IFERROR(IF(INDEX('RUỘT TURBO'!$G$4:$G$892,MATCH(10,'RUỘT TURBO'!$U$4:$U$892,0))="","",INDEX('RUỘT TURBO'!$G$4:$G$892,MATCH(10,'RUỘT TURBO'!$U$4:$U$892,0))),"")</f>
        <v/>
      </c>
      <c r="I41" s="333">
        <f>IFERROR(IF(INDEX('RUỘT TURBO'!$H$4:$H$892,MATCH(10,'RUỘT TURBO'!$U$4:$U$892,0))="","",INDEX('RUỘT TURBO'!$H$4:$H$892,MATCH(10,'RUỘT TURBO'!$U$4:$U$892,0))),"")</f>
        <v/>
      </c>
    </row>
    <row r="42" ht="15" customHeight="1" s="217">
      <c r="A42" s="320">
        <f>IFERROR(IF(INDEX('RUỘT TURBO'!$A$4:$A$892,MATCH(11,'RUỘT TURBO'!$U$4:$U$892,0))="","",INDEX('RUỘT TURBO'!$A$4:$A$892,MATCH(11,'RUỘT TURBO'!$U$4:$U$892,0))),"")</f>
        <v/>
      </c>
      <c r="B42" s="321">
        <f>IFERROR(IF(INDEX('RUỘT TURBO'!$B$4:$B$892,MATCH(11,'RUỘT TURBO'!$U$4:$U$892,0))="","",INDEX('RUỘT TURBO'!$B$4:$B$892,MATCH(11,'RUỘT TURBO'!$U$4:$U$892,0))),"")</f>
        <v/>
      </c>
      <c r="C42" s="320">
        <f>IFERROR(IF(INDEX('RUỘT TURBO'!$D$4:$D$892,MATCH(11,'RUỘT TURBO'!$U$4:$U$892,0))="","",INDEX('RUỘT TURBO'!$D$4:$D$892,MATCH(11,'RUỘT TURBO'!$U$4:$U$892,0))),"")</f>
        <v/>
      </c>
      <c r="D42" s="320">
        <f>IFERROR(IF(INDEX('RUỘT TURBO'!$E$4:$E$892,MATCH(11,'RUỘT TURBO'!$U$4:$U$892,0))="","",INDEX('RUỘT TURBO'!$E$4:$E$892,MATCH(11,'RUỘT TURBO'!$U$4:$U$892,0))),"")</f>
        <v/>
      </c>
      <c r="E42" s="322">
        <f>IFERROR(IF(INDEX('RUỘT TURBO'!$F$4:$F$892,MATCH(11,'RUỘT TURBO'!$U$4:$U$892,0))="","",INDEX('RUỘT TURBO'!$F$4:$F$892,MATCH(11,'RUỘT TURBO'!$U$4:$U$892,0))),"")</f>
        <v/>
      </c>
      <c r="F42" s="322" t="n"/>
      <c r="G42" s="322" t="n"/>
      <c r="H42" s="322">
        <f>IFERROR(IF(INDEX('RUỘT TURBO'!$G$4:$G$892,MATCH(11,'RUỘT TURBO'!$U$4:$U$892,0))="","",INDEX('RUỘT TURBO'!$G$4:$G$892,MATCH(11,'RUỘT TURBO'!$U$4:$U$892,0))),"")</f>
        <v/>
      </c>
      <c r="I42" s="323">
        <f>IFERROR(IF(INDEX('RUỘT TURBO'!$H$4:$H$892,MATCH(11,'RUỘT TURBO'!$U$4:$U$892,0))="","",INDEX('RUỘT TURBO'!$H$4:$H$892,MATCH(11,'RUỘT TURBO'!$U$4:$U$892,0))),"")</f>
        <v/>
      </c>
    </row>
    <row r="43" ht="15" customHeight="1" s="217">
      <c r="A43" s="330">
        <f>IFERROR(IF(INDEX('RUỘT TURBO'!$A$4:$A$892,MATCH(12,'RUỘT TURBO'!$U$4:$U$892,0))="","",INDEX('RUỘT TURBO'!$A$4:$A$892,MATCH(12,'RUỘT TURBO'!$U$4:$U$892,0))),"")</f>
        <v/>
      </c>
      <c r="B43" s="331">
        <f>IFERROR(IF(INDEX('RUỘT TURBO'!$B$4:$B$892,MATCH(12,'RUỘT TURBO'!$U$4:$U$892,0))="","",INDEX('RUỘT TURBO'!$B$4:$B$892,MATCH(12,'RUỘT TURBO'!$U$4:$U$892,0))),"")</f>
        <v/>
      </c>
      <c r="C43" s="330">
        <f>IFERROR(IF(INDEX('RUỘT TURBO'!$D$4:$D$892,MATCH(12,'RUỘT TURBO'!$U$4:$U$892,0))="","",INDEX('RUỘT TURBO'!$D$4:$D$892,MATCH(12,'RUỘT TURBO'!$U$4:$U$892,0))),"")</f>
        <v/>
      </c>
      <c r="D43" s="330">
        <f>IFERROR(IF(INDEX('RUỘT TURBO'!$E$4:$E$892,MATCH(12,'RUỘT TURBO'!$U$4:$U$892,0))="","",INDEX('RUỘT TURBO'!$E$4:$E$892,MATCH(12,'RUỘT TURBO'!$U$4:$U$892,0))),"")</f>
        <v/>
      </c>
      <c r="E43" s="332">
        <f>IFERROR(IF(INDEX('RUỘT TURBO'!$F$4:$F$892,MATCH(12,'RUỘT TURBO'!$U$4:$U$892,0))="","",INDEX('RUỘT TURBO'!$F$4:$F$892,MATCH(12,'RUỘT TURBO'!$U$4:$U$892,0))),"")</f>
        <v/>
      </c>
      <c r="F43" s="332" t="n"/>
      <c r="G43" s="332" t="n"/>
      <c r="H43" s="332">
        <f>IFERROR(IF(INDEX('RUỘT TURBO'!$G$4:$G$892,MATCH(12,'RUỘT TURBO'!$U$4:$U$892,0))="","",INDEX('RUỘT TURBO'!$G$4:$G$892,MATCH(12,'RUỘT TURBO'!$U$4:$U$892,0))),"")</f>
        <v/>
      </c>
      <c r="I43" s="333">
        <f>IFERROR(IF(INDEX('RUỘT TURBO'!$H$4:$H$892,MATCH(12,'RUỘT TURBO'!$U$4:$U$892,0))="","",INDEX('RUỘT TURBO'!$H$4:$H$892,MATCH(12,'RUỘT TURBO'!$U$4:$U$892,0))),"")</f>
        <v/>
      </c>
    </row>
    <row r="44" ht="15" customHeight="1" s="217">
      <c r="A44" s="320">
        <f>IFERROR(IF(INDEX('RUỘT TURBO'!$A$4:$A$892,MATCH(13,'RUỘT TURBO'!$U$4:$U$892,0))="","",INDEX('RUỘT TURBO'!$A$4:$A$892,MATCH(13,'RUỘT TURBO'!$U$4:$U$892,0))),"")</f>
        <v/>
      </c>
      <c r="B44" s="321">
        <f>IFERROR(IF(INDEX('RUỘT TURBO'!$B$4:$B$892,MATCH(13,'RUỘT TURBO'!$U$4:$U$892,0))="","",INDEX('RUỘT TURBO'!$B$4:$B$892,MATCH(13,'RUỘT TURBO'!$U$4:$U$892,0))),"")</f>
        <v/>
      </c>
      <c r="C44" s="320">
        <f>IFERROR(IF(INDEX('RUỘT TURBO'!$D$4:$D$892,MATCH(13,'RUỘT TURBO'!$U$4:$U$892,0))="","",INDEX('RUỘT TURBO'!$D$4:$D$892,MATCH(13,'RUỘT TURBO'!$U$4:$U$892,0))),"")</f>
        <v/>
      </c>
      <c r="D44" s="320">
        <f>IFERROR(IF(INDEX('RUỘT TURBO'!$E$4:$E$892,MATCH(13,'RUỘT TURBO'!$U$4:$U$892,0))="","",INDEX('RUỘT TURBO'!$E$4:$E$892,MATCH(13,'RUỘT TURBO'!$U$4:$U$892,0))),"")</f>
        <v/>
      </c>
      <c r="E44" s="322">
        <f>IFERROR(IF(INDEX('RUỘT TURBO'!$F$4:$F$892,MATCH(13,'RUỘT TURBO'!$U$4:$U$892,0))="","",INDEX('RUỘT TURBO'!$F$4:$F$892,MATCH(13,'RUỘT TURBO'!$U$4:$U$892,0))),"")</f>
        <v/>
      </c>
      <c r="F44" s="322" t="n"/>
      <c r="G44" s="322" t="n"/>
      <c r="H44" s="322">
        <f>IFERROR(IF(INDEX('RUỘT TURBO'!$G$4:$G$892,MATCH(13,'RUỘT TURBO'!$U$4:$U$892,0))="","",INDEX('RUỘT TURBO'!$G$4:$G$892,MATCH(13,'RUỘT TURBO'!$U$4:$U$892,0))),"")</f>
        <v/>
      </c>
      <c r="I44" s="323">
        <f>IFERROR(IF(INDEX('RUỘT TURBO'!$H$4:$H$892,MATCH(13,'RUỘT TURBO'!$U$4:$U$892,0))="","",INDEX('RUỘT TURBO'!$H$4:$H$892,MATCH(13,'RUỘT TURBO'!$U$4:$U$892,0))),"")</f>
        <v/>
      </c>
    </row>
    <row r="45" ht="15" customHeight="1" s="217">
      <c r="A45" s="330">
        <f>IFERROR(IF(INDEX('RUỘT TURBO'!$A$4:$A$892,MATCH(14,'RUỘT TURBO'!$U$4:$U$892,0))="","",INDEX('RUỘT TURBO'!$A$4:$A$892,MATCH(14,'RUỘT TURBO'!$U$4:$U$892,0))),"")</f>
        <v/>
      </c>
      <c r="B45" s="331">
        <f>IFERROR(IF(INDEX('RUỘT TURBO'!$B$4:$B$892,MATCH(14,'RUỘT TURBO'!$U$4:$U$892,0))="","",INDEX('RUỘT TURBO'!$B$4:$B$892,MATCH(14,'RUỘT TURBO'!$U$4:$U$892,0))),"")</f>
        <v/>
      </c>
      <c r="C45" s="330">
        <f>IFERROR(IF(INDEX('RUỘT TURBO'!$D$4:$D$892,MATCH(14,'RUỘT TURBO'!$U$4:$U$892,0))="","",INDEX('RUỘT TURBO'!$D$4:$D$892,MATCH(14,'RUỘT TURBO'!$U$4:$U$892,0))),"")</f>
        <v/>
      </c>
      <c r="D45" s="330">
        <f>IFERROR(IF(INDEX('RUỘT TURBO'!$E$4:$E$892,MATCH(14,'RUỘT TURBO'!$U$4:$U$892,0))="","",INDEX('RUỘT TURBO'!$E$4:$E$892,MATCH(14,'RUỘT TURBO'!$U$4:$U$892,0))),"")</f>
        <v/>
      </c>
      <c r="E45" s="332">
        <f>IFERROR(IF(INDEX('RUỘT TURBO'!$F$4:$F$892,MATCH(14,'RUỘT TURBO'!$U$4:$U$892,0))="","",INDEX('RUỘT TURBO'!$F$4:$F$892,MATCH(14,'RUỘT TURBO'!$U$4:$U$892,0))),"")</f>
        <v/>
      </c>
      <c r="F45" s="332" t="n"/>
      <c r="G45" s="332" t="n"/>
      <c r="H45" s="332">
        <f>IFERROR(IF(INDEX('RUỘT TURBO'!$G$4:$G$892,MATCH(14,'RUỘT TURBO'!$U$4:$U$892,0))="","",INDEX('RUỘT TURBO'!$G$4:$G$892,MATCH(14,'RUỘT TURBO'!$U$4:$U$892,0))),"")</f>
        <v/>
      </c>
      <c r="I45" s="333">
        <f>IFERROR(IF(INDEX('RUỘT TURBO'!$H$4:$H$892,MATCH(14,'RUỘT TURBO'!$U$4:$U$892,0))="","",INDEX('RUỘT TURBO'!$H$4:$H$892,MATCH(14,'RUỘT TURBO'!$U$4:$U$892,0))),"")</f>
        <v/>
      </c>
    </row>
    <row r="46" ht="15" customHeight="1" s="217">
      <c r="A46" s="320">
        <f>IFERROR(IF(INDEX('RUỘT TURBO'!$A$4:$A$892,MATCH(15,'RUỘT TURBO'!$U$4:$U$892,0))="","",INDEX('RUỘT TURBO'!$A$4:$A$892,MATCH(15,'RUỘT TURBO'!$U$4:$U$892,0))),"")</f>
        <v/>
      </c>
      <c r="B46" s="321">
        <f>IFERROR(IF(INDEX('RUỘT TURBO'!$B$4:$B$892,MATCH(15,'RUỘT TURBO'!$U$4:$U$892,0))="","",INDEX('RUỘT TURBO'!$B$4:$B$892,MATCH(15,'RUỘT TURBO'!$U$4:$U$892,0))),"")</f>
        <v/>
      </c>
      <c r="C46" s="320">
        <f>IFERROR(IF(INDEX('RUỘT TURBO'!$D$4:$D$892,MATCH(15,'RUỘT TURBO'!$U$4:$U$892,0))="","",INDEX('RUỘT TURBO'!$D$4:$D$892,MATCH(15,'RUỘT TURBO'!$U$4:$U$892,0))),"")</f>
        <v/>
      </c>
      <c r="D46" s="320">
        <f>IFERROR(IF(INDEX('RUỘT TURBO'!$E$4:$E$892,MATCH(15,'RUỘT TURBO'!$U$4:$U$892,0))="","",INDEX('RUỘT TURBO'!$E$4:$E$892,MATCH(15,'RUỘT TURBO'!$U$4:$U$892,0))),"")</f>
        <v/>
      </c>
      <c r="E46" s="322">
        <f>IFERROR(IF(INDEX('RUỘT TURBO'!$F$4:$F$892,MATCH(15,'RUỘT TURBO'!$U$4:$U$892,0))="","",INDEX('RUỘT TURBO'!$F$4:$F$892,MATCH(15,'RUỘT TURBO'!$U$4:$U$892,0))),"")</f>
        <v/>
      </c>
      <c r="F46" s="322" t="n"/>
      <c r="G46" s="322" t="n"/>
      <c r="H46" s="322">
        <f>IFERROR(IF(INDEX('RUỘT TURBO'!$G$4:$G$892,MATCH(15,'RUỘT TURBO'!$U$4:$U$892,0))="","",INDEX('RUỘT TURBO'!$G$4:$G$892,MATCH(15,'RUỘT TURBO'!$U$4:$U$892,0))),"")</f>
        <v/>
      </c>
      <c r="I46" s="323">
        <f>IFERROR(IF(INDEX('RUỘT TURBO'!$H$4:$H$892,MATCH(15,'RUỘT TURBO'!$U$4:$U$892,0))="","",INDEX('RUỘT TURBO'!$H$4:$H$892,MATCH(15,'RUỘT TURBO'!$U$4:$U$892,0))),"")</f>
        <v/>
      </c>
    </row>
    <row r="47" ht="15" customHeight="1" s="217">
      <c r="A47" s="330">
        <f>IFERROR(IF(INDEX('RUỘT TURBO'!$A$4:$A$892,MATCH(16,'RUỘT TURBO'!$U$4:$U$892,0))="","",INDEX('RUỘT TURBO'!$A$4:$A$892,MATCH(16,'RUỘT TURBO'!$U$4:$U$892,0))),"")</f>
        <v/>
      </c>
      <c r="B47" s="331">
        <f>IFERROR(IF(INDEX('RUỘT TURBO'!$B$4:$B$892,MATCH(16,'RUỘT TURBO'!$U$4:$U$892,0))="","",INDEX('RUỘT TURBO'!$B$4:$B$892,MATCH(16,'RUỘT TURBO'!$U$4:$U$892,0))),"")</f>
        <v/>
      </c>
      <c r="C47" s="330">
        <f>IFERROR(IF(INDEX('RUỘT TURBO'!$D$4:$D$892,MATCH(16,'RUỘT TURBO'!$U$4:$U$892,0))="","",INDEX('RUỘT TURBO'!$D$4:$D$892,MATCH(16,'RUỘT TURBO'!$U$4:$U$892,0))),"")</f>
        <v/>
      </c>
      <c r="D47" s="330">
        <f>IFERROR(IF(INDEX('RUỘT TURBO'!$E$4:$E$892,MATCH(16,'RUỘT TURBO'!$U$4:$U$892,0))="","",INDEX('RUỘT TURBO'!$E$4:$E$892,MATCH(16,'RUỘT TURBO'!$U$4:$U$892,0))),"")</f>
        <v/>
      </c>
      <c r="E47" s="332">
        <f>IFERROR(IF(INDEX('RUỘT TURBO'!$F$4:$F$892,MATCH(16,'RUỘT TURBO'!$U$4:$U$892,0))="","",INDEX('RUỘT TURBO'!$F$4:$F$892,MATCH(16,'RUỘT TURBO'!$U$4:$U$892,0))),"")</f>
        <v/>
      </c>
      <c r="F47" s="332" t="n"/>
      <c r="G47" s="332" t="n"/>
      <c r="H47" s="332">
        <f>IFERROR(IF(INDEX('RUỘT TURBO'!$G$4:$G$892,MATCH(16,'RUỘT TURBO'!$U$4:$U$892,0))="","",INDEX('RUỘT TURBO'!$G$4:$G$892,MATCH(16,'RUỘT TURBO'!$U$4:$U$892,0))),"")</f>
        <v/>
      </c>
      <c r="I47" s="333">
        <f>IFERROR(IF(INDEX('RUỘT TURBO'!$H$4:$H$892,MATCH(16,'RUỘT TURBO'!$U$4:$U$892,0))="","",INDEX('RUỘT TURBO'!$H$4:$H$892,MATCH(16,'RUỘT TURBO'!$U$4:$U$892,0))),"")</f>
        <v/>
      </c>
    </row>
    <row r="48" ht="15" customHeight="1" s="217">
      <c r="A48" s="320">
        <f>IFERROR(IF(INDEX('RUỘT TURBO'!$A$4:$A$892,MATCH(17,'RUỘT TURBO'!$U$4:$U$892,0))="","",INDEX('RUỘT TURBO'!$A$4:$A$892,MATCH(17,'RUỘT TURBO'!$U$4:$U$892,0))),"")</f>
        <v/>
      </c>
      <c r="B48" s="321">
        <f>IFERROR(IF(INDEX('RUỘT TURBO'!$B$4:$B$892,MATCH(17,'RUỘT TURBO'!$U$4:$U$892,0))="","",INDEX('RUỘT TURBO'!$B$4:$B$892,MATCH(17,'RUỘT TURBO'!$U$4:$U$892,0))),"")</f>
        <v/>
      </c>
      <c r="C48" s="320">
        <f>IFERROR(IF(INDEX('RUỘT TURBO'!$D$4:$D$892,MATCH(17,'RUỘT TURBO'!$U$4:$U$892,0))="","",INDEX('RUỘT TURBO'!$D$4:$D$892,MATCH(17,'RUỘT TURBO'!$U$4:$U$892,0))),"")</f>
        <v/>
      </c>
      <c r="D48" s="320">
        <f>IFERROR(IF(INDEX('RUỘT TURBO'!$E$4:$E$892,MATCH(17,'RUỘT TURBO'!$U$4:$U$892,0))="","",INDEX('RUỘT TURBO'!$E$4:$E$892,MATCH(17,'RUỘT TURBO'!$U$4:$U$892,0))),"")</f>
        <v/>
      </c>
      <c r="E48" s="322">
        <f>IFERROR(IF(INDEX('RUỘT TURBO'!$F$4:$F$892,MATCH(17,'RUỘT TURBO'!$U$4:$U$892,0))="","",INDEX('RUỘT TURBO'!$F$4:$F$892,MATCH(17,'RUỘT TURBO'!$U$4:$U$892,0))),"")</f>
        <v/>
      </c>
      <c r="F48" s="322" t="n"/>
      <c r="G48" s="322" t="n"/>
      <c r="H48" s="322">
        <f>IFERROR(IF(INDEX('RUỘT TURBO'!$G$4:$G$892,MATCH(17,'RUỘT TURBO'!$U$4:$U$892,0))="","",INDEX('RUỘT TURBO'!$G$4:$G$892,MATCH(17,'RUỘT TURBO'!$U$4:$U$892,0))),"")</f>
        <v/>
      </c>
      <c r="I48" s="323">
        <f>IFERROR(IF(INDEX('RUỘT TURBO'!$H$4:$H$892,MATCH(17,'RUỘT TURBO'!$U$4:$U$892,0))="","",INDEX('RUỘT TURBO'!$H$4:$H$892,MATCH(17,'RUỘT TURBO'!$U$4:$U$892,0))),"")</f>
        <v/>
      </c>
    </row>
    <row r="49" ht="15" customHeight="1" s="217">
      <c r="A49" s="330">
        <f>IFERROR(IF(INDEX('RUỘT TURBO'!$A$4:$A$892,MATCH(18,'RUỘT TURBO'!$U$4:$U$892,0))="","",INDEX('RUỘT TURBO'!$A$4:$A$892,MATCH(18,'RUỘT TURBO'!$U$4:$U$892,0))),"")</f>
        <v/>
      </c>
      <c r="B49" s="331">
        <f>IFERROR(IF(INDEX('RUỘT TURBO'!$B$4:$B$892,MATCH(18,'RUỘT TURBO'!$U$4:$U$892,0))="","",INDEX('RUỘT TURBO'!$B$4:$B$892,MATCH(18,'RUỘT TURBO'!$U$4:$U$892,0))),"")</f>
        <v/>
      </c>
      <c r="C49" s="330">
        <f>IFERROR(IF(INDEX('RUỘT TURBO'!$D$4:$D$892,MATCH(18,'RUỘT TURBO'!$U$4:$U$892,0))="","",INDEX('RUỘT TURBO'!$D$4:$D$892,MATCH(18,'RUỘT TURBO'!$U$4:$U$892,0))),"")</f>
        <v/>
      </c>
      <c r="D49" s="330">
        <f>IFERROR(IF(INDEX('RUỘT TURBO'!$E$4:$E$892,MATCH(18,'RUỘT TURBO'!$U$4:$U$892,0))="","",INDEX('RUỘT TURBO'!$E$4:$E$892,MATCH(18,'RUỘT TURBO'!$U$4:$U$892,0))),"")</f>
        <v/>
      </c>
      <c r="E49" s="332">
        <f>IFERROR(IF(INDEX('RUỘT TURBO'!$F$4:$F$892,MATCH(18,'RUỘT TURBO'!$U$4:$U$892,0))="","",INDEX('RUỘT TURBO'!$F$4:$F$892,MATCH(18,'RUỘT TURBO'!$U$4:$U$892,0))),"")</f>
        <v/>
      </c>
      <c r="F49" s="332" t="n"/>
      <c r="G49" s="332" t="n"/>
      <c r="H49" s="332">
        <f>IFERROR(IF(INDEX('RUỘT TURBO'!$G$4:$G$892,MATCH(18,'RUỘT TURBO'!$U$4:$U$892,0))="","",INDEX('RUỘT TURBO'!$G$4:$G$892,MATCH(18,'RUỘT TURBO'!$U$4:$U$892,0))),"")</f>
        <v/>
      </c>
      <c r="I49" s="333">
        <f>IFERROR(IF(INDEX('RUỘT TURBO'!$H$4:$H$892,MATCH(18,'RUỘT TURBO'!$U$4:$U$892,0))="","",INDEX('RUỘT TURBO'!$H$4:$H$892,MATCH(18,'RUỘT TURBO'!$U$4:$U$892,0))),"")</f>
        <v/>
      </c>
    </row>
    <row r="50" ht="15" customHeight="1" s="217">
      <c r="A50" s="320">
        <f>IFERROR(IF(INDEX('RUỘT TURBO'!$A$4:$A$892,MATCH(19,'RUỘT TURBO'!$U$4:$U$892,0))="","",INDEX('RUỘT TURBO'!$A$4:$A$892,MATCH(19,'RUỘT TURBO'!$U$4:$U$892,0))),"")</f>
        <v/>
      </c>
      <c r="B50" s="321">
        <f>IFERROR(IF(INDEX('RUỘT TURBO'!$B$4:$B$892,MATCH(19,'RUỘT TURBO'!$U$4:$U$892,0))="","",INDEX('RUỘT TURBO'!$B$4:$B$892,MATCH(19,'RUỘT TURBO'!$U$4:$U$892,0))),"")</f>
        <v/>
      </c>
      <c r="C50" s="320">
        <f>IFERROR(IF(INDEX('RUỘT TURBO'!$D$4:$D$892,MATCH(19,'RUỘT TURBO'!$U$4:$U$892,0))="","",INDEX('RUỘT TURBO'!$D$4:$D$892,MATCH(19,'RUỘT TURBO'!$U$4:$U$892,0))),"")</f>
        <v/>
      </c>
      <c r="D50" s="320">
        <f>IFERROR(IF(INDEX('RUỘT TURBO'!$E$4:$E$892,MATCH(19,'RUỘT TURBO'!$U$4:$U$892,0))="","",INDEX('RUỘT TURBO'!$E$4:$E$892,MATCH(19,'RUỘT TURBO'!$U$4:$U$892,0))),"")</f>
        <v/>
      </c>
      <c r="E50" s="322">
        <f>IFERROR(IF(INDEX('RUỘT TURBO'!$F$4:$F$892,MATCH(19,'RUỘT TURBO'!$U$4:$U$892,0))="","",INDEX('RUỘT TURBO'!$F$4:$F$892,MATCH(19,'RUỘT TURBO'!$U$4:$U$892,0))),"")</f>
        <v/>
      </c>
      <c r="F50" s="322" t="n"/>
      <c r="G50" s="322" t="n"/>
      <c r="H50" s="322">
        <f>IFERROR(IF(INDEX('RUỘT TURBO'!$G$4:$G$892,MATCH(19,'RUỘT TURBO'!$U$4:$U$892,0))="","",INDEX('RUỘT TURBO'!$G$4:$G$892,MATCH(19,'RUỘT TURBO'!$U$4:$U$892,0))),"")</f>
        <v/>
      </c>
      <c r="I50" s="323">
        <f>IFERROR(IF(INDEX('RUỘT TURBO'!$H$4:$H$892,MATCH(19,'RUỘT TURBO'!$U$4:$U$892,0))="","",INDEX('RUỘT TURBO'!$H$4:$H$892,MATCH(19,'RUỘT TURBO'!$U$4:$U$892,0))),"")</f>
        <v/>
      </c>
    </row>
    <row r="51" ht="15" customHeight="1" s="217">
      <c r="A51" s="330">
        <f>IFERROR(IF(INDEX('RUỘT TURBO'!$A$4:$A$892,MATCH(20,'RUỘT TURBO'!$U$4:$U$892,0))="","",INDEX('RUỘT TURBO'!$A$4:$A$892,MATCH(20,'RUỘT TURBO'!$U$4:$U$892,0))),"")</f>
        <v/>
      </c>
      <c r="B51" s="331">
        <f>IFERROR(IF(INDEX('RUỘT TURBO'!$B$4:$B$892,MATCH(20,'RUỘT TURBO'!$U$4:$U$892,0))="","",INDEX('RUỘT TURBO'!$B$4:$B$892,MATCH(20,'RUỘT TURBO'!$U$4:$U$892,0))),"")</f>
        <v/>
      </c>
      <c r="C51" s="330">
        <f>IFERROR(IF(INDEX('RUỘT TURBO'!$D$4:$D$892,MATCH(20,'RUỘT TURBO'!$U$4:$U$892,0))="","",INDEX('RUỘT TURBO'!$D$4:$D$892,MATCH(20,'RUỘT TURBO'!$U$4:$U$892,0))),"")</f>
        <v/>
      </c>
      <c r="D51" s="330">
        <f>IFERROR(IF(INDEX('RUỘT TURBO'!$E$4:$E$892,MATCH(20,'RUỘT TURBO'!$U$4:$U$892,0))="","",INDEX('RUỘT TURBO'!$E$4:$E$892,MATCH(20,'RUỘT TURBO'!$U$4:$U$892,0))),"")</f>
        <v/>
      </c>
      <c r="E51" s="332">
        <f>IFERROR(IF(INDEX('RUỘT TURBO'!$F$4:$F$892,MATCH(20,'RUỘT TURBO'!$U$4:$U$892,0))="","",INDEX('RUỘT TURBO'!$F$4:$F$892,MATCH(20,'RUỘT TURBO'!$U$4:$U$892,0))),"")</f>
        <v/>
      </c>
      <c r="F51" s="332" t="n"/>
      <c r="G51" s="332" t="n"/>
      <c r="H51" s="332">
        <f>IFERROR(IF(INDEX('RUỘT TURBO'!$G$4:$G$892,MATCH(20,'RUỘT TURBO'!$U$4:$U$892,0))="","",INDEX('RUỘT TURBO'!$G$4:$G$892,MATCH(20,'RUỘT TURBO'!$U$4:$U$892,0))),"")</f>
        <v/>
      </c>
      <c r="I51" s="333">
        <f>IFERROR(IF(INDEX('RUỘT TURBO'!$H$4:$H$892,MATCH(20,'RUỘT TURBO'!$U$4:$U$892,0))="","",INDEX('RUỘT TURBO'!$H$4:$H$892,MATCH(20,'RUỘT TURBO'!$U$4:$U$892,0))),"")</f>
        <v/>
      </c>
    </row>
  </sheetData>
  <mergeCells count="6">
    <mergeCell ref="E4:I4"/>
    <mergeCell ref="F3:I3"/>
    <mergeCell ref="A1:I1"/>
    <mergeCell ref="B3:E3"/>
    <mergeCell ref="A6:I6"/>
    <mergeCell ref="A30:I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W69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16" min="1" max="3"/>
    <col width="19" customWidth="1" style="216" min="4" max="4"/>
    <col width="13" customWidth="1" style="216" min="5" max="5"/>
    <col width="34" customWidth="1" style="216" min="6" max="6"/>
    <col width="18" customWidth="1" style="216" min="7" max="7"/>
    <col width="15" customWidth="1" style="216" min="8" max="8"/>
    <col width="14" customWidth="1" style="216" min="9" max="9"/>
    <col width="11" customWidth="1" style="216" min="10" max="11"/>
    <col width="12" customWidth="1" style="216" min="12" max="12"/>
    <col width="11" customWidth="1" style="216" min="13" max="13"/>
    <col width="12" customWidth="1" style="216" min="14" max="14"/>
    <col width="9" customWidth="1" style="216" min="15" max="16"/>
    <col width="8" customWidth="1" style="216" min="17" max="17"/>
    <col width="9" customWidth="1" style="216" min="18" max="19"/>
    <col width="8" customWidth="1" style="216" min="20" max="20"/>
    <col width="2" customWidth="1" style="216" min="21" max="21"/>
    <col hidden="1" width="40" customWidth="1" style="216" min="22" max="22"/>
    <col hidden="1" width="13" customWidth="1" style="216" min="23" max="23"/>
  </cols>
  <sheetData>
    <row r="1" ht="30" customHeight="1" s="217">
      <c r="A1" s="334" t="inlineStr">
        <is>
          <t>🚗  BÁO GIÁ TURBO  —  TRA CỨU THEO HÃNG MÁY  ·  Gom mã cùng PARNO</t>
        </is>
      </c>
    </row>
    <row r="2" ht="15.75" customHeight="1" s="217">
      <c r="A2" s="335" t="inlineStr">
        <is>
          <t>🟡 Vàng = mã gốc có biến thể cùng PARNO   ·   🟠 Cam = mã khác thương hiệu (cùng PARNO)   ·   🟢 Xanh = MÃ VT vừa điền</t>
        </is>
      </c>
    </row>
    <row r="3" ht="27.75" customHeight="1" s="217">
      <c r="A3" s="336" t="inlineStr">
        <is>
          <t>HÃNG MÁY</t>
        </is>
      </c>
      <c r="B3" s="336" t="inlineStr">
        <is>
          <t>MÃ VT</t>
        </is>
      </c>
      <c r="C3" s="336" t="inlineStr">
        <is>
          <t>HÃNG SX</t>
        </is>
      </c>
      <c r="D3" s="336" t="inlineStr">
        <is>
          <t>MODEL TURBO</t>
        </is>
      </c>
      <c r="E3" s="336" t="inlineStr">
        <is>
          <t>MÃ ĐỘNG CƠ</t>
        </is>
      </c>
      <c r="F3" s="336" t="inlineStr">
        <is>
          <t>OEM PART NO</t>
        </is>
      </c>
      <c r="G3" s="336" t="inlineStr">
        <is>
          <t>ĐẶC ĐIỂM</t>
        </is>
      </c>
      <c r="H3" s="336" t="inlineStr">
        <is>
          <t>ỨNG DỤNG</t>
        </is>
      </c>
      <c r="I3" s="336" t="inlineStr">
        <is>
          <t>GHI CHÚ</t>
        </is>
      </c>
      <c r="J3" s="336" t="inlineStr">
        <is>
          <t>THƯƠNG HIỆU</t>
        </is>
      </c>
      <c r="K3" s="337" t="inlineStr">
        <is>
          <t>GIÁ VIP</t>
        </is>
      </c>
      <c r="L3" s="337" t="inlineStr">
        <is>
          <t>GIÁ ƯU ĐÃI</t>
        </is>
      </c>
      <c r="M3" s="337" t="inlineStr">
        <is>
          <t>GIÁ ĐẠI LÝ</t>
        </is>
      </c>
      <c r="N3" s="337" t="inlineStr">
        <is>
          <t>GIÁ ĐL +10%</t>
        </is>
      </c>
      <c r="O3" s="336" t="inlineStr">
        <is>
          <t>CG Ø DƯỚI</t>
        </is>
      </c>
      <c r="P3" s="336" t="inlineStr">
        <is>
          <t>CG Ø ĐỈNH</t>
        </is>
      </c>
      <c r="Q3" s="336" t="inlineStr">
        <is>
          <t>CG SỐ</t>
        </is>
      </c>
      <c r="R3" s="336" t="inlineStr">
        <is>
          <t>CL Ø DƯỚI</t>
        </is>
      </c>
      <c r="S3" s="336" t="inlineStr">
        <is>
          <t>CL Ø ĐỈNH</t>
        </is>
      </c>
      <c r="T3" s="336" t="inlineStr">
        <is>
          <t>CL SỐ</t>
        </is>
      </c>
      <c r="V3" s="338" t="inlineStr">
        <is>
          <t>_BLOB</t>
        </is>
      </c>
      <c r="W3" s="338" t="n">
        <v>0</v>
      </c>
    </row>
    <row r="4" ht="19.5" customHeight="1" s="217">
      <c r="A4" s="339" t="inlineStr">
        <is>
          <t xml:space="preserve">  🏭  CAT   ·   34 loại turbo</t>
        </is>
      </c>
      <c r="W4" s="216">
        <f>IF(AND('TRA CỨU TỔNG HỢP'!$B$3&lt;&gt;"",ISNUMBER(SEARCH('TRA CỨU TỔNG HỢP'!$B$3,V4))),MAX($W$3:W3)+1,"")</f>
        <v/>
      </c>
    </row>
    <row r="5" ht="15" customHeight="1" s="217">
      <c r="A5" s="340" t="inlineStr">
        <is>
          <t>CAT</t>
        </is>
      </c>
      <c r="B5" s="341" t="inlineStr">
        <is>
          <t>HH077147</t>
        </is>
      </c>
      <c r="C5" s="340" t="n"/>
      <c r="D5" s="340" t="inlineStr">
        <is>
          <t>Cat E320D/C6.4/ TD06H</t>
        </is>
      </c>
      <c r="E5" s="340" t="n"/>
      <c r="F5" s="342" t="inlineStr">
        <is>
          <t>49179-02910
8M06-100-E63</t>
        </is>
      </c>
      <c r="G5" s="340" t="n"/>
      <c r="H5" s="340" t="n"/>
      <c r="I5" s="340" t="n"/>
      <c r="J5" s="343" t="inlineStr">
        <is>
          <t>JRONE</t>
        </is>
      </c>
      <c r="K5" s="344" t="n"/>
      <c r="L5" s="344" t="n"/>
      <c r="M5" s="344" t="n"/>
      <c r="N5" s="344">
        <f>IF(M5="","",M5*1.1)</f>
        <v/>
      </c>
      <c r="O5" s="345" t="n"/>
      <c r="P5" s="345" t="n"/>
      <c r="Q5" s="345" t="n"/>
      <c r="R5" s="345" t="n"/>
      <c r="S5" s="345" t="n"/>
      <c r="T5" s="345" t="n"/>
      <c r="V5" s="346">
        <f>UPPER(A5&amp;" "&amp;B5&amp;" "&amp;D5&amp;" "&amp;E5&amp;" "&amp;F5&amp;" "&amp;G5&amp;" "&amp;H5&amp;" "&amp;I5&amp;" "&amp;J5)</f>
        <v/>
      </c>
      <c r="W5" s="216">
        <f>IF(AND('TRA CỨU TỔNG HỢP'!$B$3&lt;&gt;"",ISNUMBER(SEARCH('TRA CỨU TỔNG HỢP'!$B$3,V5))),MAX($W$3:W4)+1,"")</f>
        <v/>
      </c>
    </row>
    <row r="6" ht="15" customHeight="1" s="217">
      <c r="A6" s="347" t="inlineStr">
        <is>
          <t xml:space="preserve">  └─ CAT</t>
        </is>
      </c>
      <c r="B6" s="348" t="inlineStr">
        <is>
          <t>HH081913</t>
        </is>
      </c>
      <c r="C6" s="349" t="n"/>
      <c r="D6" s="349" t="inlineStr">
        <is>
          <t>Cat E320D/C6.4/ TD06H</t>
        </is>
      </c>
      <c r="E6" s="349" t="n"/>
      <c r="F6" s="350" t="inlineStr">
        <is>
          <t>49179-02910
8M06-100-E63</t>
        </is>
      </c>
      <c r="G6" s="349" t="n"/>
      <c r="H6" s="349" t="n"/>
      <c r="I6" s="349" t="n"/>
      <c r="J6" s="351" t="inlineStr">
        <is>
          <t>VIDARIR</t>
        </is>
      </c>
      <c r="K6" s="352" t="n"/>
      <c r="L6" s="352" t="n"/>
      <c r="M6" s="352" t="n"/>
      <c r="N6" s="352">
        <f>IF(M6="","",M6*1.1)</f>
        <v/>
      </c>
      <c r="O6" s="353" t="n"/>
      <c r="P6" s="353" t="n"/>
      <c r="Q6" s="353" t="n"/>
      <c r="R6" s="353" t="n"/>
      <c r="S6" s="353" t="n"/>
      <c r="T6" s="353" t="n"/>
      <c r="V6" s="346">
        <f>UPPER(A6&amp;" "&amp;B6&amp;" "&amp;D6&amp;" "&amp;E6&amp;" "&amp;F6&amp;" "&amp;G6&amp;" "&amp;H6&amp;" "&amp;I6&amp;" "&amp;J6)</f>
        <v/>
      </c>
      <c r="W6" s="216">
        <f>IF(AND('TRA CỨU TỔNG HỢP'!$B$3&lt;&gt;"",ISNUMBER(SEARCH('TRA CỨU TỔNG HỢP'!$B$3,V6))),MAX($W$3:W5)+1,"")</f>
        <v/>
      </c>
    </row>
    <row r="7" ht="15" customHeight="1" s="217">
      <c r="A7" s="354" t="inlineStr">
        <is>
          <t>CAT</t>
        </is>
      </c>
      <c r="B7" s="355" t="inlineStr">
        <is>
          <t>HH075291</t>
        </is>
      </c>
      <c r="C7" s="354" t="inlineStr">
        <is>
          <t>Mitsubishi</t>
        </is>
      </c>
      <c r="D7" s="354" t="inlineStr">
        <is>
          <t>TD06H-16M</t>
        </is>
      </c>
      <c r="E7" s="354" t="inlineStr">
        <is>
          <t>3066/S6KT</t>
        </is>
      </c>
      <c r="F7" s="356" t="inlineStr">
        <is>
          <t>49179-02820
8M06-100-E68</t>
        </is>
      </c>
      <c r="G7" s="354" t="inlineStr">
        <is>
          <t>Tâm lỗ bu lông 44 x 86</t>
        </is>
      </c>
      <c r="H7" s="354" t="inlineStr">
        <is>
          <t>E320C</t>
        </is>
      </c>
      <c r="I7" s="354" t="n"/>
      <c r="J7" s="357" t="inlineStr">
        <is>
          <t>JRONE</t>
        </is>
      </c>
      <c r="K7" s="358" t="n"/>
      <c r="L7" s="358" t="n"/>
      <c r="M7" s="358" t="n"/>
      <c r="N7" s="358">
        <f>IF(M7="","",M7*1.1)</f>
        <v/>
      </c>
      <c r="O7" s="359" t="n"/>
      <c r="P7" s="359" t="n"/>
      <c r="Q7" s="359" t="n"/>
      <c r="R7" s="359" t="n"/>
      <c r="S7" s="359" t="n"/>
      <c r="T7" s="359" t="n"/>
      <c r="V7" s="346">
        <f>UPPER(A7&amp;" "&amp;B7&amp;" "&amp;D7&amp;" "&amp;E7&amp;" "&amp;F7&amp;" "&amp;G7&amp;" "&amp;H7&amp;" "&amp;I7&amp;" "&amp;J7)</f>
        <v/>
      </c>
      <c r="W7" s="216">
        <f>IF(AND('TRA CỨU TỔNG HỢP'!$B$3&lt;&gt;"",ISNUMBER(SEARCH('TRA CỨU TỔNG HỢP'!$B$3,V7))),MAX($W$3:W6)+1,"")</f>
        <v/>
      </c>
    </row>
    <row r="8" ht="15" customHeight="1" s="217">
      <c r="A8" s="354" t="inlineStr">
        <is>
          <t>CAT</t>
        </is>
      </c>
      <c r="B8" s="355" t="inlineStr">
        <is>
          <t>HH070130</t>
        </is>
      </c>
      <c r="C8" s="354" t="inlineStr">
        <is>
          <t>BorgWarner</t>
        </is>
      </c>
      <c r="D8" s="354" t="inlineStr">
        <is>
          <t>S2A</t>
        </is>
      </c>
      <c r="E8" s="354" t="n">
        <v>3114</v>
      </c>
      <c r="F8" s="356" t="inlineStr">
        <is>
          <t>317817/ 8S03-100-J37</t>
        </is>
      </c>
      <c r="G8" s="354" t="n"/>
      <c r="H8" s="354" t="n"/>
      <c r="I8" s="354" t="inlineStr">
        <is>
          <t>8S03-100-J37</t>
        </is>
      </c>
      <c r="J8" s="357" t="inlineStr">
        <is>
          <t>JRONE</t>
        </is>
      </c>
      <c r="K8" s="358" t="n"/>
      <c r="L8" s="358" t="n"/>
      <c r="M8" s="358" t="n"/>
      <c r="N8" s="358">
        <f>IF(M8="","",M8*1.1)</f>
        <v/>
      </c>
      <c r="O8" s="359" t="n"/>
      <c r="P8" s="359" t="n"/>
      <c r="Q8" s="359" t="n"/>
      <c r="R8" s="359" t="n"/>
      <c r="S8" s="359" t="n"/>
      <c r="T8" s="359" t="n"/>
      <c r="V8" s="216">
        <f>UPPER(A8&amp;" "&amp;B8&amp;" "&amp;D8&amp;" "&amp;E8&amp;" "&amp;F8&amp;" "&amp;G8&amp;" "&amp;H8&amp;" "&amp;I8&amp;" "&amp;J8)</f>
        <v/>
      </c>
      <c r="W8" s="216">
        <f>IF(AND('TRA CỨU TỔNG HỢP'!$B$3&lt;&gt;"",ISNUMBER(SEARCH('TRA CỨU TỔNG HỢP'!$B$3,V8))),MAX($W$3:W7)+1,"")</f>
        <v/>
      </c>
    </row>
    <row r="9" ht="15" customHeight="1" s="217">
      <c r="A9" s="354" t="inlineStr">
        <is>
          <t>CAT</t>
        </is>
      </c>
      <c r="B9" s="355" t="inlineStr">
        <is>
          <t>HH071812</t>
        </is>
      </c>
      <c r="C9" s="354" t="inlineStr">
        <is>
          <t>Mitsubishi</t>
        </is>
      </c>
      <c r="D9" s="354" t="inlineStr">
        <is>
          <t>TD06H-16M</t>
        </is>
      </c>
      <c r="E9" s="354" t="inlineStr">
        <is>
          <t>3066/S6KT</t>
        </is>
      </c>
      <c r="F9" s="356" t="inlineStr">
        <is>
          <t>49179-02300
5I8018/2797860
49179-08600</t>
        </is>
      </c>
      <c r="G9" s="354" t="inlineStr">
        <is>
          <t>Tâm lỗ bu lông 44 x 86</t>
        </is>
      </c>
      <c r="H9" s="354" t="inlineStr">
        <is>
          <t>E320C</t>
        </is>
      </c>
      <c r="I9" s="354" t="n"/>
      <c r="J9" s="357" t="inlineStr">
        <is>
          <t>SL</t>
        </is>
      </c>
      <c r="K9" s="358" t="n"/>
      <c r="L9" s="358" t="n"/>
      <c r="M9" s="358" t="n"/>
      <c r="N9" s="358">
        <f>IF(M9="","",M9*1.1)</f>
        <v/>
      </c>
      <c r="O9" s="359" t="n"/>
      <c r="P9" s="359" t="n"/>
      <c r="Q9" s="359" t="n"/>
      <c r="R9" s="359" t="n"/>
      <c r="S9" s="359" t="n"/>
      <c r="T9" s="359" t="n"/>
      <c r="V9" s="346">
        <f>UPPER(A9&amp;" "&amp;B9&amp;" "&amp;D9&amp;" "&amp;E9&amp;" "&amp;F9&amp;" "&amp;G9&amp;" "&amp;H9&amp;" "&amp;I9&amp;" "&amp;J9)</f>
        <v/>
      </c>
      <c r="W9" s="216">
        <f>IF(AND('TRA CỨU TỔNG HỢP'!$B$3&lt;&gt;"",ISNUMBER(SEARCH('TRA CỨU TỔNG HỢP'!$B$3,V9))),MAX($W$3:W8)+1,"")</f>
        <v/>
      </c>
    </row>
    <row r="10" ht="15" customHeight="1" s="217">
      <c r="A10" s="340" t="inlineStr">
        <is>
          <t>CAT</t>
        </is>
      </c>
      <c r="B10" s="341" t="inlineStr">
        <is>
          <t>HH075289</t>
        </is>
      </c>
      <c r="C10" s="340" t="inlineStr">
        <is>
          <t>Mitsubishi</t>
        </is>
      </c>
      <c r="D10" s="340" t="inlineStr">
        <is>
          <t>TE06H-16M</t>
        </is>
      </c>
      <c r="E10" s="340" t="inlineStr">
        <is>
          <t>S6KT</t>
        </is>
      </c>
      <c r="F10" s="342" t="inlineStr">
        <is>
          <t>49179-02230
8M06-100-235</t>
        </is>
      </c>
      <c r="G10" s="340" t="inlineStr">
        <is>
          <t>Tâm lỗ bu lông 44 x 86</t>
        </is>
      </c>
      <c r="H10" s="340" t="inlineStr">
        <is>
          <t>E320B</t>
        </is>
      </c>
      <c r="I10" s="340" t="n"/>
      <c r="J10" s="343" t="inlineStr">
        <is>
          <t>JRONE</t>
        </is>
      </c>
      <c r="K10" s="344" t="n"/>
      <c r="L10" s="344" t="n"/>
      <c r="M10" s="344" t="n"/>
      <c r="N10" s="344">
        <f>IF(M10="","",M10*1.1)</f>
        <v/>
      </c>
      <c r="O10" s="345" t="n"/>
      <c r="P10" s="345" t="n"/>
      <c r="Q10" s="345" t="n"/>
      <c r="R10" s="345" t="n"/>
      <c r="S10" s="345" t="n"/>
      <c r="T10" s="345" t="n"/>
      <c r="V10" s="346">
        <f>UPPER(A10&amp;" "&amp;B10&amp;" "&amp;D10&amp;" "&amp;E10&amp;" "&amp;F10&amp;" "&amp;G10&amp;" "&amp;H10&amp;" "&amp;I10&amp;" "&amp;J10)</f>
        <v/>
      </c>
      <c r="W10" s="216">
        <f>IF(AND('TRA CỨU TỔNG HỢP'!$B$3&lt;&gt;"",ISNUMBER(SEARCH('TRA CỨU TỔNG HỢP'!$B$3,V10))),MAX($W$3:W9)+1,"")</f>
        <v/>
      </c>
    </row>
    <row r="11" ht="15" customHeight="1" s="217">
      <c r="A11" s="347" t="inlineStr">
        <is>
          <t xml:space="preserve">  └─ CAT</t>
        </is>
      </c>
      <c r="B11" s="348" t="inlineStr">
        <is>
          <t>HH071811</t>
        </is>
      </c>
      <c r="C11" s="349" t="inlineStr">
        <is>
          <t>Mitsubishi</t>
        </is>
      </c>
      <c r="D11" s="349" t="inlineStr">
        <is>
          <t>TE06H-16M</t>
        </is>
      </c>
      <c r="E11" s="349" t="inlineStr">
        <is>
          <t>S6KT</t>
        </is>
      </c>
      <c r="F11" s="350" t="inlineStr">
        <is>
          <t>49179-02230
8M06-100-235</t>
        </is>
      </c>
      <c r="G11" s="349" t="inlineStr">
        <is>
          <t>Tâm lỗ bu lông 44 x 86</t>
        </is>
      </c>
      <c r="H11" s="349" t="inlineStr">
        <is>
          <t>E320B</t>
        </is>
      </c>
      <c r="I11" s="349" t="n"/>
      <c r="J11" s="351" t="inlineStr">
        <is>
          <t>SL</t>
        </is>
      </c>
      <c r="K11" s="352" t="n"/>
      <c r="L11" s="352" t="n"/>
      <c r="M11" s="352" t="n"/>
      <c r="N11" s="352">
        <f>IF(M11="","",M11*1.1)</f>
        <v/>
      </c>
      <c r="O11" s="353" t="n"/>
      <c r="P11" s="353" t="n"/>
      <c r="Q11" s="353" t="n"/>
      <c r="R11" s="353" t="n"/>
      <c r="S11" s="353" t="n"/>
      <c r="T11" s="353" t="n"/>
      <c r="V11" s="346">
        <f>UPPER(A11&amp;" "&amp;B11&amp;" "&amp;D11&amp;" "&amp;E11&amp;" "&amp;F11&amp;" "&amp;G11&amp;" "&amp;H11&amp;" "&amp;I11&amp;" "&amp;J11)</f>
        <v/>
      </c>
      <c r="W11" s="216">
        <f>IF(AND('TRA CỨU TỔNG HỢP'!$B$3&lt;&gt;"",ISNUMBER(SEARCH('TRA CỨU TỔNG HỢP'!$B$3,V11))),MAX($W$3:W10)+1,"")</f>
        <v/>
      </c>
    </row>
    <row r="12" ht="15" customHeight="1" s="217">
      <c r="A12" s="347" t="inlineStr">
        <is>
          <t xml:space="preserve">  └─ CAT</t>
        </is>
      </c>
      <c r="B12" s="348" t="inlineStr">
        <is>
          <t>HH079980</t>
        </is>
      </c>
      <c r="C12" s="349" t="inlineStr">
        <is>
          <t>Mitsubishi</t>
        </is>
      </c>
      <c r="D12" s="349" t="inlineStr">
        <is>
          <t>TE06H-16M</t>
        </is>
      </c>
      <c r="E12" s="349" t="inlineStr">
        <is>
          <t>S6KT</t>
        </is>
      </c>
      <c r="F12" s="350" t="inlineStr">
        <is>
          <t>49179-02230
8M06-100-235</t>
        </is>
      </c>
      <c r="G12" s="349" t="inlineStr">
        <is>
          <t>Tâm lỗ bu lông 44 x 86</t>
        </is>
      </c>
      <c r="H12" s="349" t="inlineStr">
        <is>
          <t>E320B</t>
        </is>
      </c>
      <c r="I12" s="349" t="n"/>
      <c r="J12" s="351" t="n"/>
      <c r="K12" s="352" t="n"/>
      <c r="L12" s="352" t="n"/>
      <c r="M12" s="352" t="n"/>
      <c r="N12" s="352">
        <f>IF(M12="","",M12*1.1)</f>
        <v/>
      </c>
      <c r="O12" s="353" t="n"/>
      <c r="P12" s="353" t="n"/>
      <c r="Q12" s="353" t="n"/>
      <c r="R12" s="353" t="n"/>
      <c r="S12" s="353" t="n"/>
      <c r="T12" s="353" t="n"/>
      <c r="V12" s="346">
        <f>UPPER(A12&amp;" "&amp;B12&amp;" "&amp;D12&amp;" "&amp;E12&amp;" "&amp;F12&amp;" "&amp;G12&amp;" "&amp;H12&amp;" "&amp;I12&amp;" "&amp;J12)</f>
        <v/>
      </c>
      <c r="W12" s="216">
        <f>IF(AND('TRA CỨU TỔNG HỢP'!$B$3&lt;&gt;"",ISNUMBER(SEARCH('TRA CỨU TỔNG HỢP'!$B$3,V12))),MAX($W$3:W11)+1,"")</f>
        <v/>
      </c>
    </row>
    <row r="13" ht="15" customHeight="1" s="217">
      <c r="A13" s="340" t="inlineStr">
        <is>
          <t>CAT</t>
        </is>
      </c>
      <c r="B13" s="341" t="inlineStr">
        <is>
          <t>HH081733</t>
        </is>
      </c>
      <c r="C13" s="340" t="inlineStr">
        <is>
          <t>Mitsubishi</t>
        </is>
      </c>
      <c r="D13" s="340" t="inlineStr">
        <is>
          <t>TD06H-14C</t>
        </is>
      </c>
      <c r="E13" s="340" t="inlineStr">
        <is>
          <t>S6KT/S4KT</t>
        </is>
      </c>
      <c r="F13" s="342" t="inlineStr">
        <is>
          <t>49179-00451/49179-00451 | 49179-00450 | 4917900451 | 4917900450 | 5I-5015 | 5I5015
8M06-100-056/49179-00450
5I501549179-09830/49179-00451/4917900451/317013/49179-00450/4917900450/49S79-00451/49S7900451
(ruột)</t>
        </is>
      </c>
      <c r="G13" s="340" t="inlineStr">
        <is>
          <t>Tâm lỗ bu lông 44 x 86</t>
        </is>
      </c>
      <c r="H13" s="340" t="inlineStr">
        <is>
          <t>E200B/E120B</t>
        </is>
      </c>
      <c r="I13" s="340" t="n"/>
      <c r="J13" s="343" t="inlineStr">
        <is>
          <t>TBS</t>
        </is>
      </c>
      <c r="K13" s="344" t="n"/>
      <c r="L13" s="344" t="n"/>
      <c r="M13" s="344" t="n"/>
      <c r="N13" s="344">
        <f>IF(M13="","",M13*1.1)</f>
        <v/>
      </c>
      <c r="O13" s="345" t="n"/>
      <c r="P13" s="345" t="n"/>
      <c r="Q13" s="345" t="n"/>
      <c r="R13" s="345" t="n"/>
      <c r="S13" s="345" t="n"/>
      <c r="T13" s="345" t="n"/>
      <c r="V13" s="346">
        <f>UPPER(A13&amp;" "&amp;B13&amp;" "&amp;D13&amp;" "&amp;E13&amp;" "&amp;F13&amp;" "&amp;G13&amp;" "&amp;H13&amp;" "&amp;I13&amp;" "&amp;J13)</f>
        <v/>
      </c>
      <c r="W13" s="216">
        <f>IF(AND('TRA CỨU TỔNG HỢP'!$B$3&lt;&gt;"",ISNUMBER(SEARCH('TRA CỨU TỔNG HỢP'!$B$3,V13))),MAX($W$3:W12)+1,"")</f>
        <v/>
      </c>
    </row>
    <row r="14" ht="15" customHeight="1" s="217">
      <c r="A14" s="347" t="inlineStr">
        <is>
          <t xml:space="preserve">  └─ CAT</t>
        </is>
      </c>
      <c r="B14" s="348" t="inlineStr">
        <is>
          <t>HH075110</t>
        </is>
      </c>
      <c r="C14" s="349" t="inlineStr">
        <is>
          <t>Mitsubishi</t>
        </is>
      </c>
      <c r="D14" s="349" t="inlineStr">
        <is>
          <t>TD06H-14C</t>
        </is>
      </c>
      <c r="E14" s="349" t="inlineStr">
        <is>
          <t>S6KT/S4KT</t>
        </is>
      </c>
      <c r="F14" s="350" t="inlineStr">
        <is>
          <t>49179-00451/49179-00451 | 49179-00450 | 4917900451 | 4917900450 | 5I-5015 | 5I5015
8M06-100-056/49179-00450
5I501549179-09830/49179-00451/4917900451/317013/49179-00450/4917900450/49S79-00451/49S7900451
(ruột)</t>
        </is>
      </c>
      <c r="G14" s="349" t="inlineStr">
        <is>
          <t>Tâm lỗ bu lông 44 x 86</t>
        </is>
      </c>
      <c r="H14" s="349" t="inlineStr">
        <is>
          <t>E200B/E120B</t>
        </is>
      </c>
      <c r="I14" s="349" t="n"/>
      <c r="J14" s="351" t="inlineStr">
        <is>
          <t>JRONE</t>
        </is>
      </c>
      <c r="K14" s="352" t="n"/>
      <c r="L14" s="352" t="n"/>
      <c r="M14" s="352" t="n"/>
      <c r="N14" s="352">
        <f>IF(M14="","",M14*1.1)</f>
        <v/>
      </c>
      <c r="O14" s="353" t="n"/>
      <c r="P14" s="353" t="n"/>
      <c r="Q14" s="353" t="n"/>
      <c r="R14" s="353" t="n"/>
      <c r="S14" s="353" t="n"/>
      <c r="T14" s="353" t="n"/>
      <c r="V14" s="346">
        <f>UPPER(A14&amp;" "&amp;B14&amp;" "&amp;D14&amp;" "&amp;E14&amp;" "&amp;F14&amp;" "&amp;G14&amp;" "&amp;H14&amp;" "&amp;I14&amp;" "&amp;J14)</f>
        <v/>
      </c>
      <c r="W14" s="216">
        <f>IF(AND('TRA CỨU TỔNG HỢP'!$B$3&lt;&gt;"",ISNUMBER(SEARCH('TRA CỨU TỔNG HỢP'!$B$3,V14))),MAX($W$3:W13)+1,"")</f>
        <v/>
      </c>
    </row>
    <row r="15" ht="15" customHeight="1" s="217">
      <c r="A15" s="347" t="inlineStr">
        <is>
          <t xml:space="preserve">  └─ CAT</t>
        </is>
      </c>
      <c r="B15" s="348" t="inlineStr">
        <is>
          <t>HH079979</t>
        </is>
      </c>
      <c r="C15" s="349" t="inlineStr">
        <is>
          <t>Mitsubishi</t>
        </is>
      </c>
      <c r="D15" s="349" t="inlineStr">
        <is>
          <t>TD06H-14C</t>
        </is>
      </c>
      <c r="E15" s="349" t="inlineStr">
        <is>
          <t>S6KT/S4KT</t>
        </is>
      </c>
      <c r="F15" s="350" t="inlineStr">
        <is>
          <t>49179-00451/49179-00451 | 49179-00450 | 4917900451 | 4917900450 | 5I-5015 | 5I5015
8M06-100-056/49179-00450
5I501549179-09830/49179-00451/4917900451/317013/49179-00450/4917900450/49S79-00451/49S7900451
(ruột)</t>
        </is>
      </c>
      <c r="G15" s="349" t="inlineStr">
        <is>
          <t>Tâm lỗ bu lông 44 x 86</t>
        </is>
      </c>
      <c r="H15" s="349" t="inlineStr">
        <is>
          <t>E200B/E120B</t>
        </is>
      </c>
      <c r="I15" s="349" t="n"/>
      <c r="J15" s="351" t="inlineStr">
        <is>
          <t>SL</t>
        </is>
      </c>
      <c r="K15" s="352" t="n"/>
      <c r="L15" s="352" t="n"/>
      <c r="M15" s="352" t="n"/>
      <c r="N15" s="352">
        <f>IF(M15="","",M15*1.1)</f>
        <v/>
      </c>
      <c r="O15" s="353" t="n"/>
      <c r="P15" s="353" t="n"/>
      <c r="Q15" s="353" t="n"/>
      <c r="R15" s="353" t="n"/>
      <c r="S15" s="353" t="n"/>
      <c r="T15" s="353" t="n"/>
      <c r="V15" s="346">
        <f>UPPER(A15&amp;" "&amp;B15&amp;" "&amp;D15&amp;" "&amp;E15&amp;" "&amp;F15&amp;" "&amp;G15&amp;" "&amp;H15&amp;" "&amp;I15&amp;" "&amp;J15)</f>
        <v/>
      </c>
      <c r="W15" s="216">
        <f>IF(AND('TRA CỨU TỔNG HỢP'!$B$3&lt;&gt;"",ISNUMBER(SEARCH('TRA CỨU TỔNG HỢP'!$B$3,V15))),MAX($W$3:W14)+1,"")</f>
        <v/>
      </c>
    </row>
    <row r="16" ht="15" customHeight="1" s="217">
      <c r="A16" s="354" t="inlineStr">
        <is>
          <t>CAT</t>
        </is>
      </c>
      <c r="B16" s="355" t="inlineStr">
        <is>
          <t>HH075397</t>
        </is>
      </c>
      <c r="C16" s="354" t="inlineStr">
        <is>
          <t>BorgWarner</t>
        </is>
      </c>
      <c r="D16" s="354" t="inlineStr">
        <is>
          <t>S410G</t>
        </is>
      </c>
      <c r="E16" s="354" t="inlineStr">
        <is>
          <t>CAT 3406/ C15</t>
        </is>
      </c>
      <c r="F16" s="356" t="inlineStr">
        <is>
          <t>177148
169227
704604-0007/466445-0018
471142-0005/471142-0003
466445-0015/466445-0021
170354
137-4832/OR7152
167-9271/196-5951
OR6989/124-3035
141-8939/146-4328/136-6390
8S04-200-B71</t>
        </is>
      </c>
      <c r="G16" s="354" t="n"/>
      <c r="H16" s="354" t="n"/>
      <c r="I16" s="354" t="n"/>
      <c r="J16" s="357" t="inlineStr">
        <is>
          <t>JRONE</t>
        </is>
      </c>
      <c r="K16" s="358" t="n"/>
      <c r="L16" s="358" t="n"/>
      <c r="M16" s="358" t="n"/>
      <c r="N16" s="358">
        <f>IF(M16="","",M16*1.1)</f>
        <v/>
      </c>
      <c r="O16" s="359" t="n">
        <v>105.4</v>
      </c>
      <c r="P16" s="359" t="n">
        <v>74.59999999999999</v>
      </c>
      <c r="Q16" s="359" t="inlineStr">
        <is>
          <t>7/7</t>
        </is>
      </c>
      <c r="R16" s="359" t="n">
        <v>91.5</v>
      </c>
      <c r="S16" s="359" t="n">
        <v>81.7</v>
      </c>
      <c r="T16" s="359" t="n">
        <v>10</v>
      </c>
      <c r="V16" s="346">
        <f>UPPER(A16&amp;" "&amp;B16&amp;" "&amp;D16&amp;" "&amp;E16&amp;" "&amp;F16&amp;" "&amp;G16&amp;" "&amp;H16&amp;" "&amp;I16&amp;" "&amp;J16)</f>
        <v/>
      </c>
      <c r="W16" s="216">
        <f>IF(AND('TRA CỨU TỔNG HỢP'!$B$3&lt;&gt;"",ISNUMBER(SEARCH('TRA CỨU TỔNG HỢP'!$B$3,V16))),MAX($W$3:W15)+1,"")</f>
        <v/>
      </c>
    </row>
    <row r="17" ht="15" customHeight="1" s="217">
      <c r="A17" s="360" t="inlineStr">
        <is>
          <t>CAT</t>
        </is>
      </c>
      <c r="B17" s="361" t="n"/>
      <c r="C17" s="360" t="inlineStr">
        <is>
          <t>Mitsubishi</t>
        </is>
      </c>
      <c r="D17" s="360" t="inlineStr">
        <is>
          <t>TF035</t>
        </is>
      </c>
      <c r="E17" s="360" t="inlineStr">
        <is>
          <t>4M40-T</t>
        </is>
      </c>
      <c r="F17" s="362" t="inlineStr">
        <is>
          <t>49135-03320
49135-03301
03300/8M35-200-J12</t>
        </is>
      </c>
      <c r="G17" s="360" t="inlineStr">
        <is>
          <t>Có điều tốc(Chân tam giác)</t>
        </is>
      </c>
      <c r="H17" s="360" t="inlineStr">
        <is>
          <t>CAT mini excavator</t>
        </is>
      </c>
      <c r="I17" s="360" t="n"/>
      <c r="J17" s="363" t="n"/>
      <c r="K17" s="364" t="n"/>
      <c r="L17" s="364" t="n"/>
      <c r="M17" s="364" t="n"/>
      <c r="N17" s="364" t="n"/>
      <c r="O17" s="365" t="n"/>
      <c r="P17" s="365" t="n"/>
      <c r="Q17" s="365" t="n"/>
      <c r="R17" s="365" t="n"/>
      <c r="S17" s="365" t="n"/>
      <c r="T17" s="365" t="n"/>
      <c r="V17" s="346">
        <f>UPPER(A17&amp;" "&amp;B17&amp;" "&amp;D17&amp;" "&amp;E17&amp;" "&amp;F17&amp;" "&amp;G17&amp;" "&amp;H17&amp;" "&amp;I17&amp;" "&amp;J17)</f>
        <v/>
      </c>
      <c r="W17" s="216">
        <f>IF(AND('TRA CỨU TỔNG HỢP'!$B$3&lt;&gt;"",ISNUMBER(SEARCH('TRA CỨU TỔNG HỢP'!$B$3,V17))),MAX($W$3:W16)+1,"")</f>
        <v/>
      </c>
    </row>
    <row r="18" ht="15" customHeight="1" s="217">
      <c r="A18" s="340" t="inlineStr">
        <is>
          <t>CAT</t>
        </is>
      </c>
      <c r="B18" s="341" t="inlineStr">
        <is>
          <t>HH080116</t>
        </is>
      </c>
      <c r="C18" s="340" t="inlineStr">
        <is>
          <t>IHI</t>
        </is>
      </c>
      <c r="D18" s="340" t="inlineStr">
        <is>
          <t>RHF4</t>
        </is>
      </c>
      <c r="E18" s="340" t="inlineStr">
        <is>
          <t>VT10</t>
        </is>
      </c>
      <c r="F18" s="342" t="inlineStr">
        <is>
          <t>VA420088
1515A029/1515A030/VT11
VA420101/VB420088
VB420101/VC420088
VC420101/F41CAT-S0088B
F41CAT-S0088G/VF420088
VG420088A1/49179-08540</t>
        </is>
      </c>
      <c r="G18" s="340" t="n"/>
      <c r="H18" s="340" t="inlineStr">
        <is>
          <t>L200 2.5D</t>
        </is>
      </c>
      <c r="I18" s="340" t="n"/>
      <c r="J18" s="343" t="inlineStr">
        <is>
          <t>SL</t>
        </is>
      </c>
      <c r="K18" s="344" t="n"/>
      <c r="L18" s="344" t="n"/>
      <c r="M18" s="344" t="n"/>
      <c r="N18" s="344">
        <f>IF(M18="","",M18*1.1)</f>
        <v/>
      </c>
      <c r="O18" s="345" t="n">
        <v>50</v>
      </c>
      <c r="P18" s="345" t="n">
        <v>37.4</v>
      </c>
      <c r="Q18" s="345" t="inlineStr">
        <is>
          <t>5/5</t>
        </is>
      </c>
      <c r="R18" s="345" t="n">
        <v>45.2</v>
      </c>
      <c r="S18" s="345" t="n">
        <v>36.6</v>
      </c>
      <c r="T18" s="345" t="n">
        <v>9</v>
      </c>
      <c r="V18" s="346">
        <f>UPPER(A18&amp;" "&amp;B18&amp;" "&amp;D18&amp;" "&amp;E18&amp;" "&amp;F18&amp;" "&amp;G18&amp;" "&amp;H18&amp;" "&amp;I18&amp;" "&amp;J18)</f>
        <v/>
      </c>
      <c r="W18" s="216">
        <f>IF(AND('TRA CỨU TỔNG HỢP'!$B$3&lt;&gt;"",ISNUMBER(SEARCH('TRA CỨU TỔNG HỢP'!$B$3,V18))),MAX($W$3:W17)+1,"")</f>
        <v/>
      </c>
    </row>
    <row r="19" ht="15" customHeight="1" s="217">
      <c r="A19" s="347" t="inlineStr">
        <is>
          <t xml:space="preserve">  └─ CAT</t>
        </is>
      </c>
      <c r="B19" s="348" t="inlineStr">
        <is>
          <t>HH080117</t>
        </is>
      </c>
      <c r="C19" s="349" t="inlineStr">
        <is>
          <t>IHI</t>
        </is>
      </c>
      <c r="D19" s="349" t="inlineStr">
        <is>
          <t>RHF4</t>
        </is>
      </c>
      <c r="E19" s="349" t="inlineStr">
        <is>
          <t>VT10</t>
        </is>
      </c>
      <c r="F19" s="350" t="inlineStr">
        <is>
          <t>VA420088
1515A029/1515A030/VT11
VA420101/VB420088
VB420101/VC420088
VC420101/F41CAT-S0088B
F41CAT-S0088G/VF420088
VG420088A1/49179-08540</t>
        </is>
      </c>
      <c r="G19" s="349" t="n"/>
      <c r="H19" s="349" t="inlineStr">
        <is>
          <t>L200 2.5D</t>
        </is>
      </c>
      <c r="I19" s="349" t="n"/>
      <c r="J19" s="351" t="inlineStr">
        <is>
          <t>SL</t>
        </is>
      </c>
      <c r="K19" s="352" t="n"/>
      <c r="L19" s="352" t="n"/>
      <c r="M19" s="352" t="n"/>
      <c r="N19" s="352">
        <f>IF(M19="","",M19*1.1)</f>
        <v/>
      </c>
      <c r="O19" s="353" t="n">
        <v>50</v>
      </c>
      <c r="P19" s="353" t="n">
        <v>37.4</v>
      </c>
      <c r="Q19" s="353" t="inlineStr">
        <is>
          <t>5/5</t>
        </is>
      </c>
      <c r="R19" s="353" t="n">
        <v>45.2</v>
      </c>
      <c r="S19" s="353" t="n">
        <v>36.6</v>
      </c>
      <c r="T19" s="353" t="n">
        <v>9</v>
      </c>
      <c r="V19" s="346">
        <f>UPPER(A19&amp;" "&amp;B19&amp;" "&amp;D19&amp;" "&amp;E19&amp;" "&amp;F19&amp;" "&amp;G19&amp;" "&amp;H19&amp;" "&amp;I19&amp;" "&amp;J19)</f>
        <v/>
      </c>
      <c r="W19" s="216">
        <f>IF(AND('TRA CỨU TỔNG HỢP'!$B$3&lt;&gt;"",ISNUMBER(SEARCH('TRA CỨU TỔNG HỢP'!$B$3,V19))),MAX($W$3:W18)+1,"")</f>
        <v/>
      </c>
    </row>
    <row r="20" ht="15" customHeight="1" s="217">
      <c r="A20" s="340" t="inlineStr">
        <is>
          <t>CAT</t>
        </is>
      </c>
      <c r="B20" s="341" t="inlineStr">
        <is>
          <t>HH0626</t>
        </is>
      </c>
      <c r="C20" s="340" t="inlineStr">
        <is>
          <t>Garrett</t>
        </is>
      </c>
      <c r="D20" s="340" t="inlineStr">
        <is>
          <t>T04B91</t>
        </is>
      </c>
      <c r="E20" s="340" t="n">
        <v>3304</v>
      </c>
      <c r="F20" s="342" t="inlineStr">
        <is>
          <t>409410-0002
8G04-100-155</t>
        </is>
      </c>
      <c r="G20" s="340" t="inlineStr">
        <is>
          <t>Tâm lỗ bu lông 70 x 82</t>
        </is>
      </c>
      <c r="H20" s="340" t="n"/>
      <c r="I20" s="340" t="n"/>
      <c r="J20" s="343" t="inlineStr">
        <is>
          <t>SL</t>
        </is>
      </c>
      <c r="K20" s="344" t="n"/>
      <c r="L20" s="344" t="n"/>
      <c r="M20" s="344" t="n"/>
      <c r="N20" s="344">
        <f>IF(M20="","",M20*1.1)</f>
        <v/>
      </c>
      <c r="O20" s="345" t="n">
        <v>70</v>
      </c>
      <c r="P20" s="345" t="n">
        <v>48.4</v>
      </c>
      <c r="Q20" s="345" t="inlineStr">
        <is>
          <t>8/8</t>
        </is>
      </c>
      <c r="R20" s="345" t="n">
        <v>74.3</v>
      </c>
      <c r="S20" s="345" t="n">
        <v>64.59999999999999</v>
      </c>
      <c r="T20" s="345" t="n">
        <v>11</v>
      </c>
      <c r="V20" s="346">
        <f>UPPER(A20&amp;" "&amp;B20&amp;" "&amp;D20&amp;" "&amp;E20&amp;" "&amp;F20&amp;" "&amp;G20&amp;" "&amp;H20&amp;" "&amp;I20&amp;" "&amp;J20)</f>
        <v/>
      </c>
      <c r="W20" s="216">
        <f>IF(AND('TRA CỨU TỔNG HỢP'!$B$3&lt;&gt;"",ISNUMBER(SEARCH('TRA CỨU TỔNG HỢP'!$B$3,V20))),MAX($W$3:W19)+1,"")</f>
        <v/>
      </c>
    </row>
    <row r="21" ht="15" customHeight="1" s="217">
      <c r="A21" s="347" t="inlineStr">
        <is>
          <t xml:space="preserve">  └─ CAT</t>
        </is>
      </c>
      <c r="B21" s="348" t="inlineStr">
        <is>
          <t>HH075384</t>
        </is>
      </c>
      <c r="C21" s="349" t="inlineStr">
        <is>
          <t>Garrett</t>
        </is>
      </c>
      <c r="D21" s="349" t="inlineStr">
        <is>
          <t>T04B91</t>
        </is>
      </c>
      <c r="E21" s="349" t="n">
        <v>3304</v>
      </c>
      <c r="F21" s="350" t="inlineStr">
        <is>
          <t>409410-0002
8G04-100-155</t>
        </is>
      </c>
      <c r="G21" s="349" t="inlineStr">
        <is>
          <t>Tâm lỗ bu lông 70 x 82</t>
        </is>
      </c>
      <c r="H21" s="349" t="n"/>
      <c r="I21" s="349" t="n"/>
      <c r="J21" s="351" t="inlineStr">
        <is>
          <t>JRONE</t>
        </is>
      </c>
      <c r="K21" s="352" t="n"/>
      <c r="L21" s="352" t="n"/>
      <c r="M21" s="352" t="n"/>
      <c r="N21" s="352">
        <f>IF(M21="","",M21*1.1)</f>
        <v/>
      </c>
      <c r="O21" s="353" t="n">
        <v>70</v>
      </c>
      <c r="P21" s="353" t="n">
        <v>48.4</v>
      </c>
      <c r="Q21" s="353" t="inlineStr">
        <is>
          <t>8/8</t>
        </is>
      </c>
      <c r="R21" s="353" t="n">
        <v>74.3</v>
      </c>
      <c r="S21" s="353" t="n">
        <v>64.59999999999999</v>
      </c>
      <c r="T21" s="353" t="n">
        <v>11</v>
      </c>
      <c r="V21" s="346">
        <f>UPPER(A21&amp;" "&amp;B21&amp;" "&amp;D21&amp;" "&amp;E21&amp;" "&amp;F21&amp;" "&amp;G21&amp;" "&amp;H21&amp;" "&amp;I21&amp;" "&amp;J21)</f>
        <v/>
      </c>
      <c r="W21" s="216">
        <f>IF(AND('TRA CỨU TỔNG HỢP'!$B$3&lt;&gt;"",ISNUMBER(SEARCH('TRA CỨU TỔNG HỢP'!$B$3,V21))),MAX($W$3:W20)+1,"")</f>
        <v/>
      </c>
    </row>
    <row r="22" ht="15" customHeight="1" s="217">
      <c r="A22" s="340" t="inlineStr">
        <is>
          <t>CAT</t>
        </is>
      </c>
      <c r="B22" s="341" t="inlineStr">
        <is>
          <t>HH084199</t>
        </is>
      </c>
      <c r="C22" s="340" t="inlineStr">
        <is>
          <t>BorgWarner</t>
        </is>
      </c>
      <c r="D22" s="340" t="inlineStr">
        <is>
          <t>S200AG</t>
        </is>
      </c>
      <c r="E22" s="340" t="inlineStr">
        <is>
          <t>C7/3126B</t>
        </is>
      </c>
      <c r="F22" s="342" t="inlineStr">
        <is>
          <t>171860/178475
8S02-200-E65</t>
        </is>
      </c>
      <c r="G22" s="340" t="n"/>
      <c r="H22" s="340" t="inlineStr">
        <is>
          <t>3126B/325C</t>
        </is>
      </c>
      <c r="I22" s="340" t="n"/>
      <c r="J22" s="343" t="inlineStr">
        <is>
          <t>EE</t>
        </is>
      </c>
      <c r="K22" s="344" t="n"/>
      <c r="L22" s="344" t="n"/>
      <c r="M22" s="344" t="n"/>
      <c r="N22" s="344">
        <f>IF(M22="","",M22*1.1)</f>
        <v/>
      </c>
      <c r="O22" s="345" t="n"/>
      <c r="P22" s="345" t="n"/>
      <c r="Q22" s="345" t="n"/>
      <c r="R22" s="345" t="n"/>
      <c r="S22" s="345" t="n"/>
      <c r="T22" s="345" t="n"/>
      <c r="V22" s="346">
        <f>UPPER(A22&amp;" "&amp;B22&amp;" "&amp;D22&amp;" "&amp;E22&amp;" "&amp;F22&amp;" "&amp;G22&amp;" "&amp;H22&amp;" "&amp;I22&amp;" "&amp;J22)</f>
        <v/>
      </c>
      <c r="W22" s="216">
        <f>IF(AND('TRA CỨU TỔNG HỢP'!$B$3&lt;&gt;"",ISNUMBER(SEARCH('TRA CỨU TỔNG HỢP'!$B$3,V22))),MAX($W$3:W21)+1,"")</f>
        <v/>
      </c>
    </row>
    <row r="23" ht="15" customHeight="1" s="217">
      <c r="A23" s="347" t="inlineStr">
        <is>
          <t xml:space="preserve">  └─ CAT</t>
        </is>
      </c>
      <c r="B23" s="348" t="inlineStr">
        <is>
          <t>HH077152</t>
        </is>
      </c>
      <c r="C23" s="349" t="inlineStr">
        <is>
          <t>BorgWarner</t>
        </is>
      </c>
      <c r="D23" s="349" t="inlineStr">
        <is>
          <t>S200AG</t>
        </is>
      </c>
      <c r="E23" s="349" t="inlineStr">
        <is>
          <t>C7/3126B</t>
        </is>
      </c>
      <c r="F23" s="350" t="inlineStr">
        <is>
          <t>171860/178475
8S02-200-E65</t>
        </is>
      </c>
      <c r="G23" s="349" t="n"/>
      <c r="H23" s="349" t="inlineStr">
        <is>
          <t>3126B/325C</t>
        </is>
      </c>
      <c r="I23" s="349" t="n"/>
      <c r="J23" s="351" t="inlineStr">
        <is>
          <t>JRONE</t>
        </is>
      </c>
      <c r="K23" s="352" t="n"/>
      <c r="L23" s="352" t="n"/>
      <c r="M23" s="352" t="n"/>
      <c r="N23" s="352">
        <f>IF(M23="","",M23*1.1)</f>
        <v/>
      </c>
      <c r="O23" s="353" t="n"/>
      <c r="P23" s="353" t="n"/>
      <c r="Q23" s="353" t="n"/>
      <c r="R23" s="353" t="n"/>
      <c r="S23" s="353" t="n"/>
      <c r="T23" s="353" t="n"/>
      <c r="V23" s="346">
        <f>UPPER(A23&amp;" "&amp;B23&amp;" "&amp;D23&amp;" "&amp;E23&amp;" "&amp;F23&amp;" "&amp;G23&amp;" "&amp;H23&amp;" "&amp;I23&amp;" "&amp;J23)</f>
        <v/>
      </c>
      <c r="W23" s="216">
        <f>IF(AND('TRA CỨU TỔNG HỢP'!$B$3&lt;&gt;"",ISNUMBER(SEARCH('TRA CỨU TỔNG HỢP'!$B$3,V23))),MAX($W$3:W22)+1,"")</f>
        <v/>
      </c>
    </row>
    <row r="24" ht="15" customHeight="1" s="217">
      <c r="A24" s="354" t="inlineStr">
        <is>
          <t>CAT</t>
        </is>
      </c>
      <c r="B24" s="355" t="inlineStr">
        <is>
          <t>HH083051</t>
        </is>
      </c>
      <c r="C24" s="354" t="inlineStr">
        <is>
          <t>Garrett</t>
        </is>
      </c>
      <c r="D24" s="354" t="inlineStr">
        <is>
          <t>GT47</t>
        </is>
      </c>
      <c r="E24" s="354" t="inlineStr">
        <is>
          <t>C15/3406E</t>
        </is>
      </c>
      <c r="F24" s="356" t="n">
        <v>1679271</v>
      </c>
      <c r="G24" s="354" t="n"/>
      <c r="H24" s="354" t="n"/>
      <c r="I24" s="354" t="n"/>
      <c r="J24" s="357" t="inlineStr">
        <is>
          <t>SL</t>
        </is>
      </c>
      <c r="K24" s="358" t="n"/>
      <c r="L24" s="358" t="n"/>
      <c r="M24" s="358" t="n"/>
      <c r="N24" s="358">
        <f>IF(M24="","",M24*1.1)</f>
        <v/>
      </c>
      <c r="O24" s="359" t="n">
        <v>102.4</v>
      </c>
      <c r="P24" s="359" t="n">
        <v>74.7</v>
      </c>
      <c r="Q24" s="359" t="inlineStr">
        <is>
          <t>6/6</t>
        </is>
      </c>
      <c r="R24" s="359" t="n">
        <v>94</v>
      </c>
      <c r="S24" s="359" t="n">
        <v>84</v>
      </c>
      <c r="T24" s="359" t="inlineStr">
        <is>
          <t>10</t>
        </is>
      </c>
      <c r="V24" s="216">
        <f>UPPER(A24&amp;" "&amp;B24&amp;" "&amp;D24&amp;" "&amp;E24&amp;" "&amp;F24&amp;" "&amp;G24&amp;" "&amp;H24&amp;" "&amp;I24&amp;" "&amp;J24)</f>
        <v/>
      </c>
      <c r="W24" s="216">
        <f>IF(AND('TRA CỨU TỔNG HỢP'!$B$3&lt;&gt;"",ISNUMBER(SEARCH('TRA CỨU TỔNG HỢP'!$B$3,V24))),MAX($W$3:W23)+1,"")</f>
        <v/>
      </c>
    </row>
    <row r="25" ht="15" customHeight="1" s="217">
      <c r="A25" s="354" t="inlineStr">
        <is>
          <t>CAT</t>
        </is>
      </c>
      <c r="B25" s="355" t="inlineStr">
        <is>
          <t>HH075396</t>
        </is>
      </c>
      <c r="C25" s="354" t="inlineStr">
        <is>
          <t>BorgWarner</t>
        </is>
      </c>
      <c r="D25" s="354" t="inlineStr">
        <is>
          <t>S200G</t>
        </is>
      </c>
      <c r="E25" s="354" t="inlineStr">
        <is>
          <t>PERKINS 1106C/C7.1</t>
        </is>
      </c>
      <c r="F25" s="356" t="inlineStr">
        <is>
          <t>1270-970-0133/4314572
8S02-200-E66
431-4572/13J17-0007</t>
        </is>
      </c>
      <c r="G25" s="354" t="n"/>
      <c r="H25" s="354" t="inlineStr">
        <is>
          <t>E320D</t>
        </is>
      </c>
      <c r="I25" s="354" t="n"/>
      <c r="J25" s="357" t="inlineStr">
        <is>
          <t>JRONE</t>
        </is>
      </c>
      <c r="K25" s="358" t="n"/>
      <c r="L25" s="358" t="n"/>
      <c r="M25" s="358" t="n"/>
      <c r="N25" s="358">
        <f>IF(M25="","",M25*1.1)</f>
        <v/>
      </c>
      <c r="O25" s="359" t="n">
        <v>80</v>
      </c>
      <c r="P25" s="359" t="n">
        <v>53.2</v>
      </c>
      <c r="Q25" s="359" t="inlineStr">
        <is>
          <t>7/7</t>
        </is>
      </c>
      <c r="R25" s="359" t="n">
        <v>69.59999999999999</v>
      </c>
      <c r="S25" s="359" t="n">
        <v>55.9</v>
      </c>
      <c r="T25" s="359" t="n">
        <v>10</v>
      </c>
      <c r="V25" s="346">
        <f>UPPER(A25&amp;" "&amp;B25&amp;" "&amp;D25&amp;" "&amp;E25&amp;" "&amp;F25&amp;" "&amp;G25&amp;" "&amp;H25&amp;" "&amp;I25&amp;" "&amp;J25)</f>
        <v/>
      </c>
      <c r="W25" s="216">
        <f>IF(AND('TRA CỨU TỔNG HỢP'!$B$3&lt;&gt;"",ISNUMBER(SEARCH('TRA CỨU TỔNG HỢP'!$B$3,V25))),MAX($W$3:W24)+1,"")</f>
        <v/>
      </c>
    </row>
    <row r="26" ht="15" customHeight="1" s="217">
      <c r="A26" s="354" t="inlineStr">
        <is>
          <t>CAT</t>
        </is>
      </c>
      <c r="B26" s="355" t="inlineStr">
        <is>
          <t>HH075291</t>
        </is>
      </c>
      <c r="C26" s="354" t="inlineStr">
        <is>
          <t>Mitsubishi</t>
        </is>
      </c>
      <c r="D26" s="354" t="inlineStr">
        <is>
          <t>TD06H-16M</t>
        </is>
      </c>
      <c r="E26" s="354" t="inlineStr">
        <is>
          <t>3066/S6KT</t>
        </is>
      </c>
      <c r="F26" s="356" t="inlineStr">
        <is>
          <t>8M06-100-E68</t>
        </is>
      </c>
      <c r="G26" s="354" t="n"/>
      <c r="H26" s="354" t="inlineStr">
        <is>
          <t>E320C</t>
        </is>
      </c>
      <c r="I26" s="354" t="n"/>
      <c r="J26" s="357" t="inlineStr">
        <is>
          <t>JRONE</t>
        </is>
      </c>
      <c r="K26" s="358" t="n"/>
      <c r="L26" s="358" t="n"/>
      <c r="M26" s="358" t="n"/>
      <c r="N26" s="358">
        <f>IF(M26="","",M26*1.1)</f>
        <v/>
      </c>
      <c r="O26" s="359" t="n"/>
      <c r="P26" s="359" t="n"/>
      <c r="Q26" s="359" t="n"/>
      <c r="R26" s="359" t="n"/>
      <c r="S26" s="359" t="n"/>
      <c r="T26" s="359" t="n"/>
      <c r="V26" s="216">
        <f>UPPER(A26&amp;" "&amp;B26&amp;" "&amp;D26&amp;" "&amp;E26&amp;" "&amp;F26&amp;" "&amp;G26&amp;" "&amp;H26&amp;" "&amp;I26&amp;" "&amp;J26)</f>
        <v/>
      </c>
      <c r="W26" s="216">
        <f>IF(AND('TRA CỨU TỔNG HỢP'!$B$3&lt;&gt;"",ISNUMBER(SEARCH('TRA CỨU TỔNG HỢP'!$B$3,V26))),MAX($W$3:W25)+1,"")</f>
        <v/>
      </c>
    </row>
    <row r="27" ht="15" customHeight="1" s="217">
      <c r="A27" s="354" t="inlineStr">
        <is>
          <t>CAT</t>
        </is>
      </c>
      <c r="B27" s="355" t="inlineStr">
        <is>
          <t>HH080646</t>
        </is>
      </c>
      <c r="C27" s="354" t="inlineStr">
        <is>
          <t>IHI</t>
        </is>
      </c>
      <c r="D27" s="354" t="inlineStr">
        <is>
          <t>RHC7</t>
        </is>
      </c>
      <c r="E27" s="354" t="inlineStr">
        <is>
          <t>DB58</t>
        </is>
      </c>
      <c r="F27" s="356" t="inlineStr">
        <is>
          <t>VA250098</t>
        </is>
      </c>
      <c r="G27" s="366" t="inlineStr">
        <is>
          <t>Tâm lỗ bu lông 70 x 83
cổ gang ra bắt 4 bulon</t>
        </is>
      </c>
      <c r="H27" s="354" t="inlineStr">
        <is>
          <t>DH130-3/SOLAR 130W</t>
        </is>
      </c>
      <c r="I27" s="354" t="n"/>
      <c r="J27" s="357" t="inlineStr">
        <is>
          <t>FIRE</t>
        </is>
      </c>
      <c r="K27" s="358" t="n"/>
      <c r="L27" s="358" t="n"/>
      <c r="M27" s="358" t="n"/>
      <c r="N27" s="358">
        <f>IF(M27="","",M27*1.1)</f>
        <v/>
      </c>
      <c r="O27" s="359" t="n"/>
      <c r="P27" s="359" t="n"/>
      <c r="Q27" s="359" t="n"/>
      <c r="R27" s="359" t="n"/>
      <c r="S27" s="359" t="n"/>
      <c r="T27" s="359" t="n"/>
      <c r="V27" s="346">
        <f>UPPER(A27&amp;" "&amp;B27&amp;" "&amp;D27&amp;" "&amp;E27&amp;" "&amp;F27&amp;" "&amp;G27&amp;" "&amp;H27&amp;" "&amp;I27&amp;" "&amp;J27)</f>
        <v/>
      </c>
      <c r="W27" s="216">
        <f>IF(AND('TRA CỨU TỔNG HỢP'!$B$3&lt;&gt;"",ISNUMBER(SEARCH('TRA CỨU TỔNG HỢP'!$B$3,V27))),MAX($W$3:W26)+1,"")</f>
        <v/>
      </c>
    </row>
    <row r="28" ht="15" customHeight="1" s="217">
      <c r="A28" s="354" t="inlineStr">
        <is>
          <t>CAT</t>
        </is>
      </c>
      <c r="B28" s="355" t="inlineStr">
        <is>
          <t>HH075385</t>
        </is>
      </c>
      <c r="C28" s="354" t="inlineStr">
        <is>
          <t>Garrett</t>
        </is>
      </c>
      <c r="D28" s="354" t="inlineStr">
        <is>
          <t>T04B65</t>
        </is>
      </c>
      <c r="E28" s="354" t="inlineStr">
        <is>
          <t>3204</t>
        </is>
      </c>
      <c r="F28" s="356" t="inlineStr">
        <is>
          <t>465088-0001
8G04-100-269</t>
        </is>
      </c>
      <c r="G28" s="354" t="n"/>
      <c r="H28" s="354" t="n"/>
      <c r="I28" s="354" t="n"/>
      <c r="J28" s="357" t="inlineStr">
        <is>
          <t>JRONE</t>
        </is>
      </c>
      <c r="K28" s="358" t="n"/>
      <c r="L28" s="358" t="n"/>
      <c r="M28" s="358" t="n"/>
      <c r="N28" s="358">
        <f>IF(M28="","",M28*1.1)</f>
        <v/>
      </c>
      <c r="O28" s="359" t="n"/>
      <c r="P28" s="359" t="n"/>
      <c r="Q28" s="359" t="n"/>
      <c r="R28" s="359" t="n"/>
      <c r="S28" s="359" t="n"/>
      <c r="T28" s="359" t="n"/>
      <c r="V28" s="346">
        <f>UPPER(A28&amp;" "&amp;B28&amp;" "&amp;D28&amp;" "&amp;E28&amp;" "&amp;F28&amp;" "&amp;G28&amp;" "&amp;H28&amp;" "&amp;I28&amp;" "&amp;J28)</f>
        <v/>
      </c>
      <c r="W28" s="216">
        <f>IF(AND('TRA CỨU TỔNG HỢP'!$B$3&lt;&gt;"",ISNUMBER(SEARCH('TRA CỨU TỔNG HỢP'!$B$3,V28))),MAX($W$3:W27)+1,"")</f>
        <v/>
      </c>
    </row>
    <row r="29" ht="15" customHeight="1" s="217">
      <c r="A29" s="354" t="inlineStr">
        <is>
          <t>CAT</t>
        </is>
      </c>
      <c r="B29" s="355" t="inlineStr">
        <is>
          <t>HH077150</t>
        </is>
      </c>
      <c r="C29" s="354" t="inlineStr">
        <is>
          <t>BorgWarner</t>
        </is>
      </c>
      <c r="D29" s="354" t="inlineStr">
        <is>
          <t>S200AG</t>
        </is>
      </c>
      <c r="E29" s="354" t="inlineStr">
        <is>
          <t>C7/3126</t>
        </is>
      </c>
      <c r="F29" s="356" t="inlineStr">
        <is>
          <t>8S02-200-D84</t>
        </is>
      </c>
      <c r="G29" s="354" t="n"/>
      <c r="H29" s="354" t="n"/>
      <c r="I29" s="354" t="inlineStr">
        <is>
          <t>CAT C7, S200AG - JRONE 8S02-200-D84</t>
        </is>
      </c>
      <c r="J29" s="357" t="inlineStr">
        <is>
          <t>JRONE</t>
        </is>
      </c>
      <c r="K29" s="358" t="n"/>
      <c r="L29" s="358" t="n"/>
      <c r="M29" s="358" t="n"/>
      <c r="N29" s="358">
        <f>IF(M29="","",M29*1.1)</f>
        <v/>
      </c>
      <c r="O29" s="359" t="n"/>
      <c r="P29" s="359" t="n"/>
      <c r="Q29" s="359" t="n"/>
      <c r="R29" s="359" t="n"/>
      <c r="S29" s="359" t="n"/>
      <c r="T29" s="359" t="n"/>
      <c r="V29" s="216">
        <f>UPPER(A29&amp;" "&amp;B29&amp;" "&amp;D29&amp;" "&amp;E29&amp;" "&amp;F29&amp;" "&amp;G29&amp;" "&amp;H29&amp;" "&amp;I29&amp;" "&amp;J29)</f>
        <v/>
      </c>
      <c r="W29" s="216">
        <f>IF(AND('TRA CỨU TỔNG HỢP'!$B$3&lt;&gt;"",ISNUMBER(SEARCH('TRA CỨU TỔNG HỢP'!$B$3,V29))),MAX($W$3:W28)+1,"")</f>
        <v/>
      </c>
    </row>
    <row r="30" ht="15" customHeight="1" s="217">
      <c r="A30" s="354" t="inlineStr">
        <is>
          <t>CAT</t>
        </is>
      </c>
      <c r="B30" s="355" t="inlineStr">
        <is>
          <t>HH077151</t>
        </is>
      </c>
      <c r="C30" s="354" t="inlineStr">
        <is>
          <t>BorgWarner</t>
        </is>
      </c>
      <c r="D30" s="354" t="inlineStr">
        <is>
          <t>S200AG048</t>
        </is>
      </c>
      <c r="E30" s="354" t="inlineStr">
        <is>
          <t>D6</t>
        </is>
      </c>
      <c r="F30" s="356" t="inlineStr">
        <is>
          <t>178472/171770
8S02-200-D86</t>
        </is>
      </c>
      <c r="G30" s="354" t="inlineStr">
        <is>
          <t>Tâm lỗ bu lông 45 x 85</t>
        </is>
      </c>
      <c r="H30" s="354" t="inlineStr">
        <is>
          <t>CAT C9</t>
        </is>
      </c>
      <c r="I30" s="354" t="n"/>
      <c r="J30" s="357" t="inlineStr">
        <is>
          <t>JRONE</t>
        </is>
      </c>
      <c r="K30" s="358" t="n"/>
      <c r="L30" s="358" t="n"/>
      <c r="M30" s="358" t="n"/>
      <c r="N30" s="358">
        <f>IF(M30="","",M30*1.1)</f>
        <v/>
      </c>
      <c r="O30" s="359" t="n"/>
      <c r="P30" s="359" t="n"/>
      <c r="Q30" s="359" t="n"/>
      <c r="R30" s="359" t="n"/>
      <c r="S30" s="359" t="n"/>
      <c r="T30" s="359" t="n"/>
      <c r="V30" s="346">
        <f>UPPER(A30&amp;" "&amp;B30&amp;" "&amp;D30&amp;" "&amp;E30&amp;" "&amp;F30&amp;" "&amp;G30&amp;" "&amp;H30&amp;" "&amp;I30&amp;" "&amp;J30)</f>
        <v/>
      </c>
      <c r="W30" s="216">
        <f>IF(AND('TRA CỨU TỔNG HỢP'!$B$3&lt;&gt;"",ISNUMBER(SEARCH('TRA CỨU TỔNG HỢP'!$B$3,V30))),MAX($W$3:W29)+1,"")</f>
        <v/>
      </c>
    </row>
    <row r="31" ht="15" customHeight="1" s="217">
      <c r="A31" s="354" t="inlineStr">
        <is>
          <t>CAT</t>
        </is>
      </c>
      <c r="B31" s="355" t="inlineStr">
        <is>
          <t>HH071942</t>
        </is>
      </c>
      <c r="C31" s="354" t="inlineStr">
        <is>
          <t>BorgWarner</t>
        </is>
      </c>
      <c r="D31" s="354" t="inlineStr">
        <is>
          <t>SR4/S3A</t>
        </is>
      </c>
      <c r="E31" s="354" t="inlineStr">
        <is>
          <t>3306</t>
        </is>
      </c>
      <c r="F31" s="356" t="inlineStr">
        <is>
          <t>7C8632</t>
        </is>
      </c>
      <c r="G31" s="354" t="inlineStr">
        <is>
          <t>tâm lỗ 82 × 69</t>
        </is>
      </c>
      <c r="H31" s="354" t="inlineStr">
        <is>
          <t>Cat D6</t>
        </is>
      </c>
      <c r="I31" s="354" t="n"/>
      <c r="J31" s="357" t="inlineStr">
        <is>
          <t>SL</t>
        </is>
      </c>
      <c r="K31" s="358" t="n"/>
      <c r="L31" s="358" t="n"/>
      <c r="M31" s="358" t="n"/>
      <c r="N31" s="358">
        <f>IF(M31="","",M31*1.1)</f>
        <v/>
      </c>
      <c r="O31" s="359" t="n">
        <v>86.40000000000001</v>
      </c>
      <c r="P31" s="359" t="n">
        <v>58.6</v>
      </c>
      <c r="Q31" s="359" t="inlineStr">
        <is>
          <t>7/7</t>
        </is>
      </c>
      <c r="R31" s="359" t="n">
        <v>82.8</v>
      </c>
      <c r="S31" s="359" t="n">
        <v>74.59999999999999</v>
      </c>
      <c r="T31" s="359" t="n">
        <v>11</v>
      </c>
      <c r="V31" s="216">
        <f>UPPER(A31&amp;" "&amp;B31&amp;" "&amp;D31&amp;" "&amp;E31&amp;" "&amp;F31&amp;" "&amp;G31&amp;" "&amp;H31&amp;" "&amp;I31&amp;" "&amp;J31)</f>
        <v/>
      </c>
      <c r="W31" s="216">
        <f>IF(AND('TRA CỨU TỔNG HỢP'!$B$3&lt;&gt;"",ISNUMBER(SEARCH('TRA CỨU TỔNG HỢP'!$B$3,V31))),MAX($W$3:W30)+1,"")</f>
        <v/>
      </c>
    </row>
    <row r="32" ht="15" customHeight="1" s="217">
      <c r="A32" s="354" t="inlineStr">
        <is>
          <t>CAT</t>
        </is>
      </c>
      <c r="B32" s="355" t="inlineStr">
        <is>
          <t>HH077425</t>
        </is>
      </c>
      <c r="C32" s="354" t="inlineStr">
        <is>
          <t>Garrett</t>
        </is>
      </c>
      <c r="D32" s="354" t="inlineStr">
        <is>
          <t>GTA4502BLS</t>
        </is>
      </c>
      <c r="E32" s="354" t="inlineStr">
        <is>
          <t>C13</t>
        </is>
      </c>
      <c r="F32" s="356" t="inlineStr">
        <is>
          <t>750432-0005
8G45-200-B61</t>
        </is>
      </c>
      <c r="G32" s="354" t="n"/>
      <c r="H32" s="354" t="n"/>
      <c r="I32" s="354" t="n"/>
      <c r="J32" s="357" t="inlineStr">
        <is>
          <t>JRONE</t>
        </is>
      </c>
      <c r="K32" s="358" t="n"/>
      <c r="L32" s="358" t="n"/>
      <c r="M32" s="358" t="n"/>
      <c r="N32" s="358">
        <f>IF(M32="","",M32*1.1)</f>
        <v/>
      </c>
      <c r="O32" s="359" t="n"/>
      <c r="P32" s="359" t="n"/>
      <c r="Q32" s="359" t="n"/>
      <c r="R32" s="359" t="n"/>
      <c r="S32" s="359" t="n"/>
      <c r="T32" s="359" t="n"/>
      <c r="V32" s="346">
        <f>UPPER(A32&amp;" "&amp;B32&amp;" "&amp;D32&amp;" "&amp;E32&amp;" "&amp;F32&amp;" "&amp;G32&amp;" "&amp;H32&amp;" "&amp;I32&amp;" "&amp;J32)</f>
        <v/>
      </c>
      <c r="W32" s="216">
        <f>IF(AND('TRA CỨU TỔNG HỢP'!$B$3&lt;&gt;"",ISNUMBER(SEARCH('TRA CỨU TỔNG HỢP'!$B$3,V32))),MAX($W$3:W31)+1,"")</f>
        <v/>
      </c>
    </row>
    <row r="33" ht="15" customHeight="1" s="217">
      <c r="A33" s="354" t="inlineStr">
        <is>
          <t>CAT</t>
        </is>
      </c>
      <c r="B33" s="355" t="inlineStr">
        <is>
          <t>HH079580</t>
        </is>
      </c>
      <c r="C33" s="354" t="inlineStr">
        <is>
          <t>BorgWarner</t>
        </is>
      </c>
      <c r="D33" s="354" t="inlineStr">
        <is>
          <t>F-302</t>
        </is>
      </c>
      <c r="E33" s="354" t="n">
        <v>3306</v>
      </c>
      <c r="F33" s="356" t="inlineStr">
        <is>
          <t>4W0210
8S03-100-N78</t>
        </is>
      </c>
      <c r="G33" s="354" t="n"/>
      <c r="H33" s="354" t="n"/>
      <c r="I33" s="354" t="n"/>
      <c r="J33" s="357" t="inlineStr">
        <is>
          <t>JRONE</t>
        </is>
      </c>
      <c r="K33" s="358" t="n"/>
      <c r="L33" s="358" t="n"/>
      <c r="M33" s="358" t="n"/>
      <c r="N33" s="358">
        <f>IF(M33="","",M33*1.1)</f>
        <v/>
      </c>
      <c r="O33" s="359" t="n"/>
      <c r="P33" s="359" t="n"/>
      <c r="Q33" s="359" t="n"/>
      <c r="R33" s="359" t="n"/>
      <c r="S33" s="359" t="n"/>
      <c r="T33" s="359" t="n"/>
      <c r="V33" s="346">
        <f>UPPER(A33&amp;" "&amp;B33&amp;" "&amp;D33&amp;" "&amp;E33&amp;" "&amp;F33&amp;" "&amp;G33&amp;" "&amp;H33&amp;" "&amp;I33&amp;" "&amp;J33)</f>
        <v/>
      </c>
      <c r="W33" s="216">
        <f>IF(AND('TRA CỨU TỔNG HỢP'!$B$3&lt;&gt;"",ISNUMBER(SEARCH('TRA CỨU TỔNG HỢP'!$B$3,V33))),MAX($W$3:W32)+1,"")</f>
        <v/>
      </c>
    </row>
    <row r="34" ht="15" customHeight="1" s="217">
      <c r="A34" s="354" t="inlineStr">
        <is>
          <t>CAT</t>
        </is>
      </c>
      <c r="B34" s="355" t="inlineStr">
        <is>
          <t>HH071949</t>
        </is>
      </c>
      <c r="C34" s="354" t="inlineStr">
        <is>
          <t>BorgWarner</t>
        </is>
      </c>
      <c r="D34" s="354" t="inlineStr">
        <is>
          <t>S2E</t>
        </is>
      </c>
      <c r="E34" s="354" t="inlineStr">
        <is>
          <t>3116/3126</t>
        </is>
      </c>
      <c r="F34" s="356" t="inlineStr">
        <is>
          <t>4P4677</t>
        </is>
      </c>
      <c r="G34" s="354" t="n"/>
      <c r="H34" s="354" t="n"/>
      <c r="I34" s="354" t="n"/>
      <c r="J34" s="357" t="n"/>
      <c r="K34" s="358" t="n"/>
      <c r="L34" s="358" t="n"/>
      <c r="M34" s="358" t="n"/>
      <c r="N34" s="358">
        <f>IF(M34="","",M34*1.1)</f>
        <v/>
      </c>
      <c r="O34" s="359" t="n">
        <v>76.2</v>
      </c>
      <c r="P34" s="359" t="n">
        <v>48.2</v>
      </c>
      <c r="Q34" s="359" t="inlineStr">
        <is>
          <t>7/7</t>
        </is>
      </c>
      <c r="R34" s="359" t="n">
        <v>74.40000000000001</v>
      </c>
      <c r="S34" s="359" t="n">
        <v>64.59999999999999</v>
      </c>
      <c r="T34" s="359" t="n">
        <v>11</v>
      </c>
      <c r="V34" s="216">
        <f>UPPER(A34&amp;" "&amp;B34&amp;" "&amp;D34&amp;" "&amp;E34&amp;" "&amp;F34&amp;" "&amp;G34&amp;" "&amp;H34&amp;" "&amp;I34&amp;" "&amp;J34)</f>
        <v/>
      </c>
      <c r="W34" s="216">
        <f>IF(AND('TRA CỨU TỔNG HỢP'!$B$3&lt;&gt;"",ISNUMBER(SEARCH('TRA CỨU TỔNG HỢP'!$B$3,V34))),MAX($W$3:W33)+1,"")</f>
        <v/>
      </c>
    </row>
    <row r="35" ht="15" customHeight="1" s="217">
      <c r="A35" s="354" t="inlineStr">
        <is>
          <t>CAT</t>
        </is>
      </c>
      <c r="B35" s="355" t="inlineStr">
        <is>
          <t>HH079357</t>
        </is>
      </c>
      <c r="C35" s="354" t="inlineStr">
        <is>
          <t>BorgWarner</t>
        </is>
      </c>
      <c r="D35" s="354" t="inlineStr">
        <is>
          <t>S310G</t>
        </is>
      </c>
      <c r="E35" s="354" t="inlineStr">
        <is>
          <t>C9</t>
        </is>
      </c>
      <c r="F35" s="356" t="inlineStr">
        <is>
          <t>2167815</t>
        </is>
      </c>
      <c r="G35" s="354" t="inlineStr">
        <is>
          <t>Khác chiều quay với S310G Jrone</t>
        </is>
      </c>
      <c r="H35" s="354" t="inlineStr">
        <is>
          <t>Xe đào</t>
        </is>
      </c>
      <c r="I35" s="354" t="n"/>
      <c r="J35" s="357" t="inlineStr">
        <is>
          <t>SL</t>
        </is>
      </c>
      <c r="K35" s="358" t="n"/>
      <c r="L35" s="358" t="n"/>
      <c r="M35" s="358" t="n"/>
      <c r="N35" s="358">
        <f>IF(M35="","",M35*1.1)</f>
        <v/>
      </c>
      <c r="O35" s="359" t="n">
        <v>61.6</v>
      </c>
      <c r="P35" s="359" t="n">
        <v>88.324</v>
      </c>
      <c r="Q35" s="359" t="inlineStr">
        <is>
          <t>7/7</t>
        </is>
      </c>
      <c r="R35" s="359" t="n">
        <v>79.7</v>
      </c>
      <c r="S35" s="359" t="n">
        <v>73.40000000000001</v>
      </c>
      <c r="T35" s="359" t="inlineStr">
        <is>
          <t>10</t>
        </is>
      </c>
      <c r="V35" s="216">
        <f>UPPER(A35&amp;" "&amp;B35&amp;" "&amp;D35&amp;" "&amp;E35&amp;" "&amp;F35&amp;" "&amp;G35&amp;" "&amp;H35&amp;" "&amp;I35&amp;" "&amp;J35)</f>
        <v/>
      </c>
      <c r="W35" s="216">
        <f>IF(AND('TRA CỨU TỔNG HỢP'!$B$3&lt;&gt;"",ISNUMBER(SEARCH('TRA CỨU TỔNG HỢP'!$B$3,V35))),MAX($W$3:W34)+1,"")</f>
        <v/>
      </c>
    </row>
    <row r="36" ht="15" customHeight="1" s="217">
      <c r="A36" s="354" t="inlineStr">
        <is>
          <t>CAT</t>
        </is>
      </c>
      <c r="B36" s="355" t="inlineStr">
        <is>
          <t>HH075395</t>
        </is>
      </c>
      <c r="C36" s="354" t="inlineStr">
        <is>
          <t>BorgWarner</t>
        </is>
      </c>
      <c r="D36" s="354" t="inlineStr">
        <is>
          <t>B2G</t>
        </is>
      </c>
      <c r="E36" s="354" t="inlineStr">
        <is>
          <t>PERKINS 1106D/C7</t>
        </is>
      </c>
      <c r="F36" s="356" t="inlineStr">
        <is>
          <t>1070-197-0002
8S02-200-835/1070-988-0002
2674A256/3159810
10R9580/458-8357</t>
        </is>
      </c>
      <c r="G36" s="354" t="n"/>
      <c r="H36" s="354" t="n"/>
      <c r="I36" s="354" t="n"/>
      <c r="J36" s="357" t="inlineStr">
        <is>
          <t>JRONE</t>
        </is>
      </c>
      <c r="K36" s="358" t="n"/>
      <c r="L36" s="358" t="n"/>
      <c r="M36" s="358" t="n"/>
      <c r="N36" s="358">
        <f>IF(M36="","",M36*1.1)</f>
        <v/>
      </c>
      <c r="O36" s="359" t="n">
        <v>78.59999999999999</v>
      </c>
      <c r="P36" s="359" t="n">
        <v>51.8</v>
      </c>
      <c r="Q36" s="359" t="inlineStr">
        <is>
          <t>7/7</t>
        </is>
      </c>
      <c r="R36" s="359" t="n">
        <v>69.59999999999999</v>
      </c>
      <c r="S36" s="359" t="n">
        <v>55.9</v>
      </c>
      <c r="T36" s="359" t="n">
        <v>10</v>
      </c>
      <c r="V36" s="346">
        <f>UPPER(A36&amp;" "&amp;B36&amp;" "&amp;D36&amp;" "&amp;E36&amp;" "&amp;F36&amp;" "&amp;G36&amp;" "&amp;H36&amp;" "&amp;I36&amp;" "&amp;J36)</f>
        <v/>
      </c>
      <c r="W36" s="216">
        <f>IF(AND('TRA CỨU TỔNG HỢP'!$B$3&lt;&gt;"",ISNUMBER(SEARCH('TRA CỨU TỔNG HỢP'!$B$3,V36))),MAX($W$3:W35)+1,"")</f>
        <v/>
      </c>
    </row>
    <row r="37" ht="15" customHeight="1" s="217">
      <c r="A37" s="340" t="inlineStr">
        <is>
          <t>CAT</t>
        </is>
      </c>
      <c r="B37" s="341" t="inlineStr">
        <is>
          <t>HH072352</t>
        </is>
      </c>
      <c r="C37" s="340" t="inlineStr">
        <is>
          <t>BorgWarner</t>
        </is>
      </c>
      <c r="D37" s="340" t="inlineStr">
        <is>
          <t>S4D</t>
        </is>
      </c>
      <c r="E37" s="340" t="inlineStr">
        <is>
          <t>330C/C9</t>
        </is>
      </c>
      <c r="F37" s="342" t="inlineStr">
        <is>
          <t>10R2355</t>
        </is>
      </c>
      <c r="G37" s="340" t="n"/>
      <c r="H37" s="340" t="n"/>
      <c r="I37" s="340" t="n"/>
      <c r="J37" s="343" t="inlineStr">
        <is>
          <t>SL</t>
        </is>
      </c>
      <c r="K37" s="344" t="n"/>
      <c r="L37" s="344" t="n"/>
      <c r="M37" s="344" t="n"/>
      <c r="N37" s="344">
        <f>IF(M37="","",M37*1.1)</f>
        <v/>
      </c>
      <c r="O37" s="345" t="n">
        <v>61.6</v>
      </c>
      <c r="P37" s="345" t="n">
        <v>88.324</v>
      </c>
      <c r="Q37" s="345" t="inlineStr">
        <is>
          <t>7/7</t>
        </is>
      </c>
      <c r="R37" s="345" t="n">
        <v>79.7</v>
      </c>
      <c r="S37" s="345" t="n">
        <v>73.40000000000001</v>
      </c>
      <c r="T37" s="345" t="inlineStr">
        <is>
          <t>10</t>
        </is>
      </c>
      <c r="V37" s="216">
        <f>UPPER(A37&amp;" "&amp;B37&amp;" "&amp;D37&amp;" "&amp;E37&amp;" "&amp;F37&amp;" "&amp;G37&amp;" "&amp;H37&amp;" "&amp;I37&amp;" "&amp;J37)</f>
        <v/>
      </c>
      <c r="W37" s="216">
        <f>IF(AND('TRA CỨU TỔNG HỢP'!$B$3&lt;&gt;"",ISNUMBER(SEARCH('TRA CỨU TỔNG HỢP'!$B$3,V37))),MAX($W$3:W36)+1,"")</f>
        <v/>
      </c>
    </row>
    <row r="38" ht="15" customHeight="1" s="217">
      <c r="A38" s="347" t="inlineStr">
        <is>
          <t xml:space="preserve">  └─ CAT</t>
        </is>
      </c>
      <c r="B38" s="348" t="inlineStr">
        <is>
          <t>HH081544</t>
        </is>
      </c>
      <c r="C38" s="349" t="inlineStr">
        <is>
          <t>BorgWarner</t>
        </is>
      </c>
      <c r="D38" s="349" t="inlineStr">
        <is>
          <t>S4D</t>
        </is>
      </c>
      <c r="E38" s="349" t="inlineStr">
        <is>
          <t>330C/C9</t>
        </is>
      </c>
      <c r="F38" s="350" t="inlineStr">
        <is>
          <t>10R2355</t>
        </is>
      </c>
      <c r="G38" s="349" t="n"/>
      <c r="H38" s="349" t="n"/>
      <c r="I38" s="349" t="n"/>
      <c r="J38" s="351" t="inlineStr">
        <is>
          <t>SL</t>
        </is>
      </c>
      <c r="K38" s="352" t="n"/>
      <c r="L38" s="352" t="n"/>
      <c r="M38" s="352" t="n"/>
      <c r="N38" s="352">
        <f>IF(M38="","",M38*1.1)</f>
        <v/>
      </c>
      <c r="O38" s="353" t="n">
        <v>61.6</v>
      </c>
      <c r="P38" s="353" t="n">
        <v>88.324</v>
      </c>
      <c r="Q38" s="353" t="inlineStr">
        <is>
          <t>7/7</t>
        </is>
      </c>
      <c r="R38" s="353" t="n">
        <v>79.7</v>
      </c>
      <c r="S38" s="353" t="n">
        <v>73.40000000000001</v>
      </c>
      <c r="T38" s="353" t="inlineStr">
        <is>
          <t>10</t>
        </is>
      </c>
      <c r="V38" s="216">
        <f>UPPER(A38&amp;" "&amp;B38&amp;" "&amp;D38&amp;" "&amp;E38&amp;" "&amp;F38&amp;" "&amp;G38&amp;" "&amp;H38&amp;" "&amp;I38&amp;" "&amp;J38)</f>
        <v/>
      </c>
      <c r="W38" s="216">
        <f>IF(AND('TRA CỨU TỔNG HỢP'!$B$3&lt;&gt;"",ISNUMBER(SEARCH('TRA CỨU TỔNG HỢP'!$B$3,V38))),MAX($W$3:W37)+1,"")</f>
        <v/>
      </c>
    </row>
    <row r="39" ht="15" customHeight="1" s="217">
      <c r="A39" s="354" t="inlineStr">
        <is>
          <t>CAT</t>
        </is>
      </c>
      <c r="B39" s="355" t="inlineStr">
        <is>
          <t>HH082164</t>
        </is>
      </c>
      <c r="C39" s="354" t="inlineStr">
        <is>
          <t>Mitsubishi</t>
        </is>
      </c>
      <c r="D39" s="354" t="inlineStr">
        <is>
          <t>TD06H-14K</t>
        </is>
      </c>
      <c r="E39" s="354" t="inlineStr">
        <is>
          <t>D06FR/C6.4</t>
        </is>
      </c>
      <c r="F39" s="356" t="inlineStr">
        <is>
          <t>49179-06210
8M06-100-L61</t>
        </is>
      </c>
      <c r="G39" s="354" t="n"/>
      <c r="H39" s="354" t="inlineStr">
        <is>
          <t>Sany 245</t>
        </is>
      </c>
      <c r="I39" s="354" t="n"/>
      <c r="J39" s="357" t="inlineStr">
        <is>
          <t>JRONE</t>
        </is>
      </c>
      <c r="K39" s="358" t="n"/>
      <c r="L39" s="358" t="n"/>
      <c r="M39" s="358" t="n"/>
      <c r="N39" s="358">
        <f>IF(M39="","",M39*1.1)</f>
        <v/>
      </c>
      <c r="O39" s="359" t="n"/>
      <c r="P39" s="359" t="n"/>
      <c r="Q39" s="359" t="n"/>
      <c r="R39" s="359" t="n"/>
      <c r="S39" s="359" t="n"/>
      <c r="T39" s="359" t="n"/>
      <c r="V39" s="346">
        <f>UPPER(A39&amp;" "&amp;B39&amp;" "&amp;D39&amp;" "&amp;E39&amp;" "&amp;F39&amp;" "&amp;G39&amp;" "&amp;H39&amp;" "&amp;I39&amp;" "&amp;J39)</f>
        <v/>
      </c>
      <c r="W39" s="216">
        <f>IF(AND('TRA CỨU TỔNG HỢP'!$B$3&lt;&gt;"",ISNUMBER(SEARCH('TRA CỨU TỔNG HỢP'!$B$3,V39))),MAX($W$3:W38)+1,"")</f>
        <v/>
      </c>
    </row>
    <row r="40" ht="15" customHeight="1" s="217">
      <c r="A40" s="367" t="inlineStr">
        <is>
          <t>CAT</t>
        </is>
      </c>
      <c r="B40" s="368" t="n"/>
      <c r="C40" s="367" t="inlineStr">
        <is>
          <t>BorgWarner</t>
        </is>
      </c>
      <c r="D40" s="367" t="inlineStr">
        <is>
          <t>S4DS</t>
        </is>
      </c>
      <c r="E40" s="367" t="inlineStr">
        <is>
          <t>3306</t>
        </is>
      </c>
      <c r="F40" s="369" t="inlineStr">
        <is>
          <t>196543
7C7579
0R6340(core:7C7596)</t>
        </is>
      </c>
      <c r="G40" s="367" t="inlineStr">
        <is>
          <t>Tâm lỗ 113 x 70</t>
        </is>
      </c>
      <c r="H40" s="367" t="inlineStr">
        <is>
          <t>E330B /Xe ủi</t>
        </is>
      </c>
      <c r="I40" s="367" t="n"/>
      <c r="J40" s="370" t="n"/>
      <c r="K40" s="371" t="n"/>
      <c r="L40" s="371" t="n"/>
      <c r="M40" s="371" t="n"/>
      <c r="N40" s="371" t="n"/>
      <c r="O40" s="372" t="n">
        <v>86.40000000000001</v>
      </c>
      <c r="P40" s="372" t="n">
        <v>59.1</v>
      </c>
      <c r="Q40" s="372" t="inlineStr">
        <is>
          <t>7/7</t>
        </is>
      </c>
      <c r="R40" s="372" t="n">
        <v>87</v>
      </c>
      <c r="S40" s="372" t="n">
        <v>79.5</v>
      </c>
      <c r="T40" s="372" t="n">
        <v>10</v>
      </c>
      <c r="V40" s="346">
        <f>UPPER(A40&amp;" "&amp;B40&amp;" "&amp;D40&amp;" "&amp;E40&amp;" "&amp;F40&amp;" "&amp;G40&amp;" "&amp;H40&amp;" "&amp;I40&amp;" "&amp;J40)</f>
        <v/>
      </c>
      <c r="W40" s="216">
        <f>IF(AND('TRA CỨU TỔNG HỢP'!$B$3&lt;&gt;"",ISNUMBER(SEARCH('TRA CỨU TỔNG HỢP'!$B$3,V40))),MAX($W$3:W39)+1,"")</f>
        <v/>
      </c>
    </row>
    <row r="41" ht="15" customHeight="1" s="217">
      <c r="A41" s="354" t="inlineStr">
        <is>
          <t>CAT</t>
        </is>
      </c>
      <c r="B41" s="355" t="inlineStr">
        <is>
          <t>HH077414</t>
        </is>
      </c>
      <c r="C41" s="354" t="inlineStr">
        <is>
          <t>Garrett</t>
        </is>
      </c>
      <c r="D41" s="354" t="inlineStr">
        <is>
          <t>GT4594</t>
        </is>
      </c>
      <c r="E41" s="354" t="inlineStr">
        <is>
          <t>S6A/ CAT 3306</t>
        </is>
      </c>
      <c r="F41" s="356" t="inlineStr">
        <is>
          <t>17C95-0182</t>
        </is>
      </c>
      <c r="G41" s="354" t="inlineStr">
        <is>
          <t>Tâm lỗ bu lông 70* 113</t>
        </is>
      </c>
      <c r="H41" s="354" t="n"/>
      <c r="I41" s="354" t="inlineStr">
        <is>
          <t>ráp sang 6D22 đời 1990</t>
        </is>
      </c>
      <c r="J41" s="357" t="inlineStr">
        <is>
          <t>MX</t>
        </is>
      </c>
      <c r="K41" s="358" t="n"/>
      <c r="L41" s="358" t="n"/>
      <c r="M41" s="358" t="n"/>
      <c r="N41" s="358">
        <f>IF(M41="","",M41*1.1)</f>
        <v/>
      </c>
      <c r="O41" s="359" t="n"/>
      <c r="P41" s="359" t="n"/>
      <c r="Q41" s="359" t="n"/>
      <c r="R41" s="359" t="n"/>
      <c r="S41" s="359" t="n"/>
      <c r="T41" s="359" t="n"/>
      <c r="V41" s="216">
        <f>UPPER(A41&amp;" "&amp;B41&amp;" "&amp;D41&amp;" "&amp;E41&amp;" "&amp;F41&amp;" "&amp;G41&amp;" "&amp;H41&amp;" "&amp;I41&amp;" "&amp;J41)</f>
        <v/>
      </c>
      <c r="W41" s="216">
        <f>IF(AND('TRA CỨU TỔNG HỢP'!$B$3&lt;&gt;"",ISNUMBER(SEARCH('TRA CỨU TỔNG HỢP'!$B$3,V41))),MAX($W$3:W40)+1,"")</f>
        <v/>
      </c>
    </row>
    <row r="42" ht="15" customHeight="1" s="217">
      <c r="A42" s="354" t="inlineStr">
        <is>
          <t>CAT</t>
        </is>
      </c>
      <c r="B42" s="355" t="inlineStr">
        <is>
          <t>HH079127</t>
        </is>
      </c>
      <c r="C42" s="354" t="inlineStr">
        <is>
          <t>BorgWarner</t>
        </is>
      </c>
      <c r="D42" s="354" t="inlineStr">
        <is>
          <t>S310G</t>
        </is>
      </c>
      <c r="E42" s="354" t="inlineStr">
        <is>
          <t>C9</t>
        </is>
      </c>
      <c r="F42" s="356" t="inlineStr">
        <is>
          <t>178485/174978
8S03-200-B70</t>
        </is>
      </c>
      <c r="G42" s="354" t="n"/>
      <c r="H42" s="354" t="inlineStr">
        <is>
          <t>Xe đào</t>
        </is>
      </c>
      <c r="I42" s="354" t="n"/>
      <c r="J42" s="357" t="inlineStr">
        <is>
          <t>JRONE</t>
        </is>
      </c>
      <c r="K42" s="358" t="n"/>
      <c r="L42" s="358" t="n"/>
      <c r="M42" s="358" t="n"/>
      <c r="N42" s="358">
        <f>IF(M42="","",M42*1.1)</f>
        <v/>
      </c>
      <c r="O42" s="359" t="n"/>
      <c r="P42" s="359" t="n"/>
      <c r="Q42" s="359" t="n"/>
      <c r="R42" s="359" t="n"/>
      <c r="S42" s="359" t="n"/>
      <c r="T42" s="359" t="n"/>
      <c r="V42" s="346">
        <f>UPPER(A42&amp;" "&amp;B42&amp;" "&amp;D42&amp;" "&amp;E42&amp;" "&amp;F42&amp;" "&amp;G42&amp;" "&amp;H42&amp;" "&amp;I42&amp;" "&amp;J42)</f>
        <v/>
      </c>
      <c r="W42" s="216">
        <f>IF(AND('TRA CỨU TỔNG HỢP'!$B$3&lt;&gt;"",ISNUMBER(SEARCH('TRA CỨU TỔNG HỢP'!$B$3,V42))),MAX($W$3:W41)+1,"")</f>
        <v/>
      </c>
    </row>
    <row r="43" ht="15" customHeight="1" s="217">
      <c r="A43" s="354" t="inlineStr">
        <is>
          <t>CAT</t>
        </is>
      </c>
      <c r="B43" s="355" t="inlineStr">
        <is>
          <t>HH079127</t>
        </is>
      </c>
      <c r="C43" s="354" t="inlineStr">
        <is>
          <t>BorgWarner</t>
        </is>
      </c>
      <c r="D43" s="354" t="inlineStr">
        <is>
          <t>S310G</t>
        </is>
      </c>
      <c r="E43" s="354" t="inlineStr">
        <is>
          <t>C9</t>
        </is>
      </c>
      <c r="F43" s="356" t="inlineStr">
        <is>
          <t>178485
174978
8S03-200-B70</t>
        </is>
      </c>
      <c r="G43" s="354" t="n"/>
      <c r="H43" s="354" t="inlineStr">
        <is>
          <t>máy đào</t>
        </is>
      </c>
      <c r="I43" s="354" t="n"/>
      <c r="J43" s="357" t="inlineStr">
        <is>
          <t>JRONE</t>
        </is>
      </c>
      <c r="K43" s="358" t="n"/>
      <c r="L43" s="358" t="n"/>
      <c r="M43" s="358" t="n"/>
      <c r="N43" s="358">
        <f>IF(M43="","",M43*1.1)</f>
        <v/>
      </c>
      <c r="O43" s="359" t="n"/>
      <c r="P43" s="359" t="n"/>
      <c r="Q43" s="359" t="n"/>
      <c r="R43" s="359" t="n"/>
      <c r="S43" s="359" t="n"/>
      <c r="T43" s="359" t="n"/>
      <c r="V43" s="346">
        <f>UPPER(A43&amp;" "&amp;B43&amp;" "&amp;D43&amp;" "&amp;E43&amp;" "&amp;F43&amp;" "&amp;G43&amp;" "&amp;H43&amp;" "&amp;I43&amp;" "&amp;J43)</f>
        <v/>
      </c>
      <c r="W43" s="216">
        <f>IF(AND('TRA CỨU TỔNG HỢP'!$B$3&lt;&gt;"",ISNUMBER(SEARCH('TRA CỨU TỔNG HỢP'!$B$3,V43))),MAX($W$3:W42)+1,"")</f>
        <v/>
      </c>
    </row>
    <row r="44" ht="15" customHeight="1" s="217">
      <c r="A44" s="354" t="inlineStr">
        <is>
          <t>CAT</t>
        </is>
      </c>
      <c r="B44" s="355" t="inlineStr">
        <is>
          <t>HH077150</t>
        </is>
      </c>
      <c r="C44" s="354" t="inlineStr">
        <is>
          <t>BorgWarner</t>
        </is>
      </c>
      <c r="D44" s="354" t="inlineStr">
        <is>
          <t>S200AG</t>
        </is>
      </c>
      <c r="E44" s="354" t="inlineStr">
        <is>
          <t>C7/3126</t>
        </is>
      </c>
      <c r="F44" s="356" t="inlineStr">
        <is>
          <t>178482/174201/174202
8S02-200-D84</t>
        </is>
      </c>
      <c r="G44" s="354" t="n"/>
      <c r="H44" s="354" t="n"/>
      <c r="I44" s="354" t="n"/>
      <c r="J44" s="357" t="inlineStr">
        <is>
          <t>JRONE</t>
        </is>
      </c>
      <c r="K44" s="358" t="n"/>
      <c r="L44" s="358" t="n"/>
      <c r="M44" s="358" t="n"/>
      <c r="N44" s="358">
        <f>IF(M44="","",M44*1.1)</f>
        <v/>
      </c>
      <c r="O44" s="359" t="n"/>
      <c r="P44" s="359" t="n"/>
      <c r="Q44" s="359" t="n"/>
      <c r="R44" s="359" t="n"/>
      <c r="S44" s="359" t="n"/>
      <c r="T44" s="359" t="n"/>
      <c r="V44" s="346">
        <f>UPPER(A44&amp;" "&amp;B44&amp;" "&amp;D44&amp;" "&amp;E44&amp;" "&amp;F44&amp;" "&amp;G44&amp;" "&amp;H44&amp;" "&amp;I44&amp;" "&amp;J44)</f>
        <v/>
      </c>
      <c r="W44" s="216">
        <f>IF(AND('TRA CỨU TỔNG HỢP'!$B$3&lt;&gt;"",ISNUMBER(SEARCH('TRA CỨU TỔNG HỢP'!$B$3,V44))),MAX($W$3:W43)+1,"")</f>
        <v/>
      </c>
    </row>
    <row r="45" ht="15" customHeight="1" s="217">
      <c r="A45" s="354" t="inlineStr">
        <is>
          <t>CAT</t>
        </is>
      </c>
      <c r="B45" s="355" t="inlineStr">
        <is>
          <t>HH082165</t>
        </is>
      </c>
      <c r="C45" s="354" t="inlineStr">
        <is>
          <t>BorgWarner</t>
        </is>
      </c>
      <c r="D45" s="354" t="inlineStr">
        <is>
          <t>S200AG</t>
        </is>
      </c>
      <c r="E45" s="354" t="inlineStr">
        <is>
          <t>CAT C7/ 3126B</t>
        </is>
      </c>
      <c r="F45" s="356" t="inlineStr">
        <is>
          <t>178474/171859
8S02-200-A50</t>
        </is>
      </c>
      <c r="G45" s="354" t="inlineStr">
        <is>
          <t>(điều tốc hướng dưới cổ gang)</t>
        </is>
      </c>
      <c r="H45" s="354" t="n"/>
      <c r="I45" s="354" t="n"/>
      <c r="J45" s="357" t="inlineStr">
        <is>
          <t>JRONE</t>
        </is>
      </c>
      <c r="K45" s="358" t="n"/>
      <c r="L45" s="358" t="n"/>
      <c r="M45" s="358" t="n"/>
      <c r="N45" s="358">
        <f>IF(M45="","",M45*1.1)</f>
        <v/>
      </c>
      <c r="O45" s="359" t="n"/>
      <c r="P45" s="359" t="n"/>
      <c r="Q45" s="359" t="n"/>
      <c r="R45" s="359" t="n"/>
      <c r="S45" s="359" t="n"/>
      <c r="T45" s="359" t="n"/>
      <c r="V45" s="346">
        <f>UPPER(A45&amp;" "&amp;B45&amp;" "&amp;D45&amp;" "&amp;E45&amp;" "&amp;F45&amp;" "&amp;G45&amp;" "&amp;H45&amp;" "&amp;I45&amp;" "&amp;J45)</f>
        <v/>
      </c>
      <c r="W45" s="216">
        <f>IF(AND('TRA CỨU TỔNG HỢP'!$B$3&lt;&gt;"",ISNUMBER(SEARCH('TRA CỨU TỔNG HỢP'!$B$3,V45))),MAX($W$3:W44)+1,"")</f>
        <v/>
      </c>
    </row>
    <row r="46" ht="15" customHeight="1" s="217">
      <c r="A46" s="354" t="inlineStr">
        <is>
          <t>CAT</t>
        </is>
      </c>
      <c r="B46" s="355" t="inlineStr">
        <is>
          <t>HH082681</t>
        </is>
      </c>
      <c r="C46" s="354" t="inlineStr">
        <is>
          <t>BorgWarner</t>
        </is>
      </c>
      <c r="D46" s="354" t="inlineStr">
        <is>
          <t>S2E GL</t>
        </is>
      </c>
      <c r="E46" s="354" t="inlineStr">
        <is>
          <t>CAT 3116</t>
        </is>
      </c>
      <c r="F46" s="356" t="inlineStr">
        <is>
          <t>167302
1055059
0R6865</t>
        </is>
      </c>
      <c r="G46" s="354" t="n"/>
      <c r="H46" s="354" t="n"/>
      <c r="I46" s="354" t="n"/>
      <c r="J46" s="357" t="inlineStr">
        <is>
          <t>SL</t>
        </is>
      </c>
      <c r="K46" s="358" t="n"/>
      <c r="L46" s="358" t="n"/>
      <c r="M46" s="358" t="n"/>
      <c r="N46" s="358">
        <f>IF(M46="","",M46*1.1)</f>
        <v/>
      </c>
      <c r="O46" s="359" t="n"/>
      <c r="P46" s="359" t="n"/>
      <c r="Q46" s="359" t="n"/>
      <c r="R46" s="359" t="n"/>
      <c r="S46" s="359" t="n"/>
      <c r="T46" s="359" t="n"/>
      <c r="V46" s="346">
        <f>UPPER(A46&amp;" "&amp;B46&amp;" "&amp;D46&amp;" "&amp;E46&amp;" "&amp;F46&amp;" "&amp;G46&amp;" "&amp;H46&amp;" "&amp;I46&amp;" "&amp;J46)</f>
        <v/>
      </c>
      <c r="W46" s="216">
        <f>IF(AND('TRA CỨU TỔNG HỢP'!$B$3&lt;&gt;"",ISNUMBER(SEARCH('TRA CỨU TỔNG HỢP'!$B$3,V46))),MAX($W$3:W45)+1,"")</f>
        <v/>
      </c>
    </row>
    <row r="47" ht="15" customHeight="1" s="217">
      <c r="A47" s="354" t="inlineStr">
        <is>
          <t>CAT</t>
        </is>
      </c>
      <c r="B47" s="355" t="inlineStr">
        <is>
          <t>HH082163</t>
        </is>
      </c>
      <c r="C47" s="354" t="inlineStr">
        <is>
          <t>Garrett</t>
        </is>
      </c>
      <c r="D47" s="354" t="inlineStr">
        <is>
          <t>GT2560S</t>
        </is>
      </c>
      <c r="E47" s="354" t="inlineStr">
        <is>
          <t>PERKINS CAT C4.4</t>
        </is>
      </c>
      <c r="F47" s="356" t="inlineStr">
        <is>
          <t>833908-0017
`8G22-200-E62</t>
        </is>
      </c>
      <c r="G47" s="354" t="n"/>
      <c r="H47" s="354" t="n"/>
      <c r="I47" s="354" t="n"/>
      <c r="J47" s="357" t="inlineStr">
        <is>
          <t>JRONE</t>
        </is>
      </c>
      <c r="K47" s="358" t="n"/>
      <c r="L47" s="358" t="n"/>
      <c r="M47" s="358" t="n"/>
      <c r="N47" s="358">
        <f>IF(M47="","",M47*1.1)</f>
        <v/>
      </c>
      <c r="O47" s="359" t="n"/>
      <c r="P47" s="359" t="n"/>
      <c r="Q47" s="359" t="n"/>
      <c r="R47" s="359" t="n"/>
      <c r="S47" s="359" t="n"/>
      <c r="T47" s="359" t="n"/>
      <c r="V47" s="346">
        <f>UPPER(A47&amp;" "&amp;B47&amp;" "&amp;D47&amp;" "&amp;E47&amp;" "&amp;F47&amp;" "&amp;G47&amp;" "&amp;H47&amp;" "&amp;I47&amp;" "&amp;J47)</f>
        <v/>
      </c>
      <c r="W47" s="216">
        <f>IF(AND('TRA CỨU TỔNG HỢP'!$B$3&lt;&gt;"",ISNUMBER(SEARCH('TRA CỨU TỔNG HỢP'!$B$3,V47))),MAX($W$3:W46)+1,"")</f>
        <v/>
      </c>
    </row>
    <row r="48" ht="19.5" customHeight="1" s="217">
      <c r="A48" s="339" t="inlineStr">
        <is>
          <t xml:space="preserve">  🏭  CHEVROLET   ·   1 loại turbo</t>
        </is>
      </c>
      <c r="W48" s="216">
        <f>IF(AND('TRA CỨU TỔNG HỢP'!$B$3&lt;&gt;"",ISNUMBER(SEARCH('TRA CỨU TỔNG HỢP'!$B$3,V48))),MAX($W$3:W47)+1,"")</f>
        <v/>
      </c>
    </row>
    <row r="49" ht="15" customHeight="1" s="217">
      <c r="A49" s="360" t="inlineStr">
        <is>
          <t>CHEVROLET</t>
        </is>
      </c>
      <c r="B49" s="361" t="n"/>
      <c r="C49" s="360" t="inlineStr">
        <is>
          <t>Garrett</t>
        </is>
      </c>
      <c r="D49" s="360" t="inlineStr">
        <is>
          <t>GTB1549VK</t>
        </is>
      </c>
      <c r="E49" s="360" t="n"/>
      <c r="F49" s="362" t="inlineStr">
        <is>
          <t>762463-0006/762463-0001 | 762463-0002 | 762463-0003 | 762463-0004 | 762463-0006 | 762463-1 | 762463-2 | 762463-3 | 762463-4 | 762463-6 | 762463-5001S | 762463-5002S | 762463-5003S | 762463-5004S | 762463-5006S | 96440365 | 4805337 | 805337 | 440365/96440365
4805337</t>
        </is>
      </c>
      <c r="G49" s="360" t="n"/>
      <c r="H49" s="360" t="inlineStr">
        <is>
          <t>Chevrolet Captiva 2.0 D / Z20S</t>
        </is>
      </c>
      <c r="I49" s="360" t="n"/>
      <c r="J49" s="363" t="n"/>
      <c r="K49" s="364" t="n"/>
      <c r="L49" s="364" t="n"/>
      <c r="M49" s="364" t="n"/>
      <c r="N49" s="364" t="n"/>
      <c r="O49" s="365" t="n">
        <v>49</v>
      </c>
      <c r="P49" s="365" t="n">
        <v>36.3</v>
      </c>
      <c r="Q49" s="365" t="inlineStr">
        <is>
          <t>6/6</t>
        </is>
      </c>
      <c r="R49" s="365" t="n">
        <v>40.9</v>
      </c>
      <c r="S49" s="365" t="n">
        <v>35.6</v>
      </c>
      <c r="T49" s="365" t="n">
        <v>9</v>
      </c>
      <c r="V49" s="346">
        <f>UPPER(A49&amp;" "&amp;B49&amp;" "&amp;D49&amp;" "&amp;E49&amp;" "&amp;F49&amp;" "&amp;G49&amp;" "&amp;H49&amp;" "&amp;I49&amp;" "&amp;J49)</f>
        <v/>
      </c>
      <c r="W49" s="216">
        <f>IF(AND('TRA CỨU TỔNG HỢP'!$B$3&lt;&gt;"",ISNUMBER(SEARCH('TRA CỨU TỔNG HỢP'!$B$3,V49))),MAX($W$3:W48)+1,"")</f>
        <v/>
      </c>
    </row>
    <row r="50" ht="19.5" customHeight="1" s="217">
      <c r="A50" s="339" t="inlineStr">
        <is>
          <t xml:space="preserve">  🏭  CUMMINS   ·   56 loại turbo</t>
        </is>
      </c>
      <c r="W50" s="216">
        <f>IF(AND('TRA CỨU TỔNG HỢP'!$B$3&lt;&gt;"",ISNUMBER(SEARCH('TRA CỨU TỔNG HỢP'!$B$3,V50))),MAX($W$3:W49)+1,"")</f>
        <v/>
      </c>
    </row>
    <row r="51" ht="15" customHeight="1" s="217">
      <c r="A51" s="340" t="inlineStr">
        <is>
          <t>CUMMINS</t>
        </is>
      </c>
      <c r="B51" s="341" t="inlineStr">
        <is>
          <t>HH083868</t>
        </is>
      </c>
      <c r="C51" s="340" t="inlineStr">
        <is>
          <t>Holset</t>
        </is>
      </c>
      <c r="D51" s="340" t="inlineStr">
        <is>
          <t>HX40W</t>
        </is>
      </c>
      <c r="E51" s="340" t="inlineStr">
        <is>
          <t>L375/ L340/ L360</t>
        </is>
      </c>
      <c r="F51" s="342" t="inlineStr">
        <is>
          <t>3783604
4051033/3787175
4048335/4956108/2836441/3773210
3784580/3788609/4033160/5329180
4051032/4049358/4046383/4046498
4047354/4051384/4051430/2836411</t>
        </is>
      </c>
      <c r="G51" s="373" t="inlineStr">
        <is>
          <t>Tâm lỗ 45 x 85 
2 sò hướng vuông góc</t>
        </is>
      </c>
      <c r="H51" s="340" t="inlineStr">
        <is>
          <t>Dongfeng Cummins L340, L360</t>
        </is>
      </c>
      <c r="I51" s="340" t="n"/>
      <c r="J51" s="343" t="inlineStr">
        <is>
          <t>SL</t>
        </is>
      </c>
      <c r="K51" s="344" t="n"/>
      <c r="L51" s="344" t="n"/>
      <c r="M51" s="344" t="n"/>
      <c r="N51" s="344">
        <f>IF(M51="","",M51*1.1)</f>
        <v/>
      </c>
      <c r="O51" s="345" t="n">
        <v>86</v>
      </c>
      <c r="P51" s="345" t="n">
        <v>60</v>
      </c>
      <c r="Q51" s="345" t="inlineStr">
        <is>
          <t>7/7</t>
        </is>
      </c>
      <c r="R51" s="345" t="n">
        <v>76</v>
      </c>
      <c r="S51" s="345" t="n">
        <v>64</v>
      </c>
      <c r="T51" s="345" t="n">
        <v>10</v>
      </c>
      <c r="V51" s="346">
        <f>UPPER(A51&amp;" "&amp;B51&amp;" "&amp;D51&amp;" "&amp;E51&amp;" "&amp;F51&amp;" "&amp;G51&amp;" "&amp;H51&amp;" "&amp;I51&amp;" "&amp;J51)</f>
        <v/>
      </c>
      <c r="W51" s="216">
        <f>IF(AND('TRA CỨU TỔNG HỢP'!$B$3&lt;&gt;"",ISNUMBER(SEARCH('TRA CỨU TỔNG HỢP'!$B$3,V51))),MAX($W$3:W50)+1,"")</f>
        <v/>
      </c>
    </row>
    <row r="52" ht="15" customHeight="1" s="217">
      <c r="A52" s="347" t="inlineStr">
        <is>
          <t xml:space="preserve">  └─ CUMMINS</t>
        </is>
      </c>
      <c r="B52" s="348" t="inlineStr">
        <is>
          <t>HH080733</t>
        </is>
      </c>
      <c r="C52" s="349" t="inlineStr">
        <is>
          <t>Holset</t>
        </is>
      </c>
      <c r="D52" s="349" t="inlineStr">
        <is>
          <t>HX40W</t>
        </is>
      </c>
      <c r="E52" s="349" t="inlineStr">
        <is>
          <t>L375/ L340/ L360</t>
        </is>
      </c>
      <c r="F52" s="350" t="inlineStr">
        <is>
          <t>3783604
4051033/3787175
4048335/4956108/2836441/3773210
3784580/3788609/4033160/5329180
4051032/4049358/4046383/4046498
4047354/4051384/4051430/2836411</t>
        </is>
      </c>
      <c r="G52" s="374" t="inlineStr">
        <is>
          <t>Tâm lỗ 45 x 85 
2 sò hướng vuông góc</t>
        </is>
      </c>
      <c r="H52" s="349" t="inlineStr">
        <is>
          <t>Dongfeng Cummins L340, L360</t>
        </is>
      </c>
      <c r="I52" s="349" t="n"/>
      <c r="J52" s="351" t="inlineStr">
        <is>
          <t>SL</t>
        </is>
      </c>
      <c r="K52" s="352" t="n"/>
      <c r="L52" s="352" t="n"/>
      <c r="M52" s="352" t="n"/>
      <c r="N52" s="352">
        <f>IF(M52="","",M52*1.1)</f>
        <v/>
      </c>
      <c r="O52" s="353" t="n">
        <v>86</v>
      </c>
      <c r="P52" s="353" t="n">
        <v>60</v>
      </c>
      <c r="Q52" s="353" t="inlineStr">
        <is>
          <t>7/7</t>
        </is>
      </c>
      <c r="R52" s="353" t="n">
        <v>76</v>
      </c>
      <c r="S52" s="353" t="n">
        <v>64</v>
      </c>
      <c r="T52" s="353" t="n">
        <v>10</v>
      </c>
      <c r="V52" s="346">
        <f>UPPER(A52&amp;" "&amp;B52&amp;" "&amp;D52&amp;" "&amp;E52&amp;" "&amp;F52&amp;" "&amp;G52&amp;" "&amp;H52&amp;" "&amp;I52&amp;" "&amp;J52)</f>
        <v/>
      </c>
      <c r="W52" s="216">
        <f>IF(AND('TRA CỨU TỔNG HỢP'!$B$3&lt;&gt;"",ISNUMBER(SEARCH('TRA CỨU TỔNG HỢP'!$B$3,V52))),MAX($W$3:W51)+1,"")</f>
        <v/>
      </c>
    </row>
    <row r="53" ht="15" customHeight="1" s="217">
      <c r="A53" s="347" t="inlineStr">
        <is>
          <t xml:space="preserve">  └─ CUMMINS</t>
        </is>
      </c>
      <c r="B53" s="348" t="inlineStr">
        <is>
          <t>HH081574</t>
        </is>
      </c>
      <c r="C53" s="349" t="inlineStr">
        <is>
          <t>Holset</t>
        </is>
      </c>
      <c r="D53" s="349" t="inlineStr">
        <is>
          <t>HX40W</t>
        </is>
      </c>
      <c r="E53" s="349" t="inlineStr">
        <is>
          <t>L375/ L340/ L360</t>
        </is>
      </c>
      <c r="F53" s="350" t="inlineStr">
        <is>
          <t>3783604
4051033/3787175
4048335/4956108/2836441/3773210
3784580/3788609/4033160/5329180
4051032/4049358/4046383/4046498
4047354/4051384/4051430/2836411</t>
        </is>
      </c>
      <c r="G53" s="374" t="inlineStr">
        <is>
          <t>Tâm lỗ 45 x 85 
2 sò hướng vuông góc</t>
        </is>
      </c>
      <c r="H53" s="349" t="inlineStr">
        <is>
          <t>Dongfeng Cummins L340, L360</t>
        </is>
      </c>
      <c r="I53" s="349" t="n"/>
      <c r="J53" s="351" t="inlineStr">
        <is>
          <t>TBS</t>
        </is>
      </c>
      <c r="K53" s="352" t="n"/>
      <c r="L53" s="352" t="n"/>
      <c r="M53" s="352" t="n"/>
      <c r="N53" s="352">
        <f>IF(M53="","",M53*1.1)</f>
        <v/>
      </c>
      <c r="O53" s="353" t="n">
        <v>86</v>
      </c>
      <c r="P53" s="353" t="n">
        <v>60</v>
      </c>
      <c r="Q53" s="353" t="inlineStr">
        <is>
          <t>7/7</t>
        </is>
      </c>
      <c r="R53" s="353" t="n">
        <v>76</v>
      </c>
      <c r="S53" s="353" t="n">
        <v>64</v>
      </c>
      <c r="T53" s="353" t="n">
        <v>10</v>
      </c>
      <c r="V53" s="346">
        <f>UPPER(A53&amp;" "&amp;B53&amp;" "&amp;D53&amp;" "&amp;E53&amp;" "&amp;F53&amp;" "&amp;G53&amp;" "&amp;H53&amp;" "&amp;I53&amp;" "&amp;J53)</f>
        <v/>
      </c>
      <c r="W53" s="216">
        <f>IF(AND('TRA CỨU TỔNG HỢP'!$B$3&lt;&gt;"",ISNUMBER(SEARCH('TRA CỨU TỔNG HỢP'!$B$3,V53))),MAX($W$3:W52)+1,"")</f>
        <v/>
      </c>
    </row>
    <row r="54" ht="15" customHeight="1" s="217">
      <c r="A54" s="354" t="inlineStr">
        <is>
          <t>CUMMINS</t>
        </is>
      </c>
      <c r="B54" s="355" t="inlineStr">
        <is>
          <t>HH083054</t>
        </is>
      </c>
      <c r="C54" s="354" t="inlineStr">
        <is>
          <t>Holset</t>
        </is>
      </c>
      <c r="D54" s="354" t="inlineStr">
        <is>
          <t>HX27W</t>
        </is>
      </c>
      <c r="E54" s="354" t="inlineStr">
        <is>
          <t>ISF3.8</t>
        </is>
      </c>
      <c r="F54" s="356" t="inlineStr">
        <is>
          <t>3779951/ 2843674</t>
        </is>
      </c>
      <c r="G54" s="354" t="n"/>
      <c r="H54" s="354" t="n"/>
      <c r="I54" s="354" t="n"/>
      <c r="J54" s="357" t="inlineStr">
        <is>
          <t>SL</t>
        </is>
      </c>
      <c r="K54" s="358" t="n"/>
      <c r="L54" s="358" t="n"/>
      <c r="M54" s="358" t="n"/>
      <c r="N54" s="358">
        <f>IF(M54="","",M54*1.1)</f>
        <v/>
      </c>
      <c r="O54" s="359" t="n">
        <v>56</v>
      </c>
      <c r="P54" s="359" t="n">
        <v>40.8</v>
      </c>
      <c r="Q54" s="359" t="inlineStr">
        <is>
          <t>6/6</t>
        </is>
      </c>
      <c r="R54" s="359" t="n">
        <v>52</v>
      </c>
      <c r="S54" s="359" t="n">
        <v>45.6</v>
      </c>
      <c r="T54" s="359" t="n">
        <v>12</v>
      </c>
      <c r="V54" s="216">
        <f>UPPER(A54&amp;" "&amp;B54&amp;" "&amp;D54&amp;" "&amp;E54&amp;" "&amp;F54&amp;" "&amp;G54&amp;" "&amp;H54&amp;" "&amp;I54&amp;" "&amp;J54)</f>
        <v/>
      </c>
      <c r="W54" s="216">
        <f>IF(AND('TRA CỨU TỔNG HỢP'!$B$3&lt;&gt;"",ISNUMBER(SEARCH('TRA CỨU TỔNG HỢP'!$B$3,V54))),MAX($W$3:W53)+1,"")</f>
        <v/>
      </c>
    </row>
    <row r="55" ht="15" customHeight="1" s="217">
      <c r="A55" s="354" t="inlineStr">
        <is>
          <t>CUMMINS</t>
        </is>
      </c>
      <c r="B55" s="355" t="inlineStr">
        <is>
          <t>HH079779</t>
        </is>
      </c>
      <c r="C55" s="354" t="inlineStr">
        <is>
          <t>Holset</t>
        </is>
      </c>
      <c r="D55" s="354" t="inlineStr">
        <is>
          <t>HX40W</t>
        </is>
      </c>
      <c r="E55" s="354" t="inlineStr">
        <is>
          <t>6CTA/QSB5.9</t>
        </is>
      </c>
      <c r="F55" s="356" t="inlineStr">
        <is>
          <t>3536310/3536309</t>
        </is>
      </c>
      <c r="G55" s="354" t="inlineStr">
        <is>
          <t>Ko loe, dây điều tốc từ động cơ</t>
        </is>
      </c>
      <c r="H55" s="354" t="n"/>
      <c r="I55" s="354" t="n"/>
      <c r="J55" s="357" t="inlineStr">
        <is>
          <t>EE</t>
        </is>
      </c>
      <c r="K55" s="358" t="n"/>
      <c r="L55" s="358" t="n"/>
      <c r="M55" s="358" t="n"/>
      <c r="N55" s="358">
        <f>IF(M55="","",M55*1.1)</f>
        <v/>
      </c>
      <c r="O55" s="359" t="n">
        <v>83</v>
      </c>
      <c r="P55" s="359" t="n">
        <v>58</v>
      </c>
      <c r="Q55" s="359" t="inlineStr">
        <is>
          <t>8/8</t>
        </is>
      </c>
      <c r="R55" s="359" t="n">
        <v>76</v>
      </c>
      <c r="S55" s="359" t="n">
        <v>64</v>
      </c>
      <c r="T55" s="359" t="n">
        <v>12</v>
      </c>
      <c r="V55" s="216">
        <f>UPPER(A55&amp;" "&amp;B55&amp;" "&amp;D55&amp;" "&amp;E55&amp;" "&amp;F55&amp;" "&amp;G55&amp;" "&amp;H55&amp;" "&amp;I55&amp;" "&amp;J55)</f>
        <v/>
      </c>
      <c r="W55" s="216">
        <f>IF(AND('TRA CỨU TỔNG HỢP'!$B$3&lt;&gt;"",ISNUMBER(SEARCH('TRA CỨU TỔNG HỢP'!$B$3,V55))),MAX($W$3:W54)+1,"")</f>
        <v/>
      </c>
    </row>
    <row r="56" ht="15" customHeight="1" s="217">
      <c r="A56" s="354" t="inlineStr">
        <is>
          <t>CUMMINS</t>
        </is>
      </c>
      <c r="B56" s="355" t="inlineStr">
        <is>
          <t>HH081620</t>
        </is>
      </c>
      <c r="C56" s="354" t="inlineStr">
        <is>
          <t>Holset</t>
        </is>
      </c>
      <c r="D56" s="354" t="inlineStr">
        <is>
          <t>HX55W</t>
        </is>
      </c>
      <c r="E56" s="354" t="inlineStr">
        <is>
          <t>HOWO A7</t>
        </is>
      </c>
      <c r="F56" s="356" t="inlineStr">
        <is>
          <t>3776573
VG1034110054</t>
        </is>
      </c>
      <c r="G56" s="354" t="inlineStr">
        <is>
          <t>cổ gió loe</t>
        </is>
      </c>
      <c r="H56" s="354" t="inlineStr">
        <is>
          <t>Huyndai 320-7</t>
        </is>
      </c>
      <c r="I56" s="354" t="inlineStr">
        <is>
          <t>đá bán sang ngang 3776572/KA100-1118100 cho quân thọ trương chưa ráp chek tiếp</t>
        </is>
      </c>
      <c r="J56" s="357" t="inlineStr">
        <is>
          <t>VIDARIR</t>
        </is>
      </c>
      <c r="K56" s="358" t="n"/>
      <c r="L56" s="358" t="n"/>
      <c r="M56" s="358" t="n"/>
      <c r="N56" s="358">
        <f>IF(M56="","",M56*1.1)</f>
        <v/>
      </c>
      <c r="O56" s="359" t="n"/>
      <c r="P56" s="359" t="n"/>
      <c r="Q56" s="359" t="n"/>
      <c r="R56" s="359" t="n"/>
      <c r="S56" s="359" t="n"/>
      <c r="T56" s="359" t="n"/>
      <c r="V56" s="346">
        <f>UPPER(A56&amp;" "&amp;B56&amp;" "&amp;D56&amp;" "&amp;E56&amp;" "&amp;F56&amp;" "&amp;G56&amp;" "&amp;H56&amp;" "&amp;I56&amp;" "&amp;J56)</f>
        <v/>
      </c>
      <c r="W56" s="216">
        <f>IF(AND('TRA CỨU TỔNG HỢP'!$B$3&lt;&gt;"",ISNUMBER(SEARCH('TRA CỨU TỔNG HỢP'!$B$3,V56))),MAX($W$3:W55)+1,"")</f>
        <v/>
      </c>
    </row>
    <row r="57" ht="15" customHeight="1" s="217">
      <c r="A57" s="340" t="inlineStr">
        <is>
          <t>CUMMINS</t>
        </is>
      </c>
      <c r="B57" s="341" t="inlineStr">
        <is>
          <t>HH075640</t>
        </is>
      </c>
      <c r="C57" s="340" t="inlineStr">
        <is>
          <t>Holset</t>
        </is>
      </c>
      <c r="D57" s="340" t="inlineStr">
        <is>
          <t>HX50/H2C</t>
        </is>
      </c>
      <c r="E57" s="340" t="inlineStr">
        <is>
          <t>M11</t>
        </is>
      </c>
      <c r="F57" s="342" t="n">
        <v>3537037</v>
      </c>
      <c r="G57" s="373" t="inlineStr">
        <is>
          <t>Tâm lỗ bu lông 90 x 70
ko có đường nước làm mát</t>
        </is>
      </c>
      <c r="H57" s="340" t="n"/>
      <c r="I57" s="340" t="n"/>
      <c r="J57" s="343" t="n"/>
      <c r="K57" s="344" t="n"/>
      <c r="L57" s="344" t="n"/>
      <c r="M57" s="344" t="n"/>
      <c r="N57" s="344">
        <f>IF(M57="","",M57*1.1)</f>
        <v/>
      </c>
      <c r="O57" s="345" t="n"/>
      <c r="P57" s="345" t="n"/>
      <c r="Q57" s="345" t="n"/>
      <c r="R57" s="345" t="n"/>
      <c r="S57" s="345" t="n"/>
      <c r="T57" s="345" t="n"/>
      <c r="V57" s="346">
        <f>UPPER(A57&amp;" "&amp;B57&amp;" "&amp;D57&amp;" "&amp;E57&amp;" "&amp;F57&amp;" "&amp;G57&amp;" "&amp;H57&amp;" "&amp;I57&amp;" "&amp;J57)</f>
        <v/>
      </c>
      <c r="W57" s="216">
        <f>IF(AND('TRA CỨU TỔNG HỢP'!$B$3&lt;&gt;"",ISNUMBER(SEARCH('TRA CỨU TỔNG HỢP'!$B$3,V57))),MAX($W$3:W56)+1,"")</f>
        <v/>
      </c>
    </row>
    <row r="58" ht="15" customHeight="1" s="217">
      <c r="A58" s="347" t="inlineStr">
        <is>
          <t xml:space="preserve">  └─ CUMMINS</t>
        </is>
      </c>
      <c r="B58" s="348" t="inlineStr">
        <is>
          <t>HH074862</t>
        </is>
      </c>
      <c r="C58" s="349" t="inlineStr">
        <is>
          <t>Holset</t>
        </is>
      </c>
      <c r="D58" s="349" t="inlineStr">
        <is>
          <t>HX50/H2C</t>
        </is>
      </c>
      <c r="E58" s="349" t="inlineStr">
        <is>
          <t>M11</t>
        </is>
      </c>
      <c r="F58" s="350" t="n">
        <v>3537037</v>
      </c>
      <c r="G58" s="374" t="inlineStr">
        <is>
          <t>Tâm lỗ bu lông 90 x 70
ko có đường nước làm mát</t>
        </is>
      </c>
      <c r="H58" s="349" t="n"/>
      <c r="I58" s="349" t="n"/>
      <c r="J58" s="351" t="inlineStr">
        <is>
          <t>SL</t>
        </is>
      </c>
      <c r="K58" s="352" t="n"/>
      <c r="L58" s="352" t="n"/>
      <c r="M58" s="352" t="n"/>
      <c r="N58" s="352">
        <f>IF(M58="","",M58*1.1)</f>
        <v/>
      </c>
      <c r="O58" s="353" t="n"/>
      <c r="P58" s="353" t="n"/>
      <c r="Q58" s="353" t="n"/>
      <c r="R58" s="353" t="n"/>
      <c r="S58" s="353" t="n"/>
      <c r="T58" s="353" t="n"/>
      <c r="V58" s="346">
        <f>UPPER(A58&amp;" "&amp;B58&amp;" "&amp;D58&amp;" "&amp;E58&amp;" "&amp;F58&amp;" "&amp;G58&amp;" "&amp;H58&amp;" "&amp;I58&amp;" "&amp;J58)</f>
        <v/>
      </c>
      <c r="W58" s="216">
        <f>IF(AND('TRA CỨU TỔNG HỢP'!$B$3&lt;&gt;"",ISNUMBER(SEARCH('TRA CỨU TỔNG HỢP'!$B$3,V58))),MAX($W$3:W57)+1,"")</f>
        <v/>
      </c>
    </row>
    <row r="59" ht="15" customHeight="1" s="217">
      <c r="A59" s="340" t="inlineStr">
        <is>
          <t>CUMMINS</t>
        </is>
      </c>
      <c r="B59" s="341" t="inlineStr">
        <is>
          <t>HH077023</t>
        </is>
      </c>
      <c r="C59" s="340" t="inlineStr">
        <is>
          <t>Holset</t>
        </is>
      </c>
      <c r="D59" s="340" t="inlineStr">
        <is>
          <t>HT60</t>
        </is>
      </c>
      <c r="E59" s="340" t="inlineStr">
        <is>
          <t>N14/ NT855/ Volvo N14 NE1</t>
        </is>
      </c>
      <c r="F59" s="342" t="inlineStr">
        <is>
          <t>3537074
3804502/3537074 | 3592512 | 3592678 | 3804502 | 3804502RX | 3592512 | 3592678 | 3804632 | 3804808 | 3538396 | 3538401 | 3803585 | 3803585RX | 3804308 | 3536263 | 3536095 | 3531733 | 3531267</t>
        </is>
      </c>
      <c r="G59" s="340" t="n"/>
      <c r="H59" s="340" t="n"/>
      <c r="I59" s="340" t="n"/>
      <c r="J59" s="343" t="inlineStr">
        <is>
          <t>SL</t>
        </is>
      </c>
      <c r="K59" s="344" t="n"/>
      <c r="L59" s="344" t="n"/>
      <c r="M59" s="344" t="n"/>
      <c r="N59" s="344">
        <f>IF(M59="","",M59*1.1)</f>
        <v/>
      </c>
      <c r="O59" s="345" t="n">
        <v>109</v>
      </c>
      <c r="P59" s="345" t="n">
        <v>73.5</v>
      </c>
      <c r="Q59" s="345" t="inlineStr">
        <is>
          <t>8/8反</t>
        </is>
      </c>
      <c r="R59" s="345" t="n">
        <v>97</v>
      </c>
      <c r="S59" s="345" t="n">
        <v>86.36</v>
      </c>
      <c r="T59" s="345" t="inlineStr">
        <is>
          <t>12反</t>
        </is>
      </c>
      <c r="V59" s="346">
        <f>UPPER(A59&amp;" "&amp;B59&amp;" "&amp;D59&amp;" "&amp;E59&amp;" "&amp;F59&amp;" "&amp;G59&amp;" "&amp;H59&amp;" "&amp;I59&amp;" "&amp;J59)</f>
        <v/>
      </c>
      <c r="W59" s="216">
        <f>IF(AND('TRA CỨU TỔNG HỢP'!$B$3&lt;&gt;"",ISNUMBER(SEARCH('TRA CỨU TỔNG HỢP'!$B$3,V59))),MAX($W$3:W58)+1,"")</f>
        <v/>
      </c>
    </row>
    <row r="60" ht="15" customHeight="1" s="217">
      <c r="A60" s="347" t="inlineStr">
        <is>
          <t xml:space="preserve">  └─ CUMMINS</t>
        </is>
      </c>
      <c r="B60" s="348" t="inlineStr">
        <is>
          <t>HH079178</t>
        </is>
      </c>
      <c r="C60" s="349" t="inlineStr">
        <is>
          <t>Holset</t>
        </is>
      </c>
      <c r="D60" s="349" t="inlineStr">
        <is>
          <t>HT60</t>
        </is>
      </c>
      <c r="E60" s="349" t="inlineStr">
        <is>
          <t>N14/ NT855/ Volvo N14 NE1</t>
        </is>
      </c>
      <c r="F60" s="350" t="inlineStr">
        <is>
          <t>3537074
3804502/3537074 | 3592512 | 3592678 | 3804502 | 3804502RX | 3592512 | 3592678 | 3804632 | 3804808 | 3538396 | 3538401 | 3803585 | 3803585RX | 3804308 | 3536263 | 3536095 | 3531733 | 3531267</t>
        </is>
      </c>
      <c r="G60" s="349" t="n"/>
      <c r="H60" s="349" t="n"/>
      <c r="I60" s="349" t="n"/>
      <c r="J60" s="351" t="inlineStr">
        <is>
          <t>SL</t>
        </is>
      </c>
      <c r="K60" s="352" t="n"/>
      <c r="L60" s="352" t="n"/>
      <c r="M60" s="352" t="n"/>
      <c r="N60" s="352">
        <f>IF(M60="","",M60*1.1)</f>
        <v/>
      </c>
      <c r="O60" s="353" t="n">
        <v>109</v>
      </c>
      <c r="P60" s="353" t="n">
        <v>73.5</v>
      </c>
      <c r="Q60" s="353" t="inlineStr">
        <is>
          <t>8/8反</t>
        </is>
      </c>
      <c r="R60" s="353" t="n">
        <v>97</v>
      </c>
      <c r="S60" s="353" t="n">
        <v>86.36</v>
      </c>
      <c r="T60" s="353" t="inlineStr">
        <is>
          <t>12反</t>
        </is>
      </c>
      <c r="V60" s="346">
        <f>UPPER(A60&amp;" "&amp;B60&amp;" "&amp;D60&amp;" "&amp;E60&amp;" "&amp;F60&amp;" "&amp;G60&amp;" "&amp;H60&amp;" "&amp;I60&amp;" "&amp;J60)</f>
        <v/>
      </c>
      <c r="W60" s="216">
        <f>IF(AND('TRA CỨU TỔNG HỢP'!$B$3&lt;&gt;"",ISNUMBER(SEARCH('TRA CỨU TỔNG HỢP'!$B$3,V60))),MAX($W$3:W59)+1,"")</f>
        <v/>
      </c>
    </row>
    <row r="61" ht="15" customHeight="1" s="217">
      <c r="A61" s="360" t="inlineStr">
        <is>
          <t>CUMMINS</t>
        </is>
      </c>
      <c r="B61" s="361" t="n"/>
      <c r="C61" s="360" t="inlineStr">
        <is>
          <t>Holset</t>
        </is>
      </c>
      <c r="D61" s="360" t="inlineStr">
        <is>
          <t>HX40W</t>
        </is>
      </c>
      <c r="E61" s="360" t="inlineStr">
        <is>
          <t>6CTA</t>
        </is>
      </c>
      <c r="F61" s="362" t="inlineStr">
        <is>
          <t>3537127/3537128/3537129
3537130/3538856/3538857
3539208/3802810/3802909
4044187/4044188/4044990
76192751/3535631/3535632
3535634/3535635/3535636
3535638/3535638H/3535640
3535641/3802651/76192436
1304937H91/6742-01-5049
6742015049/J802651/J535635</t>
        </is>
      </c>
      <c r="G61" s="360" t="n"/>
      <c r="H61" s="360" t="inlineStr">
        <is>
          <t>chưa nhập</t>
        </is>
      </c>
      <c r="I61" s="360" t="n"/>
      <c r="J61" s="363" t="n"/>
      <c r="K61" s="364" t="n"/>
      <c r="L61" s="364" t="n"/>
      <c r="M61" s="364" t="n"/>
      <c r="N61" s="364" t="n"/>
      <c r="O61" s="365" t="n">
        <v>83</v>
      </c>
      <c r="P61" s="365" t="n">
        <v>58</v>
      </c>
      <c r="Q61" s="365" t="inlineStr">
        <is>
          <t>8/8</t>
        </is>
      </c>
      <c r="R61" s="365" t="n">
        <v>76</v>
      </c>
      <c r="S61" s="365" t="n">
        <v>64</v>
      </c>
      <c r="T61" s="365" t="n">
        <v>12</v>
      </c>
      <c r="V61" s="346">
        <f>UPPER(A61&amp;" "&amp;B61&amp;" "&amp;D61&amp;" "&amp;E61&amp;" "&amp;F61&amp;" "&amp;G61&amp;" "&amp;H61&amp;" "&amp;I61&amp;" "&amp;J61)</f>
        <v/>
      </c>
      <c r="W61" s="216">
        <f>IF(AND('TRA CỨU TỔNG HỢP'!$B$3&lt;&gt;"",ISNUMBER(SEARCH('TRA CỨU TỔNG HỢP'!$B$3,V61))),MAX($W$3:W60)+1,"")</f>
        <v/>
      </c>
    </row>
    <row r="62" ht="15" customHeight="1" s="217">
      <c r="A62" s="367" t="inlineStr">
        <is>
          <t>CUMMINS</t>
        </is>
      </c>
      <c r="B62" s="368" t="n"/>
      <c r="C62" s="367" t="inlineStr">
        <is>
          <t>Holset</t>
        </is>
      </c>
      <c r="D62" s="367" t="inlineStr">
        <is>
          <t>HX40W</t>
        </is>
      </c>
      <c r="E62" s="367" t="inlineStr">
        <is>
          <t>6CTA</t>
        </is>
      </c>
      <c r="F62" s="369" t="inlineStr">
        <is>
          <t>3802784/3536404 3537287 3537288 3537289 3539312 3593565</t>
        </is>
      </c>
      <c r="G62" s="367" t="n"/>
      <c r="H62" s="367" t="inlineStr">
        <is>
          <t>chưa nhập</t>
        </is>
      </c>
      <c r="I62" s="367" t="n"/>
      <c r="J62" s="370" t="n"/>
      <c r="K62" s="371" t="n"/>
      <c r="L62" s="371" t="n"/>
      <c r="M62" s="371" t="n"/>
      <c r="N62" s="371" t="n"/>
      <c r="O62" s="372" t="n"/>
      <c r="P62" s="372" t="n"/>
      <c r="Q62" s="372" t="n"/>
      <c r="R62" s="372" t="n"/>
      <c r="S62" s="372" t="n"/>
      <c r="T62" s="372" t="n"/>
      <c r="V62" s="216">
        <f>UPPER(A62&amp;" "&amp;B62&amp;" "&amp;D62&amp;" "&amp;E62&amp;" "&amp;F62&amp;" "&amp;G62&amp;" "&amp;H62&amp;" "&amp;I62&amp;" "&amp;J62)</f>
        <v/>
      </c>
      <c r="W62" s="216">
        <f>IF(AND('TRA CỨU TỔNG HỢP'!$B$3&lt;&gt;"",ISNUMBER(SEARCH('TRA CỨU TỔNG HỢP'!$B$3,V62))),MAX($W$3:W61)+1,"")</f>
        <v/>
      </c>
    </row>
    <row r="63" ht="15" customHeight="1" s="217">
      <c r="A63" s="354" t="inlineStr">
        <is>
          <t>CUMMINS</t>
        </is>
      </c>
      <c r="B63" s="355" t="inlineStr">
        <is>
          <t>HH079268</t>
        </is>
      </c>
      <c r="C63" s="354" t="inlineStr">
        <is>
          <t>Holset</t>
        </is>
      </c>
      <c r="D63" s="354" t="inlineStr">
        <is>
          <t>H2D</t>
        </is>
      </c>
      <c r="E63" s="354" t="inlineStr">
        <is>
          <t>6CTA</t>
        </is>
      </c>
      <c r="F63" s="356" t="n">
        <v>3538623</v>
      </c>
      <c r="G63" s="354" t="n"/>
      <c r="H63" s="354" t="n"/>
      <c r="I63" s="354" t="inlineStr">
        <is>
          <t>MÁY THỦY</t>
        </is>
      </c>
      <c r="J63" s="357" t="inlineStr">
        <is>
          <t>VIDARIR</t>
        </is>
      </c>
      <c r="K63" s="358" t="n"/>
      <c r="L63" s="358" t="n"/>
      <c r="M63" s="358" t="n"/>
      <c r="N63" s="358">
        <f>IF(M63="","",M63*1.1)</f>
        <v/>
      </c>
      <c r="O63" s="359" t="n"/>
      <c r="P63" s="359" t="n"/>
      <c r="Q63" s="359" t="n"/>
      <c r="R63" s="359" t="n"/>
      <c r="S63" s="359" t="n"/>
      <c r="T63" s="359" t="n"/>
      <c r="V63" s="216">
        <f>UPPER(A63&amp;" "&amp;B63&amp;" "&amp;D63&amp;" "&amp;E63&amp;" "&amp;F63&amp;" "&amp;G63&amp;" "&amp;H63&amp;" "&amp;I63&amp;" "&amp;J63)</f>
        <v/>
      </c>
      <c r="W63" s="216">
        <f>IF(AND('TRA CỨU TỔNG HỢP'!$B$3&lt;&gt;"",ISNUMBER(SEARCH('TRA CỨU TỔNG HỢP'!$B$3,V63))),MAX($W$3:W62)+1,"")</f>
        <v/>
      </c>
    </row>
    <row r="64" ht="15" customHeight="1" s="217">
      <c r="A64" s="340" t="inlineStr">
        <is>
          <t>CUMMINS</t>
        </is>
      </c>
      <c r="B64" s="341" t="inlineStr">
        <is>
          <t>HH082364</t>
        </is>
      </c>
      <c r="C64" s="340" t="inlineStr">
        <is>
          <t>Holset</t>
        </is>
      </c>
      <c r="D64" s="340" t="inlineStr">
        <is>
          <t>HE351VE</t>
        </is>
      </c>
      <c r="E64" s="340" t="inlineStr">
        <is>
          <t>FREIGHTLINER-</t>
        </is>
      </c>
      <c r="F64" s="342" t="inlineStr">
        <is>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is>
      </c>
      <c r="G64" s="340" t="n"/>
      <c r="H64" s="340" t="n"/>
      <c r="I64" s="340" t="n"/>
      <c r="J64" s="343" t="inlineStr">
        <is>
          <t>SL</t>
        </is>
      </c>
      <c r="K64" s="344" t="n"/>
      <c r="L64" s="344" t="n"/>
      <c r="M64" s="344" t="n"/>
      <c r="N64" s="344">
        <f>IF(M64="","",M64*1.1)</f>
        <v/>
      </c>
      <c r="O64" s="345" t="n">
        <v>85</v>
      </c>
      <c r="P64" s="345" t="n">
        <v>56</v>
      </c>
      <c r="Q64" s="345" t="inlineStr">
        <is>
          <t>7/7</t>
        </is>
      </c>
      <c r="R64" s="345" t="n">
        <v>69.8</v>
      </c>
      <c r="S64" s="345" t="n">
        <v>60</v>
      </c>
      <c r="T64" s="345" t="n">
        <v>12</v>
      </c>
      <c r="V64" s="346">
        <f>UPPER(A64&amp;" "&amp;B64&amp;" "&amp;D64&amp;" "&amp;E64&amp;" "&amp;F64&amp;" "&amp;G64&amp;" "&amp;H64&amp;" "&amp;I64&amp;" "&amp;J64)</f>
        <v/>
      </c>
      <c r="W64" s="216">
        <f>IF(AND('TRA CỨU TỔNG HỢP'!$B$3&lt;&gt;"",ISNUMBER(SEARCH('TRA CỨU TỔNG HỢP'!$B$3,V64))),MAX($W$3:W63)+1,"")</f>
        <v/>
      </c>
    </row>
    <row r="65" ht="15" customHeight="1" s="217">
      <c r="A65" s="347" t="inlineStr">
        <is>
          <t xml:space="preserve">  └─ CUMMINS</t>
        </is>
      </c>
      <c r="B65" s="348" t="inlineStr">
        <is>
          <t>HH082365</t>
        </is>
      </c>
      <c r="C65" s="349" t="inlineStr">
        <is>
          <t>Holset</t>
        </is>
      </c>
      <c r="D65" s="349" t="inlineStr">
        <is>
          <t>HE351VE</t>
        </is>
      </c>
      <c r="E65" s="349" t="inlineStr">
        <is>
          <t>FREIGHTLINER-</t>
        </is>
      </c>
      <c r="F65" s="350" t="inlineStr">
        <is>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is>
      </c>
      <c r="G65" s="349" t="n"/>
      <c r="H65" s="349" t="n"/>
      <c r="I65" s="349" t="n"/>
      <c r="J65" s="351" t="inlineStr">
        <is>
          <t>SL</t>
        </is>
      </c>
      <c r="K65" s="352" t="n"/>
      <c r="L65" s="352" t="n"/>
      <c r="M65" s="352" t="n"/>
      <c r="N65" s="352">
        <f>IF(M65="","",M65*1.1)</f>
        <v/>
      </c>
      <c r="O65" s="353" t="n">
        <v>85</v>
      </c>
      <c r="P65" s="353" t="n">
        <v>56</v>
      </c>
      <c r="Q65" s="353" t="inlineStr">
        <is>
          <t>7/7</t>
        </is>
      </c>
      <c r="R65" s="353" t="n">
        <v>69.8</v>
      </c>
      <c r="S65" s="353" t="n">
        <v>60</v>
      </c>
      <c r="T65" s="353" t="n">
        <v>12</v>
      </c>
      <c r="V65" s="346">
        <f>UPPER(A65&amp;" "&amp;B65&amp;" "&amp;D65&amp;" "&amp;E65&amp;" "&amp;F65&amp;" "&amp;G65&amp;" "&amp;H65&amp;" "&amp;I65&amp;" "&amp;J65)</f>
        <v/>
      </c>
      <c r="W65" s="216">
        <f>IF(AND('TRA CỨU TỔNG HỢP'!$B$3&lt;&gt;"",ISNUMBER(SEARCH('TRA CỨU TỔNG HỢP'!$B$3,V65))),MAX($W$3:W64)+1,"")</f>
        <v/>
      </c>
    </row>
    <row r="66" ht="15" customHeight="1" s="217">
      <c r="A66" s="340" t="inlineStr">
        <is>
          <t>CUMMINS</t>
        </is>
      </c>
      <c r="B66" s="341" t="inlineStr">
        <is>
          <t>HH080317</t>
        </is>
      </c>
      <c r="C66" s="340" t="inlineStr">
        <is>
          <t>Holset</t>
        </is>
      </c>
      <c r="D66" s="340" t="inlineStr">
        <is>
          <t>HE300WG/HE351W</t>
        </is>
      </c>
      <c r="E66" s="340" t="inlineStr">
        <is>
          <t>ISDe6.7</t>
        </is>
      </c>
      <c r="F66" s="342" t="inlineStr">
        <is>
          <t>3776568
3776569/3960478/A3960478
3960479/A3960479
3971920/2839319
4035253/4047757
4047758/4029159/4029160</t>
        </is>
      </c>
      <c r="G66" s="340" t="n"/>
      <c r="H66" s="340" t="n"/>
      <c r="I66" s="340" t="n"/>
      <c r="J66" s="343" t="inlineStr">
        <is>
          <t>SL</t>
        </is>
      </c>
      <c r="K66" s="344" t="n"/>
      <c r="L66" s="344" t="n"/>
      <c r="M66" s="344" t="n"/>
      <c r="N66" s="344">
        <f>IF(M66="","",M66*1.1)</f>
        <v/>
      </c>
      <c r="O66" s="345" t="n">
        <v>78</v>
      </c>
      <c r="P66" s="345" t="n">
        <v>54</v>
      </c>
      <c r="Q66" s="345" t="inlineStr">
        <is>
          <t>7/7</t>
        </is>
      </c>
      <c r="R66" s="345" t="n">
        <v>70</v>
      </c>
      <c r="S66" s="345" t="n">
        <v>60</v>
      </c>
      <c r="T66" s="345" t="n">
        <v>12</v>
      </c>
      <c r="V66" s="346">
        <f>UPPER(A66&amp;" "&amp;B66&amp;" "&amp;D66&amp;" "&amp;E66&amp;" "&amp;F66&amp;" "&amp;G66&amp;" "&amp;H66&amp;" "&amp;I66&amp;" "&amp;J66)</f>
        <v/>
      </c>
      <c r="W66" s="216">
        <f>IF(AND('TRA CỨU TỔNG HỢP'!$B$3&lt;&gt;"",ISNUMBER(SEARCH('TRA CỨU TỔNG HỢP'!$B$3,V66))),MAX($W$3:W65)+1,"")</f>
        <v/>
      </c>
    </row>
    <row r="67" ht="15" customHeight="1" s="217">
      <c r="A67" s="347" t="inlineStr">
        <is>
          <t xml:space="preserve">  └─ CUMMINS</t>
        </is>
      </c>
      <c r="B67" s="348" t="inlineStr">
        <is>
          <t>HH080920</t>
        </is>
      </c>
      <c r="C67" s="349" t="inlineStr">
        <is>
          <t>Holset</t>
        </is>
      </c>
      <c r="D67" s="349" t="inlineStr">
        <is>
          <t>HE300WG/HE351W</t>
        </is>
      </c>
      <c r="E67" s="349" t="inlineStr">
        <is>
          <t>ISDe6.7</t>
        </is>
      </c>
      <c r="F67" s="350" t="inlineStr">
        <is>
          <t>3776568
3776569/3960478/A3960478
3960479/A3960479
3971920/2839319
4035253/4047757
4047758/4029159/4029160</t>
        </is>
      </c>
      <c r="G67" s="349" t="n"/>
      <c r="H67" s="349" t="n"/>
      <c r="I67" s="349" t="n"/>
      <c r="J67" s="351" t="inlineStr">
        <is>
          <t>TBS</t>
        </is>
      </c>
      <c r="K67" s="352" t="n"/>
      <c r="L67" s="352" t="n"/>
      <c r="M67" s="352" t="n"/>
      <c r="N67" s="352">
        <f>IF(M67="","",M67*1.1)</f>
        <v/>
      </c>
      <c r="O67" s="353" t="n">
        <v>78</v>
      </c>
      <c r="P67" s="353" t="n">
        <v>54</v>
      </c>
      <c r="Q67" s="353" t="inlineStr">
        <is>
          <t>7/7</t>
        </is>
      </c>
      <c r="R67" s="353" t="n">
        <v>70</v>
      </c>
      <c r="S67" s="353" t="n">
        <v>60</v>
      </c>
      <c r="T67" s="353" t="n">
        <v>12</v>
      </c>
      <c r="V67" s="346">
        <f>UPPER(A67&amp;" "&amp;B67&amp;" "&amp;D67&amp;" "&amp;E67&amp;" "&amp;F67&amp;" "&amp;G67&amp;" "&amp;H67&amp;" "&amp;I67&amp;" "&amp;J67)</f>
        <v/>
      </c>
      <c r="W67" s="216">
        <f>IF(AND('TRA CỨU TỔNG HỢP'!$B$3&lt;&gt;"",ISNUMBER(SEARCH('TRA CỨU TỔNG HỢP'!$B$3,V67))),MAX($W$3:W66)+1,"")</f>
        <v/>
      </c>
    </row>
    <row r="68" ht="15" customHeight="1" s="217">
      <c r="A68" s="340" t="inlineStr">
        <is>
          <t>CUMMINS</t>
        </is>
      </c>
      <c r="B68" s="341" t="inlineStr">
        <is>
          <t>HH072356</t>
        </is>
      </c>
      <c r="C68" s="340" t="inlineStr">
        <is>
          <t>Holset</t>
        </is>
      </c>
      <c r="D68" s="340" t="inlineStr">
        <is>
          <t>HX30W</t>
        </is>
      </c>
      <c r="E68" s="340" t="inlineStr">
        <is>
          <t>4BT/4B3.9</t>
        </is>
      </c>
      <c r="F68" s="342" t="inlineStr">
        <is>
          <t>3592121/3802906
3592122/3592123
3592124/3537751/3537753</t>
        </is>
      </c>
      <c r="G68" s="373" t="inlineStr">
        <is>
          <t>Tâm lỗ bu lông 44.5 x 86
cổ nhôm không loe</t>
        </is>
      </c>
      <c r="H68" s="340" t="n"/>
      <c r="I68" s="340" t="n"/>
      <c r="J68" s="343" t="inlineStr">
        <is>
          <t>SL</t>
        </is>
      </c>
      <c r="K68" s="344" t="n"/>
      <c r="L68" s="344" t="n"/>
      <c r="M68" s="344" t="n"/>
      <c r="N68" s="344">
        <f>IF(M68="","",M68*1.1)</f>
        <v/>
      </c>
      <c r="O68" s="345" t="n">
        <v>69</v>
      </c>
      <c r="P68" s="345" t="n">
        <v>40.2</v>
      </c>
      <c r="Q68" s="345" t="inlineStr">
        <is>
          <t>6/6</t>
        </is>
      </c>
      <c r="R68" s="345" t="n">
        <v>65.40000000000001</v>
      </c>
      <c r="S68" s="345" t="n">
        <v>52</v>
      </c>
      <c r="T68" s="345" t="n">
        <v>12</v>
      </c>
      <c r="V68" s="346">
        <f>UPPER(A68&amp;" "&amp;B68&amp;" "&amp;D68&amp;" "&amp;E68&amp;" "&amp;F68&amp;" "&amp;G68&amp;" "&amp;H68&amp;" "&amp;I68&amp;" "&amp;J68)</f>
        <v/>
      </c>
      <c r="W68" s="216">
        <f>IF(AND('TRA CỨU TỔNG HỢP'!$B$3&lt;&gt;"",ISNUMBER(SEARCH('TRA CỨU TỔNG HỢP'!$B$3,V68))),MAX($W$3:W67)+1,"")</f>
        <v/>
      </c>
    </row>
    <row r="69" ht="15" customHeight="1" s="217">
      <c r="A69" s="347" t="inlineStr">
        <is>
          <t xml:space="preserve">  └─ CUMMINS</t>
        </is>
      </c>
      <c r="B69" s="348" t="inlineStr">
        <is>
          <t>HH079072</t>
        </is>
      </c>
      <c r="C69" s="349" t="inlineStr">
        <is>
          <t>Holset</t>
        </is>
      </c>
      <c r="D69" s="349" t="inlineStr">
        <is>
          <t>HX30W</t>
        </is>
      </c>
      <c r="E69" s="349" t="inlineStr">
        <is>
          <t>4BT/4B3.9</t>
        </is>
      </c>
      <c r="F69" s="350" t="inlineStr">
        <is>
          <t>3592121/3802906
3592122/3592123
3592124/3537751/3537753</t>
        </is>
      </c>
      <c r="G69" s="374" t="inlineStr">
        <is>
          <t>Tâm lỗ bu lông 44.5 x 86
cổ nhôm không loe</t>
        </is>
      </c>
      <c r="H69" s="349" t="n"/>
      <c r="I69" s="349" t="n"/>
      <c r="J69" s="351" t="n"/>
      <c r="K69" s="352" t="n"/>
      <c r="L69" s="352" t="n"/>
      <c r="M69" s="352" t="n"/>
      <c r="N69" s="352">
        <f>IF(M69="","",M69*1.1)</f>
        <v/>
      </c>
      <c r="O69" s="353" t="n">
        <v>69</v>
      </c>
      <c r="P69" s="353" t="n">
        <v>40.2</v>
      </c>
      <c r="Q69" s="353" t="inlineStr">
        <is>
          <t>6/6</t>
        </is>
      </c>
      <c r="R69" s="353" t="n">
        <v>65.40000000000001</v>
      </c>
      <c r="S69" s="353" t="n">
        <v>52</v>
      </c>
      <c r="T69" s="353" t="n">
        <v>12</v>
      </c>
      <c r="V69" s="346">
        <f>UPPER(A69&amp;" "&amp;B69&amp;" "&amp;D69&amp;" "&amp;E69&amp;" "&amp;F69&amp;" "&amp;G69&amp;" "&amp;H69&amp;" "&amp;I69&amp;" "&amp;J69)</f>
        <v/>
      </c>
      <c r="W69" s="216">
        <f>IF(AND('TRA CỨU TỔNG HỢP'!$B$3&lt;&gt;"",ISNUMBER(SEARCH('TRA CỨU TỔNG HỢP'!$B$3,V69))),MAX($W$3:W68)+1,"")</f>
        <v/>
      </c>
    </row>
    <row r="70" ht="15" customHeight="1" s="217">
      <c r="A70" s="347" t="inlineStr">
        <is>
          <t xml:space="preserve">  └─ CUMMINS</t>
        </is>
      </c>
      <c r="B70" s="348" t="inlineStr">
        <is>
          <t>HH079970</t>
        </is>
      </c>
      <c r="C70" s="349" t="inlineStr">
        <is>
          <t>Holset</t>
        </is>
      </c>
      <c r="D70" s="349" t="inlineStr">
        <is>
          <t>HX30W</t>
        </is>
      </c>
      <c r="E70" s="349" t="inlineStr">
        <is>
          <t>4BT/4B3.9</t>
        </is>
      </c>
      <c r="F70" s="350" t="inlineStr">
        <is>
          <t>3592121/3802906
3592122/3592123
3592124/3537751/3537753</t>
        </is>
      </c>
      <c r="G70" s="374" t="inlineStr">
        <is>
          <t>Tâm lỗ bu lông 44.5 x 86
cổ nhôm không loe</t>
        </is>
      </c>
      <c r="H70" s="349" t="n"/>
      <c r="I70" s="349" t="n"/>
      <c r="J70" s="351" t="n"/>
      <c r="K70" s="352" t="n"/>
      <c r="L70" s="352" t="n"/>
      <c r="M70" s="352" t="n"/>
      <c r="N70" s="352">
        <f>IF(M70="","",M70*1.1)</f>
        <v/>
      </c>
      <c r="O70" s="353" t="n">
        <v>69</v>
      </c>
      <c r="P70" s="353" t="n">
        <v>40.2</v>
      </c>
      <c r="Q70" s="353" t="inlineStr">
        <is>
          <t>6/6</t>
        </is>
      </c>
      <c r="R70" s="353" t="n">
        <v>65.40000000000001</v>
      </c>
      <c r="S70" s="353" t="n">
        <v>52</v>
      </c>
      <c r="T70" s="353" t="n">
        <v>12</v>
      </c>
      <c r="V70" s="346">
        <f>UPPER(A70&amp;" "&amp;B70&amp;" "&amp;D70&amp;" "&amp;E70&amp;" "&amp;F70&amp;" "&amp;G70&amp;" "&amp;H70&amp;" "&amp;I70&amp;" "&amp;J70)</f>
        <v/>
      </c>
      <c r="W70" s="216">
        <f>IF(AND('TRA CỨU TỔNG HỢP'!$B$3&lt;&gt;"",ISNUMBER(SEARCH('TRA CỨU TỔNG HỢP'!$B$3,V70))),MAX($W$3:W69)+1,"")</f>
        <v/>
      </c>
    </row>
    <row r="71" ht="15" customHeight="1" s="217">
      <c r="A71" s="340" t="inlineStr">
        <is>
          <t>CUMMINS</t>
        </is>
      </c>
      <c r="B71" s="341" t="inlineStr">
        <is>
          <t>HH071943</t>
        </is>
      </c>
      <c r="C71" s="340" t="inlineStr">
        <is>
          <t>Holset</t>
        </is>
      </c>
      <c r="D71" s="340" t="inlineStr">
        <is>
          <t>HX30W</t>
        </is>
      </c>
      <c r="E71" s="340" t="inlineStr">
        <is>
          <t>4BT/4B3.9</t>
        </is>
      </c>
      <c r="F71" s="342" t="inlineStr">
        <is>
          <t>3592318/3592317/3598814</t>
        </is>
      </c>
      <c r="G71" s="373" t="inlineStr">
        <is>
          <t>Tâm lỗ bu lông 44.5 x 86 
cổ nhôm loe ra</t>
        </is>
      </c>
      <c r="H71" s="340" t="n"/>
      <c r="I71" s="340" t="inlineStr">
        <is>
          <t>CÓ H/A SL</t>
        </is>
      </c>
      <c r="J71" s="343" t="n"/>
      <c r="K71" s="344" t="n"/>
      <c r="L71" s="344" t="n"/>
      <c r="M71" s="344" t="n"/>
      <c r="N71" s="344">
        <f>IF(M71="","",M71*1.1)</f>
        <v/>
      </c>
      <c r="O71" s="345" t="n">
        <v>73</v>
      </c>
      <c r="P71" s="345" t="n">
        <v>44</v>
      </c>
      <c r="Q71" s="345" t="inlineStr">
        <is>
          <t>6/6</t>
        </is>
      </c>
      <c r="R71" s="345" t="n">
        <v>65.40000000000001</v>
      </c>
      <c r="S71" s="345" t="n">
        <v>52</v>
      </c>
      <c r="T71" s="345" t="n">
        <v>12</v>
      </c>
      <c r="V71" s="346">
        <f>UPPER(A71&amp;" "&amp;B71&amp;" "&amp;D71&amp;" "&amp;E71&amp;" "&amp;F71&amp;" "&amp;G71&amp;" "&amp;H71&amp;" "&amp;I71&amp;" "&amp;J71)</f>
        <v/>
      </c>
      <c r="W71" s="216">
        <f>IF(AND('TRA CỨU TỔNG HỢP'!$B$3&lt;&gt;"",ISNUMBER(SEARCH('TRA CỨU TỔNG HỢP'!$B$3,V71))),MAX($W$3:W70)+1,"")</f>
        <v/>
      </c>
    </row>
    <row r="72" ht="15" customHeight="1" s="217">
      <c r="A72" s="347" t="inlineStr">
        <is>
          <t xml:space="preserve">  └─ CUMMINS</t>
        </is>
      </c>
      <c r="B72" s="348" t="inlineStr">
        <is>
          <t>HH079971</t>
        </is>
      </c>
      <c r="C72" s="349" t="inlineStr">
        <is>
          <t>Holset</t>
        </is>
      </c>
      <c r="D72" s="349" t="inlineStr">
        <is>
          <t>HX30W</t>
        </is>
      </c>
      <c r="E72" s="349" t="inlineStr">
        <is>
          <t>4BT/4B3.9</t>
        </is>
      </c>
      <c r="F72" s="350" t="inlineStr">
        <is>
          <t>3592318/3592317/3598814</t>
        </is>
      </c>
      <c r="G72" s="374" t="inlineStr">
        <is>
          <t>Tâm lỗ bu lông 44.5 x 86 
cổ nhôm loe ra</t>
        </is>
      </c>
      <c r="H72" s="349" t="n"/>
      <c r="I72" s="349" t="inlineStr">
        <is>
          <t>CÓ H/A SL</t>
        </is>
      </c>
      <c r="J72" s="351" t="inlineStr">
        <is>
          <t>SL</t>
        </is>
      </c>
      <c r="K72" s="352" t="n"/>
      <c r="L72" s="352" t="n"/>
      <c r="M72" s="352" t="n"/>
      <c r="N72" s="352">
        <f>IF(M72="","",M72*1.1)</f>
        <v/>
      </c>
      <c r="O72" s="353" t="n">
        <v>73</v>
      </c>
      <c r="P72" s="353" t="n">
        <v>44</v>
      </c>
      <c r="Q72" s="353" t="inlineStr">
        <is>
          <t>6/6</t>
        </is>
      </c>
      <c r="R72" s="353" t="n">
        <v>65.40000000000001</v>
      </c>
      <c r="S72" s="353" t="n">
        <v>52</v>
      </c>
      <c r="T72" s="353" t="n">
        <v>12</v>
      </c>
      <c r="V72" s="346">
        <f>UPPER(A72&amp;" "&amp;B72&amp;" "&amp;D72&amp;" "&amp;E72&amp;" "&amp;F72&amp;" "&amp;G72&amp;" "&amp;H72&amp;" "&amp;I72&amp;" "&amp;J72)</f>
        <v/>
      </c>
      <c r="W72" s="216">
        <f>IF(AND('TRA CỨU TỔNG HỢP'!$B$3&lt;&gt;"",ISNUMBER(SEARCH('TRA CỨU TỔNG HỢP'!$B$3,V72))),MAX($W$3:W71)+1,"")</f>
        <v/>
      </c>
    </row>
    <row r="73" ht="15" customHeight="1" s="217">
      <c r="A73" s="354" t="inlineStr">
        <is>
          <t>CUMMINS</t>
        </is>
      </c>
      <c r="B73" s="355" t="inlineStr">
        <is>
          <t>HH077138</t>
        </is>
      </c>
      <c r="C73" s="354" t="inlineStr">
        <is>
          <t>Holset</t>
        </is>
      </c>
      <c r="D73" s="354" t="inlineStr">
        <is>
          <t>ISM11/HX55W</t>
        </is>
      </c>
      <c r="E73" s="354" t="n"/>
      <c r="F73" s="356" t="inlineStr">
        <is>
          <t>3592778/3592779/4046030
8C05-200-C66</t>
        </is>
      </c>
      <c r="G73" s="354" t="n"/>
      <c r="H73" s="354" t="n"/>
      <c r="I73" s="354" t="n"/>
      <c r="J73" s="357" t="inlineStr">
        <is>
          <t>JRONE</t>
        </is>
      </c>
      <c r="K73" s="358" t="n"/>
      <c r="L73" s="358" t="n"/>
      <c r="M73" s="358" t="n"/>
      <c r="N73" s="358">
        <f>IF(M73="","",M73*1.1)</f>
        <v/>
      </c>
      <c r="O73" s="359" t="n">
        <v>99</v>
      </c>
      <c r="P73" s="359" t="n">
        <v>65</v>
      </c>
      <c r="Q73" s="359" t="inlineStr">
        <is>
          <t>7/7</t>
        </is>
      </c>
      <c r="R73" s="359" t="n">
        <v>86</v>
      </c>
      <c r="S73" s="359" t="n">
        <v>77</v>
      </c>
      <c r="T73" s="359" t="n">
        <v>12</v>
      </c>
      <c r="V73" s="346">
        <f>UPPER(A73&amp;" "&amp;B73&amp;" "&amp;D73&amp;" "&amp;E73&amp;" "&amp;F73&amp;" "&amp;G73&amp;" "&amp;H73&amp;" "&amp;I73&amp;" "&amp;J73)</f>
        <v/>
      </c>
      <c r="W73" s="216">
        <f>IF(AND('TRA CỨU TỔNG HỢP'!$B$3&lt;&gt;"",ISNUMBER(SEARCH('TRA CỨU TỔNG HỢP'!$B$3,V73))),MAX($W$3:W72)+1,"")</f>
        <v/>
      </c>
    </row>
    <row r="74" ht="15" customHeight="1" s="217">
      <c r="A74" s="354" t="inlineStr">
        <is>
          <t>CUMMINS</t>
        </is>
      </c>
      <c r="B74" s="355" t="inlineStr">
        <is>
          <t>HH083053</t>
        </is>
      </c>
      <c r="C74" s="354" t="inlineStr">
        <is>
          <t>Holset</t>
        </is>
      </c>
      <c r="D74" s="354" t="inlineStr">
        <is>
          <t>HE200WG</t>
        </is>
      </c>
      <c r="E74" s="354" t="inlineStr">
        <is>
          <t>ISF3.8</t>
        </is>
      </c>
      <c r="F74" s="356" t="inlineStr">
        <is>
          <t>5324825/ 5455135</t>
        </is>
      </c>
      <c r="G74" s="354" t="n"/>
      <c r="H74" s="354" t="n"/>
      <c r="I74" s="354" t="n"/>
      <c r="J74" s="357" t="inlineStr">
        <is>
          <t>SL</t>
        </is>
      </c>
      <c r="K74" s="358" t="n"/>
      <c r="L74" s="358" t="n"/>
      <c r="M74" s="358" t="n"/>
      <c r="N74" s="358">
        <f>IF(M74="","",M74*1.1)</f>
        <v/>
      </c>
      <c r="O74" s="359" t="n">
        <v>55</v>
      </c>
      <c r="P74" s="359" t="n">
        <v>40.5</v>
      </c>
      <c r="Q74" s="359" t="inlineStr">
        <is>
          <t>6/6</t>
        </is>
      </c>
      <c r="R74" s="359" t="n">
        <v>49</v>
      </c>
      <c r="S74" s="359" t="n">
        <v>40</v>
      </c>
      <c r="T74" s="359" t="n">
        <v>11</v>
      </c>
      <c r="V74" s="216">
        <f>UPPER(A74&amp;" "&amp;B74&amp;" "&amp;D74&amp;" "&amp;E74&amp;" "&amp;F74&amp;" "&amp;G74&amp;" "&amp;H74&amp;" "&amp;I74&amp;" "&amp;J74)</f>
        <v/>
      </c>
      <c r="W74" s="216">
        <f>IF(AND('TRA CỨU TỔNG HỢP'!$B$3&lt;&gt;"",ISNUMBER(SEARCH('TRA CỨU TỔNG HỢP'!$B$3,V74))),MAX($W$3:W73)+1,"")</f>
        <v/>
      </c>
    </row>
    <row r="75" ht="15" customHeight="1" s="217">
      <c r="A75" s="340" t="inlineStr">
        <is>
          <t>CUMMINS</t>
        </is>
      </c>
      <c r="B75" s="341" t="inlineStr">
        <is>
          <t>HH079269</t>
        </is>
      </c>
      <c r="C75" s="340" t="inlineStr">
        <is>
          <t>Holset</t>
        </is>
      </c>
      <c r="D75" s="340" t="inlineStr">
        <is>
          <t>HE200WG</t>
        </is>
      </c>
      <c r="E75" s="340" t="inlineStr">
        <is>
          <t>ISF3.8</t>
        </is>
      </c>
      <c r="F75" s="342" t="inlineStr">
        <is>
          <t>3772741 | 3772742 | 2840684 | 2840685 | 3796165</t>
        </is>
      </c>
      <c r="G75" s="340" t="inlineStr">
        <is>
          <t>Tâm lỗ bu lông 73 x 40</t>
        </is>
      </c>
      <c r="H75" s="340" t="n"/>
      <c r="I75" s="340" t="n"/>
      <c r="J75" s="343" t="inlineStr">
        <is>
          <t>VIDARIR</t>
        </is>
      </c>
      <c r="K75" s="344" t="n"/>
      <c r="L75" s="344" t="n"/>
      <c r="M75" s="344" t="n"/>
      <c r="N75" s="344">
        <f>IF(M75="","",M75*1.1)</f>
        <v/>
      </c>
      <c r="O75" s="345" t="n">
        <v>58</v>
      </c>
      <c r="P75" s="345" t="n">
        <v>41</v>
      </c>
      <c r="Q75" s="345" t="inlineStr">
        <is>
          <t>6/6</t>
        </is>
      </c>
      <c r="R75" s="345" t="n">
        <v>49</v>
      </c>
      <c r="S75" s="345" t="n">
        <v>44</v>
      </c>
      <c r="T75" s="345" t="n">
        <v>11</v>
      </c>
      <c r="V75" s="216">
        <f>UPPER(A75&amp;" "&amp;B75&amp;" "&amp;D75&amp;" "&amp;E75&amp;" "&amp;F75&amp;" "&amp;G75&amp;" "&amp;H75&amp;" "&amp;I75&amp;" "&amp;J75)</f>
        <v/>
      </c>
      <c r="W75" s="216">
        <f>IF(AND('TRA CỨU TỔNG HỢP'!$B$3&lt;&gt;"",ISNUMBER(SEARCH('TRA CỨU TỔNG HỢP'!$B$3,V75))),MAX($W$3:W74)+1,"")</f>
        <v/>
      </c>
    </row>
    <row r="76" ht="15" customHeight="1" s="217">
      <c r="A76" s="347" t="inlineStr">
        <is>
          <t xml:space="preserve">  └─ CUMMINS</t>
        </is>
      </c>
      <c r="B76" s="348" t="inlineStr">
        <is>
          <t>HH083505</t>
        </is>
      </c>
      <c r="C76" s="349" t="inlineStr">
        <is>
          <t>Holset</t>
        </is>
      </c>
      <c r="D76" s="349" t="inlineStr">
        <is>
          <t>HE200WG</t>
        </is>
      </c>
      <c r="E76" s="349" t="inlineStr">
        <is>
          <t>ISF3.8</t>
        </is>
      </c>
      <c r="F76" s="350" t="inlineStr">
        <is>
          <t>3772741 | 3772742 | 2840684 | 2840685 | 3796165</t>
        </is>
      </c>
      <c r="G76" s="349" t="inlineStr">
        <is>
          <t>Tâm lỗ bu lông 73 x 40</t>
        </is>
      </c>
      <c r="H76" s="349" t="n"/>
      <c r="I76" s="349" t="n"/>
      <c r="J76" s="351" t="inlineStr">
        <is>
          <t>TBS</t>
        </is>
      </c>
      <c r="K76" s="352" t="n"/>
      <c r="L76" s="352" t="n"/>
      <c r="M76" s="352" t="n"/>
      <c r="N76" s="352">
        <f>IF(M76="","",M76*1.1)</f>
        <v/>
      </c>
      <c r="O76" s="353" t="n">
        <v>58</v>
      </c>
      <c r="P76" s="353" t="n">
        <v>41</v>
      </c>
      <c r="Q76" s="353" t="inlineStr">
        <is>
          <t>6/6</t>
        </is>
      </c>
      <c r="R76" s="353" t="n">
        <v>49</v>
      </c>
      <c r="S76" s="353" t="n">
        <v>44</v>
      </c>
      <c r="T76" s="353" t="n">
        <v>11</v>
      </c>
      <c r="V76" s="216">
        <f>UPPER(A76&amp;" "&amp;B76&amp;" "&amp;D76&amp;" "&amp;E76&amp;" "&amp;F76&amp;" "&amp;G76&amp;" "&amp;H76&amp;" "&amp;I76&amp;" "&amp;J76)</f>
        <v/>
      </c>
      <c r="W76" s="216">
        <f>IF(AND('TRA CỨU TỔNG HỢP'!$B$3&lt;&gt;"",ISNUMBER(SEARCH('TRA CỨU TỔNG HỢP'!$B$3,V76))),MAX($W$3:W75)+1,"")</f>
        <v/>
      </c>
    </row>
    <row r="77" ht="15" customHeight="1" s="217">
      <c r="A77" s="347" t="inlineStr">
        <is>
          <t xml:space="preserve">  └─ CUMMINS</t>
        </is>
      </c>
      <c r="B77" s="348" t="inlineStr">
        <is>
          <t>HH081616</t>
        </is>
      </c>
      <c r="C77" s="349" t="inlineStr">
        <is>
          <t>Holset</t>
        </is>
      </c>
      <c r="D77" s="349" t="inlineStr">
        <is>
          <t>HE200WG</t>
        </is>
      </c>
      <c r="E77" s="349" t="inlineStr">
        <is>
          <t>ISF3.8</t>
        </is>
      </c>
      <c r="F77" s="350" t="inlineStr">
        <is>
          <t>3772741 | 3772742 | 2840684 | 2840685 | 3796165</t>
        </is>
      </c>
      <c r="G77" s="349" t="inlineStr">
        <is>
          <t>Tâm lỗ bu lông 73 x 40</t>
        </is>
      </c>
      <c r="H77" s="349" t="n"/>
      <c r="I77" s="349" t="n"/>
      <c r="J77" s="351" t="inlineStr">
        <is>
          <t>VIDARIR</t>
        </is>
      </c>
      <c r="K77" s="352" t="n"/>
      <c r="L77" s="352" t="n"/>
      <c r="M77" s="352" t="n"/>
      <c r="N77" s="352">
        <f>IF(M77="","",M77*1.1)</f>
        <v/>
      </c>
      <c r="O77" s="353" t="n">
        <v>58</v>
      </c>
      <c r="P77" s="353" t="n">
        <v>41</v>
      </c>
      <c r="Q77" s="353" t="inlineStr">
        <is>
          <t>6/6</t>
        </is>
      </c>
      <c r="R77" s="353" t="n">
        <v>49</v>
      </c>
      <c r="S77" s="353" t="n">
        <v>44</v>
      </c>
      <c r="T77" s="353" t="n">
        <v>11</v>
      </c>
      <c r="V77" s="216">
        <f>UPPER(A77&amp;" "&amp;B77&amp;" "&amp;D77&amp;" "&amp;E77&amp;" "&amp;F77&amp;" "&amp;G77&amp;" "&amp;H77&amp;" "&amp;I77&amp;" "&amp;J77)</f>
        <v/>
      </c>
      <c r="W77" s="216">
        <f>IF(AND('TRA CỨU TỔNG HỢP'!$B$3&lt;&gt;"",ISNUMBER(SEARCH('TRA CỨU TỔNG HỢP'!$B$3,V77))),MAX($W$3:W76)+1,"")</f>
        <v/>
      </c>
    </row>
    <row r="78" ht="15" customHeight="1" s="217">
      <c r="A78" s="347" t="inlineStr">
        <is>
          <t xml:space="preserve">  └─ CUMMINS</t>
        </is>
      </c>
      <c r="B78" s="348" t="inlineStr">
        <is>
          <t>HH083504</t>
        </is>
      </c>
      <c r="C78" s="349" t="inlineStr">
        <is>
          <t>Holset</t>
        </is>
      </c>
      <c r="D78" s="349" t="inlineStr">
        <is>
          <t>HE200WG</t>
        </is>
      </c>
      <c r="E78" s="349" t="inlineStr">
        <is>
          <t>ISF3.8</t>
        </is>
      </c>
      <c r="F78" s="350" t="inlineStr">
        <is>
          <t>3772741 | 3772742 | 2840684 | 2840685 | 3796165</t>
        </is>
      </c>
      <c r="G78" s="349" t="inlineStr">
        <is>
          <t>Tâm lỗ bu lông 73 x 40</t>
        </is>
      </c>
      <c r="H78" s="349" t="n"/>
      <c r="I78" s="349" t="n"/>
      <c r="J78" s="351" t="inlineStr">
        <is>
          <t>TBS</t>
        </is>
      </c>
      <c r="K78" s="352" t="n"/>
      <c r="L78" s="352" t="n"/>
      <c r="M78" s="352" t="n"/>
      <c r="N78" s="352">
        <f>IF(M78="","",M78*1.1)</f>
        <v/>
      </c>
      <c r="O78" s="353" t="n">
        <v>58</v>
      </c>
      <c r="P78" s="353" t="n">
        <v>41</v>
      </c>
      <c r="Q78" s="353" t="inlineStr">
        <is>
          <t>6/6</t>
        </is>
      </c>
      <c r="R78" s="353" t="n">
        <v>49</v>
      </c>
      <c r="S78" s="353" t="n">
        <v>44</v>
      </c>
      <c r="T78" s="353" t="n">
        <v>11</v>
      </c>
      <c r="V78" s="216">
        <f>UPPER(A78&amp;" "&amp;B78&amp;" "&amp;D78&amp;" "&amp;E78&amp;" "&amp;F78&amp;" "&amp;G78&amp;" "&amp;H78&amp;" "&amp;I78&amp;" "&amp;J78)</f>
        <v/>
      </c>
      <c r="W78" s="216">
        <f>IF(AND('TRA CỨU TỔNG HỢP'!$B$3&lt;&gt;"",ISNUMBER(SEARCH('TRA CỨU TỔNG HỢP'!$B$3,V78))),MAX($W$3:W77)+1,"")</f>
        <v/>
      </c>
    </row>
    <row r="79" ht="15" customHeight="1" s="217">
      <c r="A79" s="354" t="inlineStr">
        <is>
          <t>CUMMINS</t>
        </is>
      </c>
      <c r="B79" s="355" t="inlineStr">
        <is>
          <t>HH083958</t>
        </is>
      </c>
      <c r="C79" s="354" t="inlineStr">
        <is>
          <t>Holset</t>
        </is>
      </c>
      <c r="D79" s="354" t="inlineStr">
        <is>
          <t>HE221W</t>
        </is>
      </c>
      <c r="E79" s="354" t="inlineStr">
        <is>
          <t>Turbo (Cummins) HE221W/ 8C02-200-J45 (GAZ/ ISF 3.8/ 3767997) - JRONE</t>
        </is>
      </c>
      <c r="F79" s="356" t="inlineStr">
        <is>
          <t>8C02-200-J45/ 3767997/3774193</t>
        </is>
      </c>
      <c r="G79" s="354" t="n"/>
      <c r="H79" s="354" t="inlineStr">
        <is>
          <t>GAZ</t>
        </is>
      </c>
      <c r="I79" s="354" t="inlineStr">
        <is>
          <t>JRONE</t>
        </is>
      </c>
      <c r="J79" s="357" t="inlineStr">
        <is>
          <t>JRONE</t>
        </is>
      </c>
      <c r="K79" s="358" t="n"/>
      <c r="L79" s="358" t="n"/>
      <c r="M79" s="358" t="n"/>
      <c r="N79" s="358">
        <f>IF(M79="","",M79*1.1)</f>
        <v/>
      </c>
      <c r="O79" s="359" t="n">
        <v>56</v>
      </c>
      <c r="P79" s="359" t="n">
        <v>43</v>
      </c>
      <c r="Q79" s="359" t="inlineStr">
        <is>
          <t>6/6</t>
        </is>
      </c>
      <c r="R79" s="359" t="n">
        <v>47.2</v>
      </c>
      <c r="S79" s="359" t="n">
        <v>41.2</v>
      </c>
      <c r="T79" s="359" t="n">
        <v>11</v>
      </c>
      <c r="V79" s="216">
        <f>UPPER(A79&amp;" "&amp;B79&amp;" "&amp;D79&amp;" "&amp;E79&amp;" "&amp;F79&amp;" "&amp;G79&amp;" "&amp;H79&amp;" "&amp;I79&amp;" "&amp;J79)</f>
        <v/>
      </c>
      <c r="W79" s="216">
        <f>IF(AND('TRA CỨU TỔNG HỢP'!$B$3&lt;&gt;"",ISNUMBER(SEARCH('TRA CỨU TỔNG HỢP'!$B$3,V79))),MAX($W$3:W78)+1,"")</f>
        <v/>
      </c>
    </row>
    <row r="80" ht="15" customHeight="1" s="217">
      <c r="A80" s="354" t="inlineStr">
        <is>
          <t>CUMMINS</t>
        </is>
      </c>
      <c r="B80" s="355" t="inlineStr">
        <is>
          <t>HH080644</t>
        </is>
      </c>
      <c r="C80" s="354" t="inlineStr">
        <is>
          <t>Holset</t>
        </is>
      </c>
      <c r="D80" s="354" t="inlineStr">
        <is>
          <t>HX50W/ HE400WG</t>
        </is>
      </c>
      <c r="E80" s="354" t="n"/>
      <c r="F80" s="356" t="inlineStr">
        <is>
          <t>612600118895 3790063</t>
        </is>
      </c>
      <c r="G80" s="354" t="inlineStr">
        <is>
          <t>sò lửa ra có mặt bích tròn bắt bu lông</t>
        </is>
      </c>
      <c r="H80" s="354" t="n"/>
      <c r="I80" s="354" t="n"/>
      <c r="J80" s="357" t="inlineStr">
        <is>
          <t>VIDARIR</t>
        </is>
      </c>
      <c r="K80" s="358" t="n"/>
      <c r="L80" s="358" t="n"/>
      <c r="M80" s="358" t="n"/>
      <c r="N80" s="358">
        <f>IF(M80="","",M80*1.1)</f>
        <v/>
      </c>
      <c r="O80" s="359" t="n"/>
      <c r="P80" s="359" t="n"/>
      <c r="Q80" s="359" t="n"/>
      <c r="R80" s="359" t="n"/>
      <c r="S80" s="359" t="n"/>
      <c r="T80" s="359" t="n"/>
      <c r="V80" s="216">
        <f>UPPER(A80&amp;" "&amp;B80&amp;" "&amp;D80&amp;" "&amp;E80&amp;" "&amp;F80&amp;" "&amp;G80&amp;" "&amp;H80&amp;" "&amp;I80&amp;" "&amp;J80)</f>
        <v/>
      </c>
      <c r="W80" s="216">
        <f>IF(AND('TRA CỨU TỔNG HỢP'!$B$3&lt;&gt;"",ISNUMBER(SEARCH('TRA CỨU TỔNG HỢP'!$B$3,V80))),MAX($W$3:W79)+1,"")</f>
        <v/>
      </c>
    </row>
    <row r="81" ht="15" customHeight="1" s="217">
      <c r="A81" s="354" t="inlineStr">
        <is>
          <t>CUMMINS</t>
        </is>
      </c>
      <c r="B81" s="355" t="inlineStr">
        <is>
          <t>HH080923</t>
        </is>
      </c>
      <c r="C81" s="354" t="inlineStr">
        <is>
          <t>Garrett</t>
        </is>
      </c>
      <c r="D81" s="354" t="inlineStr">
        <is>
          <t>TBP417</t>
        </is>
      </c>
      <c r="E81" s="354" t="inlineStr">
        <is>
          <t>S6D108 WA400</t>
        </is>
      </c>
      <c r="F81" s="356" t="inlineStr">
        <is>
          <t>6222-81-8310</t>
        </is>
      </c>
      <c r="G81" s="354" t="inlineStr">
        <is>
          <t>có điều tốc</t>
        </is>
      </c>
      <c r="H81" s="354" t="n"/>
      <c r="I81" s="354" t="n"/>
      <c r="J81" s="357" t="inlineStr">
        <is>
          <t>TBS</t>
        </is>
      </c>
      <c r="K81" s="358" t="n"/>
      <c r="L81" s="358" t="n"/>
      <c r="M81" s="358" t="n"/>
      <c r="N81" s="358">
        <f>IF(M81="","",M81*1.1)</f>
        <v/>
      </c>
      <c r="O81" s="359" t="n"/>
      <c r="P81" s="359" t="n"/>
      <c r="Q81" s="359" t="n"/>
      <c r="R81" s="359" t="n"/>
      <c r="S81" s="359" t="n"/>
      <c r="T81" s="359" t="n"/>
      <c r="V81" s="216">
        <f>UPPER(A81&amp;" "&amp;B81&amp;" "&amp;D81&amp;" "&amp;E81&amp;" "&amp;F81&amp;" "&amp;G81&amp;" "&amp;H81&amp;" "&amp;I81&amp;" "&amp;J81)</f>
        <v/>
      </c>
      <c r="W81" s="216">
        <f>IF(AND('TRA CỨU TỔNG HỢP'!$B$3&lt;&gt;"",ISNUMBER(SEARCH('TRA CỨU TỔNG HỢP'!$B$3,V81))),MAX($W$3:W80)+1,"")</f>
        <v/>
      </c>
    </row>
    <row r="82" ht="15" customHeight="1" s="217">
      <c r="A82" s="340" t="inlineStr">
        <is>
          <t>CUMMINS</t>
        </is>
      </c>
      <c r="B82" s="341" t="inlineStr">
        <is>
          <t>HH079359</t>
        </is>
      </c>
      <c r="C82" s="340" t="inlineStr">
        <is>
          <t>Holset</t>
        </is>
      </c>
      <c r="D82" s="340" t="inlineStr">
        <is>
          <t>HX80</t>
        </is>
      </c>
      <c r="E82" s="340" t="inlineStr">
        <is>
          <t>KTA19</t>
        </is>
      </c>
      <c r="F82" s="342" t="inlineStr">
        <is>
          <t>3594117/3594118/3594134</t>
        </is>
      </c>
      <c r="G82" s="340" t="n"/>
      <c r="H82" s="340" t="n"/>
      <c r="I82" s="340" t="n"/>
      <c r="J82" s="343" t="inlineStr">
        <is>
          <t>SL</t>
        </is>
      </c>
      <c r="K82" s="344" t="n"/>
      <c r="L82" s="344" t="n"/>
      <c r="M82" s="344" t="n"/>
      <c r="N82" s="344">
        <f>IF(M82="","",M82*1.1)</f>
        <v/>
      </c>
      <c r="O82" s="345" t="n">
        <v>141</v>
      </c>
      <c r="P82" s="345" t="n">
        <v>91.59999999999999</v>
      </c>
      <c r="Q82" s="345" t="inlineStr">
        <is>
          <t>8/8</t>
        </is>
      </c>
      <c r="R82" s="345" t="n">
        <v>129</v>
      </c>
      <c r="S82" s="345" t="n">
        <v>95.84999999999999</v>
      </c>
      <c r="T82" s="345" t="n">
        <v>11</v>
      </c>
      <c r="V82" s="216">
        <f>UPPER(A82&amp;" "&amp;B82&amp;" "&amp;D82&amp;" "&amp;E82&amp;" "&amp;F82&amp;" "&amp;G82&amp;" "&amp;H82&amp;" "&amp;I82&amp;" "&amp;J82)</f>
        <v/>
      </c>
      <c r="W82" s="216">
        <f>IF(AND('TRA CỨU TỔNG HỢP'!$B$3&lt;&gt;"",ISNUMBER(SEARCH('TRA CỨU TỔNG HỢP'!$B$3,V82))),MAX($W$3:W81)+1,"")</f>
        <v/>
      </c>
    </row>
    <row r="83" ht="15" customHeight="1" s="217">
      <c r="A83" s="347" t="inlineStr">
        <is>
          <t xml:space="preserve">  └─ CUMMINS</t>
        </is>
      </c>
      <c r="B83" s="348" t="inlineStr">
        <is>
          <t>HH077028</t>
        </is>
      </c>
      <c r="C83" s="349" t="inlineStr">
        <is>
          <t>Holset</t>
        </is>
      </c>
      <c r="D83" s="349" t="inlineStr">
        <is>
          <t>HX80</t>
        </is>
      </c>
      <c r="E83" s="349" t="inlineStr">
        <is>
          <t>KTA19</t>
        </is>
      </c>
      <c r="F83" s="350" t="inlineStr">
        <is>
          <t>3594117/3594118/3594134</t>
        </is>
      </c>
      <c r="G83" s="349" t="n"/>
      <c r="H83" s="349" t="n"/>
      <c r="I83" s="349" t="n"/>
      <c r="J83" s="351" t="inlineStr">
        <is>
          <t>SL</t>
        </is>
      </c>
      <c r="K83" s="352" t="n"/>
      <c r="L83" s="352" t="n"/>
      <c r="M83" s="352" t="n"/>
      <c r="N83" s="352">
        <f>IF(M83="","",M83*1.1)</f>
        <v/>
      </c>
      <c r="O83" s="353" t="n">
        <v>141</v>
      </c>
      <c r="P83" s="353" t="n">
        <v>91.59999999999999</v>
      </c>
      <c r="Q83" s="353" t="inlineStr">
        <is>
          <t>8/8</t>
        </is>
      </c>
      <c r="R83" s="353" t="n">
        <v>129</v>
      </c>
      <c r="S83" s="353" t="n">
        <v>95.84999999999999</v>
      </c>
      <c r="T83" s="353" t="n">
        <v>11</v>
      </c>
      <c r="V83" s="216">
        <f>UPPER(A83&amp;" "&amp;B83&amp;" "&amp;D83&amp;" "&amp;E83&amp;" "&amp;F83&amp;" "&amp;G83&amp;" "&amp;H83&amp;" "&amp;I83&amp;" "&amp;J83)</f>
        <v/>
      </c>
      <c r="W83" s="216">
        <f>IF(AND('TRA CỨU TỔNG HỢP'!$B$3&lt;&gt;"",ISNUMBER(SEARCH('TRA CỨU TỔNG HỢP'!$B$3,V83))),MAX($W$3:W82)+1,"")</f>
        <v/>
      </c>
    </row>
    <row r="84" ht="15" customHeight="1" s="217">
      <c r="A84" s="347" t="inlineStr">
        <is>
          <t xml:space="preserve">  └─ CUMMINS</t>
        </is>
      </c>
      <c r="B84" s="348" t="inlineStr">
        <is>
          <t>HH081916</t>
        </is>
      </c>
      <c r="C84" s="349" t="inlineStr">
        <is>
          <t>Holset</t>
        </is>
      </c>
      <c r="D84" s="349" t="inlineStr">
        <is>
          <t>HX80</t>
        </is>
      </c>
      <c r="E84" s="349" t="inlineStr">
        <is>
          <t>KTA19</t>
        </is>
      </c>
      <c r="F84" s="350" t="inlineStr">
        <is>
          <t>3594117/3594118/3594134</t>
        </is>
      </c>
      <c r="G84" s="349" t="n"/>
      <c r="H84" s="349" t="n"/>
      <c r="I84" s="349" t="n"/>
      <c r="J84" s="351" t="inlineStr">
        <is>
          <t>SL</t>
        </is>
      </c>
      <c r="K84" s="352" t="n"/>
      <c r="L84" s="352" t="n"/>
      <c r="M84" s="352" t="n"/>
      <c r="N84" s="352">
        <f>IF(M84="","",M84*1.1)</f>
        <v/>
      </c>
      <c r="O84" s="353" t="n">
        <v>141</v>
      </c>
      <c r="P84" s="353" t="n">
        <v>91.59999999999999</v>
      </c>
      <c r="Q84" s="353" t="inlineStr">
        <is>
          <t>8/8</t>
        </is>
      </c>
      <c r="R84" s="353" t="n">
        <v>129</v>
      </c>
      <c r="S84" s="353" t="n">
        <v>95.84999999999999</v>
      </c>
      <c r="T84" s="353" t="n">
        <v>11</v>
      </c>
      <c r="V84" s="216">
        <f>UPPER(A84&amp;" "&amp;B84&amp;" "&amp;D84&amp;" "&amp;E84&amp;" "&amp;F84&amp;" "&amp;G84&amp;" "&amp;H84&amp;" "&amp;I84&amp;" "&amp;J84)</f>
        <v/>
      </c>
      <c r="W84" s="216">
        <f>IF(AND('TRA CỨU TỔNG HỢP'!$B$3&lt;&gt;"",ISNUMBER(SEARCH('TRA CỨU TỔNG HỢP'!$B$3,V84))),MAX($W$3:W83)+1,"")</f>
        <v/>
      </c>
    </row>
    <row r="85" ht="15" customHeight="1" s="217">
      <c r="A85" s="354" t="inlineStr">
        <is>
          <t>CUMMINS</t>
        </is>
      </c>
      <c r="B85" s="355" t="inlineStr">
        <is>
          <t>HH081739</t>
        </is>
      </c>
      <c r="C85" s="354" t="inlineStr">
        <is>
          <t>Holset</t>
        </is>
      </c>
      <c r="D85" s="354" t="inlineStr">
        <is>
          <t>HX25W</t>
        </is>
      </c>
      <c r="E85" s="354" t="inlineStr">
        <is>
          <t>ISF3.8</t>
        </is>
      </c>
      <c r="F85" s="356" t="n">
        <v>3598723</v>
      </c>
      <c r="G85" s="354" t="n"/>
      <c r="H85" s="354" t="n"/>
      <c r="I85" s="354" t="n"/>
      <c r="J85" s="357" t="inlineStr">
        <is>
          <t>TBS</t>
        </is>
      </c>
      <c r="K85" s="358" t="n"/>
      <c r="L85" s="358" t="n"/>
      <c r="M85" s="358" t="n"/>
      <c r="N85" s="358">
        <f>IF(M85="","",M85*1.1)</f>
        <v/>
      </c>
      <c r="O85" s="359" t="n">
        <v>56</v>
      </c>
      <c r="P85" s="359" t="n">
        <v>38.4</v>
      </c>
      <c r="Q85" s="359" t="inlineStr">
        <is>
          <t>6/6</t>
        </is>
      </c>
      <c r="R85" s="359" t="n">
        <v>52</v>
      </c>
      <c r="S85" s="359" t="n">
        <v>45.6</v>
      </c>
      <c r="T85" s="359" t="n">
        <v>12</v>
      </c>
      <c r="V85" s="216">
        <f>UPPER(A85&amp;" "&amp;B85&amp;" "&amp;D85&amp;" "&amp;E85&amp;" "&amp;F85&amp;" "&amp;G85&amp;" "&amp;H85&amp;" "&amp;I85&amp;" "&amp;J85)</f>
        <v/>
      </c>
      <c r="W85" s="216">
        <f>IF(AND('TRA CỨU TỔNG HỢP'!$B$3&lt;&gt;"",ISNUMBER(SEARCH('TRA CỨU TỔNG HỢP'!$B$3,V85))),MAX($W$3:W84)+1,"")</f>
        <v/>
      </c>
    </row>
    <row r="86" ht="15" customHeight="1" s="217">
      <c r="A86" s="367" t="inlineStr">
        <is>
          <t>CUMMINS</t>
        </is>
      </c>
      <c r="B86" s="368" t="n"/>
      <c r="C86" s="367" t="inlineStr">
        <is>
          <t>Holset</t>
        </is>
      </c>
      <c r="D86" s="367" t="inlineStr">
        <is>
          <t>HX25W</t>
        </is>
      </c>
      <c r="E86" s="367" t="n"/>
      <c r="F86" s="369" t="inlineStr">
        <is>
          <t>3596065/3596067</t>
        </is>
      </c>
      <c r="G86" s="367" t="n"/>
      <c r="H86" s="367" t="n"/>
      <c r="I86" s="367" t="n"/>
      <c r="J86" s="370" t="n"/>
      <c r="K86" s="371" t="n"/>
      <c r="L86" s="371" t="n"/>
      <c r="M86" s="371" t="n"/>
      <c r="N86" s="371" t="n"/>
      <c r="O86" s="372" t="n">
        <v>56</v>
      </c>
      <c r="P86" s="372" t="n">
        <v>38.4</v>
      </c>
      <c r="Q86" s="372" t="inlineStr">
        <is>
          <t>6/6</t>
        </is>
      </c>
      <c r="R86" s="372" t="n">
        <v>52</v>
      </c>
      <c r="S86" s="372" t="n">
        <v>45.6</v>
      </c>
      <c r="T86" s="372" t="n">
        <v>12</v>
      </c>
      <c r="V86" s="216">
        <f>UPPER(A86&amp;" "&amp;B86&amp;" "&amp;D86&amp;" "&amp;E86&amp;" "&amp;F86&amp;" "&amp;G86&amp;" "&amp;H86&amp;" "&amp;I86&amp;" "&amp;J86)</f>
        <v/>
      </c>
      <c r="W86" s="216">
        <f>IF(AND('TRA CỨU TỔNG HỢP'!$B$3&lt;&gt;"",ISNUMBER(SEARCH('TRA CỨU TỔNG HỢP'!$B$3,V86))),MAX($W$3:W85)+1,"")</f>
        <v/>
      </c>
    </row>
    <row r="87" ht="15" customHeight="1" s="217">
      <c r="A87" s="340" t="inlineStr">
        <is>
          <t>CUMMINS</t>
        </is>
      </c>
      <c r="B87" s="341" t="inlineStr">
        <is>
          <t>HH075140</t>
        </is>
      </c>
      <c r="C87" s="340" t="inlineStr">
        <is>
          <t>Holset</t>
        </is>
      </c>
      <c r="D87" s="340" t="inlineStr">
        <is>
          <t>BHT3B</t>
        </is>
      </c>
      <c r="E87" s="340" t="inlineStr">
        <is>
          <t>NT855/N14</t>
        </is>
      </c>
      <c r="F87" s="342" t="inlineStr">
        <is>
          <t>3529032
3803108</t>
        </is>
      </c>
      <c r="G87" s="340" t="inlineStr">
        <is>
          <t>Tâm lỗ bu lông 57x 109</t>
        </is>
      </c>
      <c r="H87" s="340" t="n"/>
      <c r="I87" s="340" t="n"/>
      <c r="J87" s="343" t="inlineStr">
        <is>
          <t>SL</t>
        </is>
      </c>
      <c r="K87" s="344" t="n"/>
      <c r="L87" s="344" t="n"/>
      <c r="M87" s="344" t="n"/>
      <c r="N87" s="344">
        <f>IF(M87="","",M87*1.1)</f>
        <v/>
      </c>
      <c r="O87" s="345" t="n">
        <v>109</v>
      </c>
      <c r="P87" s="345" t="n">
        <v>74.5</v>
      </c>
      <c r="Q87" s="345" t="inlineStr">
        <is>
          <t>8/8反</t>
        </is>
      </c>
      <c r="R87" s="345" t="n">
        <v>97</v>
      </c>
      <c r="S87" s="345" t="n">
        <v>86.36</v>
      </c>
      <c r="T87" s="345" t="inlineStr">
        <is>
          <t>12反</t>
        </is>
      </c>
      <c r="V87" s="346">
        <f>UPPER(A87&amp;" "&amp;B87&amp;" "&amp;D87&amp;" "&amp;E87&amp;" "&amp;F87&amp;" "&amp;G87&amp;" "&amp;H87&amp;" "&amp;I87&amp;" "&amp;J87)</f>
        <v/>
      </c>
      <c r="W87" s="216">
        <f>IF(AND('TRA CỨU TỔNG HỢP'!$B$3&lt;&gt;"",ISNUMBER(SEARCH('TRA CỨU TỔNG HỢP'!$B$3,V87))),MAX($W$3:W86)+1,"")</f>
        <v/>
      </c>
    </row>
    <row r="88" ht="15" customHeight="1" s="217">
      <c r="A88" s="347" t="inlineStr">
        <is>
          <t xml:space="preserve">  └─ CUMMINS</t>
        </is>
      </c>
      <c r="B88" s="348" t="inlineStr">
        <is>
          <t>HH082883</t>
        </is>
      </c>
      <c r="C88" s="349" t="inlineStr">
        <is>
          <t>Holset</t>
        </is>
      </c>
      <c r="D88" s="349" t="inlineStr">
        <is>
          <t>BHT3B</t>
        </is>
      </c>
      <c r="E88" s="349" t="inlineStr">
        <is>
          <t>NT855/N14</t>
        </is>
      </c>
      <c r="F88" s="350" t="inlineStr">
        <is>
          <t>3529032
3803108</t>
        </is>
      </c>
      <c r="G88" s="349" t="inlineStr">
        <is>
          <t>Tâm lỗ bu lông 57x 109</t>
        </is>
      </c>
      <c r="H88" s="349" t="n"/>
      <c r="I88" s="349" t="n"/>
      <c r="J88" s="351" t="inlineStr">
        <is>
          <t>SL</t>
        </is>
      </c>
      <c r="K88" s="352" t="n"/>
      <c r="L88" s="352" t="n"/>
      <c r="M88" s="352" t="n"/>
      <c r="N88" s="352">
        <f>IF(M88="","",M88*1.1)</f>
        <v/>
      </c>
      <c r="O88" s="353" t="n">
        <v>109</v>
      </c>
      <c r="P88" s="353" t="n">
        <v>74.5</v>
      </c>
      <c r="Q88" s="353" t="inlineStr">
        <is>
          <t>8/8反</t>
        </is>
      </c>
      <c r="R88" s="353" t="n">
        <v>97</v>
      </c>
      <c r="S88" s="353" t="n">
        <v>86.36</v>
      </c>
      <c r="T88" s="353" t="inlineStr">
        <is>
          <t>12反</t>
        </is>
      </c>
      <c r="V88" s="346">
        <f>UPPER(A88&amp;" "&amp;B88&amp;" "&amp;D88&amp;" "&amp;E88&amp;" "&amp;F88&amp;" "&amp;G88&amp;" "&amp;H88&amp;" "&amp;I88&amp;" "&amp;J88)</f>
        <v/>
      </c>
      <c r="W88" s="216">
        <f>IF(AND('TRA CỨU TỔNG HỢP'!$B$3&lt;&gt;"",ISNUMBER(SEARCH('TRA CỨU TỔNG HỢP'!$B$3,V88))),MAX($W$3:W87)+1,"")</f>
        <v/>
      </c>
    </row>
    <row r="89" ht="15" customHeight="1" s="217">
      <c r="A89" s="340" t="inlineStr">
        <is>
          <t>CUMMINS</t>
        </is>
      </c>
      <c r="B89" s="341" t="inlineStr">
        <is>
          <t>HH078579</t>
        </is>
      </c>
      <c r="C89" s="340" t="inlineStr">
        <is>
          <t>Holset</t>
        </is>
      </c>
      <c r="D89" s="340" t="inlineStr">
        <is>
          <t>HX40W</t>
        </is>
      </c>
      <c r="E89" s="340" t="inlineStr">
        <is>
          <t>DL08</t>
        </is>
      </c>
      <c r="F89" s="342" t="inlineStr">
        <is>
          <t>4033345
4039318</t>
        </is>
      </c>
      <c r="G89" s="373" t="inlineStr">
        <is>
          <t>(sò gió, sò lửa hướng vuông góc)
Tâm lỗ bu lông 40 x 81</t>
        </is>
      </c>
      <c r="H89" s="340" t="n"/>
      <c r="I89" s="340" t="inlineStr">
        <is>
          <t>có h/a sl</t>
        </is>
      </c>
      <c r="J89" s="343" t="inlineStr">
        <is>
          <t>SL</t>
        </is>
      </c>
      <c r="K89" s="344" t="n"/>
      <c r="L89" s="344" t="n"/>
      <c r="M89" s="344" t="n"/>
      <c r="N89" s="344">
        <f>IF(M89="","",M89*1.1)</f>
        <v/>
      </c>
      <c r="O89" s="345" t="n">
        <v>86</v>
      </c>
      <c r="P89" s="345" t="n">
        <v>56</v>
      </c>
      <c r="Q89" s="345" t="inlineStr">
        <is>
          <t>7/7</t>
        </is>
      </c>
      <c r="R89" s="345" t="n">
        <v>76</v>
      </c>
      <c r="S89" s="345" t="n">
        <v>64</v>
      </c>
      <c r="T89" s="345" t="n">
        <v>12</v>
      </c>
      <c r="V89" s="346">
        <f>UPPER(A89&amp;" "&amp;B89&amp;" "&amp;D89&amp;" "&amp;E89&amp;" "&amp;F89&amp;" "&amp;G89&amp;" "&amp;H89&amp;" "&amp;I89&amp;" "&amp;J89)</f>
        <v/>
      </c>
      <c r="W89" s="216">
        <f>IF(AND('TRA CỨU TỔNG HỢP'!$B$3&lt;&gt;"",ISNUMBER(SEARCH('TRA CỨU TỔNG HỢP'!$B$3,V89))),MAX($W$3:W88)+1,"")</f>
        <v/>
      </c>
    </row>
    <row r="90" ht="15" customHeight="1" s="217">
      <c r="A90" s="347" t="inlineStr">
        <is>
          <t xml:space="preserve">  └─ CUMMINS</t>
        </is>
      </c>
      <c r="B90" s="348" t="inlineStr">
        <is>
          <t>HH080740</t>
        </is>
      </c>
      <c r="C90" s="349" t="inlineStr">
        <is>
          <t>Holset</t>
        </is>
      </c>
      <c r="D90" s="349" t="inlineStr">
        <is>
          <t>HX40W</t>
        </is>
      </c>
      <c r="E90" s="349" t="inlineStr">
        <is>
          <t>DL08</t>
        </is>
      </c>
      <c r="F90" s="350" t="inlineStr">
        <is>
          <t>4033345
4039318</t>
        </is>
      </c>
      <c r="G90" s="374" t="inlineStr">
        <is>
          <t>(sò gió, sò lửa hướng vuông góc)
Tâm lỗ bu lông 40 x 81</t>
        </is>
      </c>
      <c r="H90" s="349" t="n"/>
      <c r="I90" s="349" t="inlineStr">
        <is>
          <t>có h/a sl</t>
        </is>
      </c>
      <c r="J90" s="351" t="inlineStr">
        <is>
          <t>SL</t>
        </is>
      </c>
      <c r="K90" s="352" t="n"/>
      <c r="L90" s="352" t="n"/>
      <c r="M90" s="352" t="n"/>
      <c r="N90" s="352">
        <f>IF(M90="","",M90*1.1)</f>
        <v/>
      </c>
      <c r="O90" s="353" t="n">
        <v>86</v>
      </c>
      <c r="P90" s="353" t="n">
        <v>56</v>
      </c>
      <c r="Q90" s="353" t="inlineStr">
        <is>
          <t>7/7</t>
        </is>
      </c>
      <c r="R90" s="353" t="n">
        <v>76</v>
      </c>
      <c r="S90" s="353" t="n">
        <v>64</v>
      </c>
      <c r="T90" s="353" t="n">
        <v>12</v>
      </c>
      <c r="V90" s="346">
        <f>UPPER(A90&amp;" "&amp;B90&amp;" "&amp;D90&amp;" "&amp;E90&amp;" "&amp;F90&amp;" "&amp;G90&amp;" "&amp;H90&amp;" "&amp;I90&amp;" "&amp;J90)</f>
        <v/>
      </c>
      <c r="W90" s="216">
        <f>IF(AND('TRA CỨU TỔNG HỢP'!$B$3&lt;&gt;"",ISNUMBER(SEARCH('TRA CỨU TỔNG HỢP'!$B$3,V90))),MAX($W$3:W89)+1,"")</f>
        <v/>
      </c>
    </row>
    <row r="91" ht="15" customHeight="1" s="217">
      <c r="A91" s="340" t="inlineStr">
        <is>
          <t>CUMMINS</t>
        </is>
      </c>
      <c r="B91" s="341" t="inlineStr">
        <is>
          <t>HH077598</t>
        </is>
      </c>
      <c r="C91" s="340" t="inlineStr">
        <is>
          <t>BorgWarner</t>
        </is>
      </c>
      <c r="D91" s="340" t="inlineStr">
        <is>
          <t>S300G/HE400G</t>
        </is>
      </c>
      <c r="E91" s="340" t="n"/>
      <c r="F91" s="342" t="inlineStr">
        <is>
          <t>3787729
13809700027
3785076
45104111824590
45104111810690
8C04-200-M05</t>
        </is>
      </c>
      <c r="G91" s="340" t="n"/>
      <c r="H91" s="340" t="inlineStr">
        <is>
          <t>Deutz/ Kamaz/ Cummins</t>
        </is>
      </c>
      <c r="I91" s="340" t="n"/>
      <c r="J91" s="343" t="inlineStr">
        <is>
          <t>JRONE</t>
        </is>
      </c>
      <c r="K91" s="344" t="n"/>
      <c r="L91" s="344" t="n"/>
      <c r="M91" s="344" t="n"/>
      <c r="N91" s="344">
        <f>IF(M91="","",M91*1.1)</f>
        <v/>
      </c>
      <c r="O91" s="345" t="n">
        <v>93</v>
      </c>
      <c r="P91" s="345" t="n">
        <v>64</v>
      </c>
      <c r="Q91" s="345" t="inlineStr">
        <is>
          <t>7/7</t>
        </is>
      </c>
      <c r="R91" s="345" t="n">
        <v>75.8</v>
      </c>
      <c r="S91" s="345" t="n">
        <v>67</v>
      </c>
      <c r="T91" s="345" t="n">
        <v>12</v>
      </c>
      <c r="V91" s="346">
        <f>UPPER(A91&amp;" "&amp;B91&amp;" "&amp;D91&amp;" "&amp;E91&amp;" "&amp;F91&amp;" "&amp;G91&amp;" "&amp;H91&amp;" "&amp;I91&amp;" "&amp;J91)</f>
        <v/>
      </c>
      <c r="W91" s="216">
        <f>IF(AND('TRA CỨU TỔNG HỢP'!$B$3&lt;&gt;"",ISNUMBER(SEARCH('TRA CỨU TỔNG HỢP'!$B$3,V91))),MAX($W$3:W90)+1,"")</f>
        <v/>
      </c>
    </row>
    <row r="92" ht="15" customHeight="1" s="217">
      <c r="A92" s="347" t="inlineStr">
        <is>
          <t xml:space="preserve">  └─ CUMMINS</t>
        </is>
      </c>
      <c r="B92" s="348" t="inlineStr">
        <is>
          <t>HH077595</t>
        </is>
      </c>
      <c r="C92" s="349" t="inlineStr">
        <is>
          <t>BorgWarner</t>
        </is>
      </c>
      <c r="D92" s="349" t="inlineStr">
        <is>
          <t>S300G/HE400G</t>
        </is>
      </c>
      <c r="E92" s="349" t="n"/>
      <c r="F92" s="350" t="inlineStr">
        <is>
          <t>3787729
13809700027
3785076
45104111824590
45104111810690
8C04-200-M05</t>
        </is>
      </c>
      <c r="G92" s="349" t="n"/>
      <c r="H92" s="349" t="inlineStr">
        <is>
          <t>Deutz/ Kamaz/ Cummins</t>
        </is>
      </c>
      <c r="I92" s="349" t="n"/>
      <c r="J92" s="351" t="inlineStr">
        <is>
          <t>JRONE</t>
        </is>
      </c>
      <c r="K92" s="352" t="n"/>
      <c r="L92" s="352" t="n"/>
      <c r="M92" s="352" t="n"/>
      <c r="N92" s="352">
        <f>IF(M92="","",M92*1.1)</f>
        <v/>
      </c>
      <c r="O92" s="353" t="n">
        <v>93</v>
      </c>
      <c r="P92" s="353" t="n">
        <v>64</v>
      </c>
      <c r="Q92" s="353" t="inlineStr">
        <is>
          <t>7/7</t>
        </is>
      </c>
      <c r="R92" s="353" t="n">
        <v>75.8</v>
      </c>
      <c r="S92" s="353" t="n">
        <v>67</v>
      </c>
      <c r="T92" s="353" t="n">
        <v>12</v>
      </c>
      <c r="V92" s="346">
        <f>UPPER(A92&amp;" "&amp;B92&amp;" "&amp;D92&amp;" "&amp;E92&amp;" "&amp;F92&amp;" "&amp;G92&amp;" "&amp;H92&amp;" "&amp;I92&amp;" "&amp;J92)</f>
        <v/>
      </c>
      <c r="W92" s="216">
        <f>IF(AND('TRA CỨU TỔNG HỢP'!$B$3&lt;&gt;"",ISNUMBER(SEARCH('TRA CỨU TỔNG HỢP'!$B$3,V92))),MAX($W$3:W91)+1,"")</f>
        <v/>
      </c>
    </row>
    <row r="93" ht="15" customHeight="1" s="217">
      <c r="A93" s="354" t="inlineStr">
        <is>
          <t>CUMMINS</t>
        </is>
      </c>
      <c r="B93" s="355" t="inlineStr">
        <is>
          <t>HH080644</t>
        </is>
      </c>
      <c r="C93" s="354" t="inlineStr">
        <is>
          <t>Holset</t>
        </is>
      </c>
      <c r="D93" s="354" t="inlineStr">
        <is>
          <t>HX50W</t>
        </is>
      </c>
      <c r="E93" s="354" t="inlineStr">
        <is>
          <t>HE400WG</t>
        </is>
      </c>
      <c r="F93" s="356" t="inlineStr">
        <is>
          <t>3790063
612600118895</t>
        </is>
      </c>
      <c r="G93" s="354" t="n"/>
      <c r="H93" s="354" t="n"/>
      <c r="I93" s="354" t="n"/>
      <c r="J93" s="357" t="inlineStr">
        <is>
          <t>VIDARIR</t>
        </is>
      </c>
      <c r="K93" s="358" t="n"/>
      <c r="L93" s="358" t="n"/>
      <c r="M93" s="358" t="n"/>
      <c r="N93" s="358">
        <f>IF(M93="","",M93*1.1)</f>
        <v/>
      </c>
      <c r="O93" s="359" t="n"/>
      <c r="P93" s="359" t="n"/>
      <c r="Q93" s="359" t="n"/>
      <c r="R93" s="359" t="n"/>
      <c r="S93" s="359" t="n"/>
      <c r="T93" s="359" t="n"/>
      <c r="V93" s="346">
        <f>UPPER(A93&amp;" "&amp;B93&amp;" "&amp;D93&amp;" "&amp;E93&amp;" "&amp;F93&amp;" "&amp;G93&amp;" "&amp;H93&amp;" "&amp;I93&amp;" "&amp;J93)</f>
        <v/>
      </c>
      <c r="W93" s="216">
        <f>IF(AND('TRA CỨU TỔNG HỢP'!$B$3&lt;&gt;"",ISNUMBER(SEARCH('TRA CỨU TỔNG HỢP'!$B$3,V93))),MAX($W$3:W92)+1,"")</f>
        <v/>
      </c>
    </row>
    <row r="94" ht="15" customHeight="1" s="217">
      <c r="A94" s="354" t="inlineStr">
        <is>
          <t>CUMMINS</t>
        </is>
      </c>
      <c r="B94" s="355" t="inlineStr">
        <is>
          <t>HH081914</t>
        </is>
      </c>
      <c r="C94" s="354" t="inlineStr">
        <is>
          <t>Holset</t>
        </is>
      </c>
      <c r="D94" s="354" t="inlineStr">
        <is>
          <t>HX40W</t>
        </is>
      </c>
      <c r="E94" s="354" t="inlineStr">
        <is>
          <t>DE08-Tis</t>
        </is>
      </c>
      <c r="F94" s="356" t="inlineStr">
        <is>
          <t>4036244
65.09100-7095</t>
        </is>
      </c>
      <c r="G94" s="354" t="inlineStr">
        <is>
          <t>Xe tải Deawoo, Cổ gang ra tròn, bắt 6 bu lông / Cổ gang ra tròn, bắt 6 bu lông</t>
        </is>
      </c>
      <c r="H94" s="354" t="inlineStr">
        <is>
          <t>Xe tải Deawoo,</t>
        </is>
      </c>
      <c r="I94" s="354" t="n"/>
      <c r="J94" s="357" t="inlineStr">
        <is>
          <t>VIDARIR</t>
        </is>
      </c>
      <c r="K94" s="358" t="n"/>
      <c r="L94" s="358" t="n"/>
      <c r="M94" s="358" t="n"/>
      <c r="N94" s="358">
        <f>IF(M94="","",M94*1.1)</f>
        <v/>
      </c>
      <c r="O94" s="359" t="n"/>
      <c r="P94" s="359" t="n"/>
      <c r="Q94" s="359" t="n"/>
      <c r="R94" s="359" t="n"/>
      <c r="S94" s="359" t="n"/>
      <c r="T94" s="359" t="n"/>
      <c r="V94" s="346">
        <f>UPPER(A94&amp;" "&amp;B94&amp;" "&amp;D94&amp;" "&amp;E94&amp;" "&amp;F94&amp;" "&amp;G94&amp;" "&amp;H94&amp;" "&amp;I94&amp;" "&amp;J94)</f>
        <v/>
      </c>
      <c r="W94" s="216">
        <f>IF(AND('TRA CỨU TỔNG HỢP'!$B$3&lt;&gt;"",ISNUMBER(SEARCH('TRA CỨU TỔNG HỢP'!$B$3,V94))),MAX($W$3:W93)+1,"")</f>
        <v/>
      </c>
    </row>
    <row r="95" ht="15" customHeight="1" s="217">
      <c r="A95" s="340" t="inlineStr">
        <is>
          <t>CUMMINS</t>
        </is>
      </c>
      <c r="B95" s="341" t="inlineStr">
        <is>
          <t>HH082792</t>
        </is>
      </c>
      <c r="C95" s="340" t="inlineStr">
        <is>
          <t>Holset</t>
        </is>
      </c>
      <c r="D95" s="340" t="inlineStr">
        <is>
          <t>HE551V/ CUMMINS ISX</t>
        </is>
      </c>
      <c r="E95" s="340" t="n"/>
      <c r="F95" s="342" t="n">
        <v>4036666</v>
      </c>
      <c r="G95" s="340" t="n"/>
      <c r="H95" s="340" t="n"/>
      <c r="I95" s="340" t="n"/>
      <c r="J95" s="343" t="inlineStr">
        <is>
          <t>SL</t>
        </is>
      </c>
      <c r="K95" s="344" t="n"/>
      <c r="L95" s="344" t="n"/>
      <c r="M95" s="344" t="n"/>
      <c r="N95" s="344">
        <f>IF(M95="","",M95*1.1)</f>
        <v/>
      </c>
      <c r="O95" s="345" t="n">
        <v>108.8</v>
      </c>
      <c r="P95" s="345" t="n">
        <v>71.8</v>
      </c>
      <c r="Q95" s="345" t="inlineStr">
        <is>
          <t>8/8</t>
        </is>
      </c>
      <c r="R95" s="345" t="n">
        <v>85.8</v>
      </c>
      <c r="S95" s="345" t="n">
        <v>75</v>
      </c>
      <c r="T95" s="345" t="n">
        <v>12</v>
      </c>
      <c r="V95" s="216">
        <f>UPPER(A95&amp;" "&amp;B95&amp;" "&amp;D95&amp;" "&amp;E95&amp;" "&amp;F95&amp;" "&amp;G95&amp;" "&amp;H95&amp;" "&amp;I95&amp;" "&amp;J95)</f>
        <v/>
      </c>
      <c r="W95" s="216">
        <f>IF(AND('TRA CỨU TỔNG HỢP'!$B$3&lt;&gt;"",ISNUMBER(SEARCH('TRA CỨU TỔNG HỢP'!$B$3,V95))),MAX($W$3:W94)+1,"")</f>
        <v/>
      </c>
    </row>
    <row r="96" ht="15" customHeight="1" s="217">
      <c r="A96" s="347" t="inlineStr">
        <is>
          <t xml:space="preserve">  └─ CUMMINS</t>
        </is>
      </c>
      <c r="B96" s="348" t="inlineStr">
        <is>
          <t>HH082366</t>
        </is>
      </c>
      <c r="C96" s="349" t="inlineStr">
        <is>
          <t>Holset</t>
        </is>
      </c>
      <c r="D96" s="349" t="inlineStr">
        <is>
          <t>HE551V/ CUMMINS ISX</t>
        </is>
      </c>
      <c r="E96" s="349" t="n"/>
      <c r="F96" s="350" t="n">
        <v>4036666</v>
      </c>
      <c r="G96" s="349" t="n"/>
      <c r="H96" s="349" t="n"/>
      <c r="I96" s="349" t="n"/>
      <c r="J96" s="351" t="inlineStr">
        <is>
          <t>SL</t>
        </is>
      </c>
      <c r="K96" s="352" t="n"/>
      <c r="L96" s="352" t="n"/>
      <c r="M96" s="352" t="n"/>
      <c r="N96" s="352">
        <f>IF(M96="","",M96*1.1)</f>
        <v/>
      </c>
      <c r="O96" s="353" t="n">
        <v>108.8</v>
      </c>
      <c r="P96" s="353" t="n">
        <v>71.8</v>
      </c>
      <c r="Q96" s="353" t="inlineStr">
        <is>
          <t>8/8</t>
        </is>
      </c>
      <c r="R96" s="353" t="n">
        <v>85.8</v>
      </c>
      <c r="S96" s="353" t="n">
        <v>75</v>
      </c>
      <c r="T96" s="353" t="n">
        <v>12</v>
      </c>
      <c r="V96" s="216">
        <f>UPPER(A96&amp;" "&amp;B96&amp;" "&amp;D96&amp;" "&amp;E96&amp;" "&amp;F96&amp;" "&amp;G96&amp;" "&amp;H96&amp;" "&amp;I96&amp;" "&amp;J96)</f>
        <v/>
      </c>
      <c r="W96" s="216">
        <f>IF(AND('TRA CỨU TỔNG HỢP'!$B$3&lt;&gt;"",ISNUMBER(SEARCH('TRA CỨU TỔNG HỢP'!$B$3,V96))),MAX($W$3:W95)+1,"")</f>
        <v/>
      </c>
    </row>
    <row r="97" ht="15" customHeight="1" s="217">
      <c r="A97" s="354" t="inlineStr">
        <is>
          <t>CUMMINS</t>
        </is>
      </c>
      <c r="B97" s="355" t="inlineStr">
        <is>
          <t>HH080918</t>
        </is>
      </c>
      <c r="C97" s="354" t="inlineStr">
        <is>
          <t>Holset</t>
        </is>
      </c>
      <c r="D97" s="354" t="inlineStr">
        <is>
          <t>HX40/ H1E</t>
        </is>
      </c>
      <c r="E97" s="354" t="n"/>
      <c r="F97" s="356" t="n">
        <v>4029153</v>
      </c>
      <c r="G97" s="366" t="inlineStr">
        <is>
          <t>Tâm lỗ 45*85
cổ gang ra bắt 6 bu lông</t>
        </is>
      </c>
      <c r="H97" s="354" t="n"/>
      <c r="I97" s="354" t="n"/>
      <c r="J97" s="357" t="inlineStr">
        <is>
          <t>TBS</t>
        </is>
      </c>
      <c r="K97" s="358" t="n"/>
      <c r="L97" s="358" t="n"/>
      <c r="M97" s="358" t="n"/>
      <c r="N97" s="358">
        <f>IF(M97="","",M97*1.1)</f>
        <v/>
      </c>
      <c r="O97" s="359" t="n"/>
      <c r="P97" s="359" t="n"/>
      <c r="Q97" s="359" t="n"/>
      <c r="R97" s="359" t="n"/>
      <c r="S97" s="359" t="n"/>
      <c r="T97" s="359" t="n"/>
      <c r="V97" s="346">
        <f>UPPER(A97&amp;" "&amp;B97&amp;" "&amp;D97&amp;" "&amp;E97&amp;" "&amp;F97&amp;" "&amp;G97&amp;" "&amp;H97&amp;" "&amp;I97&amp;" "&amp;J97)</f>
        <v/>
      </c>
      <c r="W97" s="216">
        <f>IF(AND('TRA CỨU TỔNG HỢP'!$B$3&lt;&gt;"",ISNUMBER(SEARCH('TRA CỨU TỔNG HỢP'!$B$3,V97))),MAX($W$3:W96)+1,"")</f>
        <v/>
      </c>
    </row>
    <row r="98" ht="15" customHeight="1" s="217">
      <c r="A98" s="354" t="inlineStr">
        <is>
          <t>CUMMINS</t>
        </is>
      </c>
      <c r="B98" s="355" t="inlineStr">
        <is>
          <t>HH078578</t>
        </is>
      </c>
      <c r="C98" s="354" t="inlineStr">
        <is>
          <t>Holset</t>
        </is>
      </c>
      <c r="D98" s="354" t="inlineStr">
        <is>
          <t>HX40W</t>
        </is>
      </c>
      <c r="E98" s="354" t="inlineStr">
        <is>
          <t>DL08</t>
        </is>
      </c>
      <c r="F98" s="356" t="n">
        <v>4039319</v>
      </c>
      <c r="G98" s="366" t="inlineStr">
        <is>
          <t>sò lửa , sò gió hướng cùng phía
Tâm lỗ bu lông 40 x 81</t>
        </is>
      </c>
      <c r="H98" s="354" t="n"/>
      <c r="I98" s="354" t="inlineStr">
        <is>
          <t>có h/a sl</t>
        </is>
      </c>
      <c r="J98" s="357" t="inlineStr">
        <is>
          <t>SL</t>
        </is>
      </c>
      <c r="K98" s="358" t="n"/>
      <c r="L98" s="358" t="n"/>
      <c r="M98" s="358" t="n"/>
      <c r="N98" s="358">
        <f>IF(M98="","",M98*1.1)</f>
        <v/>
      </c>
      <c r="O98" s="359" t="n">
        <v>86</v>
      </c>
      <c r="P98" s="359" t="n">
        <v>56</v>
      </c>
      <c r="Q98" s="359" t="inlineStr">
        <is>
          <t>7/7</t>
        </is>
      </c>
      <c r="R98" s="359" t="n">
        <v>76</v>
      </c>
      <c r="S98" s="359" t="n">
        <v>64</v>
      </c>
      <c r="T98" s="359" t="n">
        <v>12</v>
      </c>
      <c r="V98" s="346">
        <f>UPPER(A98&amp;" "&amp;B98&amp;" "&amp;D98&amp;" "&amp;E98&amp;" "&amp;F98&amp;" "&amp;G98&amp;" "&amp;H98&amp;" "&amp;I98&amp;" "&amp;J98)</f>
        <v/>
      </c>
      <c r="W98" s="216">
        <f>IF(AND('TRA CỨU TỔNG HỢP'!$B$3&lt;&gt;"",ISNUMBER(SEARCH('TRA CỨU TỔNG HỢP'!$B$3,V98))),MAX($W$3:W97)+1,"")</f>
        <v/>
      </c>
    </row>
    <row r="99" ht="15" customHeight="1" s="217">
      <c r="A99" s="340" t="inlineStr">
        <is>
          <t>CUMMINS</t>
        </is>
      </c>
      <c r="B99" s="341" t="inlineStr">
        <is>
          <t>HH077027</t>
        </is>
      </c>
      <c r="C99" s="340" t="inlineStr">
        <is>
          <t>Holset</t>
        </is>
      </c>
      <c r="D99" s="340" t="inlineStr">
        <is>
          <t>HX55W</t>
        </is>
      </c>
      <c r="E99" s="340" t="inlineStr">
        <is>
          <t>ISM11</t>
        </is>
      </c>
      <c r="F99" s="342" t="n">
        <v>4024822</v>
      </c>
      <c r="G99" s="340" t="n"/>
      <c r="H99" s="340" t="n"/>
      <c r="I99" s="340" t="n"/>
      <c r="J99" s="343" t="inlineStr">
        <is>
          <t>SL</t>
        </is>
      </c>
      <c r="K99" s="344" t="n"/>
      <c r="L99" s="344" t="n"/>
      <c r="M99" s="344" t="n"/>
      <c r="N99" s="344">
        <f>IF(M99="","",M99*1.1)</f>
        <v/>
      </c>
      <c r="O99" s="345" t="n">
        <v>99</v>
      </c>
      <c r="P99" s="345" t="n">
        <v>65</v>
      </c>
      <c r="Q99" s="345" t="inlineStr">
        <is>
          <t>7/7</t>
        </is>
      </c>
      <c r="R99" s="345" t="n">
        <v>86</v>
      </c>
      <c r="S99" s="345" t="n">
        <v>77</v>
      </c>
      <c r="T99" s="345" t="n">
        <v>12</v>
      </c>
      <c r="V99" s="216">
        <f>UPPER(A99&amp;" "&amp;B99&amp;" "&amp;D99&amp;" "&amp;E99&amp;" "&amp;F99&amp;" "&amp;G99&amp;" "&amp;H99&amp;" "&amp;I99&amp;" "&amp;J99)</f>
        <v/>
      </c>
      <c r="W99" s="216">
        <f>IF(AND('TRA CỨU TỔNG HỢP'!$B$3&lt;&gt;"",ISNUMBER(SEARCH('TRA CỨU TỔNG HỢP'!$B$3,V99))),MAX($W$3:W98)+1,"")</f>
        <v/>
      </c>
    </row>
    <row r="100" ht="15" customHeight="1" s="217">
      <c r="A100" s="347" t="inlineStr">
        <is>
          <t xml:space="preserve">  └─ CUMMINS</t>
        </is>
      </c>
      <c r="B100" s="348" t="inlineStr">
        <is>
          <t>HH080330</t>
        </is>
      </c>
      <c r="C100" s="349" t="inlineStr">
        <is>
          <t>Holset</t>
        </is>
      </c>
      <c r="D100" s="349" t="inlineStr">
        <is>
          <t>HX55W</t>
        </is>
      </c>
      <c r="E100" s="349" t="inlineStr">
        <is>
          <t>ISM11</t>
        </is>
      </c>
      <c r="F100" s="350" t="n">
        <v>4024822</v>
      </c>
      <c r="G100" s="349" t="n"/>
      <c r="H100" s="349" t="n"/>
      <c r="I100" s="349" t="n"/>
      <c r="J100" s="351" t="inlineStr">
        <is>
          <t>SL</t>
        </is>
      </c>
      <c r="K100" s="352" t="n"/>
      <c r="L100" s="352" t="n"/>
      <c r="M100" s="352" t="n"/>
      <c r="N100" s="352">
        <f>IF(M100="","",M100*1.1)</f>
        <v/>
      </c>
      <c r="O100" s="353" t="n">
        <v>99</v>
      </c>
      <c r="P100" s="353" t="n">
        <v>65</v>
      </c>
      <c r="Q100" s="353" t="inlineStr">
        <is>
          <t>7/7</t>
        </is>
      </c>
      <c r="R100" s="353" t="n">
        <v>86</v>
      </c>
      <c r="S100" s="353" t="n">
        <v>77</v>
      </c>
      <c r="T100" s="353" t="n">
        <v>12</v>
      </c>
      <c r="V100" s="216">
        <f>UPPER(A100&amp;" "&amp;B100&amp;" "&amp;D100&amp;" "&amp;E100&amp;" "&amp;F100&amp;" "&amp;G100&amp;" "&amp;H100&amp;" "&amp;I100&amp;" "&amp;J100)</f>
        <v/>
      </c>
      <c r="W100" s="216">
        <f>IF(AND('TRA CỨU TỔNG HỢP'!$B$3&lt;&gt;"",ISNUMBER(SEARCH('TRA CỨU TỔNG HỢP'!$B$3,V100))),MAX($W$3:W99)+1,"")</f>
        <v/>
      </c>
    </row>
    <row r="101" ht="15" customHeight="1" s="217">
      <c r="A101" s="354" t="inlineStr">
        <is>
          <t>CUMMINS</t>
        </is>
      </c>
      <c r="B101" s="355" t="inlineStr">
        <is>
          <t>HH080317</t>
        </is>
      </c>
      <c r="C101" s="354" t="inlineStr">
        <is>
          <t>Garrett</t>
        </is>
      </c>
      <c r="D101" s="354" t="inlineStr">
        <is>
          <t>TBP4</t>
        </is>
      </c>
      <c r="E101" s="354" t="inlineStr">
        <is>
          <t>6BTA</t>
        </is>
      </c>
      <c r="F101" s="356" t="n">
        <v>3971920</v>
      </c>
      <c r="G101" s="354" t="n"/>
      <c r="H101" s="354" t="inlineStr">
        <is>
          <t>DONGFENG</t>
        </is>
      </c>
      <c r="I101" s="354" t="n"/>
      <c r="J101" s="357" t="inlineStr">
        <is>
          <t>SL</t>
        </is>
      </c>
      <c r="K101" s="358" t="n"/>
      <c r="L101" s="358" t="n"/>
      <c r="M101" s="358" t="n"/>
      <c r="N101" s="358">
        <f>IF(M101="","",M101*1.1)</f>
        <v/>
      </c>
      <c r="O101" s="359" t="n">
        <v>78</v>
      </c>
      <c r="P101" s="359" t="n">
        <v>54</v>
      </c>
      <c r="Q101" s="359" t="inlineStr">
        <is>
          <t>7/7</t>
        </is>
      </c>
      <c r="R101" s="359" t="n">
        <v>70</v>
      </c>
      <c r="S101" s="359" t="n">
        <v>60</v>
      </c>
      <c r="T101" s="359" t="n">
        <v>12</v>
      </c>
      <c r="V101" s="216">
        <f>UPPER(A101&amp;" "&amp;B101&amp;" "&amp;D101&amp;" "&amp;E101&amp;" "&amp;F101&amp;" "&amp;G101&amp;" "&amp;H101&amp;" "&amp;I101&amp;" "&amp;J101)</f>
        <v/>
      </c>
      <c r="W101" s="216">
        <f>IF(AND('TRA CỨU TỔNG HỢP'!$B$3&lt;&gt;"",ISNUMBER(SEARCH('TRA CỨU TỔNG HỢP'!$B$3,V101))),MAX($W$3:W100)+1,"")</f>
        <v/>
      </c>
    </row>
    <row r="102" ht="15" customHeight="1" s="217">
      <c r="A102" s="354" t="inlineStr">
        <is>
          <t>CUMMINS</t>
        </is>
      </c>
      <c r="B102" s="355" t="inlineStr">
        <is>
          <t>HH081915</t>
        </is>
      </c>
      <c r="C102" s="354" t="inlineStr">
        <is>
          <t>Holset</t>
        </is>
      </c>
      <c r="D102" s="354" t="inlineStr">
        <is>
          <t>HX50 - HX40W</t>
        </is>
      </c>
      <c r="E102" s="354" t="inlineStr">
        <is>
          <t>WP10</t>
        </is>
      </c>
      <c r="F102" s="356" t="inlineStr">
        <is>
          <t>2839663
612601110966</t>
        </is>
      </c>
      <c r="G102" s="366" t="inlineStr">
        <is>
          <t>Tâm lỗ 45 x 86
(cổ gang ra bắt thêm vành tròn) nhỏ bằng HX40</t>
        </is>
      </c>
      <c r="H102" s="354" t="n"/>
      <c r="I102" s="354" t="n"/>
      <c r="J102" s="357" t="inlineStr">
        <is>
          <t>VIDARIR</t>
        </is>
      </c>
      <c r="K102" s="358" t="n"/>
      <c r="L102" s="358" t="n"/>
      <c r="M102" s="358" t="n"/>
      <c r="N102" s="358">
        <f>IF(M102="","",M102*1.1)</f>
        <v/>
      </c>
      <c r="O102" s="359" t="n"/>
      <c r="P102" s="359" t="n"/>
      <c r="Q102" s="359" t="n"/>
      <c r="R102" s="359" t="n"/>
      <c r="S102" s="359" t="n"/>
      <c r="T102" s="359" t="n"/>
      <c r="V102" s="346">
        <f>UPPER(A102&amp;" "&amp;B102&amp;" "&amp;D102&amp;" "&amp;E102&amp;" "&amp;F102&amp;" "&amp;G102&amp;" "&amp;H102&amp;" "&amp;I102&amp;" "&amp;J102)</f>
        <v/>
      </c>
      <c r="W102" s="216">
        <f>IF(AND('TRA CỨU TỔNG HỢP'!$B$3&lt;&gt;"",ISNUMBER(SEARCH('TRA CỨU TỔNG HỢP'!$B$3,V102))),MAX($W$3:W101)+1,"")</f>
        <v/>
      </c>
    </row>
    <row r="103" ht="15" customHeight="1" s="217">
      <c r="A103" s="340" t="inlineStr">
        <is>
          <t>CUMMINS</t>
        </is>
      </c>
      <c r="B103" s="341" t="inlineStr">
        <is>
          <t>HH080312</t>
        </is>
      </c>
      <c r="C103" s="340" t="inlineStr">
        <is>
          <t>Holset</t>
        </is>
      </c>
      <c r="D103" s="340" t="inlineStr">
        <is>
          <t>HX50W</t>
        </is>
      </c>
      <c r="E103" s="340" t="inlineStr">
        <is>
          <t>GE12TIS /DE12</t>
        </is>
      </c>
      <c r="F103" s="342" t="inlineStr">
        <is>
          <t>4040662
65.09100-7070A
69091007070A</t>
        </is>
      </c>
      <c r="G103" s="340" t="n"/>
      <c r="H103" s="340" t="n"/>
      <c r="I103" s="340" t="n"/>
      <c r="J103" s="343" t="inlineStr">
        <is>
          <t>SL</t>
        </is>
      </c>
      <c r="K103" s="344" t="n"/>
      <c r="L103" s="344" t="n"/>
      <c r="M103" s="344" t="n"/>
      <c r="N103" s="344">
        <f>IF(M103="","",M103*1.1)</f>
        <v/>
      </c>
      <c r="O103" s="345" t="n">
        <v>94</v>
      </c>
      <c r="P103" s="345" t="n">
        <v>61.6</v>
      </c>
      <c r="Q103" s="345" t="inlineStr">
        <is>
          <t>8/8</t>
        </is>
      </c>
      <c r="R103" s="345" t="n">
        <v>85.2</v>
      </c>
      <c r="S103" s="345" t="n">
        <v>72</v>
      </c>
      <c r="T103" s="345" t="n">
        <v>12</v>
      </c>
      <c r="V103" s="346">
        <f>UPPER(A103&amp;" "&amp;B103&amp;" "&amp;D103&amp;" "&amp;E103&amp;" "&amp;F103&amp;" "&amp;G103&amp;" "&amp;H103&amp;" "&amp;I103&amp;" "&amp;J103)</f>
        <v/>
      </c>
      <c r="W103" s="216">
        <f>IF(AND('TRA CỨU TỔNG HỢP'!$B$3&lt;&gt;"",ISNUMBER(SEARCH('TRA CỨU TỔNG HỢP'!$B$3,V103))),MAX($W$3:W102)+1,"")</f>
        <v/>
      </c>
    </row>
    <row r="104" ht="15" customHeight="1" s="217">
      <c r="A104" s="347" t="inlineStr">
        <is>
          <t xml:space="preserve">  └─ CUMMINS</t>
        </is>
      </c>
      <c r="B104" s="348" t="inlineStr">
        <is>
          <t>HH080742</t>
        </is>
      </c>
      <c r="C104" s="349" t="inlineStr">
        <is>
          <t>Holset</t>
        </is>
      </c>
      <c r="D104" s="349" t="inlineStr">
        <is>
          <t>HX50W</t>
        </is>
      </c>
      <c r="E104" s="349" t="inlineStr">
        <is>
          <t>GE12TIS /DE12</t>
        </is>
      </c>
      <c r="F104" s="350" t="inlineStr">
        <is>
          <t>4040662
65.09100-7070A
69091007070A</t>
        </is>
      </c>
      <c r="G104" s="349" t="n"/>
      <c r="H104" s="349" t="n"/>
      <c r="I104" s="349" t="n"/>
      <c r="J104" s="351" t="inlineStr">
        <is>
          <t>SL</t>
        </is>
      </c>
      <c r="K104" s="352" t="n"/>
      <c r="L104" s="352" t="n"/>
      <c r="M104" s="352" t="n"/>
      <c r="N104" s="352">
        <f>IF(M104="","",M104*1.1)</f>
        <v/>
      </c>
      <c r="O104" s="353" t="n">
        <v>94</v>
      </c>
      <c r="P104" s="353" t="n">
        <v>61.6</v>
      </c>
      <c r="Q104" s="353" t="inlineStr">
        <is>
          <t>8/8</t>
        </is>
      </c>
      <c r="R104" s="353" t="n">
        <v>85.2</v>
      </c>
      <c r="S104" s="353" t="n">
        <v>72</v>
      </c>
      <c r="T104" s="353" t="n">
        <v>12</v>
      </c>
      <c r="V104" s="346">
        <f>UPPER(A104&amp;" "&amp;B104&amp;" "&amp;D104&amp;" "&amp;E104&amp;" "&amp;F104&amp;" "&amp;G104&amp;" "&amp;H104&amp;" "&amp;I104&amp;" "&amp;J104)</f>
        <v/>
      </c>
      <c r="W104" s="216">
        <f>IF(AND('TRA CỨU TỔNG HỢP'!$B$3&lt;&gt;"",ISNUMBER(SEARCH('TRA CỨU TỔNG HỢP'!$B$3,V104))),MAX($W$3:W103)+1,"")</f>
        <v/>
      </c>
    </row>
    <row r="105" ht="15" customHeight="1" s="217">
      <c r="A105" s="354" t="inlineStr">
        <is>
          <t>CUMMINS</t>
        </is>
      </c>
      <c r="B105" s="355" t="inlineStr">
        <is>
          <t>HH081912</t>
        </is>
      </c>
      <c r="C105" s="354" t="inlineStr">
        <is>
          <t>Holset</t>
        </is>
      </c>
      <c r="D105" s="354" t="inlineStr">
        <is>
          <t>HX50W</t>
        </is>
      </c>
      <c r="E105" s="354" t="inlineStr">
        <is>
          <t>WP10</t>
        </is>
      </c>
      <c r="F105" s="356" t="n">
        <v>4045951</v>
      </c>
      <c r="G105" s="354" t="inlineStr">
        <is>
          <t>cổ gang ra tròn bắt 6 bu lon</t>
        </is>
      </c>
      <c r="H105" s="354" t="n"/>
      <c r="I105" s="354" t="n"/>
      <c r="J105" s="357" t="inlineStr">
        <is>
          <t>VIDARIR</t>
        </is>
      </c>
      <c r="K105" s="358" t="n"/>
      <c r="L105" s="358" t="n"/>
      <c r="M105" s="358" t="n"/>
      <c r="N105" s="358">
        <f>IF(M105="","",M105*1.1)</f>
        <v/>
      </c>
      <c r="O105" s="359" t="n"/>
      <c r="P105" s="359" t="n"/>
      <c r="Q105" s="359" t="n"/>
      <c r="R105" s="359" t="n"/>
      <c r="S105" s="359" t="n"/>
      <c r="T105" s="359" t="n"/>
      <c r="V105" s="216">
        <f>UPPER(A105&amp;" "&amp;B105&amp;" "&amp;D105&amp;" "&amp;E105&amp;" "&amp;F105&amp;" "&amp;G105&amp;" "&amp;H105&amp;" "&amp;I105&amp;" "&amp;J105)</f>
        <v/>
      </c>
      <c r="W105" s="216">
        <f>IF(AND('TRA CỨU TỔNG HỢP'!$B$3&lt;&gt;"",ISNUMBER(SEARCH('TRA CỨU TỔNG HỢP'!$B$3,V105))),MAX($W$3:W104)+1,"")</f>
        <v/>
      </c>
    </row>
    <row r="106" ht="15" customHeight="1" s="217">
      <c r="A106" s="340" t="inlineStr">
        <is>
          <t>CUMMINS</t>
        </is>
      </c>
      <c r="B106" s="341" t="inlineStr">
        <is>
          <t>HH078999</t>
        </is>
      </c>
      <c r="C106" s="340" t="inlineStr">
        <is>
          <t>Holset</t>
        </is>
      </c>
      <c r="D106" s="340" t="inlineStr">
        <is>
          <t>HX40W</t>
        </is>
      </c>
      <c r="E106" s="340" t="inlineStr">
        <is>
          <t>DV11</t>
        </is>
      </c>
      <c r="F106" s="342" t="inlineStr">
        <is>
          <t>4048072
61.09100-7209
65091007209</t>
        </is>
      </c>
      <c r="G106" s="373" t="inlineStr">
        <is>
          <t>Tâm lỗ bu lông 113 x 70
sò gang bắt 6 lỗ bu lon 
cổ gió loe</t>
        </is>
      </c>
      <c r="H106" s="340" t="n"/>
      <c r="I106" s="340" t="n"/>
      <c r="J106" s="343" t="inlineStr">
        <is>
          <t>SL</t>
        </is>
      </c>
      <c r="K106" s="344" t="n"/>
      <c r="L106" s="344" t="n"/>
      <c r="M106" s="344" t="n"/>
      <c r="N106" s="344">
        <f>IF(M106="","",M106*1.1)</f>
        <v/>
      </c>
      <c r="O106" s="345" t="n">
        <v>99</v>
      </c>
      <c r="P106" s="345" t="n">
        <v>65</v>
      </c>
      <c r="Q106" s="345" t="inlineStr">
        <is>
          <t>7/7</t>
        </is>
      </c>
      <c r="R106" s="345" t="n">
        <v>86</v>
      </c>
      <c r="S106" s="345" t="n">
        <v>77</v>
      </c>
      <c r="T106" s="345" t="n">
        <v>12</v>
      </c>
      <c r="V106" s="346">
        <f>UPPER(A106&amp;" "&amp;B106&amp;" "&amp;D106&amp;" "&amp;E106&amp;" "&amp;F106&amp;" "&amp;G106&amp;" "&amp;H106&amp;" "&amp;I106&amp;" "&amp;J106)</f>
        <v/>
      </c>
      <c r="W106" s="216">
        <f>IF(AND('TRA CỨU TỔNG HỢP'!$B$3&lt;&gt;"",ISNUMBER(SEARCH('TRA CỨU TỔNG HỢP'!$B$3,V106))),MAX($W$3:W105)+1,"")</f>
        <v/>
      </c>
    </row>
    <row r="107" ht="15" customHeight="1" s="217">
      <c r="A107" s="347" t="inlineStr">
        <is>
          <t xml:space="preserve">  └─ CUMMINS</t>
        </is>
      </c>
      <c r="B107" s="348" t="inlineStr">
        <is>
          <t>HH080741</t>
        </is>
      </c>
      <c r="C107" s="349" t="inlineStr">
        <is>
          <t>Holset</t>
        </is>
      </c>
      <c r="D107" s="349" t="inlineStr">
        <is>
          <t>HX40W</t>
        </is>
      </c>
      <c r="E107" s="349" t="inlineStr">
        <is>
          <t>DV11</t>
        </is>
      </c>
      <c r="F107" s="350" t="inlineStr">
        <is>
          <t>4048072
61.09100-7209
65091007209</t>
        </is>
      </c>
      <c r="G107" s="374" t="inlineStr">
        <is>
          <t>Tâm lỗ bu lông 113 x 70
sò gang bắt 6 lỗ bu lon 
cổ gió loe</t>
        </is>
      </c>
      <c r="H107" s="349" t="n"/>
      <c r="I107" s="349" t="n"/>
      <c r="J107" s="351" t="inlineStr">
        <is>
          <t>SL</t>
        </is>
      </c>
      <c r="K107" s="352" t="n"/>
      <c r="L107" s="352" t="n"/>
      <c r="M107" s="352" t="n"/>
      <c r="N107" s="352">
        <f>IF(M107="","",M107*1.1)</f>
        <v/>
      </c>
      <c r="O107" s="353" t="n">
        <v>99</v>
      </c>
      <c r="P107" s="353" t="n">
        <v>65</v>
      </c>
      <c r="Q107" s="353" t="inlineStr">
        <is>
          <t>7/7</t>
        </is>
      </c>
      <c r="R107" s="353" t="n">
        <v>86</v>
      </c>
      <c r="S107" s="353" t="n">
        <v>77</v>
      </c>
      <c r="T107" s="353" t="n">
        <v>12</v>
      </c>
      <c r="V107" s="346">
        <f>UPPER(A107&amp;" "&amp;B107&amp;" "&amp;D107&amp;" "&amp;E107&amp;" "&amp;F107&amp;" "&amp;G107&amp;" "&amp;H107&amp;" "&amp;I107&amp;" "&amp;J107)</f>
        <v/>
      </c>
      <c r="W107" s="216">
        <f>IF(AND('TRA CỨU TỔNG HỢP'!$B$3&lt;&gt;"",ISNUMBER(SEARCH('TRA CỨU TỔNG HỢP'!$B$3,V107))),MAX($W$3:W106)+1,"")</f>
        <v/>
      </c>
    </row>
    <row r="108" ht="15" customHeight="1" s="217">
      <c r="A108" s="354" t="inlineStr">
        <is>
          <t>CUMMINS</t>
        </is>
      </c>
      <c r="B108" s="355" t="inlineStr">
        <is>
          <t>HH081911</t>
        </is>
      </c>
      <c r="C108" s="354" t="inlineStr">
        <is>
          <t>Holset</t>
        </is>
      </c>
      <c r="D108" s="354" t="inlineStr">
        <is>
          <t>HX40W</t>
        </is>
      </c>
      <c r="E108" s="354" t="inlineStr">
        <is>
          <t>6CT/ C260</t>
        </is>
      </c>
      <c r="F108" s="356" t="inlineStr">
        <is>
          <t>4051184
4051323</t>
        </is>
      </c>
      <c r="G108" s="366" t="inlineStr">
        <is>
          <t>Cổ gió loe
Tâm lỗ bu lông 69 x 82
dây van điều tốc lắp vào sò gió</t>
        </is>
      </c>
      <c r="H108" s="354" t="inlineStr">
        <is>
          <t>Giống PC300-7, chỉ khác dây van điều tốc</t>
        </is>
      </c>
      <c r="I108" s="354" t="n"/>
      <c r="J108" s="357" t="inlineStr">
        <is>
          <t>VIDARIR</t>
        </is>
      </c>
      <c r="K108" s="358" t="n"/>
      <c r="L108" s="358" t="n"/>
      <c r="M108" s="358" t="n"/>
      <c r="N108" s="358">
        <f>IF(M108="","",M108*1.1)</f>
        <v/>
      </c>
      <c r="O108" s="359" t="n"/>
      <c r="P108" s="359" t="n"/>
      <c r="Q108" s="359" t="n"/>
      <c r="R108" s="359" t="n"/>
      <c r="S108" s="359" t="n"/>
      <c r="T108" s="359" t="n"/>
      <c r="V108" s="346">
        <f>UPPER(A108&amp;" "&amp;B108&amp;" "&amp;D108&amp;" "&amp;E108&amp;" "&amp;F108&amp;" "&amp;G108&amp;" "&amp;H108&amp;" "&amp;I108&amp;" "&amp;J108)</f>
        <v/>
      </c>
      <c r="W108" s="216">
        <f>IF(AND('TRA CỨU TỔNG HỢP'!$B$3&lt;&gt;"",ISNUMBER(SEARCH('TRA CỨU TỔNG HỢP'!$B$3,V108))),MAX($W$3:W107)+1,"")</f>
        <v/>
      </c>
    </row>
    <row r="109" ht="15" customHeight="1" s="217">
      <c r="A109" s="354" t="inlineStr">
        <is>
          <t>CUMMINS</t>
        </is>
      </c>
      <c r="B109" s="355" t="inlineStr">
        <is>
          <t>HH080921</t>
        </is>
      </c>
      <c r="C109" s="354" t="inlineStr">
        <is>
          <t>Holset</t>
        </is>
      </c>
      <c r="D109" s="354" t="inlineStr">
        <is>
          <t>HX55W</t>
        </is>
      </c>
      <c r="E109" s="354" t="inlineStr">
        <is>
          <t>M11/ QSM4 / QSM2</t>
        </is>
      </c>
      <c r="F109" s="356" t="inlineStr">
        <is>
          <t>4089862</t>
        </is>
      </c>
      <c r="G109" s="354" t="n"/>
      <c r="H109" s="354" t="n"/>
      <c r="I109" s="354" t="n"/>
      <c r="J109" s="357" t="inlineStr">
        <is>
          <t>TBS</t>
        </is>
      </c>
      <c r="K109" s="358" t="n"/>
      <c r="L109" s="358" t="n"/>
      <c r="M109" s="358" t="n"/>
      <c r="N109" s="358">
        <f>IF(M109="","",M109*1.1)</f>
        <v/>
      </c>
      <c r="O109" s="359" t="n"/>
      <c r="P109" s="359" t="n"/>
      <c r="Q109" s="359" t="n"/>
      <c r="R109" s="359" t="n"/>
      <c r="S109" s="359" t="n"/>
      <c r="T109" s="359" t="n"/>
      <c r="V109" s="216">
        <f>UPPER(A109&amp;" "&amp;B109&amp;" "&amp;D109&amp;" "&amp;E109&amp;" "&amp;F109&amp;" "&amp;G109&amp;" "&amp;H109&amp;" "&amp;I109&amp;" "&amp;J109)</f>
        <v/>
      </c>
      <c r="W109" s="216">
        <f>IF(AND('TRA CỨU TỔNG HỢP'!$B$3&lt;&gt;"",ISNUMBER(SEARCH('TRA CỨU TỔNG HỢP'!$B$3,V109))),MAX($W$3:W108)+1,"")</f>
        <v/>
      </c>
    </row>
    <row r="110" ht="15" customHeight="1" s="217">
      <c r="A110" s="354" t="inlineStr">
        <is>
          <t>CUMMINS</t>
        </is>
      </c>
      <c r="B110" s="355" t="inlineStr">
        <is>
          <t>HH081915</t>
        </is>
      </c>
      <c r="C110" s="354" t="inlineStr">
        <is>
          <t>Holset</t>
        </is>
      </c>
      <c r="D110" s="354" t="inlineStr">
        <is>
          <t>HX50W</t>
        </is>
      </c>
      <c r="E110" s="354" t="inlineStr">
        <is>
          <t>WP10</t>
        </is>
      </c>
      <c r="F110" s="356" t="inlineStr">
        <is>
          <t>2839663 612601110966</t>
        </is>
      </c>
      <c r="G110" s="354" t="inlineStr">
        <is>
          <t>(cổ gang ra bắt thêm vành tròn), tâm lỗ 45*86, nhỏ bằng HX40</t>
        </is>
      </c>
      <c r="H110" s="354" t="n"/>
      <c r="I110" s="354" t="n"/>
      <c r="J110" s="357" t="inlineStr">
        <is>
          <t>VIDARIR</t>
        </is>
      </c>
      <c r="K110" s="358" t="n"/>
      <c r="L110" s="358" t="n"/>
      <c r="M110" s="358" t="n"/>
      <c r="N110" s="358">
        <f>IF(M110="","",M110*1.1)</f>
        <v/>
      </c>
      <c r="O110" s="359" t="n"/>
      <c r="P110" s="359" t="n"/>
      <c r="Q110" s="359" t="n"/>
      <c r="R110" s="359" t="n"/>
      <c r="S110" s="359" t="n"/>
      <c r="T110" s="359" t="n"/>
      <c r="V110" s="216">
        <f>UPPER(A110&amp;" "&amp;B110&amp;" "&amp;D110&amp;" "&amp;E110&amp;" "&amp;F110&amp;" "&amp;G110&amp;" "&amp;H110&amp;" "&amp;I110&amp;" "&amp;J110)</f>
        <v/>
      </c>
      <c r="W110" s="216">
        <f>IF(AND('TRA CỨU TỔNG HỢP'!$B$3&lt;&gt;"",ISNUMBER(SEARCH('TRA CỨU TỔNG HỢP'!$B$3,V110))),MAX($W$3:W109)+1,"")</f>
        <v/>
      </c>
    </row>
    <row r="111" ht="15" customHeight="1" s="217">
      <c r="A111" s="340" t="inlineStr">
        <is>
          <t>CUMMINS</t>
        </is>
      </c>
      <c r="B111" s="341" t="inlineStr">
        <is>
          <t>HH083834</t>
        </is>
      </c>
      <c r="C111" s="340" t="inlineStr">
        <is>
          <t>Holset</t>
        </is>
      </c>
      <c r="D111" s="340" t="inlineStr">
        <is>
          <t>H1E</t>
        </is>
      </c>
      <c r="E111" s="340" t="inlineStr">
        <is>
          <t>6CTA</t>
        </is>
      </c>
      <c r="F111" s="342" t="inlineStr">
        <is>
          <t>3802303
3524034
3528777
316468
3535457</t>
        </is>
      </c>
      <c r="G111" s="340" t="inlineStr">
        <is>
          <t>Tâm lỗ bu lông 69 x 82</t>
        </is>
      </c>
      <c r="H111" s="340" t="n"/>
      <c r="I111" s="340" t="inlineStr">
        <is>
          <t>xem hình ảnh ( phessio)</t>
        </is>
      </c>
      <c r="J111" s="343" t="inlineStr">
        <is>
          <t>EE</t>
        </is>
      </c>
      <c r="K111" s="344" t="n"/>
      <c r="L111" s="344" t="n"/>
      <c r="M111" s="344" t="n"/>
      <c r="N111" s="344">
        <f>IF(M111="","",M111*1.1)</f>
        <v/>
      </c>
      <c r="O111" s="345" t="n">
        <v>83</v>
      </c>
      <c r="P111" s="345" t="n">
        <v>54</v>
      </c>
      <c r="Q111" s="345" t="inlineStr">
        <is>
          <t>8/8</t>
        </is>
      </c>
      <c r="R111" s="345" t="n">
        <v>76</v>
      </c>
      <c r="S111" s="345" t="n">
        <v>66.7</v>
      </c>
      <c r="T111" s="345" t="n">
        <v>12</v>
      </c>
      <c r="V111" s="346">
        <f>UPPER(A111&amp;" "&amp;B111&amp;" "&amp;D111&amp;" "&amp;E111&amp;" "&amp;F111&amp;" "&amp;G111&amp;" "&amp;H111&amp;" "&amp;I111&amp;" "&amp;J111)</f>
        <v/>
      </c>
      <c r="W111" s="216">
        <f>IF(AND('TRA CỨU TỔNG HỢP'!$B$3&lt;&gt;"",ISNUMBER(SEARCH('TRA CỨU TỔNG HỢP'!$B$3,V111))),MAX($W$3:W110)+1,"")</f>
        <v/>
      </c>
    </row>
    <row r="112" ht="15" customHeight="1" s="217">
      <c r="A112" s="347" t="inlineStr">
        <is>
          <t xml:space="preserve">  └─ CUMMINS</t>
        </is>
      </c>
      <c r="B112" s="348" t="inlineStr">
        <is>
          <t>HH079271</t>
        </is>
      </c>
      <c r="C112" s="349" t="inlineStr">
        <is>
          <t>Holset</t>
        </is>
      </c>
      <c r="D112" s="349" t="inlineStr">
        <is>
          <t>H1E</t>
        </is>
      </c>
      <c r="E112" s="349" t="inlineStr">
        <is>
          <t>6CTA</t>
        </is>
      </c>
      <c r="F112" s="350" t="inlineStr">
        <is>
          <t>3802303
3524034
3528777
316468
3535457</t>
        </is>
      </c>
      <c r="G112" s="349" t="inlineStr">
        <is>
          <t>Tâm lỗ bu lông 69 x 82</t>
        </is>
      </c>
      <c r="H112" s="349" t="n"/>
      <c r="I112" s="349" t="inlineStr">
        <is>
          <t>xem hình ảnh ( phessio)</t>
        </is>
      </c>
      <c r="J112" s="351" t="inlineStr">
        <is>
          <t>VIDARIR</t>
        </is>
      </c>
      <c r="K112" s="352" t="n"/>
      <c r="L112" s="352" t="n"/>
      <c r="M112" s="352" t="n"/>
      <c r="N112" s="352">
        <f>IF(M112="","",M112*1.1)</f>
        <v/>
      </c>
      <c r="O112" s="353" t="n">
        <v>83</v>
      </c>
      <c r="P112" s="353" t="n">
        <v>54</v>
      </c>
      <c r="Q112" s="353" t="inlineStr">
        <is>
          <t>8/8</t>
        </is>
      </c>
      <c r="R112" s="353" t="n">
        <v>76</v>
      </c>
      <c r="S112" s="353" t="n">
        <v>66.7</v>
      </c>
      <c r="T112" s="353" t="n">
        <v>12</v>
      </c>
      <c r="V112" s="346">
        <f>UPPER(A112&amp;" "&amp;B112&amp;" "&amp;D112&amp;" "&amp;E112&amp;" "&amp;F112&amp;" "&amp;G112&amp;" "&amp;H112&amp;" "&amp;I112&amp;" "&amp;J112)</f>
        <v/>
      </c>
      <c r="W112" s="216">
        <f>IF(AND('TRA CỨU TỔNG HỢP'!$B$3&lt;&gt;"",ISNUMBER(SEARCH('TRA CỨU TỔNG HỢP'!$B$3,V112))),MAX($W$3:W111)+1,"")</f>
        <v/>
      </c>
    </row>
    <row r="113" ht="15" customHeight="1" s="217">
      <c r="A113" s="347" t="inlineStr">
        <is>
          <t xml:space="preserve">  └─ CUMMINS</t>
        </is>
      </c>
      <c r="B113" s="348" t="inlineStr">
        <is>
          <t>HH081615</t>
        </is>
      </c>
      <c r="C113" s="349" t="inlineStr">
        <is>
          <t>Holset</t>
        </is>
      </c>
      <c r="D113" s="349" t="inlineStr">
        <is>
          <t>H1E</t>
        </is>
      </c>
      <c r="E113" s="349" t="inlineStr">
        <is>
          <t>6CTA</t>
        </is>
      </c>
      <c r="F113" s="350" t="inlineStr">
        <is>
          <t>3802303
3524034
3528777
316468
3535457</t>
        </is>
      </c>
      <c r="G113" s="349" t="inlineStr">
        <is>
          <t>Tâm lỗ bu lông 69 x 82</t>
        </is>
      </c>
      <c r="H113" s="349" t="n"/>
      <c r="I113" s="349" t="inlineStr">
        <is>
          <t>xem hình ảnh ( phessio)</t>
        </is>
      </c>
      <c r="J113" s="351" t="inlineStr">
        <is>
          <t>VIDARIR</t>
        </is>
      </c>
      <c r="K113" s="352" t="n"/>
      <c r="L113" s="352" t="n"/>
      <c r="M113" s="352" t="n"/>
      <c r="N113" s="352">
        <f>IF(M113="","",M113*1.1)</f>
        <v/>
      </c>
      <c r="O113" s="353" t="n">
        <v>83</v>
      </c>
      <c r="P113" s="353" t="n">
        <v>54</v>
      </c>
      <c r="Q113" s="353" t="inlineStr">
        <is>
          <t>8/8</t>
        </is>
      </c>
      <c r="R113" s="353" t="n">
        <v>76</v>
      </c>
      <c r="S113" s="353" t="n">
        <v>66.7</v>
      </c>
      <c r="T113" s="353" t="n">
        <v>12</v>
      </c>
      <c r="V113" s="346">
        <f>UPPER(A113&amp;" "&amp;B113&amp;" "&amp;D113&amp;" "&amp;E113&amp;" "&amp;F113&amp;" "&amp;G113&amp;" "&amp;H113&amp;" "&amp;I113&amp;" "&amp;J113)</f>
        <v/>
      </c>
      <c r="W113" s="216">
        <f>IF(AND('TRA CỨU TỔNG HỢP'!$B$3&lt;&gt;"",ISNUMBER(SEARCH('TRA CỨU TỔNG HỢP'!$B$3,V113))),MAX($W$3:W112)+1,"")</f>
        <v/>
      </c>
    </row>
    <row r="114" ht="15" customHeight="1" s="217">
      <c r="A114" s="340" t="inlineStr">
        <is>
          <t>CUMMINS</t>
        </is>
      </c>
      <c r="B114" s="341" t="inlineStr">
        <is>
          <t>HH071950</t>
        </is>
      </c>
      <c r="C114" s="340" t="inlineStr">
        <is>
          <t>Holset</t>
        </is>
      </c>
      <c r="D114" s="340" t="inlineStr">
        <is>
          <t>HX55</t>
        </is>
      </c>
      <c r="E114" s="340" t="inlineStr">
        <is>
          <t>M11/ 6B5.9</t>
        </is>
      </c>
      <c r="F114" s="342" t="inlineStr">
        <is>
          <t>3800471
3800471RX
3803938</t>
        </is>
      </c>
      <c r="G114" s="340" t="inlineStr">
        <is>
          <t>Tâm lỗ bu lông 90 x 92</t>
        </is>
      </c>
      <c r="H114" s="340" t="inlineStr">
        <is>
          <t>Bomag/Cumins M11</t>
        </is>
      </c>
      <c r="I114" s="340" t="n"/>
      <c r="J114" s="343" t="n"/>
      <c r="K114" s="344" t="n"/>
      <c r="L114" s="344" t="n"/>
      <c r="M114" s="344" t="n"/>
      <c r="N114" s="344">
        <f>IF(M114="","",M114*1.1)</f>
        <v/>
      </c>
      <c r="O114" s="345" t="n">
        <v>99</v>
      </c>
      <c r="P114" s="345" t="n">
        <v>65</v>
      </c>
      <c r="Q114" s="345" t="inlineStr">
        <is>
          <t>7/7</t>
        </is>
      </c>
      <c r="R114" s="345" t="n">
        <v>86</v>
      </c>
      <c r="S114" s="345" t="n">
        <v>77</v>
      </c>
      <c r="T114" s="345" t="n">
        <v>12</v>
      </c>
      <c r="V114" s="346">
        <f>UPPER(A114&amp;" "&amp;B114&amp;" "&amp;D114&amp;" "&amp;E114&amp;" "&amp;F114&amp;" "&amp;G114&amp;" "&amp;H114&amp;" "&amp;I114&amp;" "&amp;J114)</f>
        <v/>
      </c>
      <c r="W114" s="216">
        <f>IF(AND('TRA CỨU TỔNG HỢP'!$B$3&lt;&gt;"",ISNUMBER(SEARCH('TRA CỨU TỔNG HỢP'!$B$3,V114))),MAX($W$3:W113)+1,"")</f>
        <v/>
      </c>
    </row>
    <row r="115" ht="15" customHeight="1" s="217">
      <c r="A115" s="347" t="inlineStr">
        <is>
          <t xml:space="preserve">  └─ CUMMINS</t>
        </is>
      </c>
      <c r="B115" s="348" t="inlineStr">
        <is>
          <t>HH080326</t>
        </is>
      </c>
      <c r="C115" s="349" t="inlineStr">
        <is>
          <t>Holset</t>
        </is>
      </c>
      <c r="D115" s="349" t="inlineStr">
        <is>
          <t>HX55</t>
        </is>
      </c>
      <c r="E115" s="349" t="inlineStr">
        <is>
          <t>M11/ 6B5.9</t>
        </is>
      </c>
      <c r="F115" s="350" t="inlineStr">
        <is>
          <t>3800471
3800471RX
3803938</t>
        </is>
      </c>
      <c r="G115" s="349" t="inlineStr">
        <is>
          <t>Tâm lỗ bu lông 90 x 92</t>
        </is>
      </c>
      <c r="H115" s="349" t="inlineStr">
        <is>
          <t>Bomag/Cumins M11</t>
        </is>
      </c>
      <c r="I115" s="349" t="n"/>
      <c r="J115" s="351" t="n"/>
      <c r="K115" s="352" t="n"/>
      <c r="L115" s="352" t="n"/>
      <c r="M115" s="352" t="n"/>
      <c r="N115" s="352">
        <f>IF(M115="","",M115*1.1)</f>
        <v/>
      </c>
      <c r="O115" s="353" t="n">
        <v>99</v>
      </c>
      <c r="P115" s="353" t="n">
        <v>65</v>
      </c>
      <c r="Q115" s="353" t="inlineStr">
        <is>
          <t>7/7</t>
        </is>
      </c>
      <c r="R115" s="353" t="n">
        <v>86</v>
      </c>
      <c r="S115" s="353" t="n">
        <v>77</v>
      </c>
      <c r="T115" s="353" t="n">
        <v>12</v>
      </c>
      <c r="V115" s="346">
        <f>UPPER(A115&amp;" "&amp;B115&amp;" "&amp;D115&amp;" "&amp;E115&amp;" "&amp;F115&amp;" "&amp;G115&amp;" "&amp;H115&amp;" "&amp;I115&amp;" "&amp;J115)</f>
        <v/>
      </c>
      <c r="W115" s="216">
        <f>IF(AND('TRA CỨU TỔNG HỢP'!$B$3&lt;&gt;"",ISNUMBER(SEARCH('TRA CỨU TỔNG HỢP'!$B$3,V115))),MAX($W$3:W114)+1,"")</f>
        <v/>
      </c>
    </row>
    <row r="116" ht="15" customHeight="1" s="217">
      <c r="A116" s="347" t="inlineStr">
        <is>
          <t xml:space="preserve">  └─ CUMMINS</t>
        </is>
      </c>
      <c r="B116" s="348" t="inlineStr">
        <is>
          <t>HH079685</t>
        </is>
      </c>
      <c r="C116" s="349" t="inlineStr">
        <is>
          <t>Holset</t>
        </is>
      </c>
      <c r="D116" s="349" t="inlineStr">
        <is>
          <t>HX55</t>
        </is>
      </c>
      <c r="E116" s="349" t="inlineStr">
        <is>
          <t>M11/ 6B5.9</t>
        </is>
      </c>
      <c r="F116" s="350" t="inlineStr">
        <is>
          <t>3800471
3800471RX
3803938</t>
        </is>
      </c>
      <c r="G116" s="349" t="inlineStr">
        <is>
          <t>Tâm lỗ bu lông 90 x 92</t>
        </is>
      </c>
      <c r="H116" s="349" t="inlineStr">
        <is>
          <t>Bomag/Cumins M11</t>
        </is>
      </c>
      <c r="I116" s="349" t="n"/>
      <c r="J116" s="351" t="inlineStr">
        <is>
          <t>SL</t>
        </is>
      </c>
      <c r="K116" s="352" t="n"/>
      <c r="L116" s="352" t="n"/>
      <c r="M116" s="352" t="n"/>
      <c r="N116" s="352">
        <f>IF(M116="","",M116*1.1)</f>
        <v/>
      </c>
      <c r="O116" s="353" t="n">
        <v>99</v>
      </c>
      <c r="P116" s="353" t="n">
        <v>65</v>
      </c>
      <c r="Q116" s="353" t="inlineStr">
        <is>
          <t>7/7</t>
        </is>
      </c>
      <c r="R116" s="353" t="n">
        <v>86</v>
      </c>
      <c r="S116" s="353" t="n">
        <v>77</v>
      </c>
      <c r="T116" s="353" t="n">
        <v>12</v>
      </c>
      <c r="V116" s="346">
        <f>UPPER(A116&amp;" "&amp;B116&amp;" "&amp;D116&amp;" "&amp;E116&amp;" "&amp;F116&amp;" "&amp;G116&amp;" "&amp;H116&amp;" "&amp;I116&amp;" "&amp;J116)</f>
        <v/>
      </c>
      <c r="W116" s="216">
        <f>IF(AND('TRA CỨU TỔNG HỢP'!$B$3&lt;&gt;"",ISNUMBER(SEARCH('TRA CỨU TỔNG HỢP'!$B$3,V116))),MAX($W$3:W115)+1,"")</f>
        <v/>
      </c>
    </row>
    <row r="117" ht="15" customHeight="1" s="217">
      <c r="A117" s="354" t="inlineStr">
        <is>
          <t>CUMMINS</t>
        </is>
      </c>
      <c r="B117" s="355" t="inlineStr">
        <is>
          <t>HH080327</t>
        </is>
      </c>
      <c r="C117" s="354" t="inlineStr">
        <is>
          <t>Holset</t>
        </is>
      </c>
      <c r="D117" s="354" t="inlineStr">
        <is>
          <t>H2C</t>
        </is>
      </c>
      <c r="E117" s="354" t="inlineStr">
        <is>
          <t>L10</t>
        </is>
      </c>
      <c r="F117" s="356" t="n">
        <v>3519095</v>
      </c>
      <c r="G117" s="354" t="n"/>
      <c r="H117" s="354" t="n"/>
      <c r="I117" s="354" t="n"/>
      <c r="J117" s="357" t="inlineStr">
        <is>
          <t>SL</t>
        </is>
      </c>
      <c r="K117" s="358" t="n"/>
      <c r="L117" s="358" t="n"/>
      <c r="M117" s="358" t="n"/>
      <c r="N117" s="358">
        <f>IF(M117="","",M117*1.1)</f>
        <v/>
      </c>
      <c r="O117" s="359" t="n">
        <v>85.90000000000001</v>
      </c>
      <c r="P117" s="359" t="n">
        <v>59.8</v>
      </c>
      <c r="Q117" s="359" t="inlineStr">
        <is>
          <t>8/8</t>
        </is>
      </c>
      <c r="R117" s="359" t="n">
        <v>85.8</v>
      </c>
      <c r="S117" s="359" t="n">
        <v>72</v>
      </c>
      <c r="T117" s="359" t="n">
        <v>11</v>
      </c>
      <c r="V117" s="216">
        <f>UPPER(A117&amp;" "&amp;B117&amp;" "&amp;D117&amp;" "&amp;E117&amp;" "&amp;F117&amp;" "&amp;G117&amp;" "&amp;H117&amp;" "&amp;I117&amp;" "&amp;J117)</f>
        <v/>
      </c>
      <c r="W117" s="216">
        <f>IF(AND('TRA CỨU TỔNG HỢP'!$B$3&lt;&gt;"",ISNUMBER(SEARCH('TRA CỨU TỔNG HỢP'!$B$3,V117))),MAX($W$3:W116)+1,"")</f>
        <v/>
      </c>
    </row>
    <row r="118" ht="15" customHeight="1" s="217">
      <c r="A118" s="354" t="inlineStr">
        <is>
          <t>CUMMINS</t>
        </is>
      </c>
      <c r="B118" s="355" t="inlineStr">
        <is>
          <t>HH081062</t>
        </is>
      </c>
      <c r="C118" s="354" t="inlineStr">
        <is>
          <t>Holset</t>
        </is>
      </c>
      <c r="D118" s="354" t="inlineStr">
        <is>
          <t>NT855</t>
        </is>
      </c>
      <c r="E118" s="354" t="inlineStr">
        <is>
          <t>HT3B</t>
        </is>
      </c>
      <c r="F118" s="356" t="inlineStr">
        <is>
          <t>3522865
3522866</t>
        </is>
      </c>
      <c r="G118" s="354" t="n"/>
      <c r="H118" s="354" t="n"/>
      <c r="I118" s="354" t="n"/>
      <c r="J118" s="357" t="inlineStr">
        <is>
          <t>SL</t>
        </is>
      </c>
      <c r="K118" s="358" t="n"/>
      <c r="L118" s="358" t="n"/>
      <c r="M118" s="358" t="n"/>
      <c r="N118" s="358">
        <f>IF(M118="","",M118*1.1)</f>
        <v/>
      </c>
      <c r="O118" s="359" t="n"/>
      <c r="P118" s="359" t="n"/>
      <c r="Q118" s="359" t="n"/>
      <c r="R118" s="359" t="n"/>
      <c r="S118" s="359" t="n"/>
      <c r="T118" s="359" t="n"/>
      <c r="V118" s="346">
        <f>UPPER(A118&amp;" "&amp;B118&amp;" "&amp;D118&amp;" "&amp;E118&amp;" "&amp;F118&amp;" "&amp;G118&amp;" "&amp;H118&amp;" "&amp;I118&amp;" "&amp;J118)</f>
        <v/>
      </c>
      <c r="W118" s="216">
        <f>IF(AND('TRA CỨU TỔNG HỢP'!$B$3&lt;&gt;"",ISNUMBER(SEARCH('TRA CỨU TỔNG HỢP'!$B$3,V118))),MAX($W$3:W117)+1,"")</f>
        <v/>
      </c>
    </row>
    <row r="119" ht="15" customHeight="1" s="217">
      <c r="A119" s="340" t="inlineStr">
        <is>
          <t>CUMMINS</t>
        </is>
      </c>
      <c r="B119" s="341" t="inlineStr">
        <is>
          <t>HH077598</t>
        </is>
      </c>
      <c r="C119" s="340" t="inlineStr">
        <is>
          <t>Holset</t>
        </is>
      </c>
      <c r="D119" s="340" t="inlineStr">
        <is>
          <t>HE400G/ S300G</t>
        </is>
      </c>
      <c r="E119" s="340" t="n"/>
      <c r="F119" s="342" t="inlineStr">
        <is>
          <t>3787729/ 13809700027
8C04-200-M05</t>
        </is>
      </c>
      <c r="G119" s="340" t="n"/>
      <c r="H119" s="340" t="n"/>
      <c r="I119" s="340" t="n"/>
      <c r="J119" s="343" t="inlineStr">
        <is>
          <t>JRONE</t>
        </is>
      </c>
      <c r="K119" s="344" t="n"/>
      <c r="L119" s="344" t="n"/>
      <c r="M119" s="344" t="n"/>
      <c r="N119" s="344">
        <f>IF(M119="","",M119*1.1)</f>
        <v/>
      </c>
      <c r="O119" s="345" t="n">
        <v>93</v>
      </c>
      <c r="P119" s="345" t="n">
        <v>64</v>
      </c>
      <c r="Q119" s="345" t="inlineStr">
        <is>
          <t>7/7</t>
        </is>
      </c>
      <c r="R119" s="345" t="n">
        <v>75.8</v>
      </c>
      <c r="S119" s="345" t="n">
        <v>67</v>
      </c>
      <c r="T119" s="345" t="n">
        <v>12</v>
      </c>
      <c r="V119" s="346">
        <f>UPPER(A119&amp;" "&amp;B119&amp;" "&amp;D119&amp;" "&amp;E119&amp;" "&amp;F119&amp;" "&amp;G119&amp;" "&amp;H119&amp;" "&amp;I119&amp;" "&amp;J119)</f>
        <v/>
      </c>
      <c r="W119" s="216">
        <f>IF(AND('TRA CỨU TỔNG HỢP'!$B$3&lt;&gt;"",ISNUMBER(SEARCH('TRA CỨU TỔNG HỢP'!$B$3,V119))),MAX($W$3:W118)+1,"")</f>
        <v/>
      </c>
    </row>
    <row r="120" ht="15" customHeight="1" s="217">
      <c r="A120" s="347" t="inlineStr">
        <is>
          <t xml:space="preserve">  └─ CUMMINS</t>
        </is>
      </c>
      <c r="B120" s="348" t="inlineStr">
        <is>
          <t>HH077595</t>
        </is>
      </c>
      <c r="C120" s="349" t="inlineStr">
        <is>
          <t>Holset</t>
        </is>
      </c>
      <c r="D120" s="349" t="inlineStr">
        <is>
          <t>HE400G/ S300G</t>
        </is>
      </c>
      <c r="E120" s="349" t="n"/>
      <c r="F120" s="350" t="inlineStr">
        <is>
          <t>3787729/ 13809700027
8C04-200-M05</t>
        </is>
      </c>
      <c r="G120" s="349" t="n"/>
      <c r="H120" s="349" t="n"/>
      <c r="I120" s="349" t="n"/>
      <c r="J120" s="351" t="inlineStr">
        <is>
          <t>JRONE</t>
        </is>
      </c>
      <c r="K120" s="352" t="n"/>
      <c r="L120" s="352" t="n"/>
      <c r="M120" s="352" t="n"/>
      <c r="N120" s="352">
        <f>IF(M120="","",M120*1.1)</f>
        <v/>
      </c>
      <c r="O120" s="353" t="n">
        <v>93</v>
      </c>
      <c r="P120" s="353" t="n">
        <v>64</v>
      </c>
      <c r="Q120" s="353" t="inlineStr">
        <is>
          <t>7/7</t>
        </is>
      </c>
      <c r="R120" s="353" t="n">
        <v>75.8</v>
      </c>
      <c r="S120" s="353" t="n">
        <v>67</v>
      </c>
      <c r="T120" s="353" t="n">
        <v>12</v>
      </c>
      <c r="V120" s="346">
        <f>UPPER(A120&amp;" "&amp;B120&amp;" "&amp;D120&amp;" "&amp;E120&amp;" "&amp;F120&amp;" "&amp;G120&amp;" "&amp;H120&amp;" "&amp;I120&amp;" "&amp;J120)</f>
        <v/>
      </c>
      <c r="W120" s="216">
        <f>IF(AND('TRA CỨU TỔNG HỢP'!$B$3&lt;&gt;"",ISNUMBER(SEARCH('TRA CỨU TỔNG HỢP'!$B$3,V120))),MAX($W$3:W119)+1,"")</f>
        <v/>
      </c>
    </row>
    <row r="121" ht="15" customHeight="1" s="217">
      <c r="A121" s="360" t="inlineStr">
        <is>
          <t>CUMMINS</t>
        </is>
      </c>
      <c r="B121" s="361" t="n"/>
      <c r="C121" s="360" t="inlineStr">
        <is>
          <t>Holset</t>
        </is>
      </c>
      <c r="D121" s="360" t="inlineStr">
        <is>
          <t>HX55</t>
        </is>
      </c>
      <c r="E121" s="360" t="n"/>
      <c r="F121" s="362" t="inlineStr">
        <is>
          <t>4038613
4038616
3594236</t>
        </is>
      </c>
      <c r="G121" s="360" t="n"/>
      <c r="H121" s="360" t="n"/>
      <c r="I121" s="360" t="n"/>
      <c r="J121" s="363" t="n"/>
      <c r="K121" s="364" t="n"/>
      <c r="L121" s="364" t="n"/>
      <c r="M121" s="364" t="n"/>
      <c r="N121" s="364" t="n"/>
      <c r="O121" s="365" t="n"/>
      <c r="P121" s="365" t="n"/>
      <c r="Q121" s="365" t="n"/>
      <c r="R121" s="365" t="n"/>
      <c r="S121" s="365" t="n"/>
      <c r="T121" s="365" t="n"/>
      <c r="V121" s="346">
        <f>UPPER(A121&amp;" "&amp;B121&amp;" "&amp;D121&amp;" "&amp;E121&amp;" "&amp;F121&amp;" "&amp;G121&amp;" "&amp;H121&amp;" "&amp;I121&amp;" "&amp;J121)</f>
        <v/>
      </c>
      <c r="W121" s="216">
        <f>IF(AND('TRA CỨU TỔNG HỢP'!$B$3&lt;&gt;"",ISNUMBER(SEARCH('TRA CỨU TỔNG HỢP'!$B$3,V121))),MAX($W$3:W120)+1,"")</f>
        <v/>
      </c>
    </row>
    <row r="122" ht="15" customHeight="1" s="217">
      <c r="A122" s="354" t="inlineStr">
        <is>
          <t>CUMMINS</t>
        </is>
      </c>
      <c r="B122" s="355" t="inlineStr">
        <is>
          <t>HH079270</t>
        </is>
      </c>
      <c r="C122" s="354" t="inlineStr">
        <is>
          <t>Holset</t>
        </is>
      </c>
      <c r="D122" s="354" t="inlineStr">
        <is>
          <t>HE221W</t>
        </is>
      </c>
      <c r="E122" s="354" t="inlineStr">
        <is>
          <t>ISF3.8</t>
        </is>
      </c>
      <c r="F122" s="356" t="inlineStr">
        <is>
          <t>3774225
3777896
2836258
3794988
3794989
3774196
3768000
3789077
3767999
3774193
3796173</t>
        </is>
      </c>
      <c r="G122" s="366" t="inlineStr">
        <is>
          <t>có điều tốc cổ gió loe
cổ gang bắt 5 lỗ bu lon</t>
        </is>
      </c>
      <c r="H122" s="354" t="n"/>
      <c r="I122" s="354" t="n"/>
      <c r="J122" s="357" t="inlineStr">
        <is>
          <t>VIDARIR</t>
        </is>
      </c>
      <c r="K122" s="358" t="n"/>
      <c r="L122" s="358" t="n"/>
      <c r="M122" s="358" t="n"/>
      <c r="N122" s="358">
        <f>IF(M122="","",M122*1.1)</f>
        <v/>
      </c>
      <c r="O122" s="359" t="n">
        <v>56</v>
      </c>
      <c r="P122" s="359" t="n">
        <v>43</v>
      </c>
      <c r="Q122" s="359" t="inlineStr">
        <is>
          <t>6/6</t>
        </is>
      </c>
      <c r="R122" s="359" t="n">
        <v>47.2</v>
      </c>
      <c r="S122" s="359" t="n">
        <v>41.2</v>
      </c>
      <c r="T122" s="359" t="n">
        <v>11</v>
      </c>
      <c r="V122" s="346">
        <f>UPPER(A122&amp;" "&amp;B122&amp;" "&amp;D122&amp;" "&amp;E122&amp;" "&amp;F122&amp;" "&amp;G122&amp;" "&amp;H122&amp;" "&amp;I122&amp;" "&amp;J122)</f>
        <v/>
      </c>
      <c r="W122" s="216">
        <f>IF(AND('TRA CỨU TỔNG HỢP'!$B$3&lt;&gt;"",ISNUMBER(SEARCH('TRA CỨU TỔNG HỢP'!$B$3,V122))),MAX($W$3:W121)+1,"")</f>
        <v/>
      </c>
    </row>
    <row r="123" ht="15" customHeight="1" s="217">
      <c r="A123" s="354" t="inlineStr">
        <is>
          <t>CUMMINS</t>
        </is>
      </c>
      <c r="B123" s="355" t="inlineStr">
        <is>
          <t>HH080913</t>
        </is>
      </c>
      <c r="C123" s="354" t="inlineStr">
        <is>
          <t>Holset</t>
        </is>
      </c>
      <c r="D123" s="354" t="inlineStr">
        <is>
          <t>WH1C</t>
        </is>
      </c>
      <c r="E123" s="354" t="inlineStr">
        <is>
          <t>6BT</t>
        </is>
      </c>
      <c r="F123" s="356" t="inlineStr">
        <is>
          <t>4035199
4035202</t>
        </is>
      </c>
      <c r="G123" s="354" t="inlineStr">
        <is>
          <t>WH1C</t>
        </is>
      </c>
      <c r="H123" s="354" t="n"/>
      <c r="I123" s="354" t="inlineStr">
        <is>
          <t>4035202 - VIDARIR DN-1105</t>
        </is>
      </c>
      <c r="J123" s="357" t="inlineStr">
        <is>
          <t>VIDARIR</t>
        </is>
      </c>
      <c r="K123" s="358" t="n"/>
      <c r="L123" s="358" t="n"/>
      <c r="M123" s="358" t="n"/>
      <c r="N123" s="358">
        <f>IF(M123="","",M123*1.1)</f>
        <v/>
      </c>
      <c r="O123" s="359" t="n"/>
      <c r="P123" s="359" t="n"/>
      <c r="Q123" s="359" t="n"/>
      <c r="R123" s="359" t="n"/>
      <c r="S123" s="359" t="n"/>
      <c r="T123" s="359" t="n"/>
      <c r="V123" s="346">
        <f>UPPER(A123&amp;" "&amp;B123&amp;" "&amp;D123&amp;" "&amp;E123&amp;" "&amp;F123&amp;" "&amp;G123&amp;" "&amp;H123&amp;" "&amp;I123&amp;" "&amp;J123)</f>
        <v/>
      </c>
      <c r="W123" s="216">
        <f>IF(AND('TRA CỨU TỔNG HỢP'!$B$3&lt;&gt;"",ISNUMBER(SEARCH('TRA CỨU TỔNG HỢP'!$B$3,V123))),MAX($W$3:W122)+1,"")</f>
        <v/>
      </c>
    </row>
    <row r="124" ht="15" customHeight="1" s="217">
      <c r="A124" s="354" t="inlineStr">
        <is>
          <t>CUMMINS</t>
        </is>
      </c>
      <c r="B124" s="355" t="inlineStr">
        <is>
          <t>HH080644</t>
        </is>
      </c>
      <c r="C124" s="354" t="inlineStr">
        <is>
          <t>Holset</t>
        </is>
      </c>
      <c r="D124" s="354" t="inlineStr">
        <is>
          <t>HX50W/ HE400WG</t>
        </is>
      </c>
      <c r="E124" s="354" t="n"/>
      <c r="F124" s="356" t="inlineStr">
        <is>
          <t>612600118895
 3790063</t>
        </is>
      </c>
      <c r="G124" s="354" t="inlineStr">
        <is>
          <t>HE400WG</t>
        </is>
      </c>
      <c r="H124" s="354" t="inlineStr">
        <is>
          <t>HX50W</t>
        </is>
      </c>
      <c r="I124" s="354" t="inlineStr">
        <is>
          <t>Weichai Sino truck, 3790063 - VIDARIR</t>
        </is>
      </c>
      <c r="J124" s="357" t="inlineStr">
        <is>
          <t>VIDARIR</t>
        </is>
      </c>
      <c r="K124" s="358" t="n"/>
      <c r="L124" s="358" t="n"/>
      <c r="M124" s="358" t="n"/>
      <c r="N124" s="358">
        <f>IF(M124="","",M124*1.1)</f>
        <v/>
      </c>
      <c r="O124" s="359" t="n"/>
      <c r="P124" s="359" t="n"/>
      <c r="Q124" s="359" t="n"/>
      <c r="R124" s="359" t="n"/>
      <c r="S124" s="359" t="n"/>
      <c r="T124" s="359" t="n"/>
      <c r="V124" s="346">
        <f>UPPER(A124&amp;" "&amp;B124&amp;" "&amp;D124&amp;" "&amp;E124&amp;" "&amp;F124&amp;" "&amp;G124&amp;" "&amp;H124&amp;" "&amp;I124&amp;" "&amp;J124)</f>
        <v/>
      </c>
      <c r="W124" s="216">
        <f>IF(AND('TRA CỨU TỔNG HỢP'!$B$3&lt;&gt;"",ISNUMBER(SEARCH('TRA CỨU TỔNG HỢP'!$B$3,V124))),MAX($W$3:W123)+1,"")</f>
        <v/>
      </c>
    </row>
    <row r="125" ht="15" customHeight="1" s="217">
      <c r="A125" s="340" t="inlineStr">
        <is>
          <t>CUMMINS</t>
        </is>
      </c>
      <c r="B125" s="341" t="inlineStr">
        <is>
          <t>HH082517</t>
        </is>
      </c>
      <c r="C125" s="340" t="inlineStr">
        <is>
          <t>Holset</t>
        </is>
      </c>
      <c r="D125" s="340" t="inlineStr">
        <is>
          <t>HE221W</t>
        </is>
      </c>
      <c r="E125" s="340" t="inlineStr">
        <is>
          <t>S4D107/ ISDE 140/ 4.5</t>
        </is>
      </c>
      <c r="F125" s="342" t="inlineStr">
        <is>
          <t>3781989</t>
        </is>
      </c>
      <c r="G125" s="340" t="n"/>
      <c r="H125" s="340" t="inlineStr">
        <is>
          <t>HE221W</t>
        </is>
      </c>
      <c r="I125" s="340" t="inlineStr">
        <is>
          <t>billet, CUMMINS ISDE 140</t>
        </is>
      </c>
      <c r="J125" s="343" t="inlineStr">
        <is>
          <t>SL</t>
        </is>
      </c>
      <c r="K125" s="344" t="n"/>
      <c r="L125" s="344" t="n"/>
      <c r="M125" s="344" t="n"/>
      <c r="N125" s="344">
        <f>IF(M125="","",M125*1.1)</f>
        <v/>
      </c>
      <c r="O125" s="345" t="n"/>
      <c r="P125" s="345" t="n"/>
      <c r="Q125" s="345" t="n"/>
      <c r="R125" s="345" t="n"/>
      <c r="S125" s="345" t="n"/>
      <c r="T125" s="345" t="n"/>
      <c r="V125" s="216">
        <f>UPPER(A125&amp;" "&amp;B125&amp;" "&amp;D125&amp;" "&amp;E125&amp;" "&amp;F125&amp;" "&amp;G125&amp;" "&amp;H125&amp;" "&amp;I125&amp;" "&amp;J125)</f>
        <v/>
      </c>
      <c r="W125" s="216">
        <f>IF(AND('TRA CỨU TỔNG HỢP'!$B$3&lt;&gt;"",ISNUMBER(SEARCH('TRA CỨU TỔNG HỢP'!$B$3,V125))),MAX($W$3:W124)+1,"")</f>
        <v/>
      </c>
    </row>
    <row r="126" ht="15" customHeight="1" s="217">
      <c r="A126" s="347" t="inlineStr">
        <is>
          <t xml:space="preserve">  └─ CUMMINS</t>
        </is>
      </c>
      <c r="B126" s="348" t="inlineStr">
        <is>
          <t>HH082673</t>
        </is>
      </c>
      <c r="C126" s="349" t="inlineStr">
        <is>
          <t>Holset</t>
        </is>
      </c>
      <c r="D126" s="349" t="inlineStr">
        <is>
          <t>HE221W</t>
        </is>
      </c>
      <c r="E126" s="349" t="inlineStr">
        <is>
          <t>S4D107/ ISDE 140/ 4.5</t>
        </is>
      </c>
      <c r="F126" s="350" t="inlineStr">
        <is>
          <t>3781989</t>
        </is>
      </c>
      <c r="G126" s="349" t="n"/>
      <c r="H126" s="349" t="inlineStr">
        <is>
          <t>HE221W</t>
        </is>
      </c>
      <c r="I126" s="349" t="inlineStr">
        <is>
          <t>billet, CUMMINS ISDE 140</t>
        </is>
      </c>
      <c r="J126" s="351" t="inlineStr">
        <is>
          <t>SL</t>
        </is>
      </c>
      <c r="K126" s="352" t="n"/>
      <c r="L126" s="352" t="n"/>
      <c r="M126" s="352" t="n"/>
      <c r="N126" s="352">
        <f>IF(M126="","",M126*1.1)</f>
        <v/>
      </c>
      <c r="O126" s="353" t="n"/>
      <c r="P126" s="353" t="n"/>
      <c r="Q126" s="353" t="n"/>
      <c r="R126" s="353" t="n"/>
      <c r="S126" s="353" t="n"/>
      <c r="T126" s="353" t="n"/>
      <c r="V126" s="216">
        <f>UPPER(A126&amp;" "&amp;B126&amp;" "&amp;D126&amp;" "&amp;E126&amp;" "&amp;F126&amp;" "&amp;G126&amp;" "&amp;H126&amp;" "&amp;I126&amp;" "&amp;J126)</f>
        <v/>
      </c>
      <c r="W126" s="216">
        <f>IF(AND('TRA CỨU TỔNG HỢP'!$B$3&lt;&gt;"",ISNUMBER(SEARCH('TRA CỨU TỔNG HỢP'!$B$3,V126))),MAX($W$3:W125)+1,"")</f>
        <v/>
      </c>
    </row>
    <row r="127" ht="15" customHeight="1" s="217">
      <c r="A127" s="340" t="inlineStr">
        <is>
          <t>CUMMINS</t>
        </is>
      </c>
      <c r="B127" s="341" t="inlineStr">
        <is>
          <t>HH080315</t>
        </is>
      </c>
      <c r="C127" s="340" t="inlineStr">
        <is>
          <t>Holset</t>
        </is>
      </c>
      <c r="D127" s="340" t="inlineStr">
        <is>
          <t>HX55W</t>
        </is>
      </c>
      <c r="E127" s="340" t="inlineStr">
        <is>
          <t>CA6DM2/ FAW 350PS</t>
        </is>
      </c>
      <c r="F127" s="342" t="inlineStr">
        <is>
          <t>1118010BM01-074A</t>
        </is>
      </c>
      <c r="G127" s="340" t="n"/>
      <c r="H127" s="340" t="n"/>
      <c r="I127" s="340" t="n"/>
      <c r="J127" s="343" t="inlineStr">
        <is>
          <t>SL</t>
        </is>
      </c>
      <c r="K127" s="344" t="n"/>
      <c r="L127" s="344" t="n"/>
      <c r="M127" s="344" t="n"/>
      <c r="N127" s="344">
        <f>IF(M127="","",M127*1.1)</f>
        <v/>
      </c>
      <c r="O127" s="345" t="n">
        <v>99</v>
      </c>
      <c r="P127" s="345" t="n">
        <v>65</v>
      </c>
      <c r="Q127" s="345" t="inlineStr">
        <is>
          <t>7/7</t>
        </is>
      </c>
      <c r="R127" s="345" t="n">
        <v>86</v>
      </c>
      <c r="S127" s="345" t="n">
        <v>77</v>
      </c>
      <c r="T127" s="345" t="n">
        <v>12</v>
      </c>
      <c r="V127" s="216">
        <f>UPPER(A127&amp;" "&amp;B127&amp;" "&amp;D127&amp;" "&amp;E127&amp;" "&amp;F127&amp;" "&amp;G127&amp;" "&amp;H127&amp;" "&amp;I127&amp;" "&amp;J127)</f>
        <v/>
      </c>
      <c r="W127" s="216">
        <f>IF(AND('TRA CỨU TỔNG HỢP'!$B$3&lt;&gt;"",ISNUMBER(SEARCH('TRA CỨU TỔNG HỢP'!$B$3,V127))),MAX($W$3:W126)+1,"")</f>
        <v/>
      </c>
    </row>
    <row r="128" ht="15" customHeight="1" s="217">
      <c r="A128" s="347" t="inlineStr">
        <is>
          <t xml:space="preserve">  └─ CUMMINS</t>
        </is>
      </c>
      <c r="B128" s="348" t="inlineStr">
        <is>
          <t>HH080745</t>
        </is>
      </c>
      <c r="C128" s="349" t="inlineStr">
        <is>
          <t>Holset</t>
        </is>
      </c>
      <c r="D128" s="349" t="inlineStr">
        <is>
          <t>HX55W</t>
        </is>
      </c>
      <c r="E128" s="349" t="inlineStr">
        <is>
          <t>CA6DM2/ FAW 350PS</t>
        </is>
      </c>
      <c r="F128" s="350" t="inlineStr">
        <is>
          <t>1118010BM01-074A</t>
        </is>
      </c>
      <c r="G128" s="349" t="n"/>
      <c r="H128" s="349" t="n"/>
      <c r="I128" s="349" t="n"/>
      <c r="J128" s="351" t="inlineStr">
        <is>
          <t>SL</t>
        </is>
      </c>
      <c r="K128" s="352" t="n"/>
      <c r="L128" s="352" t="n"/>
      <c r="M128" s="352" t="n"/>
      <c r="N128" s="352">
        <f>IF(M128="","",M128*1.1)</f>
        <v/>
      </c>
      <c r="O128" s="353" t="n">
        <v>99</v>
      </c>
      <c r="P128" s="353" t="n">
        <v>65</v>
      </c>
      <c r="Q128" s="353" t="inlineStr">
        <is>
          <t>7/7</t>
        </is>
      </c>
      <c r="R128" s="353" t="n">
        <v>86</v>
      </c>
      <c r="S128" s="353" t="n">
        <v>77</v>
      </c>
      <c r="T128" s="353" t="n">
        <v>12</v>
      </c>
      <c r="V128" s="216">
        <f>UPPER(A128&amp;" "&amp;B128&amp;" "&amp;D128&amp;" "&amp;E128&amp;" "&amp;F128&amp;" "&amp;G128&amp;" "&amp;H128&amp;" "&amp;I128&amp;" "&amp;J128)</f>
        <v/>
      </c>
      <c r="W128" s="216">
        <f>IF(AND('TRA CỨU TỔNG HỢP'!$B$3&lt;&gt;"",ISNUMBER(SEARCH('TRA CỨU TỔNG HỢP'!$B$3,V128))),MAX($W$3:W127)+1,"")</f>
        <v/>
      </c>
    </row>
    <row r="129" ht="15" customHeight="1" s="217">
      <c r="A129" s="354" t="inlineStr">
        <is>
          <t>CUMMINS</t>
        </is>
      </c>
      <c r="B129" s="355" t="inlineStr">
        <is>
          <t>HH077138</t>
        </is>
      </c>
      <c r="C129" s="354" t="inlineStr">
        <is>
          <t>Holset</t>
        </is>
      </c>
      <c r="D129" s="354" t="inlineStr">
        <is>
          <t>HX55W</t>
        </is>
      </c>
      <c r="E129" s="354" t="inlineStr">
        <is>
          <t>ISM11</t>
        </is>
      </c>
      <c r="F129" s="356" t="inlineStr">
        <is>
          <t>3592778
3592779
4046030</t>
        </is>
      </c>
      <c r="G129" s="354" t="n"/>
      <c r="H129" s="366" t="inlineStr">
        <is>
          <t>ISM11
HX55W</t>
        </is>
      </c>
      <c r="I129" s="354" t="inlineStr">
        <is>
          <t>4046030 - JRONE 8C05-200-C66</t>
        </is>
      </c>
      <c r="J129" s="357" t="inlineStr">
        <is>
          <t>JRONE</t>
        </is>
      </c>
      <c r="K129" s="358" t="n"/>
      <c r="L129" s="358" t="n"/>
      <c r="M129" s="358" t="n"/>
      <c r="N129" s="358">
        <f>IF(M129="","",M129*1.1)</f>
        <v/>
      </c>
      <c r="O129" s="359" t="n">
        <v>99</v>
      </c>
      <c r="P129" s="359" t="n">
        <v>65</v>
      </c>
      <c r="Q129" s="359" t="inlineStr">
        <is>
          <t>7/7</t>
        </is>
      </c>
      <c r="R129" s="359" t="n">
        <v>86</v>
      </c>
      <c r="S129" s="359" t="n">
        <v>77</v>
      </c>
      <c r="T129" s="359" t="n">
        <v>12</v>
      </c>
      <c r="V129" s="346">
        <f>UPPER(A129&amp;" "&amp;B129&amp;" "&amp;D129&amp;" "&amp;E129&amp;" "&amp;F129&amp;" "&amp;G129&amp;" "&amp;H129&amp;" "&amp;I129&amp;" "&amp;J129)</f>
        <v/>
      </c>
      <c r="W129" s="216">
        <f>IF(AND('TRA CỨU TỔNG HỢP'!$B$3&lt;&gt;"",ISNUMBER(SEARCH('TRA CỨU TỔNG HỢP'!$B$3,V129))),MAX($W$3:W128)+1,"")</f>
        <v/>
      </c>
    </row>
    <row r="130" ht="15" customHeight="1" s="217">
      <c r="A130" s="354" t="inlineStr">
        <is>
          <t>CUMMINS</t>
        </is>
      </c>
      <c r="B130" s="355" t="inlineStr">
        <is>
          <t>HH083184</t>
        </is>
      </c>
      <c r="C130" s="354" t="inlineStr">
        <is>
          <t>Holset</t>
        </is>
      </c>
      <c r="D130" s="354" t="inlineStr">
        <is>
          <t>HX60W</t>
        </is>
      </c>
      <c r="E130" s="354" t="inlineStr">
        <is>
          <t>QSX15</t>
        </is>
      </c>
      <c r="F130" s="356" t="inlineStr">
        <is>
          <t>3598762</t>
        </is>
      </c>
      <c r="G130" s="354" t="n"/>
      <c r="H130" s="366" t="inlineStr">
        <is>
          <t>HX60W
QSX15</t>
        </is>
      </c>
      <c r="I130" s="354" t="inlineStr">
        <is>
          <t>CUMMINS</t>
        </is>
      </c>
      <c r="J130" s="357" t="inlineStr">
        <is>
          <t>MX</t>
        </is>
      </c>
      <c r="K130" s="358" t="n"/>
      <c r="L130" s="358" t="n"/>
      <c r="M130" s="358" t="n"/>
      <c r="N130" s="358">
        <f>IF(M130="","",M130*1.1)</f>
        <v/>
      </c>
      <c r="O130" s="359" t="n"/>
      <c r="P130" s="359" t="n"/>
      <c r="Q130" s="359" t="n"/>
      <c r="R130" s="359" t="n"/>
      <c r="S130" s="359" t="n"/>
      <c r="T130" s="359" t="n"/>
      <c r="V130" s="346">
        <f>UPPER(A130&amp;" "&amp;B130&amp;" "&amp;D130&amp;" "&amp;E130&amp;" "&amp;F130&amp;" "&amp;G130&amp;" "&amp;H130&amp;" "&amp;I130&amp;" "&amp;J130)</f>
        <v/>
      </c>
      <c r="W130" s="216">
        <f>IF(AND('TRA CỨU TỔNG HỢP'!$B$3&lt;&gt;"",ISNUMBER(SEARCH('TRA CỨU TỔNG HỢP'!$B$3,V130))),MAX($W$3:W129)+1,"")</f>
        <v/>
      </c>
    </row>
    <row r="131" ht="15" customHeight="1" s="217">
      <c r="A131" s="340" t="inlineStr">
        <is>
          <t>CUMMINS</t>
        </is>
      </c>
      <c r="B131" s="341" t="inlineStr">
        <is>
          <t>HH082877</t>
        </is>
      </c>
      <c r="C131" s="340" t="inlineStr">
        <is>
          <t>BorgWarner</t>
        </is>
      </c>
      <c r="D131" s="340" t="inlineStr">
        <is>
          <t>BV45</t>
        </is>
      </c>
      <c r="E131" s="340" t="inlineStr">
        <is>
          <t>ISF2.8</t>
        </is>
      </c>
      <c r="F131" s="342" t="inlineStr">
        <is>
          <t>1745-970-0001</t>
        </is>
      </c>
      <c r="G131" s="340" t="n"/>
      <c r="H131" s="340" t="n"/>
      <c r="I131" s="340" t="n"/>
      <c r="J131" s="343" t="inlineStr">
        <is>
          <t>SL</t>
        </is>
      </c>
      <c r="K131" s="344" t="n"/>
      <c r="L131" s="344" t="n"/>
      <c r="M131" s="344" t="n"/>
      <c r="N131" s="344">
        <f>IF(M131="","",M131*1.1)</f>
        <v/>
      </c>
      <c r="O131" s="345" t="n">
        <v>53</v>
      </c>
      <c r="P131" s="345" t="n">
        <v>40.3</v>
      </c>
      <c r="Q131" s="345" t="inlineStr">
        <is>
          <t>6/6</t>
        </is>
      </c>
      <c r="R131" s="345" t="n">
        <v>45</v>
      </c>
      <c r="S131" s="345" t="n">
        <v>42.3</v>
      </c>
      <c r="T131" s="345" t="n">
        <v>10</v>
      </c>
      <c r="V131" s="216">
        <f>UPPER(A131&amp;" "&amp;B131&amp;" "&amp;D131&amp;" "&amp;E131&amp;" "&amp;F131&amp;" "&amp;G131&amp;" "&amp;H131&amp;" "&amp;I131&amp;" "&amp;J131)</f>
        <v/>
      </c>
      <c r="W131" s="216">
        <f>IF(AND('TRA CỨU TỔNG HỢP'!$B$3&lt;&gt;"",ISNUMBER(SEARCH('TRA CỨU TỔNG HỢP'!$B$3,V131))),MAX($W$3:W130)+1,"")</f>
        <v/>
      </c>
    </row>
    <row r="132" ht="15" customHeight="1" s="217">
      <c r="A132" s="347" t="inlineStr">
        <is>
          <t xml:space="preserve">  └─ CUMMINS</t>
        </is>
      </c>
      <c r="B132" s="348" t="inlineStr">
        <is>
          <t>HH082878</t>
        </is>
      </c>
      <c r="C132" s="349" t="inlineStr">
        <is>
          <t>BorgWarner</t>
        </is>
      </c>
      <c r="D132" s="349" t="inlineStr">
        <is>
          <t>BV45</t>
        </is>
      </c>
      <c r="E132" s="349" t="inlineStr">
        <is>
          <t>ISF2.8</t>
        </is>
      </c>
      <c r="F132" s="350" t="inlineStr">
        <is>
          <t>1745-970-0001</t>
        </is>
      </c>
      <c r="G132" s="349" t="n"/>
      <c r="H132" s="349" t="n"/>
      <c r="I132" s="349" t="n"/>
      <c r="J132" s="351" t="inlineStr">
        <is>
          <t>SL</t>
        </is>
      </c>
      <c r="K132" s="352" t="n"/>
      <c r="L132" s="352" t="n"/>
      <c r="M132" s="352" t="n"/>
      <c r="N132" s="352">
        <f>IF(M132="","",M132*1.1)</f>
        <v/>
      </c>
      <c r="O132" s="353" t="n">
        <v>53</v>
      </c>
      <c r="P132" s="353" t="n">
        <v>40.3</v>
      </c>
      <c r="Q132" s="353" t="inlineStr">
        <is>
          <t>6/6</t>
        </is>
      </c>
      <c r="R132" s="353" t="n">
        <v>45</v>
      </c>
      <c r="S132" s="353" t="n">
        <v>42.3</v>
      </c>
      <c r="T132" s="353" t="n">
        <v>10</v>
      </c>
      <c r="V132" s="216">
        <f>UPPER(A132&amp;" "&amp;B132&amp;" "&amp;D132&amp;" "&amp;E132&amp;" "&amp;F132&amp;" "&amp;G132&amp;" "&amp;H132&amp;" "&amp;I132&amp;" "&amp;J132)</f>
        <v/>
      </c>
      <c r="W132" s="216">
        <f>IF(AND('TRA CỨU TỔNG HỢP'!$B$3&lt;&gt;"",ISNUMBER(SEARCH('TRA CỨU TỔNG HỢP'!$B$3,V132))),MAX($W$3:W131)+1,"")</f>
        <v/>
      </c>
    </row>
    <row r="133" ht="15" customHeight="1" s="217">
      <c r="A133" s="354" t="inlineStr">
        <is>
          <t>CUMMINS</t>
        </is>
      </c>
      <c r="B133" s="355" t="inlineStr">
        <is>
          <t>HH083054</t>
        </is>
      </c>
      <c r="C133" s="354" t="inlineStr">
        <is>
          <t>Holset</t>
        </is>
      </c>
      <c r="D133" s="354" t="inlineStr">
        <is>
          <t>HX27W</t>
        </is>
      </c>
      <c r="E133" s="354" t="inlineStr">
        <is>
          <t>ISF3.8</t>
        </is>
      </c>
      <c r="F133" s="356" t="inlineStr">
        <is>
          <t>3779951
2843674</t>
        </is>
      </c>
      <c r="G133" s="354" t="n"/>
      <c r="H133" s="354" t="inlineStr">
        <is>
          <t>HX27W</t>
        </is>
      </c>
      <c r="I133" s="354" t="inlineStr">
        <is>
          <t>Cummins ISF3.8</t>
        </is>
      </c>
      <c r="J133" s="357" t="inlineStr">
        <is>
          <t>SL</t>
        </is>
      </c>
      <c r="K133" s="358" t="n"/>
      <c r="L133" s="358" t="n"/>
      <c r="M133" s="358" t="n"/>
      <c r="N133" s="358">
        <f>IF(M133="","",M133*1.1)</f>
        <v/>
      </c>
      <c r="O133" s="359" t="n">
        <v>56</v>
      </c>
      <c r="P133" s="359" t="n">
        <v>40.8</v>
      </c>
      <c r="Q133" s="359" t="inlineStr">
        <is>
          <t>6/6</t>
        </is>
      </c>
      <c r="R133" s="359" t="n">
        <v>52</v>
      </c>
      <c r="S133" s="359" t="n">
        <v>45.6</v>
      </c>
      <c r="T133" s="359" t="n">
        <v>12</v>
      </c>
      <c r="V133" s="346">
        <f>UPPER(A133&amp;" "&amp;B133&amp;" "&amp;D133&amp;" "&amp;E133&amp;" "&amp;F133&amp;" "&amp;G133&amp;" "&amp;H133&amp;" "&amp;I133&amp;" "&amp;J133)</f>
        <v/>
      </c>
      <c r="W133" s="216">
        <f>IF(AND('TRA CỨU TỔNG HỢP'!$B$3&lt;&gt;"",ISNUMBER(SEARCH('TRA CỨU TỔNG HỢP'!$B$3,V133))),MAX($W$3:W132)+1,"")</f>
        <v/>
      </c>
    </row>
    <row r="134" ht="15" customHeight="1" s="217">
      <c r="A134" s="340" t="inlineStr">
        <is>
          <t>CUMMINS</t>
        </is>
      </c>
      <c r="B134" s="341" t="inlineStr">
        <is>
          <t>HH081335</t>
        </is>
      </c>
      <c r="C134" s="340" t="inlineStr">
        <is>
          <t>Holset</t>
        </is>
      </c>
      <c r="D134" s="340" t="inlineStr">
        <is>
          <t>HX55W</t>
        </is>
      </c>
      <c r="E134" s="340" t="inlineStr">
        <is>
          <t>HOWO 420</t>
        </is>
      </c>
      <c r="F134" s="342" t="inlineStr">
        <is>
          <t>VG1246110020/ 3776422</t>
        </is>
      </c>
      <c r="G134" s="340" t="n"/>
      <c r="H134" s="340" t="n"/>
      <c r="I134" s="340" t="n"/>
      <c r="J134" s="343" t="inlineStr">
        <is>
          <t>VIDARIR</t>
        </is>
      </c>
      <c r="K134" s="344" t="n"/>
      <c r="L134" s="344" t="n"/>
      <c r="M134" s="344" t="n"/>
      <c r="N134" s="344">
        <f>IF(M134="","",M134*1.1)</f>
        <v/>
      </c>
      <c r="O134" s="345" t="n"/>
      <c r="P134" s="345" t="n"/>
      <c r="Q134" s="345" t="n"/>
      <c r="R134" s="345" t="n"/>
      <c r="S134" s="345" t="n"/>
      <c r="T134" s="345" t="n"/>
      <c r="V134" s="216">
        <f>UPPER(A134&amp;" "&amp;B134&amp;" "&amp;D134&amp;" "&amp;E134&amp;" "&amp;F134&amp;" "&amp;G134&amp;" "&amp;H134&amp;" "&amp;I134&amp;" "&amp;J134)</f>
        <v/>
      </c>
      <c r="W134" s="216">
        <f>IF(AND('TRA CỨU TỔNG HỢP'!$B$3&lt;&gt;"",ISNUMBER(SEARCH('TRA CỨU TỔNG HỢP'!$B$3,V134))),MAX($W$3:W133)+1,"")</f>
        <v/>
      </c>
    </row>
    <row r="135" ht="15" customHeight="1" s="217">
      <c r="A135" s="347" t="inlineStr">
        <is>
          <t xml:space="preserve">  └─ CUMMINS</t>
        </is>
      </c>
      <c r="B135" s="348" t="inlineStr">
        <is>
          <t>HH081336</t>
        </is>
      </c>
      <c r="C135" s="349" t="inlineStr">
        <is>
          <t>Holset</t>
        </is>
      </c>
      <c r="D135" s="349" t="inlineStr">
        <is>
          <t>HX55W</t>
        </is>
      </c>
      <c r="E135" s="349" t="inlineStr">
        <is>
          <t>HOWO 420</t>
        </is>
      </c>
      <c r="F135" s="350" t="inlineStr">
        <is>
          <t>VG1246110020/ 3776422</t>
        </is>
      </c>
      <c r="G135" s="349" t="n"/>
      <c r="H135" s="349" t="n"/>
      <c r="I135" s="349" t="n"/>
      <c r="J135" s="351" t="inlineStr">
        <is>
          <t>VIDARIR</t>
        </is>
      </c>
      <c r="K135" s="352" t="n"/>
      <c r="L135" s="352" t="n"/>
      <c r="M135" s="352" t="n"/>
      <c r="N135" s="352">
        <f>IF(M135="","",M135*1.1)</f>
        <v/>
      </c>
      <c r="O135" s="353" t="n"/>
      <c r="P135" s="353" t="n"/>
      <c r="Q135" s="353" t="n"/>
      <c r="R135" s="353" t="n"/>
      <c r="S135" s="353" t="n"/>
      <c r="T135" s="353" t="n"/>
      <c r="V135" s="216">
        <f>UPPER(A135&amp;" "&amp;B135&amp;" "&amp;D135&amp;" "&amp;E135&amp;" "&amp;F135&amp;" "&amp;G135&amp;" "&amp;H135&amp;" "&amp;I135&amp;" "&amp;J135)</f>
        <v/>
      </c>
      <c r="W135" s="216">
        <f>IF(AND('TRA CỨU TỔNG HỢP'!$B$3&lt;&gt;"",ISNUMBER(SEARCH('TRA CỨU TỔNG HỢP'!$B$3,V135))),MAX($W$3:W134)+1,"")</f>
        <v/>
      </c>
    </row>
    <row r="136" ht="15" customHeight="1" s="217">
      <c r="A136" s="340" t="inlineStr">
        <is>
          <t>CUMMINS</t>
        </is>
      </c>
      <c r="B136" s="341" t="inlineStr">
        <is>
          <t>HH079359</t>
        </is>
      </c>
      <c r="C136" s="340" t="inlineStr">
        <is>
          <t>Holset</t>
        </is>
      </c>
      <c r="D136" s="340" t="inlineStr">
        <is>
          <t>HX80</t>
        </is>
      </c>
      <c r="E136" s="340" t="inlineStr">
        <is>
          <t>KTA19</t>
        </is>
      </c>
      <c r="F136" s="342" t="inlineStr">
        <is>
          <t>3594118
3594134
3594117</t>
        </is>
      </c>
      <c r="G136" s="340" t="n"/>
      <c r="H136" s="340" t="inlineStr">
        <is>
          <t>HX80</t>
        </is>
      </c>
      <c r="I136" s="340" t="inlineStr">
        <is>
          <t>Cummins KTA19</t>
        </is>
      </c>
      <c r="J136" s="343" t="inlineStr">
        <is>
          <t>SL</t>
        </is>
      </c>
      <c r="K136" s="344" t="n"/>
      <c r="L136" s="344" t="n"/>
      <c r="M136" s="344" t="n"/>
      <c r="N136" s="344">
        <f>IF(M136="","",M136*1.1)</f>
        <v/>
      </c>
      <c r="O136" s="345" t="n">
        <v>141</v>
      </c>
      <c r="P136" s="345" t="n">
        <v>91.59999999999999</v>
      </c>
      <c r="Q136" s="345" t="inlineStr">
        <is>
          <t>8/8</t>
        </is>
      </c>
      <c r="R136" s="345" t="n">
        <v>129</v>
      </c>
      <c r="S136" s="345" t="n">
        <v>95.84999999999999</v>
      </c>
      <c r="T136" s="345" t="n">
        <v>11</v>
      </c>
      <c r="V136" s="346">
        <f>UPPER(A136&amp;" "&amp;B136&amp;" "&amp;D136&amp;" "&amp;E136&amp;" "&amp;F136&amp;" "&amp;G136&amp;" "&amp;H136&amp;" "&amp;I136&amp;" "&amp;J136)</f>
        <v/>
      </c>
      <c r="W136" s="216">
        <f>IF(AND('TRA CỨU TỔNG HỢP'!$B$3&lt;&gt;"",ISNUMBER(SEARCH('TRA CỨU TỔNG HỢP'!$B$3,V136))),MAX($W$3:W135)+1,"")</f>
        <v/>
      </c>
    </row>
    <row r="137" ht="15" customHeight="1" s="217">
      <c r="A137" s="347" t="inlineStr">
        <is>
          <t xml:space="preserve">  └─ CUMMINS</t>
        </is>
      </c>
      <c r="B137" s="348" t="inlineStr">
        <is>
          <t>HH077028</t>
        </is>
      </c>
      <c r="C137" s="349" t="inlineStr">
        <is>
          <t>Holset</t>
        </is>
      </c>
      <c r="D137" s="349" t="inlineStr">
        <is>
          <t>HX80</t>
        </is>
      </c>
      <c r="E137" s="349" t="inlineStr">
        <is>
          <t>KTA19</t>
        </is>
      </c>
      <c r="F137" s="350" t="inlineStr">
        <is>
          <t>3594118
3594134
3594117</t>
        </is>
      </c>
      <c r="G137" s="349" t="n"/>
      <c r="H137" s="349" t="inlineStr">
        <is>
          <t>HX80</t>
        </is>
      </c>
      <c r="I137" s="349" t="inlineStr">
        <is>
          <t>Cummins KTA19</t>
        </is>
      </c>
      <c r="J137" s="351" t="inlineStr">
        <is>
          <t>SL</t>
        </is>
      </c>
      <c r="K137" s="352" t="n"/>
      <c r="L137" s="352" t="n"/>
      <c r="M137" s="352" t="n"/>
      <c r="N137" s="352">
        <f>IF(M137="","",M137*1.1)</f>
        <v/>
      </c>
      <c r="O137" s="353" t="n">
        <v>141</v>
      </c>
      <c r="P137" s="353" t="n">
        <v>91.59999999999999</v>
      </c>
      <c r="Q137" s="353" t="inlineStr">
        <is>
          <t>8/8</t>
        </is>
      </c>
      <c r="R137" s="353" t="n">
        <v>129</v>
      </c>
      <c r="S137" s="353" t="n">
        <v>95.84999999999999</v>
      </c>
      <c r="T137" s="353" t="n">
        <v>11</v>
      </c>
      <c r="V137" s="346">
        <f>UPPER(A137&amp;" "&amp;B137&amp;" "&amp;D137&amp;" "&amp;E137&amp;" "&amp;F137&amp;" "&amp;G137&amp;" "&amp;H137&amp;" "&amp;I137&amp;" "&amp;J137)</f>
        <v/>
      </c>
      <c r="W137" s="216">
        <f>IF(AND('TRA CỨU TỔNG HỢP'!$B$3&lt;&gt;"",ISNUMBER(SEARCH('TRA CỨU TỔNG HỢP'!$B$3,V137))),MAX($W$3:W136)+1,"")</f>
        <v/>
      </c>
    </row>
    <row r="138" ht="15" customHeight="1" s="217">
      <c r="A138" s="347" t="inlineStr">
        <is>
          <t xml:space="preserve">  └─ CUMMINS</t>
        </is>
      </c>
      <c r="B138" s="348" t="inlineStr">
        <is>
          <t>HH081916</t>
        </is>
      </c>
      <c r="C138" s="349" t="inlineStr">
        <is>
          <t>Holset</t>
        </is>
      </c>
      <c r="D138" s="349" t="inlineStr">
        <is>
          <t>HX80</t>
        </is>
      </c>
      <c r="E138" s="349" t="inlineStr">
        <is>
          <t>KTA19</t>
        </is>
      </c>
      <c r="F138" s="350" t="inlineStr">
        <is>
          <t>3594118
3594134
3594117</t>
        </is>
      </c>
      <c r="G138" s="349" t="n"/>
      <c r="H138" s="349" t="inlineStr">
        <is>
          <t>HX80</t>
        </is>
      </c>
      <c r="I138" s="349" t="inlineStr">
        <is>
          <t>Cummins KTA19</t>
        </is>
      </c>
      <c r="J138" s="351" t="inlineStr">
        <is>
          <t>SL</t>
        </is>
      </c>
      <c r="K138" s="352" t="n"/>
      <c r="L138" s="352" t="n"/>
      <c r="M138" s="352" t="n"/>
      <c r="N138" s="352">
        <f>IF(M138="","",M138*1.1)</f>
        <v/>
      </c>
      <c r="O138" s="353" t="n">
        <v>141</v>
      </c>
      <c r="P138" s="353" t="n">
        <v>91.59999999999999</v>
      </c>
      <c r="Q138" s="353" t="inlineStr">
        <is>
          <t>8/8</t>
        </is>
      </c>
      <c r="R138" s="353" t="n">
        <v>129</v>
      </c>
      <c r="S138" s="353" t="n">
        <v>95.84999999999999</v>
      </c>
      <c r="T138" s="353" t="n">
        <v>11</v>
      </c>
      <c r="V138" s="346">
        <f>UPPER(A138&amp;" "&amp;B138&amp;" "&amp;D138&amp;" "&amp;E138&amp;" "&amp;F138&amp;" "&amp;G138&amp;" "&amp;H138&amp;" "&amp;I138&amp;" "&amp;J138)</f>
        <v/>
      </c>
      <c r="W138" s="216">
        <f>IF(AND('TRA CỨU TỔNG HỢP'!$B$3&lt;&gt;"",ISNUMBER(SEARCH('TRA CỨU TỔNG HỢP'!$B$3,V138))),MAX($W$3:W137)+1,"")</f>
        <v/>
      </c>
    </row>
    <row r="139" ht="15" customHeight="1" s="217">
      <c r="A139" s="360" t="inlineStr">
        <is>
          <t>CUMMINS</t>
        </is>
      </c>
      <c r="B139" s="361" t="n"/>
      <c r="C139" s="360" t="inlineStr">
        <is>
          <t>Holset</t>
        </is>
      </c>
      <c r="D139" s="360" t="inlineStr">
        <is>
          <t>HX25</t>
        </is>
      </c>
      <c r="E139" s="360" t="inlineStr">
        <is>
          <t>HX25W</t>
        </is>
      </c>
      <c r="F139" s="362" t="inlineStr">
        <is>
          <t>1000-020-153</t>
        </is>
      </c>
      <c r="G139" s="360" t="n"/>
      <c r="H139" s="360" t="n"/>
      <c r="I139" s="360" t="inlineStr">
        <is>
          <t>tnc là hx25</t>
        </is>
      </c>
      <c r="J139" s="363" t="n"/>
      <c r="K139" s="364" t="n"/>
      <c r="L139" s="364" t="n"/>
      <c r="M139" s="364" t="n"/>
      <c r="N139" s="364" t="n"/>
      <c r="O139" s="365" t="n"/>
      <c r="P139" s="365" t="n"/>
      <c r="Q139" s="365" t="n"/>
      <c r="R139" s="365" t="n"/>
      <c r="S139" s="365" t="n"/>
      <c r="T139" s="365" t="n"/>
      <c r="V139" s="216">
        <f>UPPER(A139&amp;" "&amp;B139&amp;" "&amp;D139&amp;" "&amp;E139&amp;" "&amp;F139&amp;" "&amp;G139&amp;" "&amp;H139&amp;" "&amp;I139&amp;" "&amp;J139)</f>
        <v/>
      </c>
      <c r="W139" s="216">
        <f>IF(AND('TRA CỨU TỔNG HỢP'!$B$3&lt;&gt;"",ISNUMBER(SEARCH('TRA CỨU TỔNG HỢP'!$B$3,V139))),MAX($W$3:W138)+1,"")</f>
        <v/>
      </c>
    </row>
    <row r="140" ht="19.5" customHeight="1" s="217">
      <c r="A140" s="339" t="inlineStr">
        <is>
          <t xml:space="preserve">  🏭  DETROIT   ·   2 loại turbo</t>
        </is>
      </c>
      <c r="W140" s="216">
        <f>IF(AND('TRA CỨU TỔNG HỢP'!$B$3&lt;&gt;"",ISNUMBER(SEARCH('TRA CỨU TỔNG HỢP'!$B$3,V140))),MAX($W$3:W139)+1,"")</f>
        <v/>
      </c>
    </row>
    <row r="141" ht="15" customHeight="1" s="217">
      <c r="A141" s="354" t="inlineStr">
        <is>
          <t>DETROIT</t>
        </is>
      </c>
      <c r="B141" s="355" t="inlineStr">
        <is>
          <t>HH077593</t>
        </is>
      </c>
      <c r="C141" s="354" t="inlineStr">
        <is>
          <t>Garrett</t>
        </is>
      </c>
      <c r="D141" s="354" t="inlineStr">
        <is>
          <t>GTA4502V</t>
        </is>
      </c>
      <c r="E141" s="354" t="inlineStr">
        <is>
          <t>DETROIT S60 14L</t>
        </is>
      </c>
      <c r="F141" s="356" t="inlineStr">
        <is>
          <t>758160-0007/758160-0009/0006
1000-010-579T</t>
        </is>
      </c>
      <c r="G141" s="354" t="n"/>
      <c r="H141" s="354" t="n"/>
      <c r="I141" s="354" t="n"/>
      <c r="J141" s="357" t="inlineStr">
        <is>
          <t>JRONE</t>
        </is>
      </c>
      <c r="K141" s="358" t="n"/>
      <c r="L141" s="358" t="n"/>
      <c r="M141" s="358" t="n"/>
      <c r="N141" s="358">
        <f>IF(M141="","",M141*1.1)</f>
        <v/>
      </c>
      <c r="O141" s="359" t="n"/>
      <c r="P141" s="359" t="n"/>
      <c r="Q141" s="359" t="n"/>
      <c r="R141" s="359" t="n"/>
      <c r="S141" s="359" t="n"/>
      <c r="T141" s="359" t="n"/>
      <c r="V141" s="346">
        <f>UPPER(A141&amp;" "&amp;B141&amp;" "&amp;D141&amp;" "&amp;E141&amp;" "&amp;F141&amp;" "&amp;G141&amp;" "&amp;H141&amp;" "&amp;I141&amp;" "&amp;J141)</f>
        <v/>
      </c>
      <c r="W141" s="216">
        <f>IF(AND('TRA CỨU TỔNG HỢP'!$B$3&lt;&gt;"",ISNUMBER(SEARCH('TRA CỨU TỔNG HỢP'!$B$3,V141))),MAX($W$3:W140)+1,"")</f>
        <v/>
      </c>
    </row>
    <row r="142" ht="15" customHeight="1" s="217">
      <c r="A142" s="354" t="inlineStr">
        <is>
          <t>DETROIT</t>
        </is>
      </c>
      <c r="B142" s="355" t="inlineStr">
        <is>
          <t>HH077424</t>
        </is>
      </c>
      <c r="C142" s="354" t="inlineStr">
        <is>
          <t>BorgWarner</t>
        </is>
      </c>
      <c r="D142" s="354" t="inlineStr">
        <is>
          <t>K31/ DETROIT S60</t>
        </is>
      </c>
      <c r="E142" s="354" t="n"/>
      <c r="F142" s="356" t="inlineStr">
        <is>
          <t>8B31-200-J32
172743</t>
        </is>
      </c>
      <c r="G142" s="354" t="n"/>
      <c r="H142" s="354" t="n"/>
      <c r="I142" s="354" t="n"/>
      <c r="J142" s="357" t="inlineStr">
        <is>
          <t>JRONE</t>
        </is>
      </c>
      <c r="K142" s="358" t="n"/>
      <c r="L142" s="358" t="n"/>
      <c r="M142" s="358" t="n"/>
      <c r="N142" s="358">
        <f>IF(M142="","",M142*1.1)</f>
        <v/>
      </c>
      <c r="O142" s="359" t="n"/>
      <c r="P142" s="359" t="n"/>
      <c r="Q142" s="359" t="n"/>
      <c r="R142" s="359" t="n"/>
      <c r="S142" s="359" t="n"/>
      <c r="T142" s="359" t="n"/>
      <c r="V142" s="346">
        <f>UPPER(A142&amp;" "&amp;B142&amp;" "&amp;D142&amp;" "&amp;E142&amp;" "&amp;F142&amp;" "&amp;G142&amp;" "&amp;H142&amp;" "&amp;I142&amp;" "&amp;J142)</f>
        <v/>
      </c>
      <c r="W142" s="216">
        <f>IF(AND('TRA CỨU TỔNG HỢP'!$B$3&lt;&gt;"",ISNUMBER(SEARCH('TRA CỨU TỔNG HỢP'!$B$3,V142))),MAX($W$3:W141)+1,"")</f>
        <v/>
      </c>
    </row>
    <row r="143" ht="19.5" customHeight="1" s="217">
      <c r="A143" s="339" t="inlineStr">
        <is>
          <t xml:space="preserve">  🏭  DEUTZ   ·   15 loại turbo</t>
        </is>
      </c>
      <c r="W143" s="216">
        <f>IF(AND('TRA CỨU TỔNG HỢP'!$B$3&lt;&gt;"",ISNUMBER(SEARCH('TRA CỨU TỔNG HỢP'!$B$3,V143))),MAX($W$3:W142)+1,"")</f>
        <v/>
      </c>
    </row>
    <row r="144" ht="15" customHeight="1" s="217">
      <c r="A144" s="354" t="inlineStr">
        <is>
          <t>DEUTZ</t>
        </is>
      </c>
      <c r="B144" s="355" t="inlineStr">
        <is>
          <t>HH078402</t>
        </is>
      </c>
      <c r="C144" s="354" t="inlineStr">
        <is>
          <t>BorgWarner</t>
        </is>
      </c>
      <c r="D144" s="354" t="inlineStr">
        <is>
          <t>S2B</t>
        </is>
      </c>
      <c r="E144" s="354" t="inlineStr">
        <is>
          <t>BF6M1013EC</t>
        </is>
      </c>
      <c r="F144" s="356" t="inlineStr">
        <is>
          <t>04204169KZ
316702/313931/313933/316721
316722/314075/316733
313932/316711/313934
316732/314819/316706
317378/315348/316716
04253832KZ/04204498KZ/04202972KZ
04207660KZ/04207864KZ/04204490KZ
4253832KZ/4204169KZ/4204490KZ
4204498KZ/04253832/4204498
4204169/4202972
4207660/4207864</t>
        </is>
      </c>
      <c r="G144" s="354" t="inlineStr">
        <is>
          <t>tâm lỗ 86 × 45</t>
        </is>
      </c>
      <c r="H144" s="354" t="n"/>
      <c r="I144" s="354" t="n"/>
      <c r="J144" s="357" t="inlineStr">
        <is>
          <t>SL</t>
        </is>
      </c>
      <c r="K144" s="358" t="n"/>
      <c r="L144" s="358" t="n"/>
      <c r="M144" s="358" t="n"/>
      <c r="N144" s="358">
        <f>IF(M144="","",M144*1.1)</f>
        <v/>
      </c>
      <c r="O144" s="359" t="n">
        <v>76.2</v>
      </c>
      <c r="P144" s="359" t="n">
        <v>52</v>
      </c>
      <c r="Q144" s="359" t="inlineStr">
        <is>
          <t>7/7</t>
        </is>
      </c>
      <c r="R144" s="359" t="n">
        <v>74.40000000000001</v>
      </c>
      <c r="S144" s="359" t="n">
        <v>64.59999999999999</v>
      </c>
      <c r="T144" s="359" t="n">
        <v>11</v>
      </c>
      <c r="V144" s="346">
        <f>UPPER(A144&amp;" "&amp;B144&amp;" "&amp;D144&amp;" "&amp;E144&amp;" "&amp;F144&amp;" "&amp;G144&amp;" "&amp;H144&amp;" "&amp;I144&amp;" "&amp;J144)</f>
        <v/>
      </c>
      <c r="W144" s="216">
        <f>IF(AND('TRA CỨU TỔNG HỢP'!$B$3&lt;&gt;"",ISNUMBER(SEARCH('TRA CỨU TỔNG HỢP'!$B$3,V144))),MAX($W$3:W143)+1,"")</f>
        <v/>
      </c>
    </row>
    <row r="145" ht="15" customHeight="1" s="217">
      <c r="A145" s="354" t="inlineStr">
        <is>
          <t>DEUTZ</t>
        </is>
      </c>
      <c r="B145" s="355" t="inlineStr">
        <is>
          <t>HH082043</t>
        </is>
      </c>
      <c r="C145" s="354" t="inlineStr">
        <is>
          <t>BorgWarner</t>
        </is>
      </c>
      <c r="D145" s="354" t="inlineStr">
        <is>
          <t>K04</t>
        </is>
      </c>
      <c r="E145" s="354" t="inlineStr">
        <is>
          <t>TCD2012L4-2V</t>
        </is>
      </c>
      <c r="F145" s="356" t="inlineStr">
        <is>
          <t>53049880087
53049700087/5304-970-0087/5304-988-0087
5304/988/0087/970|04299166/04298276
04299166KZ/04298276KZ
21092582/21075166/04298663</t>
        </is>
      </c>
      <c r="G145" s="354" t="inlineStr">
        <is>
          <t>cổ gió loe ,có điều tốc</t>
        </is>
      </c>
      <c r="H145" s="354" t="n"/>
      <c r="I145" s="354" t="n"/>
      <c r="J145" s="357" t="inlineStr">
        <is>
          <t>1831</t>
        </is>
      </c>
      <c r="K145" s="358" t="n"/>
      <c r="L145" s="358" t="n"/>
      <c r="M145" s="358" t="n"/>
      <c r="N145" s="358">
        <f>IF(M145="","",M145*1.1)</f>
        <v/>
      </c>
      <c r="O145" s="359" t="n"/>
      <c r="P145" s="359" t="n"/>
      <c r="Q145" s="359" t="n"/>
      <c r="R145" s="359" t="n"/>
      <c r="S145" s="359" t="n"/>
      <c r="T145" s="359" t="n"/>
      <c r="V145" s="346">
        <f>UPPER(A145&amp;" "&amp;B145&amp;" "&amp;D145&amp;" "&amp;E145&amp;" "&amp;F145&amp;" "&amp;G145&amp;" "&amp;H145&amp;" "&amp;I145&amp;" "&amp;J145)</f>
        <v/>
      </c>
      <c r="W145" s="216">
        <f>IF(AND('TRA CỨU TỔNG HỢP'!$B$3&lt;&gt;"",ISNUMBER(SEARCH('TRA CỨU TỔNG HỢP'!$B$3,V145))),MAX($W$3:W144)+1,"")</f>
        <v/>
      </c>
    </row>
    <row r="146" ht="15" customHeight="1" s="217">
      <c r="A146" s="340" t="inlineStr">
        <is>
          <t>DEUTZ</t>
        </is>
      </c>
      <c r="B146" s="341" t="inlineStr">
        <is>
          <t>HH070618</t>
        </is>
      </c>
      <c r="C146" s="340" t="inlineStr">
        <is>
          <t>Garrett</t>
        </is>
      </c>
      <c r="D146" s="340" t="inlineStr">
        <is>
          <t>TO4E55</t>
        </is>
      </c>
      <c r="E146" s="340" t="inlineStr">
        <is>
          <t>D1146</t>
        </is>
      </c>
      <c r="F146" s="342" t="inlineStr">
        <is>
          <t>466721-0012
65.09100-7087
7098</t>
        </is>
      </c>
      <c r="G146" s="373" t="inlineStr">
        <is>
          <t>Tâm lỗ bu lông 45 x 86
Cổ gió loe</t>
        </is>
      </c>
      <c r="H146" s="340" t="inlineStr">
        <is>
          <t>DH300-5</t>
        </is>
      </c>
      <c r="I146" s="340" t="n"/>
      <c r="J146" s="343" t="inlineStr">
        <is>
          <t>SL</t>
        </is>
      </c>
      <c r="K146" s="344" t="n"/>
      <c r="L146" s="344" t="n"/>
      <c r="M146" s="344" t="n"/>
      <c r="N146" s="344">
        <f>IF(M146="","",M146*1.1)</f>
        <v/>
      </c>
      <c r="O146" s="345" t="n">
        <v>76.09999999999999</v>
      </c>
      <c r="P146" s="345" t="n">
        <v>52.8</v>
      </c>
      <c r="Q146" s="345" t="inlineStr">
        <is>
          <t>6/6</t>
        </is>
      </c>
      <c r="R146" s="345" t="n">
        <v>74.26000000000001</v>
      </c>
      <c r="S146" s="345" t="n">
        <v>64.59999999999999</v>
      </c>
      <c r="T146" s="345" t="n">
        <v>11</v>
      </c>
      <c r="V146" s="346">
        <f>UPPER(A146&amp;" "&amp;B146&amp;" "&amp;D146&amp;" "&amp;E146&amp;" "&amp;F146&amp;" "&amp;G146&amp;" "&amp;H146&amp;" "&amp;I146&amp;" "&amp;J146)</f>
        <v/>
      </c>
      <c r="W146" s="216">
        <f>IF(AND('TRA CỨU TỔNG HỢP'!$B$3&lt;&gt;"",ISNUMBER(SEARCH('TRA CỨU TỔNG HỢP'!$B$3,V146))),MAX($W$3:W145)+1,"")</f>
        <v/>
      </c>
    </row>
    <row r="147" ht="15" customHeight="1" s="217">
      <c r="A147" s="347" t="inlineStr">
        <is>
          <t xml:space="preserve">  └─ DEUTZ</t>
        </is>
      </c>
      <c r="B147" s="348" t="inlineStr">
        <is>
          <t>HH079977</t>
        </is>
      </c>
      <c r="C147" s="349" t="inlineStr">
        <is>
          <t>Garrett</t>
        </is>
      </c>
      <c r="D147" s="349" t="inlineStr">
        <is>
          <t>TO4E55</t>
        </is>
      </c>
      <c r="E147" s="349" t="inlineStr">
        <is>
          <t>D1146</t>
        </is>
      </c>
      <c r="F147" s="350" t="inlineStr">
        <is>
          <t>466721-0012
65.09100-7087
7098</t>
        </is>
      </c>
      <c r="G147" s="374" t="inlineStr">
        <is>
          <t>Tâm lỗ bu lông 45 x 86
Cổ gió loe</t>
        </is>
      </c>
      <c r="H147" s="349" t="inlineStr">
        <is>
          <t>DH300-5</t>
        </is>
      </c>
      <c r="I147" s="349" t="n"/>
      <c r="J147" s="351" t="n"/>
      <c r="K147" s="352" t="n"/>
      <c r="L147" s="352" t="n"/>
      <c r="M147" s="352" t="n"/>
      <c r="N147" s="352">
        <f>IF(M147="","",M147*1.1)</f>
        <v/>
      </c>
      <c r="O147" s="353" t="n">
        <v>76.09999999999999</v>
      </c>
      <c r="P147" s="353" t="n">
        <v>52.8</v>
      </c>
      <c r="Q147" s="353" t="inlineStr">
        <is>
          <t>6/6</t>
        </is>
      </c>
      <c r="R147" s="353" t="n">
        <v>74.26000000000001</v>
      </c>
      <c r="S147" s="353" t="n">
        <v>64.59999999999999</v>
      </c>
      <c r="T147" s="353" t="n">
        <v>11</v>
      </c>
      <c r="V147" s="346">
        <f>UPPER(A147&amp;" "&amp;B147&amp;" "&amp;D147&amp;" "&amp;E147&amp;" "&amp;F147&amp;" "&amp;G147&amp;" "&amp;H147&amp;" "&amp;I147&amp;" "&amp;J147)</f>
        <v/>
      </c>
      <c r="W147" s="216">
        <f>IF(AND('TRA CỨU TỔNG HỢP'!$B$3&lt;&gt;"",ISNUMBER(SEARCH('TRA CỨU TỔNG HỢP'!$B$3,V147))),MAX($W$3:W146)+1,"")</f>
        <v/>
      </c>
    </row>
    <row r="148" ht="15" customHeight="1" s="217">
      <c r="A148" s="354" t="inlineStr">
        <is>
          <t>DEUTZ</t>
        </is>
      </c>
      <c r="B148" s="355" t="inlineStr">
        <is>
          <t>HH075587</t>
        </is>
      </c>
      <c r="C148" s="354" t="inlineStr">
        <is>
          <t>Garrett</t>
        </is>
      </c>
      <c r="D148" s="354" t="inlineStr">
        <is>
          <t>TO4E55</t>
        </is>
      </c>
      <c r="E148" s="354" t="inlineStr">
        <is>
          <t>D1146/DE08</t>
        </is>
      </c>
      <c r="F148" s="356" t="inlineStr">
        <is>
          <t>65.09100-7082
730505-0002
65.09100/65091007082/65091007137/730505-0001/730505-1/730505-5001S
8G04-100-H81</t>
        </is>
      </c>
      <c r="G148" s="366" t="inlineStr">
        <is>
          <t>Tâm lỗ bu lông 45 x 86
Cổ gió không loe</t>
        </is>
      </c>
      <c r="H148" s="354" t="inlineStr">
        <is>
          <t>DH300-7 / DH300-7/SOLA300 /SOLA300-7</t>
        </is>
      </c>
      <c r="I148" s="354" t="n"/>
      <c r="J148" s="357" t="inlineStr">
        <is>
          <t>JRONE</t>
        </is>
      </c>
      <c r="K148" s="358" t="n"/>
      <c r="L148" s="358" t="n"/>
      <c r="M148" s="358" t="n"/>
      <c r="N148" s="358">
        <f>IF(M148="","",M148*1.1)</f>
        <v/>
      </c>
      <c r="O148" s="359" t="n">
        <v>76.09999999999999</v>
      </c>
      <c r="P148" s="359" t="n">
        <v>52.8</v>
      </c>
      <c r="Q148" s="359" t="inlineStr">
        <is>
          <t>6/6</t>
        </is>
      </c>
      <c r="R148" s="359" t="n">
        <v>74.26000000000001</v>
      </c>
      <c r="S148" s="359" t="n">
        <v>64.59999999999999</v>
      </c>
      <c r="T148" s="359" t="n">
        <v>11</v>
      </c>
      <c r="V148" s="346">
        <f>UPPER(A148&amp;" "&amp;B148&amp;" "&amp;D148&amp;" "&amp;E148&amp;" "&amp;F148&amp;" "&amp;G148&amp;" "&amp;H148&amp;" "&amp;I148&amp;" "&amp;J148)</f>
        <v/>
      </c>
      <c r="W148" s="216">
        <f>IF(AND('TRA CỨU TỔNG HỢP'!$B$3&lt;&gt;"",ISNUMBER(SEARCH('TRA CỨU TỔNG HỢP'!$B$3,V148))),MAX($W$3:W147)+1,"")</f>
        <v/>
      </c>
    </row>
    <row r="149" ht="15" customHeight="1" s="217">
      <c r="A149" s="354" t="inlineStr">
        <is>
          <t>DEUTZ</t>
        </is>
      </c>
      <c r="B149" s="355" t="inlineStr">
        <is>
          <t>HH081334</t>
        </is>
      </c>
      <c r="C149" s="354" t="inlineStr">
        <is>
          <t>BorgWarner</t>
        </is>
      </c>
      <c r="D149" s="354" t="inlineStr">
        <is>
          <t>S100/ BF4M2011</t>
        </is>
      </c>
      <c r="E149" s="354" t="n"/>
      <c r="F149" s="356" t="n">
        <v>319261</v>
      </c>
      <c r="G149" s="354" t="n"/>
      <c r="H149" s="354" t="n"/>
      <c r="I149" s="354" t="n"/>
      <c r="J149" s="357" t="inlineStr">
        <is>
          <t>VIDARIR</t>
        </is>
      </c>
      <c r="K149" s="358" t="n"/>
      <c r="L149" s="358" t="n"/>
      <c r="M149" s="358" t="n"/>
      <c r="N149" s="358">
        <f>IF(M149="","",M149*1.1)</f>
        <v/>
      </c>
      <c r="O149" s="359" t="n"/>
      <c r="P149" s="359" t="n"/>
      <c r="Q149" s="359" t="n"/>
      <c r="R149" s="359" t="n"/>
      <c r="S149" s="359" t="n"/>
      <c r="T149" s="359" t="n"/>
      <c r="V149" s="216">
        <f>UPPER(A149&amp;" "&amp;B149&amp;" "&amp;D149&amp;" "&amp;E149&amp;" "&amp;F149&amp;" "&amp;G149&amp;" "&amp;H149&amp;" "&amp;I149&amp;" "&amp;J149)</f>
        <v/>
      </c>
      <c r="W149" s="216">
        <f>IF(AND('TRA CỨU TỔNG HỢP'!$B$3&lt;&gt;"",ISNUMBER(SEARCH('TRA CỨU TỔNG HỢP'!$B$3,V149))),MAX($W$3:W148)+1,"")</f>
        <v/>
      </c>
    </row>
    <row r="150" ht="15" customHeight="1" s="217">
      <c r="A150" s="354" t="inlineStr">
        <is>
          <t>DEUTZ</t>
        </is>
      </c>
      <c r="B150" s="355" t="inlineStr">
        <is>
          <t>HH075394</t>
        </is>
      </c>
      <c r="C150" s="354" t="inlineStr">
        <is>
          <t>BorgWarner</t>
        </is>
      </c>
      <c r="D150" s="354" t="inlineStr">
        <is>
          <t>S200/ TAD720</t>
        </is>
      </c>
      <c r="E150" s="354" t="inlineStr">
        <is>
          <t>BF6M1013</t>
        </is>
      </c>
      <c r="F150" s="356" t="inlineStr">
        <is>
          <t>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t>
        </is>
      </c>
      <c r="G150" s="354" t="inlineStr">
        <is>
          <t>tâm lỗ 86 × 45</t>
        </is>
      </c>
      <c r="H150" s="366" t="inlineStr">
        <is>
          <t>VOLVO
DEUTZ BF6M1013</t>
        </is>
      </c>
      <c r="I150" s="354" t="n"/>
      <c r="J150" s="357" t="inlineStr">
        <is>
          <t>JRONE</t>
        </is>
      </c>
      <c r="K150" s="358" t="n"/>
      <c r="L150" s="358" t="n"/>
      <c r="M150" s="358" t="n"/>
      <c r="N150" s="358">
        <f>IF(M150="","",M150*1.1)</f>
        <v/>
      </c>
      <c r="O150" s="359" t="n">
        <v>80.3</v>
      </c>
      <c r="P150" s="359" t="n">
        <v>52</v>
      </c>
      <c r="Q150" s="359" t="inlineStr">
        <is>
          <t>7/7</t>
        </is>
      </c>
      <c r="R150" s="359" t="n">
        <v>74</v>
      </c>
      <c r="S150" s="359" t="n">
        <v>64.09999999999999</v>
      </c>
      <c r="T150" s="359" t="n">
        <v>11</v>
      </c>
      <c r="V150" s="346">
        <f>UPPER(A150&amp;" "&amp;B150&amp;" "&amp;D150&amp;" "&amp;E150&amp;" "&amp;F150&amp;" "&amp;G150&amp;" "&amp;H150&amp;" "&amp;I150&amp;" "&amp;J150)</f>
        <v/>
      </c>
      <c r="W150" s="216">
        <f>IF(AND('TRA CỨU TỔNG HỢP'!$B$3&lt;&gt;"",ISNUMBER(SEARCH('TRA CỨU TỔNG HỢP'!$B$3,V150))),MAX($W$3:W149)+1,"")</f>
        <v/>
      </c>
    </row>
    <row r="151" ht="15" customHeight="1" s="217">
      <c r="A151" s="354" t="inlineStr">
        <is>
          <t>DEUTZ</t>
        </is>
      </c>
      <c r="B151" s="355" t="inlineStr">
        <is>
          <t>HH077149</t>
        </is>
      </c>
      <c r="C151" s="354" t="inlineStr">
        <is>
          <t>BorgWarner</t>
        </is>
      </c>
      <c r="D151" s="354" t="inlineStr">
        <is>
          <t>S200</t>
        </is>
      </c>
      <c r="E151" s="354" t="inlineStr">
        <is>
          <t>BF6M2012C/ D6D</t>
        </is>
      </c>
      <c r="F151" s="356" t="inlineStr">
        <is>
          <t>8S02-100-976
318706/20515585/3802132
04258679KZ/04258309KZ/04282637KZ/3050491/04282622KZ/4282637/4282622/4258679/4258309/03050491KZ/3050491/4282637/20515585/20492757/20492757/20515585 318680/318706/319303</t>
        </is>
      </c>
      <c r="G151" s="354" t="inlineStr">
        <is>
          <t>không điều tốc ,cổ gió loe</t>
        </is>
      </c>
      <c r="H151" s="354" t="n"/>
      <c r="I151" s="354" t="n"/>
      <c r="J151" s="357" t="inlineStr">
        <is>
          <t>JRONE</t>
        </is>
      </c>
      <c r="K151" s="358" t="n"/>
      <c r="L151" s="358" t="n"/>
      <c r="M151" s="358" t="n"/>
      <c r="N151" s="358">
        <f>IF(M151="","",M151*1.1)</f>
        <v/>
      </c>
      <c r="O151" s="359" t="n"/>
      <c r="P151" s="359" t="n"/>
      <c r="Q151" s="359" t="n"/>
      <c r="R151" s="359" t="n"/>
      <c r="S151" s="359" t="n"/>
      <c r="T151" s="359" t="n"/>
      <c r="V151" s="346">
        <f>UPPER(A151&amp;" "&amp;B151&amp;" "&amp;D151&amp;" "&amp;E151&amp;" "&amp;F151&amp;" "&amp;G151&amp;" "&amp;H151&amp;" "&amp;I151&amp;" "&amp;J151)</f>
        <v/>
      </c>
      <c r="W151" s="216">
        <f>IF(AND('TRA CỨU TỔNG HỢP'!$B$3&lt;&gt;"",ISNUMBER(SEARCH('TRA CỨU TỔNG HỢP'!$B$3,V151))),MAX($W$3:W150)+1,"")</f>
        <v/>
      </c>
    </row>
    <row r="152" ht="15" customHeight="1" s="217">
      <c r="A152" s="354" t="inlineStr">
        <is>
          <t>DEUTZ</t>
        </is>
      </c>
      <c r="B152" s="355" t="inlineStr">
        <is>
          <t>HH082796</t>
        </is>
      </c>
      <c r="C152" s="354" t="inlineStr">
        <is>
          <t>BorgWarner</t>
        </is>
      </c>
      <c r="D152" s="354" t="inlineStr">
        <is>
          <t>S200G</t>
        </is>
      </c>
      <c r="E152" s="354" t="inlineStr">
        <is>
          <t>TCD2012L6-2V</t>
        </is>
      </c>
      <c r="F152" s="356" t="inlineStr">
        <is>
          <t>1263-970-0000
04294368/20999737/04294368KZ
1263-710-0000</t>
        </is>
      </c>
      <c r="G152" s="366" t="inlineStr">
        <is>
          <t>có điều tốc cổ gió loe
cổ gang bắt 4 lỗ bu lon</t>
        </is>
      </c>
      <c r="H152" s="354" t="n"/>
      <c r="I152" s="354" t="n"/>
      <c r="J152" s="357" t="inlineStr">
        <is>
          <t>SL</t>
        </is>
      </c>
      <c r="K152" s="358" t="n"/>
      <c r="L152" s="358" t="n"/>
      <c r="M152" s="358" t="n"/>
      <c r="N152" s="358">
        <f>IF(M152="","",M152*1.1)</f>
        <v/>
      </c>
      <c r="O152" s="359" t="n">
        <v>73</v>
      </c>
      <c r="P152" s="359" t="n">
        <v>50.1</v>
      </c>
      <c r="Q152" s="359" t="inlineStr">
        <is>
          <t>7/7</t>
        </is>
      </c>
      <c r="R152" s="359" t="n">
        <v>63.3</v>
      </c>
      <c r="S152" s="359" t="n">
        <v>51.8</v>
      </c>
      <c r="T152" s="359" t="n">
        <v>10</v>
      </c>
      <c r="V152" s="346">
        <f>UPPER(A152&amp;" "&amp;B152&amp;" "&amp;D152&amp;" "&amp;E152&amp;" "&amp;F152&amp;" "&amp;G152&amp;" "&amp;H152&amp;" "&amp;I152&amp;" "&amp;J152)</f>
        <v/>
      </c>
      <c r="W152" s="216">
        <f>IF(AND('TRA CỨU TỔNG HỢP'!$B$3&lt;&gt;"",ISNUMBER(SEARCH('TRA CỨU TỔNG HỢP'!$B$3,V152))),MAX($W$3:W151)+1,"")</f>
        <v/>
      </c>
    </row>
    <row r="153" ht="15" customHeight="1" s="217">
      <c r="A153" s="354" t="inlineStr">
        <is>
          <t>DEUTZ</t>
        </is>
      </c>
      <c r="B153" s="355" t="inlineStr">
        <is>
          <t>HH081410</t>
        </is>
      </c>
      <c r="C153" s="354" t="inlineStr">
        <is>
          <t>BorgWarner</t>
        </is>
      </c>
      <c r="D153" s="354" t="inlineStr">
        <is>
          <t>S259</t>
        </is>
      </c>
      <c r="E153" s="354" t="inlineStr">
        <is>
          <t>BFM2012</t>
        </is>
      </c>
      <c r="F153" s="356" t="inlineStr">
        <is>
          <t>04195745KZ</t>
        </is>
      </c>
      <c r="G153" s="354" t="n"/>
      <c r="H153" s="354" t="inlineStr">
        <is>
          <t>EE</t>
        </is>
      </c>
      <c r="I153" s="354" t="n"/>
      <c r="J153" s="357" t="inlineStr">
        <is>
          <t>EE</t>
        </is>
      </c>
      <c r="K153" s="358" t="n"/>
      <c r="L153" s="358" t="n"/>
      <c r="M153" s="358" t="n"/>
      <c r="N153" s="358">
        <f>IF(M153="","",M153*1.1)</f>
        <v/>
      </c>
      <c r="O153" s="359" t="n"/>
      <c r="P153" s="359" t="n"/>
      <c r="Q153" s="359" t="n"/>
      <c r="R153" s="359" t="n"/>
      <c r="S153" s="359" t="n"/>
      <c r="T153" s="359" t="n"/>
      <c r="V153" s="216">
        <f>UPPER(A153&amp;" "&amp;B153&amp;" "&amp;D153&amp;" "&amp;E153&amp;" "&amp;F153&amp;" "&amp;G153&amp;" "&amp;H153&amp;" "&amp;I153&amp;" "&amp;J153)</f>
        <v/>
      </c>
      <c r="W153" s="216">
        <f>IF(AND('TRA CỨU TỔNG HỢP'!$B$3&lt;&gt;"",ISNUMBER(SEARCH('TRA CỨU TỔNG HỢP'!$B$3,V153))),MAX($W$3:W152)+1,"")</f>
        <v/>
      </c>
    </row>
    <row r="154" ht="15" customHeight="1" s="217">
      <c r="A154" s="354" t="inlineStr">
        <is>
          <t>DEUTZ</t>
        </is>
      </c>
      <c r="B154" s="355" t="inlineStr">
        <is>
          <t>HH077136</t>
        </is>
      </c>
      <c r="C154" s="354" t="inlineStr">
        <is>
          <t>BorgWarner</t>
        </is>
      </c>
      <c r="D154" s="354" t="inlineStr">
        <is>
          <t>B1G-2471</t>
        </is>
      </c>
      <c r="E154" s="354" t="inlineStr">
        <is>
          <t>TCD2013L04 2V</t>
        </is>
      </c>
      <c r="F154" s="356" t="inlineStr">
        <is>
          <t>8B01-200-B43/1158-970-0000
1158-970-0002/0003/0008
298830/04298830KZ/04299152KZ/4299152/4294688/04294688KZ/04298284KZ/4298284/04294689KZ/4294689/4298278/04298278KZ/4297800/04297800KZ/4294260/04294260KZ/21179874/21092586</t>
        </is>
      </c>
      <c r="G154" s="354" t="inlineStr">
        <is>
          <t>Có điều tốc</t>
        </is>
      </c>
      <c r="H154" s="354" t="inlineStr">
        <is>
          <t>Borg Warner 2013 11621013063</t>
        </is>
      </c>
      <c r="I154" s="354" t="n"/>
      <c r="J154" s="357" t="n"/>
      <c r="K154" s="358" t="n"/>
      <c r="L154" s="358" t="n"/>
      <c r="M154" s="358" t="n"/>
      <c r="N154" s="358">
        <f>IF(M154="","",M154*1.1)</f>
        <v/>
      </c>
      <c r="O154" s="359" t="n"/>
      <c r="P154" s="359" t="n"/>
      <c r="Q154" s="359" t="n"/>
      <c r="R154" s="359" t="n"/>
      <c r="S154" s="359" t="n"/>
      <c r="T154" s="359" t="n"/>
      <c r="V154" s="346">
        <f>UPPER(A154&amp;" "&amp;B154&amp;" "&amp;D154&amp;" "&amp;E154&amp;" "&amp;F154&amp;" "&amp;G154&amp;" "&amp;H154&amp;" "&amp;I154&amp;" "&amp;J154)</f>
        <v/>
      </c>
      <c r="W154" s="216">
        <f>IF(AND('TRA CỨU TỔNG HỢP'!$B$3&lt;&gt;"",ISNUMBER(SEARCH('TRA CỨU TỔNG HỢP'!$B$3,V154))),MAX($W$3:W153)+1,"")</f>
        <v/>
      </c>
    </row>
    <row r="155" ht="15" customHeight="1" s="217">
      <c r="A155" s="354" t="inlineStr">
        <is>
          <t>DEUTZ</t>
        </is>
      </c>
      <c r="B155" s="355" t="inlineStr">
        <is>
          <t>HH073999</t>
        </is>
      </c>
      <c r="C155" s="354" t="inlineStr">
        <is>
          <t>BorgWarner</t>
        </is>
      </c>
      <c r="D155" s="354" t="inlineStr">
        <is>
          <t>K27</t>
        </is>
      </c>
      <c r="E155" s="354" t="inlineStr">
        <is>
          <t>BF6L913</t>
        </is>
      </c>
      <c r="F155" s="356" t="inlineStr">
        <is>
          <t>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t>
        </is>
      </c>
      <c r="G155" s="366" t="inlineStr">
        <is>
          <t>tâm lỗ 86 × 45
( cổ gang bắt 4 lỗ bu lon)</t>
        </is>
      </c>
      <c r="H155" s="354" t="n"/>
      <c r="I155" s="354" t="n"/>
      <c r="J155" s="357" t="inlineStr">
        <is>
          <t>SL</t>
        </is>
      </c>
      <c r="K155" s="358" t="n"/>
      <c r="L155" s="358" t="n"/>
      <c r="M155" s="358" t="n"/>
      <c r="N155" s="358">
        <f>IF(M155="","",M155*1.1)</f>
        <v/>
      </c>
      <c r="O155" s="359" t="n">
        <v>74</v>
      </c>
      <c r="P155" s="359" t="n">
        <v>47.3</v>
      </c>
      <c r="Q155" s="359" t="inlineStr">
        <is>
          <t>7/7</t>
        </is>
      </c>
      <c r="R155" s="359" t="n">
        <v>70</v>
      </c>
      <c r="S155" s="359" t="n">
        <v>63</v>
      </c>
      <c r="T155" s="359" t="inlineStr">
        <is>
          <t>12</t>
        </is>
      </c>
      <c r="V155" s="346">
        <f>UPPER(A155&amp;" "&amp;B155&amp;" "&amp;D155&amp;" "&amp;E155&amp;" "&amp;F155&amp;" "&amp;G155&amp;" "&amp;H155&amp;" "&amp;I155&amp;" "&amp;J155)</f>
        <v/>
      </c>
      <c r="W155" s="216">
        <f>IF(AND('TRA CỨU TỔNG HỢP'!$B$3&lt;&gt;"",ISNUMBER(SEARCH('TRA CỨU TỔNG HỢP'!$B$3,V155))),MAX($W$3:W154)+1,"")</f>
        <v/>
      </c>
    </row>
    <row r="156" ht="15" customHeight="1" s="217">
      <c r="A156" s="367" t="inlineStr">
        <is>
          <t>DEUTZ</t>
        </is>
      </c>
      <c r="B156" s="368" t="n"/>
      <c r="C156" s="367" t="inlineStr">
        <is>
          <t>BorgWarner</t>
        </is>
      </c>
      <c r="D156" s="367" t="inlineStr">
        <is>
          <t>S100</t>
        </is>
      </c>
      <c r="E156" s="367" t="inlineStr">
        <is>
          <t>Hamm 3410/ BF4M2012C</t>
        </is>
      </c>
      <c r="F156" s="369" t="inlineStr">
        <is>
          <t>04258199KZ</t>
        </is>
      </c>
      <c r="G156" s="367" t="n"/>
      <c r="H156" s="367" t="n"/>
      <c r="I156" s="367" t="n"/>
      <c r="J156" s="370" t="n"/>
      <c r="K156" s="371" t="n"/>
      <c r="L156" s="371" t="n"/>
      <c r="M156" s="371" t="n"/>
      <c r="N156" s="371" t="n"/>
      <c r="O156" s="372" t="n">
        <v>53</v>
      </c>
      <c r="P156" s="372" t="n">
        <v>35.7</v>
      </c>
      <c r="Q156" s="372" t="inlineStr">
        <is>
          <t>6/6</t>
        </is>
      </c>
      <c r="R156" s="372" t="n">
        <v>53</v>
      </c>
      <c r="S156" s="372" t="n">
        <v>45.7</v>
      </c>
      <c r="T156" s="372" t="n">
        <v>9</v>
      </c>
      <c r="V156" s="216">
        <f>UPPER(A156&amp;" "&amp;B156&amp;" "&amp;D156&amp;" "&amp;E156&amp;" "&amp;F156&amp;" "&amp;G156&amp;" "&amp;H156&amp;" "&amp;I156&amp;" "&amp;J156)</f>
        <v/>
      </c>
      <c r="W156" s="216">
        <f>IF(AND('TRA CỨU TỔNG HỢP'!$B$3&lt;&gt;"",ISNUMBER(SEARCH('TRA CỨU TỔNG HỢP'!$B$3,V156))),MAX($W$3:W155)+1,"")</f>
        <v/>
      </c>
    </row>
    <row r="157" ht="15" customHeight="1" s="217">
      <c r="A157" s="354" t="inlineStr">
        <is>
          <t>DEUTZ</t>
        </is>
      </c>
      <c r="B157" s="355" t="inlineStr">
        <is>
          <t>HH078401</t>
        </is>
      </c>
      <c r="C157" s="354" t="inlineStr">
        <is>
          <t>BorgWarner</t>
        </is>
      </c>
      <c r="D157" s="354" t="inlineStr">
        <is>
          <t>S2A</t>
        </is>
      </c>
      <c r="E157" s="354" t="inlineStr">
        <is>
          <t>BF4M1013</t>
        </is>
      </c>
      <c r="F157" s="356" t="inlineStr">
        <is>
          <t>04204837KZ</t>
        </is>
      </c>
      <c r="G157" s="354" t="n"/>
      <c r="H157" s="354" t="n"/>
      <c r="I157" s="354" t="n"/>
      <c r="J157" s="357" t="inlineStr">
        <is>
          <t>SL</t>
        </is>
      </c>
      <c r="K157" s="358" t="n"/>
      <c r="L157" s="358" t="n"/>
      <c r="M157" s="358" t="n"/>
      <c r="N157" s="358">
        <f>IF(M157="","",M157*1.1)</f>
        <v/>
      </c>
      <c r="O157" s="359" t="n">
        <v>61</v>
      </c>
      <c r="P157" s="359" t="n">
        <v>40.7</v>
      </c>
      <c r="Q157" s="359" t="inlineStr">
        <is>
          <t>7/7</t>
        </is>
      </c>
      <c r="R157" s="359" t="n">
        <v>61</v>
      </c>
      <c r="S157" s="359" t="n">
        <v>53</v>
      </c>
      <c r="T157" s="359" t="n">
        <v>10</v>
      </c>
      <c r="V157" s="216">
        <f>UPPER(A157&amp;" "&amp;B157&amp;" "&amp;D157&amp;" "&amp;E157&amp;" "&amp;F157&amp;" "&amp;G157&amp;" "&amp;H157&amp;" "&amp;I157&amp;" "&amp;J157)</f>
        <v/>
      </c>
      <c r="W157" s="216">
        <f>IF(AND('TRA CỨU TỔNG HỢP'!$B$3&lt;&gt;"",ISNUMBER(SEARCH('TRA CỨU TỔNG HỢP'!$B$3,V157))),MAX($W$3:W156)+1,"")</f>
        <v/>
      </c>
    </row>
    <row r="158" ht="15" customHeight="1" s="217">
      <c r="A158" s="340" t="inlineStr">
        <is>
          <t>DEUTZ</t>
        </is>
      </c>
      <c r="B158" s="341" t="inlineStr">
        <is>
          <t>HH077154</t>
        </is>
      </c>
      <c r="C158" s="340" t="inlineStr">
        <is>
          <t>BorgWarner</t>
        </is>
      </c>
      <c r="D158" s="340" t="inlineStr">
        <is>
          <t>S200G</t>
        </is>
      </c>
      <c r="E158" s="340" t="inlineStr">
        <is>
          <t>TCD2013L6/D7E</t>
        </is>
      </c>
      <c r="F158" s="342" t="inlineStr">
        <is>
          <t>04294676
1270-970-0013
8S02-200-L43</t>
        </is>
      </c>
      <c r="G158" s="340" t="inlineStr">
        <is>
          <t>điều tốc</t>
        </is>
      </c>
      <c r="H158" s="340" t="inlineStr">
        <is>
          <t>Volvo EC290</t>
        </is>
      </c>
      <c r="I158" s="340" t="n"/>
      <c r="J158" s="343" t="inlineStr">
        <is>
          <t>JRONE</t>
        </is>
      </c>
      <c r="K158" s="344" t="n"/>
      <c r="L158" s="344" t="n"/>
      <c r="M158" s="344" t="n"/>
      <c r="N158" s="344">
        <f>IF(M158="","",M158*1.1)</f>
        <v/>
      </c>
      <c r="O158" s="345" t="n"/>
      <c r="P158" s="345" t="n"/>
      <c r="Q158" s="345" t="n"/>
      <c r="R158" s="345" t="n"/>
      <c r="S158" s="345" t="n"/>
      <c r="T158" s="345" t="n"/>
      <c r="V158" s="346">
        <f>UPPER(A158&amp;" "&amp;B158&amp;" "&amp;D158&amp;" "&amp;E158&amp;" "&amp;F158&amp;" "&amp;G158&amp;" "&amp;H158&amp;" "&amp;I158&amp;" "&amp;J158)</f>
        <v/>
      </c>
      <c r="W158" s="216">
        <f>IF(AND('TRA CỨU TỔNG HỢP'!$B$3&lt;&gt;"",ISNUMBER(SEARCH('TRA CỨU TỔNG HỢP'!$B$3,V158))),MAX($W$3:W157)+1,"")</f>
        <v/>
      </c>
    </row>
    <row r="159" ht="15" customHeight="1" s="217">
      <c r="A159" s="347" t="inlineStr">
        <is>
          <t xml:space="preserve">  └─ DEUTZ</t>
        </is>
      </c>
      <c r="B159" s="348" t="inlineStr">
        <is>
          <t>HH080648</t>
        </is>
      </c>
      <c r="C159" s="349" t="inlineStr">
        <is>
          <t>BorgWarner</t>
        </is>
      </c>
      <c r="D159" s="349" t="inlineStr">
        <is>
          <t>S200G</t>
        </is>
      </c>
      <c r="E159" s="349" t="inlineStr">
        <is>
          <t>TCD2013L6/D7E</t>
        </is>
      </c>
      <c r="F159" s="350" t="inlineStr">
        <is>
          <t>04294676
1270-970-0013
8S02-200-L43</t>
        </is>
      </c>
      <c r="G159" s="349" t="inlineStr">
        <is>
          <t>điều tốc</t>
        </is>
      </c>
      <c r="H159" s="349" t="inlineStr">
        <is>
          <t>Volvo EC290</t>
        </is>
      </c>
      <c r="I159" s="349" t="n"/>
      <c r="J159" s="351" t="inlineStr">
        <is>
          <t>FIRE</t>
        </is>
      </c>
      <c r="K159" s="352" t="n"/>
      <c r="L159" s="352" t="n"/>
      <c r="M159" s="352" t="n"/>
      <c r="N159" s="352">
        <f>IF(M159="","",M159*1.1)</f>
        <v/>
      </c>
      <c r="O159" s="353" t="n"/>
      <c r="P159" s="353" t="n"/>
      <c r="Q159" s="353" t="n"/>
      <c r="R159" s="353" t="n"/>
      <c r="S159" s="353" t="n"/>
      <c r="T159" s="353" t="n"/>
      <c r="V159" s="346">
        <f>UPPER(A159&amp;" "&amp;B159&amp;" "&amp;D159&amp;" "&amp;E159&amp;" "&amp;F159&amp;" "&amp;G159&amp;" "&amp;H159&amp;" "&amp;I159&amp;" "&amp;J159)</f>
        <v/>
      </c>
      <c r="W159" s="216">
        <f>IF(AND('TRA CỨU TỔNG HỢP'!$B$3&lt;&gt;"",ISNUMBER(SEARCH('TRA CỨU TỔNG HỢP'!$B$3,V159))),MAX($W$3:W158)+1,"")</f>
        <v/>
      </c>
    </row>
    <row r="160" ht="15" customHeight="1" s="217">
      <c r="A160" s="354" t="inlineStr">
        <is>
          <t>DEUTZ</t>
        </is>
      </c>
      <c r="B160" s="355" t="inlineStr">
        <is>
          <t>HH077153</t>
        </is>
      </c>
      <c r="C160" s="354" t="inlineStr">
        <is>
          <t>BorgWarner</t>
        </is>
      </c>
      <c r="D160" s="354" t="inlineStr">
        <is>
          <t>S200G</t>
        </is>
      </c>
      <c r="E160" s="354" t="inlineStr">
        <is>
          <t>TCD2012L6 / D6E</t>
        </is>
      </c>
      <c r="F160" s="356" t="inlineStr">
        <is>
          <t>8S02-200-H79
5620-197-0023
20873313</t>
        </is>
      </c>
      <c r="G160" s="354" t="inlineStr">
        <is>
          <t>điều tốc</t>
        </is>
      </c>
      <c r="H160" s="354" t="inlineStr">
        <is>
          <t>EC210B</t>
        </is>
      </c>
      <c r="I160" s="354" t="n"/>
      <c r="J160" s="357" t="n"/>
      <c r="K160" s="358" t="n"/>
      <c r="L160" s="358" t="n"/>
      <c r="M160" s="358" t="n"/>
      <c r="N160" s="358">
        <f>IF(M160="","",M160*1.1)</f>
        <v/>
      </c>
      <c r="O160" s="359" t="n"/>
      <c r="P160" s="359" t="n"/>
      <c r="Q160" s="359" t="n"/>
      <c r="R160" s="359" t="n"/>
      <c r="S160" s="359" t="n"/>
      <c r="T160" s="359" t="n"/>
      <c r="V160" s="346">
        <f>UPPER(A160&amp;" "&amp;B160&amp;" "&amp;D160&amp;" "&amp;E160&amp;" "&amp;F160&amp;" "&amp;G160&amp;" "&amp;H160&amp;" "&amp;I160&amp;" "&amp;J160)</f>
        <v/>
      </c>
      <c r="W160" s="216">
        <f>IF(AND('TRA CỨU TỔNG HỢP'!$B$3&lt;&gt;"",ISNUMBER(SEARCH('TRA CỨU TỔNG HỢP'!$B$3,V160))),MAX($W$3:W159)+1,"")</f>
        <v/>
      </c>
    </row>
    <row r="161" ht="19.5" customHeight="1" s="217">
      <c r="A161" s="339" t="inlineStr">
        <is>
          <t xml:space="preserve">  🏭  DOOSAN   ·   8 loại turbo</t>
        </is>
      </c>
      <c r="W161" s="216">
        <f>IF(AND('TRA CỨU TỔNG HỢP'!$B$3&lt;&gt;"",ISNUMBER(SEARCH('TRA CỨU TỔNG HỢP'!$B$3,V161))),MAX($W$3:W160)+1,"")</f>
        <v/>
      </c>
    </row>
    <row r="162" ht="15" customHeight="1" s="217">
      <c r="A162" s="340" t="inlineStr">
        <is>
          <t>DOOSAN</t>
        </is>
      </c>
      <c r="B162" s="341" t="inlineStr">
        <is>
          <t>HH072674</t>
        </is>
      </c>
      <c r="C162" s="340" t="inlineStr">
        <is>
          <t>Garrett</t>
        </is>
      </c>
      <c r="D162" s="340" t="inlineStr">
        <is>
          <t>TA45</t>
        </is>
      </c>
      <c r="E162" s="340" t="inlineStr">
        <is>
          <t>D2366</t>
        </is>
      </c>
      <c r="F162" s="342" t="inlineStr">
        <is>
          <t>710223-0001
65091007050
(65.09100-7050)
441398-0172</t>
        </is>
      </c>
      <c r="G162" s="340" t="inlineStr">
        <is>
          <t>Tâm lỗ bu lông 70 x 113</t>
        </is>
      </c>
      <c r="H162" s="340" t="n"/>
      <c r="I162" s="340" t="n"/>
      <c r="J162" s="343" t="inlineStr">
        <is>
          <t>SL</t>
        </is>
      </c>
      <c r="K162" s="344" t="n"/>
      <c r="L162" s="344" t="n"/>
      <c r="M162" s="344" t="n"/>
      <c r="N162" s="344">
        <f>IF(M162="","",M162*1.1)</f>
        <v/>
      </c>
      <c r="O162" s="345" t="n"/>
      <c r="P162" s="345" t="n"/>
      <c r="Q162" s="345" t="n"/>
      <c r="R162" s="345" t="n"/>
      <c r="S162" s="345" t="n"/>
      <c r="T162" s="345" t="n"/>
      <c r="V162" s="346">
        <f>UPPER(A162&amp;" "&amp;B162&amp;" "&amp;D162&amp;" "&amp;E162&amp;" "&amp;F162&amp;" "&amp;G162&amp;" "&amp;H162&amp;" "&amp;I162&amp;" "&amp;J162)</f>
        <v/>
      </c>
      <c r="W162" s="216">
        <f>IF(AND('TRA CỨU TỔNG HỢP'!$B$3&lt;&gt;"",ISNUMBER(SEARCH('TRA CỨU TỔNG HỢP'!$B$3,V162))),MAX($W$3:W161)+1,"")</f>
        <v/>
      </c>
    </row>
    <row r="163" ht="15" customHeight="1" s="217">
      <c r="A163" s="347" t="inlineStr">
        <is>
          <t xml:space="preserve">  └─ DOOSAN</t>
        </is>
      </c>
      <c r="B163" s="348" t="inlineStr">
        <is>
          <t>HH077905</t>
        </is>
      </c>
      <c r="C163" s="349" t="inlineStr">
        <is>
          <t>Garrett</t>
        </is>
      </c>
      <c r="D163" s="349" t="inlineStr">
        <is>
          <t>TA45</t>
        </is>
      </c>
      <c r="E163" s="349" t="inlineStr">
        <is>
          <t>D2366</t>
        </is>
      </c>
      <c r="F163" s="350" t="inlineStr">
        <is>
          <t>710223-0001
65091007050
(65.09100-7050)
441398-0172</t>
        </is>
      </c>
      <c r="G163" s="349" t="inlineStr">
        <is>
          <t>Tâm lỗ bu lông 70 x 113</t>
        </is>
      </c>
      <c r="H163" s="349" t="n"/>
      <c r="I163" s="349" t="n"/>
      <c r="J163" s="351" t="inlineStr">
        <is>
          <t>SL</t>
        </is>
      </c>
      <c r="K163" s="352" t="n"/>
      <c r="L163" s="352" t="n"/>
      <c r="M163" s="352" t="n"/>
      <c r="N163" s="352">
        <f>IF(M163="","",M163*1.1)</f>
        <v/>
      </c>
      <c r="O163" s="353" t="n"/>
      <c r="P163" s="353" t="n"/>
      <c r="Q163" s="353" t="n"/>
      <c r="R163" s="353" t="n"/>
      <c r="S163" s="353" t="n"/>
      <c r="T163" s="353" t="n"/>
      <c r="V163" s="346">
        <f>UPPER(A163&amp;" "&amp;B163&amp;" "&amp;D163&amp;" "&amp;E163&amp;" "&amp;F163&amp;" "&amp;G163&amp;" "&amp;H163&amp;" "&amp;I163&amp;" "&amp;J163)</f>
        <v/>
      </c>
      <c r="W163" s="216">
        <f>IF(AND('TRA CỨU TỔNG HỢP'!$B$3&lt;&gt;"",ISNUMBER(SEARCH('TRA CỨU TỔNG HỢP'!$B$3,V163))),MAX($W$3:W162)+1,"")</f>
        <v/>
      </c>
    </row>
    <row r="164" ht="15" customHeight="1" s="217">
      <c r="A164" s="340" t="inlineStr">
        <is>
          <t>DOOSAN</t>
        </is>
      </c>
      <c r="B164" s="341" t="inlineStr">
        <is>
          <t>HH082687</t>
        </is>
      </c>
      <c r="C164" s="340" t="inlineStr">
        <is>
          <t>BorgWarner</t>
        </is>
      </c>
      <c r="D164" s="340" t="inlineStr">
        <is>
          <t>K27</t>
        </is>
      </c>
      <c r="E164" s="340" t="inlineStr">
        <is>
          <t>D2848/ DV15</t>
        </is>
      </c>
      <c r="F164" s="342" t="inlineStr">
        <is>
          <t>5327-970-6502</t>
        </is>
      </c>
      <c r="G164" s="340" t="n"/>
      <c r="H164" s="340" t="n"/>
      <c r="I164" s="340" t="n"/>
      <c r="J164" s="343" t="inlineStr">
        <is>
          <t>SL</t>
        </is>
      </c>
      <c r="K164" s="344" t="n"/>
      <c r="L164" s="344" t="n"/>
      <c r="M164" s="344" t="n"/>
      <c r="N164" s="344">
        <f>IF(M164="","",M164*1.1)</f>
        <v/>
      </c>
      <c r="O164" s="345" t="n"/>
      <c r="P164" s="345" t="n"/>
      <c r="Q164" s="345" t="n"/>
      <c r="R164" s="345" t="n"/>
      <c r="S164" s="345" t="n"/>
      <c r="T164" s="345" t="n"/>
      <c r="V164" s="216">
        <f>UPPER(A164&amp;" "&amp;B164&amp;" "&amp;D164&amp;" "&amp;E164&amp;" "&amp;F164&amp;" "&amp;G164&amp;" "&amp;H164&amp;" "&amp;I164&amp;" "&amp;J164)</f>
        <v/>
      </c>
      <c r="W164" s="216">
        <f>IF(AND('TRA CỨU TỔNG HỢP'!$B$3&lt;&gt;"",ISNUMBER(SEARCH('TRA CỨU TỔNG HỢP'!$B$3,V164))),MAX($W$3:W163)+1,"")</f>
        <v/>
      </c>
    </row>
    <row r="165" ht="15" customHeight="1" s="217">
      <c r="A165" s="347" t="inlineStr">
        <is>
          <t xml:space="preserve">  └─ DOOSAN</t>
        </is>
      </c>
      <c r="B165" s="348" t="inlineStr">
        <is>
          <t>HH082686</t>
        </is>
      </c>
      <c r="C165" s="349" t="inlineStr">
        <is>
          <t>BorgWarner</t>
        </is>
      </c>
      <c r="D165" s="349" t="inlineStr">
        <is>
          <t>K27</t>
        </is>
      </c>
      <c r="E165" s="349" t="inlineStr">
        <is>
          <t>D2848/ DV15</t>
        </is>
      </c>
      <c r="F165" s="350" t="inlineStr">
        <is>
          <t>5327-970-6502</t>
        </is>
      </c>
      <c r="G165" s="349" t="n"/>
      <c r="H165" s="349" t="n"/>
      <c r="I165" s="349" t="n"/>
      <c r="J165" s="351" t="inlineStr">
        <is>
          <t>SL</t>
        </is>
      </c>
      <c r="K165" s="352" t="n"/>
      <c r="L165" s="352" t="n"/>
      <c r="M165" s="352" t="n"/>
      <c r="N165" s="352">
        <f>IF(M165="","",M165*1.1)</f>
        <v/>
      </c>
      <c r="O165" s="353" t="n"/>
      <c r="P165" s="353" t="n"/>
      <c r="Q165" s="353" t="n"/>
      <c r="R165" s="353" t="n"/>
      <c r="S165" s="353" t="n"/>
      <c r="T165" s="353" t="n"/>
      <c r="V165" s="216">
        <f>UPPER(A165&amp;" "&amp;B165&amp;" "&amp;D165&amp;" "&amp;E165&amp;" "&amp;F165&amp;" "&amp;G165&amp;" "&amp;H165&amp;" "&amp;I165&amp;" "&amp;J165)</f>
        <v/>
      </c>
      <c r="W165" s="216">
        <f>IF(AND('TRA CỨU TỔNG HỢP'!$B$3&lt;&gt;"",ISNUMBER(SEARCH('TRA CỨU TỔNG HỢP'!$B$3,V165))),MAX($W$3:W164)+1,"")</f>
        <v/>
      </c>
    </row>
    <row r="166" ht="15" customHeight="1" s="217">
      <c r="A166" s="354" t="inlineStr">
        <is>
          <t>DOOSAN</t>
        </is>
      </c>
      <c r="B166" s="355" t="inlineStr">
        <is>
          <t>HH0636</t>
        </is>
      </c>
      <c r="C166" s="354" t="inlineStr">
        <is>
          <t>Garrett</t>
        </is>
      </c>
      <c r="D166" s="354" t="inlineStr">
        <is>
          <t>TV48</t>
        </is>
      </c>
      <c r="E166" s="354" t="n"/>
      <c r="F166" s="356" t="inlineStr">
        <is>
          <t>65-09100-7206</t>
        </is>
      </c>
      <c r="G166" s="354" t="n"/>
      <c r="H166" s="354" t="inlineStr">
        <is>
          <t>TV48</t>
        </is>
      </c>
      <c r="I166" s="354" t="inlineStr">
        <is>
          <t>Máy phát điện Doosan</t>
        </is>
      </c>
      <c r="J166" s="357" t="inlineStr">
        <is>
          <t>FIRE</t>
        </is>
      </c>
      <c r="K166" s="358" t="n"/>
      <c r="L166" s="358" t="n"/>
      <c r="M166" s="358" t="n"/>
      <c r="N166" s="358">
        <f>IF(M166="","",M166*1.1)</f>
        <v/>
      </c>
      <c r="O166" s="359" t="n"/>
      <c r="P166" s="359" t="n"/>
      <c r="Q166" s="359" t="n"/>
      <c r="R166" s="359" t="n"/>
      <c r="S166" s="359" t="n"/>
      <c r="T166" s="359" t="n"/>
      <c r="V166" s="216">
        <f>UPPER(A166&amp;" "&amp;B166&amp;" "&amp;D166&amp;" "&amp;E166&amp;" "&amp;F166&amp;" "&amp;G166&amp;" "&amp;H166&amp;" "&amp;I166&amp;" "&amp;J166)</f>
        <v/>
      </c>
      <c r="W166" s="216">
        <f>IF(AND('TRA CỨU TỔNG HỢP'!$B$3&lt;&gt;"",ISNUMBER(SEARCH('TRA CỨU TỔNG HỢP'!$B$3,V166))),MAX($W$3:W165)+1,"")</f>
        <v/>
      </c>
    </row>
    <row r="167" ht="15" customHeight="1" s="217">
      <c r="A167" s="340" t="inlineStr">
        <is>
          <t>DOOSAN</t>
        </is>
      </c>
      <c r="B167" s="341" t="inlineStr">
        <is>
          <t>HH075711</t>
        </is>
      </c>
      <c r="C167" s="340" t="inlineStr">
        <is>
          <t>Garrett</t>
        </is>
      </c>
      <c r="D167" s="340" t="inlineStr">
        <is>
          <t>GT42</t>
        </is>
      </c>
      <c r="E167" s="340" t="inlineStr">
        <is>
          <t xml:space="preserve">DE12TIS/D2366-DHI </t>
        </is>
      </c>
      <c r="F167" s="342" t="inlineStr">
        <is>
          <t>701139-0001
65091007119
65091007196
434251-0024</t>
        </is>
      </c>
      <c r="G167" s="373" t="inlineStr">
        <is>
          <t>có điều tốc
sò gang có 6 lỗ bu lon</t>
        </is>
      </c>
      <c r="H167" s="340" t="inlineStr">
        <is>
          <t>Xe tải Deawoo, Máy xúc DH400/Lốc đỏ</t>
        </is>
      </c>
      <c r="I167" s="340" t="n"/>
      <c r="J167" s="343" t="inlineStr">
        <is>
          <t>SL</t>
        </is>
      </c>
      <c r="K167" s="344" t="n"/>
      <c r="L167" s="344" t="n"/>
      <c r="M167" s="344" t="n"/>
      <c r="N167" s="344">
        <f>IF(M167="","",M167*1.1)</f>
        <v/>
      </c>
      <c r="O167" s="345" t="n">
        <v>88</v>
      </c>
      <c r="P167" s="345" t="n">
        <v>60.8</v>
      </c>
      <c r="Q167" s="345" t="inlineStr">
        <is>
          <t>6/6</t>
        </is>
      </c>
      <c r="R167" s="345" t="n">
        <v>82</v>
      </c>
      <c r="S167" s="345" t="n">
        <v>72.40000000000001</v>
      </c>
      <c r="T167" s="345" t="n">
        <v>10</v>
      </c>
      <c r="V167" s="346">
        <f>UPPER(A167&amp;" "&amp;B167&amp;" "&amp;D167&amp;" "&amp;E167&amp;" "&amp;F167&amp;" "&amp;G167&amp;" "&amp;H167&amp;" "&amp;I167&amp;" "&amp;J167)</f>
        <v/>
      </c>
      <c r="W167" s="216">
        <f>IF(AND('TRA CỨU TỔNG HỢP'!$B$3&lt;&gt;"",ISNUMBER(SEARCH('TRA CỨU TỔNG HỢP'!$B$3,V167))),MAX($W$3:W166)+1,"")</f>
        <v/>
      </c>
    </row>
    <row r="168" ht="15" customHeight="1" s="217">
      <c r="A168" s="347" t="inlineStr">
        <is>
          <t xml:space="preserve">  └─ DOOSAN</t>
        </is>
      </c>
      <c r="B168" s="348" t="inlineStr">
        <is>
          <t>HH082879</t>
        </is>
      </c>
      <c r="C168" s="349" t="inlineStr">
        <is>
          <t>Garrett</t>
        </is>
      </c>
      <c r="D168" s="349" t="inlineStr">
        <is>
          <t>GT42</t>
        </is>
      </c>
      <c r="E168" s="349" t="inlineStr">
        <is>
          <t xml:space="preserve">DE12TIS/D2366-DHI </t>
        </is>
      </c>
      <c r="F168" s="350" t="inlineStr">
        <is>
          <t>701139-0001
65091007119
65091007196
434251-0024</t>
        </is>
      </c>
      <c r="G168" s="374" t="inlineStr">
        <is>
          <t>có điều tốc
sò gang có 6 lỗ bu lon</t>
        </is>
      </c>
      <c r="H168" s="349" t="inlineStr">
        <is>
          <t>Xe tải Deawoo, Máy xúc DH400/Lốc đỏ</t>
        </is>
      </c>
      <c r="I168" s="349" t="n"/>
      <c r="J168" s="351" t="inlineStr">
        <is>
          <t>SL</t>
        </is>
      </c>
      <c r="K168" s="352" t="n"/>
      <c r="L168" s="352" t="n"/>
      <c r="M168" s="352" t="n"/>
      <c r="N168" s="352">
        <f>IF(M168="","",M168*1.1)</f>
        <v/>
      </c>
      <c r="O168" s="353" t="n">
        <v>88</v>
      </c>
      <c r="P168" s="353" t="n">
        <v>60.8</v>
      </c>
      <c r="Q168" s="353" t="inlineStr">
        <is>
          <t>6/6</t>
        </is>
      </c>
      <c r="R168" s="353" t="n">
        <v>82</v>
      </c>
      <c r="S168" s="353" t="n">
        <v>72.40000000000001</v>
      </c>
      <c r="T168" s="353" t="n">
        <v>10</v>
      </c>
      <c r="V168" s="346">
        <f>UPPER(A168&amp;" "&amp;B168&amp;" "&amp;D168&amp;" "&amp;E168&amp;" "&amp;F168&amp;" "&amp;G168&amp;" "&amp;H168&amp;" "&amp;I168&amp;" "&amp;J168)</f>
        <v/>
      </c>
      <c r="W168" s="216">
        <f>IF(AND('TRA CỨU TỔNG HỢP'!$B$3&lt;&gt;"",ISNUMBER(SEARCH('TRA CỨU TỔNG HỢP'!$B$3,V168))),MAX($W$3:W167)+1,"")</f>
        <v/>
      </c>
    </row>
    <row r="169" ht="15" customHeight="1" s="217">
      <c r="A169" s="347" t="inlineStr">
        <is>
          <t xml:space="preserve">  └─ DOOSAN</t>
        </is>
      </c>
      <c r="B169" s="348" t="inlineStr">
        <is>
          <t>HH078208</t>
        </is>
      </c>
      <c r="C169" s="349" t="inlineStr">
        <is>
          <t>Garrett</t>
        </is>
      </c>
      <c r="D169" s="349" t="inlineStr">
        <is>
          <t>GT42</t>
        </is>
      </c>
      <c r="E169" s="349" t="inlineStr">
        <is>
          <t xml:space="preserve">DE12TIS/D2366-DHI </t>
        </is>
      </c>
      <c r="F169" s="350" t="inlineStr">
        <is>
          <t>701139-0001
65091007119
65091007196
434251-0024</t>
        </is>
      </c>
      <c r="G169" s="374" t="inlineStr">
        <is>
          <t>có điều tốc
sò gang có 6 lỗ bu lon</t>
        </is>
      </c>
      <c r="H169" s="349" t="inlineStr">
        <is>
          <t>Xe tải Deawoo, Máy xúc DH400/Lốc đỏ</t>
        </is>
      </c>
      <c r="I169" s="349" t="n"/>
      <c r="J169" s="351" t="inlineStr">
        <is>
          <t>SL</t>
        </is>
      </c>
      <c r="K169" s="352" t="n"/>
      <c r="L169" s="352" t="n"/>
      <c r="M169" s="352" t="n"/>
      <c r="N169" s="352">
        <f>IF(M169="","",M169*1.1)</f>
        <v/>
      </c>
      <c r="O169" s="353" t="n">
        <v>88</v>
      </c>
      <c r="P169" s="353" t="n">
        <v>60.8</v>
      </c>
      <c r="Q169" s="353" t="inlineStr">
        <is>
          <t>6/6</t>
        </is>
      </c>
      <c r="R169" s="353" t="n">
        <v>82</v>
      </c>
      <c r="S169" s="353" t="n">
        <v>72.40000000000001</v>
      </c>
      <c r="T169" s="353" t="n">
        <v>10</v>
      </c>
      <c r="V169" s="346">
        <f>UPPER(A169&amp;" "&amp;B169&amp;" "&amp;D169&amp;" "&amp;E169&amp;" "&amp;F169&amp;" "&amp;G169&amp;" "&amp;H169&amp;" "&amp;I169&amp;" "&amp;J169)</f>
        <v/>
      </c>
      <c r="W169" s="216">
        <f>IF(AND('TRA CỨU TỔNG HỢP'!$B$3&lt;&gt;"",ISNUMBER(SEARCH('TRA CỨU TỔNG HỢP'!$B$3,V169))),MAX($W$3:W168)+1,"")</f>
        <v/>
      </c>
    </row>
    <row r="170" ht="15" customHeight="1" s="217">
      <c r="A170" s="367" t="inlineStr">
        <is>
          <t>DOOSAN</t>
        </is>
      </c>
      <c r="B170" s="368" t="n"/>
      <c r="C170" s="367" t="inlineStr">
        <is>
          <t>Garrett</t>
        </is>
      </c>
      <c r="D170" s="367" t="inlineStr">
        <is>
          <t>TV48</t>
        </is>
      </c>
      <c r="E170" s="367" t="n"/>
      <c r="F170" s="369" t="inlineStr">
        <is>
          <t>65.09100-7206</t>
        </is>
      </c>
      <c r="G170" s="367" t="n"/>
      <c r="H170" s="367" t="inlineStr">
        <is>
          <t>Máy phát điện</t>
        </is>
      </c>
      <c r="I170" s="367" t="n"/>
      <c r="J170" s="370" t="n"/>
      <c r="K170" s="371" t="n"/>
      <c r="L170" s="371" t="n"/>
      <c r="M170" s="371" t="n"/>
      <c r="N170" s="371" t="n"/>
      <c r="O170" s="372" t="n"/>
      <c r="P170" s="372" t="n"/>
      <c r="Q170" s="372" t="n"/>
      <c r="R170" s="372" t="n"/>
      <c r="S170" s="372" t="n"/>
      <c r="T170" s="372" t="n"/>
      <c r="V170" s="216">
        <f>UPPER(A170&amp;" "&amp;B170&amp;" "&amp;D170&amp;" "&amp;E170&amp;" "&amp;F170&amp;" "&amp;G170&amp;" "&amp;H170&amp;" "&amp;I170&amp;" "&amp;J170)</f>
        <v/>
      </c>
      <c r="W170" s="216">
        <f>IF(AND('TRA CỨU TỔNG HỢP'!$B$3&lt;&gt;"",ISNUMBER(SEARCH('TRA CỨU TỔNG HỢP'!$B$3,V170))),MAX($W$3:W169)+1,"")</f>
        <v/>
      </c>
    </row>
    <row r="171" ht="15" customHeight="1" s="217">
      <c r="A171" s="354" t="inlineStr">
        <is>
          <t>DOOSAN</t>
        </is>
      </c>
      <c r="B171" s="355" t="inlineStr">
        <is>
          <t>HH00531</t>
        </is>
      </c>
      <c r="C171" s="354" t="inlineStr">
        <is>
          <t>Holset</t>
        </is>
      </c>
      <c r="D171" s="354" t="inlineStr">
        <is>
          <t>HX35</t>
        </is>
      </c>
      <c r="E171" s="354" t="inlineStr">
        <is>
          <t>DB58T</t>
        </is>
      </c>
      <c r="F171" s="356" t="inlineStr">
        <is>
          <t>3539679
/4035455/4033596H/3593185/3591461/3539678 /4033596/65.09100-7060/65091007060/65.09100-7093/65091007093/65091007197/65.09100-7197/65091007040/65.09100-7040</t>
        </is>
      </c>
      <c r="G171" s="354" t="inlineStr">
        <is>
          <t>Tâm lỗ bu lông 45 x 86</t>
        </is>
      </c>
      <c r="H171" s="354" t="inlineStr">
        <is>
          <t>DH220-5/DX225/DX225LCA/ SOLA 255 /LC SOLA230 SOLA220/SOLA225/DX140W</t>
        </is>
      </c>
      <c r="I171" s="354" t="inlineStr">
        <is>
          <t xml:space="preserve">CÓ H/A jrone </t>
        </is>
      </c>
      <c r="J171" s="357" t="inlineStr">
        <is>
          <t>SL</t>
        </is>
      </c>
      <c r="K171" s="358" t="n"/>
      <c r="L171" s="358" t="n"/>
      <c r="M171" s="358" t="n"/>
      <c r="N171" s="358">
        <f>IF(M171="","",M171*1.1)</f>
        <v/>
      </c>
      <c r="O171" s="359" t="n">
        <v>83</v>
      </c>
      <c r="P171" s="359" t="n">
        <v>52</v>
      </c>
      <c r="Q171" s="359" t="inlineStr">
        <is>
          <t>8/8</t>
        </is>
      </c>
      <c r="R171" s="359" t="n">
        <v>70</v>
      </c>
      <c r="S171" s="359" t="n">
        <v>60</v>
      </c>
      <c r="T171" s="359" t="n">
        <v>12</v>
      </c>
      <c r="V171" s="346">
        <f>UPPER(A171&amp;" "&amp;B171&amp;" "&amp;D171&amp;" "&amp;E171&amp;" "&amp;F171&amp;" "&amp;G171&amp;" "&amp;H171&amp;" "&amp;I171&amp;" "&amp;J171)</f>
        <v/>
      </c>
      <c r="W171" s="216">
        <f>IF(AND('TRA CỨU TỔNG HỢP'!$B$3&lt;&gt;"",ISNUMBER(SEARCH('TRA CỨU TỔNG HỢP'!$B$3,V171))),MAX($W$3:W170)+1,"")</f>
        <v/>
      </c>
    </row>
    <row r="172" ht="15" customHeight="1" s="217">
      <c r="A172" s="367" t="inlineStr">
        <is>
          <t>DOOSAN</t>
        </is>
      </c>
      <c r="B172" s="368" t="n"/>
      <c r="C172" s="367" t="inlineStr">
        <is>
          <t>IHI</t>
        </is>
      </c>
      <c r="D172" s="367" t="inlineStr">
        <is>
          <t>RHF4</t>
        </is>
      </c>
      <c r="E172" s="367" t="inlineStr">
        <is>
          <t>4JB1</t>
        </is>
      </c>
      <c r="F172" s="369" t="inlineStr">
        <is>
          <t>VA420081
VB420081
F41CAD-S0081G/F41CAD-S0081B
0104-890-012/2389349
238-9349|2390230
2825179/3082308
3170981/3240237
4429826/135756180
13575-6180/135.756.180
1357561801/1357561802/634220</t>
        </is>
      </c>
      <c r="G172" s="367" t="n"/>
      <c r="H172" s="367" t="inlineStr">
        <is>
          <t>DH55 /Subaru ST445 N844L 2.2T 45 HP | New Hollander | Yanmar | Perkins 404C-22T 404D-22</t>
        </is>
      </c>
      <c r="I172" s="367" t="n"/>
      <c r="J172" s="370" t="n"/>
      <c r="K172" s="371" t="n"/>
      <c r="L172" s="371" t="n"/>
      <c r="M172" s="371" t="n"/>
      <c r="N172" s="371" t="n"/>
      <c r="O172" s="372" t="n">
        <v>46</v>
      </c>
      <c r="P172" s="372" t="n">
        <v>31.1</v>
      </c>
      <c r="Q172" s="372" t="inlineStr">
        <is>
          <t>5/5</t>
        </is>
      </c>
      <c r="R172" s="372" t="n">
        <v>46.5</v>
      </c>
      <c r="S172" s="372" t="n">
        <v>35.4</v>
      </c>
      <c r="T172" s="372" t="n">
        <v>9</v>
      </c>
      <c r="V172" s="346">
        <f>UPPER(A172&amp;" "&amp;B172&amp;" "&amp;D172&amp;" "&amp;E172&amp;" "&amp;F172&amp;" "&amp;G172&amp;" "&amp;H172&amp;" "&amp;I172&amp;" "&amp;J172)</f>
        <v/>
      </c>
      <c r="W172" s="216">
        <f>IF(AND('TRA CỨU TỔNG HỢP'!$B$3&lt;&gt;"",ISNUMBER(SEARCH('TRA CỨU TỔNG HỢP'!$B$3,V172))),MAX($W$3:W171)+1,"")</f>
        <v/>
      </c>
    </row>
    <row r="173" ht="15" customHeight="1" s="217">
      <c r="A173" s="360" t="inlineStr">
        <is>
          <t>DOOSAN</t>
        </is>
      </c>
      <c r="B173" s="361" t="n"/>
      <c r="C173" s="360" t="inlineStr">
        <is>
          <t>Garrett</t>
        </is>
      </c>
      <c r="D173" s="360" t="inlineStr">
        <is>
          <t>TBL4 T04E55</t>
        </is>
      </c>
      <c r="E173" s="360" t="inlineStr">
        <is>
          <t>DE08</t>
        </is>
      </c>
      <c r="F173" s="362" t="inlineStr">
        <is>
          <t>730505-0001</t>
        </is>
      </c>
      <c r="G173" s="360" t="n"/>
      <c r="H173" s="360" t="inlineStr">
        <is>
          <t>Daewoo Excavator DE08</t>
        </is>
      </c>
      <c r="I173" s="360" t="n"/>
      <c r="J173" s="363" t="n"/>
      <c r="K173" s="364" t="n"/>
      <c r="L173" s="364" t="n"/>
      <c r="M173" s="364" t="n"/>
      <c r="N173" s="364" t="n"/>
      <c r="O173" s="365" t="n">
        <v>76.09999999999999</v>
      </c>
      <c r="P173" s="365" t="n">
        <v>52.8</v>
      </c>
      <c r="Q173" s="365" t="inlineStr">
        <is>
          <t>6/6</t>
        </is>
      </c>
      <c r="R173" s="365" t="n">
        <v>74.26000000000001</v>
      </c>
      <c r="S173" s="365" t="n">
        <v>64.59999999999999</v>
      </c>
      <c r="T173" s="365" t="n">
        <v>11</v>
      </c>
      <c r="V173" s="216">
        <f>UPPER(A173&amp;" "&amp;B173&amp;" "&amp;D173&amp;" "&amp;E173&amp;" "&amp;F173&amp;" "&amp;G173&amp;" "&amp;H173&amp;" "&amp;I173&amp;" "&amp;J173)</f>
        <v/>
      </c>
      <c r="W173" s="216">
        <f>IF(AND('TRA CỨU TỔNG HỢP'!$B$3&lt;&gt;"",ISNUMBER(SEARCH('TRA CỨU TỔNG HỢP'!$B$3,V173))),MAX($W$3:W172)+1,"")</f>
        <v/>
      </c>
    </row>
    <row r="174" ht="19.5" customHeight="1" s="217">
      <c r="A174" s="339" t="inlineStr">
        <is>
          <t xml:space="preserve">  🏭  FAW   ·   1 loại turbo</t>
        </is>
      </c>
      <c r="W174" s="216">
        <f>IF(AND('TRA CỨU TỔNG HỢP'!$B$3&lt;&gt;"",ISNUMBER(SEARCH('TRA CỨU TỔNG HỢP'!$B$3,V174))),MAX($W$3:W173)+1,"")</f>
        <v/>
      </c>
    </row>
    <row r="175" ht="15" customHeight="1" s="217">
      <c r="A175" s="360" t="inlineStr">
        <is>
          <t>FAW</t>
        </is>
      </c>
      <c r="B175" s="361" t="n"/>
      <c r="C175" s="360" t="inlineStr">
        <is>
          <t>Garrett</t>
        </is>
      </c>
      <c r="D175" s="360" t="inlineStr">
        <is>
          <t>TBP4</t>
        </is>
      </c>
      <c r="E175" s="360" t="inlineStr">
        <is>
          <t>CA6113BKZ</t>
        </is>
      </c>
      <c r="F175" s="362" t="inlineStr">
        <is>
          <t>111801OS-BKZ</t>
        </is>
      </c>
      <c r="G175" s="360" t="inlineStr">
        <is>
          <t>cổ gang bắt ống</t>
        </is>
      </c>
      <c r="H175" s="360" t="inlineStr">
        <is>
          <t>chưa nhập</t>
        </is>
      </c>
      <c r="I175" s="375" t="inlineStr">
        <is>
          <t>111801OS-BKZ (tháo nắp cổ gang ra để bán sang 720669-5002
có hình ảnh châu phú</t>
        </is>
      </c>
      <c r="J175" s="363" t="n"/>
      <c r="K175" s="364" t="n"/>
      <c r="L175" s="364" t="n"/>
      <c r="M175" s="364" t="n"/>
      <c r="N175" s="364" t="n"/>
      <c r="O175" s="365" t="n"/>
      <c r="P175" s="365" t="n"/>
      <c r="Q175" s="365" t="n"/>
      <c r="R175" s="365" t="n"/>
      <c r="S175" s="365" t="n"/>
      <c r="T175" s="365" t="n"/>
      <c r="V175" s="346">
        <f>UPPER(A175&amp;" "&amp;B175&amp;" "&amp;D175&amp;" "&amp;E175&amp;" "&amp;F175&amp;" "&amp;G175&amp;" "&amp;H175&amp;" "&amp;I175&amp;" "&amp;J175)</f>
        <v/>
      </c>
      <c r="W175" s="216">
        <f>IF(AND('TRA CỨU TỔNG HỢP'!$B$3&lt;&gt;"",ISNUMBER(SEARCH('TRA CỨU TỔNG HỢP'!$B$3,V175))),MAX($W$3:W174)+1,"")</f>
        <v/>
      </c>
    </row>
    <row r="176" ht="19.5" customHeight="1" s="217">
      <c r="A176" s="339" t="inlineStr">
        <is>
          <t xml:space="preserve">  🏭  FORD   ·   15 loại turbo</t>
        </is>
      </c>
      <c r="W176" s="216">
        <f>IF(AND('TRA CỨU TỔNG HỢP'!$B$3&lt;&gt;"",ISNUMBER(SEARCH('TRA CỨU TỔNG HỢP'!$B$3,V176))),MAX($W$3:W175)+1,"")</f>
        <v/>
      </c>
    </row>
    <row r="177" ht="15" customHeight="1" s="217">
      <c r="A177" s="340" t="inlineStr">
        <is>
          <t>FORD</t>
        </is>
      </c>
      <c r="B177" s="341" t="inlineStr">
        <is>
          <t>HH079548</t>
        </is>
      </c>
      <c r="C177" s="340" t="inlineStr">
        <is>
          <t>Garrett</t>
        </is>
      </c>
      <c r="D177" s="340" t="inlineStr">
        <is>
          <t>GTD2056VZK</t>
        </is>
      </c>
      <c r="E177" s="340" t="inlineStr">
        <is>
          <t>2.2 Duratorq TDCi</t>
        </is>
      </c>
      <c r="F177" s="342"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7" s="340" t="inlineStr">
        <is>
          <t>cổ sò gió có ren mờ</t>
        </is>
      </c>
      <c r="H177" s="340" t="inlineStr">
        <is>
          <t>EURO 6</t>
        </is>
      </c>
      <c r="I177" s="340" t="n"/>
      <c r="J177" s="343" t="inlineStr">
        <is>
          <t>SL</t>
        </is>
      </c>
      <c r="K177" s="344" t="n"/>
      <c r="L177" s="344" t="n"/>
      <c r="M177" s="344" t="n"/>
      <c r="N177" s="344">
        <f>IF(M177="","",M177*1.1)</f>
        <v/>
      </c>
      <c r="O177" s="345" t="n">
        <v>57.9</v>
      </c>
      <c r="P177" s="345" t="n">
        <v>38</v>
      </c>
      <c r="Q177" s="345" t="inlineStr">
        <is>
          <t>9</t>
        </is>
      </c>
      <c r="R177" s="345" t="n">
        <v>47</v>
      </c>
      <c r="S177" s="345" t="n">
        <v>43</v>
      </c>
      <c r="T177" s="345" t="n">
        <v>9</v>
      </c>
      <c r="V177" s="216">
        <f>UPPER(A177&amp;" "&amp;B177&amp;" "&amp;D177&amp;" "&amp;E177&amp;" "&amp;F177&amp;" "&amp;G177&amp;" "&amp;H177&amp;" "&amp;I177&amp;" "&amp;J177)</f>
        <v/>
      </c>
      <c r="W177" s="216">
        <f>IF(AND('TRA CỨU TỔNG HỢP'!$B$3&lt;&gt;"",ISNUMBER(SEARCH('TRA CỨU TỔNG HỢP'!$B$3,V177))),MAX($W$3:W176)+1,"")</f>
        <v/>
      </c>
    </row>
    <row r="178" ht="15" customHeight="1" s="217">
      <c r="A178" s="347" t="inlineStr">
        <is>
          <t xml:space="preserve">  └─ FORD</t>
        </is>
      </c>
      <c r="B178" s="348" t="inlineStr">
        <is>
          <t>HH080492</t>
        </is>
      </c>
      <c r="C178" s="349" t="inlineStr">
        <is>
          <t>Garrett</t>
        </is>
      </c>
      <c r="D178" s="349" t="inlineStr">
        <is>
          <t>GTD2056VZK</t>
        </is>
      </c>
      <c r="E178" s="349" t="inlineStr">
        <is>
          <t>2.2 Duratorq TDCi</t>
        </is>
      </c>
      <c r="F178" s="350"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8" s="349" t="inlineStr">
        <is>
          <t>cổ sò gió có ren mờ</t>
        </is>
      </c>
      <c r="H178" s="349" t="inlineStr">
        <is>
          <t>EURO 6</t>
        </is>
      </c>
      <c r="I178" s="349" t="n"/>
      <c r="J178" s="351" t="inlineStr">
        <is>
          <t>SL</t>
        </is>
      </c>
      <c r="K178" s="352" t="n"/>
      <c r="L178" s="352" t="n"/>
      <c r="M178" s="352" t="n"/>
      <c r="N178" s="352">
        <f>IF(M178="","",M178*1.1)</f>
        <v/>
      </c>
      <c r="O178" s="353" t="n">
        <v>57.9</v>
      </c>
      <c r="P178" s="353" t="n">
        <v>38</v>
      </c>
      <c r="Q178" s="353" t="inlineStr">
        <is>
          <t>9</t>
        </is>
      </c>
      <c r="R178" s="353" t="n">
        <v>47</v>
      </c>
      <c r="S178" s="353" t="n">
        <v>43</v>
      </c>
      <c r="T178" s="353" t="n">
        <v>9</v>
      </c>
      <c r="V178" s="216">
        <f>UPPER(A178&amp;" "&amp;B178&amp;" "&amp;D178&amp;" "&amp;E178&amp;" "&amp;F178&amp;" "&amp;G178&amp;" "&amp;H178&amp;" "&amp;I178&amp;" "&amp;J178)</f>
        <v/>
      </c>
      <c r="W178" s="216">
        <f>IF(AND('TRA CỨU TỔNG HỢP'!$B$3&lt;&gt;"",ISNUMBER(SEARCH('TRA CỨU TỔNG HỢP'!$B$3,V178))),MAX($W$3:W177)+1,"")</f>
        <v/>
      </c>
    </row>
    <row r="179" ht="15" customHeight="1" s="217">
      <c r="A179" s="347" t="inlineStr">
        <is>
          <t xml:space="preserve">  └─ FORD</t>
        </is>
      </c>
      <c r="B179" s="348" t="inlineStr">
        <is>
          <t>HH082047</t>
        </is>
      </c>
      <c r="C179" s="349" t="inlineStr">
        <is>
          <t>Garrett</t>
        </is>
      </c>
      <c r="D179" s="349" t="inlineStr">
        <is>
          <t>GTD2056VZK</t>
        </is>
      </c>
      <c r="E179" s="349" t="inlineStr">
        <is>
          <t>2.2 Duratorq TDCi</t>
        </is>
      </c>
      <c r="F179" s="350"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9" s="349" t="inlineStr">
        <is>
          <t>cổ sò gió có ren mờ</t>
        </is>
      </c>
      <c r="H179" s="349" t="inlineStr">
        <is>
          <t>EURO 6</t>
        </is>
      </c>
      <c r="I179" s="349" t="n"/>
      <c r="J179" s="351" t="inlineStr">
        <is>
          <t>1599X</t>
        </is>
      </c>
      <c r="K179" s="352" t="n"/>
      <c r="L179" s="352" t="n"/>
      <c r="M179" s="352" t="n"/>
      <c r="N179" s="352">
        <f>IF(M179="","",M179*1.1)</f>
        <v/>
      </c>
      <c r="O179" s="353" t="n">
        <v>57.9</v>
      </c>
      <c r="P179" s="353" t="n">
        <v>38</v>
      </c>
      <c r="Q179" s="353" t="inlineStr">
        <is>
          <t>9</t>
        </is>
      </c>
      <c r="R179" s="353" t="n">
        <v>47</v>
      </c>
      <c r="S179" s="353" t="n">
        <v>43</v>
      </c>
      <c r="T179" s="353" t="n">
        <v>9</v>
      </c>
      <c r="V179" s="216">
        <f>UPPER(A179&amp;" "&amp;B179&amp;" "&amp;D179&amp;" "&amp;E179&amp;" "&amp;F179&amp;" "&amp;G179&amp;" "&amp;H179&amp;" "&amp;I179&amp;" "&amp;J179)</f>
        <v/>
      </c>
      <c r="W179" s="216">
        <f>IF(AND('TRA CỨU TỔNG HỢP'!$B$3&lt;&gt;"",ISNUMBER(SEARCH('TRA CỨU TỔNG HỢP'!$B$3,V179))),MAX($W$3:W178)+1,"")</f>
        <v/>
      </c>
    </row>
    <row r="180" ht="15" customHeight="1" s="217">
      <c r="A180" s="340" t="inlineStr">
        <is>
          <t>FORD</t>
        </is>
      </c>
      <c r="B180" s="341" t="inlineStr">
        <is>
          <t>HH082678</t>
        </is>
      </c>
      <c r="C180" s="340" t="inlineStr">
        <is>
          <t>Garrett</t>
        </is>
      </c>
      <c r="D180" s="340" t="inlineStr">
        <is>
          <t>GTD1449VKZ/GTD1449V</t>
        </is>
      </c>
      <c r="E180" s="340" t="inlineStr">
        <is>
          <t>2.2 Duratorq TDCi</t>
        </is>
      </c>
      <c r="F180" s="342" t="inlineStr">
        <is>
          <t>FB3Q6K682AB/FB3Q-6K682-AB/831157-0003
831157-0002/889938-0001
831157-5002S/889938-0001/831157-0006/889938-5001W/831157-0002/831157-5004S/831157-6/889938-1/831157-4/831157-5006S/831157-2/831157-0004/FB3Q6K682AC/1894010/FB3Q6K682AD/FB3Q-6K682-AD/2213392/FB3Q-6K682-AC/FB3Q-6K682-AB/FB3Q6K682AB/1886560/2420469</t>
        </is>
      </c>
      <c r="G180" s="373" t="inlineStr">
        <is>
          <t>điều tốc điện
dắt điện ở vị trí giữa</t>
        </is>
      </c>
      <c r="H180" s="373" t="inlineStr">
        <is>
          <t>Everest 2.2 / BT-50 – 2.2L &amp; 3.2L 
(Đời 2013 → 2018)</t>
        </is>
      </c>
      <c r="I180" s="340" t="n"/>
      <c r="J180" s="343" t="inlineStr">
        <is>
          <t>SL</t>
        </is>
      </c>
      <c r="K180" s="344" t="n"/>
      <c r="L180" s="344" t="n"/>
      <c r="M180" s="344" t="n"/>
      <c r="N180" s="344">
        <f>IF(M180="","",M180*1.1)</f>
        <v/>
      </c>
      <c r="O180" s="345" t="n">
        <v>50.85</v>
      </c>
      <c r="P180" s="345" t="n">
        <v>33.9</v>
      </c>
      <c r="Q180" s="345" t="n">
        <v>8</v>
      </c>
      <c r="R180" s="345" t="n">
        <v>39</v>
      </c>
      <c r="S180" s="345" t="n">
        <v>35.8</v>
      </c>
      <c r="T180" s="345" t="n">
        <v>9</v>
      </c>
      <c r="V180" s="346">
        <f>UPPER(A180&amp;" "&amp;B180&amp;" "&amp;D180&amp;" "&amp;E180&amp;" "&amp;F180&amp;" "&amp;G180&amp;" "&amp;H180&amp;" "&amp;I180&amp;" "&amp;J180)</f>
        <v/>
      </c>
      <c r="W180" s="216">
        <f>IF(AND('TRA CỨU TỔNG HỢP'!$B$3&lt;&gt;"",ISNUMBER(SEARCH('TRA CỨU TỔNG HỢP'!$B$3,V180))),MAX($W$3:W179)+1,"")</f>
        <v/>
      </c>
    </row>
    <row r="181" ht="15" customHeight="1" s="217">
      <c r="A181" s="347" t="inlineStr">
        <is>
          <t xml:space="preserve">  └─ FORD</t>
        </is>
      </c>
      <c r="B181" s="348" t="inlineStr">
        <is>
          <t>HH082084</t>
        </is>
      </c>
      <c r="C181" s="349" t="inlineStr">
        <is>
          <t>Garrett</t>
        </is>
      </c>
      <c r="D181" s="349" t="inlineStr">
        <is>
          <t>GTD1449VKZ/GTD1449V</t>
        </is>
      </c>
      <c r="E181" s="349" t="inlineStr">
        <is>
          <t>2.2 Duratorq TDCi</t>
        </is>
      </c>
      <c r="F181" s="350" t="inlineStr">
        <is>
          <t>FB3Q6K682AB/FB3Q-6K682-AB/831157-0003
831157-0002/889938-0001
831157-5002S/889938-0001/831157-0006/889938-5001W/831157-0002/831157-5004S/831157-6/889938-1/831157-4/831157-5006S/831157-2/831157-0004/FB3Q6K682AC/1894010/FB3Q6K682AD/FB3Q-6K682-AD/2213392/FB3Q-6K682-AC/FB3Q-6K682-AB/FB3Q6K682AB/1886560/2420469</t>
        </is>
      </c>
      <c r="G181" s="374" t="inlineStr">
        <is>
          <t>điều tốc điện
dắt điện ở vị trí giữa</t>
        </is>
      </c>
      <c r="H181" s="374" t="inlineStr">
        <is>
          <t>Everest 2.2 / BT-50 – 2.2L &amp; 3.2L 
(Đời 2013 → 2018)</t>
        </is>
      </c>
      <c r="I181" s="349" t="n"/>
      <c r="J181" s="351" t="inlineStr">
        <is>
          <t>SL</t>
        </is>
      </c>
      <c r="K181" s="352" t="n"/>
      <c r="L181" s="352" t="n"/>
      <c r="M181" s="352" t="n"/>
      <c r="N181" s="352">
        <f>IF(M181="","",M181*1.1)</f>
        <v/>
      </c>
      <c r="O181" s="353" t="n">
        <v>50.85</v>
      </c>
      <c r="P181" s="353" t="n">
        <v>33.9</v>
      </c>
      <c r="Q181" s="353" t="n">
        <v>8</v>
      </c>
      <c r="R181" s="353" t="n">
        <v>39</v>
      </c>
      <c r="S181" s="353" t="n">
        <v>35.8</v>
      </c>
      <c r="T181" s="353" t="n">
        <v>9</v>
      </c>
      <c r="V181" s="346">
        <f>UPPER(A181&amp;" "&amp;B181&amp;" "&amp;D181&amp;" "&amp;E181&amp;" "&amp;F181&amp;" "&amp;G181&amp;" "&amp;H181&amp;" "&amp;I181&amp;" "&amp;J181)</f>
        <v/>
      </c>
      <c r="W181" s="216">
        <f>IF(AND('TRA CỨU TỔNG HỢP'!$B$3&lt;&gt;"",ISNUMBER(SEARCH('TRA CỨU TỔNG HỢP'!$B$3,V181))),MAX($W$3:W180)+1,"")</f>
        <v/>
      </c>
    </row>
    <row r="182" ht="15" customHeight="1" s="217">
      <c r="A182" s="340" t="inlineStr">
        <is>
          <t>FORD</t>
        </is>
      </c>
      <c r="B182" s="341" t="inlineStr">
        <is>
          <t>HH082803</t>
        </is>
      </c>
      <c r="C182" s="340" t="inlineStr">
        <is>
          <t>Garrett</t>
        </is>
      </c>
      <c r="D182" s="340" t="inlineStr">
        <is>
          <t>GTB1749VK</t>
        </is>
      </c>
      <c r="E182" s="340" t="inlineStr">
        <is>
          <t>FORD 2.2</t>
        </is>
      </c>
      <c r="F182" s="342"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2" s="340" t="inlineStr">
        <is>
          <t>dắt điện ở vĩ trí ngoài cùng</t>
        </is>
      </c>
      <c r="H182" s="373" t="inlineStr">
        <is>
          <t>Ranger 2.2 / BT50 2.2 (14 – 18)
Transit 2006 /2.2</t>
        </is>
      </c>
      <c r="I182" s="340" t="n"/>
      <c r="J182" s="343" t="inlineStr">
        <is>
          <t>0272</t>
        </is>
      </c>
      <c r="K182" s="344" t="n"/>
      <c r="L182" s="344" t="n"/>
      <c r="M182" s="344" t="n"/>
      <c r="N182" s="344">
        <f>IF(M182="","",M182*1.1)</f>
        <v/>
      </c>
      <c r="O182" s="345" t="n">
        <v>49</v>
      </c>
      <c r="P182" s="345" t="n">
        <v>34.6</v>
      </c>
      <c r="Q182" s="345" t="inlineStr">
        <is>
          <t>6/6</t>
        </is>
      </c>
      <c r="R182" s="345" t="n">
        <v>43</v>
      </c>
      <c r="S182" s="345" t="n">
        <v>38</v>
      </c>
      <c r="T182" s="345" t="n">
        <v>9</v>
      </c>
      <c r="V182" s="346">
        <f>UPPER(A182&amp;" "&amp;B182&amp;" "&amp;D182&amp;" "&amp;E182&amp;" "&amp;F182&amp;" "&amp;G182&amp;" "&amp;H182&amp;" "&amp;I182&amp;" "&amp;J182)</f>
        <v/>
      </c>
      <c r="W182" s="216">
        <f>IF(AND('TRA CỨU TỔNG HỢP'!$B$3&lt;&gt;"",ISNUMBER(SEARCH('TRA CỨU TỔNG HỢP'!$B$3,V182))),MAX($W$3:W181)+1,"")</f>
        <v/>
      </c>
    </row>
    <row r="183" ht="15" customHeight="1" s="217">
      <c r="A183" s="347" t="inlineStr">
        <is>
          <t xml:space="preserve">  └─ FORD</t>
        </is>
      </c>
      <c r="B183" s="348" t="inlineStr">
        <is>
          <t>HH083797</t>
        </is>
      </c>
      <c r="C183" s="349" t="inlineStr">
        <is>
          <t>Garrett</t>
        </is>
      </c>
      <c r="D183" s="349" t="inlineStr">
        <is>
          <t>GTB1749VK</t>
        </is>
      </c>
      <c r="E183" s="349" t="inlineStr">
        <is>
          <t>FORD 2.2</t>
        </is>
      </c>
      <c r="F183"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3" s="349" t="inlineStr">
        <is>
          <t>dắt điện ở vĩ trí ngoài cùng</t>
        </is>
      </c>
      <c r="H183" s="374" t="inlineStr">
        <is>
          <t>Ranger 2.2 / BT50 2.2 (14 – 18)
Transit 2006 /2.2</t>
        </is>
      </c>
      <c r="I183" s="349" t="n"/>
      <c r="J183" s="351" t="inlineStr">
        <is>
          <t>SL</t>
        </is>
      </c>
      <c r="K183" s="352" t="n"/>
      <c r="L183" s="352" t="n"/>
      <c r="M183" s="352" t="n"/>
      <c r="N183" s="352">
        <f>IF(M183="","",M183*1.1)</f>
        <v/>
      </c>
      <c r="O183" s="353" t="n">
        <v>49</v>
      </c>
      <c r="P183" s="353" t="n">
        <v>34.6</v>
      </c>
      <c r="Q183" s="353" t="inlineStr">
        <is>
          <t>6/6</t>
        </is>
      </c>
      <c r="R183" s="353" t="n">
        <v>43</v>
      </c>
      <c r="S183" s="353" t="n">
        <v>38</v>
      </c>
      <c r="T183" s="353" t="n">
        <v>9</v>
      </c>
      <c r="V183" s="346">
        <f>UPPER(A183&amp;" "&amp;B183&amp;" "&amp;D183&amp;" "&amp;E183&amp;" "&amp;F183&amp;" "&amp;G183&amp;" "&amp;H183&amp;" "&amp;I183&amp;" "&amp;J183)</f>
        <v/>
      </c>
      <c r="W183" s="216">
        <f>IF(AND('TRA CỨU TỔNG HỢP'!$B$3&lt;&gt;"",ISNUMBER(SEARCH('TRA CỨU TỔNG HỢP'!$B$3,V183))),MAX($W$3:W182)+1,"")</f>
        <v/>
      </c>
    </row>
    <row r="184" ht="15" customHeight="1" s="217">
      <c r="A184" s="347" t="inlineStr">
        <is>
          <t xml:space="preserve">  └─ FORD</t>
        </is>
      </c>
      <c r="B184" s="348" t="inlineStr">
        <is>
          <t>HH082677</t>
        </is>
      </c>
      <c r="C184" s="349" t="inlineStr">
        <is>
          <t>Garrett</t>
        </is>
      </c>
      <c r="D184" s="349" t="inlineStr">
        <is>
          <t>GTB1749VK</t>
        </is>
      </c>
      <c r="E184" s="349" t="inlineStr">
        <is>
          <t>FORD 2.2</t>
        </is>
      </c>
      <c r="F184"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4" s="349" t="inlineStr">
        <is>
          <t>dắt điện ở vĩ trí ngoài cùng</t>
        </is>
      </c>
      <c r="H184" s="374" t="inlineStr">
        <is>
          <t>Ranger 2.2 / BT50 2.2 (14 – 18)
Transit 2006 /2.2</t>
        </is>
      </c>
      <c r="I184" s="349" t="n"/>
      <c r="J184" s="351" t="inlineStr">
        <is>
          <t>SL</t>
        </is>
      </c>
      <c r="K184" s="352" t="n"/>
      <c r="L184" s="352" t="n"/>
      <c r="M184" s="352" t="n"/>
      <c r="N184" s="352">
        <f>IF(M184="","",M184*1.1)</f>
        <v/>
      </c>
      <c r="O184" s="353" t="n">
        <v>49</v>
      </c>
      <c r="P184" s="353" t="n">
        <v>34.6</v>
      </c>
      <c r="Q184" s="353" t="inlineStr">
        <is>
          <t>6/6</t>
        </is>
      </c>
      <c r="R184" s="353" t="n">
        <v>43</v>
      </c>
      <c r="S184" s="353" t="n">
        <v>38</v>
      </c>
      <c r="T184" s="353" t="n">
        <v>9</v>
      </c>
      <c r="V184" s="346">
        <f>UPPER(A184&amp;" "&amp;B184&amp;" "&amp;D184&amp;" "&amp;E184&amp;" "&amp;F184&amp;" "&amp;G184&amp;" "&amp;H184&amp;" "&amp;I184&amp;" "&amp;J184)</f>
        <v/>
      </c>
      <c r="W184" s="216">
        <f>IF(AND('TRA CỨU TỔNG HỢP'!$B$3&lt;&gt;"",ISNUMBER(SEARCH('TRA CỨU TỔNG HỢP'!$B$3,V184))),MAX($W$3:W183)+1,"")</f>
        <v/>
      </c>
    </row>
    <row r="185" ht="15" customHeight="1" s="217">
      <c r="A185" s="347" t="inlineStr">
        <is>
          <t xml:space="preserve">  └─ FORD</t>
        </is>
      </c>
      <c r="B185" s="348" t="inlineStr">
        <is>
          <t>HH080731</t>
        </is>
      </c>
      <c r="C185" s="349" t="inlineStr">
        <is>
          <t>Garrett</t>
        </is>
      </c>
      <c r="D185" s="349" t="inlineStr">
        <is>
          <t>GTB1749VK</t>
        </is>
      </c>
      <c r="E185" s="349" t="inlineStr">
        <is>
          <t>FORD 2.2</t>
        </is>
      </c>
      <c r="F185"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5" s="349" t="inlineStr">
        <is>
          <t>dắt điện ở vĩ trí ngoài cùng</t>
        </is>
      </c>
      <c r="H185" s="374" t="inlineStr">
        <is>
          <t>Ranger 2.2 / BT50 2.2 (14 – 18)
Transit 2006 /2.2</t>
        </is>
      </c>
      <c r="I185" s="349" t="n"/>
      <c r="J185" s="351" t="inlineStr">
        <is>
          <t>SL</t>
        </is>
      </c>
      <c r="K185" s="352" t="n"/>
      <c r="L185" s="352" t="n"/>
      <c r="M185" s="352" t="n"/>
      <c r="N185" s="352">
        <f>IF(M185="","",M185*1.1)</f>
        <v/>
      </c>
      <c r="O185" s="353" t="n">
        <v>49</v>
      </c>
      <c r="P185" s="353" t="n">
        <v>34.6</v>
      </c>
      <c r="Q185" s="353" t="inlineStr">
        <is>
          <t>6/6</t>
        </is>
      </c>
      <c r="R185" s="353" t="n">
        <v>43</v>
      </c>
      <c r="S185" s="353" t="n">
        <v>38</v>
      </c>
      <c r="T185" s="353" t="n">
        <v>9</v>
      </c>
      <c r="V185" s="346">
        <f>UPPER(A185&amp;" "&amp;B185&amp;" "&amp;D185&amp;" "&amp;E185&amp;" "&amp;F185&amp;" "&amp;G185&amp;" "&amp;H185&amp;" "&amp;I185&amp;" "&amp;J185)</f>
        <v/>
      </c>
      <c r="W185" s="216">
        <f>IF(AND('TRA CỨU TỔNG HỢP'!$B$3&lt;&gt;"",ISNUMBER(SEARCH('TRA CỨU TỔNG HỢP'!$B$3,V185))),MAX($W$3:W184)+1,"")</f>
        <v/>
      </c>
    </row>
    <row r="186" ht="15" customHeight="1" s="217">
      <c r="A186" s="347" t="inlineStr">
        <is>
          <t xml:space="preserve">  └─ FORD</t>
        </is>
      </c>
      <c r="B186" s="348" t="inlineStr">
        <is>
          <t>HH0625</t>
        </is>
      </c>
      <c r="C186" s="349" t="inlineStr">
        <is>
          <t>Garrett</t>
        </is>
      </c>
      <c r="D186" s="349" t="inlineStr">
        <is>
          <t>GTB1749VK</t>
        </is>
      </c>
      <c r="E186" s="349" t="inlineStr">
        <is>
          <t>FORD 2.2</t>
        </is>
      </c>
      <c r="F186"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6" s="349" t="inlineStr">
        <is>
          <t>dắt điện ở vĩ trí ngoài cùng</t>
        </is>
      </c>
      <c r="H186" s="374" t="inlineStr">
        <is>
          <t>Ranger 2.2 / BT50 2.2 (14 – 18)
Transit 2006 /2.2</t>
        </is>
      </c>
      <c r="I186" s="349" t="n"/>
      <c r="J186" s="351" t="inlineStr">
        <is>
          <t>SL</t>
        </is>
      </c>
      <c r="K186" s="352" t="n"/>
      <c r="L186" s="352" t="n"/>
      <c r="M186" s="352" t="n"/>
      <c r="N186" s="352">
        <f>IF(M186="","",M186*1.1)</f>
        <v/>
      </c>
      <c r="O186" s="353" t="n">
        <v>49</v>
      </c>
      <c r="P186" s="353" t="n">
        <v>34.6</v>
      </c>
      <c r="Q186" s="353" t="inlineStr">
        <is>
          <t>6/6</t>
        </is>
      </c>
      <c r="R186" s="353" t="n">
        <v>43</v>
      </c>
      <c r="S186" s="353" t="n">
        <v>38</v>
      </c>
      <c r="T186" s="353" t="n">
        <v>9</v>
      </c>
      <c r="V186" s="346">
        <f>UPPER(A186&amp;" "&amp;B186&amp;" "&amp;D186&amp;" "&amp;E186&amp;" "&amp;F186&amp;" "&amp;G186&amp;" "&amp;H186&amp;" "&amp;I186&amp;" "&amp;J186)</f>
        <v/>
      </c>
      <c r="W186" s="216">
        <f>IF(AND('TRA CỨU TỔNG HỢP'!$B$3&lt;&gt;"",ISNUMBER(SEARCH('TRA CỨU TỔNG HỢP'!$B$3,V186))),MAX($W$3:W185)+1,"")</f>
        <v/>
      </c>
    </row>
    <row r="187" ht="15" customHeight="1" s="217">
      <c r="A187" s="340" t="inlineStr">
        <is>
          <t>FORD</t>
        </is>
      </c>
      <c r="B187" s="341" t="inlineStr">
        <is>
          <t>HH078869</t>
        </is>
      </c>
      <c r="C187" s="340" t="inlineStr">
        <is>
          <t>Garrett</t>
        </is>
      </c>
      <c r="D187" s="340" t="inlineStr">
        <is>
          <t>GTB2256VK</t>
        </is>
      </c>
      <c r="E187" s="340" t="inlineStr">
        <is>
          <t>P5AT</t>
        </is>
      </c>
      <c r="F187" s="342" t="inlineStr">
        <is>
          <t>BK3Q6K682AB/812971-0002
BK3Q-6K682-AB/BK3Q-6K682-AC
BK3Q-6K682-RB/BK3Q-6K682-RC
812971/798166-5007S/812971-0002 | 812971-0006 | 812971-2 | 812971-6 | 812971-5002S | 812971-5006S | 798166-0007 | 798166-7 | 798166-5007S | BK3Q6K682AB | BK3Q6K682AC | BK3Q6K682RC | BK3Q-6K682-AB | BK3Q-6K682-AC | BK3Q-6K682-RC | B5254T3</t>
        </is>
      </c>
      <c r="G187" s="340" t="inlineStr">
        <is>
          <t>dắt điện ở vĩ trí ngoài cùng</t>
        </is>
      </c>
      <c r="H187" s="373" t="inlineStr">
        <is>
          <t>Wildtrak / XLS / XLT – 2.2L &amp; 3.2L
Everest – 2.2L &amp; 3.2L (Đời 2016 → 2018)
 BT-50 – 2.2L &amp; 3.2L (Đời 2013 → 2018)</t>
        </is>
      </c>
      <c r="I187" s="340" t="n"/>
      <c r="J187" s="343" t="inlineStr">
        <is>
          <t>SL</t>
        </is>
      </c>
      <c r="K187" s="344" t="n"/>
      <c r="L187" s="344" t="n"/>
      <c r="M187" s="344" t="n"/>
      <c r="N187" s="344">
        <f>IF(M187="","",M187*1.1)</f>
        <v/>
      </c>
      <c r="O187" s="345" t="n">
        <v>56</v>
      </c>
      <c r="P187" s="345" t="n">
        <v>39.6</v>
      </c>
      <c r="Q187" s="345" t="inlineStr">
        <is>
          <t>6/6</t>
        </is>
      </c>
      <c r="R187" s="345" t="n">
        <v>50</v>
      </c>
      <c r="S187" s="345" t="n">
        <v>43</v>
      </c>
      <c r="T187" s="345" t="n">
        <v>9</v>
      </c>
      <c r="V187" s="346">
        <f>UPPER(A187&amp;" "&amp;B187&amp;" "&amp;D187&amp;" "&amp;E187&amp;" "&amp;F187&amp;" "&amp;G187&amp;" "&amp;H187&amp;" "&amp;I187&amp;" "&amp;J187)</f>
        <v/>
      </c>
      <c r="W187" s="216">
        <f>IF(AND('TRA CỨU TỔNG HỢP'!$B$3&lt;&gt;"",ISNUMBER(SEARCH('TRA CỨU TỔNG HỢP'!$B$3,V187))),MAX($W$3:W186)+1,"")</f>
        <v/>
      </c>
    </row>
    <row r="188" ht="15" customHeight="1" s="217">
      <c r="A188" s="347" t="inlineStr">
        <is>
          <t xml:space="preserve">  └─ FORD</t>
        </is>
      </c>
      <c r="B188" s="348" t="inlineStr">
        <is>
          <t>HH078870</t>
        </is>
      </c>
      <c r="C188" s="349" t="inlineStr">
        <is>
          <t>Garrett</t>
        </is>
      </c>
      <c r="D188" s="349" t="inlineStr">
        <is>
          <t>GTB2256VK</t>
        </is>
      </c>
      <c r="E188" s="349" t="inlineStr">
        <is>
          <t>P5AT</t>
        </is>
      </c>
      <c r="F188" s="350" t="inlineStr">
        <is>
          <t>BK3Q6K682AB/812971-0002
BK3Q-6K682-AB/BK3Q-6K682-AC
BK3Q-6K682-RB/BK3Q-6K682-RC
812971/798166-5007S/812971-0002 | 812971-0006 | 812971-2 | 812971-6 | 812971-5002S | 812971-5006S | 798166-0007 | 798166-7 | 798166-5007S | BK3Q6K682AB | BK3Q6K682AC | BK3Q6K682RC | BK3Q-6K682-AB | BK3Q-6K682-AC | BK3Q-6K682-RC | B5254T3</t>
        </is>
      </c>
      <c r="G188" s="349" t="inlineStr">
        <is>
          <t>dắt điện ở vĩ trí ngoài cùng</t>
        </is>
      </c>
      <c r="H188" s="374" t="inlineStr">
        <is>
          <t>Wildtrak / XLS / XLT – 2.2L &amp; 3.2L
Everest – 2.2L &amp; 3.2L (Đời 2016 → 2018)
 BT-50 – 2.2L &amp; 3.2L (Đời 2013 → 2018)</t>
        </is>
      </c>
      <c r="I188" s="349" t="n"/>
      <c r="J188" s="351" t="inlineStr">
        <is>
          <t>SL</t>
        </is>
      </c>
      <c r="K188" s="352" t="n"/>
      <c r="L188" s="352" t="n"/>
      <c r="M188" s="352" t="n"/>
      <c r="N188" s="352">
        <f>IF(M188="","",M188*1.1)</f>
        <v/>
      </c>
      <c r="O188" s="353" t="n">
        <v>56</v>
      </c>
      <c r="P188" s="353" t="n">
        <v>39.6</v>
      </c>
      <c r="Q188" s="353" t="inlineStr">
        <is>
          <t>6/6</t>
        </is>
      </c>
      <c r="R188" s="353" t="n">
        <v>50</v>
      </c>
      <c r="S188" s="353" t="n">
        <v>43</v>
      </c>
      <c r="T188" s="353" t="n">
        <v>9</v>
      </c>
      <c r="V188" s="346">
        <f>UPPER(A188&amp;" "&amp;B188&amp;" "&amp;D188&amp;" "&amp;E188&amp;" "&amp;F188&amp;" "&amp;G188&amp;" "&amp;H188&amp;" "&amp;I188&amp;" "&amp;J188)</f>
        <v/>
      </c>
      <c r="W188" s="216">
        <f>IF(AND('TRA CỨU TỔNG HỢP'!$B$3&lt;&gt;"",ISNUMBER(SEARCH('TRA CỨU TỔNG HỢP'!$B$3,V188))),MAX($W$3:W187)+1,"")</f>
        <v/>
      </c>
    </row>
    <row r="189" ht="15" customHeight="1" s="217">
      <c r="A189" s="360" t="inlineStr">
        <is>
          <t>FORD</t>
        </is>
      </c>
      <c r="B189" s="361" t="n"/>
      <c r="C189" s="360" t="inlineStr">
        <is>
          <t>IHI</t>
        </is>
      </c>
      <c r="D189" s="360" t="inlineStr">
        <is>
          <t>RHV4/VJ38</t>
        </is>
      </c>
      <c r="E189" s="360" t="inlineStr">
        <is>
          <t>WL/16V</t>
        </is>
      </c>
      <c r="F189" s="362" t="inlineStr">
        <is>
          <t>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t>
        </is>
      </c>
      <c r="G189" s="375" t="inlineStr">
        <is>
          <t>điều tốc cơ 
quay ngang cùng chiều sò gió</t>
        </is>
      </c>
      <c r="H189" s="375" t="inlineStr">
        <is>
          <t>Ranger /BT50 ( 2009-2012)
Everest 2.5</t>
        </is>
      </c>
      <c r="I189" s="360" t="inlineStr">
        <is>
          <t>check vin hoặc mã màu đỏ</t>
        </is>
      </c>
      <c r="J189" s="363" t="n"/>
      <c r="K189" s="364" t="n"/>
      <c r="L189" s="364" t="n"/>
      <c r="M189" s="364" t="n"/>
      <c r="N189" s="364" t="n"/>
      <c r="O189" s="365" t="n"/>
      <c r="P189" s="365" t="n"/>
      <c r="Q189" s="365" t="n"/>
      <c r="R189" s="365" t="n"/>
      <c r="S189" s="365" t="n"/>
      <c r="T189" s="365" t="n"/>
      <c r="V189" s="346">
        <f>UPPER(A189&amp;" "&amp;B189&amp;" "&amp;D189&amp;" "&amp;E189&amp;" "&amp;F189&amp;" "&amp;G189&amp;" "&amp;H189&amp;" "&amp;I189&amp;" "&amp;J189)</f>
        <v/>
      </c>
      <c r="W189" s="216">
        <f>IF(AND('TRA CỨU TỔNG HỢP'!$B$3&lt;&gt;"",ISNUMBER(SEARCH('TRA CỨU TỔNG HỢP'!$B$3,V189))),MAX($W$3:W188)+1,"")</f>
        <v/>
      </c>
    </row>
    <row r="190" ht="15" customHeight="1" s="217">
      <c r="A190" s="367" t="inlineStr">
        <is>
          <t>FORD</t>
        </is>
      </c>
      <c r="B190" s="368" t="n"/>
      <c r="C190" s="367" t="inlineStr">
        <is>
          <t>Mitsubishi</t>
        </is>
      </c>
      <c r="D190" s="367" t="inlineStr">
        <is>
          <t>TD03L4</t>
        </is>
      </c>
      <c r="E190" s="367" t="n"/>
      <c r="F190" s="369" t="inlineStr">
        <is>
          <t>BK3Q6K682NC/8M03-200-D11
BK3Q-6K682-NA/BK3Q6K682NB
49131-06320/49131-06300
49131-06340/BK3Q-6K682-NC
2030487/BK3Q6K682NA/ 49131-06300 | 49131-06320 | 49131-06340 | 2030487 | 1206120236 | BK3Q-6K682-NA | BK3Q-6K682-NB | BK3Q-6K682-NC</t>
        </is>
      </c>
      <c r="G190" s="367" t="inlineStr">
        <is>
          <t>dắt cắm điều tốc trên đỉnh hình tam giác</t>
        </is>
      </c>
      <c r="H190" s="376" t="inlineStr">
        <is>
          <t>Ford Ranger 2.2 2012 – 2016 / Everest – 2.2L &amp; 3.2L ( 2016 → 2018)
Ranger 2.2/ BT50 2.2 ( 2013 - 2014)</t>
        </is>
      </c>
      <c r="I190" s="367" t="n"/>
      <c r="J190" s="370" t="n"/>
      <c r="K190" s="371" t="n"/>
      <c r="L190" s="371" t="n"/>
      <c r="M190" s="371" t="n"/>
      <c r="N190" s="371" t="n"/>
      <c r="O190" s="372" t="n">
        <v>44</v>
      </c>
      <c r="P190" s="372" t="n">
        <v>35.1</v>
      </c>
      <c r="Q190" s="372" t="inlineStr">
        <is>
          <t>6/6</t>
        </is>
      </c>
      <c r="R190" s="372" t="n">
        <v>40.2</v>
      </c>
      <c r="S190" s="372" t="n">
        <v>35.1</v>
      </c>
      <c r="T190" s="372" t="n">
        <v>11</v>
      </c>
      <c r="V190" s="346">
        <f>UPPER(A190&amp;" "&amp;B190&amp;" "&amp;D190&amp;" "&amp;E190&amp;" "&amp;F190&amp;" "&amp;G190&amp;" "&amp;H190&amp;" "&amp;I190&amp;" "&amp;J190)</f>
        <v/>
      </c>
      <c r="W190" s="216">
        <f>IF(AND('TRA CỨU TỔNG HỢP'!$B$3&lt;&gt;"",ISNUMBER(SEARCH('TRA CỨU TỔNG HỢP'!$B$3,V190))),MAX($W$3:W189)+1,"")</f>
        <v/>
      </c>
    </row>
    <row r="191" ht="15" customHeight="1" s="217">
      <c r="A191" s="340" t="inlineStr">
        <is>
          <t>FORD</t>
        </is>
      </c>
      <c r="B191" s="341" t="inlineStr">
        <is>
          <t>HH083830</t>
        </is>
      </c>
      <c r="C191" s="340" t="inlineStr">
        <is>
          <t>BorgWarner</t>
        </is>
      </c>
      <c r="D191" s="340" t="inlineStr">
        <is>
          <t>BW027-1/</t>
        </is>
      </c>
      <c r="E191" s="340" t="n"/>
      <c r="F191" s="342" t="inlineStr">
        <is>
          <t>JB3Q-96438-AA/1853-970-0058/25082006-066
mã đang check theo gemini ( JB3Q-9G438-AA/JB3Z6K682F/JB3Z6K682B/JB3Z6K682D)</t>
        </is>
      </c>
      <c r="G191" s="340" t="inlineStr">
        <is>
          <t>Turbo riêng , điều tốc điện (loại to)</t>
        </is>
      </c>
      <c r="H191" s="340" t="inlineStr">
        <is>
          <t>Ford 2.0 Eco, 4x4, 2018</t>
        </is>
      </c>
      <c r="I191" s="340" t="inlineStr">
        <is>
          <t>turbo kép trong ford ranger 2,3 ( turbo bi) có hàng E&amp;E</t>
        </is>
      </c>
      <c r="J191" s="343" t="n"/>
      <c r="K191" s="344" t="n"/>
      <c r="L191" s="344" t="n"/>
      <c r="M191" s="344" t="n"/>
      <c r="N191" s="344">
        <f>IF(M191="","",M191*1.1)</f>
        <v/>
      </c>
      <c r="O191" s="345" t="n"/>
      <c r="P191" s="345" t="n"/>
      <c r="Q191" s="345" t="n"/>
      <c r="R191" s="345" t="n"/>
      <c r="S191" s="345" t="n"/>
      <c r="T191" s="345" t="n"/>
      <c r="V191" s="346">
        <f>UPPER(A191&amp;" "&amp;B191&amp;" "&amp;D191&amp;" "&amp;E191&amp;" "&amp;F191&amp;" "&amp;G191&amp;" "&amp;H191&amp;" "&amp;I191&amp;" "&amp;J191)</f>
        <v/>
      </c>
      <c r="W191" s="216">
        <f>IF(AND('TRA CỨU TỔNG HỢP'!$B$3&lt;&gt;"",ISNUMBER(SEARCH('TRA CỨU TỔNG HỢP'!$B$3,V191))),MAX($W$3:W190)+1,"")</f>
        <v/>
      </c>
    </row>
    <row r="192" ht="15" customHeight="1" s="217">
      <c r="A192" s="347" t="inlineStr">
        <is>
          <t xml:space="preserve">  └─ FORD</t>
        </is>
      </c>
      <c r="B192" s="348" t="inlineStr">
        <is>
          <t>HH083831</t>
        </is>
      </c>
      <c r="C192" s="349" t="inlineStr">
        <is>
          <t>BorgWarner</t>
        </is>
      </c>
      <c r="D192" s="349" t="inlineStr">
        <is>
          <t>BW027-1/</t>
        </is>
      </c>
      <c r="E192" s="349" t="n"/>
      <c r="F192" s="350" t="inlineStr">
        <is>
          <t>JB3Q-96438-AA/1853-970-0058/25082006-066
mã đang check theo gemini ( JB3Q-9G438-AA/JB3Z6K682F/JB3Z6K682B/JB3Z6K682D)</t>
        </is>
      </c>
      <c r="G192" s="349" t="inlineStr">
        <is>
          <t>Turbo riêng , điều tốc điện (loại to)</t>
        </is>
      </c>
      <c r="H192" s="349" t="inlineStr">
        <is>
          <t>Ford 2.0 Eco, 4x4, 2018</t>
        </is>
      </c>
      <c r="I192" s="349" t="inlineStr">
        <is>
          <t>turbo kép trong ford ranger 2,3 ( turbo bi) có hàng E&amp;E</t>
        </is>
      </c>
      <c r="J192" s="351" t="n"/>
      <c r="K192" s="352" t="n"/>
      <c r="L192" s="352" t="n"/>
      <c r="M192" s="352" t="n"/>
      <c r="N192" s="352">
        <f>IF(M192="","",M192*1.1)</f>
        <v/>
      </c>
      <c r="O192" s="353" t="n"/>
      <c r="P192" s="353" t="n"/>
      <c r="Q192" s="353" t="n"/>
      <c r="R192" s="353" t="n"/>
      <c r="S192" s="353" t="n"/>
      <c r="T192" s="353" t="n"/>
      <c r="V192" s="346">
        <f>UPPER(A192&amp;" "&amp;B192&amp;" "&amp;D192&amp;" "&amp;E192&amp;" "&amp;F192&amp;" "&amp;G192&amp;" "&amp;H192&amp;" "&amp;I192&amp;" "&amp;J192)</f>
        <v/>
      </c>
      <c r="W192" s="216">
        <f>IF(AND('TRA CỨU TỔNG HỢP'!$B$3&lt;&gt;"",ISNUMBER(SEARCH('TRA CỨU TỔNG HỢP'!$B$3,V192))),MAX($W$3:W191)+1,"")</f>
        <v/>
      </c>
    </row>
    <row r="193" ht="15" customHeight="1" s="217">
      <c r="A193" s="347" t="inlineStr">
        <is>
          <t xml:space="preserve">  └─ FORD</t>
        </is>
      </c>
      <c r="B193" s="348" t="inlineStr">
        <is>
          <t>HH083832</t>
        </is>
      </c>
      <c r="C193" s="349" t="inlineStr">
        <is>
          <t>BorgWarner</t>
        </is>
      </c>
      <c r="D193" s="349" t="inlineStr">
        <is>
          <t>BW027-1/</t>
        </is>
      </c>
      <c r="E193" s="349" t="n"/>
      <c r="F193" s="350" t="inlineStr">
        <is>
          <t>JB3Q-96438-AA/1853-970-0058/25082006-066
mã đang check theo gemini ( JB3Q-9G438-AA/JB3Z6K682F/JB3Z6K682B/JB3Z6K682D)</t>
        </is>
      </c>
      <c r="G193" s="349" t="inlineStr">
        <is>
          <t>Turbo riêng , điều tốc điện (loại to)</t>
        </is>
      </c>
      <c r="H193" s="349" t="inlineStr">
        <is>
          <t>Ford 2.0 Eco, 4x4, 2018</t>
        </is>
      </c>
      <c r="I193" s="349" t="inlineStr">
        <is>
          <t>turbo kép trong ford ranger 2,3 ( turbo bi) có hàng E&amp;E</t>
        </is>
      </c>
      <c r="J193" s="351" t="n"/>
      <c r="K193" s="352" t="n"/>
      <c r="L193" s="352" t="n"/>
      <c r="M193" s="352" t="n"/>
      <c r="N193" s="352">
        <f>IF(M193="","",M193*1.1)</f>
        <v/>
      </c>
      <c r="O193" s="353" t="n"/>
      <c r="P193" s="353" t="n"/>
      <c r="Q193" s="353" t="n"/>
      <c r="R193" s="353" t="n"/>
      <c r="S193" s="353" t="n"/>
      <c r="T193" s="353" t="n"/>
      <c r="V193" s="346">
        <f>UPPER(A193&amp;" "&amp;B193&amp;" "&amp;D193&amp;" "&amp;E193&amp;" "&amp;F193&amp;" "&amp;G193&amp;" "&amp;H193&amp;" "&amp;I193&amp;" "&amp;J193)</f>
        <v/>
      </c>
      <c r="W193" s="216">
        <f>IF(AND('TRA CỨU TỔNG HỢP'!$B$3&lt;&gt;"",ISNUMBER(SEARCH('TRA CỨU TỔNG HỢP'!$B$3,V193))),MAX($W$3:W192)+1,"")</f>
        <v/>
      </c>
    </row>
    <row r="194" ht="15" customHeight="1" s="217">
      <c r="A194" s="347" t="inlineStr">
        <is>
          <t xml:space="preserve">  └─ FORD</t>
        </is>
      </c>
      <c r="B194" s="348" t="inlineStr">
        <is>
          <t>HH083833</t>
        </is>
      </c>
      <c r="C194" s="349" t="inlineStr">
        <is>
          <t>BorgWarner</t>
        </is>
      </c>
      <c r="D194" s="349" t="inlineStr">
        <is>
          <t>BW027-1/</t>
        </is>
      </c>
      <c r="E194" s="349" t="n"/>
      <c r="F194" s="350" t="inlineStr">
        <is>
          <t>JB3Q-96438-AA/1853-970-0058/25082006-066
mã đang check theo gemini ( JB3Q-9G438-AA/JB3Z6K682F/JB3Z6K682B/JB3Z6K682D)</t>
        </is>
      </c>
      <c r="G194" s="349" t="inlineStr">
        <is>
          <t>Turbo riêng , điều tốc điện (loại to)</t>
        </is>
      </c>
      <c r="H194" s="349" t="inlineStr">
        <is>
          <t>Ford 2.0 Eco, 4x4, 2018</t>
        </is>
      </c>
      <c r="I194" s="349" t="inlineStr">
        <is>
          <t>turbo kép trong ford ranger 2,3 ( turbo bi) có hàng E&amp;E</t>
        </is>
      </c>
      <c r="J194" s="351" t="n"/>
      <c r="K194" s="352" t="n"/>
      <c r="L194" s="352" t="n"/>
      <c r="M194" s="352" t="n"/>
      <c r="N194" s="352">
        <f>IF(M194="","",M194*1.1)</f>
        <v/>
      </c>
      <c r="O194" s="353" t="n"/>
      <c r="P194" s="353" t="n"/>
      <c r="Q194" s="353" t="n"/>
      <c r="R194" s="353" t="n"/>
      <c r="S194" s="353" t="n"/>
      <c r="T194" s="353" t="n"/>
      <c r="V194" s="346">
        <f>UPPER(A194&amp;" "&amp;B194&amp;" "&amp;D194&amp;" "&amp;E194&amp;" "&amp;F194&amp;" "&amp;G194&amp;" "&amp;H194&amp;" "&amp;I194&amp;" "&amp;J194)</f>
        <v/>
      </c>
      <c r="W194" s="216">
        <f>IF(AND('TRA CỨU TỔNG HỢP'!$B$3&lt;&gt;"",ISNUMBER(SEARCH('TRA CỨU TỔNG HỢP'!$B$3,V194))),MAX($W$3:W193)+1,"")</f>
        <v/>
      </c>
    </row>
    <row r="195" ht="15" customHeight="1" s="217">
      <c r="A195" s="340" t="inlineStr">
        <is>
          <t>FORD</t>
        </is>
      </c>
      <c r="B195" s="341" t="inlineStr">
        <is>
          <t>HH083830</t>
        </is>
      </c>
      <c r="C195" s="340" t="inlineStr">
        <is>
          <t>BorgWarner</t>
        </is>
      </c>
      <c r="D195" s="340" t="inlineStr">
        <is>
          <t>BW027-2/B03G-RS2</t>
        </is>
      </c>
      <c r="E195" s="340" t="n"/>
      <c r="F195" s="342" t="inlineStr">
        <is>
          <t>JB3Q-96438-AA/1635-970-0030/B03G-RS2
mã đang check theo gemini ( JB3Q-9G438-AA/JB3Z6K682F/JB3Z6K682B/JB3Z6K682D)</t>
        </is>
      </c>
      <c r="G195" s="340" t="inlineStr">
        <is>
          <t>Turbo liền cổ xả ( loại bé)</t>
        </is>
      </c>
      <c r="H195" s="340" t="inlineStr">
        <is>
          <t>Ford 2.0 Eco, 4x4, 2018</t>
        </is>
      </c>
      <c r="I195" s="340" t="inlineStr">
        <is>
          <t>turbo kép trong ford ranger 2,4 ( turbo bi) có hàng E&amp;E</t>
        </is>
      </c>
      <c r="J195" s="343" t="n"/>
      <c r="K195" s="344" t="n"/>
      <c r="L195" s="344" t="n"/>
      <c r="M195" s="344" t="n"/>
      <c r="N195" s="344">
        <f>IF(M195="","",M195*1.1)</f>
        <v/>
      </c>
      <c r="O195" s="345" t="n"/>
      <c r="P195" s="345" t="n"/>
      <c r="Q195" s="345" t="n"/>
      <c r="R195" s="345" t="n"/>
      <c r="S195" s="345" t="n"/>
      <c r="T195" s="345" t="n"/>
      <c r="V195" s="346">
        <f>UPPER(A195&amp;" "&amp;B195&amp;" "&amp;D195&amp;" "&amp;E195&amp;" "&amp;F195&amp;" "&amp;G195&amp;" "&amp;H195&amp;" "&amp;I195&amp;" "&amp;J195)</f>
        <v/>
      </c>
      <c r="W195" s="216">
        <f>IF(AND('TRA CỨU TỔNG HỢP'!$B$3&lt;&gt;"",ISNUMBER(SEARCH('TRA CỨU TỔNG HỢP'!$B$3,V195))),MAX($W$3:W194)+1,"")</f>
        <v/>
      </c>
    </row>
    <row r="196" ht="15" customHeight="1" s="217">
      <c r="A196" s="347" t="inlineStr">
        <is>
          <t xml:space="preserve">  └─ FORD</t>
        </is>
      </c>
      <c r="B196" s="348" t="inlineStr">
        <is>
          <t>HH083831</t>
        </is>
      </c>
      <c r="C196" s="349" t="inlineStr">
        <is>
          <t>BorgWarner</t>
        </is>
      </c>
      <c r="D196" s="349" t="inlineStr">
        <is>
          <t>BW027-2/B03G-RS2</t>
        </is>
      </c>
      <c r="E196" s="349" t="n"/>
      <c r="F196" s="350" t="inlineStr">
        <is>
          <t>JB3Q-96438-AA/1635-970-0030/B03G-RS2
mã đang check theo gemini ( JB3Q-9G438-AA/JB3Z6K682F/JB3Z6K682B/JB3Z6K682D)</t>
        </is>
      </c>
      <c r="G196" s="349" t="inlineStr">
        <is>
          <t>Turbo liền cổ xả ( loại bé)</t>
        </is>
      </c>
      <c r="H196" s="349" t="inlineStr">
        <is>
          <t>Ford 2.0 Eco, 4x4, 2018</t>
        </is>
      </c>
      <c r="I196" s="349" t="inlineStr">
        <is>
          <t>turbo kép trong ford ranger 2,4 ( turbo bi) có hàng E&amp;E</t>
        </is>
      </c>
      <c r="J196" s="351" t="n"/>
      <c r="K196" s="352" t="n"/>
      <c r="L196" s="352" t="n"/>
      <c r="M196" s="352" t="n"/>
      <c r="N196" s="352">
        <f>IF(M196="","",M196*1.1)</f>
        <v/>
      </c>
      <c r="O196" s="353" t="n"/>
      <c r="P196" s="353" t="n"/>
      <c r="Q196" s="353" t="n"/>
      <c r="R196" s="353" t="n"/>
      <c r="S196" s="353" t="n"/>
      <c r="T196" s="353" t="n"/>
      <c r="V196" s="346">
        <f>UPPER(A196&amp;" "&amp;B196&amp;" "&amp;D196&amp;" "&amp;E196&amp;" "&amp;F196&amp;" "&amp;G196&amp;" "&amp;H196&amp;" "&amp;I196&amp;" "&amp;J196)</f>
        <v/>
      </c>
      <c r="W196" s="216">
        <f>IF(AND('TRA CỨU TỔNG HỢP'!$B$3&lt;&gt;"",ISNUMBER(SEARCH('TRA CỨU TỔNG HỢP'!$B$3,V196))),MAX($W$3:W195)+1,"")</f>
        <v/>
      </c>
    </row>
    <row r="197" ht="15" customHeight="1" s="217">
      <c r="A197" s="347" t="inlineStr">
        <is>
          <t xml:space="preserve">  └─ FORD</t>
        </is>
      </c>
      <c r="B197" s="348" t="inlineStr">
        <is>
          <t>HH083832</t>
        </is>
      </c>
      <c r="C197" s="349" t="inlineStr">
        <is>
          <t>BorgWarner</t>
        </is>
      </c>
      <c r="D197" s="349" t="inlineStr">
        <is>
          <t>BW027-2/B03G-RS2</t>
        </is>
      </c>
      <c r="E197" s="349" t="n"/>
      <c r="F197" s="350" t="inlineStr">
        <is>
          <t>JB3Q-96438-AA/1635-970-0030/B03G-RS2
mã đang check theo gemini ( JB3Q-9G438-AA/JB3Z6K682F/JB3Z6K682B/JB3Z6K682D)</t>
        </is>
      </c>
      <c r="G197" s="349" t="inlineStr">
        <is>
          <t>Turbo liền cổ xả ( loại bé)</t>
        </is>
      </c>
      <c r="H197" s="349" t="inlineStr">
        <is>
          <t>Ford 2.0 Eco, 4x4, 2018</t>
        </is>
      </c>
      <c r="I197" s="349" t="inlineStr">
        <is>
          <t>turbo kép trong ford ranger 2,4 ( turbo bi) có hàng E&amp;E</t>
        </is>
      </c>
      <c r="J197" s="351" t="n"/>
      <c r="K197" s="352" t="n"/>
      <c r="L197" s="352" t="n"/>
      <c r="M197" s="352" t="n"/>
      <c r="N197" s="352">
        <f>IF(M197="","",M197*1.1)</f>
        <v/>
      </c>
      <c r="O197" s="353" t="n"/>
      <c r="P197" s="353" t="n"/>
      <c r="Q197" s="353" t="n"/>
      <c r="R197" s="353" t="n"/>
      <c r="S197" s="353" t="n"/>
      <c r="T197" s="353" t="n"/>
      <c r="V197" s="346">
        <f>UPPER(A197&amp;" "&amp;B197&amp;" "&amp;D197&amp;" "&amp;E197&amp;" "&amp;F197&amp;" "&amp;G197&amp;" "&amp;H197&amp;" "&amp;I197&amp;" "&amp;J197)</f>
        <v/>
      </c>
      <c r="W197" s="216">
        <f>IF(AND('TRA CỨU TỔNG HỢP'!$B$3&lt;&gt;"",ISNUMBER(SEARCH('TRA CỨU TỔNG HỢP'!$B$3,V197))),MAX($W$3:W196)+1,"")</f>
        <v/>
      </c>
    </row>
    <row r="198" ht="15" customHeight="1" s="217">
      <c r="A198" s="347" t="inlineStr">
        <is>
          <t xml:space="preserve">  └─ FORD</t>
        </is>
      </c>
      <c r="B198" s="348" t="inlineStr">
        <is>
          <t>HH083833</t>
        </is>
      </c>
      <c r="C198" s="349" t="inlineStr">
        <is>
          <t>BorgWarner</t>
        </is>
      </c>
      <c r="D198" s="349" t="inlineStr">
        <is>
          <t>BW027-2/B03G-RS2</t>
        </is>
      </c>
      <c r="E198" s="349" t="n"/>
      <c r="F198" s="350" t="inlineStr">
        <is>
          <t>JB3Q-96438-AA/1635-970-0030/B03G-RS2
mã đang check theo gemini ( JB3Q-9G438-AA/JB3Z6K682F/JB3Z6K682B/JB3Z6K682D)</t>
        </is>
      </c>
      <c r="G198" s="349" t="inlineStr">
        <is>
          <t>Turbo liền cổ xả ( loại bé)</t>
        </is>
      </c>
      <c r="H198" s="349" t="inlineStr">
        <is>
          <t>Ford 2.0 Eco, 4x4, 2018</t>
        </is>
      </c>
      <c r="I198" s="349" t="inlineStr">
        <is>
          <t>turbo kép trong ford ranger 2,4 ( turbo bi) có hàng E&amp;E</t>
        </is>
      </c>
      <c r="J198" s="351" t="n"/>
      <c r="K198" s="352" t="n"/>
      <c r="L198" s="352" t="n"/>
      <c r="M198" s="352" t="n"/>
      <c r="N198" s="352">
        <f>IF(M198="","",M198*1.1)</f>
        <v/>
      </c>
      <c r="O198" s="353" t="n"/>
      <c r="P198" s="353" t="n"/>
      <c r="Q198" s="353" t="n"/>
      <c r="R198" s="353" t="n"/>
      <c r="S198" s="353" t="n"/>
      <c r="T198" s="353" t="n"/>
      <c r="V198" s="346">
        <f>UPPER(A198&amp;" "&amp;B198&amp;" "&amp;D198&amp;" "&amp;E198&amp;" "&amp;F198&amp;" "&amp;G198&amp;" "&amp;H198&amp;" "&amp;I198&amp;" "&amp;J198)</f>
        <v/>
      </c>
      <c r="W198" s="216">
        <f>IF(AND('TRA CỨU TỔNG HỢP'!$B$3&lt;&gt;"",ISNUMBER(SEARCH('TRA CỨU TỔNG HỢP'!$B$3,V198))),MAX($W$3:W197)+1,"")</f>
        <v/>
      </c>
    </row>
    <row r="199" ht="15" customHeight="1" s="217">
      <c r="A199" s="360" t="inlineStr">
        <is>
          <t>FORD</t>
        </is>
      </c>
      <c r="B199" s="361" t="n"/>
      <c r="C199" s="360" t="n"/>
      <c r="D199" s="360" t="n"/>
      <c r="E199" s="360" t="inlineStr">
        <is>
          <t>P5AT</t>
        </is>
      </c>
      <c r="F199" s="362" t="inlineStr">
        <is>
          <t>FB30-6K682-DF</t>
        </is>
      </c>
      <c r="G199" s="360" t="n"/>
      <c r="H199" s="375" t="inlineStr">
        <is>
          <t>BT50 3.2 ( 4*4) 2014 
Ranger 3.2</t>
        </is>
      </c>
      <c r="I199" s="360" t="inlineStr">
        <is>
          <t>chưa nhập</t>
        </is>
      </c>
      <c r="J199" s="363" t="n"/>
      <c r="K199" s="364" t="n"/>
      <c r="L199" s="364" t="n"/>
      <c r="M199" s="364" t="n"/>
      <c r="N199" s="364" t="n"/>
      <c r="O199" s="365" t="n"/>
      <c r="P199" s="365" t="n"/>
      <c r="Q199" s="365" t="n"/>
      <c r="R199" s="365" t="n"/>
      <c r="S199" s="365" t="n"/>
      <c r="T199" s="365" t="n"/>
      <c r="V199" s="346">
        <f>UPPER(A199&amp;" "&amp;B199&amp;" "&amp;D199&amp;" "&amp;E199&amp;" "&amp;F199&amp;" "&amp;G199&amp;" "&amp;H199&amp;" "&amp;I199&amp;" "&amp;J199)</f>
        <v/>
      </c>
      <c r="W199" s="216">
        <f>IF(AND('TRA CỨU TỔNG HỢP'!$B$3&lt;&gt;"",ISNUMBER(SEARCH('TRA CỨU TỔNG HỢP'!$B$3,V199))),MAX($W$3:W198)+1,"")</f>
        <v/>
      </c>
    </row>
    <row r="200" ht="15" customHeight="1" s="217">
      <c r="A200" s="340" t="inlineStr">
        <is>
          <t>FORD</t>
        </is>
      </c>
      <c r="B200" s="341" t="inlineStr">
        <is>
          <t>HH077906</t>
        </is>
      </c>
      <c r="C200" s="340" t="inlineStr">
        <is>
          <t>IHI</t>
        </is>
      </c>
      <c r="D200" s="340" t="inlineStr">
        <is>
          <t>RHF5/VJ33</t>
        </is>
      </c>
      <c r="E200" s="340" t="inlineStr">
        <is>
          <t>VJ26/ WL84/WL85</t>
        </is>
      </c>
      <c r="F200" s="342"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0" s="340" t="inlineStr">
        <is>
          <t>điều tốc cơ</t>
        </is>
      </c>
      <c r="H200" s="340" t="inlineStr">
        <is>
          <t>Ranger 2.5L WL84</t>
        </is>
      </c>
      <c r="I200" s="340" t="n"/>
      <c r="J200" s="343" t="inlineStr">
        <is>
          <t>SL</t>
        </is>
      </c>
      <c r="K200" s="344" t="n"/>
      <c r="L200" s="344" t="n"/>
      <c r="M200" s="344" t="n"/>
      <c r="N200" s="344">
        <f>IF(M200="","",M200*1.1)</f>
        <v/>
      </c>
      <c r="O200" s="345" t="n">
        <v>52.5</v>
      </c>
      <c r="P200" s="345" t="n">
        <v>36.1</v>
      </c>
      <c r="Q200" s="345" t="inlineStr">
        <is>
          <t>10</t>
        </is>
      </c>
      <c r="R200" s="345" t="n">
        <v>44.3</v>
      </c>
      <c r="S200" s="345" t="n">
        <v>39.8</v>
      </c>
      <c r="T200" s="345" t="n">
        <v>8</v>
      </c>
      <c r="V200" s="346">
        <f>UPPER(A200&amp;" "&amp;B200&amp;" "&amp;D200&amp;" "&amp;E200&amp;" "&amp;F200&amp;" "&amp;G200&amp;" "&amp;H200&amp;" "&amp;I200&amp;" "&amp;J200)</f>
        <v/>
      </c>
      <c r="W200" s="216">
        <f>IF(AND('TRA CỨU TỔNG HỢP'!$B$3&lt;&gt;"",ISNUMBER(SEARCH('TRA CỨU TỔNG HỢP'!$B$3,V200))),MAX($W$3:W199)+1,"")</f>
        <v/>
      </c>
    </row>
    <row r="201" ht="15" customHeight="1" s="217">
      <c r="A201" s="347" t="inlineStr">
        <is>
          <t xml:space="preserve">  └─ FORD</t>
        </is>
      </c>
      <c r="B201" s="348" t="inlineStr">
        <is>
          <t>HH081325</t>
        </is>
      </c>
      <c r="C201" s="349" t="inlineStr">
        <is>
          <t>IHI</t>
        </is>
      </c>
      <c r="D201" s="349" t="inlineStr">
        <is>
          <t>RHF5/VJ33</t>
        </is>
      </c>
      <c r="E201" s="349" t="inlineStr">
        <is>
          <t>VJ26/ WL84/WL85</t>
        </is>
      </c>
      <c r="F201" s="350"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1" s="349" t="inlineStr">
        <is>
          <t>điều tốc cơ</t>
        </is>
      </c>
      <c r="H201" s="349" t="inlineStr">
        <is>
          <t>Ranger 2.5L WL84</t>
        </is>
      </c>
      <c r="I201" s="349" t="n"/>
      <c r="J201" s="351" t="inlineStr">
        <is>
          <t>SL</t>
        </is>
      </c>
      <c r="K201" s="352" t="n"/>
      <c r="L201" s="352" t="n"/>
      <c r="M201" s="352" t="n"/>
      <c r="N201" s="352">
        <f>IF(M201="","",M201*1.1)</f>
        <v/>
      </c>
      <c r="O201" s="353" t="n">
        <v>52.5</v>
      </c>
      <c r="P201" s="353" t="n">
        <v>36.1</v>
      </c>
      <c r="Q201" s="353" t="inlineStr">
        <is>
          <t>10</t>
        </is>
      </c>
      <c r="R201" s="353" t="n">
        <v>44.3</v>
      </c>
      <c r="S201" s="353" t="n">
        <v>39.8</v>
      </c>
      <c r="T201" s="353" t="n">
        <v>8</v>
      </c>
      <c r="V201" s="346">
        <f>UPPER(A201&amp;" "&amp;B201&amp;" "&amp;D201&amp;" "&amp;E201&amp;" "&amp;F201&amp;" "&amp;G201&amp;" "&amp;H201&amp;" "&amp;I201&amp;" "&amp;J201)</f>
        <v/>
      </c>
      <c r="W201" s="216">
        <f>IF(AND('TRA CỨU TỔNG HỢP'!$B$3&lt;&gt;"",ISNUMBER(SEARCH('TRA CỨU TỔNG HỢP'!$B$3,V201))),MAX($W$3:W200)+1,"")</f>
        <v/>
      </c>
    </row>
    <row r="202" ht="15" customHeight="1" s="217">
      <c r="A202" s="347" t="inlineStr">
        <is>
          <t xml:space="preserve">  └─ FORD</t>
        </is>
      </c>
      <c r="B202" s="348" t="inlineStr">
        <is>
          <t>HH078001</t>
        </is>
      </c>
      <c r="C202" s="349" t="inlineStr">
        <is>
          <t>IHI</t>
        </is>
      </c>
      <c r="D202" s="349" t="inlineStr">
        <is>
          <t>RHF5/VJ33</t>
        </is>
      </c>
      <c r="E202" s="349" t="inlineStr">
        <is>
          <t>VJ26/ WL84/WL85</t>
        </is>
      </c>
      <c r="F202" s="350"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2" s="349" t="inlineStr">
        <is>
          <t>điều tốc cơ</t>
        </is>
      </c>
      <c r="H202" s="349" t="inlineStr">
        <is>
          <t>Ranger 2.5L WL84</t>
        </is>
      </c>
      <c r="I202" s="349" t="n"/>
      <c r="J202" s="351" t="inlineStr">
        <is>
          <t>JRONE</t>
        </is>
      </c>
      <c r="K202" s="352" t="n"/>
      <c r="L202" s="352" t="n"/>
      <c r="M202" s="352" t="n"/>
      <c r="N202" s="352">
        <f>IF(M202="","",M202*1.1)</f>
        <v/>
      </c>
      <c r="O202" s="353" t="n">
        <v>52.5</v>
      </c>
      <c r="P202" s="353" t="n">
        <v>36.1</v>
      </c>
      <c r="Q202" s="353" t="inlineStr">
        <is>
          <t>10</t>
        </is>
      </c>
      <c r="R202" s="353" t="n">
        <v>44.3</v>
      </c>
      <c r="S202" s="353" t="n">
        <v>39.8</v>
      </c>
      <c r="T202" s="353" t="n">
        <v>8</v>
      </c>
      <c r="V202" s="346">
        <f>UPPER(A202&amp;" "&amp;B202&amp;" "&amp;D202&amp;" "&amp;E202&amp;" "&amp;F202&amp;" "&amp;G202&amp;" "&amp;H202&amp;" "&amp;I202&amp;" "&amp;J202)</f>
        <v/>
      </c>
      <c r="W202" s="216">
        <f>IF(AND('TRA CỨU TỔNG HỢP'!$B$3&lt;&gt;"",ISNUMBER(SEARCH('TRA CỨU TỔNG HỢP'!$B$3,V202))),MAX($W$3:W201)+1,"")</f>
        <v/>
      </c>
    </row>
    <row r="203" ht="15" customHeight="1" s="217">
      <c r="A203" s="360" t="inlineStr">
        <is>
          <t>FORD</t>
        </is>
      </c>
      <c r="B203" s="361" t="n"/>
      <c r="C203" s="360" t="n"/>
      <c r="D203" s="360" t="n"/>
      <c r="E203" s="360" t="inlineStr">
        <is>
          <t>Transit 2.2</t>
        </is>
      </c>
      <c r="F203" s="362" t="inlineStr">
        <is>
          <t>LC1Q6K682AA</t>
        </is>
      </c>
      <c r="G203" s="360" t="inlineStr">
        <is>
          <t>điều tốc điện</t>
        </is>
      </c>
      <c r="H203" s="375" t="inlineStr">
        <is>
          <t>Transit 2.2 
2021 – 2023</t>
        </is>
      </c>
      <c r="I203" s="360" t="n"/>
      <c r="J203" s="363" t="n"/>
      <c r="K203" s="364" t="n"/>
      <c r="L203" s="364" t="n"/>
      <c r="M203" s="364" t="n"/>
      <c r="N203" s="364" t="n"/>
      <c r="O203" s="365" t="n"/>
      <c r="P203" s="365" t="n"/>
      <c r="Q203" s="365" t="n"/>
      <c r="R203" s="365" t="n"/>
      <c r="S203" s="365" t="n"/>
      <c r="T203" s="365" t="n"/>
      <c r="V203" s="346">
        <f>UPPER(A203&amp;" "&amp;B203&amp;" "&amp;D203&amp;" "&amp;E203&amp;" "&amp;F203&amp;" "&amp;G203&amp;" "&amp;H203&amp;" "&amp;I203&amp;" "&amp;J203)</f>
        <v/>
      </c>
      <c r="W203" s="216">
        <f>IF(AND('TRA CỨU TỔNG HỢP'!$B$3&lt;&gt;"",ISNUMBER(SEARCH('TRA CỨU TỔNG HỢP'!$B$3,V203))),MAX($W$3:W202)+1,"")</f>
        <v/>
      </c>
    </row>
    <row r="204" ht="15" customHeight="1" s="217">
      <c r="A204" s="340" t="inlineStr">
        <is>
          <t>FORD</t>
        </is>
      </c>
      <c r="B204" s="341" t="inlineStr">
        <is>
          <t>HH081409</t>
        </is>
      </c>
      <c r="C204" s="340" t="inlineStr">
        <is>
          <t>Garrett</t>
        </is>
      </c>
      <c r="D204" s="340" t="inlineStr">
        <is>
          <t>GTD1444VZ</t>
        </is>
      </c>
      <c r="E204" s="340" t="n"/>
      <c r="F204" s="342" t="inlineStr">
        <is>
          <t>GK2Q6K682BB/GK2Q6K682BA
GK3Q6K682AB/GK26K682BA
2022277/2011903/2303089
838417-0002/838417-0001
838417-0003</t>
        </is>
      </c>
      <c r="G204" s="373" t="inlineStr">
        <is>
          <t>điều tốc dắt cắm điện chọc lên trời
cánh (billet)</t>
        </is>
      </c>
      <c r="H204" s="373" t="inlineStr">
        <is>
          <t>Transit 2015 (2.0)
(billet)</t>
        </is>
      </c>
      <c r="I204" s="340" t="n"/>
      <c r="J204" s="343" t="inlineStr">
        <is>
          <t>SL</t>
        </is>
      </c>
      <c r="K204" s="344" t="n"/>
      <c r="L204" s="344" t="n"/>
      <c r="M204" s="344" t="n"/>
      <c r="N204" s="344">
        <f>IF(M204="","",M204*1.1)</f>
        <v/>
      </c>
      <c r="O204" s="345" t="n">
        <v>45.5</v>
      </c>
      <c r="P204" s="345" t="n">
        <v>33.2</v>
      </c>
      <c r="Q204" s="345" t="inlineStr">
        <is>
          <t>8</t>
        </is>
      </c>
      <c r="R204" s="345" t="n">
        <v>39</v>
      </c>
      <c r="S204" s="345" t="n">
        <v>35.8</v>
      </c>
      <c r="T204" s="345" t="n">
        <v>9</v>
      </c>
      <c r="V204" s="346">
        <f>UPPER(A204&amp;" "&amp;B204&amp;" "&amp;D204&amp;" "&amp;E204&amp;" "&amp;F204&amp;" "&amp;G204&amp;" "&amp;H204&amp;" "&amp;I204&amp;" "&amp;J204)</f>
        <v/>
      </c>
      <c r="W204" s="216">
        <f>IF(AND('TRA CỨU TỔNG HỢP'!$B$3&lt;&gt;"",ISNUMBER(SEARCH('TRA CỨU TỔNG HỢP'!$B$3,V204))),MAX($W$3:W203)+1,"")</f>
        <v/>
      </c>
    </row>
    <row r="205" ht="15" customHeight="1" s="217">
      <c r="A205" s="347" t="inlineStr">
        <is>
          <t xml:space="preserve">  └─ FORD</t>
        </is>
      </c>
      <c r="B205" s="348" t="inlineStr">
        <is>
          <t>HH081330</t>
        </is>
      </c>
      <c r="C205" s="349" t="inlineStr">
        <is>
          <t>Garrett</t>
        </is>
      </c>
      <c r="D205" s="349" t="inlineStr">
        <is>
          <t>GTD1444VZ</t>
        </is>
      </c>
      <c r="E205" s="349" t="n"/>
      <c r="F205" s="350" t="inlineStr">
        <is>
          <t>GK2Q6K682BB/GK2Q6K682BA
GK3Q6K682AB/GK26K682BA
2022277/2011903/2303089
838417-0002/838417-0001
838417-0003</t>
        </is>
      </c>
      <c r="G205" s="374" t="inlineStr">
        <is>
          <t>điều tốc dắt cắm điện chọc lên trời
cánh (billet)</t>
        </is>
      </c>
      <c r="H205" s="374" t="inlineStr">
        <is>
          <t>Transit 2015 (2.0)
(billet)</t>
        </is>
      </c>
      <c r="I205" s="349" t="n"/>
      <c r="J205" s="351" t="inlineStr">
        <is>
          <t>SL</t>
        </is>
      </c>
      <c r="K205" s="352" t="n"/>
      <c r="L205" s="352" t="n"/>
      <c r="M205" s="352" t="n"/>
      <c r="N205" s="352">
        <f>IF(M205="","",M205*1.1)</f>
        <v/>
      </c>
      <c r="O205" s="353" t="n">
        <v>45.5</v>
      </c>
      <c r="P205" s="353" t="n">
        <v>33.2</v>
      </c>
      <c r="Q205" s="353" t="inlineStr">
        <is>
          <t>8</t>
        </is>
      </c>
      <c r="R205" s="353" t="n">
        <v>39</v>
      </c>
      <c r="S205" s="353" t="n">
        <v>35.8</v>
      </c>
      <c r="T205" s="353" t="n">
        <v>9</v>
      </c>
      <c r="V205" s="346">
        <f>UPPER(A205&amp;" "&amp;B205&amp;" "&amp;D205&amp;" "&amp;E205&amp;" "&amp;F205&amp;" "&amp;G205&amp;" "&amp;H205&amp;" "&amp;I205&amp;" "&amp;J205)</f>
        <v/>
      </c>
      <c r="W205" s="216">
        <f>IF(AND('TRA CỨU TỔNG HỢP'!$B$3&lt;&gt;"",ISNUMBER(SEARCH('TRA CỨU TỔNG HỢP'!$B$3,V205))),MAX($W$3:W204)+1,"")</f>
        <v/>
      </c>
    </row>
    <row r="206" ht="15" customHeight="1" s="217">
      <c r="A206" s="354" t="inlineStr">
        <is>
          <t>FORD</t>
        </is>
      </c>
      <c r="B206" s="355" t="inlineStr">
        <is>
          <t>HH082081</t>
        </is>
      </c>
      <c r="C206" s="354" t="inlineStr">
        <is>
          <t>Mitsubishi</t>
        </is>
      </c>
      <c r="D206" s="354" t="inlineStr">
        <is>
          <t>TD03L4</t>
        </is>
      </c>
      <c r="E206" s="354" t="inlineStr">
        <is>
          <t>Transit 2.4</t>
        </is>
      </c>
      <c r="F206" s="356" t="inlineStr">
        <is>
          <t>49131-05400 | 49131-05401 | 49131-05402 | 49131-05403 | 49131-05452 | 49S31-05400 | 49S31-05402 | 49S31-05403 | 1372799 | 1406162 | 1449608 | 1567328 | 6C1Q6K682DC | 6C1Q6K682DD | 6C1Q6K682DE | 6C1Q6K682DF | 6C1Q-6K682-DC | 6C1Q-6K682-DD | 6C1Q-6K682-DE | 6C1Q-6K682-DF</t>
        </is>
      </c>
      <c r="G206" s="354" t="n"/>
      <c r="H206" s="366" t="inlineStr">
        <is>
          <t>Transit 2.4
 (2006-2014)</t>
        </is>
      </c>
      <c r="I206" s="354" t="n"/>
      <c r="J206" s="357" t="inlineStr">
        <is>
          <t>SL</t>
        </is>
      </c>
      <c r="K206" s="358" t="n"/>
      <c r="L206" s="358" t="n"/>
      <c r="M206" s="358" t="n"/>
      <c r="N206" s="358">
        <f>IF(M206="","",M206*1.1)</f>
        <v/>
      </c>
      <c r="O206" s="359" t="n">
        <v>44</v>
      </c>
      <c r="P206" s="359" t="n">
        <v>35.1</v>
      </c>
      <c r="Q206" s="359" t="inlineStr">
        <is>
          <t>6/6</t>
        </is>
      </c>
      <c r="R206" s="359" t="n">
        <v>40.2</v>
      </c>
      <c r="S206" s="359" t="n">
        <v>35.1</v>
      </c>
      <c r="T206" s="359" t="n">
        <v>11</v>
      </c>
      <c r="V206" s="346">
        <f>UPPER(A206&amp;" "&amp;B206&amp;" "&amp;D206&amp;" "&amp;E206&amp;" "&amp;F206&amp;" "&amp;G206&amp;" "&amp;H206&amp;" "&amp;I206&amp;" "&amp;J206)</f>
        <v/>
      </c>
      <c r="W206" s="216">
        <f>IF(AND('TRA CỨU TỔNG HỢP'!$B$3&lt;&gt;"",ISNUMBER(SEARCH('TRA CỨU TỔNG HỢP'!$B$3,V206))),MAX($W$3:W205)+1,"")</f>
        <v/>
      </c>
    </row>
    <row r="207" ht="15" customHeight="1" s="217">
      <c r="A207" s="354" t="inlineStr">
        <is>
          <t>FORD</t>
        </is>
      </c>
      <c r="B207" s="355" t="inlineStr">
        <is>
          <t>HH077148</t>
        </is>
      </c>
      <c r="C207" s="354" t="inlineStr">
        <is>
          <t>Mitsubishi</t>
        </is>
      </c>
      <c r="D207" s="354" t="inlineStr">
        <is>
          <t>TF035HM-12T-4</t>
        </is>
      </c>
      <c r="E207" s="354" t="inlineStr">
        <is>
          <t>Transit 2.4</t>
        </is>
      </c>
      <c r="F207" s="356" t="inlineStr">
        <is>
          <t>49135-06015
8M35-20M-025
3C1Q-6K682-EB
3C1Q6K682EB
3C1Q-6K682-EA
3C1Q6K682EA
49135-06000
06017
06035
06037
49S35-06015</t>
        </is>
      </c>
      <c r="G207" s="354" t="inlineStr">
        <is>
          <t>turbo liền cổ xả</t>
        </is>
      </c>
      <c r="H207" s="354" t="inlineStr">
        <is>
          <t>Ford Transit 2.4/ 2006</t>
        </is>
      </c>
      <c r="I207" s="354" t="n"/>
      <c r="J207" s="357" t="inlineStr">
        <is>
          <t>JRONE</t>
        </is>
      </c>
      <c r="K207" s="358" t="n"/>
      <c r="L207" s="358" t="n"/>
      <c r="M207" s="358" t="n"/>
      <c r="N207" s="358">
        <f>IF(M207="","",M207*1.1)</f>
        <v/>
      </c>
      <c r="O207" s="359" t="n">
        <v>49</v>
      </c>
      <c r="P207" s="359" t="n">
        <v>34.4</v>
      </c>
      <c r="Q207" s="359" t="inlineStr">
        <is>
          <t>6/6</t>
        </is>
      </c>
      <c r="R207" s="359" t="n">
        <v>44.4</v>
      </c>
      <c r="S207" s="359" t="n">
        <v>37.6</v>
      </c>
      <c r="T207" s="359" t="inlineStr">
        <is>
          <t>9</t>
        </is>
      </c>
      <c r="V207" s="346">
        <f>UPPER(A207&amp;" "&amp;B207&amp;" "&amp;D207&amp;" "&amp;E207&amp;" "&amp;F207&amp;" "&amp;G207&amp;" "&amp;H207&amp;" "&amp;I207&amp;" "&amp;J207)</f>
        <v/>
      </c>
      <c r="W207" s="216">
        <f>IF(AND('TRA CỨU TỔNG HỢP'!$B$3&lt;&gt;"",ISNUMBER(SEARCH('TRA CỨU TỔNG HỢP'!$B$3,V207))),MAX($W$3:W206)+1,"")</f>
        <v/>
      </c>
    </row>
    <row r="208" ht="15" customHeight="1" s="217">
      <c r="A208" s="354" t="inlineStr">
        <is>
          <t>FORD</t>
        </is>
      </c>
      <c r="B208" s="355" t="inlineStr">
        <is>
          <t>HH082358</t>
        </is>
      </c>
      <c r="C208" s="354" t="inlineStr">
        <is>
          <t>Garrett</t>
        </is>
      </c>
      <c r="D208" s="354" t="inlineStr">
        <is>
          <t>GT2052V</t>
        </is>
      </c>
      <c r="E208" s="354" t="inlineStr">
        <is>
          <t>Transit</t>
        </is>
      </c>
      <c r="F208" s="356" t="inlineStr">
        <is>
          <t>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t>
        </is>
      </c>
      <c r="G208" s="354" t="inlineStr">
        <is>
          <t>Điều tốc điện</t>
        </is>
      </c>
      <c r="H208" s="354" t="inlineStr">
        <is>
          <t>Ford Transit 2013-2016</t>
        </is>
      </c>
      <c r="I208" s="354" t="n"/>
      <c r="J208" s="357" t="inlineStr">
        <is>
          <t>SL</t>
        </is>
      </c>
      <c r="K208" s="358" t="n"/>
      <c r="L208" s="358" t="n"/>
      <c r="M208" s="358" t="n"/>
      <c r="N208" s="358">
        <f>IF(M208="","",M208*1.1)</f>
        <v/>
      </c>
      <c r="O208" s="359" t="n">
        <v>52</v>
      </c>
      <c r="P208" s="359" t="n">
        <v>34.9</v>
      </c>
      <c r="Q208" s="359" t="inlineStr">
        <is>
          <t>5/5</t>
        </is>
      </c>
      <c r="R208" s="359" t="n">
        <v>46.9</v>
      </c>
      <c r="S208" s="359" t="n">
        <v>40.3</v>
      </c>
      <c r="T208" s="359" t="inlineStr">
        <is>
          <t>9</t>
        </is>
      </c>
      <c r="V208" s="346">
        <f>UPPER(A208&amp;" "&amp;B208&amp;" "&amp;D208&amp;" "&amp;E208&amp;" "&amp;F208&amp;" "&amp;G208&amp;" "&amp;H208&amp;" "&amp;I208&amp;" "&amp;J208)</f>
        <v/>
      </c>
      <c r="W208" s="216">
        <f>IF(AND('TRA CỨU TỔNG HỢP'!$B$3&lt;&gt;"",ISNUMBER(SEARCH('TRA CỨU TỔNG HỢP'!$B$3,V208))),MAX($W$3:W207)+1,"")</f>
        <v/>
      </c>
    </row>
    <row r="209" ht="19.5" customHeight="1" s="217">
      <c r="A209" s="339" t="inlineStr">
        <is>
          <t xml:space="preserve">  🏭  FOTON   ·   3 loại turbo</t>
        </is>
      </c>
      <c r="W209" s="216">
        <f>IF(AND('TRA CỨU TỔNG HỢP'!$B$3&lt;&gt;"",ISNUMBER(SEARCH('TRA CỨU TỔNG HỢP'!$B$3,V209))),MAX($W$3:W208)+1,"")</f>
        <v/>
      </c>
    </row>
    <row r="210" ht="15" customHeight="1" s="217">
      <c r="A210" s="354" t="inlineStr">
        <is>
          <t>FOTON</t>
        </is>
      </c>
      <c r="B210" s="355" t="inlineStr">
        <is>
          <t>HH079175</t>
        </is>
      </c>
      <c r="C210" s="354" t="inlineStr">
        <is>
          <t>Garrett</t>
        </is>
      </c>
      <c r="D210" s="354" t="inlineStr">
        <is>
          <t>TB28</t>
        </is>
      </c>
      <c r="E210" s="354" t="inlineStr">
        <is>
          <t>CY4108</t>
        </is>
      </c>
      <c r="F210" s="356" t="inlineStr">
        <is>
          <t>711229-0003
711229-3/711229-5003S
839309-0001/839309-1/839309-5001S</t>
        </is>
      </c>
      <c r="G210" s="354" t="inlineStr">
        <is>
          <t>Tâm lỗ 40 x 73</t>
        </is>
      </c>
      <c r="H210" s="354" t="n"/>
      <c r="I210" s="354" t="n"/>
      <c r="J210" s="357" t="inlineStr">
        <is>
          <t>TBS</t>
        </is>
      </c>
      <c r="K210" s="358" t="n"/>
      <c r="L210" s="358" t="n"/>
      <c r="M210" s="358" t="n"/>
      <c r="N210" s="358">
        <f>IF(M210="","",M210*1.1)</f>
        <v/>
      </c>
      <c r="O210" s="359" t="n"/>
      <c r="P210" s="359" t="n"/>
      <c r="Q210" s="359" t="n"/>
      <c r="R210" s="359" t="n"/>
      <c r="S210" s="359" t="n"/>
      <c r="T210" s="359" t="n"/>
      <c r="V210" s="346">
        <f>UPPER(A210&amp;" "&amp;B210&amp;" "&amp;D210&amp;" "&amp;E210&amp;" "&amp;F210&amp;" "&amp;G210&amp;" "&amp;H210&amp;" "&amp;I210&amp;" "&amp;J210)</f>
        <v/>
      </c>
      <c r="W210" s="216">
        <f>IF(AND('TRA CỨU TỔNG HỢP'!$B$3&lt;&gt;"",ISNUMBER(SEARCH('TRA CỨU TỔNG HỢP'!$B$3,V210))),MAX($W$3:W209)+1,"")</f>
        <v/>
      </c>
    </row>
    <row r="211" ht="15" customHeight="1" s="217">
      <c r="A211" s="354" t="inlineStr">
        <is>
          <t>FOTON</t>
        </is>
      </c>
      <c r="B211" s="355" t="inlineStr">
        <is>
          <t>HH080910</t>
        </is>
      </c>
      <c r="C211" s="354" t="inlineStr">
        <is>
          <t>Mitsubishi</t>
        </is>
      </c>
      <c r="D211" s="354" t="inlineStr">
        <is>
          <t>TD07S</t>
        </is>
      </c>
      <c r="E211" s="354" t="inlineStr">
        <is>
          <t>D6114</t>
        </is>
      </c>
      <c r="F211" s="356" t="inlineStr">
        <is>
          <t>49187-02710</t>
        </is>
      </c>
      <c r="G211" s="354" t="n"/>
      <c r="H211" s="354" t="n"/>
      <c r="I211" s="354" t="n"/>
      <c r="J211" s="357" t="inlineStr">
        <is>
          <t>VIDARIR</t>
        </is>
      </c>
      <c r="K211" s="358" t="n"/>
      <c r="L211" s="358" t="n"/>
      <c r="M211" s="358" t="n"/>
      <c r="N211" s="358">
        <f>IF(M211="","",M211*1.1)</f>
        <v/>
      </c>
      <c r="O211" s="359" t="n"/>
      <c r="P211" s="359" t="n"/>
      <c r="Q211" s="359" t="n"/>
      <c r="R211" s="359" t="n"/>
      <c r="S211" s="359" t="n"/>
      <c r="T211" s="359" t="n"/>
      <c r="V211" s="216">
        <f>UPPER(A211&amp;" "&amp;B211&amp;" "&amp;D211&amp;" "&amp;E211&amp;" "&amp;F211&amp;" "&amp;G211&amp;" "&amp;H211&amp;" "&amp;I211&amp;" "&amp;J211)</f>
        <v/>
      </c>
      <c r="W211" s="216">
        <f>IF(AND('TRA CỨU TỔNG HỢP'!$B$3&lt;&gt;"",ISNUMBER(SEARCH('TRA CỨU TỔNG HỢP'!$B$3,V211))),MAX($W$3:W210)+1,"")</f>
        <v/>
      </c>
    </row>
    <row r="212" ht="15" customHeight="1" s="217">
      <c r="A212" s="354" t="inlineStr">
        <is>
          <t>FOTON</t>
        </is>
      </c>
      <c r="B212" s="355" t="inlineStr">
        <is>
          <t>HH080316</t>
        </is>
      </c>
      <c r="C212" s="354" t="inlineStr">
        <is>
          <t>BorgWarner</t>
        </is>
      </c>
      <c r="D212" s="354" t="inlineStr">
        <is>
          <t>SJ60F</t>
        </is>
      </c>
      <c r="E212" s="354" t="n"/>
      <c r="F212" s="356" t="inlineStr">
        <is>
          <t>T74801002</t>
        </is>
      </c>
      <c r="G212" s="366" t="inlineStr">
        <is>
          <t>Tâm lỗ bu lông 41 x 73
cổ gang bắt 3 lỗ bulon</t>
        </is>
      </c>
      <c r="H212" s="354" t="n"/>
      <c r="I212" s="354" t="n"/>
      <c r="J212" s="357" t="inlineStr">
        <is>
          <t>SL</t>
        </is>
      </c>
      <c r="K212" s="358" t="n"/>
      <c r="L212" s="358" t="n"/>
      <c r="M212" s="358" t="n"/>
      <c r="N212" s="358">
        <f>IF(M212="","",M212*1.1)</f>
        <v/>
      </c>
      <c r="O212" s="359" t="n">
        <v>60</v>
      </c>
      <c r="P212" s="359" t="n">
        <v>39.1</v>
      </c>
      <c r="Q212" s="359" t="inlineStr">
        <is>
          <t>6/6</t>
        </is>
      </c>
      <c r="R212" s="359" t="n">
        <v>57.9</v>
      </c>
      <c r="S212" s="359" t="n">
        <v>47</v>
      </c>
      <c r="T212" s="359" t="n">
        <v>11</v>
      </c>
      <c r="V212" s="346">
        <f>UPPER(A212&amp;" "&amp;B212&amp;" "&amp;D212&amp;" "&amp;E212&amp;" "&amp;F212&amp;" "&amp;G212&amp;" "&amp;H212&amp;" "&amp;I212&amp;" "&amp;J212)</f>
        <v/>
      </c>
      <c r="W212" s="216">
        <f>IF(AND('TRA CỨU TỔNG HỢP'!$B$3&lt;&gt;"",ISNUMBER(SEARCH('TRA CỨU TỔNG HỢP'!$B$3,V212))),MAX($W$3:W211)+1,"")</f>
        <v/>
      </c>
    </row>
    <row r="213" ht="19.5" customHeight="1" s="217">
      <c r="A213" s="339" t="inlineStr">
        <is>
          <t xml:space="preserve">  🏭  HINO   ·   12 loại turbo</t>
        </is>
      </c>
      <c r="W213" s="216">
        <f>IF(AND('TRA CỨU TỔNG HỢP'!$B$3&lt;&gt;"",ISNUMBER(SEARCH('TRA CỨU TỔNG HỢP'!$B$3,V213))),MAX($W$3:W212)+1,"")</f>
        <v/>
      </c>
    </row>
    <row r="214" ht="15" customHeight="1" s="217">
      <c r="A214" s="354" t="inlineStr">
        <is>
          <t>HINO</t>
        </is>
      </c>
      <c r="B214" s="355" t="inlineStr">
        <is>
          <t>HH080316</t>
        </is>
      </c>
      <c r="C214" s="354" t="inlineStr">
        <is>
          <t>Garrett</t>
        </is>
      </c>
      <c r="D214" s="354" t="inlineStr">
        <is>
          <t>GT2259LS</t>
        </is>
      </c>
      <c r="E214" s="366" t="inlineStr">
        <is>
          <t>N04C 
W04D</t>
        </is>
      </c>
      <c r="F214" s="356" t="inlineStr">
        <is>
          <t>T74801002</t>
        </is>
      </c>
      <c r="G214" s="366" t="inlineStr">
        <is>
          <t>điều tốc
Khác chiều quay với W04D của SL</t>
        </is>
      </c>
      <c r="H214" s="354" t="n"/>
      <c r="I214" s="354" t="n"/>
      <c r="J214" s="357" t="inlineStr">
        <is>
          <t>SL</t>
        </is>
      </c>
      <c r="K214" s="358" t="n"/>
      <c r="L214" s="358" t="n"/>
      <c r="M214" s="358" t="n"/>
      <c r="N214" s="358">
        <f>IF(M214="","",M214*1.1)</f>
        <v/>
      </c>
      <c r="O214" s="359" t="n">
        <v>60</v>
      </c>
      <c r="P214" s="359" t="n">
        <v>39.1</v>
      </c>
      <c r="Q214" s="359" t="inlineStr">
        <is>
          <t>6/6</t>
        </is>
      </c>
      <c r="R214" s="359" t="n">
        <v>57.9</v>
      </c>
      <c r="S214" s="359" t="n">
        <v>47</v>
      </c>
      <c r="T214" s="359" t="n">
        <v>11</v>
      </c>
      <c r="V214" s="346">
        <f>UPPER(A214&amp;" "&amp;B214&amp;" "&amp;D214&amp;" "&amp;E214&amp;" "&amp;F214&amp;" "&amp;G214&amp;" "&amp;H214&amp;" "&amp;I214&amp;" "&amp;J214)</f>
        <v/>
      </c>
      <c r="W214" s="216">
        <f>IF(AND('TRA CỨU TỔNG HỢP'!$B$3&lt;&gt;"",ISNUMBER(SEARCH('TRA CỨU TỔNG HỢP'!$B$3,V214))),MAX($W$3:W213)+1,"")</f>
        <v/>
      </c>
    </row>
    <row r="215" ht="15" customHeight="1" s="217">
      <c r="A215" s="340" t="inlineStr">
        <is>
          <t>HINO</t>
        </is>
      </c>
      <c r="B215" s="341" t="inlineStr">
        <is>
          <t>HH079068</t>
        </is>
      </c>
      <c r="C215" s="340" t="inlineStr">
        <is>
          <t>Garrett</t>
        </is>
      </c>
      <c r="D215" s="340" t="inlineStr">
        <is>
          <t>GT2259LS</t>
        </is>
      </c>
      <c r="E215" s="340" t="inlineStr">
        <is>
          <t>N04C/W04D</t>
        </is>
      </c>
      <c r="F215" s="342" t="inlineStr">
        <is>
          <t>17201-E0080</t>
        </is>
      </c>
      <c r="G215" s="340" t="inlineStr">
        <is>
          <t>điều tốc</t>
        </is>
      </c>
      <c r="H215" s="340" t="n"/>
      <c r="I215" s="340" t="n"/>
      <c r="J215" s="343" t="inlineStr">
        <is>
          <t>SL</t>
        </is>
      </c>
      <c r="K215" s="344" t="n"/>
      <c r="L215" s="344" t="n"/>
      <c r="M215" s="344" t="n"/>
      <c r="N215" s="344">
        <f>IF(M215="","",M215*1.1)</f>
        <v/>
      </c>
      <c r="O215" s="345" t="n">
        <v>59.4</v>
      </c>
      <c r="P215" s="345" t="n">
        <v>41.96</v>
      </c>
      <c r="Q215" s="345" t="inlineStr">
        <is>
          <t>6/6</t>
        </is>
      </c>
      <c r="R215" s="345" t="n">
        <v>50.5</v>
      </c>
      <c r="S215" s="345" t="n">
        <v>42.8</v>
      </c>
      <c r="T215" s="345" t="inlineStr">
        <is>
          <t>9</t>
        </is>
      </c>
      <c r="V215" s="216">
        <f>UPPER(A215&amp;" "&amp;B215&amp;" "&amp;D215&amp;" "&amp;E215&amp;" "&amp;F215&amp;" "&amp;G215&amp;" "&amp;H215&amp;" "&amp;I215&amp;" "&amp;J215)</f>
        <v/>
      </c>
      <c r="W215" s="216">
        <f>IF(AND('TRA CỨU TỔNG HỢP'!$B$3&lt;&gt;"",ISNUMBER(SEARCH('TRA CỨU TỔNG HỢP'!$B$3,V215))),MAX($W$3:W214)+1,"")</f>
        <v/>
      </c>
    </row>
    <row r="216" ht="15" customHeight="1" s="217">
      <c r="A216" s="347" t="inlineStr">
        <is>
          <t xml:space="preserve">  └─ HINO</t>
        </is>
      </c>
      <c r="B216" s="348" t="inlineStr">
        <is>
          <t>HH080736</t>
        </is>
      </c>
      <c r="C216" s="349" t="inlineStr">
        <is>
          <t>Garrett</t>
        </is>
      </c>
      <c r="D216" s="349" t="inlineStr">
        <is>
          <t>GT2259LS</t>
        </is>
      </c>
      <c r="E216" s="349" t="inlineStr">
        <is>
          <t>N04C/W04D</t>
        </is>
      </c>
      <c r="F216" s="350" t="inlineStr">
        <is>
          <t>17201-E0080</t>
        </is>
      </c>
      <c r="G216" s="349" t="inlineStr">
        <is>
          <t>điều tốc</t>
        </is>
      </c>
      <c r="H216" s="349" t="n"/>
      <c r="I216" s="349" t="n"/>
      <c r="J216" s="351" t="inlineStr">
        <is>
          <t>SL</t>
        </is>
      </c>
      <c r="K216" s="352" t="n"/>
      <c r="L216" s="352" t="n"/>
      <c r="M216" s="352" t="n"/>
      <c r="N216" s="352">
        <f>IF(M216="","",M216*1.1)</f>
        <v/>
      </c>
      <c r="O216" s="353" t="n">
        <v>59.4</v>
      </c>
      <c r="P216" s="353" t="n">
        <v>41.96</v>
      </c>
      <c r="Q216" s="353" t="inlineStr">
        <is>
          <t>6/6</t>
        </is>
      </c>
      <c r="R216" s="353" t="n">
        <v>50.5</v>
      </c>
      <c r="S216" s="353" t="n">
        <v>42.8</v>
      </c>
      <c r="T216" s="353" t="inlineStr">
        <is>
          <t>9</t>
        </is>
      </c>
      <c r="V216" s="216">
        <f>UPPER(A216&amp;" "&amp;B216&amp;" "&amp;D216&amp;" "&amp;E216&amp;" "&amp;F216&amp;" "&amp;G216&amp;" "&amp;H216&amp;" "&amp;I216&amp;" "&amp;J216)</f>
        <v/>
      </c>
      <c r="W216" s="216">
        <f>IF(AND('TRA CỨU TỔNG HỢP'!$B$3&lt;&gt;"",ISNUMBER(SEARCH('TRA CỨU TỔNG HỢP'!$B$3,V216))),MAX($W$3:W215)+1,"")</f>
        <v/>
      </c>
    </row>
    <row r="217" ht="15" customHeight="1" s="217">
      <c r="A217" s="354" t="inlineStr">
        <is>
          <t>HINO</t>
        </is>
      </c>
      <c r="B217" s="355" t="inlineStr">
        <is>
          <t>HH082797</t>
        </is>
      </c>
      <c r="C217" s="354" t="inlineStr">
        <is>
          <t>IHI</t>
        </is>
      </c>
      <c r="D217" s="354" t="inlineStr">
        <is>
          <t>RHC61A</t>
        </is>
      </c>
      <c r="E217" s="354" t="inlineStr">
        <is>
          <t>W04CT</t>
        </is>
      </c>
      <c r="F217" s="356" t="inlineStr">
        <is>
          <t>24100-2940A
24100-1541</t>
        </is>
      </c>
      <c r="G217" s="354" t="n"/>
      <c r="H217" s="354" t="n"/>
      <c r="I217" s="354" t="n"/>
      <c r="J217" s="357" t="inlineStr">
        <is>
          <t>SL</t>
        </is>
      </c>
      <c r="K217" s="358" t="n"/>
      <c r="L217" s="358" t="n"/>
      <c r="M217" s="358" t="n"/>
      <c r="N217" s="358">
        <f>IF(M217="","",M217*1.1)</f>
        <v/>
      </c>
      <c r="O217" s="359" t="n">
        <v>65</v>
      </c>
      <c r="P217" s="359" t="n">
        <v>41.6</v>
      </c>
      <c r="Q217" s="359" t="inlineStr">
        <is>
          <t>5/5</t>
        </is>
      </c>
      <c r="R217" s="359" t="n">
        <v>62</v>
      </c>
      <c r="S217" s="359" t="n">
        <v>48.6</v>
      </c>
      <c r="T217" s="359" t="inlineStr">
        <is>
          <t>11</t>
        </is>
      </c>
      <c r="V217" s="346">
        <f>UPPER(A217&amp;" "&amp;B217&amp;" "&amp;D217&amp;" "&amp;E217&amp;" "&amp;F217&amp;" "&amp;G217&amp;" "&amp;H217&amp;" "&amp;I217&amp;" "&amp;J217)</f>
        <v/>
      </c>
      <c r="W217" s="216">
        <f>IF(AND('TRA CỨU TỔNG HỢP'!$B$3&lt;&gt;"",ISNUMBER(SEARCH('TRA CỨU TỔNG HỢP'!$B$3,V217))),MAX($W$3:W216)+1,"")</f>
        <v/>
      </c>
    </row>
    <row r="218" ht="15" customHeight="1" s="217">
      <c r="A218" s="340" t="inlineStr">
        <is>
          <t>HINO</t>
        </is>
      </c>
      <c r="B218" s="341" t="inlineStr">
        <is>
          <t>HH072354</t>
        </is>
      </c>
      <c r="C218" s="340" t="inlineStr">
        <is>
          <t>Garrett</t>
        </is>
      </c>
      <c r="D218" s="340" t="inlineStr">
        <is>
          <t>GT2556L</t>
        </is>
      </c>
      <c r="E218" s="340" t="inlineStr">
        <is>
          <t>W04D</t>
        </is>
      </c>
      <c r="F218" s="342" t="inlineStr">
        <is>
          <t>17201-E0680
786363-0004/786363-4 | 786363-5004S 7863630004/7863634/7863635004S 7863635004/17201E0680A/17201-E0680A</t>
        </is>
      </c>
      <c r="G218" s="340" t="n"/>
      <c r="H218" s="340" t="inlineStr">
        <is>
          <t>Xe tải Hino 300</t>
        </is>
      </c>
      <c r="I218" s="340" t="n"/>
      <c r="J218" s="343" t="inlineStr">
        <is>
          <t>SL</t>
        </is>
      </c>
      <c r="K218" s="344" t="n"/>
      <c r="L218" s="344" t="n"/>
      <c r="M218" s="344" t="n"/>
      <c r="N218" s="344">
        <f>IF(M218="","",M218*1.1)</f>
        <v/>
      </c>
      <c r="O218" s="345" t="n">
        <v>59.4</v>
      </c>
      <c r="P218" s="345" t="n">
        <v>41.96</v>
      </c>
      <c r="Q218" s="345" t="inlineStr">
        <is>
          <t>6/6</t>
        </is>
      </c>
      <c r="R218" s="345" t="n">
        <v>53.9</v>
      </c>
      <c r="S218" s="345" t="n">
        <v>45.7</v>
      </c>
      <c r="T218" s="345" t="n">
        <v>9</v>
      </c>
      <c r="V218" s="346">
        <f>UPPER(A218&amp;" "&amp;B218&amp;" "&amp;D218&amp;" "&amp;E218&amp;" "&amp;F218&amp;" "&amp;G218&amp;" "&amp;H218&amp;" "&amp;I218&amp;" "&amp;J218)</f>
        <v/>
      </c>
      <c r="W218" s="216">
        <f>IF(AND('TRA CỨU TỔNG HỢP'!$B$3&lt;&gt;"",ISNUMBER(SEARCH('TRA CỨU TỔNG HỢP'!$B$3,V218))),MAX($W$3:W217)+1,"")</f>
        <v/>
      </c>
    </row>
    <row r="219" ht="15" customHeight="1" s="217">
      <c r="A219" s="347" t="inlineStr">
        <is>
          <t xml:space="preserve">  └─ HINO</t>
        </is>
      </c>
      <c r="B219" s="348" t="inlineStr">
        <is>
          <t>HH080024</t>
        </is>
      </c>
      <c r="C219" s="349" t="inlineStr">
        <is>
          <t>Garrett</t>
        </is>
      </c>
      <c r="D219" s="349" t="inlineStr">
        <is>
          <t>GT2556L</t>
        </is>
      </c>
      <c r="E219" s="349" t="inlineStr">
        <is>
          <t>W04D</t>
        </is>
      </c>
      <c r="F219" s="350" t="inlineStr">
        <is>
          <t>17201-E0680
786363-0004/786363-4 | 786363-5004S 7863630004/7863634/7863635004S 7863635004/17201E0680A/17201-E0680A</t>
        </is>
      </c>
      <c r="G219" s="349" t="n"/>
      <c r="H219" s="349" t="inlineStr">
        <is>
          <t>Xe tải Hino 300</t>
        </is>
      </c>
      <c r="I219" s="349" t="n"/>
      <c r="J219" s="351" t="inlineStr">
        <is>
          <t>SL</t>
        </is>
      </c>
      <c r="K219" s="352" t="n"/>
      <c r="L219" s="352" t="n"/>
      <c r="M219" s="352" t="n"/>
      <c r="N219" s="352">
        <f>IF(M219="","",M219*1.1)</f>
        <v/>
      </c>
      <c r="O219" s="353" t="n">
        <v>59.4</v>
      </c>
      <c r="P219" s="353" t="n">
        <v>41.96</v>
      </c>
      <c r="Q219" s="353" t="inlineStr">
        <is>
          <t>6/6</t>
        </is>
      </c>
      <c r="R219" s="353" t="n">
        <v>53.9</v>
      </c>
      <c r="S219" s="353" t="n">
        <v>45.7</v>
      </c>
      <c r="T219" s="353" t="n">
        <v>9</v>
      </c>
      <c r="V219" s="346">
        <f>UPPER(A219&amp;" "&amp;B219&amp;" "&amp;D219&amp;" "&amp;E219&amp;" "&amp;F219&amp;" "&amp;G219&amp;" "&amp;H219&amp;" "&amp;I219&amp;" "&amp;J219)</f>
        <v/>
      </c>
      <c r="W219" s="216">
        <f>IF(AND('TRA CỨU TỔNG HỢP'!$B$3&lt;&gt;"",ISNUMBER(SEARCH('TRA CỨU TỔNG HỢP'!$B$3,V219))),MAX($W$3:W218)+1,"")</f>
        <v/>
      </c>
    </row>
    <row r="220" ht="15" customHeight="1" s="217">
      <c r="A220" s="340" t="inlineStr">
        <is>
          <t>HINO</t>
        </is>
      </c>
      <c r="B220" s="341" t="inlineStr">
        <is>
          <t>HH075531</t>
        </is>
      </c>
      <c r="C220" s="340" t="inlineStr">
        <is>
          <t>IHI</t>
        </is>
      </c>
      <c r="D220" s="340" t="inlineStr">
        <is>
          <t>RHC6 /RHC62W</t>
        </is>
      </c>
      <c r="E220" s="340" t="inlineStr">
        <is>
          <t>H07C-T</t>
        </is>
      </c>
      <c r="F220" s="342" t="inlineStr">
        <is>
          <t>24100-2201A/241002203A
24100-2204A/VA240039/VC240039
VD240039/VG240039/VH240039</t>
        </is>
      </c>
      <c r="G220" s="373" t="inlineStr">
        <is>
          <t>Tâm lỗ bu lông 44.5 x 86
(có đường nước làm mát)</t>
        </is>
      </c>
      <c r="H220" s="340" t="inlineStr">
        <is>
          <t>Xe tải Hino Truck H07CT with H07C-T(YF20)</t>
        </is>
      </c>
      <c r="I220" s="340" t="n"/>
      <c r="J220" s="343" t="inlineStr">
        <is>
          <t>SL</t>
        </is>
      </c>
      <c r="K220" s="344" t="n"/>
      <c r="L220" s="344" t="n"/>
      <c r="M220" s="344" t="n"/>
      <c r="N220" s="344">
        <f>IF(M220="","",M220*1.1)</f>
        <v/>
      </c>
      <c r="O220" s="345" t="n"/>
      <c r="P220" s="345" t="n"/>
      <c r="Q220" s="345" t="n"/>
      <c r="R220" s="345" t="n"/>
      <c r="S220" s="345" t="n"/>
      <c r="T220" s="345" t="n"/>
      <c r="V220" s="346">
        <f>UPPER(A220&amp;" "&amp;B220&amp;" "&amp;D220&amp;" "&amp;E220&amp;" "&amp;F220&amp;" "&amp;G220&amp;" "&amp;H220&amp;" "&amp;I220&amp;" "&amp;J220)</f>
        <v/>
      </c>
      <c r="W220" s="216">
        <f>IF(AND('TRA CỨU TỔNG HỢP'!$B$3&lt;&gt;"",ISNUMBER(SEARCH('TRA CỨU TỔNG HỢP'!$B$3,V220))),MAX($W$3:W219)+1,"")</f>
        <v/>
      </c>
    </row>
    <row r="221" ht="15" customHeight="1" s="217">
      <c r="A221" s="347" t="inlineStr">
        <is>
          <t xml:space="preserve">  └─ HINO</t>
        </is>
      </c>
      <c r="B221" s="348" t="inlineStr">
        <is>
          <t>HH078576</t>
        </is>
      </c>
      <c r="C221" s="349" t="inlineStr">
        <is>
          <t>IHI</t>
        </is>
      </c>
      <c r="D221" s="349" t="inlineStr">
        <is>
          <t>RHC6 /RHC62W</t>
        </is>
      </c>
      <c r="E221" s="349" t="inlineStr">
        <is>
          <t>H07C-T</t>
        </is>
      </c>
      <c r="F221" s="350" t="inlineStr">
        <is>
          <t>24100-2201A/241002203A
24100-2204A/VA240039/VC240039
VD240039/VG240039/VH240039</t>
        </is>
      </c>
      <c r="G221" s="374" t="inlineStr">
        <is>
          <t>Tâm lỗ bu lông 44.5 x 86
(có đường nước làm mát)</t>
        </is>
      </c>
      <c r="H221" s="349" t="inlineStr">
        <is>
          <t>Xe tải Hino Truck H07CT with H07C-T(YF20)</t>
        </is>
      </c>
      <c r="I221" s="349" t="n"/>
      <c r="J221" s="351" t="inlineStr">
        <is>
          <t>SL</t>
        </is>
      </c>
      <c r="K221" s="352" t="n"/>
      <c r="L221" s="352" t="n"/>
      <c r="M221" s="352" t="n"/>
      <c r="N221" s="352">
        <f>IF(M221="","",M221*1.1)</f>
        <v/>
      </c>
      <c r="O221" s="353" t="n"/>
      <c r="P221" s="353" t="n"/>
      <c r="Q221" s="353" t="n"/>
      <c r="R221" s="353" t="n"/>
      <c r="S221" s="353" t="n"/>
      <c r="T221" s="353" t="n"/>
      <c r="V221" s="346">
        <f>UPPER(A221&amp;" "&amp;B221&amp;" "&amp;D221&amp;" "&amp;E221&amp;" "&amp;F221&amp;" "&amp;G221&amp;" "&amp;H221&amp;" "&amp;I221&amp;" "&amp;J221)</f>
        <v/>
      </c>
      <c r="W221" s="216">
        <f>IF(AND('TRA CỨU TỔNG HỢP'!$B$3&lt;&gt;"",ISNUMBER(SEARCH('TRA CỨU TỔNG HỢP'!$B$3,V221))),MAX($W$3:W220)+1,"")</f>
        <v/>
      </c>
    </row>
    <row r="222" ht="15" customHeight="1" s="217">
      <c r="A222" s="354" t="inlineStr">
        <is>
          <t>HINO</t>
        </is>
      </c>
      <c r="B222" s="355" t="inlineStr">
        <is>
          <t>HH078433</t>
        </is>
      </c>
      <c r="C222" s="354" t="inlineStr">
        <is>
          <t>Holset</t>
        </is>
      </c>
      <c r="D222" s="354" t="inlineStr">
        <is>
          <t>WH2D</t>
        </is>
      </c>
      <c r="E222" s="354" t="inlineStr">
        <is>
          <t>K13C</t>
        </is>
      </c>
      <c r="F222" s="356" t="inlineStr">
        <is>
          <t>3533263
3533261
262
24100-2920B/24100-2920A/2920C</t>
        </is>
      </c>
      <c r="G222" s="354" t="n"/>
      <c r="H222" s="354" t="n"/>
      <c r="I222" s="354" t="n"/>
      <c r="J222" s="357" t="inlineStr">
        <is>
          <t>VIDARIR</t>
        </is>
      </c>
      <c r="K222" s="358" t="n"/>
      <c r="L222" s="358" t="n"/>
      <c r="M222" s="358" t="n"/>
      <c r="N222" s="358">
        <f>IF(M222="","",M222*1.1)</f>
        <v/>
      </c>
      <c r="O222" s="359" t="n"/>
      <c r="P222" s="359" t="n"/>
      <c r="Q222" s="359" t="n"/>
      <c r="R222" s="359" t="n"/>
      <c r="S222" s="359" t="n"/>
      <c r="T222" s="359" t="n"/>
      <c r="V222" s="346">
        <f>UPPER(A222&amp;" "&amp;B222&amp;" "&amp;D222&amp;" "&amp;E222&amp;" "&amp;F222&amp;" "&amp;G222&amp;" "&amp;H222&amp;" "&amp;I222&amp;" "&amp;J222)</f>
        <v/>
      </c>
      <c r="W222" s="216">
        <f>IF(AND('TRA CỨU TỔNG HỢP'!$B$3&lt;&gt;"",ISNUMBER(SEARCH('TRA CỨU TỔNG HỢP'!$B$3,V222))),MAX($W$3:W221)+1,"")</f>
        <v/>
      </c>
    </row>
    <row r="223" ht="15" customHeight="1" s="217">
      <c r="A223" s="354" t="inlineStr">
        <is>
          <t>HINO</t>
        </is>
      </c>
      <c r="B223" s="355" t="inlineStr">
        <is>
          <t>HH081333</t>
        </is>
      </c>
      <c r="C223" s="354" t="inlineStr">
        <is>
          <t>IHI</t>
        </is>
      </c>
      <c r="D223" s="354" t="inlineStr">
        <is>
          <t>RHE8</t>
        </is>
      </c>
      <c r="E223" s="354" t="inlineStr">
        <is>
          <t>K13C</t>
        </is>
      </c>
      <c r="F223" s="356" t="inlineStr">
        <is>
          <t>24100-3131</t>
        </is>
      </c>
      <c r="G223" s="354" t="n"/>
      <c r="H223" s="354" t="n"/>
      <c r="I223" s="354" t="n"/>
      <c r="J223" s="357" t="inlineStr">
        <is>
          <t>VIDARIR</t>
        </is>
      </c>
      <c r="K223" s="358" t="n"/>
      <c r="L223" s="358" t="n"/>
      <c r="M223" s="358" t="n"/>
      <c r="N223" s="358">
        <f>IF(M223="","",M223*1.1)</f>
        <v/>
      </c>
      <c r="O223" s="359" t="n"/>
      <c r="P223" s="359" t="n"/>
      <c r="Q223" s="359" t="n"/>
      <c r="R223" s="359" t="n"/>
      <c r="S223" s="359" t="n"/>
      <c r="T223" s="359" t="n"/>
      <c r="V223" s="216">
        <f>UPPER(A223&amp;" "&amp;B223&amp;" "&amp;D223&amp;" "&amp;E223&amp;" "&amp;F223&amp;" "&amp;G223&amp;" "&amp;H223&amp;" "&amp;I223&amp;" "&amp;J223)</f>
        <v/>
      </c>
      <c r="W223" s="216">
        <f>IF(AND('TRA CỨU TỔNG HỢP'!$B$3&lt;&gt;"",ISNUMBER(SEARCH('TRA CỨU TỔNG HỢP'!$B$3,V223))),MAX($W$3:W222)+1,"")</f>
        <v/>
      </c>
    </row>
    <row r="224" ht="15" customHeight="1" s="217">
      <c r="A224" s="340" t="inlineStr">
        <is>
          <t>HINO</t>
        </is>
      </c>
      <c r="B224" s="341" t="inlineStr">
        <is>
          <t>HH078434</t>
        </is>
      </c>
      <c r="C224" s="340" t="inlineStr">
        <is>
          <t>IHI</t>
        </is>
      </c>
      <c r="D224" s="340" t="inlineStr">
        <is>
          <t>RHG6</t>
        </is>
      </c>
      <c r="E224" s="340" t="inlineStr">
        <is>
          <t>P11C</t>
        </is>
      </c>
      <c r="F224" s="342" t="inlineStr">
        <is>
          <t>17201-E0220
S1760-E0121</t>
        </is>
      </c>
      <c r="G224" s="340" t="inlineStr">
        <is>
          <t>tâm lỗ 86 × 82</t>
        </is>
      </c>
      <c r="H224" s="340" t="inlineStr">
        <is>
          <t>SK460-8 /SK480-8/HINO 700</t>
        </is>
      </c>
      <c r="I224" s="340" t="n"/>
      <c r="J224" s="343" t="inlineStr">
        <is>
          <t>VIDARIR</t>
        </is>
      </c>
      <c r="K224" s="344" t="n"/>
      <c r="L224" s="344" t="n"/>
      <c r="M224" s="344" t="n"/>
      <c r="N224" s="344">
        <f>IF(M224="","",M224*1.1)</f>
        <v/>
      </c>
      <c r="O224" s="345" t="n"/>
      <c r="P224" s="345" t="n"/>
      <c r="Q224" s="345" t="n"/>
      <c r="R224" s="345" t="n"/>
      <c r="S224" s="345" t="n"/>
      <c r="T224" s="345" t="n"/>
      <c r="V224" s="346">
        <f>UPPER(A224&amp;" "&amp;B224&amp;" "&amp;D224&amp;" "&amp;E224&amp;" "&amp;F224&amp;" "&amp;G224&amp;" "&amp;H224&amp;" "&amp;I224&amp;" "&amp;J224)</f>
        <v/>
      </c>
      <c r="W224" s="216">
        <f>IF(AND('TRA CỨU TỔNG HỢP'!$B$3&lt;&gt;"",ISNUMBER(SEARCH('TRA CỨU TỔNG HỢP'!$B$3,V224))),MAX($W$3:W223)+1,"")</f>
        <v/>
      </c>
    </row>
    <row r="225" ht="15" customHeight="1" s="217">
      <c r="A225" s="347" t="inlineStr">
        <is>
          <t xml:space="preserve">  └─ HINO</t>
        </is>
      </c>
      <c r="B225" s="348" t="inlineStr">
        <is>
          <t>HH080640</t>
        </is>
      </c>
      <c r="C225" s="349" t="inlineStr">
        <is>
          <t>IHI</t>
        </is>
      </c>
      <c r="D225" s="349" t="inlineStr">
        <is>
          <t>RHG6</t>
        </is>
      </c>
      <c r="E225" s="349" t="inlineStr">
        <is>
          <t>P11C</t>
        </is>
      </c>
      <c r="F225" s="350" t="inlineStr">
        <is>
          <t>17201-E0220
S1760-E0121</t>
        </is>
      </c>
      <c r="G225" s="349" t="inlineStr">
        <is>
          <t>tâm lỗ 86 × 82</t>
        </is>
      </c>
      <c r="H225" s="349" t="inlineStr">
        <is>
          <t>SK460-8 /SK480-8/HINO 700</t>
        </is>
      </c>
      <c r="I225" s="349" t="n"/>
      <c r="J225" s="351" t="inlineStr">
        <is>
          <t>VIDARIR</t>
        </is>
      </c>
      <c r="K225" s="352" t="n"/>
      <c r="L225" s="352" t="n"/>
      <c r="M225" s="352" t="n"/>
      <c r="N225" s="352">
        <f>IF(M225="","",M225*1.1)</f>
        <v/>
      </c>
      <c r="O225" s="353" t="n"/>
      <c r="P225" s="353" t="n"/>
      <c r="Q225" s="353" t="n"/>
      <c r="R225" s="353" t="n"/>
      <c r="S225" s="353" t="n"/>
      <c r="T225" s="353" t="n"/>
      <c r="V225" s="346">
        <f>UPPER(A225&amp;" "&amp;B225&amp;" "&amp;D225&amp;" "&amp;E225&amp;" "&amp;F225&amp;" "&amp;G225&amp;" "&amp;H225&amp;" "&amp;I225&amp;" "&amp;J225)</f>
        <v/>
      </c>
      <c r="W225" s="216">
        <f>IF(AND('TRA CỨU TỔNG HỢP'!$B$3&lt;&gt;"",ISNUMBER(SEARCH('TRA CỨU TỔNG HỢP'!$B$3,V225))),MAX($W$3:W224)+1,"")</f>
        <v/>
      </c>
    </row>
    <row r="226" ht="15" customHeight="1" s="217">
      <c r="A226" s="354" t="inlineStr">
        <is>
          <t>HINO</t>
        </is>
      </c>
      <c r="B226" s="355" t="inlineStr">
        <is>
          <t>HH080912</t>
        </is>
      </c>
      <c r="C226" s="354" t="inlineStr">
        <is>
          <t>IHI</t>
        </is>
      </c>
      <c r="D226" s="354" t="inlineStr">
        <is>
          <t>RHE7</t>
        </is>
      </c>
      <c r="E226" s="354" t="inlineStr">
        <is>
          <t>P11C</t>
        </is>
      </c>
      <c r="F226" s="356" t="inlineStr">
        <is>
          <t>24100-2751B</t>
        </is>
      </c>
      <c r="G226" s="354" t="n"/>
      <c r="H226" s="354" t="n"/>
      <c r="I226" s="354" t="n"/>
      <c r="J226" s="357" t="inlineStr">
        <is>
          <t>VIDARIR</t>
        </is>
      </c>
      <c r="K226" s="358" t="n"/>
      <c r="L226" s="358" t="n"/>
      <c r="M226" s="358" t="n"/>
      <c r="N226" s="358">
        <f>IF(M226="","",M226*1.1)</f>
        <v/>
      </c>
      <c r="O226" s="359" t="n"/>
      <c r="P226" s="359" t="n"/>
      <c r="Q226" s="359" t="n"/>
      <c r="R226" s="359" t="n"/>
      <c r="S226" s="359" t="n"/>
      <c r="T226" s="359" t="n"/>
      <c r="V226" s="216">
        <f>UPPER(A226&amp;" "&amp;B226&amp;" "&amp;D226&amp;" "&amp;E226&amp;" "&amp;F226&amp;" "&amp;G226&amp;" "&amp;H226&amp;" "&amp;I226&amp;" "&amp;J226)</f>
        <v/>
      </c>
      <c r="W226" s="216">
        <f>IF(AND('TRA CỨU TỔNG HỢP'!$B$3&lt;&gt;"",ISNUMBER(SEARCH('TRA CỨU TỔNG HỢP'!$B$3,V226))),MAX($W$3:W225)+1,"")</f>
        <v/>
      </c>
    </row>
    <row r="227" ht="15" customHeight="1" s="217">
      <c r="A227" s="360" t="inlineStr">
        <is>
          <t>HINO</t>
        </is>
      </c>
      <c r="B227" s="361" t="n"/>
      <c r="C227" s="360" t="inlineStr">
        <is>
          <t>IHI</t>
        </is>
      </c>
      <c r="D227" s="360" t="inlineStr">
        <is>
          <t>RHG7</t>
        </is>
      </c>
      <c r="E227" s="360" t="inlineStr">
        <is>
          <t>P11C</t>
        </is>
      </c>
      <c r="F227" s="362" t="inlineStr">
        <is>
          <t>24100-4011 17201-E0480</t>
        </is>
      </c>
      <c r="G227" s="360" t="n"/>
      <c r="H227" s="360" t="n"/>
      <c r="I227" s="360" t="n"/>
      <c r="J227" s="363" t="n"/>
      <c r="K227" s="364" t="n"/>
      <c r="L227" s="364" t="n"/>
      <c r="M227" s="364" t="n"/>
      <c r="N227" s="364" t="n"/>
      <c r="O227" s="365" t="n"/>
      <c r="P227" s="365" t="n"/>
      <c r="Q227" s="365" t="n"/>
      <c r="R227" s="365" t="n"/>
      <c r="S227" s="365" t="n"/>
      <c r="T227" s="365" t="n"/>
      <c r="V227" s="216">
        <f>UPPER(A227&amp;" "&amp;B227&amp;" "&amp;D227&amp;" "&amp;E227&amp;" "&amp;F227&amp;" "&amp;G227&amp;" "&amp;H227&amp;" "&amp;I227&amp;" "&amp;J227)</f>
        <v/>
      </c>
      <c r="W227" s="216">
        <f>IF(AND('TRA CỨU TỔNG HỢP'!$B$3&lt;&gt;"",ISNUMBER(SEARCH('TRA CỨU TỔNG HỢP'!$B$3,V227))),MAX($W$3:W226)+1,"")</f>
        <v/>
      </c>
    </row>
    <row r="228" ht="15" customHeight="1" s="217">
      <c r="A228" s="354" t="inlineStr">
        <is>
          <t>HINO</t>
        </is>
      </c>
      <c r="B228" s="355" t="inlineStr">
        <is>
          <t>HH082125</t>
        </is>
      </c>
      <c r="C228" s="354" t="inlineStr">
        <is>
          <t>Garrett</t>
        </is>
      </c>
      <c r="D228" s="354" t="inlineStr">
        <is>
          <t>GTB3578KLNRV</t>
        </is>
      </c>
      <c r="E228" s="354" t="n"/>
      <c r="F228" s="356" t="inlineStr">
        <is>
          <t>17201-E0E61</t>
        </is>
      </c>
      <c r="G228" s="354" t="n"/>
      <c r="H228" s="354" t="inlineStr">
        <is>
          <t>Hino 500 Euro 4</t>
        </is>
      </c>
      <c r="I228" s="354" t="n"/>
      <c r="J228" s="357" t="n"/>
      <c r="K228" s="358" t="n"/>
      <c r="L228" s="358" t="n"/>
      <c r="M228" s="358" t="n"/>
      <c r="N228" s="358">
        <f>IF(M228="","",M228*1.1)</f>
        <v/>
      </c>
      <c r="O228" s="359" t="n"/>
      <c r="P228" s="359" t="n"/>
      <c r="Q228" s="359" t="n"/>
      <c r="R228" s="359" t="n"/>
      <c r="S228" s="359" t="n"/>
      <c r="T228" s="359" t="n"/>
      <c r="V228" s="216">
        <f>UPPER(A228&amp;" "&amp;B228&amp;" "&amp;D228&amp;" "&amp;E228&amp;" "&amp;F228&amp;" "&amp;G228&amp;" "&amp;H228&amp;" "&amp;I228&amp;" "&amp;J228)</f>
        <v/>
      </c>
      <c r="W228" s="216">
        <f>IF(AND('TRA CỨU TỔNG HỢP'!$B$3&lt;&gt;"",ISNUMBER(SEARCH('TRA CỨU TỔNG HỢP'!$B$3,V228))),MAX($W$3:W227)+1,"")</f>
        <v/>
      </c>
    </row>
    <row r="229" ht="15" customHeight="1" s="217">
      <c r="A229" s="340" t="inlineStr">
        <is>
          <t>HINO</t>
        </is>
      </c>
      <c r="B229" s="341" t="inlineStr">
        <is>
          <t>HH084193</t>
        </is>
      </c>
      <c r="C229" s="340" t="inlineStr">
        <is>
          <t>Garrett</t>
        </is>
      </c>
      <c r="D229" s="340" t="inlineStr">
        <is>
          <t>GT3271S</t>
        </is>
      </c>
      <c r="E229" s="340" t="inlineStr">
        <is>
          <t>J05C</t>
        </is>
      </c>
      <c r="F229" s="342" t="inlineStr">
        <is>
          <t>704409-0001
704409-0002/0007
24100-3400/3530/3781
4370/8G32-200-745
24100-3530/24100-3781
17201-E0330/700291-0001</t>
        </is>
      </c>
      <c r="G229" s="340" t="inlineStr">
        <is>
          <t>Tâm lỗ bu lông 70 x 82.5</t>
        </is>
      </c>
      <c r="H229" s="340" t="inlineStr">
        <is>
          <t>Xe tải Hino 5 tấn</t>
        </is>
      </c>
      <c r="I229" s="340" t="n"/>
      <c r="J229" s="343" t="inlineStr">
        <is>
          <t>EE</t>
        </is>
      </c>
      <c r="K229" s="344" t="n"/>
      <c r="L229" s="344" t="n"/>
      <c r="M229" s="344" t="n"/>
      <c r="N229" s="344">
        <f>IF(M229="","",M229*1.1)</f>
        <v/>
      </c>
      <c r="O229" s="345" t="n">
        <v>71</v>
      </c>
      <c r="P229" s="345" t="n">
        <v>51.1</v>
      </c>
      <c r="Q229" s="345" t="inlineStr">
        <is>
          <t>6/6</t>
        </is>
      </c>
      <c r="R229" s="345" t="n">
        <v>61.3</v>
      </c>
      <c r="S229" s="345" t="n">
        <v>52.1</v>
      </c>
      <c r="T229" s="345" t="n">
        <v>10</v>
      </c>
      <c r="V229" s="346">
        <f>UPPER(A229&amp;" "&amp;B229&amp;" "&amp;D229&amp;" "&amp;E229&amp;" "&amp;F229&amp;" "&amp;G229&amp;" "&amp;H229&amp;" "&amp;I229&amp;" "&amp;J229)</f>
        <v/>
      </c>
      <c r="W229" s="216">
        <f>IF(AND('TRA CỨU TỔNG HỢP'!$B$3&lt;&gt;"",ISNUMBER(SEARCH('TRA CỨU TỔNG HỢP'!$B$3,V229))),MAX($W$3:W228)+1,"")</f>
        <v/>
      </c>
    </row>
    <row r="230" ht="15" customHeight="1" s="217">
      <c r="A230" s="347" t="inlineStr">
        <is>
          <t xml:space="preserve">  └─ HINO</t>
        </is>
      </c>
      <c r="B230" s="348" t="inlineStr">
        <is>
          <t>HH082688</t>
        </is>
      </c>
      <c r="C230" s="349" t="inlineStr">
        <is>
          <t>Garrett</t>
        </is>
      </c>
      <c r="D230" s="349" t="inlineStr">
        <is>
          <t>GT3271S</t>
        </is>
      </c>
      <c r="E230" s="349" t="inlineStr">
        <is>
          <t>J05C</t>
        </is>
      </c>
      <c r="F230" s="350" t="inlineStr">
        <is>
          <t>704409-0001
704409-0002/0007
24100-3400/3530/3781
4370/8G32-200-745
24100-3530/24100-3781
17201-E0330/700291-0001</t>
        </is>
      </c>
      <c r="G230" s="349" t="inlineStr">
        <is>
          <t>Tâm lỗ bu lông 70 x 82.5</t>
        </is>
      </c>
      <c r="H230" s="349" t="inlineStr">
        <is>
          <t>Xe tải Hino 5 tấn</t>
        </is>
      </c>
      <c r="I230" s="349" t="n"/>
      <c r="J230" s="351" t="inlineStr">
        <is>
          <t>SL</t>
        </is>
      </c>
      <c r="K230" s="352" t="n"/>
      <c r="L230" s="352" t="n"/>
      <c r="M230" s="352" t="n"/>
      <c r="N230" s="352">
        <f>IF(M230="","",M230*1.1)</f>
        <v/>
      </c>
      <c r="O230" s="353" t="n">
        <v>71</v>
      </c>
      <c r="P230" s="353" t="n">
        <v>51.1</v>
      </c>
      <c r="Q230" s="353" t="inlineStr">
        <is>
          <t>6/6</t>
        </is>
      </c>
      <c r="R230" s="353" t="n">
        <v>61.3</v>
      </c>
      <c r="S230" s="353" t="n">
        <v>52.1</v>
      </c>
      <c r="T230" s="353" t="n">
        <v>10</v>
      </c>
      <c r="V230" s="346">
        <f>UPPER(A230&amp;" "&amp;B230&amp;" "&amp;D230&amp;" "&amp;E230&amp;" "&amp;F230&amp;" "&amp;G230&amp;" "&amp;H230&amp;" "&amp;I230&amp;" "&amp;J230)</f>
        <v/>
      </c>
      <c r="W230" s="216">
        <f>IF(AND('TRA CỨU TỔNG HỢP'!$B$3&lt;&gt;"",ISNUMBER(SEARCH('TRA CỨU TỔNG HỢP'!$B$3,V230))),MAX($W$3:W229)+1,"")</f>
        <v/>
      </c>
    </row>
    <row r="231" ht="15" customHeight="1" s="217">
      <c r="A231" s="340" t="inlineStr">
        <is>
          <t>HINO</t>
        </is>
      </c>
      <c r="B231" s="341" t="inlineStr">
        <is>
          <t>HH075111</t>
        </is>
      </c>
      <c r="C231" s="340" t="inlineStr">
        <is>
          <t>Garrett</t>
        </is>
      </c>
      <c r="D231" s="340" t="inlineStr">
        <is>
          <t>GT3576</t>
        </is>
      </c>
      <c r="E231" s="340" t="inlineStr">
        <is>
          <t>J08C</t>
        </is>
      </c>
      <c r="F231" s="342" t="inlineStr">
        <is>
          <t>24100-3251C
8G35-200-161
 479016-0002</t>
        </is>
      </c>
      <c r="G231" s="340" t="inlineStr">
        <is>
          <t>Tâm lỗ bu lông 70 x 82.5</t>
        </is>
      </c>
      <c r="H231" s="340" t="inlineStr">
        <is>
          <t>Xe tải Hino</t>
        </is>
      </c>
      <c r="I231" s="340" t="n"/>
      <c r="J231" s="343" t="inlineStr">
        <is>
          <t>JRONE</t>
        </is>
      </c>
      <c r="K231" s="344" t="n"/>
      <c r="L231" s="344" t="n"/>
      <c r="M231" s="344" t="n"/>
      <c r="N231" s="344">
        <f>IF(M231="","",M231*1.1)</f>
        <v/>
      </c>
      <c r="O231" s="345" t="n">
        <v>76.2</v>
      </c>
      <c r="P231" s="345" t="n">
        <v>57</v>
      </c>
      <c r="Q231" s="345" t="inlineStr">
        <is>
          <t>6/6</t>
        </is>
      </c>
      <c r="R231" s="345" t="n">
        <v>68</v>
      </c>
      <c r="S231" s="345" t="n">
        <v>60</v>
      </c>
      <c r="T231" s="345" t="n">
        <v>10</v>
      </c>
      <c r="V231" s="346">
        <f>UPPER(A231&amp;" "&amp;B231&amp;" "&amp;D231&amp;" "&amp;E231&amp;" "&amp;F231&amp;" "&amp;G231&amp;" "&amp;H231&amp;" "&amp;I231&amp;" "&amp;J231)</f>
        <v/>
      </c>
      <c r="W231" s="216">
        <f>IF(AND('TRA CỨU TỔNG HỢP'!$B$3&lt;&gt;"",ISNUMBER(SEARCH('TRA CỨU TỔNG HỢP'!$B$3,V231))),MAX($W$3:W230)+1,"")</f>
        <v/>
      </c>
    </row>
    <row r="232" ht="15" customHeight="1" s="217">
      <c r="A232" s="347" t="inlineStr">
        <is>
          <t xml:space="preserve">  └─ HINO</t>
        </is>
      </c>
      <c r="B232" s="348" t="inlineStr">
        <is>
          <t>HH081731</t>
        </is>
      </c>
      <c r="C232" s="349" t="inlineStr">
        <is>
          <t>Garrett</t>
        </is>
      </c>
      <c r="D232" s="349" t="inlineStr">
        <is>
          <t>GT3576</t>
        </is>
      </c>
      <c r="E232" s="349" t="inlineStr">
        <is>
          <t>J08C</t>
        </is>
      </c>
      <c r="F232" s="350" t="inlineStr">
        <is>
          <t>24100-3251C
8G35-200-161
 479016-0002</t>
        </is>
      </c>
      <c r="G232" s="349" t="inlineStr">
        <is>
          <t>Tâm lỗ bu lông 70 x 82.5</t>
        </is>
      </c>
      <c r="H232" s="349" t="inlineStr">
        <is>
          <t>Xe tải Hino</t>
        </is>
      </c>
      <c r="I232" s="349" t="n"/>
      <c r="J232" s="351" t="inlineStr">
        <is>
          <t>TBS</t>
        </is>
      </c>
      <c r="K232" s="352" t="n"/>
      <c r="L232" s="352" t="n"/>
      <c r="M232" s="352" t="n"/>
      <c r="N232" s="352">
        <f>IF(M232="","",M232*1.1)</f>
        <v/>
      </c>
      <c r="O232" s="353" t="n">
        <v>76.2</v>
      </c>
      <c r="P232" s="353" t="n">
        <v>57</v>
      </c>
      <c r="Q232" s="353" t="inlineStr">
        <is>
          <t>6/6</t>
        </is>
      </c>
      <c r="R232" s="353" t="n">
        <v>68</v>
      </c>
      <c r="S232" s="353" t="n">
        <v>60</v>
      </c>
      <c r="T232" s="353" t="n">
        <v>10</v>
      </c>
      <c r="V232" s="346">
        <f>UPPER(A232&amp;" "&amp;B232&amp;" "&amp;D232&amp;" "&amp;E232&amp;" "&amp;F232&amp;" "&amp;G232&amp;" "&amp;H232&amp;" "&amp;I232&amp;" "&amp;J232)</f>
        <v/>
      </c>
      <c r="W232" s="216">
        <f>IF(AND('TRA CỨU TỔNG HỢP'!$B$3&lt;&gt;"",ISNUMBER(SEARCH('TRA CỨU TỔNG HỢP'!$B$3,V232))),MAX($W$3:W231)+1,"")</f>
        <v/>
      </c>
    </row>
    <row r="233" ht="15" customHeight="1" s="217">
      <c r="A233" s="347" t="inlineStr">
        <is>
          <t xml:space="preserve">  └─ HINO</t>
        </is>
      </c>
      <c r="B233" s="348" t="inlineStr">
        <is>
          <t>HH080288</t>
        </is>
      </c>
      <c r="C233" s="349" t="inlineStr">
        <is>
          <t>Garrett</t>
        </is>
      </c>
      <c r="D233" s="349" t="inlineStr">
        <is>
          <t>GT3576</t>
        </is>
      </c>
      <c r="E233" s="349" t="inlineStr">
        <is>
          <t>J08C</t>
        </is>
      </c>
      <c r="F233" s="350" t="inlineStr">
        <is>
          <t>24100-3251C
8G35-200-161
 479016-0002</t>
        </is>
      </c>
      <c r="G233" s="349" t="inlineStr">
        <is>
          <t>Tâm lỗ bu lông 70 x 82.5</t>
        </is>
      </c>
      <c r="H233" s="349" t="inlineStr">
        <is>
          <t>Xe tải Hino</t>
        </is>
      </c>
      <c r="I233" s="349" t="n"/>
      <c r="J233" s="351" t="inlineStr">
        <is>
          <t>SL</t>
        </is>
      </c>
      <c r="K233" s="352" t="n"/>
      <c r="L233" s="352" t="n"/>
      <c r="M233" s="352" t="n"/>
      <c r="N233" s="352">
        <f>IF(M233="","",M233*1.1)</f>
        <v/>
      </c>
      <c r="O233" s="353" t="n">
        <v>76.2</v>
      </c>
      <c r="P233" s="353" t="n">
        <v>57</v>
      </c>
      <c r="Q233" s="353" t="inlineStr">
        <is>
          <t>6/6</t>
        </is>
      </c>
      <c r="R233" s="353" t="n">
        <v>68</v>
      </c>
      <c r="S233" s="353" t="n">
        <v>60</v>
      </c>
      <c r="T233" s="353" t="n">
        <v>10</v>
      </c>
      <c r="V233" s="346">
        <f>UPPER(A233&amp;" "&amp;B233&amp;" "&amp;D233&amp;" "&amp;E233&amp;" "&amp;F233&amp;" "&amp;G233&amp;" "&amp;H233&amp;" "&amp;I233&amp;" "&amp;J233)</f>
        <v/>
      </c>
      <c r="W233" s="216">
        <f>IF(AND('TRA CỨU TỔNG HỢP'!$B$3&lt;&gt;"",ISNUMBER(SEARCH('TRA CỨU TỔNG HỢP'!$B$3,V233))),MAX($W$3:W232)+1,"")</f>
        <v/>
      </c>
    </row>
    <row r="234" ht="19.5" customHeight="1" s="217">
      <c r="A234" s="339" t="inlineStr">
        <is>
          <t xml:space="preserve">  🏭  HITACHI   ·   31 loại turbo</t>
        </is>
      </c>
      <c r="W234" s="216">
        <f>IF(AND('TRA CỨU TỔNG HỢP'!$B$3&lt;&gt;"",ISNUMBER(SEARCH('TRA CỨU TỔNG HỢP'!$B$3,V234))),MAX($W$3:W233)+1,"")</f>
        <v/>
      </c>
    </row>
    <row r="235" ht="15" customHeight="1" s="217">
      <c r="A235" s="354" t="inlineStr">
        <is>
          <t>HITACHI</t>
        </is>
      </c>
      <c r="B235" s="355" t="inlineStr">
        <is>
          <t>HH077140</t>
        </is>
      </c>
      <c r="C235" s="354" t="inlineStr">
        <is>
          <t>IHI</t>
        </is>
      </c>
      <c r="D235" s="354" t="inlineStr">
        <is>
          <t>RHF3</t>
        </is>
      </c>
      <c r="E235" s="354" t="inlineStr">
        <is>
          <t>4LE2</t>
        </is>
      </c>
      <c r="F235" s="356" t="inlineStr">
        <is>
          <t>8980928220
8I03-100-L62
VB410146/VA410146/VC410146/VD410146/VI8980928220/VI8980928220R/CIGF/F31CNDS0146G/VA410146/F31CNDS0146B</t>
        </is>
      </c>
      <c r="G235" s="354" t="inlineStr">
        <is>
          <t>chân tam giác ,cổ gang bắt 4 lỗ bulon</t>
        </is>
      </c>
      <c r="H235" s="354" t="inlineStr">
        <is>
          <t>ZX160-3/ZX70/ZX75/SK70SR-2</t>
        </is>
      </c>
      <c r="I235" s="354" t="n"/>
      <c r="J235" s="357" t="inlineStr">
        <is>
          <t>JRONE</t>
        </is>
      </c>
      <c r="K235" s="358" t="n"/>
      <c r="L235" s="358" t="n"/>
      <c r="M235" s="358" t="n"/>
      <c r="N235" s="358">
        <f>IF(M235="","",M235*1.1)</f>
        <v/>
      </c>
      <c r="O235" s="359" t="n"/>
      <c r="P235" s="359" t="n"/>
      <c r="Q235" s="359" t="n"/>
      <c r="R235" s="359" t="n"/>
      <c r="S235" s="359" t="n"/>
      <c r="T235" s="359" t="n"/>
      <c r="V235" s="346">
        <f>UPPER(A235&amp;" "&amp;B235&amp;" "&amp;D235&amp;" "&amp;E235&amp;" "&amp;F235&amp;" "&amp;G235&amp;" "&amp;H235&amp;" "&amp;I235&amp;" "&amp;J235)</f>
        <v/>
      </c>
      <c r="W235" s="216">
        <f>IF(AND('TRA CỨU TỔNG HỢP'!$B$3&lt;&gt;"",ISNUMBER(SEARCH('TRA CỨU TỔNG HỢP'!$B$3,V235))),MAX($W$3:W234)+1,"")</f>
        <v/>
      </c>
    </row>
    <row r="236" ht="15" customHeight="1" s="217">
      <c r="A236" s="354" t="inlineStr">
        <is>
          <t>HITACHI</t>
        </is>
      </c>
      <c r="B236" s="355" t="inlineStr">
        <is>
          <t>HH075388</t>
        </is>
      </c>
      <c r="C236" s="354" t="inlineStr">
        <is>
          <t>IHI</t>
        </is>
      </c>
      <c r="D236" s="354" t="inlineStr">
        <is>
          <t>RHF5</t>
        </is>
      </c>
      <c r="E236" s="354" t="inlineStr">
        <is>
          <t>4JJ1-T</t>
        </is>
      </c>
      <c r="F236" s="356" t="inlineStr">
        <is>
          <t>8981851941
8I05-100-L63
VA430101/VB430101/VC430101/VD430101
8981851941/8980198930/8981851940</t>
        </is>
      </c>
      <c r="G236" s="354" t="inlineStr">
        <is>
          <t>Không điều tốc</t>
        </is>
      </c>
      <c r="H236" s="354" t="inlineStr">
        <is>
          <t>ZX160-3</t>
        </is>
      </c>
      <c r="I236" s="354" t="n"/>
      <c r="J236" s="357" t="inlineStr">
        <is>
          <t>JRONE</t>
        </is>
      </c>
      <c r="K236" s="358" t="n"/>
      <c r="L236" s="358" t="n"/>
      <c r="M236" s="358" t="n"/>
      <c r="N236" s="358">
        <f>IF(M236="","",M236*1.1)</f>
        <v/>
      </c>
      <c r="O236" s="359" t="n"/>
      <c r="P236" s="359" t="n"/>
      <c r="Q236" s="359" t="n"/>
      <c r="R236" s="359" t="n"/>
      <c r="S236" s="359" t="n"/>
      <c r="T236" s="359" t="n"/>
      <c r="V236" s="346">
        <f>UPPER(A236&amp;" "&amp;B236&amp;" "&amp;D236&amp;" "&amp;E236&amp;" "&amp;F236&amp;" "&amp;G236&amp;" "&amp;H236&amp;" "&amp;I236&amp;" "&amp;J236)</f>
        <v/>
      </c>
      <c r="W236" s="216">
        <f>IF(AND('TRA CỨU TỔNG HỢP'!$B$3&lt;&gt;"",ISNUMBER(SEARCH('TRA CỨU TỔNG HỢP'!$B$3,V236))),MAX($W$3:W235)+1,"")</f>
        <v/>
      </c>
    </row>
    <row r="237" ht="15" customHeight="1" s="217">
      <c r="A237" s="340" t="inlineStr">
        <is>
          <t>HITACHI</t>
        </is>
      </c>
      <c r="B237" s="341" t="inlineStr">
        <is>
          <t>HH080253</t>
        </is>
      </c>
      <c r="C237" s="340" t="inlineStr">
        <is>
          <t>IHI</t>
        </is>
      </c>
      <c r="D237" s="340" t="inlineStr">
        <is>
          <t>RHF5</t>
        </is>
      </c>
      <c r="E237" s="340" t="inlineStr">
        <is>
          <t>4JJ1-T</t>
        </is>
      </c>
      <c r="F237" s="342" t="inlineStr">
        <is>
          <t>8980976860
8980976861
8980540111</t>
        </is>
      </c>
      <c r="G237" s="340" t="inlineStr">
        <is>
          <t>(cổ sò gió bắt bu lông) làm mát bằng nước + nhớt</t>
        </is>
      </c>
      <c r="H237" s="340" t="inlineStr">
        <is>
          <t>Xe tải, xe công trình</t>
        </is>
      </c>
      <c r="I237" s="340" t="inlineStr">
        <is>
          <t>có H/A VIDARIR</t>
        </is>
      </c>
      <c r="J237" s="343" t="inlineStr">
        <is>
          <t>VIDARIR</t>
        </is>
      </c>
      <c r="K237" s="344" t="n"/>
      <c r="L237" s="344" t="n"/>
      <c r="M237" s="344" t="n"/>
      <c r="N237" s="344">
        <f>IF(M237="","",M237*1.1)</f>
        <v/>
      </c>
      <c r="O237" s="345" t="n">
        <v>52.5</v>
      </c>
      <c r="P237" s="345" t="n">
        <v>39.3</v>
      </c>
      <c r="Q237" s="345" t="inlineStr">
        <is>
          <t>6/6</t>
        </is>
      </c>
      <c r="R237" s="345" t="n">
        <v>44.3</v>
      </c>
      <c r="S237" s="345" t="n">
        <v>36.2</v>
      </c>
      <c r="T237" s="345" t="n">
        <v>8</v>
      </c>
      <c r="V237" s="346">
        <f>UPPER(A237&amp;" "&amp;B237&amp;" "&amp;D237&amp;" "&amp;E237&amp;" "&amp;F237&amp;" "&amp;G237&amp;" "&amp;H237&amp;" "&amp;I237&amp;" "&amp;J237)</f>
        <v/>
      </c>
      <c r="W237" s="216">
        <f>IF(AND('TRA CỨU TỔNG HỢP'!$B$3&lt;&gt;"",ISNUMBER(SEARCH('TRA CỨU TỔNG HỢP'!$B$3,V237))),MAX($W$3:W236)+1,"")</f>
        <v/>
      </c>
    </row>
    <row r="238" ht="15" customHeight="1" s="217">
      <c r="A238" s="347" t="inlineStr">
        <is>
          <t xml:space="preserve">  └─ HITACHI</t>
        </is>
      </c>
      <c r="B238" s="348" t="inlineStr">
        <is>
          <t>HH080917</t>
        </is>
      </c>
      <c r="C238" s="349" t="inlineStr">
        <is>
          <t>IHI</t>
        </is>
      </c>
      <c r="D238" s="349" t="inlineStr">
        <is>
          <t>RHF5</t>
        </is>
      </c>
      <c r="E238" s="349" t="inlineStr">
        <is>
          <t>4JJ1-T</t>
        </is>
      </c>
      <c r="F238" s="350" t="inlineStr">
        <is>
          <t>8980976860
8980976861
8980540111</t>
        </is>
      </c>
      <c r="G238" s="349" t="inlineStr">
        <is>
          <t>(cổ sò gió bắt bu lông) làm mát bằng nước + nhớt</t>
        </is>
      </c>
      <c r="H238" s="349" t="inlineStr">
        <is>
          <t>Xe tải, xe công trình</t>
        </is>
      </c>
      <c r="I238" s="349" t="inlineStr">
        <is>
          <t>có H/A VIDARIR</t>
        </is>
      </c>
      <c r="J238" s="351" t="inlineStr">
        <is>
          <t>TBS</t>
        </is>
      </c>
      <c r="K238" s="352" t="n"/>
      <c r="L238" s="352" t="n"/>
      <c r="M238" s="352" t="n"/>
      <c r="N238" s="352">
        <f>IF(M238="","",M238*1.1)</f>
        <v/>
      </c>
      <c r="O238" s="353" t="n">
        <v>52.5</v>
      </c>
      <c r="P238" s="353" t="n">
        <v>39.3</v>
      </c>
      <c r="Q238" s="353" t="inlineStr">
        <is>
          <t>6/6</t>
        </is>
      </c>
      <c r="R238" s="353" t="n">
        <v>44.3</v>
      </c>
      <c r="S238" s="353" t="n">
        <v>36.2</v>
      </c>
      <c r="T238" s="353" t="n">
        <v>8</v>
      </c>
      <c r="V238" s="346">
        <f>UPPER(A238&amp;" "&amp;B238&amp;" "&amp;D238&amp;" "&amp;E238&amp;" "&amp;F238&amp;" "&amp;G238&amp;" "&amp;H238&amp;" "&amp;I238&amp;" "&amp;J238)</f>
        <v/>
      </c>
      <c r="W238" s="216">
        <f>IF(AND('TRA CỨU TỔNG HỢP'!$B$3&lt;&gt;"",ISNUMBER(SEARCH('TRA CỨU TỔNG HỢP'!$B$3,V238))),MAX($W$3:W237)+1,"")</f>
        <v/>
      </c>
    </row>
    <row r="239" ht="15" customHeight="1" s="217">
      <c r="A239" s="354" t="inlineStr">
        <is>
          <t>HITACHI</t>
        </is>
      </c>
      <c r="B239" s="355" t="inlineStr">
        <is>
          <t>HH075391</t>
        </is>
      </c>
      <c r="C239" s="354" t="inlineStr">
        <is>
          <t>Mitsubishi</t>
        </is>
      </c>
      <c r="D239" s="354" t="inlineStr">
        <is>
          <t>TD04HL-15T</t>
        </is>
      </c>
      <c r="E239" s="354" t="inlineStr">
        <is>
          <t>4BG1/ 4BD1</t>
        </is>
      </c>
      <c r="F239" s="356" t="inlineStr">
        <is>
          <t>8M04-100-H35/49189-00580
49189-00570/08130/02320
897223-4280/49S89-00580
897222-1720/ME080904/897222-1720</t>
        </is>
      </c>
      <c r="G239" s="354" t="inlineStr">
        <is>
          <t>Tâm lỗ bu lông 40 x 73</t>
        </is>
      </c>
      <c r="H239" s="366" t="inlineStr">
        <is>
          <t>ZX120-1 /ZX135US/EX120/SK120/E312B
ruột dùng chung ME080904
49189-00511</t>
        </is>
      </c>
      <c r="I239" s="354" t="inlineStr">
        <is>
          <t>8M04-100-H35 sò gió lớn hơn 49189-00501 xíu có thể ráp lẫn ,ráp lẫn khác nhau chút chiều quay</t>
        </is>
      </c>
      <c r="J239" s="357" t="inlineStr">
        <is>
          <t>JRONE</t>
        </is>
      </c>
      <c r="K239" s="358" t="n"/>
      <c r="L239" s="358" t="n"/>
      <c r="M239" s="358" t="n"/>
      <c r="N239" s="358">
        <f>IF(M239="","",M239*1.1)</f>
        <v/>
      </c>
      <c r="O239" s="359" t="n">
        <v>56</v>
      </c>
      <c r="P239" s="359" t="n">
        <v>43.2</v>
      </c>
      <c r="Q239" s="359" t="inlineStr">
        <is>
          <t>6/6</t>
        </is>
      </c>
      <c r="R239" s="359" t="n">
        <v>52</v>
      </c>
      <c r="S239" s="359" t="n">
        <v>45.6</v>
      </c>
      <c r="T239" s="359" t="n">
        <v>12</v>
      </c>
      <c r="V239" s="346">
        <f>UPPER(A239&amp;" "&amp;B239&amp;" "&amp;D239&amp;" "&amp;E239&amp;" "&amp;F239&amp;" "&amp;G239&amp;" "&amp;H239&amp;" "&amp;I239&amp;" "&amp;J239)</f>
        <v/>
      </c>
      <c r="W239" s="216">
        <f>IF(AND('TRA CỨU TỔNG HỢP'!$B$3&lt;&gt;"",ISNUMBER(SEARCH('TRA CỨU TỔNG HỢP'!$B$3,V239))),MAX($W$3:W238)+1,"")</f>
        <v/>
      </c>
    </row>
    <row r="240" ht="15" customHeight="1" s="217">
      <c r="A240" s="340" t="inlineStr">
        <is>
          <t>HITACHI</t>
        </is>
      </c>
      <c r="B240" s="341" t="inlineStr">
        <is>
          <t>HH082683</t>
        </is>
      </c>
      <c r="C240" s="340" t="inlineStr">
        <is>
          <t>Mitsubishi</t>
        </is>
      </c>
      <c r="D240" s="340" t="inlineStr">
        <is>
          <t>TD04HL-15G</t>
        </is>
      </c>
      <c r="E240" s="340" t="inlineStr">
        <is>
          <t>4BG1/ 4BD1</t>
        </is>
      </c>
      <c r="F240" s="342" t="inlineStr">
        <is>
          <t>49189-00511
49189-00530 49189-00540
8970114741
8971159720
960817125/49189-00550 / 4918900540 | 4918900550 | 4918900511
8-97115-972-0 | 8-97011-474-1 | 8971159720 | 8970114741 | 960817125 | 5I-7585 | 5I-7952 | 5I7585 | 5I7952</t>
        </is>
      </c>
      <c r="G240" s="340" t="inlineStr">
        <is>
          <t>Tâm lỗ bu lông 40 x 73</t>
        </is>
      </c>
      <c r="H240" s="340" t="inlineStr">
        <is>
          <t>SK120/EX120-5/E312B/Caterpillar 318C, 320, 320 L, 320B, 320B L, 320B N, 320N</t>
        </is>
      </c>
      <c r="I240" s="340" t="n"/>
      <c r="J240" s="343" t="inlineStr">
        <is>
          <t>SL</t>
        </is>
      </c>
      <c r="K240" s="344" t="n"/>
      <c r="L240" s="344" t="n"/>
      <c r="M240" s="344" t="n"/>
      <c r="N240" s="344">
        <f>IF(M240="","",M240*1.1)</f>
        <v/>
      </c>
      <c r="O240" s="345" t="n">
        <v>56</v>
      </c>
      <c r="P240" s="345" t="n">
        <v>43</v>
      </c>
      <c r="Q240" s="345" t="inlineStr">
        <is>
          <t>6/6</t>
        </is>
      </c>
      <c r="R240" s="345" t="n">
        <v>52</v>
      </c>
      <c r="S240" s="345" t="n">
        <v>45.6</v>
      </c>
      <c r="T240" s="345" t="n">
        <v>12</v>
      </c>
      <c r="V240" s="346">
        <f>UPPER(A240&amp;" "&amp;B240&amp;" "&amp;D240&amp;" "&amp;E240&amp;" "&amp;F240&amp;" "&amp;G240&amp;" "&amp;H240&amp;" "&amp;I240&amp;" "&amp;J240)</f>
        <v/>
      </c>
      <c r="W240" s="216">
        <f>IF(AND('TRA CỨU TỔNG HỢP'!$B$3&lt;&gt;"",ISNUMBER(SEARCH('TRA CỨU TỔNG HỢP'!$B$3,V240))),MAX($W$3:W239)+1,"")</f>
        <v/>
      </c>
    </row>
    <row r="241" ht="15" customHeight="1" s="217">
      <c r="A241" s="347" t="inlineStr">
        <is>
          <t xml:space="preserve">  └─ HITACHI</t>
        </is>
      </c>
      <c r="B241" s="348" t="inlineStr">
        <is>
          <t>HH083253</t>
        </is>
      </c>
      <c r="C241" s="349" t="inlineStr">
        <is>
          <t>Mitsubishi</t>
        </is>
      </c>
      <c r="D241" s="349" t="inlineStr">
        <is>
          <t>TD04HL-15G</t>
        </is>
      </c>
      <c r="E241" s="349" t="inlineStr">
        <is>
          <t>4BG1/ 4BD1</t>
        </is>
      </c>
      <c r="F241" s="350" t="inlineStr">
        <is>
          <t>49189-00511
49189-00530 49189-00540
8970114741
8971159720
960817125/49189-00550 / 4918900540 | 4918900550 | 4918900511
8-97115-972-0 | 8-97011-474-1 | 8971159720 | 8970114741 | 960817125 | 5I-7585 | 5I-7952 | 5I7585 | 5I7952</t>
        </is>
      </c>
      <c r="G241" s="349" t="inlineStr">
        <is>
          <t>Tâm lỗ bu lông 40 x 73</t>
        </is>
      </c>
      <c r="H241" s="349" t="inlineStr">
        <is>
          <t>SK120/EX120-5/E312B/Caterpillar 318C, 320, 320 L, 320B, 320B L, 320B N, 320N</t>
        </is>
      </c>
      <c r="I241" s="349" t="n"/>
      <c r="J241" s="351" t="inlineStr">
        <is>
          <t>SL</t>
        </is>
      </c>
      <c r="K241" s="352" t="n"/>
      <c r="L241" s="352" t="n"/>
      <c r="M241" s="352" t="n"/>
      <c r="N241" s="352">
        <f>IF(M241="","",M241*1.1)</f>
        <v/>
      </c>
      <c r="O241" s="353" t="n">
        <v>56</v>
      </c>
      <c r="P241" s="353" t="n">
        <v>43</v>
      </c>
      <c r="Q241" s="353" t="inlineStr">
        <is>
          <t>6/6</t>
        </is>
      </c>
      <c r="R241" s="353" t="n">
        <v>52</v>
      </c>
      <c r="S241" s="353" t="n">
        <v>45.6</v>
      </c>
      <c r="T241" s="353" t="n">
        <v>12</v>
      </c>
      <c r="V241" s="346">
        <f>UPPER(A241&amp;" "&amp;B241&amp;" "&amp;D241&amp;" "&amp;E241&amp;" "&amp;F241&amp;" "&amp;G241&amp;" "&amp;H241&amp;" "&amp;I241&amp;" "&amp;J241)</f>
        <v/>
      </c>
      <c r="W241" s="216">
        <f>IF(AND('TRA CỨU TỔNG HỢP'!$B$3&lt;&gt;"",ISNUMBER(SEARCH('TRA CỨU TỔNG HỢP'!$B$3,V241))),MAX($W$3:W240)+1,"")</f>
        <v/>
      </c>
    </row>
    <row r="242" ht="15" customHeight="1" s="217">
      <c r="A242" s="340" t="inlineStr">
        <is>
          <t>HITACHI</t>
        </is>
      </c>
      <c r="B242" s="341" t="inlineStr">
        <is>
          <t>HH083318</t>
        </is>
      </c>
      <c r="C242" s="340" t="inlineStr">
        <is>
          <t>Mitsubishi</t>
        </is>
      </c>
      <c r="D242" s="340" t="inlineStr">
        <is>
          <t>TD04H-15G</t>
        </is>
      </c>
      <c r="E242" s="340" t="inlineStr">
        <is>
          <t>4BD1/4BG1</t>
        </is>
      </c>
      <c r="F242" s="342" t="inlineStr">
        <is>
          <t>49189-00501
8943675161</t>
        </is>
      </c>
      <c r="G242" s="340" t="inlineStr">
        <is>
          <t>Tâm lỗ bu lông 40 x 73</t>
        </is>
      </c>
      <c r="H242" s="340" t="inlineStr">
        <is>
          <t>SK120/EX120-2 /3/5 E312B</t>
        </is>
      </c>
      <c r="I242" s="340" t="n"/>
      <c r="J242" s="343" t="inlineStr">
        <is>
          <t>SL</t>
        </is>
      </c>
      <c r="K242" s="344" t="n"/>
      <c r="L242" s="344" t="n"/>
      <c r="M242" s="344" t="n"/>
      <c r="N242" s="344">
        <f>IF(M242="","",M242*1.1)</f>
        <v/>
      </c>
      <c r="O242" s="345" t="n">
        <v>56</v>
      </c>
      <c r="P242" s="345" t="n">
        <v>43</v>
      </c>
      <c r="Q242" s="345" t="inlineStr">
        <is>
          <t>6/6</t>
        </is>
      </c>
      <c r="R242" s="345" t="n">
        <v>52</v>
      </c>
      <c r="S242" s="345" t="n">
        <v>45.6</v>
      </c>
      <c r="T242" s="345" t="n">
        <v>12</v>
      </c>
      <c r="V242" s="346">
        <f>UPPER(A242&amp;" "&amp;B242&amp;" "&amp;D242&amp;" "&amp;E242&amp;" "&amp;F242&amp;" "&amp;G242&amp;" "&amp;H242&amp;" "&amp;I242&amp;" "&amp;J242)</f>
        <v/>
      </c>
      <c r="W242" s="216">
        <f>IF(AND('TRA CỨU TỔNG HỢP'!$B$3&lt;&gt;"",ISNUMBER(SEARCH('TRA CỨU TỔNG HỢP'!$B$3,V242))),MAX($W$3:W241)+1,"")</f>
        <v/>
      </c>
    </row>
    <row r="243" ht="15" customHeight="1" s="217">
      <c r="A243" s="347" t="inlineStr">
        <is>
          <t xml:space="preserve">  └─ HITACHI</t>
        </is>
      </c>
      <c r="B243" s="348" t="inlineStr">
        <is>
          <t>HH080011</t>
        </is>
      </c>
      <c r="C243" s="349" t="inlineStr">
        <is>
          <t>Mitsubishi</t>
        </is>
      </c>
      <c r="D243" s="349" t="inlineStr">
        <is>
          <t>TD04H-15G</t>
        </is>
      </c>
      <c r="E243" s="349" t="inlineStr">
        <is>
          <t>4BD1/4BG1</t>
        </is>
      </c>
      <c r="F243" s="350" t="inlineStr">
        <is>
          <t>49189-00501
8943675161</t>
        </is>
      </c>
      <c r="G243" s="349" t="inlineStr">
        <is>
          <t>Tâm lỗ bu lông 40 x 73</t>
        </is>
      </c>
      <c r="H243" s="349" t="inlineStr">
        <is>
          <t>SK120/EX120-2 /3/5 E312B</t>
        </is>
      </c>
      <c r="I243" s="349" t="n"/>
      <c r="J243" s="351" t="inlineStr">
        <is>
          <t>SL</t>
        </is>
      </c>
      <c r="K243" s="352" t="n"/>
      <c r="L243" s="352" t="n"/>
      <c r="M243" s="352" t="n"/>
      <c r="N243" s="352">
        <f>IF(M243="","",M243*1.1)</f>
        <v/>
      </c>
      <c r="O243" s="353" t="n">
        <v>56</v>
      </c>
      <c r="P243" s="353" t="n">
        <v>43</v>
      </c>
      <c r="Q243" s="353" t="inlineStr">
        <is>
          <t>6/6</t>
        </is>
      </c>
      <c r="R243" s="353" t="n">
        <v>52</v>
      </c>
      <c r="S243" s="353" t="n">
        <v>45.6</v>
      </c>
      <c r="T243" s="353" t="n">
        <v>12</v>
      </c>
      <c r="V243" s="346">
        <f>UPPER(A243&amp;" "&amp;B243&amp;" "&amp;D243&amp;" "&amp;E243&amp;" "&amp;F243&amp;" "&amp;G243&amp;" "&amp;H243&amp;" "&amp;I243&amp;" "&amp;J243)</f>
        <v/>
      </c>
      <c r="W243" s="216">
        <f>IF(AND('TRA CỨU TỔNG HỢP'!$B$3&lt;&gt;"",ISNUMBER(SEARCH('TRA CỨU TỔNG HỢP'!$B$3,V243))),MAX($W$3:W242)+1,"")</f>
        <v/>
      </c>
    </row>
    <row r="244" ht="15" customHeight="1" s="217">
      <c r="A244" s="347" t="inlineStr">
        <is>
          <t xml:space="preserve">  └─ HITACHI</t>
        </is>
      </c>
      <c r="B244" s="348" t="inlineStr">
        <is>
          <t>HH070624</t>
        </is>
      </c>
      <c r="C244" s="349" t="inlineStr">
        <is>
          <t>Mitsubishi</t>
        </is>
      </c>
      <c r="D244" s="349" t="inlineStr">
        <is>
          <t>TD04H-15G</t>
        </is>
      </c>
      <c r="E244" s="349" t="inlineStr">
        <is>
          <t>4BD1/4BG1</t>
        </is>
      </c>
      <c r="F244" s="350" t="inlineStr">
        <is>
          <t>49189-00501
8943675161</t>
        </is>
      </c>
      <c r="G244" s="349" t="inlineStr">
        <is>
          <t>Tâm lỗ bu lông 40 x 73</t>
        </is>
      </c>
      <c r="H244" s="349" t="inlineStr">
        <is>
          <t>SK120/EX120-2 /3/5 E312B</t>
        </is>
      </c>
      <c r="I244" s="349" t="n"/>
      <c r="J244" s="351" t="inlineStr">
        <is>
          <t>SL</t>
        </is>
      </c>
      <c r="K244" s="352" t="n"/>
      <c r="L244" s="352" t="n"/>
      <c r="M244" s="352" t="n"/>
      <c r="N244" s="352">
        <f>IF(M244="","",M244*1.1)</f>
        <v/>
      </c>
      <c r="O244" s="353" t="n">
        <v>56</v>
      </c>
      <c r="P244" s="353" t="n">
        <v>43</v>
      </c>
      <c r="Q244" s="353" t="inlineStr">
        <is>
          <t>6/6</t>
        </is>
      </c>
      <c r="R244" s="353" t="n">
        <v>52</v>
      </c>
      <c r="S244" s="353" t="n">
        <v>45.6</v>
      </c>
      <c r="T244" s="353" t="n">
        <v>12</v>
      </c>
      <c r="V244" s="346">
        <f>UPPER(A244&amp;" "&amp;B244&amp;" "&amp;D244&amp;" "&amp;E244&amp;" "&amp;F244&amp;" "&amp;G244&amp;" "&amp;H244&amp;" "&amp;I244&amp;" "&amp;J244)</f>
        <v/>
      </c>
      <c r="W244" s="216">
        <f>IF(AND('TRA CỨU TỔNG HỢP'!$B$3&lt;&gt;"",ISNUMBER(SEARCH('TRA CỨU TỔNG HỢP'!$B$3,V244))),MAX($W$3:W243)+1,"")</f>
        <v/>
      </c>
    </row>
    <row r="245" ht="15" customHeight="1" s="217">
      <c r="A245" s="360" t="inlineStr">
        <is>
          <t>HITACHI</t>
        </is>
      </c>
      <c r="B245" s="361" t="n"/>
      <c r="C245" s="360" t="inlineStr">
        <is>
          <t>IHI</t>
        </is>
      </c>
      <c r="D245" s="360" t="inlineStr">
        <is>
          <t>RHG7V</t>
        </is>
      </c>
      <c r="E245" s="360" t="inlineStr">
        <is>
          <t>6UZ1</t>
        </is>
      </c>
      <c r="F245" s="362" t="inlineStr">
        <is>
          <t>8983698700
14400-4634</t>
        </is>
      </c>
      <c r="G245" s="360" t="inlineStr">
        <is>
          <t>điều tốc điện</t>
        </is>
      </c>
      <c r="H245" s="360" t="inlineStr">
        <is>
          <t>ZX470-5 ( đời điện )</t>
        </is>
      </c>
      <c r="I245" s="360" t="inlineStr">
        <is>
          <t>chưa nhập ,có hình ảnh chính hãng</t>
        </is>
      </c>
      <c r="J245" s="363" t="n"/>
      <c r="K245" s="364" t="n"/>
      <c r="L245" s="364" t="n"/>
      <c r="M245" s="364" t="n"/>
      <c r="N245" s="364" t="n"/>
      <c r="O245" s="365" t="n"/>
      <c r="P245" s="365" t="n"/>
      <c r="Q245" s="365" t="n"/>
      <c r="R245" s="365" t="n"/>
      <c r="S245" s="365" t="n"/>
      <c r="T245" s="365" t="n"/>
      <c r="V245" s="346">
        <f>UPPER(A245&amp;" "&amp;B245&amp;" "&amp;D245&amp;" "&amp;E245&amp;" "&amp;F245&amp;" "&amp;G245&amp;" "&amp;H245&amp;" "&amp;I245&amp;" "&amp;J245)</f>
        <v/>
      </c>
      <c r="W245" s="216">
        <f>IF(AND('TRA CỨU TỔNG HỢP'!$B$3&lt;&gt;"",ISNUMBER(SEARCH('TRA CỨU TỔNG HỢP'!$B$3,V245))),MAX($W$3:W244)+1,"")</f>
        <v/>
      </c>
    </row>
    <row r="246" ht="15" customHeight="1" s="217">
      <c r="A246" s="367" t="inlineStr">
        <is>
          <t>HITACHI</t>
        </is>
      </c>
      <c r="B246" s="368" t="n"/>
      <c r="C246" s="367" t="inlineStr">
        <is>
          <t>Garrett</t>
        </is>
      </c>
      <c r="D246" s="367" t="inlineStr">
        <is>
          <t>TA5131</t>
        </is>
      </c>
      <c r="E246" s="367" t="inlineStr">
        <is>
          <t>6RB1</t>
        </is>
      </c>
      <c r="F246" s="369" t="inlineStr">
        <is>
          <t>466569-5001S</t>
        </is>
      </c>
      <c r="G246" s="367" t="n"/>
      <c r="H246" s="367" t="inlineStr">
        <is>
          <t>EX400-3/5</t>
        </is>
      </c>
      <c r="I246" s="367" t="n"/>
      <c r="J246" s="370" t="n"/>
      <c r="K246" s="371" t="n"/>
      <c r="L246" s="371" t="n"/>
      <c r="M246" s="371" t="n"/>
      <c r="N246" s="371" t="n"/>
      <c r="O246" s="372" t="n"/>
      <c r="P246" s="372" t="n"/>
      <c r="Q246" s="372" t="n"/>
      <c r="R246" s="372" t="n"/>
      <c r="S246" s="372" t="n"/>
      <c r="T246" s="372" t="n"/>
      <c r="V246" s="216">
        <f>UPPER(A246&amp;" "&amp;B246&amp;" "&amp;D246&amp;" "&amp;E246&amp;" "&amp;F246&amp;" "&amp;G246&amp;" "&amp;H246&amp;" "&amp;I246&amp;" "&amp;J246)</f>
        <v/>
      </c>
      <c r="W246" s="216">
        <f>IF(AND('TRA CỨU TỔNG HỢP'!$B$3&lt;&gt;"",ISNUMBER(SEARCH('TRA CỨU TỔNG HỢP'!$B$3,V246))),MAX($W$3:W245)+1,"")</f>
        <v/>
      </c>
    </row>
    <row r="247" ht="15" customHeight="1" s="217">
      <c r="A247" s="354" t="inlineStr">
        <is>
          <t>HITACHI</t>
        </is>
      </c>
      <c r="B247" s="355" t="inlineStr">
        <is>
          <t>HH078440</t>
        </is>
      </c>
      <c r="C247" s="354" t="inlineStr">
        <is>
          <t>Mitsubishi</t>
        </is>
      </c>
      <c r="D247" s="354" t="inlineStr">
        <is>
          <t>TD08H</t>
        </is>
      </c>
      <c r="E247" s="354" t="inlineStr">
        <is>
          <t>6WG1</t>
        </is>
      </c>
      <c r="F247" s="356" t="inlineStr">
        <is>
          <t>49188-01832</t>
        </is>
      </c>
      <c r="G247" s="354" t="n"/>
      <c r="H247" s="354" t="inlineStr">
        <is>
          <t>ZX450-3</t>
        </is>
      </c>
      <c r="I247" s="354" t="n"/>
      <c r="J247" s="357" t="inlineStr">
        <is>
          <t>VIDARIR</t>
        </is>
      </c>
      <c r="K247" s="358" t="n"/>
      <c r="L247" s="358" t="n"/>
      <c r="M247" s="358" t="n"/>
      <c r="N247" s="358">
        <f>IF(M247="","",M247*1.1)</f>
        <v/>
      </c>
      <c r="O247" s="359" t="n"/>
      <c r="P247" s="359" t="n"/>
      <c r="Q247" s="359" t="n"/>
      <c r="R247" s="359" t="n"/>
      <c r="S247" s="359" t="n"/>
      <c r="T247" s="359" t="n"/>
      <c r="V247" s="216">
        <f>UPPER(A247&amp;" "&amp;B247&amp;" "&amp;D247&amp;" "&amp;E247&amp;" "&amp;F247&amp;" "&amp;G247&amp;" "&amp;H247&amp;" "&amp;I247&amp;" "&amp;J247)</f>
        <v/>
      </c>
      <c r="W247" s="216">
        <f>IF(AND('TRA CỨU TỔNG HỢP'!$B$3&lt;&gt;"",ISNUMBER(SEARCH('TRA CỨU TỔNG HỢP'!$B$3,V247))),MAX($W$3:W246)+1,"")</f>
        <v/>
      </c>
    </row>
    <row r="248" ht="15" customHeight="1" s="217">
      <c r="A248" s="354" t="inlineStr">
        <is>
          <t>HITACHI</t>
        </is>
      </c>
      <c r="B248" s="355" t="inlineStr">
        <is>
          <t>HH078446</t>
        </is>
      </c>
      <c r="C248" s="354" t="inlineStr">
        <is>
          <t>Mitsubishi</t>
        </is>
      </c>
      <c r="D248" s="354" t="inlineStr">
        <is>
          <t>TD08H</t>
        </is>
      </c>
      <c r="E248" s="354" t="inlineStr">
        <is>
          <t>6WF1/6WG1</t>
        </is>
      </c>
      <c r="F248" s="356" t="inlineStr">
        <is>
          <t>49188-01811/49188-01813/114400-3742, 1-14400374-2, 1144003742, 114400-3743, 1-14400374-3, 1144003743</t>
        </is>
      </c>
      <c r="G248" s="354" t="inlineStr">
        <is>
          <t>có đường nước làm mát</t>
        </is>
      </c>
      <c r="H248" s="354" t="n"/>
      <c r="I248" s="354" t="n"/>
      <c r="J248" s="357" t="inlineStr">
        <is>
          <t>VIDARIR</t>
        </is>
      </c>
      <c r="K248" s="358" t="n"/>
      <c r="L248" s="358" t="n"/>
      <c r="M248" s="358" t="n"/>
      <c r="N248" s="358">
        <f>IF(M248="","",M248*1.1)</f>
        <v/>
      </c>
      <c r="O248" s="359" t="n"/>
      <c r="P248" s="359" t="n"/>
      <c r="Q248" s="359" t="n"/>
      <c r="R248" s="359" t="n"/>
      <c r="S248" s="359" t="n"/>
      <c r="T248" s="359" t="n"/>
      <c r="V248" s="216">
        <f>UPPER(A248&amp;" "&amp;B248&amp;" "&amp;D248&amp;" "&amp;E248&amp;" "&amp;F248&amp;" "&amp;G248&amp;" "&amp;H248&amp;" "&amp;I248&amp;" "&amp;J248)</f>
        <v/>
      </c>
      <c r="W248" s="216">
        <f>IF(AND('TRA CỨU TỔNG HỢP'!$B$3&lt;&gt;"",ISNUMBER(SEARCH('TRA CỨU TỔNG HỢP'!$B$3,V248))),MAX($W$3:W247)+1,"")</f>
        <v/>
      </c>
    </row>
    <row r="249" ht="15" customHeight="1" s="217">
      <c r="A249" s="340" t="inlineStr">
        <is>
          <t>HITACHI</t>
        </is>
      </c>
      <c r="B249" s="341" t="inlineStr">
        <is>
          <t>HH075387</t>
        </is>
      </c>
      <c r="C249" s="340" t="inlineStr">
        <is>
          <t>IHI</t>
        </is>
      </c>
      <c r="D249" s="340" t="inlineStr">
        <is>
          <t>RHF55</t>
        </is>
      </c>
      <c r="E249" s="340" t="inlineStr">
        <is>
          <t>4HK1</t>
        </is>
      </c>
      <c r="F249" s="342" t="inlineStr">
        <is>
          <t>VB440031/897362-8390
8984851941/8984851940
8980302170/8I05-100-920/8973628390</t>
        </is>
      </c>
      <c r="G249" s="340" t="inlineStr">
        <is>
          <t>Ko điều tốc</t>
        </is>
      </c>
      <c r="H249" s="373" t="inlineStr">
        <is>
          <t>ZX200/ZX240/ZX270 / ZX225
ZX190W / ZX220W</t>
        </is>
      </c>
      <c r="I249" s="340" t="n"/>
      <c r="J249" s="343" t="inlineStr">
        <is>
          <t>JRONE</t>
        </is>
      </c>
      <c r="K249" s="344" t="n"/>
      <c r="L249" s="344" t="n"/>
      <c r="M249" s="344" t="n"/>
      <c r="N249" s="344">
        <f>IF(M249="","",M249*1.1)</f>
        <v/>
      </c>
      <c r="O249" s="345" t="n">
        <v>60</v>
      </c>
      <c r="P249" s="345" t="n">
        <v>42.9</v>
      </c>
      <c r="Q249" s="345" t="inlineStr">
        <is>
          <t>6/6</t>
        </is>
      </c>
      <c r="R249" s="345" t="n">
        <v>57.5</v>
      </c>
      <c r="S249" s="345" t="n">
        <v>51</v>
      </c>
      <c r="T249" s="345" t="n">
        <v>11</v>
      </c>
      <c r="V249" s="346">
        <f>UPPER(A249&amp;" "&amp;B249&amp;" "&amp;D249&amp;" "&amp;E249&amp;" "&amp;F249&amp;" "&amp;G249&amp;" "&amp;H249&amp;" "&amp;I249&amp;" "&amp;J249)</f>
        <v/>
      </c>
      <c r="W249" s="216">
        <f>IF(AND('TRA CỨU TỔNG HỢP'!$B$3&lt;&gt;"",ISNUMBER(SEARCH('TRA CỨU TỔNG HỢP'!$B$3,V249))),MAX($W$3:W248)+1,"")</f>
        <v/>
      </c>
    </row>
    <row r="250" ht="15" customHeight="1" s="217">
      <c r="A250" s="347" t="inlineStr">
        <is>
          <t xml:space="preserve">  └─ HITACHI</t>
        </is>
      </c>
      <c r="B250" s="348" t="inlineStr">
        <is>
          <t>HH071472</t>
        </is>
      </c>
      <c r="C250" s="349" t="inlineStr">
        <is>
          <t>IHI</t>
        </is>
      </c>
      <c r="D250" s="349" t="inlineStr">
        <is>
          <t>RHF55</t>
        </is>
      </c>
      <c r="E250" s="349" t="inlineStr">
        <is>
          <t>4HK1</t>
        </is>
      </c>
      <c r="F250" s="350" t="inlineStr">
        <is>
          <t>VB440031/897362-8390
8984851941/8984851940
8980302170/8I05-100-920/8973628390</t>
        </is>
      </c>
      <c r="G250" s="349" t="inlineStr">
        <is>
          <t>Ko điều tốc</t>
        </is>
      </c>
      <c r="H250" s="374" t="inlineStr">
        <is>
          <t>ZX200/ZX240/ZX270 / ZX225
ZX190W / ZX220W</t>
        </is>
      </c>
      <c r="I250" s="349" t="n"/>
      <c r="J250" s="351" t="inlineStr">
        <is>
          <t>SL</t>
        </is>
      </c>
      <c r="K250" s="352" t="n"/>
      <c r="L250" s="352" t="n"/>
      <c r="M250" s="352" t="n"/>
      <c r="N250" s="352">
        <f>IF(M250="","",M250*1.1)</f>
        <v/>
      </c>
      <c r="O250" s="353" t="n">
        <v>60</v>
      </c>
      <c r="P250" s="353" t="n">
        <v>42.9</v>
      </c>
      <c r="Q250" s="353" t="inlineStr">
        <is>
          <t>6/6</t>
        </is>
      </c>
      <c r="R250" s="353" t="n">
        <v>57.5</v>
      </c>
      <c r="S250" s="353" t="n">
        <v>51</v>
      </c>
      <c r="T250" s="353" t="n">
        <v>11</v>
      </c>
      <c r="V250" s="346">
        <f>UPPER(A250&amp;" "&amp;B250&amp;" "&amp;D250&amp;" "&amp;E250&amp;" "&amp;F250&amp;" "&amp;G250&amp;" "&amp;H250&amp;" "&amp;I250&amp;" "&amp;J250)</f>
        <v/>
      </c>
      <c r="W250" s="216">
        <f>IF(AND('TRA CỨU TỔNG HỢP'!$B$3&lt;&gt;"",ISNUMBER(SEARCH('TRA CỨU TỔNG HỢP'!$B$3,V250))),MAX($W$3:W249)+1,"")</f>
        <v/>
      </c>
    </row>
    <row r="251" ht="15" customHeight="1" s="217">
      <c r="A251" s="347" t="inlineStr">
        <is>
          <t xml:space="preserve">  └─ HITACHI</t>
        </is>
      </c>
      <c r="B251" s="348" t="inlineStr">
        <is>
          <t>HH082055</t>
        </is>
      </c>
      <c r="C251" s="349" t="inlineStr">
        <is>
          <t>IHI</t>
        </is>
      </c>
      <c r="D251" s="349" t="inlineStr">
        <is>
          <t>RHF55</t>
        </is>
      </c>
      <c r="E251" s="349" t="inlineStr">
        <is>
          <t>4HK1</t>
        </is>
      </c>
      <c r="F251" s="350" t="inlineStr">
        <is>
          <t>VB440031/897362-8390
8984851941/8984851940
8980302170/8I05-100-920/8973628390</t>
        </is>
      </c>
      <c r="G251" s="349" t="inlineStr">
        <is>
          <t>Ko điều tốc</t>
        </is>
      </c>
      <c r="H251" s="374" t="inlineStr">
        <is>
          <t>ZX200/ZX240/ZX270 / ZX225
ZX190W / ZX220W</t>
        </is>
      </c>
      <c r="I251" s="349" t="n"/>
      <c r="J251" s="351" t="inlineStr">
        <is>
          <t>TBS</t>
        </is>
      </c>
      <c r="K251" s="352" t="n"/>
      <c r="L251" s="352" t="n"/>
      <c r="M251" s="352" t="n"/>
      <c r="N251" s="352">
        <f>IF(M251="","",M251*1.1)</f>
        <v/>
      </c>
      <c r="O251" s="353" t="n">
        <v>60</v>
      </c>
      <c r="P251" s="353" t="n">
        <v>42.9</v>
      </c>
      <c r="Q251" s="353" t="inlineStr">
        <is>
          <t>6/6</t>
        </is>
      </c>
      <c r="R251" s="353" t="n">
        <v>57.5</v>
      </c>
      <c r="S251" s="353" t="n">
        <v>51</v>
      </c>
      <c r="T251" s="353" t="n">
        <v>11</v>
      </c>
      <c r="V251" s="346">
        <f>UPPER(A251&amp;" "&amp;B251&amp;" "&amp;D251&amp;" "&amp;E251&amp;" "&amp;F251&amp;" "&amp;G251&amp;" "&amp;H251&amp;" "&amp;I251&amp;" "&amp;J251)</f>
        <v/>
      </c>
      <c r="W251" s="216">
        <f>IF(AND('TRA CỨU TỔNG HỢP'!$B$3&lt;&gt;"",ISNUMBER(SEARCH('TRA CỨU TỔNG HỢP'!$B$3,V251))),MAX($W$3:W250)+1,"")</f>
        <v/>
      </c>
    </row>
    <row r="252" ht="15" customHeight="1" s="217">
      <c r="A252" s="347" t="inlineStr">
        <is>
          <t xml:space="preserve">  └─ HITACHI</t>
        </is>
      </c>
      <c r="B252" s="348" t="inlineStr">
        <is>
          <t>HH080025</t>
        </is>
      </c>
      <c r="C252" s="349" t="inlineStr">
        <is>
          <t>IHI</t>
        </is>
      </c>
      <c r="D252" s="349" t="inlineStr">
        <is>
          <t>RHF55</t>
        </is>
      </c>
      <c r="E252" s="349" t="inlineStr">
        <is>
          <t>4HK1</t>
        </is>
      </c>
      <c r="F252" s="350" t="inlineStr">
        <is>
          <t>VB440031/897362-8390
8984851941/8984851940
8980302170/8I05-100-920/8973628390</t>
        </is>
      </c>
      <c r="G252" s="349" t="inlineStr">
        <is>
          <t>Ko điều tốc</t>
        </is>
      </c>
      <c r="H252" s="374" t="inlineStr">
        <is>
          <t>ZX200/ZX240/ZX270 / ZX225
ZX190W / ZX220W</t>
        </is>
      </c>
      <c r="I252" s="349" t="n"/>
      <c r="J252" s="351" t="n"/>
      <c r="K252" s="352" t="n"/>
      <c r="L252" s="352" t="n"/>
      <c r="M252" s="352" t="n"/>
      <c r="N252" s="352">
        <f>IF(M252="","",M252*1.1)</f>
        <v/>
      </c>
      <c r="O252" s="353" t="n">
        <v>60</v>
      </c>
      <c r="P252" s="353" t="n">
        <v>42.9</v>
      </c>
      <c r="Q252" s="353" t="inlineStr">
        <is>
          <t>6/6</t>
        </is>
      </c>
      <c r="R252" s="353" t="n">
        <v>57.5</v>
      </c>
      <c r="S252" s="353" t="n">
        <v>51</v>
      </c>
      <c r="T252" s="353" t="n">
        <v>11</v>
      </c>
      <c r="V252" s="346">
        <f>UPPER(A252&amp;" "&amp;B252&amp;" "&amp;D252&amp;" "&amp;E252&amp;" "&amp;F252&amp;" "&amp;G252&amp;" "&amp;H252&amp;" "&amp;I252&amp;" "&amp;J252)</f>
        <v/>
      </c>
      <c r="W252" s="216">
        <f>IF(AND('TRA CỨU TỔNG HỢP'!$B$3&lt;&gt;"",ISNUMBER(SEARCH('TRA CỨU TỔNG HỢP'!$B$3,V252))),MAX($W$3:W251)+1,"")</f>
        <v/>
      </c>
    </row>
    <row r="253" ht="15" customHeight="1" s="217">
      <c r="A253" s="354" t="inlineStr">
        <is>
          <t>HITACHI</t>
        </is>
      </c>
      <c r="B253" s="355" t="inlineStr">
        <is>
          <t>HH077422</t>
        </is>
      </c>
      <c r="C253" s="354" t="inlineStr">
        <is>
          <t>Mitsubishi</t>
        </is>
      </c>
      <c r="D253" s="354" t="inlineStr">
        <is>
          <t>TF08</t>
        </is>
      </c>
      <c r="E253" s="354" t="inlineStr">
        <is>
          <t>6SD1</t>
        </is>
      </c>
      <c r="F253" s="356" t="inlineStr">
        <is>
          <t>49134-00020</t>
        </is>
      </c>
      <c r="G253" s="354" t="inlineStr">
        <is>
          <t>(sò gió lớn)</t>
        </is>
      </c>
      <c r="H253" s="354" t="inlineStr">
        <is>
          <t>EX300-5</t>
        </is>
      </c>
      <c r="I253" s="354" t="n"/>
      <c r="J253" s="357" t="inlineStr">
        <is>
          <t>MX</t>
        </is>
      </c>
      <c r="K253" s="358" t="n"/>
      <c r="L253" s="358" t="n"/>
      <c r="M253" s="358" t="n"/>
      <c r="N253" s="358">
        <f>IF(M253="","",M253*1.1)</f>
        <v/>
      </c>
      <c r="O253" s="359" t="n"/>
      <c r="P253" s="359" t="n"/>
      <c r="Q253" s="359" t="n"/>
      <c r="R253" s="359" t="n"/>
      <c r="S253" s="359" t="n"/>
      <c r="T253" s="359" t="n"/>
      <c r="V253" s="216">
        <f>UPPER(A253&amp;" "&amp;B253&amp;" "&amp;D253&amp;" "&amp;E253&amp;" "&amp;F253&amp;" "&amp;G253&amp;" "&amp;H253&amp;" "&amp;I253&amp;" "&amp;J253)</f>
        <v/>
      </c>
      <c r="W253" s="216">
        <f>IF(AND('TRA CỨU TỔNG HỢP'!$B$3&lt;&gt;"",ISNUMBER(SEARCH('TRA CỨU TỔNG HỢP'!$B$3,V253))),MAX($W$3:W252)+1,"")</f>
        <v/>
      </c>
    </row>
    <row r="254" ht="15" customHeight="1" s="217">
      <c r="A254" s="340" t="inlineStr">
        <is>
          <t>HITACHI</t>
        </is>
      </c>
      <c r="B254" s="341" t="inlineStr">
        <is>
          <t>HH075279</t>
        </is>
      </c>
      <c r="C254" s="340" t="inlineStr">
        <is>
          <t>IHI</t>
        </is>
      </c>
      <c r="D254" s="340" t="inlineStr">
        <is>
          <t>RHF5</t>
        </is>
      </c>
      <c r="E254" s="340" t="inlineStr">
        <is>
          <t>4JG2</t>
        </is>
      </c>
      <c r="F254" s="342" t="n">
        <v>8971297081</v>
      </c>
      <c r="G254" s="340" t="inlineStr">
        <is>
          <t>Tâm lỗ bu lông 69 x 84</t>
        </is>
      </c>
      <c r="H254" s="340" t="n"/>
      <c r="I254" s="340" t="n"/>
      <c r="J254" s="343" t="inlineStr">
        <is>
          <t>SL</t>
        </is>
      </c>
      <c r="K254" s="344" t="n"/>
      <c r="L254" s="344" t="n"/>
      <c r="M254" s="344" t="n"/>
      <c r="N254" s="344">
        <f>IF(M254="","",M254*1.1)</f>
        <v/>
      </c>
      <c r="O254" s="345" t="n">
        <v>48</v>
      </c>
      <c r="P254" s="345" t="n">
        <v>37.2</v>
      </c>
      <c r="Q254" s="345" t="inlineStr">
        <is>
          <t>6/6</t>
        </is>
      </c>
      <c r="R254" s="345" t="n">
        <v>44.4</v>
      </c>
      <c r="S254" s="345" t="n">
        <v>37.6</v>
      </c>
      <c r="T254" s="345" t="n">
        <v>8</v>
      </c>
      <c r="V254" s="216">
        <f>UPPER(A254&amp;" "&amp;B254&amp;" "&amp;D254&amp;" "&amp;E254&amp;" "&amp;F254&amp;" "&amp;G254&amp;" "&amp;H254&amp;" "&amp;I254&amp;" "&amp;J254)</f>
        <v/>
      </c>
      <c r="W254" s="216">
        <f>IF(AND('TRA CỨU TỔNG HỢP'!$B$3&lt;&gt;"",ISNUMBER(SEARCH('TRA CỨU TỔNG HỢP'!$B$3,V254))),MAX($W$3:W253)+1,"")</f>
        <v/>
      </c>
    </row>
    <row r="255" ht="15" customHeight="1" s="217">
      <c r="A255" s="347" t="inlineStr">
        <is>
          <t xml:space="preserve">  └─ HITACHI</t>
        </is>
      </c>
      <c r="B255" s="348" t="inlineStr">
        <is>
          <t>HH080006</t>
        </is>
      </c>
      <c r="C255" s="349" t="inlineStr">
        <is>
          <t>IHI</t>
        </is>
      </c>
      <c r="D255" s="349" t="inlineStr">
        <is>
          <t>RHF5</t>
        </is>
      </c>
      <c r="E255" s="349" t="inlineStr">
        <is>
          <t>4JG2</t>
        </is>
      </c>
      <c r="F255" s="350" t="n">
        <v>8971297081</v>
      </c>
      <c r="G255" s="349" t="inlineStr">
        <is>
          <t>Tâm lỗ bu lông 69 x 84</t>
        </is>
      </c>
      <c r="H255" s="349" t="n"/>
      <c r="I255" s="349" t="n"/>
      <c r="J255" s="351" t="inlineStr">
        <is>
          <t>SL</t>
        </is>
      </c>
      <c r="K255" s="352" t="n"/>
      <c r="L255" s="352" t="n"/>
      <c r="M255" s="352" t="n"/>
      <c r="N255" s="352">
        <f>IF(M255="","",M255*1.1)</f>
        <v/>
      </c>
      <c r="O255" s="353" t="n">
        <v>48</v>
      </c>
      <c r="P255" s="353" t="n">
        <v>37.2</v>
      </c>
      <c r="Q255" s="353" t="inlineStr">
        <is>
          <t>6/6</t>
        </is>
      </c>
      <c r="R255" s="353" t="n">
        <v>44.4</v>
      </c>
      <c r="S255" s="353" t="n">
        <v>37.6</v>
      </c>
      <c r="T255" s="353" t="n">
        <v>8</v>
      </c>
      <c r="V255" s="216">
        <f>UPPER(A255&amp;" "&amp;B255&amp;" "&amp;D255&amp;" "&amp;E255&amp;" "&amp;F255&amp;" "&amp;G255&amp;" "&amp;H255&amp;" "&amp;I255&amp;" "&amp;J255)</f>
        <v/>
      </c>
      <c r="W255" s="216">
        <f>IF(AND('TRA CỨU TỔNG HỢP'!$B$3&lt;&gt;"",ISNUMBER(SEARCH('TRA CỨU TỔNG HỢP'!$B$3,V255))),MAX($W$3:W254)+1,"")</f>
        <v/>
      </c>
    </row>
    <row r="256" ht="15" customHeight="1" s="217">
      <c r="A256" s="340" t="inlineStr">
        <is>
          <t>HITACHI</t>
        </is>
      </c>
      <c r="B256" s="341" t="inlineStr">
        <is>
          <t>HH079069</t>
        </is>
      </c>
      <c r="C256" s="340" t="inlineStr">
        <is>
          <t>IHI</t>
        </is>
      </c>
      <c r="D256" s="340" t="inlineStr">
        <is>
          <t>RHB5</t>
        </is>
      </c>
      <c r="E256" s="340" t="inlineStr">
        <is>
          <t>4JG2</t>
        </is>
      </c>
      <c r="F256" s="342" t="inlineStr">
        <is>
          <t>8970385180/VI95 VA180027 VD180027 VE180027
8970385181</t>
        </is>
      </c>
      <c r="G256" s="340" t="inlineStr">
        <is>
          <t>Có đường làm mát nước</t>
        </is>
      </c>
      <c r="H256" s="340" t="n"/>
      <c r="I256" s="340" t="n"/>
      <c r="J256" s="343" t="inlineStr">
        <is>
          <t>SL</t>
        </is>
      </c>
      <c r="K256" s="344" t="n"/>
      <c r="L256" s="344" t="n"/>
      <c r="M256" s="344" t="n"/>
      <c r="N256" s="344">
        <f>IF(M256="","",M256*1.1)</f>
        <v/>
      </c>
      <c r="O256" s="345" t="n">
        <v>52.5</v>
      </c>
      <c r="P256" s="345" t="n">
        <v>38.6</v>
      </c>
      <c r="Q256" s="345" t="inlineStr">
        <is>
          <t>5/5</t>
        </is>
      </c>
      <c r="R256" s="345" t="n">
        <v>52.5</v>
      </c>
      <c r="S256" s="345" t="n">
        <v>44</v>
      </c>
      <c r="T256" s="345" t="n">
        <v>12</v>
      </c>
      <c r="V256" s="346">
        <f>UPPER(A256&amp;" "&amp;B256&amp;" "&amp;D256&amp;" "&amp;E256&amp;" "&amp;F256&amp;" "&amp;G256&amp;" "&amp;H256&amp;" "&amp;I256&amp;" "&amp;J256)</f>
        <v/>
      </c>
      <c r="W256" s="216">
        <f>IF(AND('TRA CỨU TỔNG HỢP'!$B$3&lt;&gt;"",ISNUMBER(SEARCH('TRA CỨU TỔNG HỢP'!$B$3,V256))),MAX($W$3:W255)+1,"")</f>
        <v/>
      </c>
    </row>
    <row r="257" ht="15" customHeight="1" s="217">
      <c r="A257" s="347" t="inlineStr">
        <is>
          <t xml:space="preserve">  └─ HITACHI</t>
        </is>
      </c>
      <c r="B257" s="348" t="inlineStr">
        <is>
          <t>HH080738</t>
        </is>
      </c>
      <c r="C257" s="349" t="inlineStr">
        <is>
          <t>IHI</t>
        </is>
      </c>
      <c r="D257" s="349" t="inlineStr">
        <is>
          <t>RHB5</t>
        </is>
      </c>
      <c r="E257" s="349" t="inlineStr">
        <is>
          <t>4JG2</t>
        </is>
      </c>
      <c r="F257" s="350" t="inlineStr">
        <is>
          <t>8970385180/VI95 VA180027 VD180027 VE180027
8970385181</t>
        </is>
      </c>
      <c r="G257" s="349" t="inlineStr">
        <is>
          <t>Có đường làm mát nước</t>
        </is>
      </c>
      <c r="H257" s="349" t="n"/>
      <c r="I257" s="349" t="n"/>
      <c r="J257" s="351" t="inlineStr">
        <is>
          <t>SL</t>
        </is>
      </c>
      <c r="K257" s="352" t="n"/>
      <c r="L257" s="352" t="n"/>
      <c r="M257" s="352" t="n"/>
      <c r="N257" s="352">
        <f>IF(M257="","",M257*1.1)</f>
        <v/>
      </c>
      <c r="O257" s="353" t="n">
        <v>52.5</v>
      </c>
      <c r="P257" s="353" t="n">
        <v>38.6</v>
      </c>
      <c r="Q257" s="353" t="inlineStr">
        <is>
          <t>5/5</t>
        </is>
      </c>
      <c r="R257" s="353" t="n">
        <v>52.5</v>
      </c>
      <c r="S257" s="353" t="n">
        <v>44</v>
      </c>
      <c r="T257" s="353" t="n">
        <v>12</v>
      </c>
      <c r="V257" s="346">
        <f>UPPER(A257&amp;" "&amp;B257&amp;" "&amp;D257&amp;" "&amp;E257&amp;" "&amp;F257&amp;" "&amp;G257&amp;" "&amp;H257&amp;" "&amp;I257&amp;" "&amp;J257)</f>
        <v/>
      </c>
      <c r="W257" s="216">
        <f>IF(AND('TRA CỨU TỔNG HỢP'!$B$3&lt;&gt;"",ISNUMBER(SEARCH('TRA CỨU TỔNG HỢP'!$B$3,V257))),MAX($W$3:W256)+1,"")</f>
        <v/>
      </c>
    </row>
    <row r="258" ht="15" customHeight="1" s="217">
      <c r="A258" s="367" t="inlineStr">
        <is>
          <t>HITACHI</t>
        </is>
      </c>
      <c r="B258" s="368" t="n"/>
      <c r="C258" s="367" t="inlineStr">
        <is>
          <t>Garrett</t>
        </is>
      </c>
      <c r="D258" s="367" t="inlineStr">
        <is>
          <t>TA5131/TA5136</t>
        </is>
      </c>
      <c r="E258" s="367" t="inlineStr">
        <is>
          <t>6RB1</t>
        </is>
      </c>
      <c r="F258" s="369" t="inlineStr">
        <is>
          <t>466569-5001S
114400-3400
114400-3360</t>
        </is>
      </c>
      <c r="G258" s="367" t="n"/>
      <c r="H258" s="376" t="inlineStr">
        <is>
          <t>EX400-3/5
EX450-5</t>
        </is>
      </c>
      <c r="I258" s="367" t="n"/>
      <c r="J258" s="370" t="n"/>
      <c r="K258" s="371" t="n"/>
      <c r="L258" s="371" t="n"/>
      <c r="M258" s="371" t="n"/>
      <c r="N258" s="371" t="n"/>
      <c r="O258" s="372" t="n"/>
      <c r="P258" s="372" t="n"/>
      <c r="Q258" s="372" t="n"/>
      <c r="R258" s="372" t="n"/>
      <c r="S258" s="372" t="n"/>
      <c r="T258" s="372" t="n"/>
      <c r="V258" s="346">
        <f>UPPER(A258&amp;" "&amp;B258&amp;" "&amp;D258&amp;" "&amp;E258&amp;" "&amp;F258&amp;" "&amp;G258&amp;" "&amp;H258&amp;" "&amp;I258&amp;" "&amp;J258)</f>
        <v/>
      </c>
      <c r="W258" s="216">
        <f>IF(AND('TRA CỨU TỔNG HỢP'!$B$3&lt;&gt;"",ISNUMBER(SEARCH('TRA CỨU TỔNG HỢP'!$B$3,V258))),MAX($W$3:W257)+1,"")</f>
        <v/>
      </c>
    </row>
    <row r="259" ht="15" customHeight="1" s="217">
      <c r="A259" s="354" t="inlineStr">
        <is>
          <t>HITACHI</t>
        </is>
      </c>
      <c r="B259" s="355" t="inlineStr">
        <is>
          <t>HH078003</t>
        </is>
      </c>
      <c r="C259" s="354" t="inlineStr">
        <is>
          <t>IHI</t>
        </is>
      </c>
      <c r="D259" s="354" t="inlineStr">
        <is>
          <t>RHC6</t>
        </is>
      </c>
      <c r="E259" s="354" t="inlineStr">
        <is>
          <t>H07C-T</t>
        </is>
      </c>
      <c r="F259" s="356" t="inlineStr">
        <is>
          <t>24100-2780A
8I06-200-C63</t>
        </is>
      </c>
      <c r="G259" s="354" t="inlineStr">
        <is>
          <t>Tâm lỗ bu lông 44.5 x 86</t>
        </is>
      </c>
      <c r="H259" s="354" t="inlineStr">
        <is>
          <t>đời máy đào HITACHI</t>
        </is>
      </c>
      <c r="I259" s="366" t="inlineStr">
        <is>
          <t>( quay sò gió để lắp 
 RHC6/ H06C-T/ EX220-5)
dây điều tốc ngắn lên bảo bảy xoay hộ /có HA</t>
        </is>
      </c>
      <c r="J259" s="357" t="inlineStr">
        <is>
          <t>JRONE</t>
        </is>
      </c>
      <c r="K259" s="358" t="n"/>
      <c r="L259" s="358" t="n"/>
      <c r="M259" s="358" t="n"/>
      <c r="N259" s="358">
        <f>IF(M259="","",M259*1.1)</f>
        <v/>
      </c>
      <c r="O259" s="359" t="n"/>
      <c r="P259" s="359" t="n"/>
      <c r="Q259" s="359" t="n"/>
      <c r="R259" s="359" t="n"/>
      <c r="S259" s="359" t="n"/>
      <c r="T259" s="359" t="n"/>
      <c r="V259" s="346">
        <f>UPPER(A259&amp;" "&amp;B259&amp;" "&amp;D259&amp;" "&amp;E259&amp;" "&amp;F259&amp;" "&amp;G259&amp;" "&amp;H259&amp;" "&amp;I259&amp;" "&amp;J259)</f>
        <v/>
      </c>
      <c r="W259" s="216">
        <f>IF(AND('TRA CỨU TỔNG HỢP'!$B$3&lt;&gt;"",ISNUMBER(SEARCH('TRA CỨU TỔNG HỢP'!$B$3,V259))),MAX($W$3:W258)+1,"")</f>
        <v/>
      </c>
    </row>
    <row r="260" ht="15" customHeight="1" s="217">
      <c r="A260" s="340" t="inlineStr">
        <is>
          <t>HITACHI</t>
        </is>
      </c>
      <c r="B260" s="341" t="inlineStr">
        <is>
          <t>HH075112</t>
        </is>
      </c>
      <c r="C260" s="340" t="inlineStr">
        <is>
          <t>IHI</t>
        </is>
      </c>
      <c r="D260" s="340" t="inlineStr">
        <is>
          <t>RHG6</t>
        </is>
      </c>
      <c r="E260" s="340" t="inlineStr">
        <is>
          <t>6BG1</t>
        </is>
      </c>
      <c r="F260" s="342" t="inlineStr">
        <is>
          <t>114400-3770
8I06-100-H31</t>
        </is>
      </c>
      <c r="G260" s="373" t="inlineStr">
        <is>
          <t>Tâm lỗ bu lông 69 x 84 
 (cổ ra bắt 4 bulon )</t>
        </is>
      </c>
      <c r="H260" s="340" t="inlineStr">
        <is>
          <t>EX200-5/6/ZX200/EX230-6 / ZX230</t>
        </is>
      </c>
      <c r="I260" s="340" t="inlineStr">
        <is>
          <t>nắp lẫn  (114400-3890) khác chiều quay .có hình ảnh</t>
        </is>
      </c>
      <c r="J260" s="343" t="inlineStr">
        <is>
          <t>JRONE</t>
        </is>
      </c>
      <c r="K260" s="344" t="n"/>
      <c r="L260" s="344" t="n"/>
      <c r="M260" s="344" t="n"/>
      <c r="N260" s="344">
        <f>IF(M260="","",M260*1.1)</f>
        <v/>
      </c>
      <c r="O260" s="345" t="n">
        <v>75</v>
      </c>
      <c r="P260" s="345" t="n">
        <v>53</v>
      </c>
      <c r="Q260" s="345" t="inlineStr">
        <is>
          <t>6/6</t>
        </is>
      </c>
      <c r="R260" s="345" t="n">
        <v>69.3</v>
      </c>
      <c r="S260" s="345" t="n">
        <v>64</v>
      </c>
      <c r="T260" s="345" t="inlineStr">
        <is>
          <t>11</t>
        </is>
      </c>
      <c r="V260" s="346">
        <f>UPPER(A260&amp;" "&amp;B260&amp;" "&amp;D260&amp;" "&amp;E260&amp;" "&amp;F260&amp;" "&amp;G260&amp;" "&amp;H260&amp;" "&amp;I260&amp;" "&amp;J260)</f>
        <v/>
      </c>
      <c r="W260" s="216">
        <f>IF(AND('TRA CỨU TỔNG HỢP'!$B$3&lt;&gt;"",ISNUMBER(SEARCH('TRA CỨU TỔNG HỢP'!$B$3,V260))),MAX($W$3:W259)+1,"")</f>
        <v/>
      </c>
    </row>
    <row r="261" ht="15" customHeight="1" s="217">
      <c r="A261" s="347" t="inlineStr">
        <is>
          <t xml:space="preserve">  └─ HITACHI</t>
        </is>
      </c>
      <c r="B261" s="348" t="inlineStr">
        <is>
          <t>HH070622</t>
        </is>
      </c>
      <c r="C261" s="349" t="inlineStr">
        <is>
          <t>IHI</t>
        </is>
      </c>
      <c r="D261" s="349" t="inlineStr">
        <is>
          <t>RHG6</t>
        </is>
      </c>
      <c r="E261" s="349" t="inlineStr">
        <is>
          <t>6BG1</t>
        </is>
      </c>
      <c r="F261" s="350" t="inlineStr">
        <is>
          <t>114400-3770
8I06-100-H31</t>
        </is>
      </c>
      <c r="G261" s="374" t="inlineStr">
        <is>
          <t>Tâm lỗ bu lông 69 x 84 
 (cổ ra bắt 4 bulon )</t>
        </is>
      </c>
      <c r="H261" s="349" t="inlineStr">
        <is>
          <t>EX200-5/6/ZX200/EX230-6 / ZX230</t>
        </is>
      </c>
      <c r="I261" s="349" t="inlineStr">
        <is>
          <t>nắp lẫn  (114400-3890) khác chiều quay .có hình ảnh</t>
        </is>
      </c>
      <c r="J261" s="351" t="inlineStr">
        <is>
          <t>SL</t>
        </is>
      </c>
      <c r="K261" s="352" t="n"/>
      <c r="L261" s="352" t="n"/>
      <c r="M261" s="352" t="n"/>
      <c r="N261" s="352">
        <f>IF(M261="","",M261*1.1)</f>
        <v/>
      </c>
      <c r="O261" s="353" t="n">
        <v>75</v>
      </c>
      <c r="P261" s="353" t="n">
        <v>53</v>
      </c>
      <c r="Q261" s="353" t="inlineStr">
        <is>
          <t>6/6</t>
        </is>
      </c>
      <c r="R261" s="353" t="n">
        <v>69.3</v>
      </c>
      <c r="S261" s="353" t="n">
        <v>64</v>
      </c>
      <c r="T261" s="353" t="inlineStr">
        <is>
          <t>11</t>
        </is>
      </c>
      <c r="V261" s="346">
        <f>UPPER(A261&amp;" "&amp;B261&amp;" "&amp;D261&amp;" "&amp;E261&amp;" "&amp;F261&amp;" "&amp;G261&amp;" "&amp;H261&amp;" "&amp;I261&amp;" "&amp;J261)</f>
        <v/>
      </c>
      <c r="W261" s="216">
        <f>IF(AND('TRA CỨU TỔNG HỢP'!$B$3&lt;&gt;"",ISNUMBER(SEARCH('TRA CỨU TỔNG HỢP'!$B$3,V261))),MAX($W$3:W260)+1,"")</f>
        <v/>
      </c>
    </row>
    <row r="262" ht="15" customHeight="1" s="217">
      <c r="A262" s="354" t="inlineStr">
        <is>
          <t>HITACHI</t>
        </is>
      </c>
      <c r="B262" s="355" t="inlineStr">
        <is>
          <t>HH075039</t>
        </is>
      </c>
      <c r="C262" s="354" t="inlineStr">
        <is>
          <t>IHI</t>
        </is>
      </c>
      <c r="D262" s="354" t="inlineStr">
        <is>
          <t>RHG6</t>
        </is>
      </c>
      <c r="E262" s="354" t="inlineStr">
        <is>
          <t>6HK1</t>
        </is>
      </c>
      <c r="F262" s="356" t="inlineStr">
        <is>
          <t>114400-3900
CIDB-VA570033
8I06-100-E92</t>
        </is>
      </c>
      <c r="G262" s="354" t="inlineStr">
        <is>
          <t>Cổ gang xả ra bắt 4 bu lông</t>
        </is>
      </c>
      <c r="H262" s="354" t="inlineStr">
        <is>
          <t>ZX330/ZX350H/ZX350LCH/ZX370MTH/ZX350K /ZX370/6HK1/RHG6</t>
        </is>
      </c>
      <c r="I262" s="354" t="n"/>
      <c r="J262" s="357" t="inlineStr">
        <is>
          <t>JRONE</t>
        </is>
      </c>
      <c r="K262" s="358" t="n"/>
      <c r="L262" s="358" t="n"/>
      <c r="M262" s="358" t="n"/>
      <c r="N262" s="358">
        <f>IF(M262="","",M262*1.1)</f>
        <v/>
      </c>
      <c r="O262" s="359" t="n">
        <v>75.40000000000001</v>
      </c>
      <c r="P262" s="359" t="n">
        <v>53</v>
      </c>
      <c r="Q262" s="359" t="inlineStr">
        <is>
          <t>6/6</t>
        </is>
      </c>
      <c r="R262" s="359" t="n">
        <v>68.40000000000001</v>
      </c>
      <c r="S262" s="359" t="n">
        <v>62</v>
      </c>
      <c r="T262" s="359" t="n">
        <v>11</v>
      </c>
      <c r="V262" s="346">
        <f>UPPER(A262&amp;" "&amp;B262&amp;" "&amp;D262&amp;" "&amp;E262&amp;" "&amp;F262&amp;" "&amp;G262&amp;" "&amp;H262&amp;" "&amp;I262&amp;" "&amp;J262)</f>
        <v/>
      </c>
      <c r="W262" s="216">
        <f>IF(AND('TRA CỨU TỔNG HỢP'!$B$3&lt;&gt;"",ISNUMBER(SEARCH('TRA CỨU TỔNG HỢP'!$B$3,V262))),MAX($W$3:W261)+1,"")</f>
        <v/>
      </c>
    </row>
    <row r="263" ht="15" customHeight="1" s="217">
      <c r="A263" s="354" t="inlineStr">
        <is>
          <t>HITACHI</t>
        </is>
      </c>
      <c r="B263" s="355" t="inlineStr">
        <is>
          <t>HH078835</t>
        </is>
      </c>
      <c r="C263" s="354" t="inlineStr">
        <is>
          <t>IHI</t>
        </is>
      </c>
      <c r="D263" s="354" t="inlineStr">
        <is>
          <t>RHE6</t>
        </is>
      </c>
      <c r="E263" s="354" t="inlineStr">
        <is>
          <t>6BG1</t>
        </is>
      </c>
      <c r="F263" s="356" t="inlineStr">
        <is>
          <t>114400-3332/114400-3350/114400332 114400331 6T611</t>
        </is>
      </c>
      <c r="G263" s="354" t="inlineStr">
        <is>
          <t>cổ gang bắt ống</t>
        </is>
      </c>
      <c r="H263" s="354" t="inlineStr">
        <is>
          <t>EX200-6/EX200-5/EX125W</t>
        </is>
      </c>
      <c r="I263" s="354" t="inlineStr">
        <is>
          <t xml:space="preserve"> máy nhập châu âu </t>
        </is>
      </c>
      <c r="J263" s="357" t="inlineStr">
        <is>
          <t>MX</t>
        </is>
      </c>
      <c r="K263" s="358" t="n"/>
      <c r="L263" s="358" t="n"/>
      <c r="M263" s="358" t="n"/>
      <c r="N263" s="358">
        <f>IF(M263="","",M263*1.1)</f>
        <v/>
      </c>
      <c r="O263" s="359" t="n"/>
      <c r="P263" s="359" t="n"/>
      <c r="Q263" s="359" t="n"/>
      <c r="R263" s="359" t="n"/>
      <c r="S263" s="359" t="n"/>
      <c r="T263" s="359" t="n"/>
      <c r="V263" s="216">
        <f>UPPER(A263&amp;" "&amp;B263&amp;" "&amp;D263&amp;" "&amp;E263&amp;" "&amp;F263&amp;" "&amp;G263&amp;" "&amp;H263&amp;" "&amp;I263&amp;" "&amp;J263)</f>
        <v/>
      </c>
      <c r="W263" s="216">
        <f>IF(AND('TRA CỨU TỔNG HỢP'!$B$3&lt;&gt;"",ISNUMBER(SEARCH('TRA CỨU TỔNG HỢP'!$B$3,V263))),MAX($W$3:W262)+1,"")</f>
        <v/>
      </c>
    </row>
    <row r="264" ht="15" customHeight="1" s="217">
      <c r="A264" s="354" t="inlineStr">
        <is>
          <t>HITACHI</t>
        </is>
      </c>
      <c r="B264" s="355" t="inlineStr">
        <is>
          <t>HH074023</t>
        </is>
      </c>
      <c r="C264" s="354" t="inlineStr">
        <is>
          <t>IHI</t>
        </is>
      </c>
      <c r="D264" s="354" t="inlineStr">
        <is>
          <t>RHG6</t>
        </is>
      </c>
      <c r="E264" s="354" t="inlineStr">
        <is>
          <t>6HK1</t>
        </is>
      </c>
      <c r="F264" s="356" t="inlineStr">
        <is>
          <t>114400-4380/114400-4420
8I06-100-E93/114400-4050</t>
        </is>
      </c>
      <c r="G264" s="354" t="n"/>
      <c r="H264" s="354" t="inlineStr">
        <is>
          <t>ZX330/ZX350-3/ EX300-7</t>
        </is>
      </c>
      <c r="I264" s="354" t="n"/>
      <c r="J264" s="357" t="inlineStr">
        <is>
          <t>JRONE</t>
        </is>
      </c>
      <c r="K264" s="358" t="n"/>
      <c r="L264" s="358" t="n"/>
      <c r="M264" s="358" t="n"/>
      <c r="N264" s="358">
        <f>IF(M264="","",M264*1.1)</f>
        <v/>
      </c>
      <c r="O264" s="359" t="n">
        <v>75</v>
      </c>
      <c r="P264" s="359" t="n">
        <v>50.5</v>
      </c>
      <c r="Q264" s="359" t="inlineStr">
        <is>
          <t>6/6</t>
        </is>
      </c>
      <c r="R264" s="359" t="n">
        <v>64.8</v>
      </c>
      <c r="S264" s="359" t="n">
        <v>53</v>
      </c>
      <c r="T264" s="359" t="n">
        <v>11</v>
      </c>
      <c r="V264" s="346">
        <f>UPPER(A264&amp;" "&amp;B264&amp;" "&amp;D264&amp;" "&amp;E264&amp;" "&amp;F264&amp;" "&amp;G264&amp;" "&amp;H264&amp;" "&amp;I264&amp;" "&amp;J264)</f>
        <v/>
      </c>
      <c r="W264" s="216">
        <f>IF(AND('TRA CỨU TỔNG HỢP'!$B$3&lt;&gt;"",ISNUMBER(SEARCH('TRA CỨU TỔNG HỢP'!$B$3,V264))),MAX($W$3:W263)+1,"")</f>
        <v/>
      </c>
    </row>
    <row r="265" ht="15" customHeight="1" s="217">
      <c r="A265" s="340" t="inlineStr">
        <is>
          <t>HITACHI</t>
        </is>
      </c>
      <c r="B265" s="341" t="inlineStr">
        <is>
          <t>HH076952</t>
        </is>
      </c>
      <c r="C265" s="340" t="inlineStr">
        <is>
          <t>IHI</t>
        </is>
      </c>
      <c r="D265" s="340" t="inlineStr">
        <is>
          <t>RHE6</t>
        </is>
      </c>
      <c r="E265" s="340" t="inlineStr">
        <is>
          <t>6BG1</t>
        </is>
      </c>
      <c r="F265" s="342" t="inlineStr">
        <is>
          <t>114400-3320/VA720015 CIBC
114400332/114400331</t>
        </is>
      </c>
      <c r="G265" s="340" t="inlineStr">
        <is>
          <t>Sò lửa ra bắt ống</t>
        </is>
      </c>
      <c r="H265" s="373" t="inlineStr">
        <is>
          <t>EX200-5(âu mỹ) EX125WD-5
EX220USR / SH200-2</t>
        </is>
      </c>
      <c r="I265" s="340" t="n"/>
      <c r="J265" s="343" t="inlineStr">
        <is>
          <t>SL</t>
        </is>
      </c>
      <c r="K265" s="344" t="n"/>
      <c r="L265" s="344" t="n"/>
      <c r="M265" s="344" t="n"/>
      <c r="N265" s="344">
        <f>IF(M265="","",M265*1.1)</f>
        <v/>
      </c>
      <c r="O265" s="345" t="n">
        <v>70</v>
      </c>
      <c r="P265" s="345" t="n">
        <v>52.4</v>
      </c>
      <c r="Q265" s="345" t="inlineStr">
        <is>
          <t>6/6</t>
        </is>
      </c>
      <c r="R265" s="345" t="n">
        <v>63.15</v>
      </c>
      <c r="S265" s="345" t="n">
        <v>61.6</v>
      </c>
      <c r="T265" s="345" t="inlineStr">
        <is>
          <t>11</t>
        </is>
      </c>
      <c r="V265" s="346">
        <f>UPPER(A265&amp;" "&amp;B265&amp;" "&amp;D265&amp;" "&amp;E265&amp;" "&amp;F265&amp;" "&amp;G265&amp;" "&amp;H265&amp;" "&amp;I265&amp;" "&amp;J265)</f>
        <v/>
      </c>
      <c r="W265" s="216">
        <f>IF(AND('TRA CỨU TỔNG HỢP'!$B$3&lt;&gt;"",ISNUMBER(SEARCH('TRA CỨU TỔNG HỢP'!$B$3,V265))),MAX($W$3:W264)+1,"")</f>
        <v/>
      </c>
    </row>
    <row r="266" ht="15" customHeight="1" s="217">
      <c r="A266" s="347" t="inlineStr">
        <is>
          <t xml:space="preserve">  └─ HITACHI</t>
        </is>
      </c>
      <c r="B266" s="348" t="inlineStr">
        <is>
          <t>HH080322</t>
        </is>
      </c>
      <c r="C266" s="349" t="inlineStr">
        <is>
          <t>IHI</t>
        </is>
      </c>
      <c r="D266" s="349" t="inlineStr">
        <is>
          <t>RHE6</t>
        </is>
      </c>
      <c r="E266" s="349" t="inlineStr">
        <is>
          <t>6BG1</t>
        </is>
      </c>
      <c r="F266" s="350" t="inlineStr">
        <is>
          <t>114400-3320/VA720015 CIBC
114400332/114400331</t>
        </is>
      </c>
      <c r="G266" s="349" t="inlineStr">
        <is>
          <t>Sò lửa ra bắt ống</t>
        </is>
      </c>
      <c r="H266" s="374" t="inlineStr">
        <is>
          <t>EX200-5(âu mỹ) EX125WD-5
EX220USR / SH200-2</t>
        </is>
      </c>
      <c r="I266" s="349" t="n"/>
      <c r="J266" s="351" t="inlineStr">
        <is>
          <t>SL</t>
        </is>
      </c>
      <c r="K266" s="352" t="n"/>
      <c r="L266" s="352" t="n"/>
      <c r="M266" s="352" t="n"/>
      <c r="N266" s="352">
        <f>IF(M266="","",M266*1.1)</f>
        <v/>
      </c>
      <c r="O266" s="353" t="n">
        <v>70</v>
      </c>
      <c r="P266" s="353" t="n">
        <v>52.4</v>
      </c>
      <c r="Q266" s="353" t="inlineStr">
        <is>
          <t>6/6</t>
        </is>
      </c>
      <c r="R266" s="353" t="n">
        <v>63.15</v>
      </c>
      <c r="S266" s="353" t="n">
        <v>61.6</v>
      </c>
      <c r="T266" s="353" t="inlineStr">
        <is>
          <t>11</t>
        </is>
      </c>
      <c r="V266" s="346">
        <f>UPPER(A266&amp;" "&amp;B266&amp;" "&amp;D266&amp;" "&amp;E266&amp;" "&amp;F266&amp;" "&amp;G266&amp;" "&amp;H266&amp;" "&amp;I266&amp;" "&amp;J266)</f>
        <v/>
      </c>
      <c r="W266" s="216">
        <f>IF(AND('TRA CỨU TỔNG HỢP'!$B$3&lt;&gt;"",ISNUMBER(SEARCH('TRA CỨU TỔNG HỢP'!$B$3,V266))),MAX($W$3:W265)+1,"")</f>
        <v/>
      </c>
    </row>
    <row r="267" ht="15" customHeight="1" s="217">
      <c r="A267" s="354" t="inlineStr">
        <is>
          <t>HITACHI</t>
        </is>
      </c>
      <c r="B267" s="355" t="inlineStr">
        <is>
          <t>HH070607</t>
        </is>
      </c>
      <c r="C267" s="354" t="inlineStr">
        <is>
          <t>IHI</t>
        </is>
      </c>
      <c r="D267" s="354" t="inlineStr">
        <is>
          <t>RHC7</t>
        </is>
      </c>
      <c r="E267" s="354" t="inlineStr">
        <is>
          <t>6SD1</t>
        </is>
      </c>
      <c r="F267" s="356" t="inlineStr">
        <is>
          <t>114400-3140
/A290021 VB290021
7T546</t>
        </is>
      </c>
      <c r="G267" s="366" t="inlineStr">
        <is>
          <t>Tâm lỗ bu lông 69 x 83
cổ gang bắt 4 lỗ bu lon</t>
        </is>
      </c>
      <c r="H267" s="354" t="inlineStr">
        <is>
          <t>EX300-2/3</t>
        </is>
      </c>
      <c r="I267" s="354" t="n"/>
      <c r="J267" s="357" t="inlineStr">
        <is>
          <t>SL</t>
        </is>
      </c>
      <c r="K267" s="358" t="n"/>
      <c r="L267" s="358" t="n"/>
      <c r="M267" s="358" t="n"/>
      <c r="N267" s="358">
        <f>IF(M267="","",M267*1.1)</f>
        <v/>
      </c>
      <c r="O267" s="359" t="n">
        <v>77.59999999999999</v>
      </c>
      <c r="P267" s="359" t="n">
        <v>59</v>
      </c>
      <c r="Q267" s="359" t="inlineStr">
        <is>
          <t>6/6</t>
        </is>
      </c>
      <c r="R267" s="359" t="n">
        <v>74</v>
      </c>
      <c r="S267" s="359" t="n">
        <v>67</v>
      </c>
      <c r="T267" s="359" t="n">
        <v>11</v>
      </c>
      <c r="V267" s="346">
        <f>UPPER(A267&amp;" "&amp;B267&amp;" "&amp;D267&amp;" "&amp;E267&amp;" "&amp;F267&amp;" "&amp;G267&amp;" "&amp;H267&amp;" "&amp;I267&amp;" "&amp;J267)</f>
        <v/>
      </c>
      <c r="W267" s="216">
        <f>IF(AND('TRA CỨU TỔNG HỢP'!$B$3&lt;&gt;"",ISNUMBER(SEARCH('TRA CỨU TỔNG HỢP'!$B$3,V267))),MAX($W$3:W266)+1,"")</f>
        <v/>
      </c>
    </row>
    <row r="268" ht="15" customHeight="1" s="217">
      <c r="A268" s="354" t="inlineStr">
        <is>
          <t>HITACHI</t>
        </is>
      </c>
      <c r="B268" s="355" t="inlineStr">
        <is>
          <t>HH079552</t>
        </is>
      </c>
      <c r="C268" s="354" t="inlineStr">
        <is>
          <t>IHI</t>
        </is>
      </c>
      <c r="D268" s="354" t="inlineStr">
        <is>
          <t>RHG9</t>
        </is>
      </c>
      <c r="E268" s="354" t="inlineStr">
        <is>
          <t>6WF1</t>
        </is>
      </c>
      <c r="F268" s="356" t="inlineStr">
        <is>
          <t>114400-4011/1144004011</t>
        </is>
      </c>
      <c r="G268" s="354" t="n"/>
      <c r="H268" s="354" t="n"/>
      <c r="I268" s="354" t="n"/>
      <c r="J268" s="357" t="inlineStr">
        <is>
          <t>DN-1197</t>
        </is>
      </c>
      <c r="K268" s="358" t="n"/>
      <c r="L268" s="358" t="n"/>
      <c r="M268" s="358" t="n"/>
      <c r="N268" s="358">
        <f>IF(M268="","",M268*1.1)</f>
        <v/>
      </c>
      <c r="O268" s="359" t="n"/>
      <c r="P268" s="359" t="n"/>
      <c r="Q268" s="359" t="n"/>
      <c r="R268" s="359" t="n"/>
      <c r="S268" s="359" t="n"/>
      <c r="T268" s="359" t="n"/>
      <c r="V268" s="216">
        <f>UPPER(A268&amp;" "&amp;B268&amp;" "&amp;D268&amp;" "&amp;E268&amp;" "&amp;F268&amp;" "&amp;G268&amp;" "&amp;H268&amp;" "&amp;I268&amp;" "&amp;J268)</f>
        <v/>
      </c>
      <c r="W268" s="216">
        <f>IF(AND('TRA CỨU TỔNG HỢP'!$B$3&lt;&gt;"",ISNUMBER(SEARCH('TRA CỨU TỔNG HỢP'!$B$3,V268))),MAX($W$3:W267)+1,"")</f>
        <v/>
      </c>
    </row>
    <row r="269" ht="15" customHeight="1" s="217">
      <c r="A269" s="340" t="inlineStr">
        <is>
          <t>HITACHI</t>
        </is>
      </c>
      <c r="B269" s="341" t="inlineStr">
        <is>
          <t>HH070605</t>
        </is>
      </c>
      <c r="C269" s="340" t="inlineStr">
        <is>
          <t>IHI</t>
        </is>
      </c>
      <c r="D269" s="340" t="inlineStr">
        <is>
          <t>RHC6/TB4154</t>
        </is>
      </c>
      <c r="E269" s="340" t="inlineStr">
        <is>
          <t>6BG1</t>
        </is>
      </c>
      <c r="F269" s="342" t="inlineStr">
        <is>
          <t>114400-2720
VA240044/716236-0001 
VA240044/02800132
1144002720</t>
        </is>
      </c>
      <c r="G269" s="373" t="inlineStr">
        <is>
          <t>Tâm lỗ bu lông 70 x 83 
cổ gang bắt 4 lỗ bulon</t>
        </is>
      </c>
      <c r="H269" s="373" t="inlineStr">
        <is>
          <t>EX200-2/3
EX200-5 / SH200-1</t>
        </is>
      </c>
      <c r="I269" s="340" t="n"/>
      <c r="J269" s="343" t="inlineStr">
        <is>
          <t>SL</t>
        </is>
      </c>
      <c r="K269" s="344" t="n"/>
      <c r="L269" s="344" t="n"/>
      <c r="M269" s="344" t="n"/>
      <c r="N269" s="344">
        <f>IF(M269="","",M269*1.1)</f>
        <v/>
      </c>
      <c r="O269" s="345" t="n">
        <v>70</v>
      </c>
      <c r="P269" s="345" t="n">
        <v>55.3</v>
      </c>
      <c r="Q269" s="345" t="inlineStr">
        <is>
          <t>8/8</t>
        </is>
      </c>
      <c r="R269" s="345" t="n">
        <v>74.2</v>
      </c>
      <c r="S269" s="345" t="n">
        <v>64.5</v>
      </c>
      <c r="T269" s="345" t="n">
        <v>11</v>
      </c>
      <c r="V269" s="346">
        <f>UPPER(A269&amp;" "&amp;B269&amp;" "&amp;D269&amp;" "&amp;E269&amp;" "&amp;F269&amp;" "&amp;G269&amp;" "&amp;H269&amp;" "&amp;I269&amp;" "&amp;J269)</f>
        <v/>
      </c>
      <c r="W269" s="216">
        <f>IF(AND('TRA CỨU TỔNG HỢP'!$B$3&lt;&gt;"",ISNUMBER(SEARCH('TRA CỨU TỔNG HỢP'!$B$3,V269))),MAX($W$3:W268)+1,"")</f>
        <v/>
      </c>
    </row>
    <row r="270" ht="15" customHeight="1" s="217">
      <c r="A270" s="347" t="inlineStr">
        <is>
          <t xml:space="preserve">  └─ HITACHI</t>
        </is>
      </c>
      <c r="B270" s="348" t="inlineStr">
        <is>
          <t>HH080734</t>
        </is>
      </c>
      <c r="C270" s="349" t="inlineStr">
        <is>
          <t>IHI</t>
        </is>
      </c>
      <c r="D270" s="349" t="inlineStr">
        <is>
          <t>RHC6/TB4154</t>
        </is>
      </c>
      <c r="E270" s="349" t="inlineStr">
        <is>
          <t>6BG1</t>
        </is>
      </c>
      <c r="F270" s="350" t="inlineStr">
        <is>
          <t>114400-2720
VA240044/716236-0001 
VA240044/02800132
1144002720</t>
        </is>
      </c>
      <c r="G270" s="374" t="inlineStr">
        <is>
          <t>Tâm lỗ bu lông 70 x 83 
cổ gang bắt 4 lỗ bulon</t>
        </is>
      </c>
      <c r="H270" s="374" t="inlineStr">
        <is>
          <t>EX200-2/3
EX200-5 / SH200-1</t>
        </is>
      </c>
      <c r="I270" s="349" t="n"/>
      <c r="J270" s="351" t="inlineStr">
        <is>
          <t>SL</t>
        </is>
      </c>
      <c r="K270" s="352" t="n"/>
      <c r="L270" s="352" t="n"/>
      <c r="M270" s="352" t="n"/>
      <c r="N270" s="352">
        <f>IF(M270="","",M270*1.1)</f>
        <v/>
      </c>
      <c r="O270" s="353" t="n">
        <v>70</v>
      </c>
      <c r="P270" s="353" t="n">
        <v>55.3</v>
      </c>
      <c r="Q270" s="353" t="inlineStr">
        <is>
          <t>8/8</t>
        </is>
      </c>
      <c r="R270" s="353" t="n">
        <v>74.2</v>
      </c>
      <c r="S270" s="353" t="n">
        <v>64.5</v>
      </c>
      <c r="T270" s="353" t="n">
        <v>11</v>
      </c>
      <c r="V270" s="346">
        <f>UPPER(A270&amp;" "&amp;B270&amp;" "&amp;D270&amp;" "&amp;E270&amp;" "&amp;F270&amp;" "&amp;G270&amp;" "&amp;H270&amp;" "&amp;I270&amp;" "&amp;J270)</f>
        <v/>
      </c>
      <c r="W270" s="216">
        <f>IF(AND('TRA CỨU TỔNG HỢP'!$B$3&lt;&gt;"",ISNUMBER(SEARCH('TRA CỨU TỔNG HỢP'!$B$3,V270))),MAX($W$3:W269)+1,"")</f>
        <v/>
      </c>
    </row>
    <row r="271" ht="15" customHeight="1" s="217">
      <c r="A271" s="354" t="inlineStr">
        <is>
          <t>HITACHI</t>
        </is>
      </c>
      <c r="B271" s="355" t="inlineStr">
        <is>
          <t>HH079981</t>
        </is>
      </c>
      <c r="C271" s="354" t="inlineStr">
        <is>
          <t>IHI</t>
        </is>
      </c>
      <c r="D271" s="354" t="inlineStr">
        <is>
          <t>RHC7</t>
        </is>
      </c>
      <c r="E271" s="354" t="inlineStr">
        <is>
          <t>6BD1</t>
        </is>
      </c>
      <c r="F271" s="356" t="inlineStr">
        <is>
          <t>114400-2100</t>
        </is>
      </c>
      <c r="G271" s="354" t="inlineStr">
        <is>
          <t>Tâm lỗ bu lông 70 x 83</t>
        </is>
      </c>
      <c r="H271" s="354" t="inlineStr">
        <is>
          <t>EX100 / EX200-1</t>
        </is>
      </c>
      <c r="I271" s="354" t="n"/>
      <c r="J271" s="357" t="inlineStr">
        <is>
          <t>SL</t>
        </is>
      </c>
      <c r="K271" s="358" t="n"/>
      <c r="L271" s="358" t="n"/>
      <c r="M271" s="358" t="n"/>
      <c r="N271" s="358">
        <f>IF(M271="","",M271*1.1)</f>
        <v/>
      </c>
      <c r="O271" s="359" t="n">
        <v>76</v>
      </c>
      <c r="P271" s="359" t="n">
        <v>54</v>
      </c>
      <c r="Q271" s="359" t="inlineStr">
        <is>
          <t>5/5</t>
        </is>
      </c>
      <c r="R271" s="359" t="n">
        <v>74.09999999999999</v>
      </c>
      <c r="S271" s="359" t="n">
        <v>64.09999999999999</v>
      </c>
      <c r="T271" s="359" t="inlineStr">
        <is>
          <t>11</t>
        </is>
      </c>
      <c r="V271" s="216">
        <f>UPPER(A271&amp;" "&amp;B271&amp;" "&amp;D271&amp;" "&amp;E271&amp;" "&amp;F271&amp;" "&amp;G271&amp;" "&amp;H271&amp;" "&amp;I271&amp;" "&amp;J271)</f>
        <v/>
      </c>
      <c r="W271" s="216">
        <f>IF(AND('TRA CỨU TỔNG HỢP'!$B$3&lt;&gt;"",ISNUMBER(SEARCH('TRA CỨU TỔNG HỢP'!$B$3,V271))),MAX($W$3:W270)+1,"")</f>
        <v/>
      </c>
    </row>
    <row r="272" ht="15" customHeight="1" s="217">
      <c r="A272" s="340" t="inlineStr">
        <is>
          <t>HITACHI</t>
        </is>
      </c>
      <c r="B272" s="341" t="inlineStr">
        <is>
          <t>HH075732</t>
        </is>
      </c>
      <c r="C272" s="340" t="inlineStr">
        <is>
          <t>IHI</t>
        </is>
      </c>
      <c r="D272" s="340" t="inlineStr">
        <is>
          <t>RHC92</t>
        </is>
      </c>
      <c r="E272" s="340" t="inlineStr">
        <is>
          <t>6WG1</t>
        </is>
      </c>
      <c r="F272" s="342" t="inlineStr">
        <is>
          <t>114400-3830
1-14400383-0</t>
        </is>
      </c>
      <c r="G272" s="340" t="inlineStr">
        <is>
          <t>Tâm lỗ bu lông 70 x 112</t>
        </is>
      </c>
      <c r="H272" s="340" t="inlineStr">
        <is>
          <t>ZX450/ ZX460/ZX480</t>
        </is>
      </c>
      <c r="I272" s="340" t="n"/>
      <c r="J272" s="343" t="inlineStr">
        <is>
          <t>ISUZU</t>
        </is>
      </c>
      <c r="K272" s="344" t="n"/>
      <c r="L272" s="344" t="n"/>
      <c r="M272" s="344" t="n"/>
      <c r="N272" s="344">
        <f>IF(M272="","",M272*1.1)</f>
        <v/>
      </c>
      <c r="O272" s="345" t="n"/>
      <c r="P272" s="345" t="n">
        <v>74.5</v>
      </c>
      <c r="Q272" s="345" t="inlineStr">
        <is>
          <t>6/6</t>
        </is>
      </c>
      <c r="R272" s="345" t="n"/>
      <c r="S272" s="345" t="n">
        <v>84</v>
      </c>
      <c r="T272" s="345" t="n">
        <v>11</v>
      </c>
      <c r="V272" s="346">
        <f>UPPER(A272&amp;" "&amp;B272&amp;" "&amp;D272&amp;" "&amp;E272&amp;" "&amp;F272&amp;" "&amp;G272&amp;" "&amp;H272&amp;" "&amp;I272&amp;" "&amp;J272)</f>
        <v/>
      </c>
      <c r="W272" s="216">
        <f>IF(AND('TRA CỨU TỔNG HỢP'!$B$3&lt;&gt;"",ISNUMBER(SEARCH('TRA CỨU TỔNG HỢP'!$B$3,V272))),MAX($W$3:W271)+1,"")</f>
        <v/>
      </c>
    </row>
    <row r="273" ht="15" customHeight="1" s="217">
      <c r="A273" s="347" t="inlineStr">
        <is>
          <t xml:space="preserve">  └─ HITACHI</t>
        </is>
      </c>
      <c r="B273" s="348" t="inlineStr">
        <is>
          <t>HH078435</t>
        </is>
      </c>
      <c r="C273" s="349" t="inlineStr">
        <is>
          <t>IHI</t>
        </is>
      </c>
      <c r="D273" s="349" t="inlineStr">
        <is>
          <t>RHC92</t>
        </is>
      </c>
      <c r="E273" s="349" t="inlineStr">
        <is>
          <t>6WG1</t>
        </is>
      </c>
      <c r="F273" s="350" t="inlineStr">
        <is>
          <t>114400-3830
1-14400383-0</t>
        </is>
      </c>
      <c r="G273" s="349" t="inlineStr">
        <is>
          <t>Tâm lỗ bu lông 70 x 112</t>
        </is>
      </c>
      <c r="H273" s="349" t="inlineStr">
        <is>
          <t>ZX450/ ZX460/ZX480</t>
        </is>
      </c>
      <c r="I273" s="349" t="n"/>
      <c r="J273" s="351" t="inlineStr">
        <is>
          <t>VIDARIR</t>
        </is>
      </c>
      <c r="K273" s="352" t="n"/>
      <c r="L273" s="352" t="n"/>
      <c r="M273" s="352" t="n"/>
      <c r="N273" s="352">
        <f>IF(M273="","",M273*1.1)</f>
        <v/>
      </c>
      <c r="O273" s="353" t="n"/>
      <c r="P273" s="353" t="n">
        <v>74.5</v>
      </c>
      <c r="Q273" s="353" t="inlineStr">
        <is>
          <t>6/6</t>
        </is>
      </c>
      <c r="R273" s="353" t="n"/>
      <c r="S273" s="353" t="n">
        <v>84</v>
      </c>
      <c r="T273" s="353" t="n">
        <v>11</v>
      </c>
      <c r="V273" s="346">
        <f>UPPER(A273&amp;" "&amp;B273&amp;" "&amp;D273&amp;" "&amp;E273&amp;" "&amp;F273&amp;" "&amp;G273&amp;" "&amp;H273&amp;" "&amp;I273&amp;" "&amp;J273)</f>
        <v/>
      </c>
      <c r="W273" s="216">
        <f>IF(AND('TRA CỨU TỔNG HỢP'!$B$3&lt;&gt;"",ISNUMBER(SEARCH('TRA CỨU TỔNG HỢP'!$B$3,V273))),MAX($W$3:W272)+1,"")</f>
        <v/>
      </c>
    </row>
    <row r="274" ht="15" customHeight="1" s="217">
      <c r="A274" s="347" t="inlineStr">
        <is>
          <t xml:space="preserve">  └─ HITACHI</t>
        </is>
      </c>
      <c r="B274" s="348" t="inlineStr">
        <is>
          <t>HH078719</t>
        </is>
      </c>
      <c r="C274" s="349" t="inlineStr">
        <is>
          <t>IHI</t>
        </is>
      </c>
      <c r="D274" s="349" t="inlineStr">
        <is>
          <t>RHC92</t>
        </is>
      </c>
      <c r="E274" s="349" t="inlineStr">
        <is>
          <t>6WG1</t>
        </is>
      </c>
      <c r="F274" s="350" t="inlineStr">
        <is>
          <t>114400-3830
1-14400383-0</t>
        </is>
      </c>
      <c r="G274" s="349" t="inlineStr">
        <is>
          <t>Tâm lỗ bu lông 70 x 112</t>
        </is>
      </c>
      <c r="H274" s="349" t="inlineStr">
        <is>
          <t>ZX450/ ZX460/ZX480</t>
        </is>
      </c>
      <c r="I274" s="349" t="n"/>
      <c r="J274" s="351" t="inlineStr">
        <is>
          <t>VIDARIR</t>
        </is>
      </c>
      <c r="K274" s="352" t="n"/>
      <c r="L274" s="352" t="n"/>
      <c r="M274" s="352" t="n"/>
      <c r="N274" s="352">
        <f>IF(M274="","",M274*1.1)</f>
        <v/>
      </c>
      <c r="O274" s="353" t="n"/>
      <c r="P274" s="353" t="n">
        <v>74.5</v>
      </c>
      <c r="Q274" s="353" t="inlineStr">
        <is>
          <t>6/6</t>
        </is>
      </c>
      <c r="R274" s="353" t="n"/>
      <c r="S274" s="353" t="n">
        <v>84</v>
      </c>
      <c r="T274" s="353" t="n">
        <v>11</v>
      </c>
      <c r="V274" s="346">
        <f>UPPER(A274&amp;" "&amp;B274&amp;" "&amp;D274&amp;" "&amp;E274&amp;" "&amp;F274&amp;" "&amp;G274&amp;" "&amp;H274&amp;" "&amp;I274&amp;" "&amp;J274)</f>
        <v/>
      </c>
      <c r="W274" s="216">
        <f>IF(AND('TRA CỨU TỔNG HỢP'!$B$3&lt;&gt;"",ISNUMBER(SEARCH('TRA CỨU TỔNG HỢP'!$B$3,V274))),MAX($W$3:W273)+1,"")</f>
        <v/>
      </c>
    </row>
    <row r="275" ht="15" customHeight="1" s="217">
      <c r="A275" s="354" t="inlineStr">
        <is>
          <t>HITACHI</t>
        </is>
      </c>
      <c r="B275" s="355" t="inlineStr">
        <is>
          <t>HH078718</t>
        </is>
      </c>
      <c r="C275" s="354" t="n"/>
      <c r="D275" s="354" t="n"/>
      <c r="E275" s="354" t="inlineStr">
        <is>
          <t>6HK1</t>
        </is>
      </c>
      <c r="F275" s="356" t="inlineStr">
        <is>
          <t>114400-0820</t>
        </is>
      </c>
      <c r="G275" s="366" t="inlineStr">
        <is>
          <t>Tâm lỗ bu lông 70 x 112
Điều tốc dạng ống tuy ô 
Sò lửa khác các đời khác</t>
        </is>
      </c>
      <c r="H275" s="354" t="n"/>
      <c r="I275" s="354" t="inlineStr">
        <is>
          <t>có H/A VIDARIR</t>
        </is>
      </c>
      <c r="J275" s="357" t="inlineStr">
        <is>
          <t>VIDARIR</t>
        </is>
      </c>
      <c r="K275" s="358" t="n"/>
      <c r="L275" s="358" t="n"/>
      <c r="M275" s="358" t="n"/>
      <c r="N275" s="358">
        <f>IF(M275="","",M275*1.1)</f>
        <v/>
      </c>
      <c r="O275" s="359" t="n"/>
      <c r="P275" s="359" t="n"/>
      <c r="Q275" s="359" t="n"/>
      <c r="R275" s="359" t="n"/>
      <c r="S275" s="359" t="n"/>
      <c r="T275" s="359" t="n"/>
      <c r="V275" s="346">
        <f>UPPER(A275&amp;" "&amp;B275&amp;" "&amp;D275&amp;" "&amp;E275&amp;" "&amp;F275&amp;" "&amp;G275&amp;" "&amp;H275&amp;" "&amp;I275&amp;" "&amp;J275)</f>
        <v/>
      </c>
      <c r="W275" s="216">
        <f>IF(AND('TRA CỨU TỔNG HỢP'!$B$3&lt;&gt;"",ISNUMBER(SEARCH('TRA CỨU TỔNG HỢP'!$B$3,V275))),MAX($W$3:W274)+1,"")</f>
        <v/>
      </c>
    </row>
    <row r="276" ht="15" customHeight="1" s="217">
      <c r="A276" s="367" t="inlineStr">
        <is>
          <t>HITACHI</t>
        </is>
      </c>
      <c r="B276" s="368" t="n"/>
      <c r="C276" s="367" t="inlineStr">
        <is>
          <t>IHI</t>
        </is>
      </c>
      <c r="D276" s="367" t="inlineStr">
        <is>
          <t>RHC7</t>
        </is>
      </c>
      <c r="E276" s="367" t="inlineStr">
        <is>
          <t>H06CT /H06CTI</t>
        </is>
      </c>
      <c r="F276" s="369" t="inlineStr">
        <is>
          <t>24100-1870B/CX35/VA250029/VA250027/NH170049</t>
        </is>
      </c>
      <c r="G276" s="367" t="n"/>
      <c r="H276" s="367" t="inlineStr">
        <is>
          <t>EX220-1/EX270-1</t>
        </is>
      </c>
      <c r="I276" s="367" t="n"/>
      <c r="J276" s="370" t="n"/>
      <c r="K276" s="371" t="n"/>
      <c r="L276" s="371" t="n"/>
      <c r="M276" s="371" t="n"/>
      <c r="N276" s="371" t="n"/>
      <c r="O276" s="372" t="n"/>
      <c r="P276" s="372" t="n"/>
      <c r="Q276" s="372" t="n"/>
      <c r="R276" s="372" t="n"/>
      <c r="S276" s="372" t="n"/>
      <c r="T276" s="372" t="n"/>
      <c r="V276" s="216">
        <f>UPPER(A276&amp;" "&amp;B276&amp;" "&amp;D276&amp;" "&amp;E276&amp;" "&amp;F276&amp;" "&amp;G276&amp;" "&amp;H276&amp;" "&amp;I276&amp;" "&amp;J276)</f>
        <v/>
      </c>
      <c r="W276" s="216">
        <f>IF(AND('TRA CỨU TỔNG HỢP'!$B$3&lt;&gt;"",ISNUMBER(SEARCH('TRA CỨU TỔNG HỢP'!$B$3,V276))),MAX($W$3:W275)+1,"")</f>
        <v/>
      </c>
    </row>
    <row r="277" ht="15" customHeight="1" s="217">
      <c r="A277" s="360" t="inlineStr">
        <is>
          <t>HITACHI</t>
        </is>
      </c>
      <c r="B277" s="361" t="n"/>
      <c r="C277" s="360" t="inlineStr">
        <is>
          <t>Mitsubishi</t>
        </is>
      </c>
      <c r="D277" s="360" t="inlineStr">
        <is>
          <t>TD08</t>
        </is>
      </c>
      <c r="E277" s="360" t="inlineStr">
        <is>
          <t>6WG1</t>
        </is>
      </c>
      <c r="F277" s="362" t="inlineStr">
        <is>
          <t>1-87618329-0</t>
        </is>
      </c>
      <c r="G277" s="360" t="n"/>
      <c r="H277" s="360" t="inlineStr">
        <is>
          <t>ZX450</t>
        </is>
      </c>
      <c r="I277" s="360" t="n"/>
      <c r="J277" s="363" t="n"/>
      <c r="K277" s="364" t="n"/>
      <c r="L277" s="364" t="n"/>
      <c r="M277" s="364" t="n"/>
      <c r="N277" s="364" t="n"/>
      <c r="O277" s="365" t="n"/>
      <c r="P277" s="365" t="n"/>
      <c r="Q277" s="365" t="n"/>
      <c r="R277" s="365" t="n"/>
      <c r="S277" s="365" t="n"/>
      <c r="T277" s="365" t="n"/>
      <c r="V277" s="216">
        <f>UPPER(A277&amp;" "&amp;B277&amp;" "&amp;D277&amp;" "&amp;E277&amp;" "&amp;F277&amp;" "&amp;G277&amp;" "&amp;H277&amp;" "&amp;I277&amp;" "&amp;J277)</f>
        <v/>
      </c>
      <c r="W277" s="216">
        <f>IF(AND('TRA CỨU TỔNG HỢP'!$B$3&lt;&gt;"",ISNUMBER(SEARCH('TRA CỨU TỔNG HỢP'!$B$3,V277))),MAX($W$3:W276)+1,"")</f>
        <v/>
      </c>
    </row>
    <row r="278" ht="15" customHeight="1" s="217">
      <c r="A278" s="354" t="inlineStr">
        <is>
          <t>HITACHI</t>
        </is>
      </c>
      <c r="B278" s="355" t="inlineStr">
        <is>
          <t>HH070608</t>
        </is>
      </c>
      <c r="C278" s="354" t="inlineStr">
        <is>
          <t>Garrett</t>
        </is>
      </c>
      <c r="D278" s="354" t="inlineStr">
        <is>
          <t>TA5108</t>
        </is>
      </c>
      <c r="E278" s="354" t="inlineStr">
        <is>
          <t>6RB1</t>
        </is>
      </c>
      <c r="F278" s="356" t="inlineStr">
        <is>
          <t>114400-2080/466860-0005</t>
        </is>
      </c>
      <c r="G278" s="354" t="inlineStr">
        <is>
          <t>Tâm lỗ bu lông 70 x 112</t>
        </is>
      </c>
      <c r="H278" s="354" t="inlineStr">
        <is>
          <t>EX400-1</t>
        </is>
      </c>
      <c r="I278" s="354" t="n"/>
      <c r="J278" s="357" t="inlineStr">
        <is>
          <t>SL</t>
        </is>
      </c>
      <c r="K278" s="358" t="n"/>
      <c r="L278" s="358" t="n"/>
      <c r="M278" s="358" t="n"/>
      <c r="N278" s="358">
        <f>IF(M278="","",M278*1.1)</f>
        <v/>
      </c>
      <c r="O278" s="359" t="n">
        <v>91</v>
      </c>
      <c r="P278" s="359" t="n">
        <v>64.2</v>
      </c>
      <c r="Q278" s="359" t="inlineStr">
        <is>
          <t>6/6</t>
        </is>
      </c>
      <c r="R278" s="359" t="n">
        <v>88.40000000000001</v>
      </c>
      <c r="S278" s="359" t="n">
        <v>77.2</v>
      </c>
      <c r="T278" s="359" t="n">
        <v>11</v>
      </c>
      <c r="V278" s="216">
        <f>UPPER(A278&amp;" "&amp;B278&amp;" "&amp;D278&amp;" "&amp;E278&amp;" "&amp;F278&amp;" "&amp;G278&amp;" "&amp;H278&amp;" "&amp;I278&amp;" "&amp;J278)</f>
        <v/>
      </c>
      <c r="W278" s="216">
        <f>IF(AND('TRA CỨU TỔNG HỢP'!$B$3&lt;&gt;"",ISNUMBER(SEARCH('TRA CỨU TỔNG HỢP'!$B$3,V278))),MAX($W$3:W277)+1,"")</f>
        <v/>
      </c>
    </row>
    <row r="279" ht="15" customHeight="1" s="217">
      <c r="A279" s="360" t="inlineStr">
        <is>
          <t>HITACHI</t>
        </is>
      </c>
      <c r="B279" s="361" t="n"/>
      <c r="C279" s="360" t="inlineStr">
        <is>
          <t>IHI</t>
        </is>
      </c>
      <c r="D279" s="360" t="inlineStr">
        <is>
          <t>RHC7</t>
        </is>
      </c>
      <c r="E279" s="360" t="inlineStr">
        <is>
          <t>EP100</t>
        </is>
      </c>
      <c r="F279" s="362" t="inlineStr">
        <is>
          <t>24100-1440/VC250019/VA250019 
24100-1440B</t>
        </is>
      </c>
      <c r="G279" s="375" t="inlineStr">
        <is>
          <t>Tâm lỗ bu lông 70 x 83 
có điều tốc</t>
        </is>
      </c>
      <c r="H279" s="360" t="inlineStr">
        <is>
          <t>EX300-1</t>
        </is>
      </c>
      <c r="I279" s="360" t="n"/>
      <c r="J279" s="363" t="n"/>
      <c r="K279" s="364" t="n"/>
      <c r="L279" s="364" t="n"/>
      <c r="M279" s="364" t="n"/>
      <c r="N279" s="364" t="n"/>
      <c r="O279" s="365" t="n">
        <v>77.59999999999999</v>
      </c>
      <c r="P279" s="365" t="n">
        <v>59</v>
      </c>
      <c r="Q279" s="365" t="inlineStr">
        <is>
          <t>6/6</t>
        </is>
      </c>
      <c r="R279" s="365" t="n">
        <v>74</v>
      </c>
      <c r="S279" s="365" t="n">
        <v>67</v>
      </c>
      <c r="T279" s="365" t="n">
        <v>11</v>
      </c>
      <c r="V279" s="346">
        <f>UPPER(A279&amp;" "&amp;B279&amp;" "&amp;D279&amp;" "&amp;E279&amp;" "&amp;F279&amp;" "&amp;G279&amp;" "&amp;H279&amp;" "&amp;I279&amp;" "&amp;J279)</f>
        <v/>
      </c>
      <c r="W279" s="216">
        <f>IF(AND('TRA CỨU TỔNG HỢP'!$B$3&lt;&gt;"",ISNUMBER(SEARCH('TRA CỨU TỔNG HỢP'!$B$3,V279))),MAX($W$3:W278)+1,"")</f>
        <v/>
      </c>
    </row>
    <row r="280" ht="19.5" customHeight="1" s="217">
      <c r="A280" s="339" t="inlineStr">
        <is>
          <t xml:space="preserve">  🏭  HOWO   ·   7 loại turbo</t>
        </is>
      </c>
      <c r="W280" s="216">
        <f>IF(AND('TRA CỨU TỔNG HỢP'!$B$3&lt;&gt;"",ISNUMBER(SEARCH('TRA CỨU TỔNG HỢP'!$B$3,V280))),MAX($W$3:W279)+1,"")</f>
        <v/>
      </c>
    </row>
    <row r="281" ht="15" customHeight="1" s="217">
      <c r="A281" s="354" t="inlineStr">
        <is>
          <t>HOWO</t>
        </is>
      </c>
      <c r="B281" s="355" t="inlineStr">
        <is>
          <t>HH080911</t>
        </is>
      </c>
      <c r="C281" s="354" t="inlineStr">
        <is>
          <t>Garrett</t>
        </is>
      </c>
      <c r="D281" s="354" t="inlineStr">
        <is>
          <t>GTA42</t>
        </is>
      </c>
      <c r="E281" s="354" t="inlineStr">
        <is>
          <t>WP12</t>
        </is>
      </c>
      <c r="F281" s="356" t="inlineStr">
        <is>
          <t>612630110597
800992-0003</t>
        </is>
      </c>
      <c r="G281" s="354" t="n"/>
      <c r="H281" s="354" t="inlineStr">
        <is>
          <t>Foton</t>
        </is>
      </c>
      <c r="I281" s="354" t="n"/>
      <c r="J281" s="357" t="inlineStr">
        <is>
          <t>VIDARIR</t>
        </is>
      </c>
      <c r="K281" s="358" t="n"/>
      <c r="L281" s="358" t="n"/>
      <c r="M281" s="358" t="n"/>
      <c r="N281" s="358">
        <f>IF(M281="","",M281*1.1)</f>
        <v/>
      </c>
      <c r="O281" s="359" t="n"/>
      <c r="P281" s="359" t="n"/>
      <c r="Q281" s="359" t="n"/>
      <c r="R281" s="359" t="n"/>
      <c r="S281" s="359" t="n"/>
      <c r="T281" s="359" t="n"/>
      <c r="V281" s="346">
        <f>UPPER(A281&amp;" "&amp;B281&amp;" "&amp;D281&amp;" "&amp;E281&amp;" "&amp;F281&amp;" "&amp;G281&amp;" "&amp;H281&amp;" "&amp;I281&amp;" "&amp;J281)</f>
        <v/>
      </c>
      <c r="W281" s="216">
        <f>IF(AND('TRA CỨU TỔNG HỢP'!$B$3&lt;&gt;"",ISNUMBER(SEARCH('TRA CỨU TỔNG HỢP'!$B$3,V281))),MAX($W$3:W280)+1,"")</f>
        <v/>
      </c>
    </row>
    <row r="282" ht="15" customHeight="1" s="217">
      <c r="A282" s="340" t="inlineStr">
        <is>
          <t>HOWO</t>
        </is>
      </c>
      <c r="B282" s="341" t="inlineStr">
        <is>
          <t>HH079181</t>
        </is>
      </c>
      <c r="C282" s="340" t="inlineStr">
        <is>
          <t>Holset</t>
        </is>
      </c>
      <c r="D282" s="340" t="inlineStr">
        <is>
          <t>HX50W</t>
        </is>
      </c>
      <c r="E282" s="340" t="inlineStr">
        <is>
          <t>WD615</t>
        </is>
      </c>
      <c r="F282" s="342" t="inlineStr">
        <is>
          <t>4051391
HG1540119037/HG1540119036/VG1095110097
VG1034110071/VG1034110061/VG1095110074
VG1095110073/VG1560118228/VG1560118229</t>
        </is>
      </c>
      <c r="G282" s="340" t="inlineStr">
        <is>
          <t>cổ gang đút ống</t>
        </is>
      </c>
      <c r="H282" s="340" t="n"/>
      <c r="I282" s="340" t="n"/>
      <c r="J282" s="343" t="inlineStr">
        <is>
          <t>SL</t>
        </is>
      </c>
      <c r="K282" s="344" t="n"/>
      <c r="L282" s="344" t="n"/>
      <c r="M282" s="344" t="n"/>
      <c r="N282" s="344">
        <f>IF(M282="","",M282*1.1)</f>
        <v/>
      </c>
      <c r="O282" s="345" t="n">
        <v>99</v>
      </c>
      <c r="P282" s="345" t="n">
        <v>63</v>
      </c>
      <c r="Q282" s="345" t="inlineStr">
        <is>
          <t>7/7</t>
        </is>
      </c>
      <c r="R282" s="345" t="n">
        <v>86</v>
      </c>
      <c r="S282" s="345" t="n">
        <v>72</v>
      </c>
      <c r="T282" s="345" t="n">
        <v>12</v>
      </c>
      <c r="V282" s="346">
        <f>UPPER(A282&amp;" "&amp;B282&amp;" "&amp;D282&amp;" "&amp;E282&amp;" "&amp;F282&amp;" "&amp;G282&amp;" "&amp;H282&amp;" "&amp;I282&amp;" "&amp;J282)</f>
        <v/>
      </c>
      <c r="W282" s="216">
        <f>IF(AND('TRA CỨU TỔNG HỢP'!$B$3&lt;&gt;"",ISNUMBER(SEARCH('TRA CỨU TỔNG HỢP'!$B$3,V282))),MAX($W$3:W281)+1,"")</f>
        <v/>
      </c>
    </row>
    <row r="283" ht="15" customHeight="1" s="217">
      <c r="A283" s="347" t="inlineStr">
        <is>
          <t xml:space="preserve">  └─ HOWO</t>
        </is>
      </c>
      <c r="B283" s="348" t="inlineStr">
        <is>
          <t>HH080321</t>
        </is>
      </c>
      <c r="C283" s="349" t="inlineStr">
        <is>
          <t>Holset</t>
        </is>
      </c>
      <c r="D283" s="349" t="inlineStr">
        <is>
          <t>HX50W</t>
        </is>
      </c>
      <c r="E283" s="349" t="inlineStr">
        <is>
          <t>WD615</t>
        </is>
      </c>
      <c r="F283" s="350" t="inlineStr">
        <is>
          <t>4051391
HG1540119037/HG1540119036/VG1095110097
VG1034110071/VG1034110061/VG1095110074
VG1095110073/VG1560118228/VG1560118229</t>
        </is>
      </c>
      <c r="G283" s="349" t="inlineStr">
        <is>
          <t>cổ gang đút ống</t>
        </is>
      </c>
      <c r="H283" s="349" t="n"/>
      <c r="I283" s="349" t="n"/>
      <c r="J283" s="351" t="inlineStr">
        <is>
          <t>SL</t>
        </is>
      </c>
      <c r="K283" s="352" t="n"/>
      <c r="L283" s="352" t="n"/>
      <c r="M283" s="352" t="n"/>
      <c r="N283" s="352">
        <f>IF(M283="","",M283*1.1)</f>
        <v/>
      </c>
      <c r="O283" s="353" t="n">
        <v>99</v>
      </c>
      <c r="P283" s="353" t="n">
        <v>63</v>
      </c>
      <c r="Q283" s="353" t="inlineStr">
        <is>
          <t>7/7</t>
        </is>
      </c>
      <c r="R283" s="353" t="n">
        <v>86</v>
      </c>
      <c r="S283" s="353" t="n">
        <v>72</v>
      </c>
      <c r="T283" s="353" t="n">
        <v>12</v>
      </c>
      <c r="V283" s="346">
        <f>UPPER(A283&amp;" "&amp;B283&amp;" "&amp;D283&amp;" "&amp;E283&amp;" "&amp;F283&amp;" "&amp;G283&amp;" "&amp;H283&amp;" "&amp;I283&amp;" "&amp;J283)</f>
        <v/>
      </c>
      <c r="W283" s="216">
        <f>IF(AND('TRA CỨU TỔNG HỢP'!$B$3&lt;&gt;"",ISNUMBER(SEARCH('TRA CỨU TỔNG HỢP'!$B$3,V283))),MAX($W$3:W282)+1,"")</f>
        <v/>
      </c>
    </row>
    <row r="284" ht="15" customHeight="1" s="217">
      <c r="A284" s="354" t="inlineStr">
        <is>
          <t>HOWO</t>
        </is>
      </c>
      <c r="B284" s="355" t="inlineStr">
        <is>
          <t>HH083044</t>
        </is>
      </c>
      <c r="C284" s="354" t="inlineStr">
        <is>
          <t>Garrett</t>
        </is>
      </c>
      <c r="D284" s="354" t="inlineStr">
        <is>
          <t>GT42/GT4288</t>
        </is>
      </c>
      <c r="E284" s="354" t="inlineStr">
        <is>
          <t>WD615</t>
        </is>
      </c>
      <c r="F284" s="356" t="inlineStr">
        <is>
          <t>723117-0004/723117-4
723117-5004S/61560116227
615600116227/434251-0071</t>
        </is>
      </c>
      <c r="G284" s="354" t="n"/>
      <c r="H284" s="354" t="n"/>
      <c r="I284" s="354" t="n"/>
      <c r="J284" s="357" t="inlineStr">
        <is>
          <t>SL</t>
        </is>
      </c>
      <c r="K284" s="358" t="n"/>
      <c r="L284" s="358" t="n"/>
      <c r="M284" s="358" t="n"/>
      <c r="N284" s="358">
        <f>IF(M284="","",M284*1.1)</f>
        <v/>
      </c>
      <c r="O284" s="359" t="n"/>
      <c r="P284" s="359" t="n"/>
      <c r="Q284" s="359" t="n"/>
      <c r="R284" s="359" t="n"/>
      <c r="S284" s="359" t="n"/>
      <c r="T284" s="359" t="n"/>
      <c r="V284" s="346">
        <f>UPPER(A284&amp;" "&amp;B284&amp;" "&amp;D284&amp;" "&amp;E284&amp;" "&amp;F284&amp;" "&amp;G284&amp;" "&amp;H284&amp;" "&amp;I284&amp;" "&amp;J284)</f>
        <v/>
      </c>
      <c r="W284" s="216">
        <f>IF(AND('TRA CỨU TỔNG HỢP'!$B$3&lt;&gt;"",ISNUMBER(SEARCH('TRA CỨU TỔNG HỢP'!$B$3,V284))),MAX($W$3:W283)+1,"")</f>
        <v/>
      </c>
    </row>
    <row r="285" ht="15" customHeight="1" s="217">
      <c r="A285" s="354" t="inlineStr">
        <is>
          <t>HOWO</t>
        </is>
      </c>
      <c r="B285" s="355" t="inlineStr">
        <is>
          <t>HH080919</t>
        </is>
      </c>
      <c r="C285" s="354" t="inlineStr">
        <is>
          <t>BorgWarner</t>
        </is>
      </c>
      <c r="D285" s="354" t="inlineStr">
        <is>
          <t>J90S-2C</t>
        </is>
      </c>
      <c r="E285" s="354" t="inlineStr">
        <is>
          <t>WD615/ WD10</t>
        </is>
      </c>
      <c r="F285" s="356" t="inlineStr">
        <is>
          <t>612601110973
61560113227</t>
        </is>
      </c>
      <c r="G285" s="366" t="inlineStr">
        <is>
          <t>Tâm lỗ 70 x 113
cổ gió loe
cổ gang bắt 6 lỗ bu lon</t>
        </is>
      </c>
      <c r="H285" s="354" t="n"/>
      <c r="I285" s="354" t="n"/>
      <c r="J285" s="357" t="inlineStr">
        <is>
          <t>TBS</t>
        </is>
      </c>
      <c r="K285" s="358" t="n"/>
      <c r="L285" s="358" t="n"/>
      <c r="M285" s="358" t="n"/>
      <c r="N285" s="358">
        <f>IF(M285="","",M285*1.1)</f>
        <v/>
      </c>
      <c r="O285" s="359" t="n"/>
      <c r="P285" s="359" t="n"/>
      <c r="Q285" s="359" t="n"/>
      <c r="R285" s="359" t="n"/>
      <c r="S285" s="359" t="n"/>
      <c r="T285" s="359" t="n"/>
      <c r="V285" s="346">
        <f>UPPER(A285&amp;" "&amp;B285&amp;" "&amp;D285&amp;" "&amp;E285&amp;" "&amp;F285&amp;" "&amp;G285&amp;" "&amp;H285&amp;" "&amp;I285&amp;" "&amp;J285)</f>
        <v/>
      </c>
      <c r="W285" s="216">
        <f>IF(AND('TRA CỨU TỔNG HỢP'!$B$3&lt;&gt;"",ISNUMBER(SEARCH('TRA CỨU TỔNG HỢP'!$B$3,V285))),MAX($W$3:W284)+1,"")</f>
        <v/>
      </c>
    </row>
    <row r="286" ht="15" customHeight="1" s="217">
      <c r="A286" s="340" t="inlineStr">
        <is>
          <t>HOWO</t>
        </is>
      </c>
      <c r="B286" s="341" t="inlineStr">
        <is>
          <t>HH079180</t>
        </is>
      </c>
      <c r="C286" s="340" t="inlineStr">
        <is>
          <t>Holset</t>
        </is>
      </c>
      <c r="D286" s="340" t="inlineStr">
        <is>
          <t>HX50</t>
        </is>
      </c>
      <c r="E286" s="340" t="inlineStr">
        <is>
          <t>WD615</t>
        </is>
      </c>
      <c r="F286" s="342" t="inlineStr">
        <is>
          <t>4049426
VG1560118227</t>
        </is>
      </c>
      <c r="G286" s="340" t="inlineStr">
        <is>
          <t>Tâm lỗ 113 x 70</t>
        </is>
      </c>
      <c r="H286" s="340" t="n"/>
      <c r="I286" s="340" t="n"/>
      <c r="J286" s="343" t="inlineStr">
        <is>
          <t>SL</t>
        </is>
      </c>
      <c r="K286" s="344" t="n"/>
      <c r="L286" s="344" t="n"/>
      <c r="M286" s="344" t="n"/>
      <c r="N286" s="344">
        <f>IF(M286="","",M286*1.1)</f>
        <v/>
      </c>
      <c r="O286" s="345" t="n">
        <v>99</v>
      </c>
      <c r="P286" s="345" t="n">
        <v>63</v>
      </c>
      <c r="Q286" s="345" t="inlineStr">
        <is>
          <t>7/7</t>
        </is>
      </c>
      <c r="R286" s="345" t="n">
        <v>86</v>
      </c>
      <c r="S286" s="345" t="n">
        <v>72</v>
      </c>
      <c r="T286" s="345" t="n">
        <v>12</v>
      </c>
      <c r="V286" s="346">
        <f>UPPER(A286&amp;" "&amp;B286&amp;" "&amp;D286&amp;" "&amp;E286&amp;" "&amp;F286&amp;" "&amp;G286&amp;" "&amp;H286&amp;" "&amp;I286&amp;" "&amp;J286)</f>
        <v/>
      </c>
      <c r="W286" s="216">
        <f>IF(AND('TRA CỨU TỔNG HỢP'!$B$3&lt;&gt;"",ISNUMBER(SEARCH('TRA CỨU TỔNG HỢP'!$B$3,V286))),MAX($W$3:W285)+1,"")</f>
        <v/>
      </c>
    </row>
    <row r="287" ht="15" customHeight="1" s="217">
      <c r="A287" s="347" t="inlineStr">
        <is>
          <t xml:space="preserve">  └─ HOWO</t>
        </is>
      </c>
      <c r="B287" s="348" t="inlineStr">
        <is>
          <t>HH080320</t>
        </is>
      </c>
      <c r="C287" s="349" t="inlineStr">
        <is>
          <t>Holset</t>
        </is>
      </c>
      <c r="D287" s="349" t="inlineStr">
        <is>
          <t>HX50</t>
        </is>
      </c>
      <c r="E287" s="349" t="inlineStr">
        <is>
          <t>WD615</t>
        </is>
      </c>
      <c r="F287" s="350" t="inlineStr">
        <is>
          <t>4049426
VG1560118227</t>
        </is>
      </c>
      <c r="G287" s="349" t="inlineStr">
        <is>
          <t>Tâm lỗ 113 x 70</t>
        </is>
      </c>
      <c r="H287" s="349" t="n"/>
      <c r="I287" s="349" t="n"/>
      <c r="J287" s="351" t="inlineStr">
        <is>
          <t>SL</t>
        </is>
      </c>
      <c r="K287" s="352" t="n"/>
      <c r="L287" s="352" t="n"/>
      <c r="M287" s="352" t="n"/>
      <c r="N287" s="352">
        <f>IF(M287="","",M287*1.1)</f>
        <v/>
      </c>
      <c r="O287" s="353" t="n">
        <v>99</v>
      </c>
      <c r="P287" s="353" t="n">
        <v>63</v>
      </c>
      <c r="Q287" s="353" t="inlineStr">
        <is>
          <t>7/7</t>
        </is>
      </c>
      <c r="R287" s="353" t="n">
        <v>86</v>
      </c>
      <c r="S287" s="353" t="n">
        <v>72</v>
      </c>
      <c r="T287" s="353" t="n">
        <v>12</v>
      </c>
      <c r="V287" s="346">
        <f>UPPER(A287&amp;" "&amp;B287&amp;" "&amp;D287&amp;" "&amp;E287&amp;" "&amp;F287&amp;" "&amp;G287&amp;" "&amp;H287&amp;" "&amp;I287&amp;" "&amp;J287)</f>
        <v/>
      </c>
      <c r="W287" s="216">
        <f>IF(AND('TRA CỨU TỔNG HỢP'!$B$3&lt;&gt;"",ISNUMBER(SEARCH('TRA CỨU TỔNG HỢP'!$B$3,V287))),MAX($W$3:W286)+1,"")</f>
        <v/>
      </c>
    </row>
    <row r="288" ht="15" customHeight="1" s="217">
      <c r="A288" s="340" t="inlineStr">
        <is>
          <t>HOWO</t>
        </is>
      </c>
      <c r="B288" s="341" t="inlineStr">
        <is>
          <t>HH083689</t>
        </is>
      </c>
      <c r="C288" s="340" t="inlineStr">
        <is>
          <t>BorgWarner</t>
        </is>
      </c>
      <c r="D288" s="340" t="inlineStr">
        <is>
          <t>K29</t>
        </is>
      </c>
      <c r="E288" s="340" t="inlineStr">
        <is>
          <t>WD616</t>
        </is>
      </c>
      <c r="F288" s="342" t="inlineStr">
        <is>
          <t>612601111081</t>
        </is>
      </c>
      <c r="G288" s="340" t="n"/>
      <c r="H288" s="340" t="n"/>
      <c r="I288" s="340" t="n"/>
      <c r="J288" s="343" t="inlineStr">
        <is>
          <t>VIDARIR</t>
        </is>
      </c>
      <c r="K288" s="344" t="n"/>
      <c r="L288" s="344" t="n"/>
      <c r="M288" s="344" t="n"/>
      <c r="N288" s="344">
        <f>IF(M288="","",M288*1.1)</f>
        <v/>
      </c>
      <c r="O288" s="345" t="n"/>
      <c r="P288" s="345" t="n"/>
      <c r="Q288" s="345" t="n"/>
      <c r="R288" s="345" t="n"/>
      <c r="S288" s="345" t="n"/>
      <c r="T288" s="345" t="n"/>
      <c r="V288" s="216">
        <f>UPPER(A288&amp;" "&amp;B288&amp;" "&amp;D288&amp;" "&amp;E288&amp;" "&amp;F288&amp;" "&amp;G288&amp;" "&amp;H288&amp;" "&amp;I288&amp;" "&amp;J288)</f>
        <v/>
      </c>
      <c r="W288" s="216">
        <f>IF(AND('TRA CỨU TỔNG HỢP'!$B$3&lt;&gt;"",ISNUMBER(SEARCH('TRA CỨU TỔNG HỢP'!$B$3,V288))),MAX($W$3:W287)+1,"")</f>
        <v/>
      </c>
    </row>
    <row r="289" ht="15" customHeight="1" s="217">
      <c r="A289" s="347" t="inlineStr">
        <is>
          <t xml:space="preserve">  └─ HOWO</t>
        </is>
      </c>
      <c r="B289" s="348" t="inlineStr">
        <is>
          <t>HH00709</t>
        </is>
      </c>
      <c r="C289" s="349" t="inlineStr">
        <is>
          <t>BorgWarner</t>
        </is>
      </c>
      <c r="D289" s="349" t="inlineStr">
        <is>
          <t>K29</t>
        </is>
      </c>
      <c r="E289" s="349" t="inlineStr">
        <is>
          <t>WD616</t>
        </is>
      </c>
      <c r="F289" s="350" t="inlineStr">
        <is>
          <t>612601111081</t>
        </is>
      </c>
      <c r="G289" s="349" t="n"/>
      <c r="H289" s="349" t="n"/>
      <c r="I289" s="349" t="n"/>
      <c r="J289" s="351" t="inlineStr">
        <is>
          <t>MX</t>
        </is>
      </c>
      <c r="K289" s="352" t="n"/>
      <c r="L289" s="352" t="n"/>
      <c r="M289" s="352" t="n"/>
      <c r="N289" s="352">
        <f>IF(M289="","",M289*1.1)</f>
        <v/>
      </c>
      <c r="O289" s="353" t="n"/>
      <c r="P289" s="353" t="n"/>
      <c r="Q289" s="353" t="n"/>
      <c r="R289" s="353" t="n"/>
      <c r="S289" s="353" t="n"/>
      <c r="T289" s="353" t="n"/>
      <c r="V289" s="216">
        <f>UPPER(A289&amp;" "&amp;B289&amp;" "&amp;D289&amp;" "&amp;E289&amp;" "&amp;F289&amp;" "&amp;G289&amp;" "&amp;H289&amp;" "&amp;I289&amp;" "&amp;J289)</f>
        <v/>
      </c>
      <c r="W289" s="216">
        <f>IF(AND('TRA CỨU TỔNG HỢP'!$B$3&lt;&gt;"",ISNUMBER(SEARCH('TRA CỨU TỔNG HỢP'!$B$3,V289))),MAX($W$3:W288)+1,"")</f>
        <v/>
      </c>
    </row>
    <row r="290" ht="15" customHeight="1" s="217">
      <c r="A290" s="354" t="inlineStr">
        <is>
          <t>HOWO</t>
        </is>
      </c>
      <c r="B290" s="355" t="inlineStr">
        <is>
          <t>HH082658</t>
        </is>
      </c>
      <c r="C290" s="354" t="inlineStr">
        <is>
          <t>BorgWarner</t>
        </is>
      </c>
      <c r="D290" s="354" t="inlineStr">
        <is>
          <t>J80S</t>
        </is>
      </c>
      <c r="E290" s="354" t="inlineStr">
        <is>
          <t>WD615</t>
        </is>
      </c>
      <c r="F290" s="356" t="inlineStr">
        <is>
          <t>612601110433</t>
        </is>
      </c>
      <c r="G290" s="354" t="n"/>
      <c r="H290" s="354" t="n"/>
      <c r="I290" s="354" t="n"/>
      <c r="J290" s="357" t="inlineStr">
        <is>
          <t>MX</t>
        </is>
      </c>
      <c r="K290" s="358" t="n"/>
      <c r="L290" s="358" t="n"/>
      <c r="M290" s="358" t="n"/>
      <c r="N290" s="358">
        <f>IF(M290="","",M290*1.1)</f>
        <v/>
      </c>
      <c r="O290" s="359" t="n"/>
      <c r="P290" s="359" t="n"/>
      <c r="Q290" s="359" t="n"/>
      <c r="R290" s="359" t="n"/>
      <c r="S290" s="359" t="n"/>
      <c r="T290" s="359" t="n"/>
      <c r="V290" s="216">
        <f>UPPER(A290&amp;" "&amp;B290&amp;" "&amp;D290&amp;" "&amp;E290&amp;" "&amp;F290&amp;" "&amp;G290&amp;" "&amp;H290&amp;" "&amp;I290&amp;" "&amp;J290)</f>
        <v/>
      </c>
      <c r="W290" s="216">
        <f>IF(AND('TRA CỨU TỔNG HỢP'!$B$3&lt;&gt;"",ISNUMBER(SEARCH('TRA CỨU TỔNG HỢP'!$B$3,V290))),MAX($W$3:W289)+1,"")</f>
        <v/>
      </c>
    </row>
    <row r="291" ht="19.5" customHeight="1" s="217">
      <c r="A291" s="339" t="inlineStr">
        <is>
          <t xml:space="preserve">  🏭  HYUNDAI   ·   68 loại turbo</t>
        </is>
      </c>
      <c r="W291" s="216">
        <f>IF(AND('TRA CỨU TỔNG HỢP'!$B$3&lt;&gt;"",ISNUMBER(SEARCH('TRA CỨU TỔNG HỢP'!$B$3,V291))),MAX($W$3:W290)+1,"")</f>
        <v/>
      </c>
    </row>
    <row r="292" ht="15" customHeight="1" s="217">
      <c r="A292" s="354" t="inlineStr">
        <is>
          <t>HYUNDAI</t>
        </is>
      </c>
      <c r="B292" s="355" t="inlineStr">
        <is>
          <t>HH083396</t>
        </is>
      </c>
      <c r="C292" s="354" t="inlineStr">
        <is>
          <t>Garrett</t>
        </is>
      </c>
      <c r="D292" s="354" t="inlineStr">
        <is>
          <t>GTB1752VLK</t>
        </is>
      </c>
      <c r="E292" s="354" t="inlineStr">
        <is>
          <t>2.2 CRDI</t>
        </is>
      </c>
      <c r="F292" s="356" t="inlineStr">
        <is>
          <t>28231-2F100
780502-0001
282312F100</t>
        </is>
      </c>
      <c r="G292" s="354" t="n"/>
      <c r="H292" s="354" t="inlineStr">
        <is>
          <t>Kia Carnival Sedona VQ Sorento 2.2</t>
        </is>
      </c>
      <c r="I292" s="354" t="n"/>
      <c r="J292" s="357" t="inlineStr">
        <is>
          <t>EE</t>
        </is>
      </c>
      <c r="K292" s="358" t="n"/>
      <c r="L292" s="358" t="n"/>
      <c r="M292" s="358" t="n"/>
      <c r="N292" s="358">
        <f>IF(M292="","",M292*1.1)</f>
        <v/>
      </c>
      <c r="O292" s="359" t="n">
        <v>52.4</v>
      </c>
      <c r="P292" s="359" t="n">
        <v>38.6</v>
      </c>
      <c r="Q292" s="359" t="inlineStr">
        <is>
          <t>9</t>
        </is>
      </c>
      <c r="R292" s="359" t="n">
        <v>43</v>
      </c>
      <c r="S292" s="359" t="n">
        <v>39.6</v>
      </c>
      <c r="T292" s="359" t="n">
        <v>9</v>
      </c>
      <c r="V292" s="346">
        <f>UPPER(A292&amp;" "&amp;B292&amp;" "&amp;D292&amp;" "&amp;E292&amp;" "&amp;F292&amp;" "&amp;G292&amp;" "&amp;H292&amp;" "&amp;I292&amp;" "&amp;J292)</f>
        <v/>
      </c>
      <c r="W292" s="216">
        <f>IF(AND('TRA CỨU TỔNG HỢP'!$B$3&lt;&gt;"",ISNUMBER(SEARCH('TRA CỨU TỔNG HỢP'!$B$3,V292))),MAX($W$3:W291)+1,"")</f>
        <v/>
      </c>
    </row>
    <row r="293" ht="15" customHeight="1" s="217">
      <c r="A293" s="340" t="inlineStr">
        <is>
          <t>HYUNDAI</t>
        </is>
      </c>
      <c r="B293" s="341" t="inlineStr">
        <is>
          <t>HH080021</t>
        </is>
      </c>
      <c r="C293" s="340" t="inlineStr">
        <is>
          <t>Mitsubishi</t>
        </is>
      </c>
      <c r="D293" s="340" t="inlineStr">
        <is>
          <t>TF035</t>
        </is>
      </c>
      <c r="E293" s="340" t="inlineStr">
        <is>
          <t>D4BH</t>
        </is>
      </c>
      <c r="F293" s="342" t="inlineStr">
        <is>
          <t>28200-42650
49135-04300</t>
        </is>
      </c>
      <c r="G293" s="340" t="inlineStr">
        <is>
          <t>Có chụp lỗ cánh gió</t>
        </is>
      </c>
      <c r="H293" s="340" t="inlineStr">
        <is>
          <t>Starex/Libero</t>
        </is>
      </c>
      <c r="I293" s="340" t="n"/>
      <c r="J293" s="343" t="inlineStr">
        <is>
          <t>SL</t>
        </is>
      </c>
      <c r="K293" s="344" t="n"/>
      <c r="L293" s="344" t="n"/>
      <c r="M293" s="344" t="n"/>
      <c r="N293" s="344">
        <f>IF(M293="","",M293*1.1)</f>
        <v/>
      </c>
      <c r="O293" s="345" t="n">
        <v>49</v>
      </c>
      <c r="P293" s="345" t="n">
        <v>35.5</v>
      </c>
      <c r="Q293" s="345" t="inlineStr">
        <is>
          <t>6/6</t>
        </is>
      </c>
      <c r="R293" s="345" t="n">
        <v>43.1</v>
      </c>
      <c r="S293" s="345" t="n">
        <v>36</v>
      </c>
      <c r="T293" s="345" t="n">
        <v>11</v>
      </c>
      <c r="V293" s="346">
        <f>UPPER(A293&amp;" "&amp;B293&amp;" "&amp;D293&amp;" "&amp;E293&amp;" "&amp;F293&amp;" "&amp;G293&amp;" "&amp;H293&amp;" "&amp;I293&amp;" "&amp;J293)</f>
        <v/>
      </c>
      <c r="W293" s="216">
        <f>IF(AND('TRA CỨU TỔNG HỢP'!$B$3&lt;&gt;"",ISNUMBER(SEARCH('TRA CỨU TỔNG HỢP'!$B$3,V293))),MAX($W$3:W292)+1,"")</f>
        <v/>
      </c>
    </row>
    <row r="294" ht="15" customHeight="1" s="217">
      <c r="A294" s="347" t="inlineStr">
        <is>
          <t xml:space="preserve">  └─ HYUNDAI</t>
        </is>
      </c>
      <c r="B294" s="348" t="inlineStr">
        <is>
          <t>HH077665</t>
        </is>
      </c>
      <c r="C294" s="349" t="inlineStr">
        <is>
          <t>Mitsubishi</t>
        </is>
      </c>
      <c r="D294" s="349" t="inlineStr">
        <is>
          <t>TF035</t>
        </is>
      </c>
      <c r="E294" s="349" t="inlineStr">
        <is>
          <t>D4BH</t>
        </is>
      </c>
      <c r="F294" s="350" t="inlineStr">
        <is>
          <t>28200-42650
49135-04300</t>
        </is>
      </c>
      <c r="G294" s="349" t="inlineStr">
        <is>
          <t>Có chụp lỗ cánh gió</t>
        </is>
      </c>
      <c r="H294" s="349" t="inlineStr">
        <is>
          <t>Starex/Libero</t>
        </is>
      </c>
      <c r="I294" s="349" t="n"/>
      <c r="J294" s="351" t="inlineStr">
        <is>
          <t>SL</t>
        </is>
      </c>
      <c r="K294" s="352" t="n"/>
      <c r="L294" s="352" t="n"/>
      <c r="M294" s="352" t="n"/>
      <c r="N294" s="352">
        <f>IF(M294="","",M294*1.1)</f>
        <v/>
      </c>
      <c r="O294" s="353" t="n">
        <v>49</v>
      </c>
      <c r="P294" s="353" t="n">
        <v>35.5</v>
      </c>
      <c r="Q294" s="353" t="inlineStr">
        <is>
          <t>6/6</t>
        </is>
      </c>
      <c r="R294" s="353" t="n">
        <v>43.1</v>
      </c>
      <c r="S294" s="353" t="n">
        <v>36</v>
      </c>
      <c r="T294" s="353" t="n">
        <v>11</v>
      </c>
      <c r="V294" s="346">
        <f>UPPER(A294&amp;" "&amp;B294&amp;" "&amp;D294&amp;" "&amp;E294&amp;" "&amp;F294&amp;" "&amp;G294&amp;" "&amp;H294&amp;" "&amp;I294&amp;" "&amp;J294)</f>
        <v/>
      </c>
      <c r="W294" s="216">
        <f>IF(AND('TRA CỨU TỔNG HỢP'!$B$3&lt;&gt;"",ISNUMBER(SEARCH('TRA CỨU TỔNG HỢP'!$B$3,V294))),MAX($W$3:W293)+1,"")</f>
        <v/>
      </c>
    </row>
    <row r="295" ht="15" customHeight="1" s="217">
      <c r="A295" s="354" t="inlineStr">
        <is>
          <t>HYUNDAI</t>
        </is>
      </c>
      <c r="B295" s="355" t="inlineStr">
        <is>
          <t>HH078720</t>
        </is>
      </c>
      <c r="C295" s="354" t="inlineStr">
        <is>
          <t>Garrett</t>
        </is>
      </c>
      <c r="D295" s="354" t="inlineStr">
        <is>
          <t>GT1749S</t>
        </is>
      </c>
      <c r="E295" s="354" t="inlineStr">
        <is>
          <t>D4BH</t>
        </is>
      </c>
      <c r="F295" s="356" t="inlineStr">
        <is>
          <t>28200-42600
715843-5001S
715843-1</t>
        </is>
      </c>
      <c r="G295" s="354" t="n"/>
      <c r="H295" s="354" t="inlineStr">
        <is>
          <t>libero ( béc cơ )</t>
        </is>
      </c>
      <c r="I295" s="354" t="n"/>
      <c r="J295" s="357" t="inlineStr">
        <is>
          <t>VIDARIR</t>
        </is>
      </c>
      <c r="K295" s="358" t="n"/>
      <c r="L295" s="358" t="n"/>
      <c r="M295" s="358" t="n"/>
      <c r="N295" s="358">
        <f>IF(M295="","",M295*1.1)</f>
        <v/>
      </c>
      <c r="O295" s="359" t="n">
        <v>49</v>
      </c>
      <c r="P295" s="359" t="n">
        <v>34.6</v>
      </c>
      <c r="Q295" s="359" t="inlineStr">
        <is>
          <t>6/6</t>
        </is>
      </c>
      <c r="R295" s="359" t="n">
        <v>44</v>
      </c>
      <c r="S295" s="359" t="n">
        <v>37.3</v>
      </c>
      <c r="T295" s="359" t="inlineStr">
        <is>
          <t>12</t>
        </is>
      </c>
      <c r="V295" s="346">
        <f>UPPER(A295&amp;" "&amp;B295&amp;" "&amp;D295&amp;" "&amp;E295&amp;" "&amp;F295&amp;" "&amp;G295&amp;" "&amp;H295&amp;" "&amp;I295&amp;" "&amp;J295)</f>
        <v/>
      </c>
      <c r="W295" s="216">
        <f>IF(AND('TRA CỨU TỔNG HỢP'!$B$3&lt;&gt;"",ISNUMBER(SEARCH('TRA CỨU TỔNG HỢP'!$B$3,V295))),MAX($W$3:W294)+1,"")</f>
        <v/>
      </c>
    </row>
    <row r="296" ht="15" customHeight="1" s="217">
      <c r="A296" s="340" t="inlineStr">
        <is>
          <t>HYUNDAI</t>
        </is>
      </c>
      <c r="B296" s="341" t="inlineStr">
        <is>
          <t>HH079780</t>
        </is>
      </c>
      <c r="C296" s="340" t="inlineStr">
        <is>
          <t>Garrett</t>
        </is>
      </c>
      <c r="D296" s="340" t="inlineStr">
        <is>
          <t>GT1749S</t>
        </is>
      </c>
      <c r="E296" s="340" t="inlineStr">
        <is>
          <t>D4CB</t>
        </is>
      </c>
      <c r="F296" s="342" t="inlineStr">
        <is>
          <t>28200-42560
28200-4A200</t>
        </is>
      </c>
      <c r="G296" s="340" t="inlineStr">
        <is>
          <t>Có điều tốc</t>
        </is>
      </c>
      <c r="H296" s="340" t="inlineStr">
        <is>
          <t>Hyundai Libero/Starex</t>
        </is>
      </c>
      <c r="I296" s="340" t="inlineStr">
        <is>
          <t>ruột dung chung</t>
        </is>
      </c>
      <c r="J296" s="343" t="inlineStr">
        <is>
          <t>SL</t>
        </is>
      </c>
      <c r="K296" s="344" t="n"/>
      <c r="L296" s="344" t="n"/>
      <c r="M296" s="344" t="n"/>
      <c r="N296" s="344">
        <f>IF(M296="","",M296*1.1)</f>
        <v/>
      </c>
      <c r="O296" s="345" t="n">
        <v>49</v>
      </c>
      <c r="P296" s="345" t="n">
        <v>36.3</v>
      </c>
      <c r="Q296" s="345" t="inlineStr">
        <is>
          <t>6/6</t>
        </is>
      </c>
      <c r="R296" s="345" t="n">
        <v>44</v>
      </c>
      <c r="S296" s="345" t="n">
        <v>37.3</v>
      </c>
      <c r="T296" s="345" t="inlineStr">
        <is>
          <t>12</t>
        </is>
      </c>
      <c r="V296" s="346">
        <f>UPPER(A296&amp;" "&amp;B296&amp;" "&amp;D296&amp;" "&amp;E296&amp;" "&amp;F296&amp;" "&amp;G296&amp;" "&amp;H296&amp;" "&amp;I296&amp;" "&amp;J296)</f>
        <v/>
      </c>
      <c r="W296" s="216">
        <f>IF(AND('TRA CỨU TỔNG HỢP'!$B$3&lt;&gt;"",ISNUMBER(SEARCH('TRA CỨU TỔNG HỢP'!$B$3,V296))),MAX($W$3:W295)+1,"")</f>
        <v/>
      </c>
    </row>
    <row r="297" ht="15" customHeight="1" s="217">
      <c r="A297" s="347" t="inlineStr">
        <is>
          <t xml:space="preserve">  └─ HYUNDAI</t>
        </is>
      </c>
      <c r="B297" s="348" t="inlineStr">
        <is>
          <t>HH080729</t>
        </is>
      </c>
      <c r="C297" s="349" t="inlineStr">
        <is>
          <t>Garrett</t>
        </is>
      </c>
      <c r="D297" s="349" t="inlineStr">
        <is>
          <t>GT1749S</t>
        </is>
      </c>
      <c r="E297" s="349" t="inlineStr">
        <is>
          <t>D4CB</t>
        </is>
      </c>
      <c r="F297" s="350" t="inlineStr">
        <is>
          <t>28200-42560
28200-4A200</t>
        </is>
      </c>
      <c r="G297" s="349" t="inlineStr">
        <is>
          <t>Có điều tốc</t>
        </is>
      </c>
      <c r="H297" s="349" t="inlineStr">
        <is>
          <t>Hyundai Libero/Starex</t>
        </is>
      </c>
      <c r="I297" s="349" t="inlineStr">
        <is>
          <t>ruột dung chung</t>
        </is>
      </c>
      <c r="J297" s="351" t="inlineStr">
        <is>
          <t>SL</t>
        </is>
      </c>
      <c r="K297" s="352" t="n"/>
      <c r="L297" s="352" t="n"/>
      <c r="M297" s="352" t="n"/>
      <c r="N297" s="352">
        <f>IF(M297="","",M297*1.1)</f>
        <v/>
      </c>
      <c r="O297" s="353" t="n">
        <v>49</v>
      </c>
      <c r="P297" s="353" t="n">
        <v>36.3</v>
      </c>
      <c r="Q297" s="353" t="inlineStr">
        <is>
          <t>6/6</t>
        </is>
      </c>
      <c r="R297" s="353" t="n">
        <v>44</v>
      </c>
      <c r="S297" s="353" t="n">
        <v>37.3</v>
      </c>
      <c r="T297" s="353" t="inlineStr">
        <is>
          <t>12</t>
        </is>
      </c>
      <c r="V297" s="346">
        <f>UPPER(A297&amp;" "&amp;B297&amp;" "&amp;D297&amp;" "&amp;E297&amp;" "&amp;F297&amp;" "&amp;G297&amp;" "&amp;H297&amp;" "&amp;I297&amp;" "&amp;J297)</f>
        <v/>
      </c>
      <c r="W297" s="216">
        <f>IF(AND('TRA CỨU TỔNG HỢP'!$B$3&lt;&gt;"",ISNUMBER(SEARCH('TRA CỨU TỔNG HỢP'!$B$3,V297))),MAX($W$3:W296)+1,"")</f>
        <v/>
      </c>
    </row>
    <row r="298" ht="15" customHeight="1" s="217">
      <c r="A298" s="347" t="inlineStr">
        <is>
          <t xml:space="preserve">  └─ HYUNDAI</t>
        </is>
      </c>
      <c r="B298" s="348" t="inlineStr">
        <is>
          <t>HH074614</t>
        </is>
      </c>
      <c r="C298" s="349" t="inlineStr">
        <is>
          <t>Garrett</t>
        </is>
      </c>
      <c r="D298" s="349" t="inlineStr">
        <is>
          <t>GT1749S</t>
        </is>
      </c>
      <c r="E298" s="349" t="inlineStr">
        <is>
          <t>D4CB</t>
        </is>
      </c>
      <c r="F298" s="350" t="inlineStr">
        <is>
          <t>28200-42560
28200-4A200</t>
        </is>
      </c>
      <c r="G298" s="349" t="inlineStr">
        <is>
          <t>Có điều tốc</t>
        </is>
      </c>
      <c r="H298" s="349" t="inlineStr">
        <is>
          <t>Hyundai Libero/Starex</t>
        </is>
      </c>
      <c r="I298" s="349" t="inlineStr">
        <is>
          <t>ruột dung chung</t>
        </is>
      </c>
      <c r="J298" s="351" t="inlineStr">
        <is>
          <t>SL</t>
        </is>
      </c>
      <c r="K298" s="352" t="n"/>
      <c r="L298" s="352" t="n"/>
      <c r="M298" s="352" t="n"/>
      <c r="N298" s="352">
        <f>IF(M298="","",M298*1.1)</f>
        <v/>
      </c>
      <c r="O298" s="353" t="n">
        <v>49</v>
      </c>
      <c r="P298" s="353" t="n">
        <v>36.3</v>
      </c>
      <c r="Q298" s="353" t="inlineStr">
        <is>
          <t>6/6</t>
        </is>
      </c>
      <c r="R298" s="353" t="n">
        <v>44</v>
      </c>
      <c r="S298" s="353" t="n">
        <v>37.3</v>
      </c>
      <c r="T298" s="353" t="inlineStr">
        <is>
          <t>12</t>
        </is>
      </c>
      <c r="V298" s="346">
        <f>UPPER(A298&amp;" "&amp;B298&amp;" "&amp;D298&amp;" "&amp;E298&amp;" "&amp;F298&amp;" "&amp;G298&amp;" "&amp;H298&amp;" "&amp;I298&amp;" "&amp;J298)</f>
        <v/>
      </c>
      <c r="W298" s="216">
        <f>IF(AND('TRA CỨU TỔNG HỢP'!$B$3&lt;&gt;"",ISNUMBER(SEARCH('TRA CỨU TỔNG HỢP'!$B$3,V298))),MAX($W$3:W297)+1,"")</f>
        <v/>
      </c>
    </row>
    <row r="299" ht="15" customHeight="1" s="217">
      <c r="A299" s="347" t="inlineStr">
        <is>
          <t xml:space="preserve">  └─ HYUNDAI</t>
        </is>
      </c>
      <c r="B299" s="348" t="inlineStr">
        <is>
          <t>HH079991</t>
        </is>
      </c>
      <c r="C299" s="349" t="inlineStr">
        <is>
          <t>Garrett</t>
        </is>
      </c>
      <c r="D299" s="349" t="inlineStr">
        <is>
          <t>GT1749S</t>
        </is>
      </c>
      <c r="E299" s="349" t="inlineStr">
        <is>
          <t>D4CB</t>
        </is>
      </c>
      <c r="F299" s="350" t="inlineStr">
        <is>
          <t>28200-42560
28200-4A200</t>
        </is>
      </c>
      <c r="G299" s="349" t="inlineStr">
        <is>
          <t>Có điều tốc</t>
        </is>
      </c>
      <c r="H299" s="349" t="inlineStr">
        <is>
          <t>Hyundai Libero/Starex</t>
        </is>
      </c>
      <c r="I299" s="349" t="inlineStr">
        <is>
          <t>ruột dung chung</t>
        </is>
      </c>
      <c r="J299" s="351" t="inlineStr">
        <is>
          <t>SL</t>
        </is>
      </c>
      <c r="K299" s="352" t="n"/>
      <c r="L299" s="352" t="n"/>
      <c r="M299" s="352" t="n"/>
      <c r="N299" s="352">
        <f>IF(M299="","",M299*1.1)</f>
        <v/>
      </c>
      <c r="O299" s="353" t="n">
        <v>49</v>
      </c>
      <c r="P299" s="353" t="n">
        <v>36.3</v>
      </c>
      <c r="Q299" s="353" t="inlineStr">
        <is>
          <t>6/6</t>
        </is>
      </c>
      <c r="R299" s="353" t="n">
        <v>44</v>
      </c>
      <c r="S299" s="353" t="n">
        <v>37.3</v>
      </c>
      <c r="T299" s="353" t="inlineStr">
        <is>
          <t>12</t>
        </is>
      </c>
      <c r="V299" s="346">
        <f>UPPER(A299&amp;" "&amp;B299&amp;" "&amp;D299&amp;" "&amp;E299&amp;" "&amp;F299&amp;" "&amp;G299&amp;" "&amp;H299&amp;" "&amp;I299&amp;" "&amp;J299)</f>
        <v/>
      </c>
      <c r="W299" s="216">
        <f>IF(AND('TRA CỨU TỔNG HỢP'!$B$3&lt;&gt;"",ISNUMBER(SEARCH('TRA CỨU TỔNG HỢP'!$B$3,V299))),MAX($W$3:W298)+1,"")</f>
        <v/>
      </c>
    </row>
    <row r="300" ht="15" customHeight="1" s="217">
      <c r="A300" s="340" t="inlineStr">
        <is>
          <t>HYUNDAI</t>
        </is>
      </c>
      <c r="B300" s="341" t="inlineStr">
        <is>
          <t>HH078437</t>
        </is>
      </c>
      <c r="C300" s="340" t="inlineStr">
        <is>
          <t>Mitsubishi</t>
        </is>
      </c>
      <c r="D300" s="340" t="inlineStr">
        <is>
          <t>TF08L-28M</t>
        </is>
      </c>
      <c r="E300" s="340" t="inlineStr">
        <is>
          <t>D6CB/ D6CC</t>
        </is>
      </c>
      <c r="F300" s="342" t="inlineStr">
        <is>
          <t>28200-84601</t>
        </is>
      </c>
      <c r="G300" s="340" t="n"/>
      <c r="H300" s="340" t="inlineStr">
        <is>
          <t>Điều tốc</t>
        </is>
      </c>
      <c r="I300" s="340" t="inlineStr">
        <is>
          <t>nhìn cổ gió xoay xíu dùng chung</t>
        </is>
      </c>
      <c r="J300" s="343" t="inlineStr">
        <is>
          <t>VIDARIR</t>
        </is>
      </c>
      <c r="K300" s="344" t="n"/>
      <c r="L300" s="344" t="n"/>
      <c r="M300" s="344" t="n"/>
      <c r="N300" s="344">
        <f>IF(M300="","",M300*1.1)</f>
        <v/>
      </c>
      <c r="O300" s="345" t="n"/>
      <c r="P300" s="345" t="n"/>
      <c r="Q300" s="345" t="n"/>
      <c r="R300" s="345" t="n"/>
      <c r="S300" s="345" t="n"/>
      <c r="T300" s="345" t="n"/>
      <c r="V300" s="216">
        <f>UPPER(A300&amp;" "&amp;B300&amp;" "&amp;D300&amp;" "&amp;E300&amp;" "&amp;F300&amp;" "&amp;G300&amp;" "&amp;H300&amp;" "&amp;I300&amp;" "&amp;J300)</f>
        <v/>
      </c>
      <c r="W300" s="216">
        <f>IF(AND('TRA CỨU TỔNG HỢP'!$B$3&lt;&gt;"",ISNUMBER(SEARCH('TRA CỨU TỔNG HỢP'!$B$3,V300))),MAX($W$3:W299)+1,"")</f>
        <v/>
      </c>
    </row>
    <row r="301" ht="15" customHeight="1" s="217">
      <c r="A301" s="347" t="inlineStr">
        <is>
          <t xml:space="preserve">  └─ HYUNDAI</t>
        </is>
      </c>
      <c r="B301" s="348" t="inlineStr">
        <is>
          <t>HH080915</t>
        </is>
      </c>
      <c r="C301" s="349" t="inlineStr">
        <is>
          <t>Mitsubishi</t>
        </is>
      </c>
      <c r="D301" s="349" t="inlineStr">
        <is>
          <t>TF08L-28M</t>
        </is>
      </c>
      <c r="E301" s="349" t="inlineStr">
        <is>
          <t>D6CB/ D6CC</t>
        </is>
      </c>
      <c r="F301" s="350" t="inlineStr">
        <is>
          <t>28200-84601</t>
        </is>
      </c>
      <c r="G301" s="349" t="n"/>
      <c r="H301" s="349" t="inlineStr">
        <is>
          <t>Điều tốc</t>
        </is>
      </c>
      <c r="I301" s="349" t="inlineStr">
        <is>
          <t>nhìn cổ gió xoay xíu dùng chung</t>
        </is>
      </c>
      <c r="J301" s="351" t="inlineStr">
        <is>
          <t>VIDARIR</t>
        </is>
      </c>
      <c r="K301" s="352" t="n"/>
      <c r="L301" s="352" t="n"/>
      <c r="M301" s="352" t="n"/>
      <c r="N301" s="352">
        <f>IF(M301="","",M301*1.1)</f>
        <v/>
      </c>
      <c r="O301" s="353" t="n"/>
      <c r="P301" s="353" t="n"/>
      <c r="Q301" s="353" t="n"/>
      <c r="R301" s="353" t="n"/>
      <c r="S301" s="353" t="n"/>
      <c r="T301" s="353" t="n"/>
      <c r="V301" s="216">
        <f>UPPER(A301&amp;" "&amp;B301&amp;" "&amp;D301&amp;" "&amp;E301&amp;" "&amp;F301&amp;" "&amp;G301&amp;" "&amp;H301&amp;" "&amp;I301&amp;" "&amp;J301)</f>
        <v/>
      </c>
      <c r="W301" s="216">
        <f>IF(AND('TRA CỨU TỔNG HỢP'!$B$3&lt;&gt;"",ISNUMBER(SEARCH('TRA CỨU TỔNG HỢP'!$B$3,V301))),MAX($W$3:W300)+1,"")</f>
        <v/>
      </c>
    </row>
    <row r="302" ht="15" customHeight="1" s="217">
      <c r="A302" s="354" t="inlineStr">
        <is>
          <t>HYUNDAI</t>
        </is>
      </c>
      <c r="B302" s="355" t="inlineStr">
        <is>
          <t>HH078438</t>
        </is>
      </c>
      <c r="C302" s="354" t="inlineStr">
        <is>
          <t>Mitsubishi</t>
        </is>
      </c>
      <c r="D302" s="354" t="inlineStr">
        <is>
          <t>TF08L-28M</t>
        </is>
      </c>
      <c r="E302" s="354" t="inlineStr">
        <is>
          <t>D6CB/ D6CA</t>
        </is>
      </c>
      <c r="F302" s="356" t="inlineStr">
        <is>
          <t>28200-84401
49134-00230</t>
        </is>
      </c>
      <c r="G302" s="354" t="inlineStr">
        <is>
          <t>tâm lỗ 82 × 69</t>
        </is>
      </c>
      <c r="H302" s="354" t="inlineStr">
        <is>
          <t>Trargo HD270/HD320/HD1000</t>
        </is>
      </c>
      <c r="I302" s="354" t="n"/>
      <c r="J302" s="357" t="inlineStr">
        <is>
          <t>VIDARIR</t>
        </is>
      </c>
      <c r="K302" s="358" t="n"/>
      <c r="L302" s="358" t="n"/>
      <c r="M302" s="358" t="n"/>
      <c r="N302" s="358">
        <f>IF(M302="","",M302*1.1)</f>
        <v/>
      </c>
      <c r="O302" s="359" t="n"/>
      <c r="P302" s="359" t="n"/>
      <c r="Q302" s="359" t="n"/>
      <c r="R302" s="359" t="n"/>
      <c r="S302" s="359" t="n"/>
      <c r="T302" s="359" t="n"/>
      <c r="V302" s="346">
        <f>UPPER(A302&amp;" "&amp;B302&amp;" "&amp;D302&amp;" "&amp;E302&amp;" "&amp;F302&amp;" "&amp;G302&amp;" "&amp;H302&amp;" "&amp;I302&amp;" "&amp;J302)</f>
        <v/>
      </c>
      <c r="W302" s="216">
        <f>IF(AND('TRA CỨU TỔNG HỢP'!$B$3&lt;&gt;"",ISNUMBER(SEARCH('TRA CỨU TỔNG HỢP'!$B$3,V302))),MAX($W$3:W301)+1,"")</f>
        <v/>
      </c>
    </row>
    <row r="303" ht="15" customHeight="1" s="217">
      <c r="A303" s="354" t="inlineStr">
        <is>
          <t>HYUNDAI</t>
        </is>
      </c>
      <c r="B303" s="355" t="inlineStr">
        <is>
          <t>HH083649</t>
        </is>
      </c>
      <c r="C303" s="354" t="inlineStr">
        <is>
          <t>Garrett</t>
        </is>
      </c>
      <c r="D303" s="354" t="inlineStr">
        <is>
          <t>D6CD</t>
        </is>
      </c>
      <c r="E303" s="354" t="n"/>
      <c r="F303" s="356" t="inlineStr">
        <is>
          <t>28200-84713</t>
        </is>
      </c>
      <c r="G303" s="354" t="n"/>
      <c r="H303" s="354" t="inlineStr">
        <is>
          <t>HD1000, Universe</t>
        </is>
      </c>
      <c r="I303" s="354" t="n"/>
      <c r="J303" s="357" t="inlineStr">
        <is>
          <t>SL</t>
        </is>
      </c>
      <c r="K303" s="358" t="n"/>
      <c r="L303" s="358" t="n"/>
      <c r="M303" s="358" t="n"/>
      <c r="N303" s="358">
        <f>IF(M303="","",M303*1.1)</f>
        <v/>
      </c>
      <c r="O303" s="359" t="n">
        <v>88.3</v>
      </c>
      <c r="P303" s="359" t="n">
        <v>61</v>
      </c>
      <c r="Q303" s="359" t="inlineStr">
        <is>
          <t>7/7</t>
        </is>
      </c>
      <c r="R303" s="359" t="n">
        <v>73.2</v>
      </c>
      <c r="S303" s="359" t="n">
        <v>68.40000000000001</v>
      </c>
      <c r="T303" s="359" t="n">
        <v>10</v>
      </c>
      <c r="V303" s="216">
        <f>UPPER(A303&amp;" "&amp;B303&amp;" "&amp;D303&amp;" "&amp;E303&amp;" "&amp;F303&amp;" "&amp;G303&amp;" "&amp;H303&amp;" "&amp;I303&amp;" "&amp;J303)</f>
        <v/>
      </c>
      <c r="W303" s="216">
        <f>IF(AND('TRA CỨU TỔNG HỢP'!$B$3&lt;&gt;"",ISNUMBER(SEARCH('TRA CỨU TỔNG HỢP'!$B$3,V303))),MAX($W$3:W302)+1,"")</f>
        <v/>
      </c>
    </row>
    <row r="304" ht="15" customHeight="1" s="217">
      <c r="A304" s="367" t="inlineStr">
        <is>
          <t>HYUNDAI</t>
        </is>
      </c>
      <c r="B304" s="368" t="n"/>
      <c r="C304" s="367" t="inlineStr">
        <is>
          <t>Mitsubishi</t>
        </is>
      </c>
      <c r="D304" s="367" t="inlineStr">
        <is>
          <t>TD08F</t>
        </is>
      </c>
      <c r="E304" s="367" t="inlineStr">
        <is>
          <t>D6CC</t>
        </is>
      </c>
      <c r="F304" s="369" t="inlineStr">
        <is>
          <t>28200-84801
28210-52302)
(mã trên thùng</t>
        </is>
      </c>
      <c r="G304" s="367" t="n"/>
      <c r="H304" s="367" t="inlineStr">
        <is>
          <t>Trago HD500</t>
        </is>
      </c>
      <c r="I304" s="367" t="n"/>
      <c r="J304" s="370" t="n"/>
      <c r="K304" s="371" t="n"/>
      <c r="L304" s="371" t="n"/>
      <c r="M304" s="371" t="n"/>
      <c r="N304" s="371" t="n"/>
      <c r="O304" s="372" t="n"/>
      <c r="P304" s="372" t="n"/>
      <c r="Q304" s="372" t="n"/>
      <c r="R304" s="372" t="n"/>
      <c r="S304" s="372" t="n"/>
      <c r="T304" s="372" t="n"/>
      <c r="V304" s="346">
        <f>UPPER(A304&amp;" "&amp;B304&amp;" "&amp;D304&amp;" "&amp;E304&amp;" "&amp;F304&amp;" "&amp;G304&amp;" "&amp;H304&amp;" "&amp;I304&amp;" "&amp;J304)</f>
        <v/>
      </c>
      <c r="W304" s="216">
        <f>IF(AND('TRA CỨU TỔNG HỢP'!$B$3&lt;&gt;"",ISNUMBER(SEARCH('TRA CỨU TỔNG HỢP'!$B$3,V304))),MAX($W$3:W303)+1,"")</f>
        <v/>
      </c>
    </row>
    <row r="305" ht="15" customHeight="1" s="217">
      <c r="A305" s="354" t="inlineStr">
        <is>
          <t>HYUNDAI</t>
        </is>
      </c>
      <c r="B305" s="355" t="inlineStr">
        <is>
          <t>HH080022</t>
        </is>
      </c>
      <c r="C305" s="354" t="inlineStr">
        <is>
          <t>Mitsubishi</t>
        </is>
      </c>
      <c r="D305" s="354" t="inlineStr">
        <is>
          <t>TF08L</t>
        </is>
      </c>
      <c r="E305" s="354" t="n"/>
      <c r="F305" s="356" t="inlineStr">
        <is>
          <t>28200-85000
49134-00414</t>
        </is>
      </c>
      <c r="G305" s="354" t="inlineStr">
        <is>
          <t>có đường nước dẫn vào điều tốc</t>
        </is>
      </c>
      <c r="H305" s="354" t="n"/>
      <c r="I305" s="354" t="n"/>
      <c r="J305" s="357" t="inlineStr">
        <is>
          <t>SL</t>
        </is>
      </c>
      <c r="K305" s="358" t="n"/>
      <c r="L305" s="358" t="n"/>
      <c r="M305" s="358" t="n"/>
      <c r="N305" s="358">
        <f>IF(M305="","",M305*1.1)</f>
        <v/>
      </c>
      <c r="O305" s="359" t="n">
        <v>92</v>
      </c>
      <c r="P305" s="359" t="n">
        <v>61.5</v>
      </c>
      <c r="Q305" s="359" t="inlineStr">
        <is>
          <t>7/7</t>
        </is>
      </c>
      <c r="R305" s="359" t="n">
        <v>84.8</v>
      </c>
      <c r="S305" s="359" t="n">
        <v>74.59999999999999</v>
      </c>
      <c r="T305" s="359" t="n">
        <v>12</v>
      </c>
      <c r="V305" s="346">
        <f>UPPER(A305&amp;" "&amp;B305&amp;" "&amp;D305&amp;" "&amp;E305&amp;" "&amp;F305&amp;" "&amp;G305&amp;" "&amp;H305&amp;" "&amp;I305&amp;" "&amp;J305)</f>
        <v/>
      </c>
      <c r="W305" s="216">
        <f>IF(AND('TRA CỨU TỔNG HỢP'!$B$3&lt;&gt;"",ISNUMBER(SEARCH('TRA CỨU TỔNG HỢP'!$B$3,V305))),MAX($W$3:W304)+1,"")</f>
        <v/>
      </c>
    </row>
    <row r="306" ht="15" customHeight="1" s="217">
      <c r="A306" s="340" t="inlineStr">
        <is>
          <t>HYUNDAI</t>
        </is>
      </c>
      <c r="B306" s="341" t="inlineStr">
        <is>
          <t>HH01037</t>
        </is>
      </c>
      <c r="C306" s="340" t="inlineStr">
        <is>
          <t>Garrett</t>
        </is>
      </c>
      <c r="D306" s="340" t="inlineStr">
        <is>
          <t>GTD1749</t>
        </is>
      </c>
      <c r="E306" s="340" t="inlineStr">
        <is>
          <t>D4CC</t>
        </is>
      </c>
      <c r="F306" s="342" t="inlineStr">
        <is>
          <t>28211-4C001
835406-0012</t>
        </is>
      </c>
      <c r="G306" s="340" t="n"/>
      <c r="H306" s="340" t="inlineStr">
        <is>
          <t>Mighty EX8/N650</t>
        </is>
      </c>
      <c r="I306" s="340" t="n"/>
      <c r="J306" s="343" t="inlineStr">
        <is>
          <t>SL</t>
        </is>
      </c>
      <c r="K306" s="344" t="n"/>
      <c r="L306" s="344" t="n"/>
      <c r="M306" s="344" t="n"/>
      <c r="N306" s="344">
        <f>IF(M306="","",M306*1.1)</f>
        <v/>
      </c>
      <c r="O306" s="345" t="n"/>
      <c r="P306" s="345" t="n"/>
      <c r="Q306" s="345" t="n"/>
      <c r="R306" s="345" t="n"/>
      <c r="S306" s="345" t="n"/>
      <c r="T306" s="345" t="n"/>
      <c r="V306" s="346">
        <f>UPPER(A306&amp;" "&amp;B306&amp;" "&amp;D306&amp;" "&amp;E306&amp;" "&amp;F306&amp;" "&amp;G306&amp;" "&amp;H306&amp;" "&amp;I306&amp;" "&amp;J306)</f>
        <v/>
      </c>
      <c r="W306" s="216">
        <f>IF(AND('TRA CỨU TỔNG HỢP'!$B$3&lt;&gt;"",ISNUMBER(SEARCH('TRA CỨU TỔNG HỢP'!$B$3,V306))),MAX($W$3:W305)+1,"")</f>
        <v/>
      </c>
    </row>
    <row r="307" ht="15" customHeight="1" s="217">
      <c r="A307" s="347" t="inlineStr">
        <is>
          <t xml:space="preserve">  └─ HYUNDAI</t>
        </is>
      </c>
      <c r="B307" s="348" t="inlineStr">
        <is>
          <t>HH083510</t>
        </is>
      </c>
      <c r="C307" s="349" t="inlineStr">
        <is>
          <t>Garrett</t>
        </is>
      </c>
      <c r="D307" s="349" t="inlineStr">
        <is>
          <t>GTD1749</t>
        </is>
      </c>
      <c r="E307" s="349" t="inlineStr">
        <is>
          <t>D4CC</t>
        </is>
      </c>
      <c r="F307" s="350" t="inlineStr">
        <is>
          <t>28211-4C001
835406-0012</t>
        </is>
      </c>
      <c r="G307" s="349" t="n"/>
      <c r="H307" s="349" t="inlineStr">
        <is>
          <t>Mighty EX8/N650</t>
        </is>
      </c>
      <c r="I307" s="349" t="n"/>
      <c r="J307" s="351" t="inlineStr">
        <is>
          <t>SL</t>
        </is>
      </c>
      <c r="K307" s="352" t="n"/>
      <c r="L307" s="352" t="n"/>
      <c r="M307" s="352" t="n"/>
      <c r="N307" s="352">
        <f>IF(M307="","",M307*1.1)</f>
        <v/>
      </c>
      <c r="O307" s="353" t="n"/>
      <c r="P307" s="353" t="n"/>
      <c r="Q307" s="353" t="n"/>
      <c r="R307" s="353" t="n"/>
      <c r="S307" s="353" t="n"/>
      <c r="T307" s="353" t="n"/>
      <c r="V307" s="346">
        <f>UPPER(A307&amp;" "&amp;B307&amp;" "&amp;D307&amp;" "&amp;E307&amp;" "&amp;F307&amp;" "&amp;G307&amp;" "&amp;H307&amp;" "&amp;I307&amp;" "&amp;J307)</f>
        <v/>
      </c>
      <c r="W307" s="216">
        <f>IF(AND('TRA CỨU TỔNG HỢP'!$B$3&lt;&gt;"",ISNUMBER(SEARCH('TRA CỨU TỔNG HỢP'!$B$3,V307))),MAX($W$3:W306)+1,"")</f>
        <v/>
      </c>
    </row>
    <row r="308" ht="15" customHeight="1" s="217">
      <c r="A308" s="347" t="inlineStr">
        <is>
          <t xml:space="preserve">  └─ HYUNDAI</t>
        </is>
      </c>
      <c r="B308" s="348" t="inlineStr">
        <is>
          <t>HH083650</t>
        </is>
      </c>
      <c r="C308" s="349" t="inlineStr">
        <is>
          <t>Garrett</t>
        </is>
      </c>
      <c r="D308" s="349" t="inlineStr">
        <is>
          <t>GTD1749</t>
        </is>
      </c>
      <c r="E308" s="349" t="inlineStr">
        <is>
          <t>D4CC</t>
        </is>
      </c>
      <c r="F308" s="350" t="inlineStr">
        <is>
          <t>28211-4C001
835406-0012</t>
        </is>
      </c>
      <c r="G308" s="349" t="n"/>
      <c r="H308" s="349" t="inlineStr">
        <is>
          <t>Mighty EX8/N650</t>
        </is>
      </c>
      <c r="I308" s="349" t="n"/>
      <c r="J308" s="351" t="inlineStr">
        <is>
          <t>SL</t>
        </is>
      </c>
      <c r="K308" s="352" t="n"/>
      <c r="L308" s="352" t="n"/>
      <c r="M308" s="352" t="n"/>
      <c r="N308" s="352">
        <f>IF(M308="","",M308*1.1)</f>
        <v/>
      </c>
      <c r="O308" s="353" t="n"/>
      <c r="P308" s="353" t="n"/>
      <c r="Q308" s="353" t="n"/>
      <c r="R308" s="353" t="n"/>
      <c r="S308" s="353" t="n"/>
      <c r="T308" s="353" t="n"/>
      <c r="V308" s="346">
        <f>UPPER(A308&amp;" "&amp;B308&amp;" "&amp;D308&amp;" "&amp;E308&amp;" "&amp;F308&amp;" "&amp;G308&amp;" "&amp;H308&amp;" "&amp;I308&amp;" "&amp;J308)</f>
        <v/>
      </c>
      <c r="W308" s="216">
        <f>IF(AND('TRA CỨU TỔNG HỢP'!$B$3&lt;&gt;"",ISNUMBER(SEARCH('TRA CỨU TỔNG HỢP'!$B$3,V308))),MAX($W$3:W307)+1,"")</f>
        <v/>
      </c>
    </row>
    <row r="309" ht="15" customHeight="1" s="217">
      <c r="A309" s="347" t="inlineStr">
        <is>
          <t xml:space="preserve">  └─ HYUNDAI</t>
        </is>
      </c>
      <c r="B309" s="348" t="inlineStr">
        <is>
          <t>HH082148</t>
        </is>
      </c>
      <c r="C309" s="349" t="inlineStr">
        <is>
          <t>Garrett</t>
        </is>
      </c>
      <c r="D309" s="349" t="inlineStr">
        <is>
          <t>GTD1749</t>
        </is>
      </c>
      <c r="E309" s="349" t="inlineStr">
        <is>
          <t>D4CC</t>
        </is>
      </c>
      <c r="F309" s="350" t="inlineStr">
        <is>
          <t>28211-4C001
835406-0012</t>
        </is>
      </c>
      <c r="G309" s="349" t="n"/>
      <c r="H309" s="349" t="inlineStr">
        <is>
          <t>Mighty EX8/N650</t>
        </is>
      </c>
      <c r="I309" s="349" t="n"/>
      <c r="J309" s="351" t="inlineStr">
        <is>
          <t>FIRE</t>
        </is>
      </c>
      <c r="K309" s="352" t="n"/>
      <c r="L309" s="352" t="n"/>
      <c r="M309" s="352" t="n"/>
      <c r="N309" s="352">
        <f>IF(M309="","",M309*1.1)</f>
        <v/>
      </c>
      <c r="O309" s="353" t="n"/>
      <c r="P309" s="353" t="n"/>
      <c r="Q309" s="353" t="n"/>
      <c r="R309" s="353" t="n"/>
      <c r="S309" s="353" t="n"/>
      <c r="T309" s="353" t="n"/>
      <c r="V309" s="346">
        <f>UPPER(A309&amp;" "&amp;B309&amp;" "&amp;D309&amp;" "&amp;E309&amp;" "&amp;F309&amp;" "&amp;G309&amp;" "&amp;H309&amp;" "&amp;I309&amp;" "&amp;J309)</f>
        <v/>
      </c>
      <c r="W309" s="216">
        <f>IF(AND('TRA CỨU TỔNG HỢP'!$B$3&lt;&gt;"",ISNUMBER(SEARCH('TRA CỨU TỔNG HỢP'!$B$3,V309))),MAX($W$3:W308)+1,"")</f>
        <v/>
      </c>
    </row>
    <row r="310" ht="15" customHeight="1" s="217">
      <c r="A310" s="347" t="inlineStr">
        <is>
          <t xml:space="preserve">  └─ HYUNDAI</t>
        </is>
      </c>
      <c r="B310" s="348" t="inlineStr">
        <is>
          <t>HH083836</t>
        </is>
      </c>
      <c r="C310" s="349" t="inlineStr">
        <is>
          <t>Garrett</t>
        </is>
      </c>
      <c r="D310" s="349" t="inlineStr">
        <is>
          <t>GTD1749</t>
        </is>
      </c>
      <c r="E310" s="349" t="inlineStr">
        <is>
          <t>D4CC</t>
        </is>
      </c>
      <c r="F310" s="350" t="inlineStr">
        <is>
          <t>28211-4C001
835406-0012</t>
        </is>
      </c>
      <c r="G310" s="349" t="n"/>
      <c r="H310" s="349" t="inlineStr">
        <is>
          <t>Mighty EX8/N650</t>
        </is>
      </c>
      <c r="I310" s="349" t="n"/>
      <c r="J310" s="351" t="inlineStr">
        <is>
          <t>EE</t>
        </is>
      </c>
      <c r="K310" s="352" t="n"/>
      <c r="L310" s="352" t="n"/>
      <c r="M310" s="352" t="n"/>
      <c r="N310" s="352">
        <f>IF(M310="","",M310*1.1)</f>
        <v/>
      </c>
      <c r="O310" s="353" t="n"/>
      <c r="P310" s="353" t="n"/>
      <c r="Q310" s="353" t="n"/>
      <c r="R310" s="353" t="n"/>
      <c r="S310" s="353" t="n"/>
      <c r="T310" s="353" t="n"/>
      <c r="V310" s="346">
        <f>UPPER(A310&amp;" "&amp;B310&amp;" "&amp;D310&amp;" "&amp;E310&amp;" "&amp;F310&amp;" "&amp;G310&amp;" "&amp;H310&amp;" "&amp;I310&amp;" "&amp;J310)</f>
        <v/>
      </c>
      <c r="W310" s="216">
        <f>IF(AND('TRA CỨU TỔNG HỢP'!$B$3&lt;&gt;"",ISNUMBER(SEARCH('TRA CỨU TỔNG HỢP'!$B$3,V310))),MAX($W$3:W309)+1,"")</f>
        <v/>
      </c>
    </row>
    <row r="311" ht="15" customHeight="1" s="217">
      <c r="A311" s="340" t="inlineStr">
        <is>
          <t>HYUNDAI</t>
        </is>
      </c>
      <c r="B311" s="341" t="inlineStr">
        <is>
          <t>HH0367</t>
        </is>
      </c>
      <c r="C311" s="340" t="inlineStr">
        <is>
          <t>Mitsubishi</t>
        </is>
      </c>
      <c r="D311" s="340" t="inlineStr">
        <is>
          <t>TE06H-20</t>
        </is>
      </c>
      <c r="E311" s="340" t="inlineStr">
        <is>
          <t>D6GA</t>
        </is>
      </c>
      <c r="F311" s="342" t="inlineStr">
        <is>
          <t>28210-52003
2821052003/49185-04601
28210-52000/49185-04606</t>
        </is>
      </c>
      <c r="G311" s="373" t="inlineStr">
        <is>
          <t>49185-04601
28210-52000
28210-52003</t>
        </is>
      </c>
      <c r="H311" s="340" t="inlineStr">
        <is>
          <t>Hyundai 5 tấn/ R300-9/HD120/ROBEX 140W</t>
        </is>
      </c>
      <c r="I311" s="340" t="n"/>
      <c r="J311" s="343" t="inlineStr">
        <is>
          <t>FIRE</t>
        </is>
      </c>
      <c r="K311" s="344" t="n"/>
      <c r="L311" s="344" t="n"/>
      <c r="M311" s="344" t="n"/>
      <c r="N311" s="344">
        <f>IF(M311="","",M311*1.1)</f>
        <v/>
      </c>
      <c r="O311" s="345" t="n">
        <v>78</v>
      </c>
      <c r="P311" s="345" t="n">
        <v>51.4</v>
      </c>
      <c r="Q311" s="345" t="inlineStr">
        <is>
          <t>7/7</t>
        </is>
      </c>
      <c r="R311" s="345" t="n">
        <v>67</v>
      </c>
      <c r="S311" s="345" t="n">
        <v>58.8</v>
      </c>
      <c r="T311" s="345" t="n">
        <v>11</v>
      </c>
      <c r="V311" s="346">
        <f>UPPER(A311&amp;" "&amp;B311&amp;" "&amp;D311&amp;" "&amp;E311&amp;" "&amp;F311&amp;" "&amp;G311&amp;" "&amp;H311&amp;" "&amp;I311&amp;" "&amp;J311)</f>
        <v/>
      </c>
      <c r="W311" s="216">
        <f>IF(AND('TRA CỨU TỔNG HỢP'!$B$3&lt;&gt;"",ISNUMBER(SEARCH('TRA CỨU TỔNG HỢP'!$B$3,V311))),MAX($W$3:W310)+1,"")</f>
        <v/>
      </c>
    </row>
    <row r="312" ht="15" customHeight="1" s="217">
      <c r="A312" s="347" t="inlineStr">
        <is>
          <t xml:space="preserve">  └─ HYUNDAI</t>
        </is>
      </c>
      <c r="B312" s="348" t="inlineStr">
        <is>
          <t>HH077025</t>
        </is>
      </c>
      <c r="C312" s="349" t="inlineStr">
        <is>
          <t>Mitsubishi</t>
        </is>
      </c>
      <c r="D312" s="349" t="inlineStr">
        <is>
          <t>TE06H-20</t>
        </is>
      </c>
      <c r="E312" s="349" t="inlineStr">
        <is>
          <t>D6GA</t>
        </is>
      </c>
      <c r="F312" s="350" t="inlineStr">
        <is>
          <t>28210-52003
2821052003/49185-04601
28210-52000/49185-04606</t>
        </is>
      </c>
      <c r="G312" s="374" t="inlineStr">
        <is>
          <t>49185-04601
28210-52000
28210-52003</t>
        </is>
      </c>
      <c r="H312" s="349" t="inlineStr">
        <is>
          <t>Hyundai 5 tấn/ R300-9/HD120/ROBEX 140W</t>
        </is>
      </c>
      <c r="I312" s="349" t="n"/>
      <c r="J312" s="351" t="inlineStr">
        <is>
          <t>SL</t>
        </is>
      </c>
      <c r="K312" s="352" t="n"/>
      <c r="L312" s="352" t="n"/>
      <c r="M312" s="352" t="n"/>
      <c r="N312" s="352">
        <f>IF(M312="","",M312*1.1)</f>
        <v/>
      </c>
      <c r="O312" s="353" t="n">
        <v>78</v>
      </c>
      <c r="P312" s="353" t="n">
        <v>51.4</v>
      </c>
      <c r="Q312" s="353" t="inlineStr">
        <is>
          <t>7/7</t>
        </is>
      </c>
      <c r="R312" s="353" t="n">
        <v>67</v>
      </c>
      <c r="S312" s="353" t="n">
        <v>58.8</v>
      </c>
      <c r="T312" s="353" t="n">
        <v>11</v>
      </c>
      <c r="V312" s="346">
        <f>UPPER(A312&amp;" "&amp;B312&amp;" "&amp;D312&amp;" "&amp;E312&amp;" "&amp;F312&amp;" "&amp;G312&amp;" "&amp;H312&amp;" "&amp;I312&amp;" "&amp;J312)</f>
        <v/>
      </c>
      <c r="W312" s="216">
        <f>IF(AND('TRA CỨU TỔNG HỢP'!$B$3&lt;&gt;"",ISNUMBER(SEARCH('TRA CỨU TỔNG HỢP'!$B$3,V312))),MAX($W$3:W311)+1,"")</f>
        <v/>
      </c>
    </row>
    <row r="313" ht="15" customHeight="1" s="217">
      <c r="A313" s="340" t="inlineStr">
        <is>
          <t>HYUNDAI</t>
        </is>
      </c>
      <c r="B313" s="341" t="inlineStr">
        <is>
          <t>HH083055</t>
        </is>
      </c>
      <c r="C313" s="340" t="inlineStr">
        <is>
          <t>Mitsubishi</t>
        </is>
      </c>
      <c r="D313" s="340" t="inlineStr">
        <is>
          <t>TD04</t>
        </is>
      </c>
      <c r="E313" s="340" t="inlineStr">
        <is>
          <t>D4GA</t>
        </is>
      </c>
      <c r="F313" s="342" t="inlineStr">
        <is>
          <t>28210-48000
49189-07701/49189-07720
49491-22801/28210-48001</t>
        </is>
      </c>
      <c r="G313" s="340" t="n"/>
      <c r="H313" s="340" t="inlineStr">
        <is>
          <t>110S 110SL 11XL W11S /11XL W11S NEW Mighty 110S / County W11S 7 tấn xe tải</t>
        </is>
      </c>
      <c r="I313" s="340" t="n"/>
      <c r="J313" s="343" t="inlineStr">
        <is>
          <t>SL</t>
        </is>
      </c>
      <c r="K313" s="344" t="n"/>
      <c r="L313" s="344" t="n"/>
      <c r="M313" s="344" t="n"/>
      <c r="N313" s="344">
        <f>IF(M313="","",M313*1.1)</f>
        <v/>
      </c>
      <c r="O313" s="345" t="n">
        <v>56</v>
      </c>
      <c r="P313" s="345" t="n">
        <v>40.8</v>
      </c>
      <c r="Q313" s="345" t="inlineStr">
        <is>
          <t>7/7</t>
        </is>
      </c>
      <c r="R313" s="345" t="n">
        <v>52</v>
      </c>
      <c r="S313" s="345" t="n">
        <v>45.6</v>
      </c>
      <c r="T313" s="345" t="n">
        <v>12</v>
      </c>
      <c r="V313" s="346">
        <f>UPPER(A313&amp;" "&amp;B313&amp;" "&amp;D313&amp;" "&amp;E313&amp;" "&amp;F313&amp;" "&amp;G313&amp;" "&amp;H313&amp;" "&amp;I313&amp;" "&amp;J313)</f>
        <v/>
      </c>
      <c r="W313" s="216">
        <f>IF(AND('TRA CỨU TỔNG HỢP'!$B$3&lt;&gt;"",ISNUMBER(SEARCH('TRA CỨU TỔNG HỢP'!$B$3,V313))),MAX($W$3:W312)+1,"")</f>
        <v/>
      </c>
    </row>
    <row r="314" ht="15" customHeight="1" s="217">
      <c r="A314" s="347" t="inlineStr">
        <is>
          <t xml:space="preserve">  └─ HYUNDAI</t>
        </is>
      </c>
      <c r="B314" s="348" t="inlineStr">
        <is>
          <t>HH077026</t>
        </is>
      </c>
      <c r="C314" s="349" t="inlineStr">
        <is>
          <t>Mitsubishi</t>
        </is>
      </c>
      <c r="D314" s="349" t="inlineStr">
        <is>
          <t>TD04</t>
        </is>
      </c>
      <c r="E314" s="349" t="inlineStr">
        <is>
          <t>D4GA</t>
        </is>
      </c>
      <c r="F314" s="350" t="inlineStr">
        <is>
          <t>28210-48000
49189-07701/49189-07720
49491-22801/28210-48001</t>
        </is>
      </c>
      <c r="G314" s="349" t="n"/>
      <c r="H314" s="349" t="inlineStr">
        <is>
          <t>110S 110SL 11XL W11S /11XL W11S NEW Mighty 110S / County W11S 7 tấn xe tải</t>
        </is>
      </c>
      <c r="I314" s="349" t="n"/>
      <c r="J314" s="351" t="inlineStr">
        <is>
          <t>SL</t>
        </is>
      </c>
      <c r="K314" s="352" t="n"/>
      <c r="L314" s="352" t="n"/>
      <c r="M314" s="352" t="n"/>
      <c r="N314" s="352">
        <f>IF(M314="","",M314*1.1)</f>
        <v/>
      </c>
      <c r="O314" s="353" t="n">
        <v>56</v>
      </c>
      <c r="P314" s="353" t="n">
        <v>40.8</v>
      </c>
      <c r="Q314" s="353" t="inlineStr">
        <is>
          <t>7/7</t>
        </is>
      </c>
      <c r="R314" s="353" t="n">
        <v>52</v>
      </c>
      <c r="S314" s="353" t="n">
        <v>45.6</v>
      </c>
      <c r="T314" s="353" t="n">
        <v>12</v>
      </c>
      <c r="V314" s="346">
        <f>UPPER(A314&amp;" "&amp;B314&amp;" "&amp;D314&amp;" "&amp;E314&amp;" "&amp;F314&amp;" "&amp;G314&amp;" "&amp;H314&amp;" "&amp;I314&amp;" "&amp;J314)</f>
        <v/>
      </c>
      <c r="W314" s="216">
        <f>IF(AND('TRA CỨU TỔNG HỢP'!$B$3&lt;&gt;"",ISNUMBER(SEARCH('TRA CỨU TỔNG HỢP'!$B$3,V314))),MAX($W$3:W313)+1,"")</f>
        <v/>
      </c>
    </row>
    <row r="315" ht="15" customHeight="1" s="217">
      <c r="A315" s="340" t="inlineStr">
        <is>
          <t>HYUNDAI</t>
        </is>
      </c>
      <c r="B315" s="341" t="inlineStr">
        <is>
          <t>HH071945</t>
        </is>
      </c>
      <c r="C315" s="340" t="inlineStr">
        <is>
          <t>Garrett</t>
        </is>
      </c>
      <c r="D315" s="340" t="inlineStr">
        <is>
          <t>GT1749S</t>
        </is>
      </c>
      <c r="E315" s="340" t="inlineStr">
        <is>
          <t>4D56T</t>
        </is>
      </c>
      <c r="F315" s="342" t="inlineStr">
        <is>
          <t>28200-42700
715924
28200-42610/28200-43160</t>
        </is>
      </c>
      <c r="G315" s="340" t="n"/>
      <c r="H315" s="340" t="inlineStr">
        <is>
          <t>Porter 2 (2006-2012 )</t>
        </is>
      </c>
      <c r="I315" s="340" t="n"/>
      <c r="J315" s="343" t="n"/>
      <c r="K315" s="344" t="n"/>
      <c r="L315" s="344" t="n"/>
      <c r="M315" s="344" t="n"/>
      <c r="N315" s="344">
        <f>IF(M315="","",M315*1.1)</f>
        <v/>
      </c>
      <c r="O315" s="345" t="n">
        <v>49</v>
      </c>
      <c r="P315" s="345" t="n">
        <v>34.6</v>
      </c>
      <c r="Q315" s="345" t="inlineStr">
        <is>
          <t>6/6</t>
        </is>
      </c>
      <c r="R315" s="345" t="n">
        <v>44</v>
      </c>
      <c r="S315" s="345" t="n">
        <v>37.3</v>
      </c>
      <c r="T315" s="345" t="inlineStr">
        <is>
          <t>12</t>
        </is>
      </c>
      <c r="V315" s="346">
        <f>UPPER(A315&amp;" "&amp;B315&amp;" "&amp;D315&amp;" "&amp;E315&amp;" "&amp;F315&amp;" "&amp;G315&amp;" "&amp;H315&amp;" "&amp;I315&amp;" "&amp;J315)</f>
        <v/>
      </c>
      <c r="W315" s="216">
        <f>IF(AND('TRA CỨU TỔNG HỢP'!$B$3&lt;&gt;"",ISNUMBER(SEARCH('TRA CỨU TỔNG HỢP'!$B$3,V315))),MAX($W$3:W314)+1,"")</f>
        <v/>
      </c>
    </row>
    <row r="316" ht="15" customHeight="1" s="217">
      <c r="A316" s="347" t="inlineStr">
        <is>
          <t xml:space="preserve">  └─ HYUNDAI</t>
        </is>
      </c>
      <c r="B316" s="348" t="inlineStr">
        <is>
          <t>HH080003</t>
        </is>
      </c>
      <c r="C316" s="349" t="inlineStr">
        <is>
          <t>Garrett</t>
        </is>
      </c>
      <c r="D316" s="349" t="inlineStr">
        <is>
          <t>GT1749S</t>
        </is>
      </c>
      <c r="E316" s="349" t="inlineStr">
        <is>
          <t>4D56T</t>
        </is>
      </c>
      <c r="F316" s="350" t="inlineStr">
        <is>
          <t>28200-42700
715924
28200-42610/28200-43160</t>
        </is>
      </c>
      <c r="G316" s="349" t="n"/>
      <c r="H316" s="349" t="inlineStr">
        <is>
          <t>Porter 2 (2006-2012 )</t>
        </is>
      </c>
      <c r="I316" s="349" t="n"/>
      <c r="J316" s="351" t="inlineStr">
        <is>
          <t>SL</t>
        </is>
      </c>
      <c r="K316" s="352" t="n"/>
      <c r="L316" s="352" t="n"/>
      <c r="M316" s="352" t="n"/>
      <c r="N316" s="352">
        <f>IF(M316="","",M316*1.1)</f>
        <v/>
      </c>
      <c r="O316" s="353" t="n">
        <v>49</v>
      </c>
      <c r="P316" s="353" t="n">
        <v>34.6</v>
      </c>
      <c r="Q316" s="353" t="inlineStr">
        <is>
          <t>6/6</t>
        </is>
      </c>
      <c r="R316" s="353" t="n">
        <v>44</v>
      </c>
      <c r="S316" s="353" t="n">
        <v>37.3</v>
      </c>
      <c r="T316" s="353" t="inlineStr">
        <is>
          <t>12</t>
        </is>
      </c>
      <c r="V316" s="346">
        <f>UPPER(A316&amp;" "&amp;B316&amp;" "&amp;D316&amp;" "&amp;E316&amp;" "&amp;F316&amp;" "&amp;G316&amp;" "&amp;H316&amp;" "&amp;I316&amp;" "&amp;J316)</f>
        <v/>
      </c>
      <c r="W316" s="216">
        <f>IF(AND('TRA CỨU TỔNG HỢP'!$B$3&lt;&gt;"",ISNUMBER(SEARCH('TRA CỨU TỔNG HỢP'!$B$3,V316))),MAX($W$3:W315)+1,"")</f>
        <v/>
      </c>
    </row>
    <row r="317" ht="15" customHeight="1" s="217">
      <c r="A317" s="354" t="inlineStr">
        <is>
          <t>HYUNDAI</t>
        </is>
      </c>
      <c r="B317" s="355" t="inlineStr">
        <is>
          <t>HH083398</t>
        </is>
      </c>
      <c r="C317" s="354" t="inlineStr">
        <is>
          <t>Garrett</t>
        </is>
      </c>
      <c r="D317" s="354" t="inlineStr">
        <is>
          <t>GTB1244VZ</t>
        </is>
      </c>
      <c r="E317" s="354" t="n"/>
      <c r="F317" s="356" t="inlineStr">
        <is>
          <t>28201-2A850</t>
        </is>
      </c>
      <c r="G317" s="354" t="n"/>
      <c r="H317" s="354" t="inlineStr">
        <is>
          <t>(Sportage 2.0) G780 - EE</t>
        </is>
      </c>
      <c r="I317" s="354" t="n"/>
      <c r="J317" s="357" t="inlineStr">
        <is>
          <t>EE</t>
        </is>
      </c>
      <c r="K317" s="358" t="n"/>
      <c r="L317" s="358" t="n"/>
      <c r="M317" s="358" t="n"/>
      <c r="N317" s="358">
        <f>IF(M317="","",M317*1.1)</f>
        <v/>
      </c>
      <c r="O317" s="359" t="n">
        <v>44</v>
      </c>
      <c r="P317" s="359" t="n">
        <v>31.1</v>
      </c>
      <c r="Q317" s="359" t="inlineStr">
        <is>
          <t>6/6</t>
        </is>
      </c>
      <c r="R317" s="359" t="n">
        <v>35.6</v>
      </c>
      <c r="S317" s="359" t="n">
        <v>32.5</v>
      </c>
      <c r="T317" s="359" t="n">
        <v>9</v>
      </c>
      <c r="V317" s="216">
        <f>UPPER(A317&amp;" "&amp;B317&amp;" "&amp;D317&amp;" "&amp;E317&amp;" "&amp;F317&amp;" "&amp;G317&amp;" "&amp;H317&amp;" "&amp;I317&amp;" "&amp;J317)</f>
        <v/>
      </c>
      <c r="W317" s="216">
        <f>IF(AND('TRA CỨU TỔNG HỢP'!$B$3&lt;&gt;"",ISNUMBER(SEARCH('TRA CỨU TỔNG HỢP'!$B$3,V317))),MAX($W$3:W316)+1,"")</f>
        <v/>
      </c>
    </row>
    <row r="318" ht="15" customHeight="1" s="217">
      <c r="A318" s="340" t="inlineStr">
        <is>
          <t>HYUNDAI</t>
        </is>
      </c>
      <c r="B318" s="341" t="inlineStr">
        <is>
          <t>HH079941</t>
        </is>
      </c>
      <c r="C318" s="340" t="inlineStr">
        <is>
          <t>IHI</t>
        </is>
      </c>
      <c r="D318" s="340" t="inlineStr">
        <is>
          <t>RHF5</t>
        </is>
      </c>
      <c r="E318" s="340" t="inlineStr">
        <is>
          <t>Kia J3</t>
        </is>
      </c>
      <c r="F318" s="342" t="inlineStr">
        <is>
          <t>28201-4X610/28201-4X600</t>
        </is>
      </c>
      <c r="G318" s="340" t="n"/>
      <c r="H318" s="373" t="inlineStr">
        <is>
          <t>KIA Bongo 3( 2006-2009 )
 New porterII</t>
        </is>
      </c>
      <c r="I318" s="340" t="inlineStr">
        <is>
          <t>chú ý coi cổ gió ở trên</t>
        </is>
      </c>
      <c r="J318" s="343" t="inlineStr">
        <is>
          <t>VIDARIR</t>
        </is>
      </c>
      <c r="K318" s="344" t="n"/>
      <c r="L318" s="344" t="n"/>
      <c r="M318" s="344" t="n"/>
      <c r="N318" s="344">
        <f>IF(M318="","",M318*1.1)</f>
        <v/>
      </c>
      <c r="O318" s="345" t="n">
        <v>52.5</v>
      </c>
      <c r="P318" s="345" t="n">
        <v>39.2</v>
      </c>
      <c r="Q318" s="345" t="inlineStr">
        <is>
          <t>6/6</t>
        </is>
      </c>
      <c r="R318" s="345" t="n">
        <v>44.4</v>
      </c>
      <c r="S318" s="345" t="n">
        <v>37.6</v>
      </c>
      <c r="T318" s="345" t="n">
        <v>8</v>
      </c>
      <c r="V318" s="346">
        <f>UPPER(A318&amp;" "&amp;B318&amp;" "&amp;D318&amp;" "&amp;E318&amp;" "&amp;F318&amp;" "&amp;G318&amp;" "&amp;H318&amp;" "&amp;I318&amp;" "&amp;J318)</f>
        <v/>
      </c>
      <c r="W318" s="216">
        <f>IF(AND('TRA CỨU TỔNG HỢP'!$B$3&lt;&gt;"",ISNUMBER(SEARCH('TRA CỨU TỔNG HỢP'!$B$3,V318))),MAX($W$3:W317)+1,"")</f>
        <v/>
      </c>
    </row>
    <row r="319" ht="15" customHeight="1" s="217">
      <c r="A319" s="347" t="inlineStr">
        <is>
          <t xml:space="preserve">  └─ HYUNDAI</t>
        </is>
      </c>
      <c r="B319" s="348" t="inlineStr">
        <is>
          <t>HH077663</t>
        </is>
      </c>
      <c r="C319" s="349" t="inlineStr">
        <is>
          <t>IHI</t>
        </is>
      </c>
      <c r="D319" s="349" t="inlineStr">
        <is>
          <t>RHF5</t>
        </is>
      </c>
      <c r="E319" s="349" t="inlineStr">
        <is>
          <t>Kia J3</t>
        </is>
      </c>
      <c r="F319" s="350" t="inlineStr">
        <is>
          <t>28201-4X610/28201-4X600</t>
        </is>
      </c>
      <c r="G319" s="349" t="n"/>
      <c r="H319" s="374" t="inlineStr">
        <is>
          <t>KIA Bongo 3( 2006-2009 )
 New porterII</t>
        </is>
      </c>
      <c r="I319" s="349" t="inlineStr">
        <is>
          <t>chú ý coi cổ gió ở trên</t>
        </is>
      </c>
      <c r="J319" s="351" t="inlineStr">
        <is>
          <t>SL</t>
        </is>
      </c>
      <c r="K319" s="352" t="n"/>
      <c r="L319" s="352" t="n"/>
      <c r="M319" s="352" t="n"/>
      <c r="N319" s="352">
        <f>IF(M319="","",M319*1.1)</f>
        <v/>
      </c>
      <c r="O319" s="353" t="n">
        <v>52.5</v>
      </c>
      <c r="P319" s="353" t="n">
        <v>39.2</v>
      </c>
      <c r="Q319" s="353" t="inlineStr">
        <is>
          <t>6/6</t>
        </is>
      </c>
      <c r="R319" s="353" t="n">
        <v>44.4</v>
      </c>
      <c r="S319" s="353" t="n">
        <v>37.6</v>
      </c>
      <c r="T319" s="353" t="n">
        <v>8</v>
      </c>
      <c r="V319" s="346">
        <f>UPPER(A319&amp;" "&amp;B319&amp;" "&amp;D319&amp;" "&amp;E319&amp;" "&amp;F319&amp;" "&amp;G319&amp;" "&amp;H319&amp;" "&amp;I319&amp;" "&amp;J319)</f>
        <v/>
      </c>
      <c r="W319" s="216">
        <f>IF(AND('TRA CỨU TỔNG HỢP'!$B$3&lt;&gt;"",ISNUMBER(SEARCH('TRA CỨU TỔNG HỢP'!$B$3,V319))),MAX($W$3:W318)+1,"")</f>
        <v/>
      </c>
    </row>
    <row r="320" ht="15" customHeight="1" s="217">
      <c r="A320" s="340" t="inlineStr">
        <is>
          <t>HYUNDAI</t>
        </is>
      </c>
      <c r="B320" s="341" t="inlineStr">
        <is>
          <t>HH071944</t>
        </is>
      </c>
      <c r="C320" s="340" t="inlineStr">
        <is>
          <t>Garrett</t>
        </is>
      </c>
      <c r="D320" s="340" t="inlineStr">
        <is>
          <t>GT1749S</t>
        </is>
      </c>
      <c r="E320" s="340" t="inlineStr">
        <is>
          <t>D4AE</t>
        </is>
      </c>
      <c r="F320" s="342" t="inlineStr">
        <is>
          <t>28230-41401
28230-41402
28230-41411
28230-41412</t>
        </is>
      </c>
      <c r="G320" s="340" t="n"/>
      <c r="H320" s="340" t="inlineStr">
        <is>
          <t>Hyundai H350/Mighty II</t>
        </is>
      </c>
      <c r="I320" s="340" t="n"/>
      <c r="J320" s="343" t="n"/>
      <c r="K320" s="344" t="n"/>
      <c r="L320" s="344" t="n"/>
      <c r="M320" s="344" t="n"/>
      <c r="N320" s="344">
        <f>IF(M320="","",M320*1.1)</f>
        <v/>
      </c>
      <c r="O320" s="345" t="n">
        <v>49</v>
      </c>
      <c r="P320" s="345" t="n">
        <v>38</v>
      </c>
      <c r="Q320" s="345" t="inlineStr">
        <is>
          <t>6/6</t>
        </is>
      </c>
      <c r="R320" s="345" t="n">
        <v>44.4</v>
      </c>
      <c r="S320" s="345" t="n">
        <v>37.6</v>
      </c>
      <c r="T320" s="345" t="inlineStr">
        <is>
          <t>9</t>
        </is>
      </c>
      <c r="V320" s="346">
        <f>UPPER(A320&amp;" "&amp;B320&amp;" "&amp;D320&amp;" "&amp;E320&amp;" "&amp;F320&amp;" "&amp;G320&amp;" "&amp;H320&amp;" "&amp;I320&amp;" "&amp;J320)</f>
        <v/>
      </c>
      <c r="W320" s="216">
        <f>IF(AND('TRA CỨU TỔNG HỢP'!$B$3&lt;&gt;"",ISNUMBER(SEARCH('TRA CỨU TỔNG HỢP'!$B$3,V320))),MAX($W$3:W319)+1,"")</f>
        <v/>
      </c>
    </row>
    <row r="321" ht="15" customHeight="1" s="217">
      <c r="A321" s="347" t="inlineStr">
        <is>
          <t xml:space="preserve">  └─ HYUNDAI</t>
        </is>
      </c>
      <c r="B321" s="348" t="inlineStr">
        <is>
          <t>HH079990</t>
        </is>
      </c>
      <c r="C321" s="349" t="inlineStr">
        <is>
          <t>Garrett</t>
        </is>
      </c>
      <c r="D321" s="349" t="inlineStr">
        <is>
          <t>GT1749S</t>
        </is>
      </c>
      <c r="E321" s="349" t="inlineStr">
        <is>
          <t>D4AE</t>
        </is>
      </c>
      <c r="F321" s="350" t="inlineStr">
        <is>
          <t>28230-41401
28230-41402
28230-41411
28230-41412</t>
        </is>
      </c>
      <c r="G321" s="349" t="n"/>
      <c r="H321" s="349" t="inlineStr">
        <is>
          <t>Hyundai H350/Mighty II</t>
        </is>
      </c>
      <c r="I321" s="349" t="n"/>
      <c r="J321" s="351" t="inlineStr">
        <is>
          <t>SL</t>
        </is>
      </c>
      <c r="K321" s="352" t="n"/>
      <c r="L321" s="352" t="n"/>
      <c r="M321" s="352" t="n"/>
      <c r="N321" s="352">
        <f>IF(M321="","",M321*1.1)</f>
        <v/>
      </c>
      <c r="O321" s="353" t="n">
        <v>49</v>
      </c>
      <c r="P321" s="353" t="n">
        <v>38</v>
      </c>
      <c r="Q321" s="353" t="inlineStr">
        <is>
          <t>6/6</t>
        </is>
      </c>
      <c r="R321" s="353" t="n">
        <v>44.4</v>
      </c>
      <c r="S321" s="353" t="n">
        <v>37.6</v>
      </c>
      <c r="T321" s="353" t="inlineStr">
        <is>
          <t>9</t>
        </is>
      </c>
      <c r="V321" s="346">
        <f>UPPER(A321&amp;" "&amp;B321&amp;" "&amp;D321&amp;" "&amp;E321&amp;" "&amp;F321&amp;" "&amp;G321&amp;" "&amp;H321&amp;" "&amp;I321&amp;" "&amp;J321)</f>
        <v/>
      </c>
      <c r="W321" s="216">
        <f>IF(AND('TRA CỨU TỔNG HỢP'!$B$3&lt;&gt;"",ISNUMBER(SEARCH('TRA CỨU TỔNG HỢP'!$B$3,V321))),MAX($W$3:W320)+1,"")</f>
        <v/>
      </c>
    </row>
    <row r="322" ht="15" customHeight="1" s="217">
      <c r="A322" s="367" t="inlineStr">
        <is>
          <t>HYUNDAI</t>
        </is>
      </c>
      <c r="B322" s="368" t="n"/>
      <c r="C322" s="367" t="n"/>
      <c r="D322" s="367" t="n"/>
      <c r="E322" s="367" t="n"/>
      <c r="F322" s="369" t="inlineStr">
        <is>
          <t>28201-2A400</t>
        </is>
      </c>
      <c r="G322" s="367" t="n"/>
      <c r="H322" s="367" t="inlineStr">
        <is>
          <t>Hyundai Verna/Aceent 1.5 Diesel / Hyundai Verna/Aceent 1.5 Diesel</t>
        </is>
      </c>
      <c r="I322" s="367" t="n"/>
      <c r="J322" s="370" t="n"/>
      <c r="K322" s="371" t="n"/>
      <c r="L322" s="371" t="n"/>
      <c r="M322" s="371" t="n"/>
      <c r="N322" s="371" t="n"/>
      <c r="O322" s="372" t="n">
        <v>44</v>
      </c>
      <c r="P322" s="372" t="n">
        <v>31</v>
      </c>
      <c r="Q322" s="372" t="inlineStr">
        <is>
          <t>6/6</t>
        </is>
      </c>
      <c r="R322" s="372" t="n">
        <v>38.9</v>
      </c>
      <c r="S322" s="372" t="n">
        <v>33</v>
      </c>
      <c r="T322" s="372" t="inlineStr">
        <is>
          <t>11</t>
        </is>
      </c>
      <c r="V322" s="216">
        <f>UPPER(A322&amp;" "&amp;B322&amp;" "&amp;D322&amp;" "&amp;E322&amp;" "&amp;F322&amp;" "&amp;G322&amp;" "&amp;H322&amp;" "&amp;I322&amp;" "&amp;J322)</f>
        <v/>
      </c>
      <c r="W322" s="216">
        <f>IF(AND('TRA CỨU TỔNG HỢP'!$B$3&lt;&gt;"",ISNUMBER(SEARCH('TRA CỨU TỔNG HỢP'!$B$3,V322))),MAX($W$3:W321)+1,"")</f>
        <v/>
      </c>
    </row>
    <row r="323" ht="15" customHeight="1" s="217">
      <c r="A323" s="354" t="inlineStr">
        <is>
          <t>HYUNDAI</t>
        </is>
      </c>
      <c r="B323" s="355" t="inlineStr">
        <is>
          <t>HH074748</t>
        </is>
      </c>
      <c r="C323" s="354" t="inlineStr">
        <is>
          <t>Garrett</t>
        </is>
      </c>
      <c r="D323" s="354" t="inlineStr">
        <is>
          <t>GT1752S</t>
        </is>
      </c>
      <c r="E323" s="354" t="inlineStr">
        <is>
          <t>D4CB</t>
        </is>
      </c>
      <c r="F323" s="356" t="inlineStr">
        <is>
          <t>28200-4A350
732340
28200-4A361
282004A350
732340-0001</t>
        </is>
      </c>
      <c r="G323" s="354" t="inlineStr">
        <is>
          <t>Starex 2.5 CDRI</t>
        </is>
      </c>
      <c r="H323" s="354" t="inlineStr">
        <is>
          <t>Porter II</t>
        </is>
      </c>
      <c r="I323" s="354" t="n"/>
      <c r="J323" s="357" t="inlineStr">
        <is>
          <t>SL</t>
        </is>
      </c>
      <c r="K323" s="358" t="n"/>
      <c r="L323" s="358" t="n"/>
      <c r="M323" s="358" t="n"/>
      <c r="N323" s="358">
        <f>IF(M323="","",M323*1.1)</f>
        <v/>
      </c>
      <c r="O323" s="359" t="n"/>
      <c r="P323" s="359" t="n"/>
      <c r="Q323" s="359" t="n"/>
      <c r="R323" s="359" t="n"/>
      <c r="S323" s="359" t="n"/>
      <c r="T323" s="359" t="n"/>
      <c r="V323" s="346">
        <f>UPPER(A323&amp;" "&amp;B323&amp;" "&amp;D323&amp;" "&amp;E323&amp;" "&amp;F323&amp;" "&amp;G323&amp;" "&amp;H323&amp;" "&amp;I323&amp;" "&amp;J323)</f>
        <v/>
      </c>
      <c r="W323" s="216">
        <f>IF(AND('TRA CỨU TỔNG HỢP'!$B$3&lt;&gt;"",ISNUMBER(SEARCH('TRA CỨU TỔNG HỢP'!$B$3,V323))),MAX($W$3:W322)+1,"")</f>
        <v/>
      </c>
    </row>
    <row r="324" ht="15" customHeight="1" s="217">
      <c r="A324" s="340" t="inlineStr">
        <is>
          <t>HYUNDAI</t>
        </is>
      </c>
      <c r="B324" s="341" t="inlineStr">
        <is>
          <t>HH079488</t>
        </is>
      </c>
      <c r="C324" s="340" t="inlineStr">
        <is>
          <t>Garrett</t>
        </is>
      </c>
      <c r="D324" s="340" t="inlineStr">
        <is>
          <t>GTB1649V/ Hyudai Kia D4EA</t>
        </is>
      </c>
      <c r="E324" s="340" t="n"/>
      <c r="F324" s="342" t="inlineStr">
        <is>
          <t>757886-0004
28231-27450</t>
        </is>
      </c>
      <c r="G324" s="340" t="n"/>
      <c r="H324" s="340" t="n"/>
      <c r="I324" s="340" t="n"/>
      <c r="J324" s="343" t="inlineStr">
        <is>
          <t>SL</t>
        </is>
      </c>
      <c r="K324" s="344" t="n"/>
      <c r="L324" s="344" t="n"/>
      <c r="M324" s="344" t="n"/>
      <c r="N324" s="344">
        <f>IF(M324="","",M324*1.1)</f>
        <v/>
      </c>
      <c r="O324" s="345" t="n">
        <v>49</v>
      </c>
      <c r="P324" s="345" t="n">
        <v>36.3</v>
      </c>
      <c r="Q324" s="345" t="inlineStr">
        <is>
          <t>6/6</t>
        </is>
      </c>
      <c r="R324" s="345" t="n">
        <v>40.9</v>
      </c>
      <c r="S324" s="345" t="n">
        <v>34.7</v>
      </c>
      <c r="T324" s="345" t="inlineStr">
        <is>
          <t>9</t>
        </is>
      </c>
      <c r="V324" s="346">
        <f>UPPER(A324&amp;" "&amp;B324&amp;" "&amp;D324&amp;" "&amp;E324&amp;" "&amp;F324&amp;" "&amp;G324&amp;" "&amp;H324&amp;" "&amp;I324&amp;" "&amp;J324)</f>
        <v/>
      </c>
      <c r="W324" s="216">
        <f>IF(AND('TRA CỨU TỔNG HỢP'!$B$3&lt;&gt;"",ISNUMBER(SEARCH('TRA CỨU TỔNG HỢP'!$B$3,V324))),MAX($W$3:W323)+1,"")</f>
        <v/>
      </c>
    </row>
    <row r="325" ht="15" customHeight="1" s="217">
      <c r="A325" s="347" t="inlineStr">
        <is>
          <t xml:space="preserve">  └─ HYUNDAI</t>
        </is>
      </c>
      <c r="B325" s="348" t="inlineStr">
        <is>
          <t>HH083410</t>
        </is>
      </c>
      <c r="C325" s="349" t="inlineStr">
        <is>
          <t>Garrett</t>
        </is>
      </c>
      <c r="D325" s="349" t="inlineStr">
        <is>
          <t>GTB1649V/ Hyudai Kia D4EA</t>
        </is>
      </c>
      <c r="E325" s="349" t="n"/>
      <c r="F325" s="350" t="inlineStr">
        <is>
          <t>757886-0004
28231-27450</t>
        </is>
      </c>
      <c r="G325" s="349" t="n"/>
      <c r="H325" s="349" t="n"/>
      <c r="I325" s="349" t="n"/>
      <c r="J325" s="351" t="inlineStr">
        <is>
          <t>SL</t>
        </is>
      </c>
      <c r="K325" s="352" t="n"/>
      <c r="L325" s="352" t="n"/>
      <c r="M325" s="352" t="n"/>
      <c r="N325" s="352">
        <f>IF(M325="","",M325*1.1)</f>
        <v/>
      </c>
      <c r="O325" s="353" t="n">
        <v>49</v>
      </c>
      <c r="P325" s="353" t="n">
        <v>36.3</v>
      </c>
      <c r="Q325" s="353" t="inlineStr">
        <is>
          <t>6/6</t>
        </is>
      </c>
      <c r="R325" s="353" t="n">
        <v>40.9</v>
      </c>
      <c r="S325" s="353" t="n">
        <v>34.7</v>
      </c>
      <c r="T325" s="353" t="inlineStr">
        <is>
          <t>9</t>
        </is>
      </c>
      <c r="V325" s="346">
        <f>UPPER(A325&amp;" "&amp;B325&amp;" "&amp;D325&amp;" "&amp;E325&amp;" "&amp;F325&amp;" "&amp;G325&amp;" "&amp;H325&amp;" "&amp;I325&amp;" "&amp;J325)</f>
        <v/>
      </c>
      <c r="W325" s="216">
        <f>IF(AND('TRA CỨU TỔNG HỢP'!$B$3&lt;&gt;"",ISNUMBER(SEARCH('TRA CỨU TỔNG HỢP'!$B$3,V325))),MAX($W$3:W324)+1,"")</f>
        <v/>
      </c>
    </row>
    <row r="326" ht="15" customHeight="1" s="217">
      <c r="A326" s="340" t="inlineStr">
        <is>
          <t>HYUNDAI</t>
        </is>
      </c>
      <c r="B326" s="341" t="inlineStr">
        <is>
          <t>HH075103</t>
        </is>
      </c>
      <c r="C326" s="340" t="inlineStr">
        <is>
          <t>BorgWarner</t>
        </is>
      </c>
      <c r="D326" s="340" t="inlineStr">
        <is>
          <t>BV43</t>
        </is>
      </c>
      <c r="E326" s="340" t="inlineStr">
        <is>
          <t>D4CB</t>
        </is>
      </c>
      <c r="F326" s="342" t="inlineStr">
        <is>
          <t>53039880127 | 53039700127 | 53039710127 | 53039880145 | 53039700145 | 5303 988 0127 | 5303 970 0127 | 5303 971 0127 | 5303 988 0145 | 5303 970 0145 | 5303-988-0127 | 5303-970-0127 | 5303-971-0127 | 5303-988-0145 | 5303-970-0145 | 282004A480 | 28200-4A480</t>
        </is>
      </c>
      <c r="G326" s="340" t="n"/>
      <c r="H326" s="340" t="inlineStr">
        <is>
          <t>Starex 2.5 CDRI</t>
        </is>
      </c>
      <c r="I326" s="340" t="n"/>
      <c r="J326" s="343" t="inlineStr">
        <is>
          <t>SL</t>
        </is>
      </c>
      <c r="K326" s="344" t="n"/>
      <c r="L326" s="344" t="n"/>
      <c r="M326" s="344" t="n"/>
      <c r="N326" s="344">
        <f>IF(M326="","",M326*1.1)</f>
        <v/>
      </c>
      <c r="O326" s="345" t="n">
        <v>53.89</v>
      </c>
      <c r="P326" s="345" t="n">
        <v>37.8</v>
      </c>
      <c r="Q326" s="345" t="inlineStr">
        <is>
          <t>6/6</t>
        </is>
      </c>
      <c r="R326" s="345" t="n">
        <v>43</v>
      </c>
      <c r="S326" s="345" t="n">
        <v>38.2</v>
      </c>
      <c r="T326" s="345" t="inlineStr">
        <is>
          <t>9</t>
        </is>
      </c>
      <c r="V326" s="216">
        <f>UPPER(A326&amp;" "&amp;B326&amp;" "&amp;D326&amp;" "&amp;E326&amp;" "&amp;F326&amp;" "&amp;G326&amp;" "&amp;H326&amp;" "&amp;I326&amp;" "&amp;J326)</f>
        <v/>
      </c>
      <c r="W326" s="216">
        <f>IF(AND('TRA CỨU TỔNG HỢP'!$B$3&lt;&gt;"",ISNUMBER(SEARCH('TRA CỨU TỔNG HỢP'!$B$3,V326))),MAX($W$3:W325)+1,"")</f>
        <v/>
      </c>
    </row>
    <row r="327" ht="15" customHeight="1" s="217">
      <c r="A327" s="347" t="inlineStr">
        <is>
          <t xml:space="preserve">  └─ HYUNDAI</t>
        </is>
      </c>
      <c r="B327" s="348" t="inlineStr">
        <is>
          <t>HH080015</t>
        </is>
      </c>
      <c r="C327" s="349" t="inlineStr">
        <is>
          <t>BorgWarner</t>
        </is>
      </c>
      <c r="D327" s="349" t="inlineStr">
        <is>
          <t>BV43</t>
        </is>
      </c>
      <c r="E327" s="349" t="inlineStr">
        <is>
          <t>D4CB</t>
        </is>
      </c>
      <c r="F327" s="350" t="inlineStr">
        <is>
          <t>53039880127 | 53039700127 | 53039710127 | 53039880145 | 53039700145 | 5303 988 0127 | 5303 970 0127 | 5303 971 0127 | 5303 988 0145 | 5303 970 0145 | 5303-988-0127 | 5303-970-0127 | 5303-971-0127 | 5303-988-0145 | 5303-970-0145 | 282004A480 | 28200-4A480</t>
        </is>
      </c>
      <c r="G327" s="349" t="n"/>
      <c r="H327" s="349" t="inlineStr">
        <is>
          <t>Starex 2.5 CDRI</t>
        </is>
      </c>
      <c r="I327" s="349" t="n"/>
      <c r="J327" s="351" t="inlineStr">
        <is>
          <t>SL</t>
        </is>
      </c>
      <c r="K327" s="352" t="n"/>
      <c r="L327" s="352" t="n"/>
      <c r="M327" s="352" t="n"/>
      <c r="N327" s="352">
        <f>IF(M327="","",M327*1.1)</f>
        <v/>
      </c>
      <c r="O327" s="353" t="n">
        <v>53.89</v>
      </c>
      <c r="P327" s="353" t="n">
        <v>37.8</v>
      </c>
      <c r="Q327" s="353" t="inlineStr">
        <is>
          <t>6/6</t>
        </is>
      </c>
      <c r="R327" s="353" t="n">
        <v>43</v>
      </c>
      <c r="S327" s="353" t="n">
        <v>38.2</v>
      </c>
      <c r="T327" s="353" t="inlineStr">
        <is>
          <t>9</t>
        </is>
      </c>
      <c r="V327" s="216">
        <f>UPPER(A327&amp;" "&amp;B327&amp;" "&amp;D327&amp;" "&amp;E327&amp;" "&amp;F327&amp;" "&amp;G327&amp;" "&amp;H327&amp;" "&amp;I327&amp;" "&amp;J327)</f>
        <v/>
      </c>
      <c r="W327" s="216">
        <f>IF(AND('TRA CỨU TỔNG HỢP'!$B$3&lt;&gt;"",ISNUMBER(SEARCH('TRA CỨU TỔNG HỢP'!$B$3,V327))),MAX($W$3:W326)+1,"")</f>
        <v/>
      </c>
    </row>
    <row r="328" ht="15" customHeight="1" s="217">
      <c r="A328" s="354" t="inlineStr">
        <is>
          <t>HYUNDAI</t>
        </is>
      </c>
      <c r="B328" s="355" t="inlineStr">
        <is>
          <t>HH083046</t>
        </is>
      </c>
      <c r="C328" s="354" t="inlineStr">
        <is>
          <t>Garrett</t>
        </is>
      </c>
      <c r="D328" s="354" t="inlineStr">
        <is>
          <t>GT1749S</t>
        </is>
      </c>
      <c r="E328" s="354" t="inlineStr">
        <is>
          <t>D4CB</t>
        </is>
      </c>
      <c r="F328" s="356" t="inlineStr">
        <is>
          <t>28200-4A500</t>
        </is>
      </c>
      <c r="G328" s="354" t="n"/>
      <c r="H328" s="354" t="n"/>
      <c r="I328" s="354" t="n"/>
      <c r="J328" s="357" t="inlineStr">
        <is>
          <t>SL</t>
        </is>
      </c>
      <c r="K328" s="358" t="n"/>
      <c r="L328" s="358" t="n"/>
      <c r="M328" s="358" t="n"/>
      <c r="N328" s="358">
        <f>IF(M328="","",M328*1.1)</f>
        <v/>
      </c>
      <c r="O328" s="359" t="n">
        <v>49</v>
      </c>
      <c r="P328" s="359" t="n">
        <v>37.8</v>
      </c>
      <c r="Q328" s="359" t="inlineStr">
        <is>
          <t>6/6</t>
        </is>
      </c>
      <c r="R328" s="359" t="n">
        <v>41.2</v>
      </c>
      <c r="S328" s="359" t="n">
        <v>35</v>
      </c>
      <c r="T328" s="359" t="inlineStr">
        <is>
          <t>9</t>
        </is>
      </c>
      <c r="V328" s="216">
        <f>UPPER(A328&amp;" "&amp;B328&amp;" "&amp;D328&amp;" "&amp;E328&amp;" "&amp;F328&amp;" "&amp;G328&amp;" "&amp;H328&amp;" "&amp;I328&amp;" "&amp;J328)</f>
        <v/>
      </c>
      <c r="W328" s="216">
        <f>IF(AND('TRA CỨU TỔNG HỢP'!$B$3&lt;&gt;"",ISNUMBER(SEARCH('TRA CỨU TỔNG HỢP'!$B$3,V328))),MAX($W$3:W327)+1,"")</f>
        <v/>
      </c>
    </row>
    <row r="329" ht="15" customHeight="1" s="217">
      <c r="A329" s="354" t="inlineStr">
        <is>
          <t>HYUNDAI</t>
        </is>
      </c>
      <c r="B329" s="355" t="inlineStr">
        <is>
          <t>HH079985</t>
        </is>
      </c>
      <c r="C329" s="354" t="inlineStr">
        <is>
          <t>Garrett</t>
        </is>
      </c>
      <c r="D329" s="354" t="inlineStr">
        <is>
          <t>GT1749S</t>
        </is>
      </c>
      <c r="E329" s="354" t="inlineStr">
        <is>
          <t>4D56T</t>
        </is>
      </c>
      <c r="F329" s="356" t="inlineStr">
        <is>
          <t>28200-4B151
28200-4B160/1328579
3C1Q6K682EA
700273
700273-5002S/700273-5001S
700273-0002/700273-0001
282004B160/282004B151</t>
        </is>
      </c>
      <c r="G329" s="354" t="n"/>
      <c r="H329" s="354" t="inlineStr">
        <is>
          <t>Porter/Starex</t>
        </is>
      </c>
      <c r="I329" s="354" t="n"/>
      <c r="J329" s="357" t="inlineStr">
        <is>
          <t>SL</t>
        </is>
      </c>
      <c r="K329" s="358" t="n"/>
      <c r="L329" s="358" t="n"/>
      <c r="M329" s="358" t="n"/>
      <c r="N329" s="358">
        <f>IF(M329="","",M329*1.1)</f>
        <v/>
      </c>
      <c r="O329" s="359" t="n">
        <v>49</v>
      </c>
      <c r="P329" s="359" t="n">
        <v>34.4</v>
      </c>
      <c r="Q329" s="359" t="inlineStr">
        <is>
          <t>6/6</t>
        </is>
      </c>
      <c r="R329" s="359" t="n">
        <v>44.4</v>
      </c>
      <c r="S329" s="359" t="n">
        <v>37.6</v>
      </c>
      <c r="T329" s="359" t="inlineStr">
        <is>
          <t>9</t>
        </is>
      </c>
      <c r="V329" s="346">
        <f>UPPER(A329&amp;" "&amp;B329&amp;" "&amp;D329&amp;" "&amp;E329&amp;" "&amp;F329&amp;" "&amp;G329&amp;" "&amp;H329&amp;" "&amp;I329&amp;" "&amp;J329)</f>
        <v/>
      </c>
      <c r="W329" s="216">
        <f>IF(AND('TRA CỨU TỔNG HỢP'!$B$3&lt;&gt;"",ISNUMBER(SEARCH('TRA CỨU TỔNG HỢP'!$B$3,V329))),MAX($W$3:W328)+1,"")</f>
        <v/>
      </c>
    </row>
    <row r="330" ht="15" customHeight="1" s="217">
      <c r="A330" s="340" t="inlineStr">
        <is>
          <t>HYUNDAI</t>
        </is>
      </c>
      <c r="B330" s="341" t="inlineStr">
        <is>
          <t>HH083400</t>
        </is>
      </c>
      <c r="C330" s="340" t="inlineStr">
        <is>
          <t>IHI</t>
        </is>
      </c>
      <c r="D330" s="340" t="inlineStr">
        <is>
          <t>RHF5</t>
        </is>
      </c>
      <c r="E330" s="340" t="n"/>
      <c r="F330" s="342" t="inlineStr">
        <is>
          <t>28200-4X400/ 4X700
28201-4X701
28201-4X710</t>
        </is>
      </c>
      <c r="G330" s="340" t="n"/>
      <c r="H330" s="340" t="inlineStr">
        <is>
          <t>(Terracan 2.9) I165 - EE</t>
        </is>
      </c>
      <c r="I330" s="340" t="n"/>
      <c r="J330" s="343" t="inlineStr">
        <is>
          <t>EE</t>
        </is>
      </c>
      <c r="K330" s="344" t="n"/>
      <c r="L330" s="344" t="n"/>
      <c r="M330" s="344" t="n"/>
      <c r="N330" s="344">
        <f>IF(M330="","",M330*1.1)</f>
        <v/>
      </c>
      <c r="O330" s="345" t="n">
        <v>52.5</v>
      </c>
      <c r="P330" s="345" t="n">
        <v>39.2</v>
      </c>
      <c r="Q330" s="345" t="inlineStr">
        <is>
          <t>6/6</t>
        </is>
      </c>
      <c r="R330" s="345" t="n">
        <v>44.4</v>
      </c>
      <c r="S330" s="345" t="n">
        <v>37.6</v>
      </c>
      <c r="T330" s="345" t="n">
        <v>8</v>
      </c>
      <c r="V330" s="346">
        <f>UPPER(A330&amp;" "&amp;B330&amp;" "&amp;D330&amp;" "&amp;E330&amp;" "&amp;F330&amp;" "&amp;G330&amp;" "&amp;H330&amp;" "&amp;I330&amp;" "&amp;J330)</f>
        <v/>
      </c>
      <c r="W330" s="216">
        <f>IF(AND('TRA CỨU TỔNG HỢP'!$B$3&lt;&gt;"",ISNUMBER(SEARCH('TRA CỨU TỔNG HỢP'!$B$3,V330))),MAX($W$3:W329)+1,"")</f>
        <v/>
      </c>
    </row>
    <row r="331" ht="15" customHeight="1" s="217">
      <c r="A331" s="347" t="inlineStr">
        <is>
          <t xml:space="preserve">  └─ HYUNDAI</t>
        </is>
      </c>
      <c r="B331" s="348" t="inlineStr">
        <is>
          <t>HH083408</t>
        </is>
      </c>
      <c r="C331" s="349" t="inlineStr">
        <is>
          <t>IHI</t>
        </is>
      </c>
      <c r="D331" s="349" t="inlineStr">
        <is>
          <t>RHF5</t>
        </is>
      </c>
      <c r="E331" s="349" t="n"/>
      <c r="F331" s="350" t="inlineStr">
        <is>
          <t>28200-4X400/ 4X700
28201-4X701
28201-4X710</t>
        </is>
      </c>
      <c r="G331" s="349" t="n"/>
      <c r="H331" s="349" t="inlineStr">
        <is>
          <t>(Terracan 2.9) I165 - EE</t>
        </is>
      </c>
      <c r="I331" s="349" t="n"/>
      <c r="J331" s="351" t="inlineStr">
        <is>
          <t>SL</t>
        </is>
      </c>
      <c r="K331" s="352" t="n"/>
      <c r="L331" s="352" t="n"/>
      <c r="M331" s="352" t="n"/>
      <c r="N331" s="352">
        <f>IF(M331="","",M331*1.1)</f>
        <v/>
      </c>
      <c r="O331" s="353" t="n">
        <v>52.5</v>
      </c>
      <c r="P331" s="353" t="n">
        <v>39.2</v>
      </c>
      <c r="Q331" s="353" t="inlineStr">
        <is>
          <t>6/6</t>
        </is>
      </c>
      <c r="R331" s="353" t="n">
        <v>44.4</v>
      </c>
      <c r="S331" s="353" t="n">
        <v>37.6</v>
      </c>
      <c r="T331" s="353" t="n">
        <v>8</v>
      </c>
      <c r="V331" s="346">
        <f>UPPER(A331&amp;" "&amp;B331&amp;" "&amp;D331&amp;" "&amp;E331&amp;" "&amp;F331&amp;" "&amp;G331&amp;" "&amp;H331&amp;" "&amp;I331&amp;" "&amp;J331)</f>
        <v/>
      </c>
      <c r="W331" s="216">
        <f>IF(AND('TRA CỨU TỔNG HỢP'!$B$3&lt;&gt;"",ISNUMBER(SEARCH('TRA CỨU TỔNG HỢP'!$B$3,V331))),MAX($W$3:W330)+1,"")</f>
        <v/>
      </c>
    </row>
    <row r="332" ht="15" customHeight="1" s="217">
      <c r="A332" s="347" t="inlineStr">
        <is>
          <t xml:space="preserve">  └─ HYUNDAI</t>
        </is>
      </c>
      <c r="B332" s="348" t="inlineStr">
        <is>
          <t>HH083409</t>
        </is>
      </c>
      <c r="C332" s="349" t="inlineStr">
        <is>
          <t>IHI</t>
        </is>
      </c>
      <c r="D332" s="349" t="inlineStr">
        <is>
          <t>RHF5</t>
        </is>
      </c>
      <c r="E332" s="349" t="n"/>
      <c r="F332" s="350" t="inlineStr">
        <is>
          <t>28200-4X400/ 4X700
28201-4X701
28201-4X710</t>
        </is>
      </c>
      <c r="G332" s="349" t="n"/>
      <c r="H332" s="349" t="inlineStr">
        <is>
          <t>(Terracan 2.9) I165 - EE</t>
        </is>
      </c>
      <c r="I332" s="349" t="n"/>
      <c r="J332" s="351" t="inlineStr">
        <is>
          <t>SL</t>
        </is>
      </c>
      <c r="K332" s="352" t="n"/>
      <c r="L332" s="352" t="n"/>
      <c r="M332" s="352" t="n"/>
      <c r="N332" s="352">
        <f>IF(M332="","",M332*1.1)</f>
        <v/>
      </c>
      <c r="O332" s="353" t="n">
        <v>52.5</v>
      </c>
      <c r="P332" s="353" t="n">
        <v>39.2</v>
      </c>
      <c r="Q332" s="353" t="inlineStr">
        <is>
          <t>6/6</t>
        </is>
      </c>
      <c r="R332" s="353" t="n">
        <v>44.4</v>
      </c>
      <c r="S332" s="353" t="n">
        <v>37.6</v>
      </c>
      <c r="T332" s="353" t="n">
        <v>8</v>
      </c>
      <c r="V332" s="346">
        <f>UPPER(A332&amp;" "&amp;B332&amp;" "&amp;D332&amp;" "&amp;E332&amp;" "&amp;F332&amp;" "&amp;G332&amp;" "&amp;H332&amp;" "&amp;I332&amp;" "&amp;J332)</f>
        <v/>
      </c>
      <c r="W332" s="216">
        <f>IF(AND('TRA CỨU TỔNG HỢP'!$B$3&lt;&gt;"",ISNUMBER(SEARCH('TRA CỨU TỔNG HỢP'!$B$3,V332))),MAX($W$3:W331)+1,"")</f>
        <v/>
      </c>
    </row>
    <row r="333" ht="15" customHeight="1" s="217">
      <c r="A333" s="340" t="inlineStr">
        <is>
          <t>HYUNDAI</t>
        </is>
      </c>
      <c r="B333" s="341" t="inlineStr">
        <is>
          <t>HH077289</t>
        </is>
      </c>
      <c r="C333" s="340" t="inlineStr">
        <is>
          <t>Garrett</t>
        </is>
      </c>
      <c r="D333" s="340" t="inlineStr">
        <is>
          <t>GT1749S</t>
        </is>
      </c>
      <c r="E333" s="340" t="inlineStr">
        <is>
          <t>D4CB</t>
        </is>
      </c>
      <c r="F333" s="342" t="inlineStr">
        <is>
          <t>28200-4A380</t>
        </is>
      </c>
      <c r="G333" s="340" t="n"/>
      <c r="H333" s="340" t="inlineStr">
        <is>
          <t>Porter II</t>
        </is>
      </c>
      <c r="I333" s="340" t="n"/>
      <c r="J333" s="343" t="inlineStr">
        <is>
          <t>SL</t>
        </is>
      </c>
      <c r="K333" s="344" t="n"/>
      <c r="L333" s="344" t="n"/>
      <c r="M333" s="344" t="n"/>
      <c r="N333" s="344">
        <f>IF(M333="","",M333*1.1)</f>
        <v/>
      </c>
      <c r="O333" s="345" t="n">
        <v>49</v>
      </c>
      <c r="P333" s="345" t="n">
        <v>37.8</v>
      </c>
      <c r="Q333" s="345" t="inlineStr">
        <is>
          <t>6/6</t>
        </is>
      </c>
      <c r="R333" s="345" t="n">
        <v>41.2</v>
      </c>
      <c r="S333" s="345" t="n">
        <v>35</v>
      </c>
      <c r="T333" s="345" t="inlineStr">
        <is>
          <t>9</t>
        </is>
      </c>
      <c r="V333" s="216">
        <f>UPPER(A333&amp;" "&amp;B333&amp;" "&amp;D333&amp;" "&amp;E333&amp;" "&amp;F333&amp;" "&amp;G333&amp;" "&amp;H333&amp;" "&amp;I333&amp;" "&amp;J333)</f>
        <v/>
      </c>
      <c r="W333" s="216">
        <f>IF(AND('TRA CỨU TỔNG HỢP'!$B$3&lt;&gt;"",ISNUMBER(SEARCH('TRA CỨU TỔNG HỢP'!$B$3,V333))),MAX($W$3:W332)+1,"")</f>
        <v/>
      </c>
    </row>
    <row r="334" ht="15" customHeight="1" s="217">
      <c r="A334" s="347" t="inlineStr">
        <is>
          <t xml:space="preserve">  └─ HYUNDAI</t>
        </is>
      </c>
      <c r="B334" s="348" t="inlineStr">
        <is>
          <t>HH080004</t>
        </is>
      </c>
      <c r="C334" s="349" t="inlineStr">
        <is>
          <t>Garrett</t>
        </is>
      </c>
      <c r="D334" s="349" t="inlineStr">
        <is>
          <t>GT1749S</t>
        </is>
      </c>
      <c r="E334" s="349" t="inlineStr">
        <is>
          <t>D4CB</t>
        </is>
      </c>
      <c r="F334" s="350" t="inlineStr">
        <is>
          <t>28200-4A380</t>
        </is>
      </c>
      <c r="G334" s="349" t="n"/>
      <c r="H334" s="349" t="inlineStr">
        <is>
          <t>Porter II</t>
        </is>
      </c>
      <c r="I334" s="349" t="n"/>
      <c r="J334" s="351" t="inlineStr">
        <is>
          <t>SL</t>
        </is>
      </c>
      <c r="K334" s="352" t="n"/>
      <c r="L334" s="352" t="n"/>
      <c r="M334" s="352" t="n"/>
      <c r="N334" s="352">
        <f>IF(M334="","",M334*1.1)</f>
        <v/>
      </c>
      <c r="O334" s="353" t="n">
        <v>49</v>
      </c>
      <c r="P334" s="353" t="n">
        <v>37.8</v>
      </c>
      <c r="Q334" s="353" t="inlineStr">
        <is>
          <t>6/6</t>
        </is>
      </c>
      <c r="R334" s="353" t="n">
        <v>41.2</v>
      </c>
      <c r="S334" s="353" t="n">
        <v>35</v>
      </c>
      <c r="T334" s="353" t="inlineStr">
        <is>
          <t>9</t>
        </is>
      </c>
      <c r="V334" s="216">
        <f>UPPER(A334&amp;" "&amp;B334&amp;" "&amp;D334&amp;" "&amp;E334&amp;" "&amp;F334&amp;" "&amp;G334&amp;" "&amp;H334&amp;" "&amp;I334&amp;" "&amp;J334)</f>
        <v/>
      </c>
      <c r="W334" s="216">
        <f>IF(AND('TRA CỨU TỔNG HỢP'!$B$3&lt;&gt;"",ISNUMBER(SEARCH('TRA CỨU TỔNG HỢP'!$B$3,V334))),MAX($W$3:W333)+1,"")</f>
        <v/>
      </c>
    </row>
    <row r="335" ht="15" customHeight="1" s="217">
      <c r="A335" s="340" t="inlineStr">
        <is>
          <t>HYUNDAI</t>
        </is>
      </c>
      <c r="B335" s="341" t="inlineStr">
        <is>
          <t>HH072313</t>
        </is>
      </c>
      <c r="C335" s="340" t="inlineStr">
        <is>
          <t>Mitsubishi</t>
        </is>
      </c>
      <c r="D335" s="340" t="inlineStr">
        <is>
          <t>TD04</t>
        </is>
      </c>
      <c r="E335" s="340" t="inlineStr">
        <is>
          <t>4D56T/ 4D56/ D4BH</t>
        </is>
      </c>
      <c r="F335" s="342" t="inlineStr">
        <is>
          <t>28200-4A210
28200-4A201</t>
        </is>
      </c>
      <c r="G335" s="340" t="n"/>
      <c r="H335" s="340" t="inlineStr">
        <is>
          <t>Hyundai Starex/Libero</t>
        </is>
      </c>
      <c r="I335" s="340" t="inlineStr">
        <is>
          <t>ruột dung chung</t>
        </is>
      </c>
      <c r="J335" s="343" t="inlineStr">
        <is>
          <t>SL</t>
        </is>
      </c>
      <c r="K335" s="344" t="n"/>
      <c r="L335" s="344" t="n"/>
      <c r="M335" s="344" t="n"/>
      <c r="N335" s="344">
        <f>IF(M335="","",M335*1.1)</f>
        <v/>
      </c>
      <c r="O335" s="345" t="n">
        <v>49</v>
      </c>
      <c r="P335" s="345" t="n">
        <v>37.8</v>
      </c>
      <c r="Q335" s="345" t="inlineStr">
        <is>
          <t>6/6</t>
        </is>
      </c>
      <c r="R335" s="345" t="n">
        <v>43.1</v>
      </c>
      <c r="S335" s="345" t="n">
        <v>36</v>
      </c>
      <c r="T335" s="345" t="n">
        <v>11</v>
      </c>
      <c r="V335" s="346">
        <f>UPPER(A335&amp;" "&amp;B335&amp;" "&amp;D335&amp;" "&amp;E335&amp;" "&amp;F335&amp;" "&amp;G335&amp;" "&amp;H335&amp;" "&amp;I335&amp;" "&amp;J335)</f>
        <v/>
      </c>
      <c r="W335" s="216">
        <f>IF(AND('TRA CỨU TỔNG HỢP'!$B$3&lt;&gt;"",ISNUMBER(SEARCH('TRA CỨU TỔNG HỢP'!$B$3,V335))),MAX($W$3:W334)+1,"")</f>
        <v/>
      </c>
    </row>
    <row r="336" ht="15" customHeight="1" s="217">
      <c r="A336" s="347" t="inlineStr">
        <is>
          <t xml:space="preserve">  └─ HYUNDAI</t>
        </is>
      </c>
      <c r="B336" s="348" t="inlineStr">
        <is>
          <t>HH079067</t>
        </is>
      </c>
      <c r="C336" s="349" t="inlineStr">
        <is>
          <t>Mitsubishi</t>
        </is>
      </c>
      <c r="D336" s="349" t="inlineStr">
        <is>
          <t>TD04</t>
        </is>
      </c>
      <c r="E336" s="349" t="inlineStr">
        <is>
          <t>4D56T/ 4D56/ D4BH</t>
        </is>
      </c>
      <c r="F336" s="350" t="inlineStr">
        <is>
          <t>28200-4A210
28200-4A201</t>
        </is>
      </c>
      <c r="G336" s="349" t="n"/>
      <c r="H336" s="349" t="inlineStr">
        <is>
          <t>Hyundai Starex/Libero</t>
        </is>
      </c>
      <c r="I336" s="349" t="inlineStr">
        <is>
          <t>ruột dung chung</t>
        </is>
      </c>
      <c r="J336" s="351" t="inlineStr">
        <is>
          <t>SL</t>
        </is>
      </c>
      <c r="K336" s="352" t="n"/>
      <c r="L336" s="352" t="n"/>
      <c r="M336" s="352" t="n"/>
      <c r="N336" s="352">
        <f>IF(M336="","",M336*1.1)</f>
        <v/>
      </c>
      <c r="O336" s="353" t="n">
        <v>49</v>
      </c>
      <c r="P336" s="353" t="n">
        <v>37.8</v>
      </c>
      <c r="Q336" s="353" t="inlineStr">
        <is>
          <t>6/6</t>
        </is>
      </c>
      <c r="R336" s="353" t="n">
        <v>43.1</v>
      </c>
      <c r="S336" s="353" t="n">
        <v>36</v>
      </c>
      <c r="T336" s="353" t="n">
        <v>11</v>
      </c>
      <c r="V336" s="346">
        <f>UPPER(A336&amp;" "&amp;B336&amp;" "&amp;D336&amp;" "&amp;E336&amp;" "&amp;F336&amp;" "&amp;G336&amp;" "&amp;H336&amp;" "&amp;I336&amp;" "&amp;J336)</f>
        <v/>
      </c>
      <c r="W336" s="216">
        <f>IF(AND('TRA CỨU TỔNG HỢP'!$B$3&lt;&gt;"",ISNUMBER(SEARCH('TRA CỨU TỔNG HỢP'!$B$3,V336))),MAX($W$3:W335)+1,"")</f>
        <v/>
      </c>
    </row>
    <row r="337" ht="15" customHeight="1" s="217">
      <c r="A337" s="340" t="inlineStr">
        <is>
          <t>HYUNDAI</t>
        </is>
      </c>
      <c r="B337" s="341" t="inlineStr">
        <is>
          <t>HH079780</t>
        </is>
      </c>
      <c r="C337" s="340" t="inlineStr">
        <is>
          <t>Mitsubishi</t>
        </is>
      </c>
      <c r="D337" s="340" t="inlineStr">
        <is>
          <t>TF035HM-12T</t>
        </is>
      </c>
      <c r="E337" s="340" t="inlineStr">
        <is>
          <t>D4BH / 4D56</t>
        </is>
      </c>
      <c r="F337" s="342" t="inlineStr">
        <is>
          <t>28200-4A200
28200-42540
MD194845
MR355225</t>
        </is>
      </c>
      <c r="G337" s="340" t="n"/>
      <c r="H337" s="340" t="n"/>
      <c r="I337" s="340" t="n"/>
      <c r="J337" s="343" t="inlineStr">
        <is>
          <t>SL</t>
        </is>
      </c>
      <c r="K337" s="344" t="n"/>
      <c r="L337" s="344" t="n"/>
      <c r="M337" s="344" t="n"/>
      <c r="N337" s="344">
        <f>IF(M337="","",M337*1.1)</f>
        <v/>
      </c>
      <c r="O337" s="345" t="n">
        <v>49</v>
      </c>
      <c r="P337" s="345" t="n">
        <v>37.8</v>
      </c>
      <c r="Q337" s="345" t="inlineStr">
        <is>
          <t>6/6</t>
        </is>
      </c>
      <c r="R337" s="345" t="n">
        <v>43.1</v>
      </c>
      <c r="S337" s="345" t="n">
        <v>36</v>
      </c>
      <c r="T337" s="345" t="n">
        <v>11</v>
      </c>
      <c r="V337" s="346">
        <f>UPPER(A337&amp;" "&amp;B337&amp;" "&amp;D337&amp;" "&amp;E337&amp;" "&amp;F337&amp;" "&amp;G337&amp;" "&amp;H337&amp;" "&amp;I337&amp;" "&amp;J337)</f>
        <v/>
      </c>
      <c r="W337" s="216">
        <f>IF(AND('TRA CỨU TỔNG HỢP'!$B$3&lt;&gt;"",ISNUMBER(SEARCH('TRA CỨU TỔNG HỢP'!$B$3,V337))),MAX($W$3:W336)+1,"")</f>
        <v/>
      </c>
    </row>
    <row r="338" ht="15" customHeight="1" s="217">
      <c r="A338" s="347" t="inlineStr">
        <is>
          <t xml:space="preserve">  └─ HYUNDAI</t>
        </is>
      </c>
      <c r="B338" s="348" t="inlineStr">
        <is>
          <t>HH080729</t>
        </is>
      </c>
      <c r="C338" s="349" t="inlineStr">
        <is>
          <t>Mitsubishi</t>
        </is>
      </c>
      <c r="D338" s="349" t="inlineStr">
        <is>
          <t>TF035HM-12T</t>
        </is>
      </c>
      <c r="E338" s="349" t="inlineStr">
        <is>
          <t>D4BH / 4D56</t>
        </is>
      </c>
      <c r="F338" s="350" t="inlineStr">
        <is>
          <t>28200-4A200
28200-42540
MD194845
MR355225</t>
        </is>
      </c>
      <c r="G338" s="349" t="n"/>
      <c r="H338" s="349" t="n"/>
      <c r="I338" s="349" t="n"/>
      <c r="J338" s="351" t="inlineStr">
        <is>
          <t>SL</t>
        </is>
      </c>
      <c r="K338" s="352" t="n"/>
      <c r="L338" s="352" t="n"/>
      <c r="M338" s="352" t="n"/>
      <c r="N338" s="352">
        <f>IF(M338="","",M338*1.1)</f>
        <v/>
      </c>
      <c r="O338" s="353" t="n">
        <v>49</v>
      </c>
      <c r="P338" s="353" t="n">
        <v>37.8</v>
      </c>
      <c r="Q338" s="353" t="inlineStr">
        <is>
          <t>6/6</t>
        </is>
      </c>
      <c r="R338" s="353" t="n">
        <v>43.1</v>
      </c>
      <c r="S338" s="353" t="n">
        <v>36</v>
      </c>
      <c r="T338" s="353" t="n">
        <v>11</v>
      </c>
      <c r="V338" s="346">
        <f>UPPER(A338&amp;" "&amp;B338&amp;" "&amp;D338&amp;" "&amp;E338&amp;" "&amp;F338&amp;" "&amp;G338&amp;" "&amp;H338&amp;" "&amp;I338&amp;" "&amp;J338)</f>
        <v/>
      </c>
      <c r="W338" s="216">
        <f>IF(AND('TRA CỨU TỔNG HỢP'!$B$3&lt;&gt;"",ISNUMBER(SEARCH('TRA CỨU TỔNG HỢP'!$B$3,V338))),MAX($W$3:W337)+1,"")</f>
        <v/>
      </c>
    </row>
    <row r="339" ht="15" customHeight="1" s="217">
      <c r="A339" s="340" t="inlineStr">
        <is>
          <t>HYUNDAI</t>
        </is>
      </c>
      <c r="B339" s="341" t="inlineStr">
        <is>
          <t>HH084183</t>
        </is>
      </c>
      <c r="C339" s="340" t="inlineStr">
        <is>
          <t>Mitsubishi</t>
        </is>
      </c>
      <c r="D339" s="340" t="inlineStr">
        <is>
          <t>TF035HM</t>
        </is>
      </c>
      <c r="E339" s="340" t="n"/>
      <c r="F339" s="342" t="inlineStr">
        <is>
          <t>28200-4X650/49135-04361</t>
        </is>
      </c>
      <c r="G339" s="340" t="inlineStr">
        <is>
          <t>Có chụp lỗ cánh gió</t>
        </is>
      </c>
      <c r="H339" s="340" t="inlineStr">
        <is>
          <t>Bongo III 2.9</t>
        </is>
      </c>
      <c r="I339" s="340" t="n"/>
      <c r="J339" s="343" t="inlineStr">
        <is>
          <t>SL</t>
        </is>
      </c>
      <c r="K339" s="344" t="n"/>
      <c r="L339" s="344" t="n"/>
      <c r="M339" s="344" t="n"/>
      <c r="N339" s="344">
        <f>IF(M339="","",M339*1.1)</f>
        <v/>
      </c>
      <c r="O339" s="345" t="n">
        <v>51</v>
      </c>
      <c r="P339" s="345" t="n">
        <v>38.3</v>
      </c>
      <c r="Q339" s="345" t="inlineStr">
        <is>
          <t>6/6</t>
        </is>
      </c>
      <c r="R339" s="345" t="n">
        <v>43.1</v>
      </c>
      <c r="S339" s="345" t="n">
        <v>36</v>
      </c>
      <c r="T339" s="345" t="n">
        <v>11</v>
      </c>
      <c r="V339" s="216">
        <f>UPPER(A339&amp;" "&amp;B339&amp;" "&amp;D339&amp;" "&amp;E339&amp;" "&amp;F339&amp;" "&amp;G339&amp;" "&amp;H339&amp;" "&amp;I339&amp;" "&amp;J339)</f>
        <v/>
      </c>
      <c r="W339" s="216">
        <f>IF(AND('TRA CỨU TỔNG HỢP'!$B$3&lt;&gt;"",ISNUMBER(SEARCH('TRA CỨU TỔNG HỢP'!$B$3,V339))),MAX($W$3:W338)+1,"")</f>
        <v/>
      </c>
    </row>
    <row r="340" ht="15" customHeight="1" s="217">
      <c r="A340" s="347" t="inlineStr">
        <is>
          <t xml:space="preserve">  └─ HYUNDAI</t>
        </is>
      </c>
      <c r="B340" s="348" t="inlineStr">
        <is>
          <t>HH082363</t>
        </is>
      </c>
      <c r="C340" s="349" t="inlineStr">
        <is>
          <t>Mitsubishi</t>
        </is>
      </c>
      <c r="D340" s="349" t="inlineStr">
        <is>
          <t>TF035HM</t>
        </is>
      </c>
      <c r="E340" s="349" t="n"/>
      <c r="F340" s="350" t="inlineStr">
        <is>
          <t>28200-4X650/49135-04361</t>
        </is>
      </c>
      <c r="G340" s="349" t="inlineStr">
        <is>
          <t>Có chụp lỗ cánh gió</t>
        </is>
      </c>
      <c r="H340" s="349" t="inlineStr">
        <is>
          <t>Bongo III 2.9</t>
        </is>
      </c>
      <c r="I340" s="349" t="n"/>
      <c r="J340" s="351" t="inlineStr">
        <is>
          <t>SL</t>
        </is>
      </c>
      <c r="K340" s="352" t="n"/>
      <c r="L340" s="352" t="n"/>
      <c r="M340" s="352" t="n"/>
      <c r="N340" s="352">
        <f>IF(M340="","",M340*1.1)</f>
        <v/>
      </c>
      <c r="O340" s="353" t="n">
        <v>51</v>
      </c>
      <c r="P340" s="353" t="n">
        <v>38.3</v>
      </c>
      <c r="Q340" s="353" t="inlineStr">
        <is>
          <t>6/6</t>
        </is>
      </c>
      <c r="R340" s="353" t="n">
        <v>43.1</v>
      </c>
      <c r="S340" s="353" t="n">
        <v>36</v>
      </c>
      <c r="T340" s="353" t="n">
        <v>11</v>
      </c>
      <c r="V340" s="216">
        <f>UPPER(A340&amp;" "&amp;B340&amp;" "&amp;D340&amp;" "&amp;E340&amp;" "&amp;F340&amp;" "&amp;G340&amp;" "&amp;H340&amp;" "&amp;I340&amp;" "&amp;J340)</f>
        <v/>
      </c>
      <c r="W340" s="216">
        <f>IF(AND('TRA CỨU TỔNG HỢP'!$B$3&lt;&gt;"",ISNUMBER(SEARCH('TRA CỨU TỔNG HỢP'!$B$3,V340))),MAX($W$3:W339)+1,"")</f>
        <v/>
      </c>
    </row>
    <row r="341" ht="15" customHeight="1" s="217">
      <c r="A341" s="360" t="inlineStr">
        <is>
          <t>HYUNDAI</t>
        </is>
      </c>
      <c r="B341" s="361" t="n"/>
      <c r="C341" s="360" t="inlineStr">
        <is>
          <t>Mitsubishi</t>
        </is>
      </c>
      <c r="D341" s="360" t="inlineStr">
        <is>
          <t>TF035H/GT1749S</t>
        </is>
      </c>
      <c r="E341" s="360" t="inlineStr">
        <is>
          <t>D4BH</t>
        </is>
      </c>
      <c r="F341" s="362" t="inlineStr">
        <is>
          <t>28200-42800
28200-42810
49135-04350 | 49497-66101 | 4913504350 | 4949766101 | 2820042800</t>
        </is>
      </c>
      <c r="G341" s="360" t="n"/>
      <c r="H341" s="360" t="inlineStr">
        <is>
          <t>Porter/Starex / huyndai H-1</t>
        </is>
      </c>
      <c r="I341" s="360" t="n"/>
      <c r="J341" s="363" t="n"/>
      <c r="K341" s="364" t="n"/>
      <c r="L341" s="364" t="n"/>
      <c r="M341" s="364" t="n"/>
      <c r="N341" s="364" t="n"/>
      <c r="O341" s="365" t="n">
        <v>49</v>
      </c>
      <c r="P341" s="365" t="n">
        <v>35.5</v>
      </c>
      <c r="Q341" s="365" t="inlineStr">
        <is>
          <t>6/6</t>
        </is>
      </c>
      <c r="R341" s="365" t="n">
        <v>42.7</v>
      </c>
      <c r="S341" s="365" t="n">
        <v>36</v>
      </c>
      <c r="T341" s="365" t="n">
        <v>11</v>
      </c>
      <c r="V341" s="346">
        <f>UPPER(A341&amp;" "&amp;B341&amp;" "&amp;D341&amp;" "&amp;E341&amp;" "&amp;F341&amp;" "&amp;G341&amp;" "&amp;H341&amp;" "&amp;I341&amp;" "&amp;J341)</f>
        <v/>
      </c>
      <c r="W341" s="216">
        <f>IF(AND('TRA CỨU TỔNG HỢP'!$B$3&lt;&gt;"",ISNUMBER(SEARCH('TRA CỨU TỔNG HỢP'!$B$3,V341))),MAX($W$3:W340)+1,"")</f>
        <v/>
      </c>
    </row>
    <row r="342" ht="15" customHeight="1" s="217">
      <c r="A342" s="367" t="inlineStr">
        <is>
          <t>HYUNDAI</t>
        </is>
      </c>
      <c r="B342" s="368" t="n"/>
      <c r="C342" s="367" t="inlineStr">
        <is>
          <t>IHI</t>
        </is>
      </c>
      <c r="D342" s="367" t="inlineStr">
        <is>
          <t>RHF5-2B</t>
        </is>
      </c>
      <c r="E342" s="367" t="n"/>
      <c r="F342" s="369" t="inlineStr">
        <is>
          <t>28200-4X700</t>
        </is>
      </c>
      <c r="G342" s="367" t="n"/>
      <c r="H342" s="367" t="inlineStr">
        <is>
          <t>HYUNDAI Terracan 2.9 CRDi</t>
        </is>
      </c>
      <c r="I342" s="367" t="n"/>
      <c r="J342" s="370" t="n"/>
      <c r="K342" s="371" t="n"/>
      <c r="L342" s="371" t="n"/>
      <c r="M342" s="371" t="n"/>
      <c r="N342" s="371" t="n"/>
      <c r="O342" s="372" t="n"/>
      <c r="P342" s="372" t="n"/>
      <c r="Q342" s="372" t="n"/>
      <c r="R342" s="372" t="n"/>
      <c r="S342" s="372" t="n"/>
      <c r="T342" s="372" t="n"/>
      <c r="V342" s="216">
        <f>UPPER(A342&amp;" "&amp;B342&amp;" "&amp;D342&amp;" "&amp;E342&amp;" "&amp;F342&amp;" "&amp;G342&amp;" "&amp;H342&amp;" "&amp;I342&amp;" "&amp;J342)</f>
        <v/>
      </c>
      <c r="W342" s="216">
        <f>IF(AND('TRA CỨU TỔNG HỢP'!$B$3&lt;&gt;"",ISNUMBER(SEARCH('TRA CỨU TỔNG HỢP'!$B$3,V342))),MAX($W$3:W341)+1,"")</f>
        <v/>
      </c>
    </row>
    <row r="343" ht="15" customHeight="1" s="217">
      <c r="A343" s="354" t="inlineStr">
        <is>
          <t>HYUNDAI</t>
        </is>
      </c>
      <c r="B343" s="355" t="inlineStr">
        <is>
          <t>HH081340</t>
        </is>
      </c>
      <c r="C343" s="354" t="inlineStr">
        <is>
          <t>Mitsubishi</t>
        </is>
      </c>
      <c r="D343" s="354" t="inlineStr">
        <is>
          <t>TF08L-28M-18</t>
        </is>
      </c>
      <c r="E343" s="354" t="inlineStr">
        <is>
          <t>D6AC</t>
        </is>
      </c>
      <c r="F343" s="356" t="inlineStr">
        <is>
          <t>28200-83401</t>
        </is>
      </c>
      <c r="G343" s="354" t="n"/>
      <c r="H343" s="354" t="n"/>
      <c r="I343" s="354" t="n"/>
      <c r="J343" s="357" t="inlineStr">
        <is>
          <t>FIRE</t>
        </is>
      </c>
      <c r="K343" s="358" t="n"/>
      <c r="L343" s="358" t="n"/>
      <c r="M343" s="358" t="n"/>
      <c r="N343" s="358">
        <f>IF(M343="","",M343*1.1)</f>
        <v/>
      </c>
      <c r="O343" s="359" t="n"/>
      <c r="P343" s="359" t="n"/>
      <c r="Q343" s="359" t="n"/>
      <c r="R343" s="359" t="n"/>
      <c r="S343" s="359" t="n"/>
      <c r="T343" s="359" t="n"/>
      <c r="V343" s="216">
        <f>UPPER(A343&amp;" "&amp;B343&amp;" "&amp;D343&amp;" "&amp;E343&amp;" "&amp;F343&amp;" "&amp;G343&amp;" "&amp;H343&amp;" "&amp;I343&amp;" "&amp;J343)</f>
        <v/>
      </c>
      <c r="W343" s="216">
        <f>IF(AND('TRA CỨU TỔNG HỢP'!$B$3&lt;&gt;"",ISNUMBER(SEARCH('TRA CỨU TỔNG HỢP'!$B$3,V343))),MAX($W$3:W342)+1,"")</f>
        <v/>
      </c>
    </row>
    <row r="344" ht="15" customHeight="1" s="217">
      <c r="A344" s="354" t="inlineStr">
        <is>
          <t>HYUNDAI</t>
        </is>
      </c>
      <c r="B344" s="355" t="inlineStr">
        <is>
          <t>HH082149</t>
        </is>
      </c>
      <c r="C344" s="354" t="inlineStr">
        <is>
          <t>Mitsubishi</t>
        </is>
      </c>
      <c r="D344" s="354" t="inlineStr">
        <is>
          <t>TD08L-26M-8</t>
        </is>
      </c>
      <c r="E344" s="354" t="inlineStr">
        <is>
          <t>D6AC</t>
        </is>
      </c>
      <c r="F344" s="356" t="inlineStr">
        <is>
          <t>28200-838102</t>
        </is>
      </c>
      <c r="G344" s="354" t="n"/>
      <c r="H344" s="354" t="n"/>
      <c r="I344" s="354" t="n"/>
      <c r="J344" s="357" t="inlineStr">
        <is>
          <t>FIRE</t>
        </is>
      </c>
      <c r="K344" s="358" t="n"/>
      <c r="L344" s="358" t="n"/>
      <c r="M344" s="358" t="n"/>
      <c r="N344" s="358">
        <f>IF(M344="","",M344*1.1)</f>
        <v/>
      </c>
      <c r="O344" s="359" t="n"/>
      <c r="P344" s="359" t="n"/>
      <c r="Q344" s="359" t="n"/>
      <c r="R344" s="359" t="n"/>
      <c r="S344" s="359" t="n"/>
      <c r="T344" s="359" t="n"/>
      <c r="V344" s="216">
        <f>UPPER(A344&amp;" "&amp;B344&amp;" "&amp;D344&amp;" "&amp;E344&amp;" "&amp;F344&amp;" "&amp;G344&amp;" "&amp;H344&amp;" "&amp;I344&amp;" "&amp;J344)</f>
        <v/>
      </c>
      <c r="W344" s="216">
        <f>IF(AND('TRA CỨU TỔNG HỢP'!$B$3&lt;&gt;"",ISNUMBER(SEARCH('TRA CỨU TỔNG HỢP'!$B$3,V344))),MAX($W$3:W343)+1,"")</f>
        <v/>
      </c>
    </row>
    <row r="345" ht="15" customHeight="1" s="217">
      <c r="A345" s="340" t="inlineStr">
        <is>
          <t>HYUNDAI</t>
        </is>
      </c>
      <c r="B345" s="341" t="inlineStr">
        <is>
          <t>HH078436</t>
        </is>
      </c>
      <c r="C345" s="340" t="inlineStr">
        <is>
          <t>Mitsubishi</t>
        </is>
      </c>
      <c r="D345" s="340" t="inlineStr">
        <is>
          <t>TD08H-28M</t>
        </is>
      </c>
      <c r="E345" s="340" t="inlineStr">
        <is>
          <t>6D22T/ D6AB</t>
        </is>
      </c>
      <c r="F345" s="342" t="inlineStr">
        <is>
          <t>28200-83901
49188-03020</t>
        </is>
      </c>
      <c r="G345" s="340" t="n"/>
      <c r="H345" s="340" t="n"/>
      <c r="I345" s="340" t="n"/>
      <c r="J345" s="343" t="inlineStr">
        <is>
          <t>VIDARIR</t>
        </is>
      </c>
      <c r="K345" s="344" t="n"/>
      <c r="L345" s="344" t="n"/>
      <c r="M345" s="344" t="n"/>
      <c r="N345" s="344">
        <f>IF(M345="","",M345*1.1)</f>
        <v/>
      </c>
      <c r="O345" s="345" t="n">
        <v>92</v>
      </c>
      <c r="P345" s="345" t="n">
        <v>66.8</v>
      </c>
      <c r="Q345" s="345" t="inlineStr">
        <is>
          <t>7/7</t>
        </is>
      </c>
      <c r="R345" s="345" t="n">
        <v>90</v>
      </c>
      <c r="S345" s="345" t="n">
        <v>79</v>
      </c>
      <c r="T345" s="345" t="n">
        <v>12</v>
      </c>
      <c r="V345" s="346">
        <f>UPPER(A345&amp;" "&amp;B345&amp;" "&amp;D345&amp;" "&amp;E345&amp;" "&amp;F345&amp;" "&amp;G345&amp;" "&amp;H345&amp;" "&amp;I345&amp;" "&amp;J345)</f>
        <v/>
      </c>
      <c r="W345" s="216">
        <f>IF(AND('TRA CỨU TỔNG HỢP'!$B$3&lt;&gt;"",ISNUMBER(SEARCH('TRA CỨU TỔNG HỢP'!$B$3,V345))),MAX($W$3:W344)+1,"")</f>
        <v/>
      </c>
    </row>
    <row r="346" ht="15" customHeight="1" s="217">
      <c r="A346" s="347" t="inlineStr">
        <is>
          <t xml:space="preserve">  └─ HYUNDAI</t>
        </is>
      </c>
      <c r="B346" s="348" t="inlineStr">
        <is>
          <t>HH077024</t>
        </is>
      </c>
      <c r="C346" s="349" t="inlineStr">
        <is>
          <t>Mitsubishi</t>
        </is>
      </c>
      <c r="D346" s="349" t="inlineStr">
        <is>
          <t>TD08H-28M</t>
        </is>
      </c>
      <c r="E346" s="349" t="inlineStr">
        <is>
          <t>6D22T/ D6AB</t>
        </is>
      </c>
      <c r="F346" s="350" t="inlineStr">
        <is>
          <t>28200-83901
49188-03020</t>
        </is>
      </c>
      <c r="G346" s="349" t="n"/>
      <c r="H346" s="349" t="n"/>
      <c r="I346" s="349" t="n"/>
      <c r="J346" s="351" t="inlineStr">
        <is>
          <t>SL</t>
        </is>
      </c>
      <c r="K346" s="352" t="n"/>
      <c r="L346" s="352" t="n"/>
      <c r="M346" s="352" t="n"/>
      <c r="N346" s="352">
        <f>IF(M346="","",M346*1.1)</f>
        <v/>
      </c>
      <c r="O346" s="353" t="n">
        <v>92</v>
      </c>
      <c r="P346" s="353" t="n">
        <v>66.8</v>
      </c>
      <c r="Q346" s="353" t="inlineStr">
        <is>
          <t>7/7</t>
        </is>
      </c>
      <c r="R346" s="353" t="n">
        <v>90</v>
      </c>
      <c r="S346" s="353" t="n">
        <v>79</v>
      </c>
      <c r="T346" s="353" t="n">
        <v>12</v>
      </c>
      <c r="V346" s="346">
        <f>UPPER(A346&amp;" "&amp;B346&amp;" "&amp;D346&amp;" "&amp;E346&amp;" "&amp;F346&amp;" "&amp;G346&amp;" "&amp;H346&amp;" "&amp;I346&amp;" "&amp;J346)</f>
        <v/>
      </c>
      <c r="W346" s="216">
        <f>IF(AND('TRA CỨU TỔNG HỢP'!$B$3&lt;&gt;"",ISNUMBER(SEARCH('TRA CỨU TỔNG HỢP'!$B$3,V346))),MAX($W$3:W345)+1,"")</f>
        <v/>
      </c>
    </row>
    <row r="347" ht="15" customHeight="1" s="217">
      <c r="A347" s="347" t="inlineStr">
        <is>
          <t xml:space="preserve">  └─ HYUNDAI</t>
        </is>
      </c>
      <c r="B347" s="348" t="inlineStr">
        <is>
          <t>HH080018</t>
        </is>
      </c>
      <c r="C347" s="349" t="inlineStr">
        <is>
          <t>Mitsubishi</t>
        </is>
      </c>
      <c r="D347" s="349" t="inlineStr">
        <is>
          <t>TD08H-28M</t>
        </is>
      </c>
      <c r="E347" s="349" t="inlineStr">
        <is>
          <t>6D22T/ D6AB</t>
        </is>
      </c>
      <c r="F347" s="350" t="inlineStr">
        <is>
          <t>28200-83901
49188-03020</t>
        </is>
      </c>
      <c r="G347" s="349" t="n"/>
      <c r="H347" s="349" t="n"/>
      <c r="I347" s="349" t="n"/>
      <c r="J347" s="351" t="inlineStr">
        <is>
          <t>SL</t>
        </is>
      </c>
      <c r="K347" s="352" t="n"/>
      <c r="L347" s="352" t="n"/>
      <c r="M347" s="352" t="n"/>
      <c r="N347" s="352">
        <f>IF(M347="","",M347*1.1)</f>
        <v/>
      </c>
      <c r="O347" s="353" t="n">
        <v>92</v>
      </c>
      <c r="P347" s="353" t="n">
        <v>66.8</v>
      </c>
      <c r="Q347" s="353" t="inlineStr">
        <is>
          <t>7/7</t>
        </is>
      </c>
      <c r="R347" s="353" t="n">
        <v>90</v>
      </c>
      <c r="S347" s="353" t="n">
        <v>79</v>
      </c>
      <c r="T347" s="353" t="n">
        <v>12</v>
      </c>
      <c r="V347" s="346">
        <f>UPPER(A347&amp;" "&amp;B347&amp;" "&amp;D347&amp;" "&amp;E347&amp;" "&amp;F347&amp;" "&amp;G347&amp;" "&amp;H347&amp;" "&amp;I347&amp;" "&amp;J347)</f>
        <v/>
      </c>
      <c r="W347" s="216">
        <f>IF(AND('TRA CỨU TỔNG HỢP'!$B$3&lt;&gt;"",ISNUMBER(SEARCH('TRA CỨU TỔNG HỢP'!$B$3,V347))),MAX($W$3:W346)+1,"")</f>
        <v/>
      </c>
    </row>
    <row r="348" ht="15" customHeight="1" s="217">
      <c r="A348" s="367" t="inlineStr">
        <is>
          <t>HYUNDAI</t>
        </is>
      </c>
      <c r="B348" s="368" t="n"/>
      <c r="C348" s="367" t="inlineStr">
        <is>
          <t>Garrett</t>
        </is>
      </c>
      <c r="D348" s="367" t="inlineStr">
        <is>
          <t>GT1544V</t>
        </is>
      </c>
      <c r="E348" s="367" t="n"/>
      <c r="F348" s="369" t="inlineStr">
        <is>
          <t>740611-0002/28201-2A400
740611-5002W/740611-5002S</t>
        </is>
      </c>
      <c r="G348" s="367" t="n"/>
      <c r="H348" s="367" t="n"/>
      <c r="I348" s="367" t="n"/>
      <c r="J348" s="370" t="n"/>
      <c r="K348" s="371" t="n"/>
      <c r="L348" s="371" t="n"/>
      <c r="M348" s="371" t="n"/>
      <c r="N348" s="371" t="n"/>
      <c r="O348" s="372" t="n">
        <v>44</v>
      </c>
      <c r="P348" s="372" t="n">
        <v>31</v>
      </c>
      <c r="Q348" s="372" t="inlineStr">
        <is>
          <t>6/6</t>
        </is>
      </c>
      <c r="R348" s="372" t="n">
        <v>38.9</v>
      </c>
      <c r="S348" s="372" t="n">
        <v>33</v>
      </c>
      <c r="T348" s="372" t="inlineStr">
        <is>
          <t>11</t>
        </is>
      </c>
      <c r="V348" s="346">
        <f>UPPER(A348&amp;" "&amp;B348&amp;" "&amp;D348&amp;" "&amp;E348&amp;" "&amp;F348&amp;" "&amp;G348&amp;" "&amp;H348&amp;" "&amp;I348&amp;" "&amp;J348)</f>
        <v/>
      </c>
      <c r="W348" s="216">
        <f>IF(AND('TRA CỨU TỔNG HỢP'!$B$3&lt;&gt;"",ISNUMBER(SEARCH('TRA CỨU TỔNG HỢP'!$B$3,V348))),MAX($W$3:W347)+1,"")</f>
        <v/>
      </c>
    </row>
    <row r="349" ht="15" customHeight="1" s="217">
      <c r="A349" s="354" t="inlineStr">
        <is>
          <t>HYUNDAI</t>
        </is>
      </c>
      <c r="B349" s="355" t="inlineStr">
        <is>
          <t>HH079968</t>
        </is>
      </c>
      <c r="C349" s="354" t="inlineStr">
        <is>
          <t>Mitsubishi</t>
        </is>
      </c>
      <c r="D349" s="354" t="inlineStr">
        <is>
          <t>TF08L-28</t>
        </is>
      </c>
      <c r="E349" s="354" t="inlineStr">
        <is>
          <t>6D24T/D6CA</t>
        </is>
      </c>
      <c r="F349" s="356" t="inlineStr">
        <is>
          <t>28200-84000/49134-00240/49174-22600</t>
        </is>
      </c>
      <c r="G349" s="354" t="n"/>
      <c r="H349" s="354" t="n"/>
      <c r="I349" s="354" t="n"/>
      <c r="J349" s="357" t="inlineStr">
        <is>
          <t>SL</t>
        </is>
      </c>
      <c r="K349" s="358" t="n"/>
      <c r="L349" s="358" t="n"/>
      <c r="M349" s="358" t="n"/>
      <c r="N349" s="358">
        <f>IF(M349="","",M349*1.1)</f>
        <v/>
      </c>
      <c r="O349" s="359" t="n">
        <v>92</v>
      </c>
      <c r="P349" s="359" t="n">
        <v>66.8</v>
      </c>
      <c r="Q349" s="359" t="inlineStr">
        <is>
          <t>7/7</t>
        </is>
      </c>
      <c r="R349" s="359" t="n">
        <v>85</v>
      </c>
      <c r="S349" s="359" t="n">
        <v>74.5</v>
      </c>
      <c r="T349" s="359" t="n">
        <v>12</v>
      </c>
      <c r="V349" s="216">
        <f>UPPER(A349&amp;" "&amp;B349&amp;" "&amp;D349&amp;" "&amp;E349&amp;" "&amp;F349&amp;" "&amp;G349&amp;" "&amp;H349&amp;" "&amp;I349&amp;" "&amp;J349)</f>
        <v/>
      </c>
      <c r="W349" s="216">
        <f>IF(AND('TRA CỨU TỔNG HỢP'!$B$3&lt;&gt;"",ISNUMBER(SEARCH('TRA CỨU TỔNG HỢP'!$B$3,V349))),MAX($W$3:W348)+1,"")</f>
        <v/>
      </c>
    </row>
    <row r="350" ht="15" customHeight="1" s="217">
      <c r="A350" s="340" t="inlineStr">
        <is>
          <t>HYUNDAI</t>
        </is>
      </c>
      <c r="B350" s="341" t="inlineStr">
        <is>
          <t>HH079000</t>
        </is>
      </c>
      <c r="C350" s="340" t="inlineStr">
        <is>
          <t>Garrett</t>
        </is>
      </c>
      <c r="D350" s="340" t="inlineStr">
        <is>
          <t>GT1749S</t>
        </is>
      </c>
      <c r="E350" s="340" t="inlineStr">
        <is>
          <t>D4AE</t>
        </is>
      </c>
      <c r="F350" s="342" t="inlineStr">
        <is>
          <t>28230-41422
28230-41421/471037-5002S
471037-0002/471037-0001</t>
        </is>
      </c>
      <c r="G350" s="340" t="n"/>
      <c r="H350" s="340" t="inlineStr">
        <is>
          <t>Mighty II 3.5T</t>
        </is>
      </c>
      <c r="I350" s="340" t="n"/>
      <c r="J350" s="343" t="inlineStr">
        <is>
          <t>SL</t>
        </is>
      </c>
      <c r="K350" s="344" t="n"/>
      <c r="L350" s="344" t="n"/>
      <c r="M350" s="344" t="n"/>
      <c r="N350" s="344">
        <f>IF(M350="","",M350*1.1)</f>
        <v/>
      </c>
      <c r="O350" s="345" t="n">
        <v>49</v>
      </c>
      <c r="P350" s="345" t="n">
        <v>37.6</v>
      </c>
      <c r="Q350" s="345" t="inlineStr">
        <is>
          <t>6/6</t>
        </is>
      </c>
      <c r="R350" s="345" t="n">
        <v>44.4</v>
      </c>
      <c r="S350" s="345" t="n">
        <v>37.6</v>
      </c>
      <c r="T350" s="345" t="inlineStr">
        <is>
          <t>9</t>
        </is>
      </c>
      <c r="V350" s="346">
        <f>UPPER(A350&amp;" "&amp;B350&amp;" "&amp;D350&amp;" "&amp;E350&amp;" "&amp;F350&amp;" "&amp;G350&amp;" "&amp;H350&amp;" "&amp;I350&amp;" "&amp;J350)</f>
        <v/>
      </c>
      <c r="W350" s="216">
        <f>IF(AND('TRA CỨU TỔNG HỢP'!$B$3&lt;&gt;"",ISNUMBER(SEARCH('TRA CỨU TỔNG HỢP'!$B$3,V350))),MAX($W$3:W349)+1,"")</f>
        <v/>
      </c>
    </row>
    <row r="351" ht="15" customHeight="1" s="217">
      <c r="A351" s="347" t="inlineStr">
        <is>
          <t xml:space="preserve">  └─ HYUNDAI</t>
        </is>
      </c>
      <c r="B351" s="348" t="inlineStr">
        <is>
          <t>HH081965</t>
        </is>
      </c>
      <c r="C351" s="349" t="inlineStr">
        <is>
          <t>Garrett</t>
        </is>
      </c>
      <c r="D351" s="349" t="inlineStr">
        <is>
          <t>GT1749S</t>
        </is>
      </c>
      <c r="E351" s="349" t="inlineStr">
        <is>
          <t>D4AE</t>
        </is>
      </c>
      <c r="F351" s="350" t="inlineStr">
        <is>
          <t>28230-41422
28230-41421/471037-5002S
471037-0002/471037-0001</t>
        </is>
      </c>
      <c r="G351" s="349" t="n"/>
      <c r="H351" s="349" t="inlineStr">
        <is>
          <t>Mighty II 3.5T</t>
        </is>
      </c>
      <c r="I351" s="349" t="n"/>
      <c r="J351" s="351" t="inlineStr">
        <is>
          <t>SL</t>
        </is>
      </c>
      <c r="K351" s="352" t="n"/>
      <c r="L351" s="352" t="n"/>
      <c r="M351" s="352" t="n"/>
      <c r="N351" s="352">
        <f>IF(M351="","",M351*1.1)</f>
        <v/>
      </c>
      <c r="O351" s="353" t="n">
        <v>49</v>
      </c>
      <c r="P351" s="353" t="n">
        <v>37.6</v>
      </c>
      <c r="Q351" s="353" t="inlineStr">
        <is>
          <t>6/6</t>
        </is>
      </c>
      <c r="R351" s="353" t="n">
        <v>44.4</v>
      </c>
      <c r="S351" s="353" t="n">
        <v>37.6</v>
      </c>
      <c r="T351" s="353" t="inlineStr">
        <is>
          <t>9</t>
        </is>
      </c>
      <c r="V351" s="346">
        <f>UPPER(A351&amp;" "&amp;B351&amp;" "&amp;D351&amp;" "&amp;E351&amp;" "&amp;F351&amp;" "&amp;G351&amp;" "&amp;H351&amp;" "&amp;I351&amp;" "&amp;J351)</f>
        <v/>
      </c>
      <c r="W351" s="216">
        <f>IF(AND('TRA CỨU TỔNG HỢP'!$B$3&lt;&gt;"",ISNUMBER(SEARCH('TRA CỨU TỔNG HỢP'!$B$3,V351))),MAX($W$3:W350)+1,"")</f>
        <v/>
      </c>
    </row>
    <row r="352" ht="15" customHeight="1" s="217">
      <c r="A352" s="354" t="inlineStr">
        <is>
          <t>HYUNDAI</t>
        </is>
      </c>
      <c r="B352" s="355" t="inlineStr">
        <is>
          <t>HH083047</t>
        </is>
      </c>
      <c r="C352" s="354" t="inlineStr">
        <is>
          <t>Garrett</t>
        </is>
      </c>
      <c r="D352" s="354" t="inlineStr">
        <is>
          <t>GT1752S</t>
        </is>
      </c>
      <c r="E352" s="354" t="inlineStr">
        <is>
          <t>D4CB</t>
        </is>
      </c>
      <c r="F352" s="356" t="inlineStr">
        <is>
          <t>28200-4A101
282004A101
733952-0001
733952-5001S
733952
1</t>
        </is>
      </c>
      <c r="G352" s="354" t="n"/>
      <c r="H352" s="354" t="inlineStr">
        <is>
          <t>Kia 2.5CRDI (Sorento)</t>
        </is>
      </c>
      <c r="I352" s="354" t="n"/>
      <c r="J352" s="357" t="inlineStr">
        <is>
          <t>SL</t>
        </is>
      </c>
      <c r="K352" s="358" t="n"/>
      <c r="L352" s="358" t="n"/>
      <c r="M352" s="358" t="n"/>
      <c r="N352" s="358">
        <f>IF(M352="","",M352*1.1)</f>
        <v/>
      </c>
      <c r="O352" s="359" t="n">
        <v>52</v>
      </c>
      <c r="P352" s="359" t="n">
        <v>38.6</v>
      </c>
      <c r="Q352" s="359" t="inlineStr">
        <is>
          <t>6/6</t>
        </is>
      </c>
      <c r="R352" s="359" t="n">
        <v>44.4</v>
      </c>
      <c r="S352" s="359" t="n">
        <v>38.3</v>
      </c>
      <c r="T352" s="359" t="inlineStr">
        <is>
          <t>9</t>
        </is>
      </c>
      <c r="V352" s="346">
        <f>UPPER(A352&amp;" "&amp;B352&amp;" "&amp;D352&amp;" "&amp;E352&amp;" "&amp;F352&amp;" "&amp;G352&amp;" "&amp;H352&amp;" "&amp;I352&amp;" "&amp;J352)</f>
        <v/>
      </c>
      <c r="W352" s="216">
        <f>IF(AND('TRA CỨU TỔNG HỢP'!$B$3&lt;&gt;"",ISNUMBER(SEARCH('TRA CỨU TỔNG HỢP'!$B$3,V352))),MAX($W$3:W351)+1,"")</f>
        <v/>
      </c>
    </row>
    <row r="353" ht="15" customHeight="1" s="217">
      <c r="A353" s="340" t="inlineStr">
        <is>
          <t>HYUNDAI</t>
        </is>
      </c>
      <c r="B353" s="341" t="inlineStr">
        <is>
          <t>HH079000</t>
        </is>
      </c>
      <c r="C353" s="340" t="inlineStr">
        <is>
          <t>Garrett</t>
        </is>
      </c>
      <c r="D353" s="340" t="inlineStr">
        <is>
          <t>GT1752</t>
        </is>
      </c>
      <c r="E353" s="340" t="inlineStr">
        <is>
          <t>D4CB</t>
        </is>
      </c>
      <c r="F353" s="342" t="inlineStr">
        <is>
          <t>28200-4A001/28200-4A101/28230-41422
41421/710060-0001/710060-5001S/433352-0032</t>
        </is>
      </c>
      <c r="G353" s="340" t="n"/>
      <c r="H353" s="340" t="inlineStr">
        <is>
          <t>Hyundai H-1 CRDI, Starex CRDI D4CB Euro-3</t>
        </is>
      </c>
      <c r="I353" s="340" t="n"/>
      <c r="J353" s="343" t="inlineStr">
        <is>
          <t>SL</t>
        </is>
      </c>
      <c r="K353" s="344" t="n"/>
      <c r="L353" s="344" t="n"/>
      <c r="M353" s="344" t="n"/>
      <c r="N353" s="344">
        <f>IF(M353="","",M353*1.1)</f>
        <v/>
      </c>
      <c r="O353" s="345" t="n">
        <v>52</v>
      </c>
      <c r="P353" s="345" t="n">
        <v>38.4</v>
      </c>
      <c r="Q353" s="345" t="inlineStr">
        <is>
          <t>6/6</t>
        </is>
      </c>
      <c r="R353" s="345" t="n">
        <v>43</v>
      </c>
      <c r="S353" s="345" t="n">
        <v>37.5</v>
      </c>
      <c r="T353" s="345" t="inlineStr">
        <is>
          <t>9</t>
        </is>
      </c>
      <c r="V353" s="346">
        <f>UPPER(A353&amp;" "&amp;B353&amp;" "&amp;D353&amp;" "&amp;E353&amp;" "&amp;F353&amp;" "&amp;G353&amp;" "&amp;H353&amp;" "&amp;I353&amp;" "&amp;J353)</f>
        <v/>
      </c>
      <c r="W353" s="216">
        <f>IF(AND('TRA CỨU TỔNG HỢP'!$B$3&lt;&gt;"",ISNUMBER(SEARCH('TRA CỨU TỔNG HỢP'!$B$3,V353))),MAX($W$3:W352)+1,"")</f>
        <v/>
      </c>
    </row>
    <row r="354" ht="15" customHeight="1" s="217">
      <c r="A354" s="347" t="inlineStr">
        <is>
          <t xml:space="preserve">  └─ HYUNDAI</t>
        </is>
      </c>
      <c r="B354" s="348" t="inlineStr">
        <is>
          <t>HH081965</t>
        </is>
      </c>
      <c r="C354" s="349" t="inlineStr">
        <is>
          <t>Garrett</t>
        </is>
      </c>
      <c r="D354" s="349" t="inlineStr">
        <is>
          <t>GT1752</t>
        </is>
      </c>
      <c r="E354" s="349" t="inlineStr">
        <is>
          <t>D4CB</t>
        </is>
      </c>
      <c r="F354" s="350" t="inlineStr">
        <is>
          <t>28200-4A001/28200-4A101/28230-41422
41421/710060-0001/710060-5001S/433352-0032</t>
        </is>
      </c>
      <c r="G354" s="349" t="n"/>
      <c r="H354" s="349" t="inlineStr">
        <is>
          <t>Hyundai H-1 CRDI, Starex CRDI D4CB Euro-3</t>
        </is>
      </c>
      <c r="I354" s="349" t="n"/>
      <c r="J354" s="351" t="inlineStr">
        <is>
          <t>SL</t>
        </is>
      </c>
      <c r="K354" s="352" t="n"/>
      <c r="L354" s="352" t="n"/>
      <c r="M354" s="352" t="n"/>
      <c r="N354" s="352">
        <f>IF(M354="","",M354*1.1)</f>
        <v/>
      </c>
      <c r="O354" s="353" t="n">
        <v>52</v>
      </c>
      <c r="P354" s="353" t="n">
        <v>38.4</v>
      </c>
      <c r="Q354" s="353" t="inlineStr">
        <is>
          <t>6/6</t>
        </is>
      </c>
      <c r="R354" s="353" t="n">
        <v>43</v>
      </c>
      <c r="S354" s="353" t="n">
        <v>37.5</v>
      </c>
      <c r="T354" s="353" t="inlineStr">
        <is>
          <t>9</t>
        </is>
      </c>
      <c r="V354" s="346">
        <f>UPPER(A354&amp;" "&amp;B354&amp;" "&amp;D354&amp;" "&amp;E354&amp;" "&amp;F354&amp;" "&amp;G354&amp;" "&amp;H354&amp;" "&amp;I354&amp;" "&amp;J354)</f>
        <v/>
      </c>
      <c r="W354" s="216">
        <f>IF(AND('TRA CỨU TỔNG HỢP'!$B$3&lt;&gt;"",ISNUMBER(SEARCH('TRA CỨU TỔNG HỢP'!$B$3,V354))),MAX($W$3:W353)+1,"")</f>
        <v/>
      </c>
    </row>
    <row r="355" ht="15" customHeight="1" s="217">
      <c r="A355" s="347" t="inlineStr">
        <is>
          <t xml:space="preserve">  └─ HYUNDAI</t>
        </is>
      </c>
      <c r="B355" s="348" t="inlineStr">
        <is>
          <t>HH083047</t>
        </is>
      </c>
      <c r="C355" s="349" t="inlineStr">
        <is>
          <t>Garrett</t>
        </is>
      </c>
      <c r="D355" s="349" t="inlineStr">
        <is>
          <t>GT1752</t>
        </is>
      </c>
      <c r="E355" s="349" t="inlineStr">
        <is>
          <t>D4CB</t>
        </is>
      </c>
      <c r="F355" s="350" t="inlineStr">
        <is>
          <t>28200-4A001/28200-4A101/28230-41422
41421/710060-0001/710060-5001S/433352-0032</t>
        </is>
      </c>
      <c r="G355" s="349" t="n"/>
      <c r="H355" s="349" t="inlineStr">
        <is>
          <t>Hyundai H-1 CRDI, Starex CRDI D4CB Euro-3</t>
        </is>
      </c>
      <c r="I355" s="349" t="n"/>
      <c r="J355" s="351" t="inlineStr">
        <is>
          <t>SL</t>
        </is>
      </c>
      <c r="K355" s="352" t="n"/>
      <c r="L355" s="352" t="n"/>
      <c r="M355" s="352" t="n"/>
      <c r="N355" s="352">
        <f>IF(M355="","",M355*1.1)</f>
        <v/>
      </c>
      <c r="O355" s="353" t="n">
        <v>52</v>
      </c>
      <c r="P355" s="353" t="n">
        <v>38.4</v>
      </c>
      <c r="Q355" s="353" t="inlineStr">
        <is>
          <t>6/6</t>
        </is>
      </c>
      <c r="R355" s="353" t="n">
        <v>43</v>
      </c>
      <c r="S355" s="353" t="n">
        <v>37.5</v>
      </c>
      <c r="T355" s="353" t="inlineStr">
        <is>
          <t>9</t>
        </is>
      </c>
      <c r="V355" s="346">
        <f>UPPER(A355&amp;" "&amp;B355&amp;" "&amp;D355&amp;" "&amp;E355&amp;" "&amp;F355&amp;" "&amp;G355&amp;" "&amp;H355&amp;" "&amp;I355&amp;" "&amp;J355)</f>
        <v/>
      </c>
      <c r="W355" s="216">
        <f>IF(AND('TRA CỨU TỔNG HỢP'!$B$3&lt;&gt;"",ISNUMBER(SEARCH('TRA CỨU TỔNG HỢP'!$B$3,V355))),MAX($W$3:W354)+1,"")</f>
        <v/>
      </c>
    </row>
    <row r="356" ht="15" customHeight="1" s="217">
      <c r="A356" s="347" t="inlineStr">
        <is>
          <t xml:space="preserve">  └─ HYUNDAI</t>
        </is>
      </c>
      <c r="B356" s="348" t="inlineStr">
        <is>
          <t>HH076623</t>
        </is>
      </c>
      <c r="C356" s="349" t="inlineStr">
        <is>
          <t>Garrett</t>
        </is>
      </c>
      <c r="D356" s="349" t="inlineStr">
        <is>
          <t>GT1752</t>
        </is>
      </c>
      <c r="E356" s="349" t="inlineStr">
        <is>
          <t>D4CB</t>
        </is>
      </c>
      <c r="F356" s="350" t="inlineStr">
        <is>
          <t>28200-4A001/28200-4A101/28230-41422
41421/710060-0001/710060-5001S/433352-0032</t>
        </is>
      </c>
      <c r="G356" s="349" t="n"/>
      <c r="H356" s="349" t="inlineStr">
        <is>
          <t>Hyundai H-1 CRDI, Starex CRDI D4CB Euro-3</t>
        </is>
      </c>
      <c r="I356" s="349" t="n"/>
      <c r="J356" s="351" t="inlineStr">
        <is>
          <t>SL</t>
        </is>
      </c>
      <c r="K356" s="352" t="n"/>
      <c r="L356" s="352" t="n"/>
      <c r="M356" s="352" t="n"/>
      <c r="N356" s="352">
        <f>IF(M356="","",M356*1.1)</f>
        <v/>
      </c>
      <c r="O356" s="353" t="n">
        <v>52</v>
      </c>
      <c r="P356" s="353" t="n">
        <v>38.4</v>
      </c>
      <c r="Q356" s="353" t="inlineStr">
        <is>
          <t>6/6</t>
        </is>
      </c>
      <c r="R356" s="353" t="n">
        <v>43</v>
      </c>
      <c r="S356" s="353" t="n">
        <v>37.5</v>
      </c>
      <c r="T356" s="353" t="inlineStr">
        <is>
          <t>9</t>
        </is>
      </c>
      <c r="V356" s="346">
        <f>UPPER(A356&amp;" "&amp;B356&amp;" "&amp;D356&amp;" "&amp;E356&amp;" "&amp;F356&amp;" "&amp;G356&amp;" "&amp;H356&amp;" "&amp;I356&amp;" "&amp;J356)</f>
        <v/>
      </c>
      <c r="W356" s="216">
        <f>IF(AND('TRA CỨU TỔNG HỢP'!$B$3&lt;&gt;"",ISNUMBER(SEARCH('TRA CỨU TỔNG HỢP'!$B$3,V356))),MAX($W$3:W355)+1,"")</f>
        <v/>
      </c>
    </row>
    <row r="357" ht="15" customHeight="1" s="217">
      <c r="A357" s="347" t="inlineStr">
        <is>
          <t xml:space="preserve">  └─ HYUNDAI</t>
        </is>
      </c>
      <c r="B357" s="348" t="inlineStr">
        <is>
          <t>HH079992</t>
        </is>
      </c>
      <c r="C357" s="349" t="inlineStr">
        <is>
          <t>Garrett</t>
        </is>
      </c>
      <c r="D357" s="349" t="inlineStr">
        <is>
          <t>GT1752</t>
        </is>
      </c>
      <c r="E357" s="349" t="inlineStr">
        <is>
          <t>D4CB</t>
        </is>
      </c>
      <c r="F357" s="350" t="inlineStr">
        <is>
          <t>28200-4A001/28200-4A101/28230-41422
41421/710060-0001/710060-5001S/433352-0032</t>
        </is>
      </c>
      <c r="G357" s="349" t="n"/>
      <c r="H357" s="349" t="inlineStr">
        <is>
          <t>Hyundai H-1 CRDI, Starex CRDI D4CB Euro-3</t>
        </is>
      </c>
      <c r="I357" s="349" t="n"/>
      <c r="J357" s="351" t="inlineStr">
        <is>
          <t>SL</t>
        </is>
      </c>
      <c r="K357" s="352" t="n"/>
      <c r="L357" s="352" t="n"/>
      <c r="M357" s="352" t="n"/>
      <c r="N357" s="352">
        <f>IF(M357="","",M357*1.1)</f>
        <v/>
      </c>
      <c r="O357" s="353" t="n">
        <v>52</v>
      </c>
      <c r="P357" s="353" t="n">
        <v>38.4</v>
      </c>
      <c r="Q357" s="353" t="inlineStr">
        <is>
          <t>6/6</t>
        </is>
      </c>
      <c r="R357" s="353" t="n">
        <v>43</v>
      </c>
      <c r="S357" s="353" t="n">
        <v>37.5</v>
      </c>
      <c r="T357" s="353" t="inlineStr">
        <is>
          <t>9</t>
        </is>
      </c>
      <c r="V357" s="346">
        <f>UPPER(A357&amp;" "&amp;B357&amp;" "&amp;D357&amp;" "&amp;E357&amp;" "&amp;F357&amp;" "&amp;G357&amp;" "&amp;H357&amp;" "&amp;I357&amp;" "&amp;J357)</f>
        <v/>
      </c>
      <c r="W357" s="216">
        <f>IF(AND('TRA CỨU TỔNG HỢP'!$B$3&lt;&gt;"",ISNUMBER(SEARCH('TRA CỨU TỔNG HỢP'!$B$3,V357))),MAX($W$3:W356)+1,"")</f>
        <v/>
      </c>
    </row>
    <row r="358" ht="15" customHeight="1" s="217">
      <c r="A358" s="367" t="inlineStr">
        <is>
          <t>HYUNDAI</t>
        </is>
      </c>
      <c r="B358" s="368" t="n"/>
      <c r="C358" s="367" t="inlineStr">
        <is>
          <t>Garrett</t>
        </is>
      </c>
      <c r="D358" s="367" t="inlineStr">
        <is>
          <t>D6CB/D6HA</t>
        </is>
      </c>
      <c r="E358" s="367" t="n"/>
      <c r="F358" s="369" t="inlineStr">
        <is>
          <t>28200-82700</t>
        </is>
      </c>
      <c r="G358" s="367" t="n"/>
      <c r="H358" s="367" t="inlineStr">
        <is>
          <t>Universe</t>
        </is>
      </c>
      <c r="I358" s="367" t="n"/>
      <c r="J358" s="370" t="n"/>
      <c r="K358" s="371" t="n"/>
      <c r="L358" s="371" t="n"/>
      <c r="M358" s="371" t="n"/>
      <c r="N358" s="371" t="n"/>
      <c r="O358" s="372" t="n"/>
      <c r="P358" s="372" t="n"/>
      <c r="Q358" s="372" t="n"/>
      <c r="R358" s="372" t="n"/>
      <c r="S358" s="372" t="n"/>
      <c r="T358" s="372" t="n"/>
      <c r="V358" s="216">
        <f>UPPER(A358&amp;" "&amp;B358&amp;" "&amp;D358&amp;" "&amp;E358&amp;" "&amp;F358&amp;" "&amp;G358&amp;" "&amp;H358&amp;" "&amp;I358&amp;" "&amp;J358)</f>
        <v/>
      </c>
      <c r="W358" s="216">
        <f>IF(AND('TRA CỨU TỔNG HỢP'!$B$3&lt;&gt;"",ISNUMBER(SEARCH('TRA CỨU TỔNG HỢP'!$B$3,V358))),MAX($W$3:W357)+1,"")</f>
        <v/>
      </c>
    </row>
    <row r="359" ht="15" customHeight="1" s="217">
      <c r="A359" s="354" t="inlineStr">
        <is>
          <t>HYUNDAI</t>
        </is>
      </c>
      <c r="B359" s="355" t="inlineStr">
        <is>
          <t>HH081638</t>
        </is>
      </c>
      <c r="C359" s="354" t="inlineStr">
        <is>
          <t>Mitsubishi</t>
        </is>
      </c>
      <c r="D359" s="354" t="inlineStr">
        <is>
          <t>TF08L-28M-22</t>
        </is>
      </c>
      <c r="E359" s="354" t="inlineStr">
        <is>
          <t>6D24 TI</t>
        </is>
      </c>
      <c r="F359" s="356" t="inlineStr">
        <is>
          <t>28200-84011</t>
        </is>
      </c>
      <c r="G359" s="354" t="n"/>
      <c r="H359" s="354" t="n"/>
      <c r="I359" s="354" t="n"/>
      <c r="J359" s="357" t="inlineStr">
        <is>
          <t>FIRE</t>
        </is>
      </c>
      <c r="K359" s="358" t="n"/>
      <c r="L359" s="358" t="n"/>
      <c r="M359" s="358" t="n"/>
      <c r="N359" s="358">
        <f>IF(M359="","",M359*1.1)</f>
        <v/>
      </c>
      <c r="O359" s="359" t="n"/>
      <c r="P359" s="359" t="n"/>
      <c r="Q359" s="359" t="n"/>
      <c r="R359" s="359" t="n"/>
      <c r="S359" s="359" t="n"/>
      <c r="T359" s="359" t="n"/>
      <c r="V359" s="216">
        <f>UPPER(A359&amp;" "&amp;B359&amp;" "&amp;D359&amp;" "&amp;E359&amp;" "&amp;F359&amp;" "&amp;G359&amp;" "&amp;H359&amp;" "&amp;I359&amp;" "&amp;J359)</f>
        <v/>
      </c>
      <c r="W359" s="216">
        <f>IF(AND('TRA CỨU TỔNG HỢP'!$B$3&lt;&gt;"",ISNUMBER(SEARCH('TRA CỨU TỔNG HỢP'!$B$3,V359))),MAX($W$3:W358)+1,"")</f>
        <v/>
      </c>
    </row>
    <row r="360" ht="15" customHeight="1" s="217">
      <c r="A360" s="354" t="inlineStr">
        <is>
          <t>HYUNDAI</t>
        </is>
      </c>
      <c r="B360" s="355" t="inlineStr">
        <is>
          <t>HH083052</t>
        </is>
      </c>
      <c r="C360" s="354" t="inlineStr">
        <is>
          <t>BorgWarner</t>
        </is>
      </c>
      <c r="D360" s="354" t="inlineStr">
        <is>
          <t>BV43</t>
        </is>
      </c>
      <c r="E360" s="354" t="inlineStr">
        <is>
          <t>D4CB/ 2.5</t>
        </is>
      </c>
      <c r="F360" s="356" t="inlineStr">
        <is>
          <t>28200-4A421</t>
        </is>
      </c>
      <c r="G360" s="354" t="n"/>
      <c r="H360" s="354" t="n"/>
      <c r="I360" s="354" t="n"/>
      <c r="J360" s="357" t="inlineStr">
        <is>
          <t>SL</t>
        </is>
      </c>
      <c r="K360" s="358" t="n"/>
      <c r="L360" s="358" t="n"/>
      <c r="M360" s="358" t="n"/>
      <c r="N360" s="358">
        <f>IF(M360="","",M360*1.1)</f>
        <v/>
      </c>
      <c r="O360" s="359" t="n">
        <v>53.89</v>
      </c>
      <c r="P360" s="359" t="n">
        <v>37.8</v>
      </c>
      <c r="Q360" s="359" t="inlineStr">
        <is>
          <t>6/6</t>
        </is>
      </c>
      <c r="R360" s="359" t="n">
        <v>43</v>
      </c>
      <c r="S360" s="359" t="n">
        <v>38.2</v>
      </c>
      <c r="T360" s="359" t="inlineStr">
        <is>
          <t>9</t>
        </is>
      </c>
      <c r="V360" s="216">
        <f>UPPER(A360&amp;" "&amp;B360&amp;" "&amp;D360&amp;" "&amp;E360&amp;" "&amp;F360&amp;" "&amp;G360&amp;" "&amp;H360&amp;" "&amp;I360&amp;" "&amp;J360)</f>
        <v/>
      </c>
      <c r="W360" s="216">
        <f>IF(AND('TRA CỨU TỔNG HỢP'!$B$3&lt;&gt;"",ISNUMBER(SEARCH('TRA CỨU TỔNG HỢP'!$B$3,V360))),MAX($W$3:W359)+1,"")</f>
        <v/>
      </c>
    </row>
    <row r="361" ht="15" customHeight="1" s="217">
      <c r="A361" s="340" t="inlineStr">
        <is>
          <t>HYUNDAI</t>
        </is>
      </c>
      <c r="B361" s="341" t="inlineStr">
        <is>
          <t>HH081246</t>
        </is>
      </c>
      <c r="C361" s="340" t="inlineStr">
        <is>
          <t>BorgWarner</t>
        </is>
      </c>
      <c r="D361" s="340" t="inlineStr">
        <is>
          <t>BV43</t>
        </is>
      </c>
      <c r="E361" s="340" t="n"/>
      <c r="F361" s="342" t="inlineStr">
        <is>
          <t>28230-4A701</t>
        </is>
      </c>
      <c r="G361" s="340" t="n"/>
      <c r="H361" s="340" t="inlineStr">
        <is>
          <t>Starex H1</t>
        </is>
      </c>
      <c r="I361" s="340" t="n"/>
      <c r="J361" s="343" t="inlineStr">
        <is>
          <t>SL</t>
        </is>
      </c>
      <c r="K361" s="344" t="n"/>
      <c r="L361" s="344" t="n"/>
      <c r="M361" s="344" t="n"/>
      <c r="N361" s="344">
        <f>IF(M361="","",M361*1.1)</f>
        <v/>
      </c>
      <c r="O361" s="345" t="n">
        <v>52.8</v>
      </c>
      <c r="P361" s="345" t="n">
        <v>36.7</v>
      </c>
      <c r="Q361" s="345" t="inlineStr">
        <is>
          <t>6/6</t>
        </is>
      </c>
      <c r="R361" s="345" t="n">
        <v>42.5</v>
      </c>
      <c r="S361" s="345" t="n">
        <v>37.8</v>
      </c>
      <c r="T361" s="345" t="n">
        <v>9</v>
      </c>
      <c r="V361" s="216">
        <f>UPPER(A361&amp;" "&amp;B361&amp;" "&amp;D361&amp;" "&amp;E361&amp;" "&amp;F361&amp;" "&amp;G361&amp;" "&amp;H361&amp;" "&amp;I361&amp;" "&amp;J361)</f>
        <v/>
      </c>
      <c r="W361" s="216">
        <f>IF(AND('TRA CỨU TỔNG HỢP'!$B$3&lt;&gt;"",ISNUMBER(SEARCH('TRA CỨU TỔNG HỢP'!$B$3,V361))),MAX($W$3:W360)+1,"")</f>
        <v/>
      </c>
    </row>
    <row r="362" ht="15" customHeight="1" s="217">
      <c r="A362" s="347" t="inlineStr">
        <is>
          <t xml:space="preserve">  └─ HYUNDAI</t>
        </is>
      </c>
      <c r="B362" s="348" t="inlineStr">
        <is>
          <t>HH081539</t>
        </is>
      </c>
      <c r="C362" s="349" t="inlineStr">
        <is>
          <t>BorgWarner</t>
        </is>
      </c>
      <c r="D362" s="349" t="inlineStr">
        <is>
          <t>BV43</t>
        </is>
      </c>
      <c r="E362" s="349" t="n"/>
      <c r="F362" s="350" t="inlineStr">
        <is>
          <t>28230-4A701</t>
        </is>
      </c>
      <c r="G362" s="349" t="n"/>
      <c r="H362" s="349" t="inlineStr">
        <is>
          <t>Starex H1</t>
        </is>
      </c>
      <c r="I362" s="349" t="n"/>
      <c r="J362" s="351" t="inlineStr">
        <is>
          <t>SL</t>
        </is>
      </c>
      <c r="K362" s="352" t="n"/>
      <c r="L362" s="352" t="n"/>
      <c r="M362" s="352" t="n"/>
      <c r="N362" s="352">
        <f>IF(M362="","",M362*1.1)</f>
        <v/>
      </c>
      <c r="O362" s="353" t="n">
        <v>52.8</v>
      </c>
      <c r="P362" s="353" t="n">
        <v>36.7</v>
      </c>
      <c r="Q362" s="353" t="inlineStr">
        <is>
          <t>6/6</t>
        </is>
      </c>
      <c r="R362" s="353" t="n">
        <v>42.5</v>
      </c>
      <c r="S362" s="353" t="n">
        <v>37.8</v>
      </c>
      <c r="T362" s="353" t="n">
        <v>9</v>
      </c>
      <c r="V362" s="216">
        <f>UPPER(A362&amp;" "&amp;B362&amp;" "&amp;D362&amp;" "&amp;E362&amp;" "&amp;F362&amp;" "&amp;G362&amp;" "&amp;H362&amp;" "&amp;I362&amp;" "&amp;J362)</f>
        <v/>
      </c>
      <c r="W362" s="216">
        <f>IF(AND('TRA CỨU TỔNG HỢP'!$B$3&lt;&gt;"",ISNUMBER(SEARCH('TRA CỨU TỔNG HỢP'!$B$3,V362))),MAX($W$3:W361)+1,"")</f>
        <v/>
      </c>
    </row>
    <row r="363" ht="15" customHeight="1" s="217">
      <c r="A363" s="354" t="inlineStr">
        <is>
          <t>HYUNDAI</t>
        </is>
      </c>
      <c r="B363" s="355" t="inlineStr">
        <is>
          <t>HH073983</t>
        </is>
      </c>
      <c r="C363" s="354" t="inlineStr">
        <is>
          <t>Mitsubishi</t>
        </is>
      </c>
      <c r="D363" s="354" t="inlineStr">
        <is>
          <t>TD025M</t>
        </is>
      </c>
      <c r="E363" s="354" t="n"/>
      <c r="F363" s="356" t="inlineStr">
        <is>
          <t>28231-27000
49173-02412
49173-02401</t>
        </is>
      </c>
      <c r="G363" s="354" t="n"/>
      <c r="H363" s="354" t="inlineStr">
        <is>
          <t>D4EA, Santafe, Tucson 2.0) M016S - EE</t>
        </is>
      </c>
      <c r="I363" s="354" t="n"/>
      <c r="J363" s="357" t="inlineStr">
        <is>
          <t>EE</t>
        </is>
      </c>
      <c r="K363" s="358" t="n"/>
      <c r="L363" s="358" t="n"/>
      <c r="M363" s="358" t="n"/>
      <c r="N363" s="358">
        <f>IF(M363="","",M363*1.1)</f>
        <v/>
      </c>
      <c r="O363" s="359" t="n">
        <v>44</v>
      </c>
      <c r="P363" s="359" t="n">
        <v>34</v>
      </c>
      <c r="Q363" s="359" t="inlineStr">
        <is>
          <t>6/6</t>
        </is>
      </c>
      <c r="R363" s="359" t="n">
        <v>36.8</v>
      </c>
      <c r="S363" s="359" t="n">
        <v>31.5</v>
      </c>
      <c r="T363" s="359" t="inlineStr">
        <is>
          <t>12</t>
        </is>
      </c>
      <c r="V363" s="346">
        <f>UPPER(A363&amp;" "&amp;B363&amp;" "&amp;D363&amp;" "&amp;E363&amp;" "&amp;F363&amp;" "&amp;G363&amp;" "&amp;H363&amp;" "&amp;I363&amp;" "&amp;J363)</f>
        <v/>
      </c>
      <c r="W363" s="216">
        <f>IF(AND('TRA CỨU TỔNG HỢP'!$B$3&lt;&gt;"",ISNUMBER(SEARCH('TRA CỨU TỔNG HỢP'!$B$3,V363))),MAX($W$3:W362)+1,"")</f>
        <v/>
      </c>
    </row>
    <row r="364" ht="15" customHeight="1" s="217">
      <c r="A364" s="340" t="inlineStr">
        <is>
          <t>HYUNDAI</t>
        </is>
      </c>
      <c r="B364" s="341" t="inlineStr">
        <is>
          <t>HH079550</t>
        </is>
      </c>
      <c r="C364" s="340" t="inlineStr">
        <is>
          <t>Mitsubishi</t>
        </is>
      </c>
      <c r="D364" s="340" t="inlineStr">
        <is>
          <t>TF035</t>
        </is>
      </c>
      <c r="E364" s="340" t="inlineStr">
        <is>
          <t>D4EB 2.2</t>
        </is>
      </c>
      <c r="F364" s="342" t="inlineStr">
        <is>
          <t>28231-27800
49135-07100
49135-07300/07301/07302</t>
        </is>
      </c>
      <c r="G364" s="340" t="n"/>
      <c r="H364" s="373" t="inlineStr">
        <is>
          <t>Santafe 2.2 D4EB( 2006 - 2010)
Santa Fe 2.2 CRDI 150 CV</t>
        </is>
      </c>
      <c r="I364" s="340" t="n"/>
      <c r="J364" s="343" t="inlineStr">
        <is>
          <t>SL</t>
        </is>
      </c>
      <c r="K364" s="344" t="n"/>
      <c r="L364" s="344" t="n"/>
      <c r="M364" s="344" t="n"/>
      <c r="N364" s="344">
        <f>IF(M364="","",M364*1.1)</f>
        <v/>
      </c>
      <c r="O364" s="345" t="n">
        <v>51</v>
      </c>
      <c r="P364" s="345" t="n">
        <v>36.4</v>
      </c>
      <c r="Q364" s="345" t="inlineStr">
        <is>
          <t>6/6</t>
        </is>
      </c>
      <c r="R364" s="345" t="n">
        <v>43.2</v>
      </c>
      <c r="S364" s="345" t="n">
        <v>37.7</v>
      </c>
      <c r="T364" s="345" t="n">
        <v>11</v>
      </c>
      <c r="V364" s="346">
        <f>UPPER(A364&amp;" "&amp;B364&amp;" "&amp;D364&amp;" "&amp;E364&amp;" "&amp;F364&amp;" "&amp;G364&amp;" "&amp;H364&amp;" "&amp;I364&amp;" "&amp;J364)</f>
        <v/>
      </c>
      <c r="W364" s="216">
        <f>IF(AND('TRA CỨU TỔNG HỢP'!$B$3&lt;&gt;"",ISNUMBER(SEARCH('TRA CỨU TỔNG HỢP'!$B$3,V364))),MAX($W$3:W363)+1,"")</f>
        <v/>
      </c>
    </row>
    <row r="365" ht="15" customHeight="1" s="217">
      <c r="A365" s="347" t="inlineStr">
        <is>
          <t xml:space="preserve">  └─ HYUNDAI</t>
        </is>
      </c>
      <c r="B365" s="348" t="inlineStr">
        <is>
          <t>HH080339</t>
        </is>
      </c>
      <c r="C365" s="349" t="inlineStr">
        <is>
          <t>Mitsubishi</t>
        </is>
      </c>
      <c r="D365" s="349" t="inlineStr">
        <is>
          <t>TF035</t>
        </is>
      </c>
      <c r="E365" s="349" t="inlineStr">
        <is>
          <t>D4EB 2.2</t>
        </is>
      </c>
      <c r="F365" s="350" t="inlineStr">
        <is>
          <t>28231-27800
49135-07100
49135-07300/07301/07302</t>
        </is>
      </c>
      <c r="G365" s="349" t="n"/>
      <c r="H365" s="374" t="inlineStr">
        <is>
          <t>Santafe 2.2 D4EB( 2006 - 2010)
Santa Fe 2.2 CRDI 150 CV</t>
        </is>
      </c>
      <c r="I365" s="349" t="n"/>
      <c r="J365" s="351" t="inlineStr">
        <is>
          <t>SL</t>
        </is>
      </c>
      <c r="K365" s="352" t="n"/>
      <c r="L365" s="352" t="n"/>
      <c r="M365" s="352" t="n"/>
      <c r="N365" s="352">
        <f>IF(M365="","",M365*1.1)</f>
        <v/>
      </c>
      <c r="O365" s="353" t="n">
        <v>51</v>
      </c>
      <c r="P365" s="353" t="n">
        <v>36.4</v>
      </c>
      <c r="Q365" s="353" t="inlineStr">
        <is>
          <t>6/6</t>
        </is>
      </c>
      <c r="R365" s="353" t="n">
        <v>43.2</v>
      </c>
      <c r="S365" s="353" t="n">
        <v>37.7</v>
      </c>
      <c r="T365" s="353" t="n">
        <v>11</v>
      </c>
      <c r="V365" s="346">
        <f>UPPER(A365&amp;" "&amp;B365&amp;" "&amp;D365&amp;" "&amp;E365&amp;" "&amp;F365&amp;" "&amp;G365&amp;" "&amp;H365&amp;" "&amp;I365&amp;" "&amp;J365)</f>
        <v/>
      </c>
      <c r="W365" s="216">
        <f>IF(AND('TRA CỨU TỔNG HỢP'!$B$3&lt;&gt;"",ISNUMBER(SEARCH('TRA CỨU TỔNG HỢP'!$B$3,V365))),MAX($W$3:W364)+1,"")</f>
        <v/>
      </c>
    </row>
    <row r="366" ht="15" customHeight="1" s="217">
      <c r="A366" s="354" t="inlineStr">
        <is>
          <t>HYUNDAI</t>
        </is>
      </c>
      <c r="B366" s="355" t="inlineStr">
        <is>
          <t>HH080329</t>
        </is>
      </c>
      <c r="C366" s="354" t="inlineStr">
        <is>
          <t>Garrett</t>
        </is>
      </c>
      <c r="D366" s="354" t="inlineStr">
        <is>
          <t>GT1749V</t>
        </is>
      </c>
      <c r="E366" s="354" t="inlineStr">
        <is>
          <t>D4EA</t>
        </is>
      </c>
      <c r="F366" s="356" t="inlineStr">
        <is>
          <t>28231-27900</t>
        </is>
      </c>
      <c r="G366" s="354" t="n"/>
      <c r="H366" s="366" t="inlineStr">
        <is>
          <t>SantaFe Gold (2000-2005 ) 
Hyundai Santa Fe 2.0L CRDi Engine D4EA-V</t>
        </is>
      </c>
      <c r="I366" s="354" t="n"/>
      <c r="J366" s="357" t="inlineStr">
        <is>
          <t>SL</t>
        </is>
      </c>
      <c r="K366" s="358" t="n"/>
      <c r="L366" s="358" t="n"/>
      <c r="M366" s="358" t="n"/>
      <c r="N366" s="358">
        <f>IF(M366="","",M366*1.1)</f>
        <v/>
      </c>
      <c r="O366" s="359" t="n">
        <v>49</v>
      </c>
      <c r="P366" s="359" t="n">
        <v>34.6</v>
      </c>
      <c r="Q366" s="359" t="inlineStr">
        <is>
          <t>6/6</t>
        </is>
      </c>
      <c r="R366" s="359" t="n">
        <v>43</v>
      </c>
      <c r="S366" s="359" t="n">
        <v>36</v>
      </c>
      <c r="T366" s="359" t="inlineStr">
        <is>
          <t>9</t>
        </is>
      </c>
      <c r="V366" s="346">
        <f>UPPER(A366&amp;" "&amp;B366&amp;" "&amp;D366&amp;" "&amp;E366&amp;" "&amp;F366&amp;" "&amp;G366&amp;" "&amp;H366&amp;" "&amp;I366&amp;" "&amp;J366)</f>
        <v/>
      </c>
      <c r="W366" s="216">
        <f>IF(AND('TRA CỨU TỔNG HỢP'!$B$3&lt;&gt;"",ISNUMBER(SEARCH('TRA CỨU TỔNG HỢP'!$B$3,V366))),MAX($W$3:W365)+1,"")</f>
        <v/>
      </c>
    </row>
    <row r="367" ht="15" customHeight="1" s="217">
      <c r="A367" s="340" t="inlineStr">
        <is>
          <t>HYUNDAI</t>
        </is>
      </c>
      <c r="B367" s="341" t="inlineStr">
        <is>
          <t>HH083397</t>
        </is>
      </c>
      <c r="C367" s="340" t="inlineStr">
        <is>
          <t>Garrett</t>
        </is>
      </c>
      <c r="D367" s="340" t="inlineStr">
        <is>
          <t>GTB1752VK</t>
        </is>
      </c>
      <c r="E367" s="340" t="inlineStr">
        <is>
          <t>D4HA</t>
        </is>
      </c>
      <c r="F367" s="342" t="inlineStr">
        <is>
          <t>28231-2F001/282312F001/28231-2F000
784114-0002/784114-5003S</t>
        </is>
      </c>
      <c r="G367" s="340" t="n"/>
      <c r="H367" s="373" t="inlineStr">
        <is>
          <t>Santafe 2.0 D4HA 
máy dầu 2009 - 2012.</t>
        </is>
      </c>
      <c r="I367" s="340" t="inlineStr">
        <is>
          <t>282352F200 ( mã dù điện )</t>
        </is>
      </c>
      <c r="J367" s="343" t="inlineStr">
        <is>
          <t>EE</t>
        </is>
      </c>
      <c r="K367" s="344" t="n"/>
      <c r="L367" s="344" t="n"/>
      <c r="M367" s="344" t="n"/>
      <c r="N367" s="344">
        <f>IF(M367="","",M367*1.1)</f>
        <v/>
      </c>
      <c r="O367" s="345" t="n">
        <v>52.4</v>
      </c>
      <c r="P367" s="345" t="n">
        <v>36.8</v>
      </c>
      <c r="Q367" s="345" t="n">
        <v>9</v>
      </c>
      <c r="R367" s="345" t="n">
        <v>43</v>
      </c>
      <c r="S367" s="345" t="n">
        <v>38</v>
      </c>
      <c r="T367" s="345" t="inlineStr">
        <is>
          <t>9</t>
        </is>
      </c>
      <c r="V367" s="346">
        <f>UPPER(A367&amp;" "&amp;B367&amp;" "&amp;D367&amp;" "&amp;E367&amp;" "&amp;F367&amp;" "&amp;G367&amp;" "&amp;H367&amp;" "&amp;I367&amp;" "&amp;J367)</f>
        <v/>
      </c>
      <c r="W367" s="216">
        <f>IF(AND('TRA CỨU TỔNG HỢP'!$B$3&lt;&gt;"",ISNUMBER(SEARCH('TRA CỨU TỔNG HỢP'!$B$3,V367))),MAX($W$3:W366)+1,"")</f>
        <v/>
      </c>
    </row>
    <row r="368" ht="15" customHeight="1" s="217">
      <c r="A368" s="347" t="inlineStr">
        <is>
          <t xml:space="preserve">  └─ HYUNDAI</t>
        </is>
      </c>
      <c r="B368" s="348" t="inlineStr">
        <is>
          <t>HH083311</t>
        </is>
      </c>
      <c r="C368" s="349" t="inlineStr">
        <is>
          <t>Garrett</t>
        </is>
      </c>
      <c r="D368" s="349" t="inlineStr">
        <is>
          <t>GTB1752VK</t>
        </is>
      </c>
      <c r="E368" s="349" t="inlineStr">
        <is>
          <t>D4HA</t>
        </is>
      </c>
      <c r="F368" s="350" t="inlineStr">
        <is>
          <t>28231-2F001/282312F001/28231-2F000
784114-0002/784114-5003S</t>
        </is>
      </c>
      <c r="G368" s="349" t="n"/>
      <c r="H368" s="374" t="inlineStr">
        <is>
          <t>Santafe 2.0 D4HA 
máy dầu 2009 - 2012.</t>
        </is>
      </c>
      <c r="I368" s="349" t="inlineStr">
        <is>
          <t>282352F200 ( mã dù điện )</t>
        </is>
      </c>
      <c r="J368" s="351" t="inlineStr">
        <is>
          <t>SL</t>
        </is>
      </c>
      <c r="K368" s="352" t="n"/>
      <c r="L368" s="352" t="n"/>
      <c r="M368" s="352" t="n"/>
      <c r="N368" s="352">
        <f>IF(M368="","",M368*1.1)</f>
        <v/>
      </c>
      <c r="O368" s="353" t="n">
        <v>52.4</v>
      </c>
      <c r="P368" s="353" t="n">
        <v>36.8</v>
      </c>
      <c r="Q368" s="353" t="n">
        <v>9</v>
      </c>
      <c r="R368" s="353" t="n">
        <v>43</v>
      </c>
      <c r="S368" s="353" t="n">
        <v>38</v>
      </c>
      <c r="T368" s="353" t="inlineStr">
        <is>
          <t>9</t>
        </is>
      </c>
      <c r="V368" s="346">
        <f>UPPER(A368&amp;" "&amp;B368&amp;" "&amp;D368&amp;" "&amp;E368&amp;" "&amp;F368&amp;" "&amp;G368&amp;" "&amp;H368&amp;" "&amp;I368&amp;" "&amp;J368)</f>
        <v/>
      </c>
      <c r="W368" s="216">
        <f>IF(AND('TRA CỨU TỔNG HỢP'!$B$3&lt;&gt;"",ISNUMBER(SEARCH('TRA CỨU TỔNG HỢP'!$B$3,V368))),MAX($W$3:W367)+1,"")</f>
        <v/>
      </c>
    </row>
    <row r="369" ht="15" customHeight="1" s="217">
      <c r="A369" s="347" t="inlineStr">
        <is>
          <t xml:space="preserve">  └─ HYUNDAI</t>
        </is>
      </c>
      <c r="B369" s="348" t="inlineStr">
        <is>
          <t>HH083502</t>
        </is>
      </c>
      <c r="C369" s="349" t="inlineStr">
        <is>
          <t>Garrett</t>
        </is>
      </c>
      <c r="D369" s="349" t="inlineStr">
        <is>
          <t>GTB1752VK</t>
        </is>
      </c>
      <c r="E369" s="349" t="inlineStr">
        <is>
          <t>D4HA</t>
        </is>
      </c>
      <c r="F369" s="350" t="inlineStr">
        <is>
          <t>28231-2F001/282312F001/28231-2F000
784114-0002/784114-5003S</t>
        </is>
      </c>
      <c r="G369" s="349" t="n"/>
      <c r="H369" s="374" t="inlineStr">
        <is>
          <t>Santafe 2.0 D4HA 
máy dầu 2009 - 2012.</t>
        </is>
      </c>
      <c r="I369" s="349" t="inlineStr">
        <is>
          <t>282352F200 ( mã dù điện )</t>
        </is>
      </c>
      <c r="J369" s="351" t="inlineStr">
        <is>
          <t>TBS</t>
        </is>
      </c>
      <c r="K369" s="352" t="n"/>
      <c r="L369" s="352" t="n"/>
      <c r="M369" s="352" t="n"/>
      <c r="N369" s="352">
        <f>IF(M369="","",M369*1.1)</f>
        <v/>
      </c>
      <c r="O369" s="353" t="n">
        <v>52.4</v>
      </c>
      <c r="P369" s="353" t="n">
        <v>36.8</v>
      </c>
      <c r="Q369" s="353" t="n">
        <v>9</v>
      </c>
      <c r="R369" s="353" t="n">
        <v>43</v>
      </c>
      <c r="S369" s="353" t="n">
        <v>38</v>
      </c>
      <c r="T369" s="353" t="inlineStr">
        <is>
          <t>9</t>
        </is>
      </c>
      <c r="V369" s="346">
        <f>UPPER(A369&amp;" "&amp;B369&amp;" "&amp;D369&amp;" "&amp;E369&amp;" "&amp;F369&amp;" "&amp;G369&amp;" "&amp;H369&amp;" "&amp;I369&amp;" "&amp;J369)</f>
        <v/>
      </c>
      <c r="W369" s="216">
        <f>IF(AND('TRA CỨU TỔNG HỢP'!$B$3&lt;&gt;"",ISNUMBER(SEARCH('TRA CỨU TỔNG HỢP'!$B$3,V369))),MAX($W$3:W368)+1,"")</f>
        <v/>
      </c>
    </row>
    <row r="370" ht="15" customHeight="1" s="217">
      <c r="A370" s="340" t="inlineStr">
        <is>
          <t>HYUNDAI</t>
        </is>
      </c>
      <c r="B370" s="341" t="inlineStr">
        <is>
          <t>HH079170</t>
        </is>
      </c>
      <c r="C370" s="340" t="inlineStr">
        <is>
          <t>Garrett</t>
        </is>
      </c>
      <c r="D370" s="340" t="inlineStr">
        <is>
          <t>GT3271</t>
        </is>
      </c>
      <c r="E370" s="340" t="inlineStr">
        <is>
          <t>D6DA</t>
        </is>
      </c>
      <c r="F370" s="342" t="inlineStr">
        <is>
          <t xml:space="preserve">28230-8Y000
28230-8Y010
716677-5001S/716677-0001 | 716677-1 | 716677-5001 |  282308Y000 | 716677-0002 | 716677-2 | 716677-5002S | 716677-5002 | </t>
        </is>
      </c>
      <c r="G370" s="340" t="n"/>
      <c r="H370" s="340" t="inlineStr">
        <is>
          <t>HD120 5 Ton /HD270 D6DA</t>
        </is>
      </c>
      <c r="I370" s="340" t="n"/>
      <c r="J370" s="343" t="inlineStr">
        <is>
          <t>3273</t>
        </is>
      </c>
      <c r="K370" s="344" t="n"/>
      <c r="L370" s="344" t="n"/>
      <c r="M370" s="344" t="n"/>
      <c r="N370" s="344">
        <f>IF(M370="","",M370*1.1)</f>
        <v/>
      </c>
      <c r="O370" s="345" t="n">
        <v>71</v>
      </c>
      <c r="P370" s="345" t="n">
        <v>51.2</v>
      </c>
      <c r="Q370" s="345" t="inlineStr">
        <is>
          <t>6/6</t>
        </is>
      </c>
      <c r="R370" s="345" t="n">
        <v>64.40000000000001</v>
      </c>
      <c r="S370" s="345" t="n">
        <v>54.6</v>
      </c>
      <c r="T370" s="345" t="n">
        <v>10</v>
      </c>
      <c r="V370" s="346">
        <f>UPPER(A370&amp;" "&amp;B370&amp;" "&amp;D370&amp;" "&amp;E370&amp;" "&amp;F370&amp;" "&amp;G370&amp;" "&amp;H370&amp;" "&amp;I370&amp;" "&amp;J370)</f>
        <v/>
      </c>
      <c r="W370" s="216">
        <f>IF(AND('TRA CỨU TỔNG HỢP'!$B$3&lt;&gt;"",ISNUMBER(SEARCH('TRA CỨU TỔNG HỢP'!$B$3,V370))),MAX($W$3:W369)+1,"")</f>
        <v/>
      </c>
    </row>
    <row r="371" ht="15" customHeight="1" s="217">
      <c r="A371" s="347" t="inlineStr">
        <is>
          <t xml:space="preserve">  └─ HYUNDAI</t>
        </is>
      </c>
      <c r="B371" s="348" t="inlineStr">
        <is>
          <t>HH078866</t>
        </is>
      </c>
      <c r="C371" s="349" t="inlineStr">
        <is>
          <t>Garrett</t>
        </is>
      </c>
      <c r="D371" s="349" t="inlineStr">
        <is>
          <t>GT3271</t>
        </is>
      </c>
      <c r="E371" s="349" t="inlineStr">
        <is>
          <t>D6DA</t>
        </is>
      </c>
      <c r="F371" s="350" t="inlineStr">
        <is>
          <t xml:space="preserve">28230-8Y000
28230-8Y010
716677-5001S/716677-0001 | 716677-1 | 716677-5001 |  282308Y000 | 716677-0002 | 716677-2 | 716677-5002S | 716677-5002 | </t>
        </is>
      </c>
      <c r="G371" s="349" t="n"/>
      <c r="H371" s="349" t="inlineStr">
        <is>
          <t>HD120 5 Ton /HD270 D6DA</t>
        </is>
      </c>
      <c r="I371" s="349" t="n"/>
      <c r="J371" s="351" t="inlineStr">
        <is>
          <t>SL</t>
        </is>
      </c>
      <c r="K371" s="352" t="n"/>
      <c r="L371" s="352" t="n"/>
      <c r="M371" s="352" t="n"/>
      <c r="N371" s="352">
        <f>IF(M371="","",M371*1.1)</f>
        <v/>
      </c>
      <c r="O371" s="353" t="n">
        <v>71</v>
      </c>
      <c r="P371" s="353" t="n">
        <v>51.2</v>
      </c>
      <c r="Q371" s="353" t="inlineStr">
        <is>
          <t>6/6</t>
        </is>
      </c>
      <c r="R371" s="353" t="n">
        <v>64.40000000000001</v>
      </c>
      <c r="S371" s="353" t="n">
        <v>54.6</v>
      </c>
      <c r="T371" s="353" t="n">
        <v>10</v>
      </c>
      <c r="V371" s="346">
        <f>UPPER(A371&amp;" "&amp;B371&amp;" "&amp;D371&amp;" "&amp;E371&amp;" "&amp;F371&amp;" "&amp;G371&amp;" "&amp;H371&amp;" "&amp;I371&amp;" "&amp;J371)</f>
        <v/>
      </c>
      <c r="W371" s="216">
        <f>IF(AND('TRA CỨU TỔNG HỢP'!$B$3&lt;&gt;"",ISNUMBER(SEARCH('TRA CỨU TỔNG HỢP'!$B$3,V371))),MAX($W$3:W370)+1,"")</f>
        <v/>
      </c>
    </row>
    <row r="372" ht="15" customHeight="1" s="217">
      <c r="A372" s="347" t="inlineStr">
        <is>
          <t xml:space="preserve">  └─ HYUNDAI</t>
        </is>
      </c>
      <c r="B372" s="348" t="inlineStr">
        <is>
          <t>HH081585</t>
        </is>
      </c>
      <c r="C372" s="349" t="inlineStr">
        <is>
          <t>Garrett</t>
        </is>
      </c>
      <c r="D372" s="349" t="inlineStr">
        <is>
          <t>GT3271</t>
        </is>
      </c>
      <c r="E372" s="349" t="inlineStr">
        <is>
          <t>D6DA</t>
        </is>
      </c>
      <c r="F372" s="350" t="inlineStr">
        <is>
          <t xml:space="preserve">28230-8Y000
28230-8Y010
716677-5001S/716677-0001 | 716677-1 | 716677-5001 |  282308Y000 | 716677-0002 | 716677-2 | 716677-5002S | 716677-5002 | </t>
        </is>
      </c>
      <c r="G372" s="349" t="n"/>
      <c r="H372" s="349" t="inlineStr">
        <is>
          <t>HD120 5 Ton /HD270 D6DA</t>
        </is>
      </c>
      <c r="I372" s="349" t="n"/>
      <c r="J372" s="351" t="inlineStr">
        <is>
          <t>SL</t>
        </is>
      </c>
      <c r="K372" s="352" t="n"/>
      <c r="L372" s="352" t="n"/>
      <c r="M372" s="352" t="n"/>
      <c r="N372" s="352">
        <f>IF(M372="","",M372*1.1)</f>
        <v/>
      </c>
      <c r="O372" s="353" t="n">
        <v>71</v>
      </c>
      <c r="P372" s="353" t="n">
        <v>51.2</v>
      </c>
      <c r="Q372" s="353" t="inlineStr">
        <is>
          <t>6/6</t>
        </is>
      </c>
      <c r="R372" s="353" t="n">
        <v>64.40000000000001</v>
      </c>
      <c r="S372" s="353" t="n">
        <v>54.6</v>
      </c>
      <c r="T372" s="353" t="n">
        <v>10</v>
      </c>
      <c r="V372" s="346">
        <f>UPPER(A372&amp;" "&amp;B372&amp;" "&amp;D372&amp;" "&amp;E372&amp;" "&amp;F372&amp;" "&amp;G372&amp;" "&amp;H372&amp;" "&amp;I372&amp;" "&amp;J372)</f>
        <v/>
      </c>
      <c r="W372" s="216">
        <f>IF(AND('TRA CỨU TỔNG HỢP'!$B$3&lt;&gt;"",ISNUMBER(SEARCH('TRA CỨU TỔNG HỢP'!$B$3,V372))),MAX($W$3:W371)+1,"")</f>
        <v/>
      </c>
    </row>
    <row r="373" ht="15" customHeight="1" s="217">
      <c r="A373" s="354" t="inlineStr">
        <is>
          <t>HYUNDAI</t>
        </is>
      </c>
      <c r="B373" s="355" t="inlineStr">
        <is>
          <t>HH082235</t>
        </is>
      </c>
      <c r="C373" s="354" t="inlineStr">
        <is>
          <t>Garrett</t>
        </is>
      </c>
      <c r="D373" s="354" t="inlineStr">
        <is>
          <t>TBP4</t>
        </is>
      </c>
      <c r="E373" s="354" t="inlineStr">
        <is>
          <t>D6DB</t>
        </is>
      </c>
      <c r="F373" s="356" t="inlineStr">
        <is>
          <t>28230-87000</t>
        </is>
      </c>
      <c r="G373" s="354" t="n"/>
      <c r="H373" s="354" t="n"/>
      <c r="I373" s="354" t="n"/>
      <c r="J373" s="357" t="inlineStr">
        <is>
          <t>SL</t>
        </is>
      </c>
      <c r="K373" s="358" t="n"/>
      <c r="L373" s="358" t="n"/>
      <c r="M373" s="358" t="n"/>
      <c r="N373" s="358">
        <f>IF(M373="","",M373*1.1)</f>
        <v/>
      </c>
      <c r="O373" s="359" t="n">
        <v>82</v>
      </c>
      <c r="P373" s="359" t="n">
        <v>52.6</v>
      </c>
      <c r="Q373" s="359" t="inlineStr">
        <is>
          <t>6/6</t>
        </is>
      </c>
      <c r="R373" s="359" t="n">
        <v>74.2</v>
      </c>
      <c r="S373" s="359" t="n">
        <v>58.5</v>
      </c>
      <c r="T373" s="359" t="n">
        <v>11</v>
      </c>
      <c r="V373" s="216">
        <f>UPPER(A373&amp;" "&amp;B373&amp;" "&amp;D373&amp;" "&amp;E373&amp;" "&amp;F373&amp;" "&amp;G373&amp;" "&amp;H373&amp;" "&amp;I373&amp;" "&amp;J373)</f>
        <v/>
      </c>
      <c r="W373" s="216">
        <f>IF(AND('TRA CỨU TỔNG HỢP'!$B$3&lt;&gt;"",ISNUMBER(SEARCH('TRA CỨU TỔNG HỢP'!$B$3,V373))),MAX($W$3:W372)+1,"")</f>
        <v/>
      </c>
    </row>
    <row r="374" ht="15" customHeight="1" s="217">
      <c r="A374" s="367" t="inlineStr">
        <is>
          <t>HYUNDAI</t>
        </is>
      </c>
      <c r="B374" s="368" t="n"/>
      <c r="C374" s="367" t="inlineStr">
        <is>
          <t>Mitsubishi</t>
        </is>
      </c>
      <c r="D374" s="367" t="inlineStr">
        <is>
          <t>TD05H-12G</t>
        </is>
      </c>
      <c r="E374" s="367" t="inlineStr">
        <is>
          <t>4D34T/D4DD</t>
        </is>
      </c>
      <c r="F374" s="369" t="inlineStr">
        <is>
          <t>28230-45500</t>
        </is>
      </c>
      <c r="G374" s="367" t="n"/>
      <c r="H374" s="367" t="inlineStr">
        <is>
          <t>County/HD65</t>
        </is>
      </c>
      <c r="I374" s="367" t="n"/>
      <c r="J374" s="370" t="n"/>
      <c r="K374" s="371" t="n"/>
      <c r="L374" s="371" t="n"/>
      <c r="M374" s="371" t="n"/>
      <c r="N374" s="371" t="n"/>
      <c r="O374" s="372" t="n">
        <v>60</v>
      </c>
      <c r="P374" s="372" t="n">
        <v>42.5</v>
      </c>
      <c r="Q374" s="372" t="inlineStr">
        <is>
          <t>6/6</t>
        </is>
      </c>
      <c r="R374" s="372" t="n">
        <v>56</v>
      </c>
      <c r="S374" s="372" t="n">
        <v>49</v>
      </c>
      <c r="T374" s="372" t="n">
        <v>12</v>
      </c>
      <c r="V374" s="216">
        <f>UPPER(A374&amp;" "&amp;B374&amp;" "&amp;D374&amp;" "&amp;E374&amp;" "&amp;F374&amp;" "&amp;G374&amp;" "&amp;H374&amp;" "&amp;I374&amp;" "&amp;J374)</f>
        <v/>
      </c>
      <c r="W374" s="216">
        <f>IF(AND('TRA CỨU TỔNG HỢP'!$B$3&lt;&gt;"",ISNUMBER(SEARCH('TRA CỨU TỔNG HỢP'!$B$3,V374))),MAX($W$3:W373)+1,"")</f>
        <v/>
      </c>
    </row>
    <row r="375" ht="15" customHeight="1" s="217">
      <c r="A375" s="340" t="inlineStr">
        <is>
          <t>HYUNDAI</t>
        </is>
      </c>
      <c r="B375" s="341" t="inlineStr">
        <is>
          <t>HH071946</t>
        </is>
      </c>
      <c r="C375" s="340" t="inlineStr">
        <is>
          <t>Mitsubishi</t>
        </is>
      </c>
      <c r="D375" s="340" t="inlineStr">
        <is>
          <t>TD05H-14G</t>
        </is>
      </c>
      <c r="E375" s="340" t="inlineStr">
        <is>
          <t>4D34T/D4DA/D4DB</t>
        </is>
      </c>
      <c r="F375" s="342" t="inlineStr">
        <is>
          <t>28230-45100/28230-45500
49178-03123/-03122
03123/02190/02123/02150
02155/02170/02325
02340/02345/02385/02386
-02391/01700/49378-01710
49178-02130/02135/4-02136/02315
49178-02335/49178-02336/49178-02386/ME014881, 49178-02385,49178023886</t>
        </is>
      </c>
      <c r="G375" s="340" t="inlineStr">
        <is>
          <t>cánh gió 44.5</t>
        </is>
      </c>
      <c r="H375" s="340" t="inlineStr">
        <is>
          <t>Mighty II / HD65/HD72 /COUTY</t>
        </is>
      </c>
      <c r="I375" s="340" t="n"/>
      <c r="J375" s="343" t="inlineStr">
        <is>
          <t>SL</t>
        </is>
      </c>
      <c r="K375" s="344" t="n"/>
      <c r="L375" s="344" t="n"/>
      <c r="M375" s="344" t="n"/>
      <c r="N375" s="344">
        <f>IF(M375="","",M375*1.1)</f>
        <v/>
      </c>
      <c r="O375" s="345" t="n">
        <v>60</v>
      </c>
      <c r="P375" s="345" t="n">
        <v>44.5</v>
      </c>
      <c r="Q375" s="345" t="inlineStr">
        <is>
          <t>6/6</t>
        </is>
      </c>
      <c r="R375" s="345" t="n">
        <v>56</v>
      </c>
      <c r="S375" s="345" t="n">
        <v>49</v>
      </c>
      <c r="T375" s="345" t="n">
        <v>12</v>
      </c>
      <c r="V375" s="346">
        <f>UPPER(A375&amp;" "&amp;B375&amp;" "&amp;D375&amp;" "&amp;E375&amp;" "&amp;F375&amp;" "&amp;G375&amp;" "&amp;H375&amp;" "&amp;I375&amp;" "&amp;J375)</f>
        <v/>
      </c>
      <c r="W375" s="216">
        <f>IF(AND('TRA CỨU TỔNG HỢP'!$B$3&lt;&gt;"",ISNUMBER(SEARCH('TRA CỨU TỔNG HỢP'!$B$3,V375))),MAX($W$3:W374)+1,"")</f>
        <v/>
      </c>
    </row>
    <row r="376" ht="15" customHeight="1" s="217">
      <c r="A376" s="347" t="inlineStr">
        <is>
          <t xml:space="preserve">  └─ HYUNDAI</t>
        </is>
      </c>
      <c r="B376" s="348" t="inlineStr">
        <is>
          <t>HH079683</t>
        </is>
      </c>
      <c r="C376" s="349" t="inlineStr">
        <is>
          <t>Mitsubishi</t>
        </is>
      </c>
      <c r="D376" s="349" t="inlineStr">
        <is>
          <t>TD05H-14G</t>
        </is>
      </c>
      <c r="E376" s="349" t="inlineStr">
        <is>
          <t>4D34T/D4DA/D4DB</t>
        </is>
      </c>
      <c r="F376" s="350" t="inlineStr">
        <is>
          <t>28230-45100/28230-45500
49178-03123/-03122
03123/02190/02123/02150
02155/02170/02325
02340/02345/02385/02386
-02391/01700/49378-01710
49178-02130/02135/4-02136/02315
49178-02335/49178-02336/49178-02386/ME014881, 49178-02385,49178023886</t>
        </is>
      </c>
      <c r="G376" s="349" t="inlineStr">
        <is>
          <t>cánh gió 44.5</t>
        </is>
      </c>
      <c r="H376" s="349" t="inlineStr">
        <is>
          <t>Mighty II / HD65/HD72 /COUTY</t>
        </is>
      </c>
      <c r="I376" s="349" t="n"/>
      <c r="J376" s="351" t="inlineStr">
        <is>
          <t>SL</t>
        </is>
      </c>
      <c r="K376" s="352" t="n"/>
      <c r="L376" s="352" t="n"/>
      <c r="M376" s="352" t="n"/>
      <c r="N376" s="352">
        <f>IF(M376="","",M376*1.1)</f>
        <v/>
      </c>
      <c r="O376" s="353" t="n">
        <v>60</v>
      </c>
      <c r="P376" s="353" t="n">
        <v>44.5</v>
      </c>
      <c r="Q376" s="353" t="inlineStr">
        <is>
          <t>6/6</t>
        </is>
      </c>
      <c r="R376" s="353" t="n">
        <v>56</v>
      </c>
      <c r="S376" s="353" t="n">
        <v>49</v>
      </c>
      <c r="T376" s="353" t="n">
        <v>12</v>
      </c>
      <c r="V376" s="346">
        <f>UPPER(A376&amp;" "&amp;B376&amp;" "&amp;D376&amp;" "&amp;E376&amp;" "&amp;F376&amp;" "&amp;G376&amp;" "&amp;H376&amp;" "&amp;I376&amp;" "&amp;J376)</f>
        <v/>
      </c>
      <c r="W376" s="216">
        <f>IF(AND('TRA CỨU TỔNG HỢP'!$B$3&lt;&gt;"",ISNUMBER(SEARCH('TRA CỨU TỔNG HỢP'!$B$3,V376))),MAX($W$3:W375)+1,"")</f>
        <v/>
      </c>
    </row>
    <row r="377" ht="15" customHeight="1" s="217">
      <c r="A377" s="347" t="inlineStr">
        <is>
          <t xml:space="preserve">  └─ HYUNDAI</t>
        </is>
      </c>
      <c r="B377" s="348" t="inlineStr">
        <is>
          <t>HH079994</t>
        </is>
      </c>
      <c r="C377" s="349" t="inlineStr">
        <is>
          <t>Mitsubishi</t>
        </is>
      </c>
      <c r="D377" s="349" t="inlineStr">
        <is>
          <t>TD05H-14G</t>
        </is>
      </c>
      <c r="E377" s="349" t="inlineStr">
        <is>
          <t>4D34T/D4DA/D4DB</t>
        </is>
      </c>
      <c r="F377" s="350" t="inlineStr">
        <is>
          <t>28230-45100/28230-45500
49178-03123/-03122
03123/02190/02123/02150
02155/02170/02325
02340/02345/02385/02386
-02391/01700/49378-01710
49178-02130/02135/4-02136/02315
49178-02335/49178-02336/49178-02386/ME014881, 49178-02385,49178023886</t>
        </is>
      </c>
      <c r="G377" s="349" t="inlineStr">
        <is>
          <t>cánh gió 44.5</t>
        </is>
      </c>
      <c r="H377" s="349" t="inlineStr">
        <is>
          <t>Mighty II / HD65/HD72 /COUTY</t>
        </is>
      </c>
      <c r="I377" s="349" t="n"/>
      <c r="J377" s="351" t="inlineStr">
        <is>
          <t>SL</t>
        </is>
      </c>
      <c r="K377" s="352" t="n"/>
      <c r="L377" s="352" t="n"/>
      <c r="M377" s="352" t="n"/>
      <c r="N377" s="352">
        <f>IF(M377="","",M377*1.1)</f>
        <v/>
      </c>
      <c r="O377" s="353" t="n">
        <v>60</v>
      </c>
      <c r="P377" s="353" t="n">
        <v>44.5</v>
      </c>
      <c r="Q377" s="353" t="inlineStr">
        <is>
          <t>6/6</t>
        </is>
      </c>
      <c r="R377" s="353" t="n">
        <v>56</v>
      </c>
      <c r="S377" s="353" t="n">
        <v>49</v>
      </c>
      <c r="T377" s="353" t="n">
        <v>12</v>
      </c>
      <c r="V377" s="346">
        <f>UPPER(A377&amp;" "&amp;B377&amp;" "&amp;D377&amp;" "&amp;E377&amp;" "&amp;F377&amp;" "&amp;G377&amp;" "&amp;H377&amp;" "&amp;I377&amp;" "&amp;J377)</f>
        <v/>
      </c>
      <c r="W377" s="216">
        <f>IF(AND('TRA CỨU TỔNG HỢP'!$B$3&lt;&gt;"",ISNUMBER(SEARCH('TRA CỨU TỔNG HỢP'!$B$3,V377))),MAX($W$3:W376)+1,"")</f>
        <v/>
      </c>
    </row>
    <row r="378" ht="15" customHeight="1" s="217">
      <c r="A378" s="354" t="inlineStr">
        <is>
          <t>HYUNDAI</t>
        </is>
      </c>
      <c r="B378" s="355" t="inlineStr">
        <is>
          <t>HH083875</t>
        </is>
      </c>
      <c r="C378" s="354" t="inlineStr">
        <is>
          <t>Mitsubishi</t>
        </is>
      </c>
      <c r="D378" s="354" t="inlineStr">
        <is>
          <t>TD05H-14G-6</t>
        </is>
      </c>
      <c r="E378" s="354" t="inlineStr">
        <is>
          <t>D4DA/ D4DD/4D34T4 | D4DA | 4D34TI</t>
        </is>
      </c>
      <c r="F378" s="356" t="inlineStr">
        <is>
          <t>28230-45000/49178-03140 | 4917803140 | 49178-03128 | 4917803128 | 49178-03122 | 4917803122 | 2823045000</t>
        </is>
      </c>
      <c r="G378" s="354" t="n"/>
      <c r="H378" s="354" t="n"/>
      <c r="I378" s="354" t="n"/>
      <c r="J378" s="357" t="inlineStr">
        <is>
          <t>TBS</t>
        </is>
      </c>
      <c r="K378" s="358" t="n"/>
      <c r="L378" s="358" t="n"/>
      <c r="M378" s="358" t="n"/>
      <c r="N378" s="358">
        <f>IF(M378="","",M378*1.1)</f>
        <v/>
      </c>
      <c r="O378" s="359" t="n">
        <v>60</v>
      </c>
      <c r="P378" s="359" t="n">
        <v>44.5</v>
      </c>
      <c r="Q378" s="359" t="inlineStr">
        <is>
          <t>6/6</t>
        </is>
      </c>
      <c r="R378" s="359" t="n">
        <v>56</v>
      </c>
      <c r="S378" s="359" t="n">
        <v>49</v>
      </c>
      <c r="T378" s="359" t="n">
        <v>12</v>
      </c>
      <c r="V378" s="216">
        <f>UPPER(A378&amp;" "&amp;B378&amp;" "&amp;D378&amp;" "&amp;E378&amp;" "&amp;F378&amp;" "&amp;G378&amp;" "&amp;H378&amp;" "&amp;I378&amp;" "&amp;J378)</f>
        <v/>
      </c>
      <c r="W378" s="216">
        <f>IF(AND('TRA CỨU TỔNG HỢP'!$B$3&lt;&gt;"",ISNUMBER(SEARCH('TRA CỨU TỔNG HỢP'!$B$3,V378))),MAX($W$3:W377)+1,"")</f>
        <v/>
      </c>
    </row>
    <row r="379" ht="15" customHeight="1" s="217">
      <c r="A379" s="354" t="inlineStr">
        <is>
          <t>HYUNDAI</t>
        </is>
      </c>
      <c r="B379" s="355" t="inlineStr">
        <is>
          <t>HH083396</t>
        </is>
      </c>
      <c r="C379" s="354" t="inlineStr">
        <is>
          <t>Garrett</t>
        </is>
      </c>
      <c r="D379" s="354" t="inlineStr">
        <is>
          <t>GTB1752VLK</t>
        </is>
      </c>
      <c r="E379" s="354" t="n"/>
      <c r="F379" s="356" t="inlineStr">
        <is>
          <t>28231-2F100
780502-5001S
282312F100</t>
        </is>
      </c>
      <c r="G379" s="354" t="inlineStr">
        <is>
          <t>điều tốc điện</t>
        </is>
      </c>
      <c r="H379" s="354" t="inlineStr">
        <is>
          <t>(Sedona, Sorento 2.2) G430S - EE</t>
        </is>
      </c>
      <c r="I379" s="354" t="n"/>
      <c r="J379" s="357" t="inlineStr">
        <is>
          <t>EE</t>
        </is>
      </c>
      <c r="K379" s="358" t="n"/>
      <c r="L379" s="358" t="n"/>
      <c r="M379" s="358" t="n"/>
      <c r="N379" s="358">
        <f>IF(M379="","",M379*1.1)</f>
        <v/>
      </c>
      <c r="O379" s="359" t="n">
        <v>52.4</v>
      </c>
      <c r="P379" s="359" t="n">
        <v>38.6</v>
      </c>
      <c r="Q379" s="359" t="inlineStr">
        <is>
          <t>9</t>
        </is>
      </c>
      <c r="R379" s="359" t="n">
        <v>43</v>
      </c>
      <c r="S379" s="359" t="n">
        <v>39.6</v>
      </c>
      <c r="T379" s="359" t="n">
        <v>9</v>
      </c>
      <c r="V379" s="346">
        <f>UPPER(A379&amp;" "&amp;B379&amp;" "&amp;D379&amp;" "&amp;E379&amp;" "&amp;F379&amp;" "&amp;G379&amp;" "&amp;H379&amp;" "&amp;I379&amp;" "&amp;J379)</f>
        <v/>
      </c>
      <c r="W379" s="216">
        <f>IF(AND('TRA CỨU TỔNG HỢP'!$B$3&lt;&gt;"",ISNUMBER(SEARCH('TRA CỨU TỔNG HỢP'!$B$3,V379))),MAX($W$3:W378)+1,"")</f>
        <v/>
      </c>
    </row>
    <row r="380" ht="15" customHeight="1" s="217">
      <c r="A380" s="367" t="inlineStr">
        <is>
          <t>HYUNDAI</t>
        </is>
      </c>
      <c r="B380" s="368" t="n"/>
      <c r="C380" s="367" t="inlineStr">
        <is>
          <t>BorgWarner</t>
        </is>
      </c>
      <c r="D380" s="367" t="inlineStr">
        <is>
          <t>BV43</t>
        </is>
      </c>
      <c r="E380" s="367" t="inlineStr">
        <is>
          <t>D4HB 2.2L</t>
        </is>
      </c>
      <c r="F380" s="369" t="inlineStr">
        <is>
          <t>28231-2F650
53039880430
5303-970-0430</t>
        </is>
      </c>
      <c r="G380" s="367" t="n"/>
      <c r="H380" s="367" t="inlineStr">
        <is>
          <t>Santafe 2016 /Kia Sorento 2.2CRDI</t>
        </is>
      </c>
      <c r="I380" s="367" t="n"/>
      <c r="J380" s="370" t="n"/>
      <c r="K380" s="371" t="n"/>
      <c r="L380" s="371" t="n"/>
      <c r="M380" s="371" t="n"/>
      <c r="N380" s="371" t="n"/>
      <c r="O380" s="372" t="n">
        <v>53</v>
      </c>
      <c r="P380" s="372" t="n">
        <v>37.9</v>
      </c>
      <c r="Q380" s="372" t="inlineStr">
        <is>
          <t>6/6</t>
        </is>
      </c>
      <c r="R380" s="372" t="n">
        <v>42.5</v>
      </c>
      <c r="S380" s="372" t="n">
        <v>39.1</v>
      </c>
      <c r="T380" s="372" t="n">
        <v>9</v>
      </c>
      <c r="V380" s="346">
        <f>UPPER(A380&amp;" "&amp;B380&amp;" "&amp;D380&amp;" "&amp;E380&amp;" "&amp;F380&amp;" "&amp;G380&amp;" "&amp;H380&amp;" "&amp;I380&amp;" "&amp;J380)</f>
        <v/>
      </c>
      <c r="W380" s="216">
        <f>IF(AND('TRA CỨU TỔNG HỢP'!$B$3&lt;&gt;"",ISNUMBER(SEARCH('TRA CỨU TỔNG HỢP'!$B$3,V380))),MAX($W$3:W379)+1,"")</f>
        <v/>
      </c>
    </row>
    <row r="381" ht="15" customHeight="1" s="217">
      <c r="A381" s="354" t="inlineStr">
        <is>
          <t>HYUNDAI</t>
        </is>
      </c>
      <c r="B381" s="355" t="inlineStr">
        <is>
          <t>HH082143</t>
        </is>
      </c>
      <c r="C381" s="354" t="inlineStr">
        <is>
          <t>IHI</t>
        </is>
      </c>
      <c r="D381" s="354" t="inlineStr">
        <is>
          <t>RHF5</t>
        </is>
      </c>
      <c r="E381" s="354" t="n"/>
      <c r="F381" s="356" t="inlineStr">
        <is>
          <t>28200-4X300/VR12A VR15 VA430036 KHF5-1A
OK55113700/OK59A13700</t>
        </is>
      </c>
      <c r="G381" s="354" t="n"/>
      <c r="H381" s="354" t="inlineStr">
        <is>
          <t>Kia 2.9TDI/ Carnival</t>
        </is>
      </c>
      <c r="I381" s="354" t="n"/>
      <c r="J381" s="357" t="inlineStr">
        <is>
          <t>SL</t>
        </is>
      </c>
      <c r="K381" s="358" t="n"/>
      <c r="L381" s="358" t="n"/>
      <c r="M381" s="358" t="n"/>
      <c r="N381" s="358">
        <f>IF(M381="","",M381*1.1)</f>
        <v/>
      </c>
      <c r="O381" s="359" t="n">
        <v>52.5</v>
      </c>
      <c r="P381" s="359" t="n">
        <v>39.2</v>
      </c>
      <c r="Q381" s="359" t="inlineStr">
        <is>
          <t>6/6</t>
        </is>
      </c>
      <c r="R381" s="359" t="n">
        <v>44.4</v>
      </c>
      <c r="S381" s="359" t="n">
        <v>37.6</v>
      </c>
      <c r="T381" s="359" t="n">
        <v>8</v>
      </c>
      <c r="V381" s="346">
        <f>UPPER(A381&amp;" "&amp;B381&amp;" "&amp;D381&amp;" "&amp;E381&amp;" "&amp;F381&amp;" "&amp;G381&amp;" "&amp;H381&amp;" "&amp;I381&amp;" "&amp;J381)</f>
        <v/>
      </c>
      <c r="W381" s="216">
        <f>IF(AND('TRA CỨU TỔNG HỢP'!$B$3&lt;&gt;"",ISNUMBER(SEARCH('TRA CỨU TỔNG HỢP'!$B$3,V381))),MAX($W$3:W380)+1,"")</f>
        <v/>
      </c>
    </row>
    <row r="382" ht="15" customHeight="1" s="217">
      <c r="A382" s="340" t="inlineStr">
        <is>
          <t>HYUNDAI</t>
        </is>
      </c>
      <c r="B382" s="341" t="inlineStr">
        <is>
          <t>HH083835</t>
        </is>
      </c>
      <c r="C382" s="340" t="inlineStr">
        <is>
          <t>Garrett</t>
        </is>
      </c>
      <c r="D382" s="340" t="inlineStr">
        <is>
          <t>GTB1449V</t>
        </is>
      </c>
      <c r="E382" s="340" t="inlineStr">
        <is>
          <t>D4CB</t>
        </is>
      </c>
      <c r="F382" s="342" t="inlineStr">
        <is>
          <t>28231-4A600
28231-4A610
823665-0001
282314A600
282314A610
823665-0009</t>
        </is>
      </c>
      <c r="G382" s="340" t="inlineStr">
        <is>
          <t>điều tốc điện</t>
        </is>
      </c>
      <c r="H382" s="373" t="inlineStr">
        <is>
          <t>Hyundai 
SOLATY</t>
        </is>
      </c>
      <c r="I382" s="340" t="n"/>
      <c r="J382" s="343" t="inlineStr">
        <is>
          <t>EE</t>
        </is>
      </c>
      <c r="K382" s="344" t="n"/>
      <c r="L382" s="344" t="n"/>
      <c r="M382" s="344" t="n"/>
      <c r="N382" s="344">
        <f>IF(M382="","",M382*1.1)</f>
        <v/>
      </c>
      <c r="O382" s="345" t="n"/>
      <c r="P382" s="345" t="n"/>
      <c r="Q382" s="345" t="n"/>
      <c r="R382" s="345" t="n"/>
      <c r="S382" s="345" t="n"/>
      <c r="T382" s="345" t="n"/>
      <c r="V382" s="346">
        <f>UPPER(A382&amp;" "&amp;B382&amp;" "&amp;D382&amp;" "&amp;E382&amp;" "&amp;F382&amp;" "&amp;G382&amp;" "&amp;H382&amp;" "&amp;I382&amp;" "&amp;J382)</f>
        <v/>
      </c>
      <c r="W382" s="216">
        <f>IF(AND('TRA CỨU TỔNG HỢP'!$B$3&lt;&gt;"",ISNUMBER(SEARCH('TRA CỨU TỔNG HỢP'!$B$3,V382))),MAX($W$3:W381)+1,"")</f>
        <v/>
      </c>
    </row>
    <row r="383" ht="15" customHeight="1" s="217">
      <c r="A383" s="347" t="inlineStr">
        <is>
          <t xml:space="preserve">  └─ HYUNDAI</t>
        </is>
      </c>
      <c r="B383" s="348" t="inlineStr">
        <is>
          <t>HH079179</t>
        </is>
      </c>
      <c r="C383" s="349" t="inlineStr">
        <is>
          <t>Garrett</t>
        </is>
      </c>
      <c r="D383" s="349" t="inlineStr">
        <is>
          <t>GTB1449V</t>
        </is>
      </c>
      <c r="E383" s="349" t="inlineStr">
        <is>
          <t>D4CB</t>
        </is>
      </c>
      <c r="F383" s="350" t="inlineStr">
        <is>
          <t>28231-4A600
28231-4A610
823665-0001
282314A600
282314A610
823665-0009</t>
        </is>
      </c>
      <c r="G383" s="349" t="inlineStr">
        <is>
          <t>điều tốc điện</t>
        </is>
      </c>
      <c r="H383" s="374" t="inlineStr">
        <is>
          <t>Hyundai 
SOLATY</t>
        </is>
      </c>
      <c r="I383" s="349" t="n"/>
      <c r="J383" s="351" t="n"/>
      <c r="K383" s="352" t="n"/>
      <c r="L383" s="352" t="n"/>
      <c r="M383" s="352" t="n"/>
      <c r="N383" s="352">
        <f>IF(M383="","",M383*1.1)</f>
        <v/>
      </c>
      <c r="O383" s="353" t="n"/>
      <c r="P383" s="353" t="n"/>
      <c r="Q383" s="353" t="n"/>
      <c r="R383" s="353" t="n"/>
      <c r="S383" s="353" t="n"/>
      <c r="T383" s="353" t="n"/>
      <c r="V383" s="346">
        <f>UPPER(A383&amp;" "&amp;B383&amp;" "&amp;D383&amp;" "&amp;E383&amp;" "&amp;F383&amp;" "&amp;G383&amp;" "&amp;H383&amp;" "&amp;I383&amp;" "&amp;J383)</f>
        <v/>
      </c>
      <c r="W383" s="216">
        <f>IF(AND('TRA CỨU TỔNG HỢP'!$B$3&lt;&gt;"",ISNUMBER(SEARCH('TRA CỨU TỔNG HỢP'!$B$3,V383))),MAX($W$3:W382)+1,"")</f>
        <v/>
      </c>
    </row>
    <row r="384" ht="15" customHeight="1" s="217">
      <c r="A384" s="340" t="inlineStr">
        <is>
          <t>HYUNDAI</t>
        </is>
      </c>
      <c r="B384" s="341" t="inlineStr">
        <is>
          <t>HH079360</t>
        </is>
      </c>
      <c r="C384" s="340" t="inlineStr">
        <is>
          <t>Garrett</t>
        </is>
      </c>
      <c r="D384" s="340" t="inlineStr">
        <is>
          <t>GT1749S</t>
        </is>
      </c>
      <c r="E384" s="340" t="inlineStr">
        <is>
          <t>D4AL</t>
        </is>
      </c>
      <c r="F384" s="342" t="inlineStr">
        <is>
          <t>28230-41730</t>
        </is>
      </c>
      <c r="G384" s="340" t="inlineStr">
        <is>
          <t>Có đường làm mát nước</t>
        </is>
      </c>
      <c r="H384" s="340" t="inlineStr">
        <is>
          <t>MIGHTY 2</t>
        </is>
      </c>
      <c r="I384" s="340" t="n"/>
      <c r="J384" s="343" t="inlineStr">
        <is>
          <t>SL</t>
        </is>
      </c>
      <c r="K384" s="344" t="n"/>
      <c r="L384" s="344" t="n"/>
      <c r="M384" s="344" t="n"/>
      <c r="N384" s="344">
        <f>IF(M384="","",M384*1.1)</f>
        <v/>
      </c>
      <c r="O384" s="345" t="n">
        <v>49</v>
      </c>
      <c r="P384" s="345" t="n">
        <v>38</v>
      </c>
      <c r="Q384" s="345" t="inlineStr">
        <is>
          <t>6/6</t>
        </is>
      </c>
      <c r="R384" s="345" t="n">
        <v>44.4</v>
      </c>
      <c r="S384" s="345" t="n">
        <v>37.6</v>
      </c>
      <c r="T384" s="345" t="inlineStr">
        <is>
          <t>9</t>
        </is>
      </c>
      <c r="V384" s="216">
        <f>UPPER(A384&amp;" "&amp;B384&amp;" "&amp;D384&amp;" "&amp;E384&amp;" "&amp;F384&amp;" "&amp;G384&amp;" "&amp;H384&amp;" "&amp;I384&amp;" "&amp;J384)</f>
        <v/>
      </c>
      <c r="W384" s="216">
        <f>IF(AND('TRA CỨU TỔNG HỢP'!$B$3&lt;&gt;"",ISNUMBER(SEARCH('TRA CỨU TỔNG HỢP'!$B$3,V384))),MAX($W$3:W383)+1,"")</f>
        <v/>
      </c>
    </row>
    <row r="385" ht="15" customHeight="1" s="217">
      <c r="A385" s="347" t="inlineStr">
        <is>
          <t xml:space="preserve">  └─ HYUNDAI</t>
        </is>
      </c>
      <c r="B385" s="348" t="inlineStr">
        <is>
          <t>HH074828</t>
        </is>
      </c>
      <c r="C385" s="349" t="inlineStr">
        <is>
          <t>Garrett</t>
        </is>
      </c>
      <c r="D385" s="349" t="inlineStr">
        <is>
          <t>GT1749S</t>
        </is>
      </c>
      <c r="E385" s="349" t="inlineStr">
        <is>
          <t>D4AL</t>
        </is>
      </c>
      <c r="F385" s="350" t="inlineStr">
        <is>
          <t>28230-41730</t>
        </is>
      </c>
      <c r="G385" s="349" t="inlineStr">
        <is>
          <t>Có đường làm mát nước</t>
        </is>
      </c>
      <c r="H385" s="349" t="inlineStr">
        <is>
          <t>MIGHTY 2</t>
        </is>
      </c>
      <c r="I385" s="349" t="n"/>
      <c r="J385" s="351" t="inlineStr">
        <is>
          <t>JRONE</t>
        </is>
      </c>
      <c r="K385" s="352" t="n"/>
      <c r="L385" s="352" t="n"/>
      <c r="M385" s="352" t="n"/>
      <c r="N385" s="352">
        <f>IF(M385="","",M385*1.1)</f>
        <v/>
      </c>
      <c r="O385" s="353" t="n">
        <v>49</v>
      </c>
      <c r="P385" s="353" t="n">
        <v>38</v>
      </c>
      <c r="Q385" s="353" t="inlineStr">
        <is>
          <t>6/6</t>
        </is>
      </c>
      <c r="R385" s="353" t="n">
        <v>44.4</v>
      </c>
      <c r="S385" s="353" t="n">
        <v>37.6</v>
      </c>
      <c r="T385" s="353" t="inlineStr">
        <is>
          <t>9</t>
        </is>
      </c>
      <c r="V385" s="216">
        <f>UPPER(A385&amp;" "&amp;B385&amp;" "&amp;D385&amp;" "&amp;E385&amp;" "&amp;F385&amp;" "&amp;G385&amp;" "&amp;H385&amp;" "&amp;I385&amp;" "&amp;J385)</f>
        <v/>
      </c>
      <c r="W385" s="216">
        <f>IF(AND('TRA CỨU TỔNG HỢP'!$B$3&lt;&gt;"",ISNUMBER(SEARCH('TRA CỨU TỔNG HỢP'!$B$3,V385))),MAX($W$3:W384)+1,"")</f>
        <v/>
      </c>
    </row>
    <row r="386" ht="15" customHeight="1" s="217">
      <c r="A386" s="347" t="inlineStr">
        <is>
          <t xml:space="preserve">  └─ HYUNDAI</t>
        </is>
      </c>
      <c r="B386" s="348" t="inlineStr">
        <is>
          <t>HH079967</t>
        </is>
      </c>
      <c r="C386" s="349" t="inlineStr">
        <is>
          <t>Garrett</t>
        </is>
      </c>
      <c r="D386" s="349" t="inlineStr">
        <is>
          <t>GT1749S</t>
        </is>
      </c>
      <c r="E386" s="349" t="inlineStr">
        <is>
          <t>D4AL</t>
        </is>
      </c>
      <c r="F386" s="350" t="inlineStr">
        <is>
          <t>28230-41730</t>
        </is>
      </c>
      <c r="G386" s="349" t="inlineStr">
        <is>
          <t>Có đường làm mát nước</t>
        </is>
      </c>
      <c r="H386" s="349" t="inlineStr">
        <is>
          <t>MIGHTY 2</t>
        </is>
      </c>
      <c r="I386" s="349" t="n"/>
      <c r="J386" s="351" t="inlineStr">
        <is>
          <t>SL</t>
        </is>
      </c>
      <c r="K386" s="352" t="n"/>
      <c r="L386" s="352" t="n"/>
      <c r="M386" s="352" t="n"/>
      <c r="N386" s="352">
        <f>IF(M386="","",M386*1.1)</f>
        <v/>
      </c>
      <c r="O386" s="353" t="n">
        <v>49</v>
      </c>
      <c r="P386" s="353" t="n">
        <v>38</v>
      </c>
      <c r="Q386" s="353" t="inlineStr">
        <is>
          <t>6/6</t>
        </is>
      </c>
      <c r="R386" s="353" t="n">
        <v>44.4</v>
      </c>
      <c r="S386" s="353" t="n">
        <v>37.6</v>
      </c>
      <c r="T386" s="353" t="inlineStr">
        <is>
          <t>9</t>
        </is>
      </c>
      <c r="V386" s="216">
        <f>UPPER(A386&amp;" "&amp;B386&amp;" "&amp;D386&amp;" "&amp;E386&amp;" "&amp;F386&amp;" "&amp;G386&amp;" "&amp;H386&amp;" "&amp;I386&amp;" "&amp;J386)</f>
        <v/>
      </c>
      <c r="W386" s="216">
        <f>IF(AND('TRA CỨU TỔNG HỢP'!$B$3&lt;&gt;"",ISNUMBER(SEARCH('TRA CỨU TỔNG HỢP'!$B$3,V386))),MAX($W$3:W385)+1,"")</f>
        <v/>
      </c>
    </row>
    <row r="387" ht="15" customHeight="1" s="217">
      <c r="A387" s="340" t="inlineStr">
        <is>
          <t>HYUNDAI</t>
        </is>
      </c>
      <c r="B387" s="341" t="inlineStr">
        <is>
          <t>HH075721</t>
        </is>
      </c>
      <c r="C387" s="340" t="inlineStr">
        <is>
          <t>Mitsubishi</t>
        </is>
      </c>
      <c r="D387" s="340" t="inlineStr">
        <is>
          <t>TD03L4</t>
        </is>
      </c>
      <c r="E387" s="340" t="inlineStr">
        <is>
          <t>D4CB</t>
        </is>
      </c>
      <c r="F387" s="342" t="inlineStr">
        <is>
          <t>28231-4A800/28231-4A850
28231-4A780/49590-45607
90130-01040/49131-03600
90120-01080/8M03-200-707</t>
        </is>
      </c>
      <c r="G387" s="340" t="inlineStr">
        <is>
          <t>Có chụp lỗ cánh gió</t>
        </is>
      </c>
      <c r="H387" s="340" t="inlineStr">
        <is>
          <t xml:space="preserve"> K200/PORTE2/K250/ N250/Bongo III</t>
        </is>
      </c>
      <c r="I387" s="340" t="n"/>
      <c r="J387" s="343" t="inlineStr">
        <is>
          <t>JRONE</t>
        </is>
      </c>
      <c r="K387" s="344" t="n"/>
      <c r="L387" s="344" t="n"/>
      <c r="M387" s="344" t="n"/>
      <c r="N387" s="344">
        <f>IF(M387="","",M387*1.1)</f>
        <v/>
      </c>
      <c r="O387" s="345" t="n">
        <v>46</v>
      </c>
      <c r="P387" s="345" t="n">
        <v>35.6</v>
      </c>
      <c r="Q387" s="345" t="inlineStr">
        <is>
          <t>6/6</t>
        </is>
      </c>
      <c r="R387" s="345" t="n">
        <v>40.2</v>
      </c>
      <c r="S387" s="345" t="n">
        <v>35.1</v>
      </c>
      <c r="T387" s="345" t="n">
        <v>11</v>
      </c>
      <c r="V387" s="346">
        <f>UPPER(A387&amp;" "&amp;B387&amp;" "&amp;D387&amp;" "&amp;E387&amp;" "&amp;F387&amp;" "&amp;G387&amp;" "&amp;H387&amp;" "&amp;I387&amp;" "&amp;J387)</f>
        <v/>
      </c>
      <c r="W387" s="216">
        <f>IF(AND('TRA CỨU TỔNG HỢP'!$B$3&lt;&gt;"",ISNUMBER(SEARCH('TRA CỨU TỔNG HỢP'!$B$3,V387))),MAX($W$3:W386)+1,"")</f>
        <v/>
      </c>
    </row>
    <row r="388" ht="15" customHeight="1" s="217">
      <c r="A388" s="347" t="inlineStr">
        <is>
          <t xml:space="preserve">  └─ HYUNDAI</t>
        </is>
      </c>
      <c r="B388" s="348" t="inlineStr">
        <is>
          <t>HH078404</t>
        </is>
      </c>
      <c r="C388" s="349" t="inlineStr">
        <is>
          <t>Mitsubishi</t>
        </is>
      </c>
      <c r="D388" s="349" t="inlineStr">
        <is>
          <t>TD03L4</t>
        </is>
      </c>
      <c r="E388" s="349" t="inlineStr">
        <is>
          <t>D4CB</t>
        </is>
      </c>
      <c r="F388" s="350" t="inlineStr">
        <is>
          <t>28231-4A800/28231-4A850
28231-4A780/49590-45607
90130-01040/49131-03600
90120-01080/8M03-200-707</t>
        </is>
      </c>
      <c r="G388" s="349" t="inlineStr">
        <is>
          <t>Có chụp lỗ cánh gió</t>
        </is>
      </c>
      <c r="H388" s="349" t="inlineStr">
        <is>
          <t xml:space="preserve"> K200/PORTE2/K250/ N250/Bongo III</t>
        </is>
      </c>
      <c r="I388" s="349" t="n"/>
      <c r="J388" s="351" t="inlineStr">
        <is>
          <t>SL</t>
        </is>
      </c>
      <c r="K388" s="352" t="n"/>
      <c r="L388" s="352" t="n"/>
      <c r="M388" s="352" t="n"/>
      <c r="N388" s="352">
        <f>IF(M388="","",M388*1.1)</f>
        <v/>
      </c>
      <c r="O388" s="353" t="n">
        <v>46</v>
      </c>
      <c r="P388" s="353" t="n">
        <v>35.6</v>
      </c>
      <c r="Q388" s="353" t="inlineStr">
        <is>
          <t>6/6</t>
        </is>
      </c>
      <c r="R388" s="353" t="n">
        <v>40.2</v>
      </c>
      <c r="S388" s="353" t="n">
        <v>35.1</v>
      </c>
      <c r="T388" s="353" t="n">
        <v>11</v>
      </c>
      <c r="V388" s="346">
        <f>UPPER(A388&amp;" "&amp;B388&amp;" "&amp;D388&amp;" "&amp;E388&amp;" "&amp;F388&amp;" "&amp;G388&amp;" "&amp;H388&amp;" "&amp;I388&amp;" "&amp;J388)</f>
        <v/>
      </c>
      <c r="W388" s="216">
        <f>IF(AND('TRA CỨU TỔNG HỢP'!$B$3&lt;&gt;"",ISNUMBER(SEARCH('TRA CỨU TỔNG HỢP'!$B$3,V388))),MAX($W$3:W387)+1,"")</f>
        <v/>
      </c>
    </row>
    <row r="389" ht="15" customHeight="1" s="217">
      <c r="A389" s="347" t="inlineStr">
        <is>
          <t xml:space="preserve">  └─ HYUNDAI</t>
        </is>
      </c>
      <c r="B389" s="348" t="inlineStr">
        <is>
          <t>HH079355</t>
        </is>
      </c>
      <c r="C389" s="349" t="inlineStr">
        <is>
          <t>Mitsubishi</t>
        </is>
      </c>
      <c r="D389" s="349" t="inlineStr">
        <is>
          <t>TD03L4</t>
        </is>
      </c>
      <c r="E389" s="349" t="inlineStr">
        <is>
          <t>D4CB</t>
        </is>
      </c>
      <c r="F389" s="350" t="inlineStr">
        <is>
          <t>28231-4A800/28231-4A850
28231-4A780/49590-45607
90130-01040/49131-03600
90120-01080/8M03-200-707</t>
        </is>
      </c>
      <c r="G389" s="349" t="inlineStr">
        <is>
          <t>Có chụp lỗ cánh gió</t>
        </is>
      </c>
      <c r="H389" s="349" t="inlineStr">
        <is>
          <t xml:space="preserve"> K200/PORTE2/K250/ N250/Bongo III</t>
        </is>
      </c>
      <c r="I389" s="349" t="n"/>
      <c r="J389" s="351" t="inlineStr">
        <is>
          <t>SL</t>
        </is>
      </c>
      <c r="K389" s="352" t="n"/>
      <c r="L389" s="352" t="n"/>
      <c r="M389" s="352" t="n"/>
      <c r="N389" s="352">
        <f>IF(M389="","",M389*1.1)</f>
        <v/>
      </c>
      <c r="O389" s="353" t="n">
        <v>46</v>
      </c>
      <c r="P389" s="353" t="n">
        <v>35.6</v>
      </c>
      <c r="Q389" s="353" t="inlineStr">
        <is>
          <t>6/6</t>
        </is>
      </c>
      <c r="R389" s="353" t="n">
        <v>40.2</v>
      </c>
      <c r="S389" s="353" t="n">
        <v>35.1</v>
      </c>
      <c r="T389" s="353" t="n">
        <v>11</v>
      </c>
      <c r="V389" s="346">
        <f>UPPER(A389&amp;" "&amp;B389&amp;" "&amp;D389&amp;" "&amp;E389&amp;" "&amp;F389&amp;" "&amp;G389&amp;" "&amp;H389&amp;" "&amp;I389&amp;" "&amp;J389)</f>
        <v/>
      </c>
      <c r="W389" s="216">
        <f>IF(AND('TRA CỨU TỔNG HỢP'!$B$3&lt;&gt;"",ISNUMBER(SEARCH('TRA CỨU TỔNG HỢP'!$B$3,V389))),MAX($W$3:W388)+1,"")</f>
        <v/>
      </c>
    </row>
    <row r="390" ht="15" customHeight="1" s="217">
      <c r="A390" s="347" t="inlineStr">
        <is>
          <t xml:space="preserve">  └─ HYUNDAI</t>
        </is>
      </c>
      <c r="B390" s="348" t="inlineStr">
        <is>
          <t>HH078867</t>
        </is>
      </c>
      <c r="C390" s="349" t="inlineStr">
        <is>
          <t>Mitsubishi</t>
        </is>
      </c>
      <c r="D390" s="349" t="inlineStr">
        <is>
          <t>TD03L4</t>
        </is>
      </c>
      <c r="E390" s="349" t="inlineStr">
        <is>
          <t>D4CB</t>
        </is>
      </c>
      <c r="F390" s="350" t="inlineStr">
        <is>
          <t>28231-4A800/28231-4A850
28231-4A780/49590-45607
90130-01040/49131-03600
90120-01080/8M03-200-707</t>
        </is>
      </c>
      <c r="G390" s="349" t="inlineStr">
        <is>
          <t>Có chụp lỗ cánh gió</t>
        </is>
      </c>
      <c r="H390" s="349" t="inlineStr">
        <is>
          <t xml:space="preserve"> K200/PORTE2/K250/ N250/Bongo III</t>
        </is>
      </c>
      <c r="I390" s="349" t="n"/>
      <c r="J390" s="351" t="inlineStr">
        <is>
          <t>SL</t>
        </is>
      </c>
      <c r="K390" s="352" t="n"/>
      <c r="L390" s="352" t="n"/>
      <c r="M390" s="352" t="n"/>
      <c r="N390" s="352">
        <f>IF(M390="","",M390*1.1)</f>
        <v/>
      </c>
      <c r="O390" s="353" t="n">
        <v>46</v>
      </c>
      <c r="P390" s="353" t="n">
        <v>35.6</v>
      </c>
      <c r="Q390" s="353" t="inlineStr">
        <is>
          <t>6/6</t>
        </is>
      </c>
      <c r="R390" s="353" t="n">
        <v>40.2</v>
      </c>
      <c r="S390" s="353" t="n">
        <v>35.1</v>
      </c>
      <c r="T390" s="353" t="n">
        <v>11</v>
      </c>
      <c r="V390" s="346">
        <f>UPPER(A390&amp;" "&amp;B390&amp;" "&amp;D390&amp;" "&amp;E390&amp;" "&amp;F390&amp;" "&amp;G390&amp;" "&amp;H390&amp;" "&amp;I390&amp;" "&amp;J390)</f>
        <v/>
      </c>
      <c r="W390" s="216">
        <f>IF(AND('TRA CỨU TỔNG HỢP'!$B$3&lt;&gt;"",ISNUMBER(SEARCH('TRA CỨU TỔNG HỢP'!$B$3,V390))),MAX($W$3:W389)+1,"")</f>
        <v/>
      </c>
    </row>
    <row r="391" ht="15" customHeight="1" s="217">
      <c r="A391" s="347" t="inlineStr">
        <is>
          <t xml:space="preserve">  └─ HYUNDAI</t>
        </is>
      </c>
      <c r="B391" s="348" t="inlineStr">
        <is>
          <t>HH082880</t>
        </is>
      </c>
      <c r="C391" s="349" t="inlineStr">
        <is>
          <t>Mitsubishi</t>
        </is>
      </c>
      <c r="D391" s="349" t="inlineStr">
        <is>
          <t>TD03L4</t>
        </is>
      </c>
      <c r="E391" s="349" t="inlineStr">
        <is>
          <t>D4CB</t>
        </is>
      </c>
      <c r="F391" s="350" t="inlineStr">
        <is>
          <t>28231-4A800/28231-4A850
28231-4A780/49590-45607
90130-01040/49131-03600
90120-01080/8M03-200-707</t>
        </is>
      </c>
      <c r="G391" s="349" t="inlineStr">
        <is>
          <t>Có chụp lỗ cánh gió</t>
        </is>
      </c>
      <c r="H391" s="349" t="inlineStr">
        <is>
          <t xml:space="preserve"> K200/PORTE2/K250/ N250/Bongo III</t>
        </is>
      </c>
      <c r="I391" s="349" t="n"/>
      <c r="J391" s="351" t="inlineStr">
        <is>
          <t>SL</t>
        </is>
      </c>
      <c r="K391" s="352" t="n"/>
      <c r="L391" s="352" t="n"/>
      <c r="M391" s="352" t="n"/>
      <c r="N391" s="352">
        <f>IF(M391="","",M391*1.1)</f>
        <v/>
      </c>
      <c r="O391" s="353" t="n">
        <v>46</v>
      </c>
      <c r="P391" s="353" t="n">
        <v>35.6</v>
      </c>
      <c r="Q391" s="353" t="inlineStr">
        <is>
          <t>6/6</t>
        </is>
      </c>
      <c r="R391" s="353" t="n">
        <v>40.2</v>
      </c>
      <c r="S391" s="353" t="n">
        <v>35.1</v>
      </c>
      <c r="T391" s="353" t="n">
        <v>11</v>
      </c>
      <c r="V391" s="346">
        <f>UPPER(A391&amp;" "&amp;B391&amp;" "&amp;D391&amp;" "&amp;E391&amp;" "&amp;F391&amp;" "&amp;G391&amp;" "&amp;H391&amp;" "&amp;I391&amp;" "&amp;J391)</f>
        <v/>
      </c>
      <c r="W391" s="216">
        <f>IF(AND('TRA CỨU TỔNG HỢP'!$B$3&lt;&gt;"",ISNUMBER(SEARCH('TRA CỨU TỔNG HỢP'!$B$3,V391))),MAX($W$3:W390)+1,"")</f>
        <v/>
      </c>
    </row>
    <row r="392" ht="15" customHeight="1" s="217">
      <c r="A392" s="347" t="inlineStr">
        <is>
          <t xml:space="preserve">  └─ HYUNDAI</t>
        </is>
      </c>
      <c r="B392" s="348" t="inlineStr">
        <is>
          <t>HH080494</t>
        </is>
      </c>
      <c r="C392" s="349" t="inlineStr">
        <is>
          <t>Mitsubishi</t>
        </is>
      </c>
      <c r="D392" s="349" t="inlineStr">
        <is>
          <t>TD03L4</t>
        </is>
      </c>
      <c r="E392" s="349" t="inlineStr">
        <is>
          <t>D4CB</t>
        </is>
      </c>
      <c r="F392" s="350" t="inlineStr">
        <is>
          <t>28231-4A800/28231-4A850
28231-4A780/49590-45607
90130-01040/49131-03600
90120-01080/8M03-200-707</t>
        </is>
      </c>
      <c r="G392" s="349" t="inlineStr">
        <is>
          <t>Có chụp lỗ cánh gió</t>
        </is>
      </c>
      <c r="H392" s="349" t="inlineStr">
        <is>
          <t xml:space="preserve"> K200/PORTE2/K250/ N250/Bongo III</t>
        </is>
      </c>
      <c r="I392" s="349" t="n"/>
      <c r="J392" s="351" t="inlineStr">
        <is>
          <t>SL</t>
        </is>
      </c>
      <c r="K392" s="352" t="n"/>
      <c r="L392" s="352" t="n"/>
      <c r="M392" s="352" t="n"/>
      <c r="N392" s="352">
        <f>IF(M392="","",M392*1.1)</f>
        <v/>
      </c>
      <c r="O392" s="353" t="n">
        <v>46</v>
      </c>
      <c r="P392" s="353" t="n">
        <v>35.6</v>
      </c>
      <c r="Q392" s="353" t="inlineStr">
        <is>
          <t>6/6</t>
        </is>
      </c>
      <c r="R392" s="353" t="n">
        <v>40.2</v>
      </c>
      <c r="S392" s="353" t="n">
        <v>35.1</v>
      </c>
      <c r="T392" s="353" t="n">
        <v>11</v>
      </c>
      <c r="V392" s="346">
        <f>UPPER(A392&amp;" "&amp;B392&amp;" "&amp;D392&amp;" "&amp;E392&amp;" "&amp;F392&amp;" "&amp;G392&amp;" "&amp;H392&amp;" "&amp;I392&amp;" "&amp;J392)</f>
        <v/>
      </c>
      <c r="W392" s="216">
        <f>IF(AND('TRA CỨU TỔNG HỢP'!$B$3&lt;&gt;"",ISNUMBER(SEARCH('TRA CỨU TỔNG HỢP'!$B$3,V392))),MAX($W$3:W391)+1,"")</f>
        <v/>
      </c>
    </row>
    <row r="393" ht="15" customHeight="1" s="217">
      <c r="A393" s="347" t="inlineStr">
        <is>
          <t xml:space="preserve">  └─ HYUNDAI</t>
        </is>
      </c>
      <c r="B393" s="348" t="inlineStr">
        <is>
          <t>HH078868</t>
        </is>
      </c>
      <c r="C393" s="349" t="inlineStr">
        <is>
          <t>Mitsubishi</t>
        </is>
      </c>
      <c r="D393" s="349" t="inlineStr">
        <is>
          <t>TD03L4</t>
        </is>
      </c>
      <c r="E393" s="349" t="inlineStr">
        <is>
          <t>D4CB</t>
        </is>
      </c>
      <c r="F393" s="350" t="inlineStr">
        <is>
          <t>28231-4A800/28231-4A850
28231-4A780/49590-45607
90130-01040/49131-03600
90120-01080/8M03-200-707</t>
        </is>
      </c>
      <c r="G393" s="349" t="inlineStr">
        <is>
          <t>Có chụp lỗ cánh gió</t>
        </is>
      </c>
      <c r="H393" s="349" t="inlineStr">
        <is>
          <t xml:space="preserve"> K200/PORTE2/K250/ N250/Bongo III</t>
        </is>
      </c>
      <c r="I393" s="349" t="n"/>
      <c r="J393" s="351" t="inlineStr">
        <is>
          <t>SL</t>
        </is>
      </c>
      <c r="K393" s="352" t="n"/>
      <c r="L393" s="352" t="n"/>
      <c r="M393" s="352" t="n"/>
      <c r="N393" s="352">
        <f>IF(M393="","",M393*1.1)</f>
        <v/>
      </c>
      <c r="O393" s="353" t="n">
        <v>46</v>
      </c>
      <c r="P393" s="353" t="n">
        <v>35.6</v>
      </c>
      <c r="Q393" s="353" t="inlineStr">
        <is>
          <t>6/6</t>
        </is>
      </c>
      <c r="R393" s="353" t="n">
        <v>40.2</v>
      </c>
      <c r="S393" s="353" t="n">
        <v>35.1</v>
      </c>
      <c r="T393" s="353" t="n">
        <v>11</v>
      </c>
      <c r="V393" s="346">
        <f>UPPER(A393&amp;" "&amp;B393&amp;" "&amp;D393&amp;" "&amp;E393&amp;" "&amp;F393&amp;" "&amp;G393&amp;" "&amp;H393&amp;" "&amp;I393&amp;" "&amp;J393)</f>
        <v/>
      </c>
      <c r="W393" s="216">
        <f>IF(AND('TRA CỨU TỔNG HỢP'!$B$3&lt;&gt;"",ISNUMBER(SEARCH('TRA CỨU TỔNG HỢP'!$B$3,V393))),MAX($W$3:W392)+1,"")</f>
        <v/>
      </c>
    </row>
    <row r="394" ht="15" customHeight="1" s="217">
      <c r="A394" s="340" t="inlineStr">
        <is>
          <t>HYUNDAI</t>
        </is>
      </c>
      <c r="B394" s="341" t="inlineStr">
        <is>
          <t>HH075427</t>
        </is>
      </c>
      <c r="C394" s="340" t="inlineStr">
        <is>
          <t>BorgWarner</t>
        </is>
      </c>
      <c r="D394" s="340" t="inlineStr">
        <is>
          <t>BV43</t>
        </is>
      </c>
      <c r="E394" s="340" t="inlineStr">
        <is>
          <t>D4CB</t>
        </is>
      </c>
      <c r="F394" s="342" t="inlineStr">
        <is>
          <t>28231-4A700
28231-4A701
53039700353
53039880226
53039700226
53039880353</t>
        </is>
      </c>
      <c r="G394" s="340" t="n"/>
      <c r="H394" s="340" t="inlineStr">
        <is>
          <t>Starex</t>
        </is>
      </c>
      <c r="I394" s="340" t="n"/>
      <c r="J394" s="343" t="inlineStr">
        <is>
          <t>SL</t>
        </is>
      </c>
      <c r="K394" s="344" t="n"/>
      <c r="L394" s="344" t="n"/>
      <c r="M394" s="344" t="n"/>
      <c r="N394" s="344">
        <f>IF(M394="","",M394*1.1)</f>
        <v/>
      </c>
      <c r="O394" s="345" t="n">
        <v>52.8</v>
      </c>
      <c r="P394" s="345" t="n">
        <v>36.7</v>
      </c>
      <c r="Q394" s="345" t="inlineStr">
        <is>
          <t>6/6</t>
        </is>
      </c>
      <c r="R394" s="345" t="n">
        <v>42.5</v>
      </c>
      <c r="S394" s="345" t="n">
        <v>37.8</v>
      </c>
      <c r="T394" s="345" t="inlineStr">
        <is>
          <t>9</t>
        </is>
      </c>
      <c r="V394" s="346">
        <f>UPPER(A394&amp;" "&amp;B394&amp;" "&amp;D394&amp;" "&amp;E394&amp;" "&amp;F394&amp;" "&amp;G394&amp;" "&amp;H394&amp;" "&amp;I394&amp;" "&amp;J394)</f>
        <v/>
      </c>
      <c r="W394" s="216">
        <f>IF(AND('TRA CỨU TỔNG HỢP'!$B$3&lt;&gt;"",ISNUMBER(SEARCH('TRA CỨU TỔNG HỢP'!$B$3,V394))),MAX($W$3:W393)+1,"")</f>
        <v/>
      </c>
    </row>
    <row r="395" ht="15" customHeight="1" s="217">
      <c r="A395" s="347" t="inlineStr">
        <is>
          <t xml:space="preserve">  └─ HYUNDAI</t>
        </is>
      </c>
      <c r="B395" s="348" t="inlineStr">
        <is>
          <t>HH080016</t>
        </is>
      </c>
      <c r="C395" s="349" t="inlineStr">
        <is>
          <t>BorgWarner</t>
        </is>
      </c>
      <c r="D395" s="349" t="inlineStr">
        <is>
          <t>BV43</t>
        </is>
      </c>
      <c r="E395" s="349" t="inlineStr">
        <is>
          <t>D4CB</t>
        </is>
      </c>
      <c r="F395" s="350" t="inlineStr">
        <is>
          <t>28231-4A700
28231-4A701
53039700353
53039880226
53039700226
53039880353</t>
        </is>
      </c>
      <c r="G395" s="349" t="n"/>
      <c r="H395" s="349" t="inlineStr">
        <is>
          <t>Starex</t>
        </is>
      </c>
      <c r="I395" s="349" t="n"/>
      <c r="J395" s="351" t="inlineStr">
        <is>
          <t>SL</t>
        </is>
      </c>
      <c r="K395" s="352" t="n"/>
      <c r="L395" s="352" t="n"/>
      <c r="M395" s="352" t="n"/>
      <c r="N395" s="352">
        <f>IF(M395="","",M395*1.1)</f>
        <v/>
      </c>
      <c r="O395" s="353" t="n">
        <v>52.8</v>
      </c>
      <c r="P395" s="353" t="n">
        <v>36.7</v>
      </c>
      <c r="Q395" s="353" t="inlineStr">
        <is>
          <t>6/6</t>
        </is>
      </c>
      <c r="R395" s="353" t="n">
        <v>42.5</v>
      </c>
      <c r="S395" s="353" t="n">
        <v>37.8</v>
      </c>
      <c r="T395" s="353" t="inlineStr">
        <is>
          <t>9</t>
        </is>
      </c>
      <c r="V395" s="346">
        <f>UPPER(A395&amp;" "&amp;B395&amp;" "&amp;D395&amp;" "&amp;E395&amp;" "&amp;F395&amp;" "&amp;G395&amp;" "&amp;H395&amp;" "&amp;I395&amp;" "&amp;J395)</f>
        <v/>
      </c>
      <c r="W395" s="216">
        <f>IF(AND('TRA CỨU TỔNG HỢP'!$B$3&lt;&gt;"",ISNUMBER(SEARCH('TRA CỨU TỔNG HỢP'!$B$3,V395))),MAX($W$3:W394)+1,"")</f>
        <v/>
      </c>
    </row>
    <row r="396" ht="15" customHeight="1" s="217">
      <c r="A396" s="367" t="inlineStr">
        <is>
          <t>HYUNDAI</t>
        </is>
      </c>
      <c r="B396" s="368" t="n"/>
      <c r="C396" s="367" t="inlineStr">
        <is>
          <t>IHI</t>
        </is>
      </c>
      <c r="D396" s="367" t="inlineStr">
        <is>
          <t>RHV4 / VT16</t>
        </is>
      </c>
      <c r="E396" s="367" t="inlineStr">
        <is>
          <t>4D56</t>
        </is>
      </c>
      <c r="F396" s="369" t="inlineStr">
        <is>
          <t>1515A170</t>
        </is>
      </c>
      <c r="G396" s="367" t="n"/>
      <c r="H396" s="367" t="inlineStr">
        <is>
          <t>for Mitsubishi Triton 2.5</t>
        </is>
      </c>
      <c r="I396" s="367" t="n"/>
      <c r="J396" s="370" t="n"/>
      <c r="K396" s="371" t="n"/>
      <c r="L396" s="371" t="n"/>
      <c r="M396" s="371" t="n"/>
      <c r="N396" s="371" t="n"/>
      <c r="O396" s="372" t="n">
        <v>52.5</v>
      </c>
      <c r="P396" s="372" t="n">
        <v>38.7</v>
      </c>
      <c r="Q396" s="372" t="inlineStr">
        <is>
          <t>6/6</t>
        </is>
      </c>
      <c r="R396" s="372" t="n">
        <v>44.6</v>
      </c>
      <c r="S396" s="372" t="n">
        <v>41.6</v>
      </c>
      <c r="T396" s="372" t="n">
        <v>9</v>
      </c>
      <c r="V396" s="216">
        <f>UPPER(A396&amp;" "&amp;B396&amp;" "&amp;D396&amp;" "&amp;E396&amp;" "&amp;F396&amp;" "&amp;G396&amp;" "&amp;H396&amp;" "&amp;I396&amp;" "&amp;J396)</f>
        <v/>
      </c>
      <c r="W396" s="216">
        <f>IF(AND('TRA CỨU TỔNG HỢP'!$B$3&lt;&gt;"",ISNUMBER(SEARCH('TRA CỨU TỔNG HỢP'!$B$3,V396))),MAX($W$3:W395)+1,"")</f>
        <v/>
      </c>
    </row>
    <row r="397" ht="15" customHeight="1" s="217">
      <c r="A397" s="340" t="inlineStr">
        <is>
          <t>HYUNDAI</t>
        </is>
      </c>
      <c r="B397" s="341" t="inlineStr">
        <is>
          <t>HH083400</t>
        </is>
      </c>
      <c r="C397" s="340" t="inlineStr">
        <is>
          <t>IHI</t>
        </is>
      </c>
      <c r="D397" s="340" t="inlineStr">
        <is>
          <t>RHF5</t>
        </is>
      </c>
      <c r="E397" s="340" t="n"/>
      <c r="F397" s="342" t="inlineStr">
        <is>
          <t>28200-4X400</t>
        </is>
      </c>
      <c r="G397" s="340" t="inlineStr">
        <is>
          <t>RHF5</t>
        </is>
      </c>
      <c r="H397" s="340" t="n"/>
      <c r="I397" s="340" t="inlineStr">
        <is>
          <t>Hyu, Terracan 2.9, 4X700 I165 - EE</t>
        </is>
      </c>
      <c r="J397" s="343" t="inlineStr">
        <is>
          <t>EE</t>
        </is>
      </c>
      <c r="K397" s="344" t="n"/>
      <c r="L397" s="344" t="n"/>
      <c r="M397" s="344" t="n"/>
      <c r="N397" s="344">
        <f>IF(M397="","",M397*1.1)</f>
        <v/>
      </c>
      <c r="O397" s="345" t="n">
        <v>52.5</v>
      </c>
      <c r="P397" s="345" t="n">
        <v>39.2</v>
      </c>
      <c r="Q397" s="345" t="inlineStr">
        <is>
          <t>6/6</t>
        </is>
      </c>
      <c r="R397" s="345" t="n">
        <v>44.4</v>
      </c>
      <c r="S397" s="345" t="n">
        <v>37.6</v>
      </c>
      <c r="T397" s="345" t="n">
        <v>8</v>
      </c>
      <c r="V397" s="216">
        <f>UPPER(A397&amp;" "&amp;B397&amp;" "&amp;D397&amp;" "&amp;E397&amp;" "&amp;F397&amp;" "&amp;G397&amp;" "&amp;H397&amp;" "&amp;I397&amp;" "&amp;J397)</f>
        <v/>
      </c>
      <c r="W397" s="216">
        <f>IF(AND('TRA CỨU TỔNG HỢP'!$B$3&lt;&gt;"",ISNUMBER(SEARCH('TRA CỨU TỔNG HỢP'!$B$3,V397))),MAX($W$3:W396)+1,"")</f>
        <v/>
      </c>
    </row>
    <row r="398" ht="15" customHeight="1" s="217">
      <c r="A398" s="347" t="inlineStr">
        <is>
          <t xml:space="preserve">  └─ HYUNDAI</t>
        </is>
      </c>
      <c r="B398" s="348" t="inlineStr">
        <is>
          <t>HH083408</t>
        </is>
      </c>
      <c r="C398" s="349" t="inlineStr">
        <is>
          <t>IHI</t>
        </is>
      </c>
      <c r="D398" s="349" t="inlineStr">
        <is>
          <t>RHF5</t>
        </is>
      </c>
      <c r="E398" s="349" t="n"/>
      <c r="F398" s="350" t="inlineStr">
        <is>
          <t>28200-4X400</t>
        </is>
      </c>
      <c r="G398" s="349" t="inlineStr">
        <is>
          <t>RHF5</t>
        </is>
      </c>
      <c r="H398" s="349" t="n"/>
      <c r="I398" s="349" t="inlineStr">
        <is>
          <t>Hyu, Terracan 2.9, 4X700 I165 - EE</t>
        </is>
      </c>
      <c r="J398" s="351" t="inlineStr">
        <is>
          <t>SL</t>
        </is>
      </c>
      <c r="K398" s="352" t="n"/>
      <c r="L398" s="352" t="n"/>
      <c r="M398" s="352" t="n"/>
      <c r="N398" s="352">
        <f>IF(M398="","",M398*1.1)</f>
        <v/>
      </c>
      <c r="O398" s="353" t="n">
        <v>52.5</v>
      </c>
      <c r="P398" s="353" t="n">
        <v>39.2</v>
      </c>
      <c r="Q398" s="353" t="inlineStr">
        <is>
          <t>6/6</t>
        </is>
      </c>
      <c r="R398" s="353" t="n">
        <v>44.4</v>
      </c>
      <c r="S398" s="353" t="n">
        <v>37.6</v>
      </c>
      <c r="T398" s="353" t="n">
        <v>8</v>
      </c>
      <c r="V398" s="216">
        <f>UPPER(A398&amp;" "&amp;B398&amp;" "&amp;D398&amp;" "&amp;E398&amp;" "&amp;F398&amp;" "&amp;G398&amp;" "&amp;H398&amp;" "&amp;I398&amp;" "&amp;J398)</f>
        <v/>
      </c>
      <c r="W398" s="216">
        <f>IF(AND('TRA CỨU TỔNG HỢP'!$B$3&lt;&gt;"",ISNUMBER(SEARCH('TRA CỨU TỔNG HỢP'!$B$3,V398))),MAX($W$3:W397)+1,"")</f>
        <v/>
      </c>
    </row>
    <row r="399" ht="15" customHeight="1" s="217">
      <c r="A399" s="347" t="inlineStr">
        <is>
          <t xml:space="preserve">  └─ HYUNDAI</t>
        </is>
      </c>
      <c r="B399" s="348" t="inlineStr">
        <is>
          <t>HH083409</t>
        </is>
      </c>
      <c r="C399" s="349" t="inlineStr">
        <is>
          <t>IHI</t>
        </is>
      </c>
      <c r="D399" s="349" t="inlineStr">
        <is>
          <t>RHF5</t>
        </is>
      </c>
      <c r="E399" s="349" t="n"/>
      <c r="F399" s="350" t="inlineStr">
        <is>
          <t>28200-4X400</t>
        </is>
      </c>
      <c r="G399" s="349" t="inlineStr">
        <is>
          <t>RHF5</t>
        </is>
      </c>
      <c r="H399" s="349" t="n"/>
      <c r="I399" s="349" t="inlineStr">
        <is>
          <t>Hyu, Terracan 2.9, 4X700 I165 - EE</t>
        </is>
      </c>
      <c r="J399" s="351" t="inlineStr">
        <is>
          <t>SL</t>
        </is>
      </c>
      <c r="K399" s="352" t="n"/>
      <c r="L399" s="352" t="n"/>
      <c r="M399" s="352" t="n"/>
      <c r="N399" s="352">
        <f>IF(M399="","",M399*1.1)</f>
        <v/>
      </c>
      <c r="O399" s="353" t="n">
        <v>52.5</v>
      </c>
      <c r="P399" s="353" t="n">
        <v>39.2</v>
      </c>
      <c r="Q399" s="353" t="inlineStr">
        <is>
          <t>6/6</t>
        </is>
      </c>
      <c r="R399" s="353" t="n">
        <v>44.4</v>
      </c>
      <c r="S399" s="353" t="n">
        <v>37.6</v>
      </c>
      <c r="T399" s="353" t="n">
        <v>8</v>
      </c>
      <c r="V399" s="216">
        <f>UPPER(A399&amp;" "&amp;B399&amp;" "&amp;D399&amp;" "&amp;E399&amp;" "&amp;F399&amp;" "&amp;G399&amp;" "&amp;H399&amp;" "&amp;I399&amp;" "&amp;J399)</f>
        <v/>
      </c>
      <c r="W399" s="216">
        <f>IF(AND('TRA CỨU TỔNG HỢP'!$B$3&lt;&gt;"",ISNUMBER(SEARCH('TRA CỨU TỔNG HỢP'!$B$3,V399))),MAX($W$3:W398)+1,"")</f>
        <v/>
      </c>
    </row>
    <row r="400" ht="15" customHeight="1" s="217">
      <c r="A400" s="354" t="inlineStr">
        <is>
          <t>HYUNDAI</t>
        </is>
      </c>
      <c r="B400" s="355" t="inlineStr">
        <is>
          <t>HH083052</t>
        </is>
      </c>
      <c r="C400" s="354" t="inlineStr">
        <is>
          <t>BorgWarner</t>
        </is>
      </c>
      <c r="D400" s="354" t="inlineStr">
        <is>
          <t>BV43</t>
        </is>
      </c>
      <c r="E400" s="354" t="inlineStr">
        <is>
          <t>D4CB</t>
        </is>
      </c>
      <c r="F400" s="356" t="inlineStr">
        <is>
          <t>28200-4A421</t>
        </is>
      </c>
      <c r="G400" s="354" t="n"/>
      <c r="H400" s="354" t="inlineStr">
        <is>
          <t>2.5CRDi</t>
        </is>
      </c>
      <c r="I400" s="354" t="inlineStr">
        <is>
          <t>Sorento</t>
        </is>
      </c>
      <c r="J400" s="357" t="inlineStr">
        <is>
          <t>SL</t>
        </is>
      </c>
      <c r="K400" s="358" t="n"/>
      <c r="L400" s="358" t="n"/>
      <c r="M400" s="358" t="n"/>
      <c r="N400" s="358">
        <f>IF(M400="","",M400*1.1)</f>
        <v/>
      </c>
      <c r="O400" s="359" t="n">
        <v>53.89</v>
      </c>
      <c r="P400" s="359" t="n">
        <v>37.8</v>
      </c>
      <c r="Q400" s="359" t="inlineStr">
        <is>
          <t>6/6</t>
        </is>
      </c>
      <c r="R400" s="359" t="n">
        <v>43</v>
      </c>
      <c r="S400" s="359" t="n">
        <v>38.2</v>
      </c>
      <c r="T400" s="359" t="inlineStr">
        <is>
          <t>9</t>
        </is>
      </c>
      <c r="V400" s="216">
        <f>UPPER(A400&amp;" "&amp;B400&amp;" "&amp;D400&amp;" "&amp;E400&amp;" "&amp;F400&amp;" "&amp;G400&amp;" "&amp;H400&amp;" "&amp;I400&amp;" "&amp;J400)</f>
        <v/>
      </c>
      <c r="W400" s="216">
        <f>IF(AND('TRA CỨU TỔNG HỢP'!$B$3&lt;&gt;"",ISNUMBER(SEARCH('TRA CỨU TỔNG HỢP'!$B$3,V400))),MAX($W$3:W399)+1,"")</f>
        <v/>
      </c>
    </row>
    <row r="401" ht="15" customHeight="1" s="217">
      <c r="A401" s="340" t="inlineStr">
        <is>
          <t>HYUNDAI</t>
        </is>
      </c>
      <c r="B401" s="341" t="inlineStr">
        <is>
          <t>HH083048</t>
        </is>
      </c>
      <c r="C401" s="340" t="inlineStr">
        <is>
          <t>Garrett</t>
        </is>
      </c>
      <c r="D401" s="340" t="inlineStr">
        <is>
          <t>GT2052S</t>
        </is>
      </c>
      <c r="E401" s="340" t="inlineStr">
        <is>
          <t>D4AL</t>
        </is>
      </c>
      <c r="F401" s="342" t="inlineStr">
        <is>
          <t>28230-41450
28230-41431</t>
        </is>
      </c>
      <c r="G401" s="340" t="n"/>
      <c r="H401" s="340" t="inlineStr">
        <is>
          <t>GT2052S</t>
        </is>
      </c>
      <c r="I401" s="340" t="inlineStr">
        <is>
          <t>Mighty II</t>
        </is>
      </c>
      <c r="J401" s="343" t="inlineStr">
        <is>
          <t>SL</t>
        </is>
      </c>
      <c r="K401" s="344" t="n"/>
      <c r="L401" s="344" t="n"/>
      <c r="M401" s="344" t="n"/>
      <c r="N401" s="344">
        <f>IF(M401="","",M401*1.1)</f>
        <v/>
      </c>
      <c r="O401" s="345" t="n">
        <v>52.2</v>
      </c>
      <c r="P401" s="345" t="n">
        <v>38.2</v>
      </c>
      <c r="Q401" s="345" t="inlineStr">
        <is>
          <t>6/6</t>
        </is>
      </c>
      <c r="R401" s="345" t="n">
        <v>47</v>
      </c>
      <c r="S401" s="345" t="n">
        <v>38.4</v>
      </c>
      <c r="T401" s="345" t="inlineStr">
        <is>
          <t>9</t>
        </is>
      </c>
      <c r="V401" s="346">
        <f>UPPER(A401&amp;" "&amp;B401&amp;" "&amp;D401&amp;" "&amp;E401&amp;" "&amp;F401&amp;" "&amp;G401&amp;" "&amp;H401&amp;" "&amp;I401&amp;" "&amp;J401)</f>
        <v/>
      </c>
      <c r="W401" s="216">
        <f>IF(AND('TRA CỨU TỔNG HỢP'!$B$3&lt;&gt;"",ISNUMBER(SEARCH('TRA CỨU TỔNG HỢP'!$B$3,V401))),MAX($W$3:W400)+1,"")</f>
        <v/>
      </c>
    </row>
    <row r="402" ht="15" customHeight="1" s="217">
      <c r="A402" s="347" t="inlineStr">
        <is>
          <t xml:space="preserve">  └─ HYUNDAI</t>
        </is>
      </c>
      <c r="B402" s="348" t="inlineStr">
        <is>
          <t>HH076427</t>
        </is>
      </c>
      <c r="C402" s="349" t="inlineStr">
        <is>
          <t>Garrett</t>
        </is>
      </c>
      <c r="D402" s="349" t="inlineStr">
        <is>
          <t>GT2052S</t>
        </is>
      </c>
      <c r="E402" s="349" t="inlineStr">
        <is>
          <t>D4AL</t>
        </is>
      </c>
      <c r="F402" s="350" t="inlineStr">
        <is>
          <t>28230-41450
28230-41431</t>
        </is>
      </c>
      <c r="G402" s="349" t="n"/>
      <c r="H402" s="349" t="inlineStr">
        <is>
          <t>GT2052S</t>
        </is>
      </c>
      <c r="I402" s="349" t="inlineStr">
        <is>
          <t>Mighty II</t>
        </is>
      </c>
      <c r="J402" s="351" t="inlineStr">
        <is>
          <t>JRONE</t>
        </is>
      </c>
      <c r="K402" s="352" t="n"/>
      <c r="L402" s="352" t="n"/>
      <c r="M402" s="352" t="n"/>
      <c r="N402" s="352">
        <f>IF(M402="","",M402*1.1)</f>
        <v/>
      </c>
      <c r="O402" s="353" t="n">
        <v>52.2</v>
      </c>
      <c r="P402" s="353" t="n">
        <v>38.2</v>
      </c>
      <c r="Q402" s="353" t="inlineStr">
        <is>
          <t>6/6</t>
        </is>
      </c>
      <c r="R402" s="353" t="n">
        <v>47</v>
      </c>
      <c r="S402" s="353" t="n">
        <v>38.4</v>
      </c>
      <c r="T402" s="353" t="inlineStr">
        <is>
          <t>9</t>
        </is>
      </c>
      <c r="V402" s="346">
        <f>UPPER(A402&amp;" "&amp;B402&amp;" "&amp;D402&amp;" "&amp;E402&amp;" "&amp;F402&amp;" "&amp;G402&amp;" "&amp;H402&amp;" "&amp;I402&amp;" "&amp;J402)</f>
        <v/>
      </c>
      <c r="W402" s="216">
        <f>IF(AND('TRA CỨU TỔNG HỢP'!$B$3&lt;&gt;"",ISNUMBER(SEARCH('TRA CỨU TỔNG HỢP'!$B$3,V402))),MAX($W$3:W401)+1,"")</f>
        <v/>
      </c>
    </row>
    <row r="403" ht="15" customHeight="1" s="217">
      <c r="A403" s="340" t="inlineStr">
        <is>
          <t>HYUNDAI</t>
        </is>
      </c>
      <c r="B403" s="341" t="inlineStr">
        <is>
          <t>HH076427</t>
        </is>
      </c>
      <c r="C403" s="340" t="inlineStr">
        <is>
          <t>Garrett</t>
        </is>
      </c>
      <c r="D403" s="340" t="inlineStr">
        <is>
          <t>GT2052LS / GT2052LS/D4AL/MIGHTY 3.3</t>
        </is>
      </c>
      <c r="E403" s="340" t="inlineStr">
        <is>
          <t>D4AL</t>
        </is>
      </c>
      <c r="F403" s="342" t="inlineStr">
        <is>
          <t>28230-41431
28230-41440
28230-41450
703389-0002
8G20-200-015</t>
        </is>
      </c>
      <c r="G403" s="340" t="inlineStr">
        <is>
          <t>Có đường làm mát nước</t>
        </is>
      </c>
      <c r="H403" s="340" t="inlineStr">
        <is>
          <t>MIGHTY 3.3 HD65, HD72, HD78</t>
        </is>
      </c>
      <c r="I403" s="340" t="n"/>
      <c r="J403" s="343" t="inlineStr">
        <is>
          <t>JRONE</t>
        </is>
      </c>
      <c r="K403" s="344" t="n"/>
      <c r="L403" s="344" t="n"/>
      <c r="M403" s="344" t="n"/>
      <c r="N403" s="344">
        <f>IF(M403="","",M403*1.1)</f>
        <v/>
      </c>
      <c r="O403" s="345" t="n">
        <v>52.2</v>
      </c>
      <c r="P403" s="345" t="n">
        <v>38.2</v>
      </c>
      <c r="Q403" s="345" t="inlineStr">
        <is>
          <t>6/6</t>
        </is>
      </c>
      <c r="R403" s="345" t="n">
        <v>47</v>
      </c>
      <c r="S403" s="345" t="n">
        <v>38.4</v>
      </c>
      <c r="T403" s="345" t="inlineStr">
        <is>
          <t>9</t>
        </is>
      </c>
      <c r="V403" s="346">
        <f>UPPER(A403&amp;" "&amp;B403&amp;" "&amp;D403&amp;" "&amp;E403&amp;" "&amp;F403&amp;" "&amp;G403&amp;" "&amp;H403&amp;" "&amp;I403&amp;" "&amp;J403)</f>
        <v/>
      </c>
      <c r="W403" s="216">
        <f>IF(AND('TRA CỨU TỔNG HỢP'!$B$3&lt;&gt;"",ISNUMBER(SEARCH('TRA CỨU TỔNG HỢP'!$B$3,V403))),MAX($W$3:W402)+1,"")</f>
        <v/>
      </c>
    </row>
    <row r="404" ht="15" customHeight="1" s="217">
      <c r="A404" s="347" t="inlineStr">
        <is>
          <t xml:space="preserve">  └─ HYUNDAI</t>
        </is>
      </c>
      <c r="B404" s="348" t="inlineStr">
        <is>
          <t>HH083048</t>
        </is>
      </c>
      <c r="C404" s="349" t="inlineStr">
        <is>
          <t>Garrett</t>
        </is>
      </c>
      <c r="D404" s="349" t="inlineStr">
        <is>
          <t>GT2052LS / GT2052LS/D4AL/MIGHTY 3.3</t>
        </is>
      </c>
      <c r="E404" s="349" t="inlineStr">
        <is>
          <t>D4AL</t>
        </is>
      </c>
      <c r="F404" s="350" t="inlineStr">
        <is>
          <t>28230-41431
28230-41440
28230-41450
703389-0002
8G20-200-015</t>
        </is>
      </c>
      <c r="G404" s="349" t="inlineStr">
        <is>
          <t>Có đường làm mát nước</t>
        </is>
      </c>
      <c r="H404" s="349" t="inlineStr">
        <is>
          <t>MIGHTY 3.3 HD65, HD72, HD78</t>
        </is>
      </c>
      <c r="I404" s="349" t="n"/>
      <c r="J404" s="351" t="inlineStr">
        <is>
          <t>SL</t>
        </is>
      </c>
      <c r="K404" s="352" t="n"/>
      <c r="L404" s="352" t="n"/>
      <c r="M404" s="352" t="n"/>
      <c r="N404" s="352">
        <f>IF(M404="","",M404*1.1)</f>
        <v/>
      </c>
      <c r="O404" s="353" t="n">
        <v>52.2</v>
      </c>
      <c r="P404" s="353" t="n">
        <v>38.2</v>
      </c>
      <c r="Q404" s="353" t="inlineStr">
        <is>
          <t>6/6</t>
        </is>
      </c>
      <c r="R404" s="353" t="n">
        <v>47</v>
      </c>
      <c r="S404" s="353" t="n">
        <v>38.4</v>
      </c>
      <c r="T404" s="353" t="inlineStr">
        <is>
          <t>9</t>
        </is>
      </c>
      <c r="V404" s="346">
        <f>UPPER(A404&amp;" "&amp;B404&amp;" "&amp;D404&amp;" "&amp;E404&amp;" "&amp;F404&amp;" "&amp;G404&amp;" "&amp;H404&amp;" "&amp;I404&amp;" "&amp;J404)</f>
        <v/>
      </c>
      <c r="W404" s="216">
        <f>IF(AND('TRA CỨU TỔNG HỢP'!$B$3&lt;&gt;"",ISNUMBER(SEARCH('TRA CỨU TỔNG HỢP'!$B$3,V404))),MAX($W$3:W403)+1,"")</f>
        <v/>
      </c>
    </row>
    <row r="405" ht="15" customHeight="1" s="217">
      <c r="A405" s="340" t="inlineStr">
        <is>
          <t>HYUNDAI</t>
        </is>
      </c>
      <c r="B405" s="341" t="inlineStr">
        <is>
          <t>HH079691</t>
        </is>
      </c>
      <c r="C405" s="340" t="inlineStr">
        <is>
          <t>Garrett</t>
        </is>
      </c>
      <c r="D405" s="340" t="inlineStr">
        <is>
          <t>GT2052S</t>
        </is>
      </c>
      <c r="E405" s="340" t="inlineStr">
        <is>
          <t>D4AL</t>
        </is>
      </c>
      <c r="F405" s="342" t="inlineStr">
        <is>
          <t>28230-41710/28230-41711
702213-0001/702213-5001S</t>
        </is>
      </c>
      <c r="G405" s="340" t="n"/>
      <c r="H405" s="340" t="inlineStr">
        <is>
          <t>HYUNDAI H350</t>
        </is>
      </c>
      <c r="I405" s="340" t="n"/>
      <c r="J405" s="343" t="inlineStr">
        <is>
          <t>VIDARIR</t>
        </is>
      </c>
      <c r="K405" s="344" t="n"/>
      <c r="L405" s="344" t="n"/>
      <c r="M405" s="344" t="n"/>
      <c r="N405" s="344">
        <f>IF(M405="","",M405*1.1)</f>
        <v/>
      </c>
      <c r="O405" s="345" t="n">
        <v>52</v>
      </c>
      <c r="P405" s="345" t="n">
        <v>38.5</v>
      </c>
      <c r="Q405" s="345" t="inlineStr">
        <is>
          <t>6/6</t>
        </is>
      </c>
      <c r="R405" s="345" t="n">
        <v>44.4</v>
      </c>
      <c r="S405" s="345" t="n">
        <v>37.6</v>
      </c>
      <c r="T405" s="345" t="inlineStr">
        <is>
          <t>9</t>
        </is>
      </c>
      <c r="V405" s="346">
        <f>UPPER(A405&amp;" "&amp;B405&amp;" "&amp;D405&amp;" "&amp;E405&amp;" "&amp;F405&amp;" "&amp;G405&amp;" "&amp;H405&amp;" "&amp;I405&amp;" "&amp;J405)</f>
        <v/>
      </c>
      <c r="W405" s="216">
        <f>IF(AND('TRA CỨU TỔNG HỢP'!$B$3&lt;&gt;"",ISNUMBER(SEARCH('TRA CỨU TỔNG HỢP'!$B$3,V405))),MAX($W$3:W404)+1,"")</f>
        <v/>
      </c>
    </row>
    <row r="406" ht="15" customHeight="1" s="217">
      <c r="A406" s="347" t="inlineStr">
        <is>
          <t xml:space="preserve">  └─ HYUNDAI</t>
        </is>
      </c>
      <c r="B406" s="348" t="inlineStr">
        <is>
          <t>HH082798</t>
        </is>
      </c>
      <c r="C406" s="349" t="inlineStr">
        <is>
          <t>Garrett</t>
        </is>
      </c>
      <c r="D406" s="349" t="inlineStr">
        <is>
          <t>GT2052S</t>
        </is>
      </c>
      <c r="E406" s="349" t="inlineStr">
        <is>
          <t>D4AL</t>
        </is>
      </c>
      <c r="F406" s="350" t="inlineStr">
        <is>
          <t>28230-41710/28230-41711
702213-0001/702213-5001S</t>
        </is>
      </c>
      <c r="G406" s="349" t="n"/>
      <c r="H406" s="349" t="inlineStr">
        <is>
          <t>HYUNDAI H350</t>
        </is>
      </c>
      <c r="I406" s="349" t="n"/>
      <c r="J406" s="351" t="inlineStr">
        <is>
          <t>SL</t>
        </is>
      </c>
      <c r="K406" s="352" t="n"/>
      <c r="L406" s="352" t="n"/>
      <c r="M406" s="352" t="n"/>
      <c r="N406" s="352">
        <f>IF(M406="","",M406*1.1)</f>
        <v/>
      </c>
      <c r="O406" s="353" t="n">
        <v>52</v>
      </c>
      <c r="P406" s="353" t="n">
        <v>38.5</v>
      </c>
      <c r="Q406" s="353" t="inlineStr">
        <is>
          <t>6/6</t>
        </is>
      </c>
      <c r="R406" s="353" t="n">
        <v>44.4</v>
      </c>
      <c r="S406" s="353" t="n">
        <v>37.6</v>
      </c>
      <c r="T406" s="353" t="inlineStr">
        <is>
          <t>9</t>
        </is>
      </c>
      <c r="V406" s="346">
        <f>UPPER(A406&amp;" "&amp;B406&amp;" "&amp;D406&amp;" "&amp;E406&amp;" "&amp;F406&amp;" "&amp;G406&amp;" "&amp;H406&amp;" "&amp;I406&amp;" "&amp;J406)</f>
        <v/>
      </c>
      <c r="W406" s="216">
        <f>IF(AND('TRA CỨU TỔNG HỢP'!$B$3&lt;&gt;"",ISNUMBER(SEARCH('TRA CỨU TỔNG HỢP'!$B$3,V406))),MAX($W$3:W405)+1,"")</f>
        <v/>
      </c>
    </row>
    <row r="407" ht="15" customHeight="1" s="217">
      <c r="A407" s="347" t="inlineStr">
        <is>
          <t xml:space="preserve">  └─ HYUNDAI</t>
        </is>
      </c>
      <c r="B407" s="348" t="inlineStr">
        <is>
          <t>HH083441</t>
        </is>
      </c>
      <c r="C407" s="349" t="inlineStr">
        <is>
          <t>Garrett</t>
        </is>
      </c>
      <c r="D407" s="349" t="inlineStr">
        <is>
          <t>GT2052S</t>
        </is>
      </c>
      <c r="E407" s="349" t="inlineStr">
        <is>
          <t>D4AL</t>
        </is>
      </c>
      <c r="F407" s="350" t="inlineStr">
        <is>
          <t>28230-41710/28230-41711
702213-0001/702213-5001S</t>
        </is>
      </c>
      <c r="G407" s="349" t="n"/>
      <c r="H407" s="349" t="inlineStr">
        <is>
          <t>HYUNDAI H350</t>
        </is>
      </c>
      <c r="I407" s="349" t="n"/>
      <c r="J407" s="351" t="inlineStr">
        <is>
          <t>SL</t>
        </is>
      </c>
      <c r="K407" s="352" t="n"/>
      <c r="L407" s="352" t="n"/>
      <c r="M407" s="352" t="n"/>
      <c r="N407" s="352">
        <f>IF(M407="","",M407*1.1)</f>
        <v/>
      </c>
      <c r="O407" s="353" t="n">
        <v>52</v>
      </c>
      <c r="P407" s="353" t="n">
        <v>38.5</v>
      </c>
      <c r="Q407" s="353" t="inlineStr">
        <is>
          <t>6/6</t>
        </is>
      </c>
      <c r="R407" s="353" t="n">
        <v>44.4</v>
      </c>
      <c r="S407" s="353" t="n">
        <v>37.6</v>
      </c>
      <c r="T407" s="353" t="inlineStr">
        <is>
          <t>9</t>
        </is>
      </c>
      <c r="V407" s="346">
        <f>UPPER(A407&amp;" "&amp;B407&amp;" "&amp;D407&amp;" "&amp;E407&amp;" "&amp;F407&amp;" "&amp;G407&amp;" "&amp;H407&amp;" "&amp;I407&amp;" "&amp;J407)</f>
        <v/>
      </c>
      <c r="W407" s="216">
        <f>IF(AND('TRA CỨU TỔNG HỢP'!$B$3&lt;&gt;"",ISNUMBER(SEARCH('TRA CỨU TỔNG HỢP'!$B$3,V407))),MAX($W$3:W406)+1,"")</f>
        <v/>
      </c>
    </row>
    <row r="408" ht="15" customHeight="1" s="217">
      <c r="A408" s="340" t="inlineStr">
        <is>
          <t>HYUNDAI</t>
        </is>
      </c>
      <c r="B408" s="341" t="inlineStr">
        <is>
          <t>HH074828</t>
        </is>
      </c>
      <c r="C408" s="340" t="inlineStr">
        <is>
          <t>Garrett</t>
        </is>
      </c>
      <c r="D408" s="340" t="inlineStr">
        <is>
          <t>GT1749S</t>
        </is>
      </c>
      <c r="E408" s="340" t="inlineStr">
        <is>
          <t>D4AL</t>
        </is>
      </c>
      <c r="F408" s="342" t="inlineStr">
        <is>
          <t>28230-41720
28230-41730/708337-0002
708337-0001/8G17-200-100</t>
        </is>
      </c>
      <c r="G408" s="340" t="inlineStr">
        <is>
          <t>Có đường làm mát nước</t>
        </is>
      </c>
      <c r="H408" s="340" t="inlineStr">
        <is>
          <t>MIGHTY 2</t>
        </is>
      </c>
      <c r="I408" s="340" t="inlineStr">
        <is>
          <t>CÓ H/A jrone ( thực tế)</t>
        </is>
      </c>
      <c r="J408" s="343" t="inlineStr">
        <is>
          <t>JRONE</t>
        </is>
      </c>
      <c r="K408" s="344" t="n"/>
      <c r="L408" s="344" t="n"/>
      <c r="M408" s="344" t="n"/>
      <c r="N408" s="344">
        <f>IF(M408="","",M408*1.1)</f>
        <v/>
      </c>
      <c r="O408" s="345" t="n">
        <v>49</v>
      </c>
      <c r="P408" s="345" t="n">
        <v>38</v>
      </c>
      <c r="Q408" s="345" t="inlineStr">
        <is>
          <t>6/6</t>
        </is>
      </c>
      <c r="R408" s="345" t="n">
        <v>44.4</v>
      </c>
      <c r="S408" s="345" t="n">
        <v>37.6</v>
      </c>
      <c r="T408" s="345" t="inlineStr">
        <is>
          <t>9</t>
        </is>
      </c>
      <c r="V408" s="346">
        <f>UPPER(A408&amp;" "&amp;B408&amp;" "&amp;D408&amp;" "&amp;E408&amp;" "&amp;F408&amp;" "&amp;G408&amp;" "&amp;H408&amp;" "&amp;I408&amp;" "&amp;J408)</f>
        <v/>
      </c>
      <c r="W408" s="216">
        <f>IF(AND('TRA CỨU TỔNG HỢP'!$B$3&lt;&gt;"",ISNUMBER(SEARCH('TRA CỨU TỔNG HỢP'!$B$3,V408))),MAX($W$3:W407)+1,"")</f>
        <v/>
      </c>
    </row>
    <row r="409" ht="15" customHeight="1" s="217">
      <c r="A409" s="347" t="inlineStr">
        <is>
          <t xml:space="preserve">  └─ HYUNDAI</t>
        </is>
      </c>
      <c r="B409" s="348" t="inlineStr">
        <is>
          <t>HH079360</t>
        </is>
      </c>
      <c r="C409" s="349" t="inlineStr">
        <is>
          <t>Garrett</t>
        </is>
      </c>
      <c r="D409" s="349" t="inlineStr">
        <is>
          <t>GT1749S</t>
        </is>
      </c>
      <c r="E409" s="349" t="inlineStr">
        <is>
          <t>D4AL</t>
        </is>
      </c>
      <c r="F409" s="350" t="inlineStr">
        <is>
          <t>28230-41720
28230-41730/708337-0002
708337-0001/8G17-200-100</t>
        </is>
      </c>
      <c r="G409" s="349" t="inlineStr">
        <is>
          <t>Có đường làm mát nước</t>
        </is>
      </c>
      <c r="H409" s="349" t="inlineStr">
        <is>
          <t>MIGHTY 2</t>
        </is>
      </c>
      <c r="I409" s="349" t="inlineStr">
        <is>
          <t>CÓ H/A jrone ( thực tế)</t>
        </is>
      </c>
      <c r="J409" s="351" t="inlineStr">
        <is>
          <t>SL</t>
        </is>
      </c>
      <c r="K409" s="352" t="n"/>
      <c r="L409" s="352" t="n"/>
      <c r="M409" s="352" t="n"/>
      <c r="N409" s="352">
        <f>IF(M409="","",M409*1.1)</f>
        <v/>
      </c>
      <c r="O409" s="353" t="n">
        <v>49</v>
      </c>
      <c r="P409" s="353" t="n">
        <v>38</v>
      </c>
      <c r="Q409" s="353" t="inlineStr">
        <is>
          <t>6/6</t>
        </is>
      </c>
      <c r="R409" s="353" t="n">
        <v>44.4</v>
      </c>
      <c r="S409" s="353" t="n">
        <v>37.6</v>
      </c>
      <c r="T409" s="353" t="inlineStr">
        <is>
          <t>9</t>
        </is>
      </c>
      <c r="V409" s="346">
        <f>UPPER(A409&amp;" "&amp;B409&amp;" "&amp;D409&amp;" "&amp;E409&amp;" "&amp;F409&amp;" "&amp;G409&amp;" "&amp;H409&amp;" "&amp;I409&amp;" "&amp;J409)</f>
        <v/>
      </c>
      <c r="W409" s="216">
        <f>IF(AND('TRA CỨU TỔNG HỢP'!$B$3&lt;&gt;"",ISNUMBER(SEARCH('TRA CỨU TỔNG HỢP'!$B$3,V409))),MAX($W$3:W408)+1,"")</f>
        <v/>
      </c>
    </row>
    <row r="410" ht="15" customHeight="1" s="217">
      <c r="A410" s="347" t="inlineStr">
        <is>
          <t xml:space="preserve">  └─ HYUNDAI</t>
        </is>
      </c>
      <c r="B410" s="348" t="inlineStr">
        <is>
          <t>HH079967</t>
        </is>
      </c>
      <c r="C410" s="349" t="inlineStr">
        <is>
          <t>Garrett</t>
        </is>
      </c>
      <c r="D410" s="349" t="inlineStr">
        <is>
          <t>GT1749S</t>
        </is>
      </c>
      <c r="E410" s="349" t="inlineStr">
        <is>
          <t>D4AL</t>
        </is>
      </c>
      <c r="F410" s="350" t="inlineStr">
        <is>
          <t>28230-41720
28230-41730/708337-0002
708337-0001/8G17-200-100</t>
        </is>
      </c>
      <c r="G410" s="349" t="inlineStr">
        <is>
          <t>Có đường làm mát nước</t>
        </is>
      </c>
      <c r="H410" s="349" t="inlineStr">
        <is>
          <t>MIGHTY 2</t>
        </is>
      </c>
      <c r="I410" s="349" t="inlineStr">
        <is>
          <t>CÓ H/A jrone ( thực tế)</t>
        </is>
      </c>
      <c r="J410" s="351" t="inlineStr">
        <is>
          <t>SL</t>
        </is>
      </c>
      <c r="K410" s="352" t="n"/>
      <c r="L410" s="352" t="n"/>
      <c r="M410" s="352" t="n"/>
      <c r="N410" s="352">
        <f>IF(M410="","",M410*1.1)</f>
        <v/>
      </c>
      <c r="O410" s="353" t="n">
        <v>49</v>
      </c>
      <c r="P410" s="353" t="n">
        <v>38</v>
      </c>
      <c r="Q410" s="353" t="inlineStr">
        <is>
          <t>6/6</t>
        </is>
      </c>
      <c r="R410" s="353" t="n">
        <v>44.4</v>
      </c>
      <c r="S410" s="353" t="n">
        <v>37.6</v>
      </c>
      <c r="T410" s="353" t="inlineStr">
        <is>
          <t>9</t>
        </is>
      </c>
      <c r="V410" s="346">
        <f>UPPER(A410&amp;" "&amp;B410&amp;" "&amp;D410&amp;" "&amp;E410&amp;" "&amp;F410&amp;" "&amp;G410&amp;" "&amp;H410&amp;" "&amp;I410&amp;" "&amp;J410)</f>
        <v/>
      </c>
      <c r="W410" s="216">
        <f>IF(AND('TRA CỨU TỔNG HỢP'!$B$3&lt;&gt;"",ISNUMBER(SEARCH('TRA CỨU TỔNG HỢP'!$B$3,V410))),MAX($W$3:W409)+1,"")</f>
        <v/>
      </c>
    </row>
    <row r="411" ht="15" customHeight="1" s="217">
      <c r="A411" s="360" t="inlineStr">
        <is>
          <t>HYUNDAI</t>
        </is>
      </c>
      <c r="B411" s="361" t="n"/>
      <c r="C411" s="360" t="n"/>
      <c r="D411" s="360" t="n"/>
      <c r="E411" s="360" t="n"/>
      <c r="F411" s="362" t="inlineStr">
        <is>
          <t>28231-27860</t>
        </is>
      </c>
      <c r="G411" s="360" t="n"/>
      <c r="H411" s="375" t="inlineStr">
        <is>
          <t>Santafe 2.0 động cơ D4EA
 đời 2006 - 2011.</t>
        </is>
      </c>
      <c r="I411" s="360" t="n"/>
      <c r="J411" s="363" t="n"/>
      <c r="K411" s="364" t="n"/>
      <c r="L411" s="364" t="n"/>
      <c r="M411" s="364" t="n"/>
      <c r="N411" s="364" t="n"/>
      <c r="O411" s="365" t="n">
        <v>49</v>
      </c>
      <c r="P411" s="365" t="n">
        <v>36.3</v>
      </c>
      <c r="Q411" s="365" t="inlineStr">
        <is>
          <t>6/6</t>
        </is>
      </c>
      <c r="R411" s="365" t="n">
        <v>40.9</v>
      </c>
      <c r="S411" s="365" t="n">
        <v>34.7</v>
      </c>
      <c r="T411" s="365" t="inlineStr">
        <is>
          <t>9</t>
        </is>
      </c>
      <c r="V411" s="346">
        <f>UPPER(A411&amp;" "&amp;B411&amp;" "&amp;D411&amp;" "&amp;E411&amp;" "&amp;F411&amp;" "&amp;G411&amp;" "&amp;H411&amp;" "&amp;I411&amp;" "&amp;J411)</f>
        <v/>
      </c>
      <c r="W411" s="216">
        <f>IF(AND('TRA CỨU TỔNG HỢP'!$B$3&lt;&gt;"",ISNUMBER(SEARCH('TRA CỨU TỔNG HỢP'!$B$3,V411))),MAX($W$3:W410)+1,"")</f>
        <v/>
      </c>
    </row>
    <row r="412" ht="15" customHeight="1" s="217">
      <c r="A412" s="354" t="inlineStr">
        <is>
          <t>HYUNDAI</t>
        </is>
      </c>
      <c r="B412" s="355" t="inlineStr">
        <is>
          <t>HH081340</t>
        </is>
      </c>
      <c r="C412" s="354" t="inlineStr">
        <is>
          <t>Mitsubishi</t>
        </is>
      </c>
      <c r="D412" s="354" t="inlineStr">
        <is>
          <t>TF08L-28M-18</t>
        </is>
      </c>
      <c r="E412" s="354" t="inlineStr">
        <is>
          <t>D6AC</t>
        </is>
      </c>
      <c r="F412" s="356" t="inlineStr">
        <is>
          <t>49134-00130
28200-83401</t>
        </is>
      </c>
      <c r="G412" s="354" t="n"/>
      <c r="H412" s="354" t="n"/>
      <c r="I412" s="354" t="n"/>
      <c r="J412" s="357" t="inlineStr">
        <is>
          <t>FIRE</t>
        </is>
      </c>
      <c r="K412" s="358" t="n"/>
      <c r="L412" s="358" t="n"/>
      <c r="M412" s="358" t="n"/>
      <c r="N412" s="358">
        <f>IF(M412="","",M412*1.1)</f>
        <v/>
      </c>
      <c r="O412" s="359" t="n"/>
      <c r="P412" s="359" t="n"/>
      <c r="Q412" s="359" t="n"/>
      <c r="R412" s="359" t="n"/>
      <c r="S412" s="359" t="n"/>
      <c r="T412" s="359" t="n"/>
      <c r="V412" s="346">
        <f>UPPER(A412&amp;" "&amp;B412&amp;" "&amp;D412&amp;" "&amp;E412&amp;" "&amp;F412&amp;" "&amp;G412&amp;" "&amp;H412&amp;" "&amp;I412&amp;" "&amp;J412)</f>
        <v/>
      </c>
      <c r="W412" s="216">
        <f>IF(AND('TRA CỨU TỔNG HỢP'!$B$3&lt;&gt;"",ISNUMBER(SEARCH('TRA CỨU TỔNG HỢP'!$B$3,V412))),MAX($W$3:W411)+1,"")</f>
        <v/>
      </c>
    </row>
    <row r="413" ht="15" customHeight="1" s="217">
      <c r="A413" s="360" t="inlineStr">
        <is>
          <t>HYUNDAI</t>
        </is>
      </c>
      <c r="B413" s="361" t="n"/>
      <c r="C413" s="360" t="n"/>
      <c r="D413" s="360" t="n"/>
      <c r="E413" s="360" t="n"/>
      <c r="F413" s="362" t="inlineStr">
        <is>
          <t>28231-2B760
1639-970-0016
1639-970-0010</t>
        </is>
      </c>
      <c r="G413" s="360" t="n"/>
      <c r="H413" s="360" t="inlineStr">
        <is>
          <t>Tucson 2019</t>
        </is>
      </c>
      <c r="I413" s="360" t="n"/>
      <c r="J413" s="363" t="n"/>
      <c r="K413" s="364" t="n"/>
      <c r="L413" s="364" t="n"/>
      <c r="M413" s="364" t="n"/>
      <c r="N413" s="364" t="n"/>
      <c r="O413" s="365" t="n">
        <v>47.6</v>
      </c>
      <c r="P413" s="365" t="n">
        <v>35.5</v>
      </c>
      <c r="Q413" s="365" t="inlineStr">
        <is>
          <t>6/6</t>
        </is>
      </c>
      <c r="R413" s="365" t="n">
        <v>39</v>
      </c>
      <c r="S413" s="365" t="n">
        <v>34.8</v>
      </c>
      <c r="T413" s="365" t="n">
        <v>8</v>
      </c>
      <c r="V413" s="346">
        <f>UPPER(A413&amp;" "&amp;B413&amp;" "&amp;D413&amp;" "&amp;E413&amp;" "&amp;F413&amp;" "&amp;G413&amp;" "&amp;H413&amp;" "&amp;I413&amp;" "&amp;J413)</f>
        <v/>
      </c>
      <c r="W413" s="216">
        <f>IF(AND('TRA CỨU TỔNG HỢP'!$B$3&lt;&gt;"",ISNUMBER(SEARCH('TRA CỨU TỔNG HỢP'!$B$3,V413))),MAX($W$3:W412)+1,"")</f>
        <v/>
      </c>
    </row>
    <row r="414" ht="15" customHeight="1" s="217">
      <c r="A414" s="354" t="inlineStr">
        <is>
          <t>HYUNDAI</t>
        </is>
      </c>
      <c r="B414" s="355" t="inlineStr">
        <is>
          <t>HH078868</t>
        </is>
      </c>
      <c r="C414" s="354" t="inlineStr">
        <is>
          <t>Mitsubishi</t>
        </is>
      </c>
      <c r="D414" s="354" t="inlineStr">
        <is>
          <t>TD03L</t>
        </is>
      </c>
      <c r="E414" s="354" t="inlineStr">
        <is>
          <t>D4CB</t>
        </is>
      </c>
      <c r="F414" s="356" t="inlineStr">
        <is>
          <t>28231-4A850/49590-45607</t>
        </is>
      </c>
      <c r="G414" s="354" t="n"/>
      <c r="H414" s="354" t="inlineStr">
        <is>
          <t>Porter</t>
        </is>
      </c>
      <c r="I414" s="354" t="n"/>
      <c r="J414" s="357" t="inlineStr">
        <is>
          <t>SL</t>
        </is>
      </c>
      <c r="K414" s="358" t="n"/>
      <c r="L414" s="358" t="n"/>
      <c r="M414" s="358" t="n"/>
      <c r="N414" s="358">
        <f>IF(M414="","",M414*1.1)</f>
        <v/>
      </c>
      <c r="O414" s="359" t="n">
        <v>46</v>
      </c>
      <c r="P414" s="359" t="n">
        <v>35.6</v>
      </c>
      <c r="Q414" s="359" t="inlineStr">
        <is>
          <t>6/6</t>
        </is>
      </c>
      <c r="R414" s="359" t="n">
        <v>40.2</v>
      </c>
      <c r="S414" s="359" t="n">
        <v>35.1</v>
      </c>
      <c r="T414" s="359" t="n">
        <v>11</v>
      </c>
      <c r="V414" s="216">
        <f>UPPER(A414&amp;" "&amp;B414&amp;" "&amp;D414&amp;" "&amp;E414&amp;" "&amp;F414&amp;" "&amp;G414&amp;" "&amp;H414&amp;" "&amp;I414&amp;" "&amp;J414)</f>
        <v/>
      </c>
      <c r="W414" s="216">
        <f>IF(AND('TRA CỨU TỔNG HỢP'!$B$3&lt;&gt;"",ISNUMBER(SEARCH('TRA CỨU TỔNG HỢP'!$B$3,V414))),MAX($W$3:W413)+1,"")</f>
        <v/>
      </c>
    </row>
    <row r="415" ht="19.5" customHeight="1" s="217">
      <c r="A415" s="339" t="inlineStr">
        <is>
          <t xml:space="preserve">  🏭  ISUZU   ·   35 loại turbo</t>
        </is>
      </c>
      <c r="W415" s="216">
        <f>IF(AND('TRA CỨU TỔNG HỢP'!$B$3&lt;&gt;"",ISNUMBER(SEARCH('TRA CỨU TỔNG HỢP'!$B$3,V415))),MAX($W$3:W414)+1,"")</f>
        <v/>
      </c>
    </row>
    <row r="416" ht="15" customHeight="1" s="217">
      <c r="A416" s="354" t="inlineStr">
        <is>
          <t>ISUZU</t>
        </is>
      </c>
      <c r="B416" s="355" t="inlineStr">
        <is>
          <t>HH079690</t>
        </is>
      </c>
      <c r="C416" s="354" t="inlineStr">
        <is>
          <t>IHI</t>
        </is>
      </c>
      <c r="D416" s="354" t="inlineStr">
        <is>
          <t>RHC7</t>
        </is>
      </c>
      <c r="E416" s="354" t="inlineStr">
        <is>
          <t>H06C</t>
        </is>
      </c>
      <c r="F416" s="356" t="inlineStr">
        <is>
          <t>8943944573
VC250094/8943944572
VA250072/8-94394-4572</t>
        </is>
      </c>
      <c r="G416" s="354" t="inlineStr">
        <is>
          <t>Tâm lỗ 71 x 83</t>
        </is>
      </c>
      <c r="H416" s="354" t="inlineStr">
        <is>
          <t>Xe tải ISUZU</t>
        </is>
      </c>
      <c r="I416" s="354" t="n"/>
      <c r="J416" s="357" t="inlineStr">
        <is>
          <t>VIDARIR</t>
        </is>
      </c>
      <c r="K416" s="358" t="n"/>
      <c r="L416" s="358" t="n"/>
      <c r="M416" s="358" t="n"/>
      <c r="N416" s="358">
        <f>IF(M416="","",M416*1.1)</f>
        <v/>
      </c>
      <c r="O416" s="359" t="n"/>
      <c r="P416" s="359" t="n"/>
      <c r="Q416" s="359" t="n"/>
      <c r="R416" s="359" t="n"/>
      <c r="S416" s="359" t="n"/>
      <c r="T416" s="359" t="n"/>
      <c r="V416" s="346">
        <f>UPPER(A416&amp;" "&amp;B416&amp;" "&amp;D416&amp;" "&amp;E416&amp;" "&amp;F416&amp;" "&amp;G416&amp;" "&amp;H416&amp;" "&amp;I416&amp;" "&amp;J416)</f>
        <v/>
      </c>
      <c r="W416" s="216">
        <f>IF(AND('TRA CỨU TỔNG HỢP'!$B$3&lt;&gt;"",ISNUMBER(SEARCH('TRA CỨU TỔNG HỢP'!$B$3,V416))),MAX($W$3:W415)+1,"")</f>
        <v/>
      </c>
    </row>
    <row r="417" ht="15" customHeight="1" s="217">
      <c r="A417" s="340" t="inlineStr">
        <is>
          <t>ISUZU</t>
        </is>
      </c>
      <c r="B417" s="341" t="inlineStr">
        <is>
          <t>HH077514</t>
        </is>
      </c>
      <c r="C417" s="340" t="inlineStr">
        <is>
          <t>IHI</t>
        </is>
      </c>
      <c r="D417" s="340" t="inlineStr">
        <is>
          <t>4KH1</t>
        </is>
      </c>
      <c r="E417" s="340" t="n"/>
      <c r="F417" s="342" t="inlineStr">
        <is>
          <t>1118010850
1118010-850</t>
        </is>
      </c>
      <c r="G417" s="340" t="n"/>
      <c r="H417" s="340" t="n"/>
      <c r="I417" s="340" t="inlineStr">
        <is>
          <t>có ha</t>
        </is>
      </c>
      <c r="J417" s="343" t="inlineStr">
        <is>
          <t>EE</t>
        </is>
      </c>
      <c r="K417" s="344" t="n"/>
      <c r="L417" s="344" t="n"/>
      <c r="M417" s="344" t="n"/>
      <c r="N417" s="344">
        <f>IF(M417="","",M417*1.1)</f>
        <v/>
      </c>
      <c r="O417" s="345" t="n">
        <v>48</v>
      </c>
      <c r="P417" s="345" t="n">
        <v>37.2</v>
      </c>
      <c r="Q417" s="345" t="inlineStr">
        <is>
          <t>6/6</t>
        </is>
      </c>
      <c r="R417" s="345" t="n">
        <v>44.4</v>
      </c>
      <c r="S417" s="345" t="n">
        <v>37.6</v>
      </c>
      <c r="T417" s="345" t="n">
        <v>8</v>
      </c>
      <c r="V417" s="346">
        <f>UPPER(A417&amp;" "&amp;B417&amp;" "&amp;D417&amp;" "&amp;E417&amp;" "&amp;F417&amp;" "&amp;G417&amp;" "&amp;H417&amp;" "&amp;I417&amp;" "&amp;J417)</f>
        <v/>
      </c>
      <c r="W417" s="216">
        <f>IF(AND('TRA CỨU TỔNG HỢP'!$B$3&lt;&gt;"",ISNUMBER(SEARCH('TRA CỨU TỔNG HỢP'!$B$3,V417))),MAX($W$3:W416)+1,"")</f>
        <v/>
      </c>
    </row>
    <row r="418" ht="15" customHeight="1" s="217">
      <c r="A418" s="347" t="inlineStr">
        <is>
          <t xml:space="preserve">  └─ ISUZU</t>
        </is>
      </c>
      <c r="B418" s="348" t="inlineStr">
        <is>
          <t>HH082359</t>
        </is>
      </c>
      <c r="C418" s="349" t="inlineStr">
        <is>
          <t>IHI</t>
        </is>
      </c>
      <c r="D418" s="349" t="inlineStr">
        <is>
          <t>4KH1</t>
        </is>
      </c>
      <c r="E418" s="349" t="n"/>
      <c r="F418" s="350" t="inlineStr">
        <is>
          <t>1118010850
1118010-850</t>
        </is>
      </c>
      <c r="G418" s="349" t="n"/>
      <c r="H418" s="349" t="n"/>
      <c r="I418" s="349" t="inlineStr">
        <is>
          <t>có ha</t>
        </is>
      </c>
      <c r="J418" s="351" t="inlineStr">
        <is>
          <t>SL</t>
        </is>
      </c>
      <c r="K418" s="352" t="n"/>
      <c r="L418" s="352" t="n"/>
      <c r="M418" s="352" t="n"/>
      <c r="N418" s="352">
        <f>IF(M418="","",M418*1.1)</f>
        <v/>
      </c>
      <c r="O418" s="353" t="n">
        <v>48</v>
      </c>
      <c r="P418" s="353" t="n">
        <v>37.2</v>
      </c>
      <c r="Q418" s="353" t="inlineStr">
        <is>
          <t>6/6</t>
        </is>
      </c>
      <c r="R418" s="353" t="n">
        <v>44.4</v>
      </c>
      <c r="S418" s="353" t="n">
        <v>37.6</v>
      </c>
      <c r="T418" s="353" t="n">
        <v>8</v>
      </c>
      <c r="V418" s="346">
        <f>UPPER(A418&amp;" "&amp;B418&amp;" "&amp;D418&amp;" "&amp;E418&amp;" "&amp;F418&amp;" "&amp;G418&amp;" "&amp;H418&amp;" "&amp;I418&amp;" "&amp;J418)</f>
        <v/>
      </c>
      <c r="W418" s="216">
        <f>IF(AND('TRA CỨU TỔNG HỢP'!$B$3&lt;&gt;"",ISNUMBER(SEARCH('TRA CỨU TỔNG HỢP'!$B$3,V418))),MAX($W$3:W417)+1,"")</f>
        <v/>
      </c>
    </row>
    <row r="419" ht="15" customHeight="1" s="217">
      <c r="A419" s="354" t="inlineStr">
        <is>
          <t>ISUZU</t>
        </is>
      </c>
      <c r="B419" s="355" t="inlineStr">
        <is>
          <t>HH082052</t>
        </is>
      </c>
      <c r="C419" s="354" t="inlineStr">
        <is>
          <t>Garrett</t>
        </is>
      </c>
      <c r="D419" s="354" t="inlineStr">
        <is>
          <t>GT22</t>
        </is>
      </c>
      <c r="E419" s="354" t="inlineStr">
        <is>
          <t>493 / BJ493ZQ</t>
        </is>
      </c>
      <c r="F419" s="356" t="inlineStr">
        <is>
          <t>738769-0001</t>
        </is>
      </c>
      <c r="G419" s="366" t="inlineStr">
        <is>
          <t>Chân chữ nhật
cổ gang bắt 4 lỗ bulon</t>
        </is>
      </c>
      <c r="H419" s="354" t="inlineStr">
        <is>
          <t>Foton</t>
        </is>
      </c>
      <c r="I419" s="354" t="inlineStr">
        <is>
          <t>CA498 ( đang check chỗ sơn kim)</t>
        </is>
      </c>
      <c r="J419" s="357" t="inlineStr">
        <is>
          <t>1579</t>
        </is>
      </c>
      <c r="K419" s="358" t="n"/>
      <c r="L419" s="358" t="n"/>
      <c r="M419" s="358" t="n"/>
      <c r="N419" s="358">
        <f>IF(M419="","",M419*1.1)</f>
        <v/>
      </c>
      <c r="O419" s="359" t="n"/>
      <c r="P419" s="359" t="n"/>
      <c r="Q419" s="359" t="n"/>
      <c r="R419" s="359" t="n"/>
      <c r="S419" s="359" t="n"/>
      <c r="T419" s="359" t="n"/>
      <c r="V419" s="346">
        <f>UPPER(A419&amp;" "&amp;B419&amp;" "&amp;D419&amp;" "&amp;E419&amp;" "&amp;F419&amp;" "&amp;G419&amp;" "&amp;H419&amp;" "&amp;I419&amp;" "&amp;J419)</f>
        <v/>
      </c>
      <c r="W419" s="216">
        <f>IF(AND('TRA CỨU TỔNG HỢP'!$B$3&lt;&gt;"",ISNUMBER(SEARCH('TRA CỨU TỔNG HỢP'!$B$3,V419))),MAX($W$3:W418)+1,"")</f>
        <v/>
      </c>
    </row>
    <row r="420" ht="15" customHeight="1" s="217">
      <c r="A420" s="354" t="inlineStr">
        <is>
          <t>ISUZU</t>
        </is>
      </c>
      <c r="B420" s="355" t="inlineStr">
        <is>
          <t>HH080922</t>
        </is>
      </c>
      <c r="C420" s="354" t="inlineStr">
        <is>
          <t>Garrett</t>
        </is>
      </c>
      <c r="D420" s="354" t="inlineStr">
        <is>
          <t>GT22/JP60T/ TB25</t>
        </is>
      </c>
      <c r="E420" s="354" t="inlineStr">
        <is>
          <t>BJ493ZQ/4JB1</t>
        </is>
      </c>
      <c r="F420" s="356" t="inlineStr">
        <is>
          <t>720618-0001</t>
        </is>
      </c>
      <c r="G420" s="366" t="inlineStr">
        <is>
          <t>Tâm lỗ 40 x 73 
cổ gang bắt 5 lỗ bulon</t>
        </is>
      </c>
      <c r="H420" s="354" t="inlineStr">
        <is>
          <t>JMC</t>
        </is>
      </c>
      <c r="I420" s="354" t="n"/>
      <c r="J420" s="357" t="inlineStr">
        <is>
          <t>TBS</t>
        </is>
      </c>
      <c r="K420" s="358" t="n"/>
      <c r="L420" s="358" t="n"/>
      <c r="M420" s="358" t="n"/>
      <c r="N420" s="358">
        <f>IF(M420="","",M420*1.1)</f>
        <v/>
      </c>
      <c r="O420" s="359" t="n"/>
      <c r="P420" s="359" t="n"/>
      <c r="Q420" s="359" t="n"/>
      <c r="R420" s="359" t="n"/>
      <c r="S420" s="359" t="n"/>
      <c r="T420" s="359" t="n"/>
      <c r="V420" s="346">
        <f>UPPER(A420&amp;" "&amp;B420&amp;" "&amp;D420&amp;" "&amp;E420&amp;" "&amp;F420&amp;" "&amp;G420&amp;" "&amp;H420&amp;" "&amp;I420&amp;" "&amp;J420)</f>
        <v/>
      </c>
      <c r="W420" s="216">
        <f>IF(AND('TRA CỨU TỔNG HỢP'!$B$3&lt;&gt;"",ISNUMBER(SEARCH('TRA CỨU TỔNG HỢP'!$B$3,V420))),MAX($W$3:W419)+1,"")</f>
        <v/>
      </c>
    </row>
    <row r="421" ht="15" customHeight="1" s="217">
      <c r="A421" s="340" t="inlineStr">
        <is>
          <t>ISUZU</t>
        </is>
      </c>
      <c r="B421" s="341" t="inlineStr">
        <is>
          <t>HH084194</t>
        </is>
      </c>
      <c r="C421" s="340" t="inlineStr">
        <is>
          <t>Garrett</t>
        </is>
      </c>
      <c r="D421" s="340" t="inlineStr">
        <is>
          <t>GT22</t>
        </is>
      </c>
      <c r="E421" s="340" t="inlineStr">
        <is>
          <t>JX493/4JB1/493ZLQ3</t>
        </is>
      </c>
      <c r="F421" s="342" t="inlineStr">
        <is>
          <t>822158-0002
822158-5002S
1118300ABY</t>
        </is>
      </c>
      <c r="G421" s="373" t="inlineStr">
        <is>
          <t>Chân tam giác,cổ gang 4 lỗ cân
 ( làm mát bằng nước nhớt)</t>
        </is>
      </c>
      <c r="H421" s="340" t="inlineStr">
        <is>
          <t xml:space="preserve">JMC/Đô Thành </t>
        </is>
      </c>
      <c r="I421" s="340" t="n"/>
      <c r="J421" s="343" t="inlineStr">
        <is>
          <t>EE</t>
        </is>
      </c>
      <c r="K421" s="344" t="n"/>
      <c r="L421" s="344" t="n"/>
      <c r="M421" s="344" t="n"/>
      <c r="N421" s="344">
        <f>IF(M421="","",M421*1.1)</f>
        <v/>
      </c>
      <c r="O421" s="345" t="n"/>
      <c r="P421" s="345" t="n"/>
      <c r="Q421" s="345" t="n"/>
      <c r="R421" s="345" t="n"/>
      <c r="S421" s="345" t="n"/>
      <c r="T421" s="345" t="n"/>
      <c r="V421" s="346">
        <f>UPPER(A421&amp;" "&amp;B421&amp;" "&amp;D421&amp;" "&amp;E421&amp;" "&amp;F421&amp;" "&amp;G421&amp;" "&amp;H421&amp;" "&amp;I421&amp;" "&amp;J421)</f>
        <v/>
      </c>
      <c r="W421" s="216">
        <f>IF(AND('TRA CỨU TỔNG HỢP'!$B$3&lt;&gt;"",ISNUMBER(SEARCH('TRA CỨU TỔNG HỢP'!$B$3,V421))),MAX($W$3:W420)+1,"")</f>
        <v/>
      </c>
    </row>
    <row r="422" ht="15" customHeight="1" s="217">
      <c r="A422" s="347" t="inlineStr">
        <is>
          <t xml:space="preserve">  └─ ISUZU</t>
        </is>
      </c>
      <c r="B422" s="348" t="inlineStr">
        <is>
          <t>HH079940</t>
        </is>
      </c>
      <c r="C422" s="349" t="inlineStr">
        <is>
          <t>Garrett</t>
        </is>
      </c>
      <c r="D422" s="349" t="inlineStr">
        <is>
          <t>GT22</t>
        </is>
      </c>
      <c r="E422" s="349" t="inlineStr">
        <is>
          <t>JX493/4JB1/493ZLQ3</t>
        </is>
      </c>
      <c r="F422" s="350" t="inlineStr">
        <is>
          <t>822158-0002
822158-5002S
1118300ABY</t>
        </is>
      </c>
      <c r="G422" s="374" t="inlineStr">
        <is>
          <t>Chân tam giác,cổ gang 4 lỗ cân
 ( làm mát bằng nước nhớt)</t>
        </is>
      </c>
      <c r="H422" s="349" t="inlineStr">
        <is>
          <t xml:space="preserve">JMC/Đô Thành </t>
        </is>
      </c>
      <c r="I422" s="349" t="n"/>
      <c r="J422" s="351" t="inlineStr">
        <is>
          <t>VIDARIR</t>
        </is>
      </c>
      <c r="K422" s="352" t="n"/>
      <c r="L422" s="352" t="n"/>
      <c r="M422" s="352" t="n"/>
      <c r="N422" s="352">
        <f>IF(M422="","",M422*1.1)</f>
        <v/>
      </c>
      <c r="O422" s="353" t="n"/>
      <c r="P422" s="353" t="n"/>
      <c r="Q422" s="353" t="n"/>
      <c r="R422" s="353" t="n"/>
      <c r="S422" s="353" t="n"/>
      <c r="T422" s="353" t="n"/>
      <c r="V422" s="346">
        <f>UPPER(A422&amp;" "&amp;B422&amp;" "&amp;D422&amp;" "&amp;E422&amp;" "&amp;F422&amp;" "&amp;G422&amp;" "&amp;H422&amp;" "&amp;I422&amp;" "&amp;J422)</f>
        <v/>
      </c>
      <c r="W422" s="216">
        <f>IF(AND('TRA CỨU TỔNG HỢP'!$B$3&lt;&gt;"",ISNUMBER(SEARCH('TRA CỨU TỔNG HỢP'!$B$3,V422))),MAX($W$3:W421)+1,"")</f>
        <v/>
      </c>
    </row>
    <row r="423" ht="15" customHeight="1" s="217">
      <c r="A423" s="354" t="inlineStr">
        <is>
          <t>ISUZU</t>
        </is>
      </c>
      <c r="B423" s="355" t="inlineStr">
        <is>
          <t>HH084194</t>
        </is>
      </c>
      <c r="C423" s="354" t="inlineStr">
        <is>
          <t>Garrett</t>
        </is>
      </c>
      <c r="D423" s="354" t="inlineStr">
        <is>
          <t>GT1752/GT22</t>
        </is>
      </c>
      <c r="E423" s="354" t="inlineStr">
        <is>
          <t>JX493/4JB1</t>
        </is>
      </c>
      <c r="F423" s="356" t="inlineStr">
        <is>
          <t xml:space="preserve">
1118300ABY</t>
        </is>
      </c>
      <c r="G423" s="354" t="inlineStr">
        <is>
          <t>Chân tam giác ( làm mát bằng nước nhớt)</t>
        </is>
      </c>
      <c r="H423" s="354" t="inlineStr">
        <is>
          <t xml:space="preserve">JMC/Đô Thành </t>
        </is>
      </c>
      <c r="I423" s="354" t="inlineStr">
        <is>
          <t>CÓ HÀNG E&amp;E</t>
        </is>
      </c>
      <c r="J423" s="357" t="inlineStr">
        <is>
          <t>EE</t>
        </is>
      </c>
      <c r="K423" s="358" t="n"/>
      <c r="L423" s="358" t="n"/>
      <c r="M423" s="358" t="n"/>
      <c r="N423" s="358">
        <f>IF(M423="","",M423*1.1)</f>
        <v/>
      </c>
      <c r="O423" s="359" t="n"/>
      <c r="P423" s="359" t="n"/>
      <c r="Q423" s="359" t="n"/>
      <c r="R423" s="359" t="n"/>
      <c r="S423" s="359" t="n"/>
      <c r="T423" s="359" t="n"/>
      <c r="V423" s="346">
        <f>UPPER(A423&amp;" "&amp;B423&amp;" "&amp;D423&amp;" "&amp;E423&amp;" "&amp;F423&amp;" "&amp;G423&amp;" "&amp;H423&amp;" "&amp;I423&amp;" "&amp;J423)</f>
        <v/>
      </c>
      <c r="W423" s="216">
        <f>IF(AND('TRA CỨU TỔNG HỢP'!$B$3&lt;&gt;"",ISNUMBER(SEARCH('TRA CỨU TỔNG HỢP'!$B$3,V423))),MAX($W$3:W422)+1,"")</f>
        <v/>
      </c>
    </row>
    <row r="424" ht="15" customHeight="1" s="217">
      <c r="A424" s="340" t="inlineStr">
        <is>
          <t>ISUZU</t>
        </is>
      </c>
      <c r="B424" s="341" t="inlineStr">
        <is>
          <t>HH074861</t>
        </is>
      </c>
      <c r="C424" s="340" t="inlineStr">
        <is>
          <t>Garrett</t>
        </is>
      </c>
      <c r="D424" s="340" t="inlineStr">
        <is>
          <t>GT22</t>
        </is>
      </c>
      <c r="E424" s="340" t="inlineStr">
        <is>
          <t>JX493/4JB1</t>
        </is>
      </c>
      <c r="F424" s="342" t="inlineStr">
        <is>
          <t>736210-0009
1118300DL</t>
        </is>
      </c>
      <c r="G424" s="373" t="inlineStr">
        <is>
          <t>Chân tam giác
Có đường làm mát nước</t>
        </is>
      </c>
      <c r="H424" s="340" t="inlineStr">
        <is>
          <t>JMC</t>
        </is>
      </c>
      <c r="I424" s="340" t="n"/>
      <c r="J424" s="343" t="inlineStr">
        <is>
          <t>SL</t>
        </is>
      </c>
      <c r="K424" s="344" t="n"/>
      <c r="L424" s="344" t="n"/>
      <c r="M424" s="344" t="n"/>
      <c r="N424" s="344">
        <f>IF(M424="","",M424*1.1)</f>
        <v/>
      </c>
      <c r="O424" s="345" t="n">
        <v>56</v>
      </c>
      <c r="P424" s="345" t="n">
        <v>41.4</v>
      </c>
      <c r="Q424" s="345" t="inlineStr">
        <is>
          <t>6/6</t>
        </is>
      </c>
      <c r="R424" s="345" t="n">
        <v>50.5</v>
      </c>
      <c r="S424" s="345" t="n">
        <v>42.8</v>
      </c>
      <c r="T424" s="345" t="n">
        <v>9</v>
      </c>
      <c r="V424" s="346">
        <f>UPPER(A424&amp;" "&amp;B424&amp;" "&amp;D424&amp;" "&amp;E424&amp;" "&amp;F424&amp;" "&amp;G424&amp;" "&amp;H424&amp;" "&amp;I424&amp;" "&amp;J424)</f>
        <v/>
      </c>
      <c r="W424" s="216">
        <f>IF(AND('TRA CỨU TỔNG HỢP'!$B$3&lt;&gt;"",ISNUMBER(SEARCH('TRA CỨU TỔNG HỢP'!$B$3,V424))),MAX($W$3:W423)+1,"")</f>
        <v/>
      </c>
    </row>
    <row r="425" ht="15" customHeight="1" s="217">
      <c r="A425" s="347" t="inlineStr">
        <is>
          <t xml:space="preserve">  └─ ISUZU</t>
        </is>
      </c>
      <c r="B425" s="348" t="inlineStr">
        <is>
          <t>HH079986</t>
        </is>
      </c>
      <c r="C425" s="349" t="inlineStr">
        <is>
          <t>Garrett</t>
        </is>
      </c>
      <c r="D425" s="349" t="inlineStr">
        <is>
          <t>GT22</t>
        </is>
      </c>
      <c r="E425" s="349" t="inlineStr">
        <is>
          <t>JX493/4JB1</t>
        </is>
      </c>
      <c r="F425" s="350" t="inlineStr">
        <is>
          <t>736210-0009
1118300DL</t>
        </is>
      </c>
      <c r="G425" s="374" t="inlineStr">
        <is>
          <t>Chân tam giác
Có đường làm mát nước</t>
        </is>
      </c>
      <c r="H425" s="349" t="inlineStr">
        <is>
          <t>JMC</t>
        </is>
      </c>
      <c r="I425" s="349" t="n"/>
      <c r="J425" s="351" t="inlineStr">
        <is>
          <t>SL</t>
        </is>
      </c>
      <c r="K425" s="352" t="n"/>
      <c r="L425" s="352" t="n"/>
      <c r="M425" s="352" t="n"/>
      <c r="N425" s="352">
        <f>IF(M425="","",M425*1.1)</f>
        <v/>
      </c>
      <c r="O425" s="353" t="n">
        <v>56</v>
      </c>
      <c r="P425" s="353" t="n">
        <v>41.4</v>
      </c>
      <c r="Q425" s="353" t="inlineStr">
        <is>
          <t>6/6</t>
        </is>
      </c>
      <c r="R425" s="353" t="n">
        <v>50.5</v>
      </c>
      <c r="S425" s="353" t="n">
        <v>42.8</v>
      </c>
      <c r="T425" s="353" t="n">
        <v>9</v>
      </c>
      <c r="V425" s="346">
        <f>UPPER(A425&amp;" "&amp;B425&amp;" "&amp;D425&amp;" "&amp;E425&amp;" "&amp;F425&amp;" "&amp;G425&amp;" "&amp;H425&amp;" "&amp;I425&amp;" "&amp;J425)</f>
        <v/>
      </c>
      <c r="W425" s="216">
        <f>IF(AND('TRA CỨU TỔNG HỢP'!$B$3&lt;&gt;"",ISNUMBER(SEARCH('TRA CỨU TỔNG HỢP'!$B$3,V425))),MAX($W$3:W424)+1,"")</f>
        <v/>
      </c>
    </row>
    <row r="426" ht="15" customHeight="1" s="217">
      <c r="A426" s="354" t="inlineStr">
        <is>
          <t>ISUZU</t>
        </is>
      </c>
      <c r="B426" s="355" t="inlineStr">
        <is>
          <t>HH073015</t>
        </is>
      </c>
      <c r="C426" s="354" t="inlineStr">
        <is>
          <t>Garrett</t>
        </is>
      </c>
      <c r="D426" s="354" t="inlineStr">
        <is>
          <t>GT22</t>
        </is>
      </c>
      <c r="E426" s="354" t="inlineStr">
        <is>
          <t>JX493/4JB1</t>
        </is>
      </c>
      <c r="F426" s="356" t="inlineStr">
        <is>
          <t>736210-0005 | 736210-5 | 736210-5005S | 736210-5005 | 736210-0003 | 736210-3 | 736210-5003S | 736210-5003 | 1118300SZ | IC30035S</t>
        </is>
      </c>
      <c r="G426" s="354" t="inlineStr">
        <is>
          <t>Chân tam giác</t>
        </is>
      </c>
      <c r="H426" s="354" t="inlineStr">
        <is>
          <t>JMC</t>
        </is>
      </c>
      <c r="I426" s="354" t="n"/>
      <c r="J426" s="357" t="inlineStr">
        <is>
          <t>SL</t>
        </is>
      </c>
      <c r="K426" s="358" t="n"/>
      <c r="L426" s="358" t="n"/>
      <c r="M426" s="358" t="n"/>
      <c r="N426" s="358">
        <f>IF(M426="","",M426*1.1)</f>
        <v/>
      </c>
      <c r="O426" s="359" t="n">
        <v>56</v>
      </c>
      <c r="P426" s="359" t="n">
        <v>41.4</v>
      </c>
      <c r="Q426" s="359" t="inlineStr">
        <is>
          <t>6/6</t>
        </is>
      </c>
      <c r="R426" s="359" t="n">
        <v>50.5</v>
      </c>
      <c r="S426" s="359" t="n">
        <v>42.8</v>
      </c>
      <c r="T426" s="359" t="n">
        <v>9</v>
      </c>
      <c r="V426" s="216">
        <f>UPPER(A426&amp;" "&amp;B426&amp;" "&amp;D426&amp;" "&amp;E426&amp;" "&amp;F426&amp;" "&amp;G426&amp;" "&amp;H426&amp;" "&amp;I426&amp;" "&amp;J426)</f>
        <v/>
      </c>
      <c r="W426" s="216">
        <f>IF(AND('TRA CỨU TỔNG HỢP'!$B$3&lt;&gt;"",ISNUMBER(SEARCH('TRA CỨU TỔNG HỢP'!$B$3,V426))),MAX($W$3:W425)+1,"")</f>
        <v/>
      </c>
    </row>
    <row r="427" ht="15" customHeight="1" s="217">
      <c r="A427" s="340" t="inlineStr">
        <is>
          <t>ISUZU</t>
        </is>
      </c>
      <c r="B427" s="341" t="inlineStr">
        <is>
          <t>HH077664</t>
        </is>
      </c>
      <c r="C427" s="340" t="inlineStr">
        <is>
          <t>IHI</t>
        </is>
      </c>
      <c r="D427" s="340" t="inlineStr">
        <is>
          <t>RHE7</t>
        </is>
      </c>
      <c r="E427" s="340" t="inlineStr">
        <is>
          <t>6SD1</t>
        </is>
      </c>
      <c r="F427" s="342" t="inlineStr">
        <is>
          <t>114400-3394</t>
        </is>
      </c>
      <c r="G427" s="340" t="n"/>
      <c r="H427" s="340" t="n"/>
      <c r="I427" s="340" t="n"/>
      <c r="J427" s="343" t="inlineStr">
        <is>
          <t>SL</t>
        </is>
      </c>
      <c r="K427" s="344" t="n"/>
      <c r="L427" s="344" t="n"/>
      <c r="M427" s="344" t="n"/>
      <c r="N427" s="344">
        <f>IF(M427="","",M427*1.1)</f>
        <v/>
      </c>
      <c r="O427" s="345" t="n">
        <v>82</v>
      </c>
      <c r="P427" s="345" t="n">
        <v>57.2</v>
      </c>
      <c r="Q427" s="345" t="inlineStr">
        <is>
          <t>6/6</t>
        </is>
      </c>
      <c r="R427" s="345" t="n">
        <v>75.43000000000001</v>
      </c>
      <c r="S427" s="345" t="n">
        <v>73.59999999999999</v>
      </c>
      <c r="T427" s="345" t="inlineStr">
        <is>
          <t>11</t>
        </is>
      </c>
      <c r="V427" s="216">
        <f>UPPER(A427&amp;" "&amp;B427&amp;" "&amp;D427&amp;" "&amp;E427&amp;" "&amp;F427&amp;" "&amp;G427&amp;" "&amp;H427&amp;" "&amp;I427&amp;" "&amp;J427)</f>
        <v/>
      </c>
      <c r="W427" s="216">
        <f>IF(AND('TRA CỨU TỔNG HỢP'!$B$3&lt;&gt;"",ISNUMBER(SEARCH('TRA CỨU TỔNG HỢP'!$B$3,V427))),MAX($W$3:W426)+1,"")</f>
        <v/>
      </c>
    </row>
    <row r="428" ht="15" customHeight="1" s="217">
      <c r="A428" s="347" t="inlineStr">
        <is>
          <t xml:space="preserve">  └─ ISUZU</t>
        </is>
      </c>
      <c r="B428" s="348" t="inlineStr">
        <is>
          <t>HH079975</t>
        </is>
      </c>
      <c r="C428" s="349" t="inlineStr">
        <is>
          <t>IHI</t>
        </is>
      </c>
      <c r="D428" s="349" t="inlineStr">
        <is>
          <t>RHE7</t>
        </is>
      </c>
      <c r="E428" s="349" t="inlineStr">
        <is>
          <t>6SD1</t>
        </is>
      </c>
      <c r="F428" s="350" t="inlineStr">
        <is>
          <t>114400-3394</t>
        </is>
      </c>
      <c r="G428" s="349" t="n"/>
      <c r="H428" s="349" t="n"/>
      <c r="I428" s="349" t="n"/>
      <c r="J428" s="351" t="inlineStr">
        <is>
          <t>SL</t>
        </is>
      </c>
      <c r="K428" s="352" t="n"/>
      <c r="L428" s="352" t="n"/>
      <c r="M428" s="352" t="n"/>
      <c r="N428" s="352">
        <f>IF(M428="","",M428*1.1)</f>
        <v/>
      </c>
      <c r="O428" s="353" t="n">
        <v>82</v>
      </c>
      <c r="P428" s="353" t="n">
        <v>57.2</v>
      </c>
      <c r="Q428" s="353" t="inlineStr">
        <is>
          <t>6/6</t>
        </is>
      </c>
      <c r="R428" s="353" t="n">
        <v>75.43000000000001</v>
      </c>
      <c r="S428" s="353" t="n">
        <v>73.59999999999999</v>
      </c>
      <c r="T428" s="353" t="inlineStr">
        <is>
          <t>11</t>
        </is>
      </c>
      <c r="V428" s="216">
        <f>UPPER(A428&amp;" "&amp;B428&amp;" "&amp;D428&amp;" "&amp;E428&amp;" "&amp;F428&amp;" "&amp;G428&amp;" "&amp;H428&amp;" "&amp;I428&amp;" "&amp;J428)</f>
        <v/>
      </c>
      <c r="W428" s="216">
        <f>IF(AND('TRA CỨU TỔNG HỢP'!$B$3&lt;&gt;"",ISNUMBER(SEARCH('TRA CỨU TỔNG HỢP'!$B$3,V428))),MAX($W$3:W427)+1,"")</f>
        <v/>
      </c>
    </row>
    <row r="429" ht="15" customHeight="1" s="217">
      <c r="A429" s="340" t="inlineStr">
        <is>
          <t>ISUZU</t>
        </is>
      </c>
      <c r="B429" s="341" t="inlineStr">
        <is>
          <t>HH071948</t>
        </is>
      </c>
      <c r="C429" s="340" t="inlineStr">
        <is>
          <t>Garrett</t>
        </is>
      </c>
      <c r="D429" s="340" t="inlineStr">
        <is>
          <t>GT2560LS</t>
        </is>
      </c>
      <c r="E429" s="340" t="inlineStr">
        <is>
          <t>4HE1/4HK1</t>
        </is>
      </c>
      <c r="F429" s="342" t="inlineStr">
        <is>
          <t>700716-0009/700716-4/700716-5003S/700716-5/700716-5009S/700716-0009/700716-5004S/700716-0005/700716-0004/700716-5005S/700716-0003/700716-3/700716-9
8971894520/8972089660/8971894520/8972089662/8972089661/8972089663
8G25-200-184</t>
        </is>
      </c>
      <c r="G429" s="340" t="inlineStr">
        <is>
          <t>có điều tốc / Làm mát bằng nhớt &amp; nước</t>
        </is>
      </c>
      <c r="H429" s="340" t="n"/>
      <c r="I429" s="340" t="n"/>
      <c r="J429" s="343" t="inlineStr">
        <is>
          <t>SL</t>
        </is>
      </c>
      <c r="K429" s="344" t="n"/>
      <c r="L429" s="344" t="n"/>
      <c r="M429" s="344" t="n"/>
      <c r="N429" s="344">
        <f>IF(M429="","",M429*1.1)</f>
        <v/>
      </c>
      <c r="O429" s="345" t="n">
        <v>60.2</v>
      </c>
      <c r="P429" s="345" t="n">
        <v>46.4</v>
      </c>
      <c r="Q429" s="345" t="inlineStr">
        <is>
          <t>6/6</t>
        </is>
      </c>
      <c r="R429" s="345" t="n">
        <v>54</v>
      </c>
      <c r="S429" s="345" t="n">
        <v>46.9</v>
      </c>
      <c r="T429" s="345" t="n">
        <v>9</v>
      </c>
      <c r="V429" s="346">
        <f>UPPER(A429&amp;" "&amp;B429&amp;" "&amp;D429&amp;" "&amp;E429&amp;" "&amp;F429&amp;" "&amp;G429&amp;" "&amp;H429&amp;" "&amp;I429&amp;" "&amp;J429)</f>
        <v/>
      </c>
      <c r="W429" s="216">
        <f>IF(AND('TRA CỨU TỔNG HỢP'!$B$3&lt;&gt;"",ISNUMBER(SEARCH('TRA CỨU TỔNG HỢP'!$B$3,V429))),MAX($W$3:W428)+1,"")</f>
        <v/>
      </c>
    </row>
    <row r="430" ht="15" customHeight="1" s="217">
      <c r="A430" s="347" t="inlineStr">
        <is>
          <t xml:space="preserve">  └─ ISUZU</t>
        </is>
      </c>
      <c r="B430" s="348" t="inlineStr">
        <is>
          <t>HH079993</t>
        </is>
      </c>
      <c r="C430" s="349" t="inlineStr">
        <is>
          <t>Garrett</t>
        </is>
      </c>
      <c r="D430" s="349" t="inlineStr">
        <is>
          <t>GT2560LS</t>
        </is>
      </c>
      <c r="E430" s="349" t="inlineStr">
        <is>
          <t>4HE1/4HK1</t>
        </is>
      </c>
      <c r="F430" s="350" t="inlineStr">
        <is>
          <t>700716-0009/700716-4/700716-5003S/700716-5/700716-5009S/700716-0009/700716-5004S/700716-0005/700716-0004/700716-5005S/700716-0003/700716-3/700716-9
8971894520/8972089660/8971894520/8972089662/8972089661/8972089663
8G25-200-184</t>
        </is>
      </c>
      <c r="G430" s="349" t="inlineStr">
        <is>
          <t>có điều tốc / Làm mát bằng nhớt &amp; nước</t>
        </is>
      </c>
      <c r="H430" s="349" t="n"/>
      <c r="I430" s="349" t="n"/>
      <c r="J430" s="351" t="inlineStr">
        <is>
          <t>SL</t>
        </is>
      </c>
      <c r="K430" s="352" t="n"/>
      <c r="L430" s="352" t="n"/>
      <c r="M430" s="352" t="n"/>
      <c r="N430" s="352">
        <f>IF(M430="","",M430*1.1)</f>
        <v/>
      </c>
      <c r="O430" s="353" t="n">
        <v>60.2</v>
      </c>
      <c r="P430" s="353" t="n">
        <v>46.4</v>
      </c>
      <c r="Q430" s="353" t="inlineStr">
        <is>
          <t>6/6</t>
        </is>
      </c>
      <c r="R430" s="353" t="n">
        <v>54</v>
      </c>
      <c r="S430" s="353" t="n">
        <v>46.9</v>
      </c>
      <c r="T430" s="353" t="n">
        <v>9</v>
      </c>
      <c r="V430" s="346">
        <f>UPPER(A430&amp;" "&amp;B430&amp;" "&amp;D430&amp;" "&amp;E430&amp;" "&amp;F430&amp;" "&amp;G430&amp;" "&amp;H430&amp;" "&amp;I430&amp;" "&amp;J430)</f>
        <v/>
      </c>
      <c r="W430" s="216">
        <f>IF(AND('TRA CỨU TỔNG HỢP'!$B$3&lt;&gt;"",ISNUMBER(SEARCH('TRA CỨU TỔNG HỢP'!$B$3,V430))),MAX($W$3:W429)+1,"")</f>
        <v/>
      </c>
    </row>
    <row r="431" ht="15" customHeight="1" s="217">
      <c r="A431" s="340" t="inlineStr">
        <is>
          <t>ISUZU</t>
        </is>
      </c>
      <c r="B431" s="341" t="inlineStr">
        <is>
          <t>HH078449</t>
        </is>
      </c>
      <c r="C431" s="340" t="inlineStr">
        <is>
          <t>IHI</t>
        </is>
      </c>
      <c r="D431" s="340" t="inlineStr">
        <is>
          <t>RHE6</t>
        </is>
      </c>
      <c r="E431" s="340" t="inlineStr">
        <is>
          <t>6HK1</t>
        </is>
      </c>
      <c r="F431" s="342" t="n">
        <v>8980787791</v>
      </c>
      <c r="G431" s="340" t="n"/>
      <c r="H431" s="340" t="inlineStr">
        <is>
          <t>(xe tải 15 TẤN FVM)</t>
        </is>
      </c>
      <c r="I431" s="340" t="n"/>
      <c r="J431" s="343" t="inlineStr">
        <is>
          <t>VIDARIR</t>
        </is>
      </c>
      <c r="K431" s="344" t="n"/>
      <c r="L431" s="344" t="n"/>
      <c r="M431" s="344" t="n"/>
      <c r="N431" s="344">
        <f>IF(M431="","",M431*1.1)</f>
        <v/>
      </c>
      <c r="O431" s="345" t="n"/>
      <c r="P431" s="345" t="n"/>
      <c r="Q431" s="345" t="n"/>
      <c r="R431" s="345" t="n"/>
      <c r="S431" s="345" t="n"/>
      <c r="T431" s="345" t="n"/>
      <c r="V431" s="216">
        <f>UPPER(A431&amp;" "&amp;B431&amp;" "&amp;D431&amp;" "&amp;E431&amp;" "&amp;F431&amp;" "&amp;G431&amp;" "&amp;H431&amp;" "&amp;I431&amp;" "&amp;J431)</f>
        <v/>
      </c>
      <c r="W431" s="216">
        <f>IF(AND('TRA CỨU TỔNG HỢP'!$B$3&lt;&gt;"",ISNUMBER(SEARCH('TRA CỨU TỔNG HỢP'!$B$3,V431))),MAX($W$3:W430)+1,"")</f>
        <v/>
      </c>
    </row>
    <row r="432" ht="15" customHeight="1" s="217">
      <c r="A432" s="347" t="inlineStr">
        <is>
          <t xml:space="preserve">  └─ ISUZU</t>
        </is>
      </c>
      <c r="B432" s="348" t="inlineStr">
        <is>
          <t>HH083506</t>
        </is>
      </c>
      <c r="C432" s="349" t="inlineStr">
        <is>
          <t>IHI</t>
        </is>
      </c>
      <c r="D432" s="349" t="inlineStr">
        <is>
          <t>RHE6</t>
        </is>
      </c>
      <c r="E432" s="349" t="inlineStr">
        <is>
          <t>6HK1</t>
        </is>
      </c>
      <c r="F432" s="350" t="n">
        <v>8980787791</v>
      </c>
      <c r="G432" s="349" t="n"/>
      <c r="H432" s="349" t="inlineStr">
        <is>
          <t>(xe tải 15 TẤN FVM)</t>
        </is>
      </c>
      <c r="I432" s="349" t="n"/>
      <c r="J432" s="351" t="inlineStr">
        <is>
          <t>TBS</t>
        </is>
      </c>
      <c r="K432" s="352" t="n"/>
      <c r="L432" s="352" t="n"/>
      <c r="M432" s="352" t="n"/>
      <c r="N432" s="352">
        <f>IF(M432="","",M432*1.1)</f>
        <v/>
      </c>
      <c r="O432" s="353" t="n"/>
      <c r="P432" s="353" t="n"/>
      <c r="Q432" s="353" t="n"/>
      <c r="R432" s="353" t="n"/>
      <c r="S432" s="353" t="n"/>
      <c r="T432" s="353" t="n"/>
      <c r="V432" s="216">
        <f>UPPER(A432&amp;" "&amp;B432&amp;" "&amp;D432&amp;" "&amp;E432&amp;" "&amp;F432&amp;" "&amp;G432&amp;" "&amp;H432&amp;" "&amp;I432&amp;" "&amp;J432)</f>
        <v/>
      </c>
      <c r="W432" s="216">
        <f>IF(AND('TRA CỨU TỔNG HỢP'!$B$3&lt;&gt;"",ISNUMBER(SEARCH('TRA CỨU TỔNG HỢP'!$B$3,V432))),MAX($W$3:W431)+1,"")</f>
        <v/>
      </c>
    </row>
    <row r="433" ht="15" customHeight="1" s="217">
      <c r="A433" s="354" t="inlineStr">
        <is>
          <t>ISUZU</t>
        </is>
      </c>
      <c r="B433" s="355" t="inlineStr">
        <is>
          <t>HH079125</t>
        </is>
      </c>
      <c r="C433" s="354" t="inlineStr">
        <is>
          <t>IHI</t>
        </is>
      </c>
      <c r="D433" s="354" t="inlineStr">
        <is>
          <t>RHF4H/RHF4</t>
        </is>
      </c>
      <c r="E433" s="354" t="inlineStr">
        <is>
          <t>4JA1</t>
        </is>
      </c>
      <c r="F433" s="356" t="inlineStr">
        <is>
          <t>8I04-200-980
 8972402101/8971856452
VC420037-VIDA</t>
        </is>
      </c>
      <c r="G433" s="354" t="inlineStr">
        <is>
          <t>ko có đường nước làm mát</t>
        </is>
      </c>
      <c r="H433" s="354" t="inlineStr">
        <is>
          <t>Isuzu DMAX</t>
        </is>
      </c>
      <c r="I433" s="354" t="n"/>
      <c r="J433" s="357" t="inlineStr">
        <is>
          <t>JRONE</t>
        </is>
      </c>
      <c r="K433" s="358" t="n"/>
      <c r="L433" s="358" t="n"/>
      <c r="M433" s="358" t="n"/>
      <c r="N433" s="358">
        <f>IF(M433="","",M433*1.1)</f>
        <v/>
      </c>
      <c r="O433" s="359" t="n">
        <v>47</v>
      </c>
      <c r="P433" s="359" t="n">
        <v>35.3</v>
      </c>
      <c r="Q433" s="359" t="inlineStr">
        <is>
          <t>6/6</t>
        </is>
      </c>
      <c r="R433" s="359" t="n">
        <v>44.3</v>
      </c>
      <c r="S433" s="359" t="n">
        <v>37.7</v>
      </c>
      <c r="T433" s="359" t="n">
        <v>8</v>
      </c>
      <c r="V433" s="346">
        <f>UPPER(A433&amp;" "&amp;B433&amp;" "&amp;D433&amp;" "&amp;E433&amp;" "&amp;F433&amp;" "&amp;G433&amp;" "&amp;H433&amp;" "&amp;I433&amp;" "&amp;J433)</f>
        <v/>
      </c>
      <c r="W433" s="216">
        <f>IF(AND('TRA CỨU TỔNG HỢP'!$B$3&lt;&gt;"",ISNUMBER(SEARCH('TRA CỨU TỔNG HỢP'!$B$3,V433))),MAX($W$3:W432)+1,"")</f>
        <v/>
      </c>
    </row>
    <row r="434" ht="15" customHeight="1" s="217">
      <c r="A434" s="340" t="inlineStr">
        <is>
          <t>ISUZU</t>
        </is>
      </c>
      <c r="B434" s="341" t="inlineStr">
        <is>
          <t>HH081729</t>
        </is>
      </c>
      <c r="C434" s="340" t="inlineStr">
        <is>
          <t>IHI</t>
        </is>
      </c>
      <c r="D434" s="340" t="inlineStr">
        <is>
          <t>RHF4</t>
        </is>
      </c>
      <c r="E434" s="340" t="inlineStr">
        <is>
          <t>4JB1TC/4HK1</t>
        </is>
      </c>
      <c r="F434" s="342" t="inlineStr">
        <is>
          <t>897331-1850
8I04-200-047/| VA420076 | VB420076 | VC420076 | VD420076 | 8973311850 | 8973311851 | 8-97331-1850 | 8-97331-1851 | 897331-1850 | 897331-1851 | 4T505 | 4T-505 | F41CADS0076B | F41CAD-S0076B | F41CADS0076G | F41CAD-S0076G | 1118010802 | 1118010-802 | 3047087</t>
        </is>
      </c>
      <c r="G434" s="373" t="inlineStr">
        <is>
          <t>Tâm lỗ bu lông 48 x 48
Có đường làm mát nước</t>
        </is>
      </c>
      <c r="H434" s="340" t="inlineStr">
        <is>
          <t>Xe tải QRK</t>
        </is>
      </c>
      <c r="I434" s="340" t="n"/>
      <c r="J434" s="343" t="inlineStr">
        <is>
          <t>SL</t>
        </is>
      </c>
      <c r="K434" s="344" t="n"/>
      <c r="L434" s="344" t="n"/>
      <c r="M434" s="344" t="n"/>
      <c r="N434" s="344">
        <f>IF(M434="","",M434*1.1)</f>
        <v/>
      </c>
      <c r="O434" s="345" t="n">
        <v>52.5</v>
      </c>
      <c r="P434" s="345" t="n">
        <v>38.1</v>
      </c>
      <c r="Q434" s="345" t="inlineStr">
        <is>
          <t>10</t>
        </is>
      </c>
      <c r="R434" s="345" t="n">
        <v>44.3</v>
      </c>
      <c r="S434" s="345" t="n">
        <v>37.7</v>
      </c>
      <c r="T434" s="345" t="n">
        <v>8</v>
      </c>
      <c r="V434" s="346">
        <f>UPPER(A434&amp;" "&amp;B434&amp;" "&amp;D434&amp;" "&amp;E434&amp;" "&amp;F434&amp;" "&amp;G434&amp;" "&amp;H434&amp;" "&amp;I434&amp;" "&amp;J434)</f>
        <v/>
      </c>
      <c r="W434" s="216">
        <f>IF(AND('TRA CỨU TỔNG HỢP'!$B$3&lt;&gt;"",ISNUMBER(SEARCH('TRA CỨU TỔNG HỢP'!$B$3,V434))),MAX($W$3:W433)+1,"")</f>
        <v/>
      </c>
    </row>
    <row r="435" ht="15" customHeight="1" s="217">
      <c r="A435" s="347" t="inlineStr">
        <is>
          <t xml:space="preserve">  └─ ISUZU</t>
        </is>
      </c>
      <c r="B435" s="348" t="inlineStr">
        <is>
          <t>HH078715</t>
        </is>
      </c>
      <c r="C435" s="349" t="inlineStr">
        <is>
          <t>IHI</t>
        </is>
      </c>
      <c r="D435" s="349" t="inlineStr">
        <is>
          <t>RHF4</t>
        </is>
      </c>
      <c r="E435" s="349" t="inlineStr">
        <is>
          <t>4JB1TC/4HK1</t>
        </is>
      </c>
      <c r="F435" s="350" t="inlineStr">
        <is>
          <t>897331-1850
8I04-200-047/| VA420076 | VB420076 | VC420076 | VD420076 | 8973311850 | 8973311851 | 8-97331-1850 | 8-97331-1851 | 897331-1850 | 897331-1851 | 4T505 | 4T-505 | F41CADS0076B | F41CAD-S0076B | F41CADS0076G | F41CAD-S0076G | 1118010802 | 1118010-802 | 3047087</t>
        </is>
      </c>
      <c r="G435" s="374" t="inlineStr">
        <is>
          <t>Tâm lỗ bu lông 48 x 48
Có đường làm mát nước</t>
        </is>
      </c>
      <c r="H435" s="349" t="inlineStr">
        <is>
          <t>Xe tải QRK</t>
        </is>
      </c>
      <c r="I435" s="349" t="n"/>
      <c r="J435" s="351" t="inlineStr">
        <is>
          <t>SL</t>
        </is>
      </c>
      <c r="K435" s="352" t="n"/>
      <c r="L435" s="352" t="n"/>
      <c r="M435" s="352" t="n"/>
      <c r="N435" s="352">
        <f>IF(M435="","",M435*1.1)</f>
        <v/>
      </c>
      <c r="O435" s="353" t="n">
        <v>52.5</v>
      </c>
      <c r="P435" s="353" t="n">
        <v>38.1</v>
      </c>
      <c r="Q435" s="353" t="inlineStr">
        <is>
          <t>10</t>
        </is>
      </c>
      <c r="R435" s="353" t="n">
        <v>44.3</v>
      </c>
      <c r="S435" s="353" t="n">
        <v>37.7</v>
      </c>
      <c r="T435" s="353" t="n">
        <v>8</v>
      </c>
      <c r="V435" s="346">
        <f>UPPER(A435&amp;" "&amp;B435&amp;" "&amp;D435&amp;" "&amp;E435&amp;" "&amp;F435&amp;" "&amp;G435&amp;" "&amp;H435&amp;" "&amp;I435&amp;" "&amp;J435)</f>
        <v/>
      </c>
      <c r="W435" s="216">
        <f>IF(AND('TRA CỨU TỔNG HỢP'!$B$3&lt;&gt;"",ISNUMBER(SEARCH('TRA CỨU TỔNG HỢP'!$B$3,V435))),MAX($W$3:W434)+1,"")</f>
        <v/>
      </c>
    </row>
    <row r="436" ht="15" customHeight="1" s="217">
      <c r="A436" s="347" t="inlineStr">
        <is>
          <t xml:space="preserve">  └─ ISUZU</t>
        </is>
      </c>
      <c r="B436" s="348" t="inlineStr">
        <is>
          <t>HH079972</t>
        </is>
      </c>
      <c r="C436" s="349" t="inlineStr">
        <is>
          <t>IHI</t>
        </is>
      </c>
      <c r="D436" s="349" t="inlineStr">
        <is>
          <t>RHF4</t>
        </is>
      </c>
      <c r="E436" s="349" t="inlineStr">
        <is>
          <t>4JB1TC/4HK1</t>
        </is>
      </c>
      <c r="F436" s="350" t="inlineStr">
        <is>
          <t>897331-1850
8I04-200-047/| VA420076 | VB420076 | VC420076 | VD420076 | 8973311850 | 8973311851 | 8-97331-1850 | 8-97331-1851 | 897331-1850 | 897331-1851 | 4T505 | 4T-505 | F41CADS0076B | F41CAD-S0076B | F41CADS0076G | F41CAD-S0076G | 1118010802 | 1118010-802 | 3047087</t>
        </is>
      </c>
      <c r="G436" s="374" t="inlineStr">
        <is>
          <t>Tâm lỗ bu lông 48 x 48
Có đường làm mát nước</t>
        </is>
      </c>
      <c r="H436" s="349" t="inlineStr">
        <is>
          <t>Xe tải QRK</t>
        </is>
      </c>
      <c r="I436" s="349" t="n"/>
      <c r="J436" s="351" t="inlineStr">
        <is>
          <t>SL</t>
        </is>
      </c>
      <c r="K436" s="352" t="n"/>
      <c r="L436" s="352" t="n"/>
      <c r="M436" s="352" t="n"/>
      <c r="N436" s="352">
        <f>IF(M436="","",M436*1.1)</f>
        <v/>
      </c>
      <c r="O436" s="353" t="n">
        <v>52.5</v>
      </c>
      <c r="P436" s="353" t="n">
        <v>38.1</v>
      </c>
      <c r="Q436" s="353" t="inlineStr">
        <is>
          <t>10</t>
        </is>
      </c>
      <c r="R436" s="353" t="n">
        <v>44.3</v>
      </c>
      <c r="S436" s="353" t="n">
        <v>37.7</v>
      </c>
      <c r="T436" s="353" t="n">
        <v>8</v>
      </c>
      <c r="V436" s="346">
        <f>UPPER(A436&amp;" "&amp;B436&amp;" "&amp;D436&amp;" "&amp;E436&amp;" "&amp;F436&amp;" "&amp;G436&amp;" "&amp;H436&amp;" "&amp;I436&amp;" "&amp;J436)</f>
        <v/>
      </c>
      <c r="W436" s="216">
        <f>IF(AND('TRA CỨU TỔNG HỢP'!$B$3&lt;&gt;"",ISNUMBER(SEARCH('TRA CỨU TỔNG HỢP'!$B$3,V436))),MAX($W$3:W435)+1,"")</f>
        <v/>
      </c>
    </row>
    <row r="437" ht="15" customHeight="1" s="217">
      <c r="A437" s="340" t="inlineStr">
        <is>
          <t>ISUZU</t>
        </is>
      </c>
      <c r="B437" s="341" t="inlineStr">
        <is>
          <t>HH071947</t>
        </is>
      </c>
      <c r="C437" s="340" t="inlineStr">
        <is>
          <t>Garrett</t>
        </is>
      </c>
      <c r="D437" s="340" t="inlineStr">
        <is>
          <t>GT2256M</t>
        </is>
      </c>
      <c r="E437" s="340" t="inlineStr">
        <is>
          <t>4HG1T</t>
        </is>
      </c>
      <c r="F437" s="342" t="inlineStr">
        <is>
          <t>8973267520
703136-0003 704136-0003
704136-0001 704136-0002
8973267520/B161202088
8972083520/8971784860</t>
        </is>
      </c>
      <c r="G437" s="373" t="inlineStr">
        <is>
          <t>chân tam giác
gắn liền cổ xả lửa</t>
        </is>
      </c>
      <c r="H437" s="340" t="inlineStr">
        <is>
          <t>Isuzu NPR</t>
        </is>
      </c>
      <c r="I437" s="340" t="n"/>
      <c r="J437" s="343" t="n"/>
      <c r="K437" s="344" t="n"/>
      <c r="L437" s="344" t="n"/>
      <c r="M437" s="344" t="n"/>
      <c r="N437" s="344">
        <f>IF(M437="","",M437*1.1)</f>
        <v/>
      </c>
      <c r="O437" s="345" t="n">
        <v>56</v>
      </c>
      <c r="P437" s="345" t="n">
        <v>41.5</v>
      </c>
      <c r="Q437" s="345" t="inlineStr">
        <is>
          <t>6/6</t>
        </is>
      </c>
      <c r="R437" s="345" t="n">
        <v>50.4</v>
      </c>
      <c r="S437" s="345" t="n">
        <v>42.8</v>
      </c>
      <c r="T437" s="345" t="n">
        <v>9</v>
      </c>
      <c r="V437" s="346">
        <f>UPPER(A437&amp;" "&amp;B437&amp;" "&amp;D437&amp;" "&amp;E437&amp;" "&amp;F437&amp;" "&amp;G437&amp;" "&amp;H437&amp;" "&amp;I437&amp;" "&amp;J437)</f>
        <v/>
      </c>
      <c r="W437" s="216">
        <f>IF(AND('TRA CỨU TỔNG HỢP'!$B$3&lt;&gt;"",ISNUMBER(SEARCH('TRA CỨU TỔNG HỢP'!$B$3,V437))),MAX($W$3:W436)+1,"")</f>
        <v/>
      </c>
    </row>
    <row r="438" ht="15" customHeight="1" s="217">
      <c r="A438" s="347" t="inlineStr">
        <is>
          <t xml:space="preserve">  └─ ISUZU</t>
        </is>
      </c>
      <c r="B438" s="348" t="inlineStr">
        <is>
          <t>HH080325</t>
        </is>
      </c>
      <c r="C438" s="349" t="inlineStr">
        <is>
          <t>Garrett</t>
        </is>
      </c>
      <c r="D438" s="349" t="inlineStr">
        <is>
          <t>GT2256M</t>
        </is>
      </c>
      <c r="E438" s="349" t="inlineStr">
        <is>
          <t>4HG1T</t>
        </is>
      </c>
      <c r="F438" s="350" t="inlineStr">
        <is>
          <t>8973267520
703136-0003 704136-0003
704136-0001 704136-0002
8973267520/B161202088
8972083520/8971784860</t>
        </is>
      </c>
      <c r="G438" s="374" t="inlineStr">
        <is>
          <t>chân tam giác
gắn liền cổ xả lửa</t>
        </is>
      </c>
      <c r="H438" s="349" t="inlineStr">
        <is>
          <t>Isuzu NPR</t>
        </is>
      </c>
      <c r="I438" s="349" t="n"/>
      <c r="J438" s="351" t="inlineStr">
        <is>
          <t>SL</t>
        </is>
      </c>
      <c r="K438" s="352" t="n"/>
      <c r="L438" s="352" t="n"/>
      <c r="M438" s="352" t="n"/>
      <c r="N438" s="352">
        <f>IF(M438="","",M438*1.1)</f>
        <v/>
      </c>
      <c r="O438" s="353" t="n">
        <v>56</v>
      </c>
      <c r="P438" s="353" t="n">
        <v>41.5</v>
      </c>
      <c r="Q438" s="353" t="inlineStr">
        <is>
          <t>6/6</t>
        </is>
      </c>
      <c r="R438" s="353" t="n">
        <v>50.4</v>
      </c>
      <c r="S438" s="353" t="n">
        <v>42.8</v>
      </c>
      <c r="T438" s="353" t="n">
        <v>9</v>
      </c>
      <c r="V438" s="346">
        <f>UPPER(A438&amp;" "&amp;B438&amp;" "&amp;D438&amp;" "&amp;E438&amp;" "&amp;F438&amp;" "&amp;G438&amp;" "&amp;H438&amp;" "&amp;I438&amp;" "&amp;J438)</f>
        <v/>
      </c>
      <c r="W438" s="216">
        <f>IF(AND('TRA CỨU TỔNG HỢP'!$B$3&lt;&gt;"",ISNUMBER(SEARCH('TRA CỨU TỔNG HỢP'!$B$3,V438))),MAX($W$3:W437)+1,"")</f>
        <v/>
      </c>
    </row>
    <row r="439" ht="15" customHeight="1" s="217">
      <c r="A439" s="340" t="inlineStr">
        <is>
          <t>ISUZU</t>
        </is>
      </c>
      <c r="B439" s="341" t="inlineStr">
        <is>
          <t>HH081331</t>
        </is>
      </c>
      <c r="C439" s="340" t="inlineStr">
        <is>
          <t>IHI</t>
        </is>
      </c>
      <c r="D439" s="340" t="inlineStr">
        <is>
          <t>RHF5</t>
        </is>
      </c>
      <c r="E439" s="340" t="inlineStr">
        <is>
          <t>4JA1</t>
        </is>
      </c>
      <c r="F439" s="342" t="inlineStr">
        <is>
          <t>8973132920
 VA420084</t>
        </is>
      </c>
      <c r="G439" s="340" t="inlineStr">
        <is>
          <t>có đường nước làm mát</t>
        </is>
      </c>
      <c r="H439" s="340" t="inlineStr">
        <is>
          <t>Isuzu DMAX</t>
        </is>
      </c>
      <c r="I439" s="340" t="n"/>
      <c r="J439" s="343" t="inlineStr">
        <is>
          <t>SL</t>
        </is>
      </c>
      <c r="K439" s="344" t="n"/>
      <c r="L439" s="344" t="n"/>
      <c r="M439" s="344" t="n"/>
      <c r="N439" s="344">
        <f>IF(M439="","",M439*1.1)</f>
        <v/>
      </c>
      <c r="O439" s="345" t="n">
        <v>47</v>
      </c>
      <c r="P439" s="345" t="n">
        <v>35.3</v>
      </c>
      <c r="Q439" s="345" t="inlineStr">
        <is>
          <t>6/6</t>
        </is>
      </c>
      <c r="R439" s="345" t="n">
        <v>44.3</v>
      </c>
      <c r="S439" s="345" t="n">
        <v>37.7</v>
      </c>
      <c r="T439" s="345" t="n">
        <v>8</v>
      </c>
      <c r="V439" s="346">
        <f>UPPER(A439&amp;" "&amp;B439&amp;" "&amp;D439&amp;" "&amp;E439&amp;" "&amp;F439&amp;" "&amp;G439&amp;" "&amp;H439&amp;" "&amp;I439&amp;" "&amp;J439)</f>
        <v/>
      </c>
      <c r="W439" s="216">
        <f>IF(AND('TRA CỨU TỔNG HỢP'!$B$3&lt;&gt;"",ISNUMBER(SEARCH('TRA CỨU TỔNG HỢP'!$B$3,V439))),MAX($W$3:W438)+1,"")</f>
        <v/>
      </c>
    </row>
    <row r="440" ht="15" customHeight="1" s="217">
      <c r="A440" s="347" t="inlineStr">
        <is>
          <t xml:space="preserve">  └─ ISUZU</t>
        </is>
      </c>
      <c r="B440" s="348" t="inlineStr">
        <is>
          <t>HH081405</t>
        </is>
      </c>
      <c r="C440" s="349" t="inlineStr">
        <is>
          <t>IHI</t>
        </is>
      </c>
      <c r="D440" s="349" t="inlineStr">
        <is>
          <t>RHF5</t>
        </is>
      </c>
      <c r="E440" s="349" t="inlineStr">
        <is>
          <t>4JA1</t>
        </is>
      </c>
      <c r="F440" s="350" t="inlineStr">
        <is>
          <t>8973132920
 VA420084</t>
        </is>
      </c>
      <c r="G440" s="349" t="inlineStr">
        <is>
          <t>có đường nước làm mát</t>
        </is>
      </c>
      <c r="H440" s="349" t="inlineStr">
        <is>
          <t>Isuzu DMAX</t>
        </is>
      </c>
      <c r="I440" s="349" t="n"/>
      <c r="J440" s="351" t="inlineStr">
        <is>
          <t>SL</t>
        </is>
      </c>
      <c r="K440" s="352" t="n"/>
      <c r="L440" s="352" t="n"/>
      <c r="M440" s="352" t="n"/>
      <c r="N440" s="352">
        <f>IF(M440="","",M440*1.1)</f>
        <v/>
      </c>
      <c r="O440" s="353" t="n">
        <v>47</v>
      </c>
      <c r="P440" s="353" t="n">
        <v>35.3</v>
      </c>
      <c r="Q440" s="353" t="inlineStr">
        <is>
          <t>6/6</t>
        </is>
      </c>
      <c r="R440" s="353" t="n">
        <v>44.3</v>
      </c>
      <c r="S440" s="353" t="n">
        <v>37.7</v>
      </c>
      <c r="T440" s="353" t="n">
        <v>8</v>
      </c>
      <c r="V440" s="346">
        <f>UPPER(A440&amp;" "&amp;B440&amp;" "&amp;D440&amp;" "&amp;E440&amp;" "&amp;F440&amp;" "&amp;G440&amp;" "&amp;H440&amp;" "&amp;I440&amp;" "&amp;J440)</f>
        <v/>
      </c>
      <c r="W440" s="216">
        <f>IF(AND('TRA CỨU TỔNG HỢP'!$B$3&lt;&gt;"",ISNUMBER(SEARCH('TRA CỨU TỔNG HỢP'!$B$3,V440))),MAX($W$3:W439)+1,"")</f>
        <v/>
      </c>
    </row>
    <row r="441" ht="15" customHeight="1" s="217">
      <c r="A441" s="340" t="inlineStr">
        <is>
          <t>ISUZU</t>
        </is>
      </c>
      <c r="B441" s="341" t="inlineStr">
        <is>
          <t>HH071948</t>
        </is>
      </c>
      <c r="C441" s="340" t="inlineStr">
        <is>
          <t>Garrett</t>
        </is>
      </c>
      <c r="D441" s="340" t="inlineStr">
        <is>
          <t>GT25</t>
        </is>
      </c>
      <c r="E441" s="340" t="inlineStr">
        <is>
          <t>4HE1</t>
        </is>
      </c>
      <c r="F441" s="342" t="inlineStr">
        <is>
          <t>8972089661
700716/8972089663/8971894520</t>
        </is>
      </c>
      <c r="G441" s="373" t="inlineStr">
        <is>
          <t>Tâm lỗ 65 x 81 theo chiều dọc
cổ gang bắt 5 bulon</t>
        </is>
      </c>
      <c r="H441" s="340" t="inlineStr">
        <is>
          <t>Isuzu NQR</t>
        </is>
      </c>
      <c r="I441" s="340" t="inlineStr">
        <is>
          <t>CÓ H/A jrone ( thực tế)</t>
        </is>
      </c>
      <c r="J441" s="343" t="inlineStr">
        <is>
          <t>SL</t>
        </is>
      </c>
      <c r="K441" s="344" t="n"/>
      <c r="L441" s="344" t="n"/>
      <c r="M441" s="344" t="n"/>
      <c r="N441" s="344">
        <f>IF(M441="","",M441*1.1)</f>
        <v/>
      </c>
      <c r="O441" s="345" t="n">
        <v>60.2</v>
      </c>
      <c r="P441" s="345" t="n">
        <v>46.4</v>
      </c>
      <c r="Q441" s="345" t="inlineStr">
        <is>
          <t>6/6</t>
        </is>
      </c>
      <c r="R441" s="345" t="n">
        <v>54</v>
      </c>
      <c r="S441" s="345" t="n">
        <v>46.9</v>
      </c>
      <c r="T441" s="345" t="n">
        <v>9</v>
      </c>
      <c r="V441" s="346">
        <f>UPPER(A441&amp;" "&amp;B441&amp;" "&amp;D441&amp;" "&amp;E441&amp;" "&amp;F441&amp;" "&amp;G441&amp;" "&amp;H441&amp;" "&amp;I441&amp;" "&amp;J441)</f>
        <v/>
      </c>
      <c r="W441" s="216">
        <f>IF(AND('TRA CỨU TỔNG HỢP'!$B$3&lt;&gt;"",ISNUMBER(SEARCH('TRA CỨU TỔNG HỢP'!$B$3,V441))),MAX($W$3:W440)+1,"")</f>
        <v/>
      </c>
    </row>
    <row r="442" ht="15" customHeight="1" s="217">
      <c r="A442" s="347" t="inlineStr">
        <is>
          <t xml:space="preserve">  └─ ISUZU</t>
        </is>
      </c>
      <c r="B442" s="348" t="inlineStr">
        <is>
          <t>HH079993</t>
        </is>
      </c>
      <c r="C442" s="349" t="inlineStr">
        <is>
          <t>Garrett</t>
        </is>
      </c>
      <c r="D442" s="349" t="inlineStr">
        <is>
          <t>GT25</t>
        </is>
      </c>
      <c r="E442" s="349" t="inlineStr">
        <is>
          <t>4HE1</t>
        </is>
      </c>
      <c r="F442" s="350" t="inlineStr">
        <is>
          <t>8972089661
700716/8972089663/8971894520</t>
        </is>
      </c>
      <c r="G442" s="374" t="inlineStr">
        <is>
          <t>Tâm lỗ 65 x 81 theo chiều dọc
cổ gang bắt 5 bulon</t>
        </is>
      </c>
      <c r="H442" s="349" t="inlineStr">
        <is>
          <t>Isuzu NQR</t>
        </is>
      </c>
      <c r="I442" s="349" t="inlineStr">
        <is>
          <t>CÓ H/A jrone ( thực tế)</t>
        </is>
      </c>
      <c r="J442" s="351" t="inlineStr">
        <is>
          <t>SL</t>
        </is>
      </c>
      <c r="K442" s="352" t="n"/>
      <c r="L442" s="352" t="n"/>
      <c r="M442" s="352" t="n"/>
      <c r="N442" s="352">
        <f>IF(M442="","",M442*1.1)</f>
        <v/>
      </c>
      <c r="O442" s="353" t="n">
        <v>60.2</v>
      </c>
      <c r="P442" s="353" t="n">
        <v>46.4</v>
      </c>
      <c r="Q442" s="353" t="inlineStr">
        <is>
          <t>6/6</t>
        </is>
      </c>
      <c r="R442" s="353" t="n">
        <v>54</v>
      </c>
      <c r="S442" s="353" t="n">
        <v>46.9</v>
      </c>
      <c r="T442" s="353" t="n">
        <v>9</v>
      </c>
      <c r="V442" s="346">
        <f>UPPER(A442&amp;" "&amp;B442&amp;" "&amp;D442&amp;" "&amp;E442&amp;" "&amp;F442&amp;" "&amp;G442&amp;" "&amp;H442&amp;" "&amp;I442&amp;" "&amp;J442)</f>
        <v/>
      </c>
      <c r="W442" s="216">
        <f>IF(AND('TRA CỨU TỔNG HỢP'!$B$3&lt;&gt;"",ISNUMBER(SEARCH('TRA CỨU TỔNG HỢP'!$B$3,V442))),MAX($W$3:W441)+1,"")</f>
        <v/>
      </c>
    </row>
    <row r="443" ht="15" customHeight="1" s="217">
      <c r="A443" s="360" t="inlineStr">
        <is>
          <t>ISUZU</t>
        </is>
      </c>
      <c r="B443" s="361" t="n"/>
      <c r="C443" s="360" t="inlineStr">
        <is>
          <t>IHI</t>
        </is>
      </c>
      <c r="D443" s="360" t="inlineStr">
        <is>
          <t>RHF55</t>
        </is>
      </c>
      <c r="E443" s="360" t="inlineStr">
        <is>
          <t>4HE1-T/4HE1T</t>
        </is>
      </c>
      <c r="F443" s="362" t="inlineStr">
        <is>
          <t>8971038570/8971038571/VA440012 VB440012 VC440012 VD440012 VA440013/VC440012-VIBA</t>
        </is>
      </c>
      <c r="G443" s="360" t="inlineStr">
        <is>
          <t>có điều tốc ,cổ gang bắt bulon 5 lỗ</t>
        </is>
      </c>
      <c r="H443" s="360" t="inlineStr">
        <is>
          <t>Xe tải ISUZU</t>
        </is>
      </c>
      <c r="I443" s="360" t="inlineStr">
        <is>
          <t>chưa nhập</t>
        </is>
      </c>
      <c r="J443" s="363" t="n"/>
      <c r="K443" s="364" t="n"/>
      <c r="L443" s="364" t="n"/>
      <c r="M443" s="364" t="n"/>
      <c r="N443" s="364" t="n"/>
      <c r="O443" s="365" t="n">
        <v>60</v>
      </c>
      <c r="P443" s="365" t="n">
        <v>45</v>
      </c>
      <c r="Q443" s="365" t="inlineStr">
        <is>
          <t>5/5</t>
        </is>
      </c>
      <c r="R443" s="365" t="n">
        <v>56</v>
      </c>
      <c r="S443" s="365" t="n">
        <v>50</v>
      </c>
      <c r="T443" s="365" t="n">
        <v>11</v>
      </c>
      <c r="V443" s="216">
        <f>UPPER(A443&amp;" "&amp;B443&amp;" "&amp;D443&amp;" "&amp;E443&amp;" "&amp;F443&amp;" "&amp;G443&amp;" "&amp;H443&amp;" "&amp;I443&amp;" "&amp;J443)</f>
        <v/>
      </c>
      <c r="W443" s="216">
        <f>IF(AND('TRA CỨU TỔNG HỢP'!$B$3&lt;&gt;"",ISNUMBER(SEARCH('TRA CỨU TỔNG HỢP'!$B$3,V443))),MAX($W$3:W442)+1,"")</f>
        <v/>
      </c>
    </row>
    <row r="444" ht="15" customHeight="1" s="217">
      <c r="A444" s="367" t="inlineStr">
        <is>
          <t>ISUZU</t>
        </is>
      </c>
      <c r="B444" s="368" t="n"/>
      <c r="C444" s="367" t="inlineStr">
        <is>
          <t>IHI</t>
        </is>
      </c>
      <c r="D444" s="367" t="inlineStr">
        <is>
          <t>RHF5</t>
        </is>
      </c>
      <c r="E444" s="367" t="inlineStr">
        <is>
          <t>4JJ1</t>
        </is>
      </c>
      <c r="F444" s="369" t="n">
        <v>8982435610</v>
      </c>
      <c r="G444" s="367" t="n"/>
      <c r="H444" s="367" t="inlineStr">
        <is>
          <t>Isuzu NQR -EURO 4 / QKR270</t>
        </is>
      </c>
      <c r="I444" s="367" t="inlineStr">
        <is>
          <t>chưa nhập</t>
        </is>
      </c>
      <c r="J444" s="370" t="n"/>
      <c r="K444" s="371" t="n"/>
      <c r="L444" s="371" t="n"/>
      <c r="M444" s="371" t="n"/>
      <c r="N444" s="371" t="n"/>
      <c r="O444" s="372" t="n"/>
      <c r="P444" s="372" t="n"/>
      <c r="Q444" s="372" t="n"/>
      <c r="R444" s="372" t="n"/>
      <c r="S444" s="372" t="n"/>
      <c r="T444" s="372" t="n"/>
      <c r="V444" s="216">
        <f>UPPER(A444&amp;" "&amp;B444&amp;" "&amp;D444&amp;" "&amp;E444&amp;" "&amp;F444&amp;" "&amp;G444&amp;" "&amp;H444&amp;" "&amp;I444&amp;" "&amp;J444)</f>
        <v/>
      </c>
      <c r="W444" s="216">
        <f>IF(AND('TRA CỨU TỔNG HỢP'!$B$3&lt;&gt;"",ISNUMBER(SEARCH('TRA CỨU TỔNG HỢP'!$B$3,V444))),MAX($W$3:W443)+1,"")</f>
        <v/>
      </c>
    </row>
    <row r="445" ht="15" customHeight="1" s="217">
      <c r="A445" s="354" t="inlineStr">
        <is>
          <t>ISUZU</t>
        </is>
      </c>
      <c r="B445" s="355" t="inlineStr">
        <is>
          <t>HH083440</t>
        </is>
      </c>
      <c r="C445" s="354" t="inlineStr">
        <is>
          <t>IHI</t>
        </is>
      </c>
      <c r="D445" s="354" t="inlineStr">
        <is>
          <t>RHF55V</t>
        </is>
      </c>
      <c r="E445" s="354" t="inlineStr">
        <is>
          <t>4JJ1</t>
        </is>
      </c>
      <c r="F445" s="356" t="inlineStr">
        <is>
          <t>8980830411/8980830414</t>
        </is>
      </c>
      <c r="G445" s="354" t="inlineStr">
        <is>
          <t>cổ gió bắt 3 bu lon.điều tốc nằm dưới sò gang</t>
        </is>
      </c>
      <c r="H445" s="354" t="inlineStr">
        <is>
          <t>Isuzu NQR -EURO 4 / QKR270</t>
        </is>
      </c>
      <c r="I445" s="366" t="inlineStr">
        <is>
          <t>Mã 414 là mã đời mới thay thế cho 411,
( Bán chạy ) ô tô 88</t>
        </is>
      </c>
      <c r="J445" s="357" t="inlineStr">
        <is>
          <t>SL</t>
        </is>
      </c>
      <c r="K445" s="358" t="n"/>
      <c r="L445" s="358" t="n"/>
      <c r="M445" s="358" t="n"/>
      <c r="N445" s="358">
        <f>IF(M445="","",M445*1.1)</f>
        <v/>
      </c>
      <c r="O445" s="359" t="n"/>
      <c r="P445" s="359" t="n"/>
      <c r="Q445" s="359" t="n"/>
      <c r="R445" s="359" t="n"/>
      <c r="S445" s="359" t="n"/>
      <c r="T445" s="359" t="n"/>
      <c r="V445" s="346">
        <f>UPPER(A445&amp;" "&amp;B445&amp;" "&amp;D445&amp;" "&amp;E445&amp;" "&amp;F445&amp;" "&amp;G445&amp;" "&amp;H445&amp;" "&amp;I445&amp;" "&amp;J445)</f>
        <v/>
      </c>
      <c r="W445" s="216">
        <f>IF(AND('TRA CỨU TỔNG HỢP'!$B$3&lt;&gt;"",ISNUMBER(SEARCH('TRA CỨU TỔNG HỢP'!$B$3,V445))),MAX($W$3:W444)+1,"")</f>
        <v/>
      </c>
    </row>
    <row r="446" ht="15" customHeight="1" s="217">
      <c r="A446" s="340" t="inlineStr">
        <is>
          <t>ISUZU</t>
        </is>
      </c>
      <c r="B446" s="341" t="inlineStr">
        <is>
          <t>HH081068</t>
        </is>
      </c>
      <c r="C446" s="340" t="inlineStr">
        <is>
          <t>IHI</t>
        </is>
      </c>
      <c r="D446" s="340" t="inlineStr">
        <is>
          <t>RHF55V</t>
        </is>
      </c>
      <c r="E446" s="340" t="inlineStr">
        <is>
          <t>4HK1-TCC</t>
        </is>
      </c>
      <c r="F446" s="342" t="inlineStr">
        <is>
          <t>8983224810
8975260060, 8983520881
F5BVED-S0014G
14037516101</t>
        </is>
      </c>
      <c r="G446" s="340" t="inlineStr">
        <is>
          <t>điều tốc điện</t>
        </is>
      </c>
      <c r="H446" s="373" t="inlineStr">
        <is>
          <t xml:space="preserve">
Isuzu Npr75/Euro 4</t>
        </is>
      </c>
      <c r="I446" s="340" t="inlineStr">
        <is>
          <t>bán chạy  ô tô 88</t>
        </is>
      </c>
      <c r="J446" s="343" t="inlineStr">
        <is>
          <t>SL</t>
        </is>
      </c>
      <c r="K446" s="344" t="n"/>
      <c r="L446" s="344" t="n"/>
      <c r="M446" s="344" t="n"/>
      <c r="N446" s="344">
        <f>IF(M446="","",M446*1.1)</f>
        <v/>
      </c>
      <c r="O446" s="345" t="n">
        <v>65</v>
      </c>
      <c r="P446" s="345" t="n">
        <v>48.6</v>
      </c>
      <c r="Q446" s="345" t="inlineStr">
        <is>
          <t>6/6</t>
        </is>
      </c>
      <c r="R446" s="345" t="n">
        <v>56</v>
      </c>
      <c r="S446" s="345" t="n">
        <v>48.8</v>
      </c>
      <c r="T446" s="345" t="n">
        <v>11</v>
      </c>
      <c r="V446" s="346">
        <f>UPPER(A446&amp;" "&amp;B446&amp;" "&amp;D446&amp;" "&amp;E446&amp;" "&amp;F446&amp;" "&amp;G446&amp;" "&amp;H446&amp;" "&amp;I446&amp;" "&amp;J446)</f>
        <v/>
      </c>
      <c r="W446" s="216">
        <f>IF(AND('TRA CỨU TỔNG HỢP'!$B$3&lt;&gt;"",ISNUMBER(SEARCH('TRA CỨU TỔNG HỢP'!$B$3,V446))),MAX($W$3:W445)+1,"")</f>
        <v/>
      </c>
    </row>
    <row r="447" ht="15" customHeight="1" s="217">
      <c r="A447" s="347" t="inlineStr">
        <is>
          <t xml:space="preserve">  └─ ISUZU</t>
        </is>
      </c>
      <c r="B447" s="348" t="inlineStr">
        <is>
          <t>HH082675</t>
        </is>
      </c>
      <c r="C447" s="349" t="inlineStr">
        <is>
          <t>IHI</t>
        </is>
      </c>
      <c r="D447" s="349" t="inlineStr">
        <is>
          <t>RHF55V</t>
        </is>
      </c>
      <c r="E447" s="349" t="inlineStr">
        <is>
          <t>4HK1-TCC</t>
        </is>
      </c>
      <c r="F447" s="350" t="inlineStr">
        <is>
          <t>8983224810
8975260060, 8983520881
F5BVED-S0014G
14037516101</t>
        </is>
      </c>
      <c r="G447" s="349" t="inlineStr">
        <is>
          <t>điều tốc điện</t>
        </is>
      </c>
      <c r="H447" s="374" t="inlineStr">
        <is>
          <t xml:space="preserve">
Isuzu Npr75/Euro 4</t>
        </is>
      </c>
      <c r="I447" s="349" t="inlineStr">
        <is>
          <t>bán chạy  ô tô 88</t>
        </is>
      </c>
      <c r="J447" s="351" t="inlineStr">
        <is>
          <t>SL</t>
        </is>
      </c>
      <c r="K447" s="352" t="n"/>
      <c r="L447" s="352" t="n"/>
      <c r="M447" s="352" t="n"/>
      <c r="N447" s="352">
        <f>IF(M447="","",M447*1.1)</f>
        <v/>
      </c>
      <c r="O447" s="353" t="n">
        <v>65</v>
      </c>
      <c r="P447" s="353" t="n">
        <v>48.6</v>
      </c>
      <c r="Q447" s="353" t="inlineStr">
        <is>
          <t>6/6</t>
        </is>
      </c>
      <c r="R447" s="353" t="n">
        <v>56</v>
      </c>
      <c r="S447" s="353" t="n">
        <v>48.8</v>
      </c>
      <c r="T447" s="353" t="n">
        <v>11</v>
      </c>
      <c r="V447" s="346">
        <f>UPPER(A447&amp;" "&amp;B447&amp;" "&amp;D447&amp;" "&amp;E447&amp;" "&amp;F447&amp;" "&amp;G447&amp;" "&amp;H447&amp;" "&amp;I447&amp;" "&amp;J447)</f>
        <v/>
      </c>
      <c r="W447" s="216">
        <f>IF(AND('TRA CỨU TỔNG HỢP'!$B$3&lt;&gt;"",ISNUMBER(SEARCH('TRA CỨU TỔNG HỢP'!$B$3,V447))),MAX($W$3:W446)+1,"")</f>
        <v/>
      </c>
    </row>
    <row r="448" ht="15" customHeight="1" s="217">
      <c r="A448" s="347" t="inlineStr">
        <is>
          <t xml:space="preserve">  └─ ISUZU</t>
        </is>
      </c>
      <c r="B448" s="348" t="inlineStr">
        <is>
          <t>HH082512</t>
        </is>
      </c>
      <c r="C448" s="349" t="inlineStr">
        <is>
          <t>IHI</t>
        </is>
      </c>
      <c r="D448" s="349" t="inlineStr">
        <is>
          <t>RHF55V</t>
        </is>
      </c>
      <c r="E448" s="349" t="inlineStr">
        <is>
          <t>4HK1-TCC</t>
        </is>
      </c>
      <c r="F448" s="350" t="inlineStr">
        <is>
          <t>8983224810
8975260060, 8983520881
F5BVED-S0014G
14037516101</t>
        </is>
      </c>
      <c r="G448" s="349" t="inlineStr">
        <is>
          <t>điều tốc điện</t>
        </is>
      </c>
      <c r="H448" s="374" t="inlineStr">
        <is>
          <t xml:space="preserve">
Isuzu Npr75/Euro 4</t>
        </is>
      </c>
      <c r="I448" s="349" t="inlineStr">
        <is>
          <t>bán chạy  ô tô 88</t>
        </is>
      </c>
      <c r="J448" s="351" t="inlineStr">
        <is>
          <t>SL</t>
        </is>
      </c>
      <c r="K448" s="352" t="n"/>
      <c r="L448" s="352" t="n"/>
      <c r="M448" s="352" t="n"/>
      <c r="N448" s="352">
        <f>IF(M448="","",M448*1.1)</f>
        <v/>
      </c>
      <c r="O448" s="353" t="n">
        <v>65</v>
      </c>
      <c r="P448" s="353" t="n">
        <v>48.6</v>
      </c>
      <c r="Q448" s="353" t="inlineStr">
        <is>
          <t>6/6</t>
        </is>
      </c>
      <c r="R448" s="353" t="n">
        <v>56</v>
      </c>
      <c r="S448" s="353" t="n">
        <v>48.8</v>
      </c>
      <c r="T448" s="353" t="n">
        <v>11</v>
      </c>
      <c r="V448" s="346">
        <f>UPPER(A448&amp;" "&amp;B448&amp;" "&amp;D448&amp;" "&amp;E448&amp;" "&amp;F448&amp;" "&amp;G448&amp;" "&amp;H448&amp;" "&amp;I448&amp;" "&amp;J448)</f>
        <v/>
      </c>
      <c r="W448" s="216">
        <f>IF(AND('TRA CỨU TỔNG HỢP'!$B$3&lt;&gt;"",ISNUMBER(SEARCH('TRA CỨU TỔNG HỢP'!$B$3,V448))),MAX($W$3:W447)+1,"")</f>
        <v/>
      </c>
    </row>
    <row r="449" ht="15" customHeight="1" s="217">
      <c r="A449" s="347" t="inlineStr">
        <is>
          <t xml:space="preserve">  └─ ISUZU</t>
        </is>
      </c>
      <c r="B449" s="348" t="inlineStr">
        <is>
          <t>HH081406</t>
        </is>
      </c>
      <c r="C449" s="349" t="inlineStr">
        <is>
          <t>IHI</t>
        </is>
      </c>
      <c r="D449" s="349" t="inlineStr">
        <is>
          <t>RHF55V</t>
        </is>
      </c>
      <c r="E449" s="349" t="inlineStr">
        <is>
          <t>4HK1-TCC</t>
        </is>
      </c>
      <c r="F449" s="350" t="inlineStr">
        <is>
          <t>8983224810
8975260060, 8983520881
F5BVED-S0014G
14037516101</t>
        </is>
      </c>
      <c r="G449" s="349" t="inlineStr">
        <is>
          <t>điều tốc điện</t>
        </is>
      </c>
      <c r="H449" s="374" t="inlineStr">
        <is>
          <t xml:space="preserve">
Isuzu Npr75/Euro 4</t>
        </is>
      </c>
      <c r="I449" s="349" t="inlineStr">
        <is>
          <t>bán chạy  ô tô 88</t>
        </is>
      </c>
      <c r="J449" s="351" t="inlineStr">
        <is>
          <t>SL</t>
        </is>
      </c>
      <c r="K449" s="352" t="n"/>
      <c r="L449" s="352" t="n"/>
      <c r="M449" s="352" t="n"/>
      <c r="N449" s="352">
        <f>IF(M449="","",M449*1.1)</f>
        <v/>
      </c>
      <c r="O449" s="353" t="n">
        <v>65</v>
      </c>
      <c r="P449" s="353" t="n">
        <v>48.6</v>
      </c>
      <c r="Q449" s="353" t="inlineStr">
        <is>
          <t>6/6</t>
        </is>
      </c>
      <c r="R449" s="353" t="n">
        <v>56</v>
      </c>
      <c r="S449" s="353" t="n">
        <v>48.8</v>
      </c>
      <c r="T449" s="353" t="n">
        <v>11</v>
      </c>
      <c r="V449" s="346">
        <f>UPPER(A449&amp;" "&amp;B449&amp;" "&amp;D449&amp;" "&amp;E449&amp;" "&amp;F449&amp;" "&amp;G449&amp;" "&amp;H449&amp;" "&amp;I449&amp;" "&amp;J449)</f>
        <v/>
      </c>
      <c r="W449" s="216">
        <f>IF(AND('TRA CỨU TỔNG HỢP'!$B$3&lt;&gt;"",ISNUMBER(SEARCH('TRA CỨU TỔNG HỢP'!$B$3,V449))),MAX($W$3:W448)+1,"")</f>
        <v/>
      </c>
    </row>
    <row r="450" ht="15" customHeight="1" s="217">
      <c r="A450" s="340" t="inlineStr">
        <is>
          <t>ISUZU</t>
        </is>
      </c>
      <c r="B450" s="341" t="inlineStr">
        <is>
          <t>HH079545</t>
        </is>
      </c>
      <c r="C450" s="340" t="inlineStr">
        <is>
          <t>IHI</t>
        </is>
      </c>
      <c r="D450" s="340" t="inlineStr">
        <is>
          <t>RHB5</t>
        </is>
      </c>
      <c r="E450" s="340" t="inlineStr">
        <is>
          <t>4JB1/4JA1</t>
        </is>
      </c>
      <c r="F450" s="342" t="inlineStr">
        <is>
          <t>8971760801</t>
        </is>
      </c>
      <c r="G450" s="340" t="n"/>
      <c r="H450" s="340" t="n"/>
      <c r="I450" s="340" t="n"/>
      <c r="J450" s="343" t="inlineStr">
        <is>
          <t>SL</t>
        </is>
      </c>
      <c r="K450" s="344" t="n"/>
      <c r="L450" s="344" t="n"/>
      <c r="M450" s="344" t="n"/>
      <c r="N450" s="344">
        <f>IF(M450="","",M450*1.1)</f>
        <v/>
      </c>
      <c r="O450" s="345" t="n">
        <v>52.5</v>
      </c>
      <c r="P450" s="345" t="n">
        <v>36.8</v>
      </c>
      <c r="Q450" s="345" t="inlineStr">
        <is>
          <t>5/5</t>
        </is>
      </c>
      <c r="R450" s="345" t="n">
        <v>52.5</v>
      </c>
      <c r="S450" s="345" t="n">
        <v>44</v>
      </c>
      <c r="T450" s="345" t="n">
        <v>12</v>
      </c>
      <c r="V450" s="216">
        <f>UPPER(A450&amp;" "&amp;B450&amp;" "&amp;D450&amp;" "&amp;E450&amp;" "&amp;F450&amp;" "&amp;G450&amp;" "&amp;H450&amp;" "&amp;I450&amp;" "&amp;J450)</f>
        <v/>
      </c>
      <c r="W450" s="216">
        <f>IF(AND('TRA CỨU TỔNG HỢP'!$B$3&lt;&gt;"",ISNUMBER(SEARCH('TRA CỨU TỔNG HỢP'!$B$3,V450))),MAX($W$3:W449)+1,"")</f>
        <v/>
      </c>
    </row>
    <row r="451" ht="15" customHeight="1" s="217">
      <c r="A451" s="347" t="inlineStr">
        <is>
          <t xml:space="preserve">  └─ ISUZU</t>
        </is>
      </c>
      <c r="B451" s="348" t="inlineStr">
        <is>
          <t>HH080739</t>
        </is>
      </c>
      <c r="C451" s="349" t="inlineStr">
        <is>
          <t>IHI</t>
        </is>
      </c>
      <c r="D451" s="349" t="inlineStr">
        <is>
          <t>RHB5</t>
        </is>
      </c>
      <c r="E451" s="349" t="inlineStr">
        <is>
          <t>4JB1/4JA1</t>
        </is>
      </c>
      <c r="F451" s="350" t="inlineStr">
        <is>
          <t>8971760801</t>
        </is>
      </c>
      <c r="G451" s="349" t="n"/>
      <c r="H451" s="349" t="n"/>
      <c r="I451" s="349" t="n"/>
      <c r="J451" s="351" t="inlineStr">
        <is>
          <t>SL</t>
        </is>
      </c>
      <c r="K451" s="352" t="n"/>
      <c r="L451" s="352" t="n"/>
      <c r="M451" s="352" t="n"/>
      <c r="N451" s="352">
        <f>IF(M451="","",M451*1.1)</f>
        <v/>
      </c>
      <c r="O451" s="353" t="n">
        <v>52.5</v>
      </c>
      <c r="P451" s="353" t="n">
        <v>36.8</v>
      </c>
      <c r="Q451" s="353" t="inlineStr">
        <is>
          <t>5/5</t>
        </is>
      </c>
      <c r="R451" s="353" t="n">
        <v>52.5</v>
      </c>
      <c r="S451" s="353" t="n">
        <v>44</v>
      </c>
      <c r="T451" s="353" t="n">
        <v>12</v>
      </c>
      <c r="V451" s="216">
        <f>UPPER(A451&amp;" "&amp;B451&amp;" "&amp;D451&amp;" "&amp;E451&amp;" "&amp;F451&amp;" "&amp;G451&amp;" "&amp;H451&amp;" "&amp;I451&amp;" "&amp;J451)</f>
        <v/>
      </c>
      <c r="W451" s="216">
        <f>IF(AND('TRA CỨU TỔNG HỢP'!$B$3&lt;&gt;"",ISNUMBER(SEARCH('TRA CỨU TỔNG HỢP'!$B$3,V451))),MAX($W$3:W450)+1,"")</f>
        <v/>
      </c>
    </row>
    <row r="452" ht="15" customHeight="1" s="217">
      <c r="A452" s="367" t="inlineStr">
        <is>
          <t>ISUZU</t>
        </is>
      </c>
      <c r="B452" s="368" t="n"/>
      <c r="C452" s="367" t="inlineStr">
        <is>
          <t>IHI</t>
        </is>
      </c>
      <c r="D452" s="367" t="inlineStr">
        <is>
          <t>RHF4</t>
        </is>
      </c>
      <c r="E452" s="367" t="inlineStr">
        <is>
          <t>4JB1/4JG2</t>
        </is>
      </c>
      <c r="F452" s="369" t="inlineStr">
        <is>
          <t>8971397243</t>
        </is>
      </c>
      <c r="G452" s="367" t="inlineStr">
        <is>
          <t>Làm mát nước</t>
        </is>
      </c>
      <c r="H452" s="367" t="n"/>
      <c r="I452" s="367" t="n"/>
      <c r="J452" s="370" t="n"/>
      <c r="K452" s="371" t="n"/>
      <c r="L452" s="371" t="n"/>
      <c r="M452" s="371" t="n"/>
      <c r="N452" s="371" t="n"/>
      <c r="O452" s="372" t="n">
        <v>47</v>
      </c>
      <c r="P452" s="372" t="n">
        <v>35.3</v>
      </c>
      <c r="Q452" s="372" t="inlineStr">
        <is>
          <t>6/6</t>
        </is>
      </c>
      <c r="R452" s="372" t="n">
        <v>44.3</v>
      </c>
      <c r="S452" s="372" t="n">
        <v>37.7</v>
      </c>
      <c r="T452" s="372" t="n">
        <v>8</v>
      </c>
      <c r="V452" s="216">
        <f>UPPER(A452&amp;" "&amp;B452&amp;" "&amp;D452&amp;" "&amp;E452&amp;" "&amp;F452&amp;" "&amp;G452&amp;" "&amp;H452&amp;" "&amp;I452&amp;" "&amp;J452)</f>
        <v/>
      </c>
      <c r="W452" s="216">
        <f>IF(AND('TRA CỨU TỔNG HỢP'!$B$3&lt;&gt;"",ISNUMBER(SEARCH('TRA CỨU TỔNG HỢP'!$B$3,V452))),MAX($W$3:W451)+1,"")</f>
        <v/>
      </c>
    </row>
    <row r="453" ht="15" customHeight="1" s="217">
      <c r="A453" s="354" t="inlineStr">
        <is>
          <t>ISUZU</t>
        </is>
      </c>
      <c r="B453" s="355" t="inlineStr">
        <is>
          <t>HH082049</t>
        </is>
      </c>
      <c r="C453" s="354" t="inlineStr">
        <is>
          <t>IHI</t>
        </is>
      </c>
      <c r="D453" s="354" t="inlineStr">
        <is>
          <t>RHF5</t>
        </is>
      </c>
      <c r="E453" s="354" t="inlineStr">
        <is>
          <t>4JB1</t>
        </is>
      </c>
      <c r="F453" s="356" t="inlineStr">
        <is>
          <t>8971195672</t>
        </is>
      </c>
      <c r="G453" s="354" t="inlineStr">
        <is>
          <t>(có đường nước)</t>
        </is>
      </c>
      <c r="H453" s="354" t="inlineStr">
        <is>
          <t>Highlander</t>
        </is>
      </c>
      <c r="I453" s="354" t="n"/>
      <c r="J453" s="357" t="inlineStr">
        <is>
          <t>0675</t>
        </is>
      </c>
      <c r="K453" s="358" t="n"/>
      <c r="L453" s="358" t="n"/>
      <c r="M453" s="358" t="n"/>
      <c r="N453" s="358">
        <f>IF(M453="","",M453*1.1)</f>
        <v/>
      </c>
      <c r="O453" s="359" t="n">
        <v>48</v>
      </c>
      <c r="P453" s="359" t="n">
        <v>37.2</v>
      </c>
      <c r="Q453" s="359" t="inlineStr">
        <is>
          <t>6/6</t>
        </is>
      </c>
      <c r="R453" s="359" t="n">
        <v>44.4</v>
      </c>
      <c r="S453" s="359" t="n">
        <v>37.6</v>
      </c>
      <c r="T453" s="359" t="n">
        <v>8</v>
      </c>
      <c r="V453" s="216">
        <f>UPPER(A453&amp;" "&amp;B453&amp;" "&amp;D453&amp;" "&amp;E453&amp;" "&amp;F453&amp;" "&amp;G453&amp;" "&amp;H453&amp;" "&amp;I453&amp;" "&amp;J453)</f>
        <v/>
      </c>
      <c r="W453" s="216">
        <f>IF(AND('TRA CỨU TỔNG HỢP'!$B$3&lt;&gt;"",ISNUMBER(SEARCH('TRA CỨU TỔNG HỢP'!$B$3,V453))),MAX($W$3:W452)+1,"")</f>
        <v/>
      </c>
    </row>
    <row r="454" ht="15" customHeight="1" s="217">
      <c r="A454" s="340" t="inlineStr">
        <is>
          <t>ISUZU</t>
        </is>
      </c>
      <c r="B454" s="341" t="inlineStr">
        <is>
          <t>HH071948</t>
        </is>
      </c>
      <c r="C454" s="340" t="inlineStr">
        <is>
          <t>Garrett</t>
        </is>
      </c>
      <c r="D454" s="340" t="inlineStr">
        <is>
          <t>GT2560LS</t>
        </is>
      </c>
      <c r="E454" s="340" t="inlineStr">
        <is>
          <t>4HE1 / 4HK1</t>
        </is>
      </c>
      <c r="F454" s="342" t="inlineStr">
        <is>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is>
      </c>
      <c r="G454" s="373" t="inlineStr">
        <is>
          <t>có điều tốc
cổ gang bắt 5 bulon</t>
        </is>
      </c>
      <c r="H454" s="340" t="inlineStr">
        <is>
          <t>xe tải EURO 2</t>
        </is>
      </c>
      <c r="I454" s="340" t="inlineStr">
        <is>
          <t>Dùng chung hình dạng như nhau</t>
        </is>
      </c>
      <c r="J454" s="343" t="inlineStr">
        <is>
          <t>SL</t>
        </is>
      </c>
      <c r="K454" s="344" t="n"/>
      <c r="L454" s="344" t="n"/>
      <c r="M454" s="344" t="n"/>
      <c r="N454" s="344">
        <f>IF(M454="","",M454*1.1)</f>
        <v/>
      </c>
      <c r="O454" s="345" t="n">
        <v>60.2</v>
      </c>
      <c r="P454" s="345" t="n">
        <v>46.4</v>
      </c>
      <c r="Q454" s="345" t="inlineStr">
        <is>
          <t>6/6</t>
        </is>
      </c>
      <c r="R454" s="345" t="n">
        <v>54</v>
      </c>
      <c r="S454" s="345" t="n">
        <v>46.9</v>
      </c>
      <c r="T454" s="345" t="n">
        <v>9</v>
      </c>
      <c r="V454" s="346">
        <f>UPPER(A454&amp;" "&amp;B454&amp;" "&amp;D454&amp;" "&amp;E454&amp;" "&amp;F454&amp;" "&amp;G454&amp;" "&amp;H454&amp;" "&amp;I454&amp;" "&amp;J454)</f>
        <v/>
      </c>
      <c r="W454" s="216">
        <f>IF(AND('TRA CỨU TỔNG HỢP'!$B$3&lt;&gt;"",ISNUMBER(SEARCH('TRA CỨU TỔNG HỢP'!$B$3,V454))),MAX($W$3:W453)+1,"")</f>
        <v/>
      </c>
    </row>
    <row r="455" ht="15" customHeight="1" s="217">
      <c r="A455" s="347" t="inlineStr">
        <is>
          <t xml:space="preserve">  └─ ISUZU</t>
        </is>
      </c>
      <c r="B455" s="348" t="inlineStr">
        <is>
          <t>HH079993</t>
        </is>
      </c>
      <c r="C455" s="349" t="inlineStr">
        <is>
          <t>Garrett</t>
        </is>
      </c>
      <c r="D455" s="349" t="inlineStr">
        <is>
          <t>GT2560LS</t>
        </is>
      </c>
      <c r="E455" s="349" t="inlineStr">
        <is>
          <t>4HE1 / 4HK1</t>
        </is>
      </c>
      <c r="F455" s="350" t="inlineStr">
        <is>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is>
      </c>
      <c r="G455" s="374" t="inlineStr">
        <is>
          <t>có điều tốc
cổ gang bắt 5 bulon</t>
        </is>
      </c>
      <c r="H455" s="349" t="inlineStr">
        <is>
          <t>xe tải EURO 2</t>
        </is>
      </c>
      <c r="I455" s="349" t="inlineStr">
        <is>
          <t>Dùng chung hình dạng như nhau</t>
        </is>
      </c>
      <c r="J455" s="351" t="inlineStr">
        <is>
          <t>SL</t>
        </is>
      </c>
      <c r="K455" s="352" t="n"/>
      <c r="L455" s="352" t="n"/>
      <c r="M455" s="352" t="n"/>
      <c r="N455" s="352">
        <f>IF(M455="","",M455*1.1)</f>
        <v/>
      </c>
      <c r="O455" s="353" t="n">
        <v>60.2</v>
      </c>
      <c r="P455" s="353" t="n">
        <v>46.4</v>
      </c>
      <c r="Q455" s="353" t="inlineStr">
        <is>
          <t>6/6</t>
        </is>
      </c>
      <c r="R455" s="353" t="n">
        <v>54</v>
      </c>
      <c r="S455" s="353" t="n">
        <v>46.9</v>
      </c>
      <c r="T455" s="353" t="n">
        <v>9</v>
      </c>
      <c r="V455" s="346">
        <f>UPPER(A455&amp;" "&amp;B455&amp;" "&amp;D455&amp;" "&amp;E455&amp;" "&amp;F455&amp;" "&amp;G455&amp;" "&amp;H455&amp;" "&amp;I455&amp;" "&amp;J455)</f>
        <v/>
      </c>
      <c r="W455" s="216">
        <f>IF(AND('TRA CỨU TỔNG HỢP'!$B$3&lt;&gt;"",ISNUMBER(SEARCH('TRA CỨU TỔNG HỢP'!$B$3,V455))),MAX($W$3:W454)+1,"")</f>
        <v/>
      </c>
    </row>
    <row r="456" ht="15" customHeight="1" s="217">
      <c r="A456" s="354" t="inlineStr">
        <is>
          <t>ISUZU</t>
        </is>
      </c>
      <c r="B456" s="355" t="inlineStr">
        <is>
          <t>HH070614</t>
        </is>
      </c>
      <c r="C456" s="354" t="inlineStr">
        <is>
          <t>Garrett</t>
        </is>
      </c>
      <c r="D456" s="354" t="inlineStr">
        <is>
          <t>TB2518</t>
        </is>
      </c>
      <c r="E456" s="354" t="inlineStr">
        <is>
          <t>4BD1/4BD2T</t>
        </is>
      </c>
      <c r="F456" s="356" t="inlineStr">
        <is>
          <t>466898-0006</t>
        </is>
      </c>
      <c r="G456" s="354" t="inlineStr">
        <is>
          <t>Tâm lỗ bu lông 45 x 87</t>
        </is>
      </c>
      <c r="H456" s="354" t="n"/>
      <c r="I456" s="354" t="n"/>
      <c r="J456" s="357" t="n"/>
      <c r="K456" s="358" t="n"/>
      <c r="L456" s="358" t="n"/>
      <c r="M456" s="358" t="n"/>
      <c r="N456" s="358">
        <f>IF(M456="","",M456*1.1)</f>
        <v/>
      </c>
      <c r="O456" s="359" t="n">
        <v>51.3</v>
      </c>
      <c r="P456" s="359" t="n">
        <v>39.7</v>
      </c>
      <c r="Q456" s="359" t="inlineStr">
        <is>
          <t>6/6</t>
        </is>
      </c>
      <c r="R456" s="359" t="n">
        <v>50.3</v>
      </c>
      <c r="S456" s="359" t="n">
        <v>46.2</v>
      </c>
      <c r="T456" s="359" t="n">
        <v>10</v>
      </c>
      <c r="V456" s="216">
        <f>UPPER(A456&amp;" "&amp;B456&amp;" "&amp;D456&amp;" "&amp;E456&amp;" "&amp;F456&amp;" "&amp;G456&amp;" "&amp;H456&amp;" "&amp;I456&amp;" "&amp;J456)</f>
        <v/>
      </c>
      <c r="W456" s="216">
        <f>IF(AND('TRA CỨU TỔNG HỢP'!$B$3&lt;&gt;"",ISNUMBER(SEARCH('TRA CỨU TỔNG HỢP'!$B$3,V456))),MAX($W$3:W455)+1,"")</f>
        <v/>
      </c>
    </row>
    <row r="457" ht="15" customHeight="1" s="217">
      <c r="A457" s="340" t="inlineStr">
        <is>
          <t>ISUZU</t>
        </is>
      </c>
      <c r="B457" s="341" t="inlineStr">
        <is>
          <t>HH082050</t>
        </is>
      </c>
      <c r="C457" s="340" t="inlineStr">
        <is>
          <t>IHI</t>
        </is>
      </c>
      <c r="D457" s="340" t="inlineStr">
        <is>
          <t>RHF5</t>
        </is>
      </c>
      <c r="E457" s="340" t="inlineStr">
        <is>
          <t>4JH1-TC</t>
        </is>
      </c>
      <c r="F457" s="342" t="inlineStr">
        <is>
          <t>VB430093
8973544234
8973659480/VA430084 VB430084 VC430084 24123A
8973659481/8973659482/8973544233
| VA430084 | VB430084 | VC430084 | 24123A | 5T-643 | 8973544233 | 8973659482 | F51CADS0084B | F51CADS0084G | VIEK | VA430093 | VB430093 |</t>
        </is>
      </c>
      <c r="G457" s="373" t="inlineStr">
        <is>
          <t>có đường nước làm mát
cổ gang bắt 5 lỗ bulon</t>
        </is>
      </c>
      <c r="H457" s="373" t="inlineStr">
        <is>
          <t>Isuzu DMAX ,Isuzu D-MAX, Pickup 3.0L TD 
 Isuzu KB 3.0L TD / Isuzu Rodeo 3.0L TD</t>
        </is>
      </c>
      <c r="I457" s="340" t="n"/>
      <c r="J457" s="343" t="inlineStr">
        <is>
          <t>1756</t>
        </is>
      </c>
      <c r="K457" s="344" t="n"/>
      <c r="L457" s="344" t="n"/>
      <c r="M457" s="344" t="n"/>
      <c r="N457" s="344">
        <f>IF(M457="","",M457*1.1)</f>
        <v/>
      </c>
      <c r="O457" s="345" t="n">
        <v>52.5</v>
      </c>
      <c r="P457" s="345" t="n">
        <v>39.1</v>
      </c>
      <c r="Q457" s="345" t="inlineStr">
        <is>
          <t>6/6</t>
        </is>
      </c>
      <c r="R457" s="345" t="n">
        <v>44.4</v>
      </c>
      <c r="S457" s="345" t="n">
        <v>37.6</v>
      </c>
      <c r="T457" s="345" t="n">
        <v>8</v>
      </c>
      <c r="V457" s="346">
        <f>UPPER(A457&amp;" "&amp;B457&amp;" "&amp;D457&amp;" "&amp;E457&amp;" "&amp;F457&amp;" "&amp;G457&amp;" "&amp;H457&amp;" "&amp;I457&amp;" "&amp;J457)</f>
        <v/>
      </c>
      <c r="W457" s="216">
        <f>IF(AND('TRA CỨU TỔNG HỢP'!$B$3&lt;&gt;"",ISNUMBER(SEARCH('TRA CỨU TỔNG HỢP'!$B$3,V457))),MAX($W$3:W456)+1,"")</f>
        <v/>
      </c>
    </row>
    <row r="458" ht="15" customHeight="1" s="217">
      <c r="A458" s="347" t="inlineStr">
        <is>
          <t xml:space="preserve">  └─ ISUZU</t>
        </is>
      </c>
      <c r="B458" s="348" t="inlineStr">
        <is>
          <t>HH082087</t>
        </is>
      </c>
      <c r="C458" s="349" t="inlineStr">
        <is>
          <t>IHI</t>
        </is>
      </c>
      <c r="D458" s="349" t="inlineStr">
        <is>
          <t>RHF5</t>
        </is>
      </c>
      <c r="E458" s="349" t="inlineStr">
        <is>
          <t>4JH1-TC</t>
        </is>
      </c>
      <c r="F458" s="350" t="inlineStr">
        <is>
          <t>VB430093
8973544234
8973659480/VA430084 VB430084 VC430084 24123A
8973659481/8973659482/8973544233
| VA430084 | VB430084 | VC430084 | 24123A | 5T-643 | 8973544233 | 8973659482 | F51CADS0084B | F51CADS0084G | VIEK | VA430093 | VB430093 |</t>
        </is>
      </c>
      <c r="G458" s="374" t="inlineStr">
        <is>
          <t>có đường nước làm mát
cổ gang bắt 5 lỗ bulon</t>
        </is>
      </c>
      <c r="H458" s="374" t="inlineStr">
        <is>
          <t>Isuzu DMAX ,Isuzu D-MAX, Pickup 3.0L TD 
 Isuzu KB 3.0L TD / Isuzu Rodeo 3.0L TD</t>
        </is>
      </c>
      <c r="I458" s="349" t="n"/>
      <c r="J458" s="351" t="inlineStr">
        <is>
          <t>SL</t>
        </is>
      </c>
      <c r="K458" s="352" t="n"/>
      <c r="L458" s="352" t="n"/>
      <c r="M458" s="352" t="n"/>
      <c r="N458" s="352">
        <f>IF(M458="","",M458*1.1)</f>
        <v/>
      </c>
      <c r="O458" s="353" t="n">
        <v>52.5</v>
      </c>
      <c r="P458" s="353" t="n">
        <v>39.1</v>
      </c>
      <c r="Q458" s="353" t="inlineStr">
        <is>
          <t>6/6</t>
        </is>
      </c>
      <c r="R458" s="353" t="n">
        <v>44.4</v>
      </c>
      <c r="S458" s="353" t="n">
        <v>37.6</v>
      </c>
      <c r="T458" s="353" t="n">
        <v>8</v>
      </c>
      <c r="V458" s="346">
        <f>UPPER(A458&amp;" "&amp;B458&amp;" "&amp;D458&amp;" "&amp;E458&amp;" "&amp;F458&amp;" "&amp;G458&amp;" "&amp;H458&amp;" "&amp;I458&amp;" "&amp;J458)</f>
        <v/>
      </c>
      <c r="W458" s="216">
        <f>IF(AND('TRA CỨU TỔNG HỢP'!$B$3&lt;&gt;"",ISNUMBER(SEARCH('TRA CỨU TỔNG HỢP'!$B$3,V458))),MAX($W$3:W457)+1,"")</f>
        <v/>
      </c>
    </row>
    <row r="459" ht="15" customHeight="1" s="217">
      <c r="A459" s="347" t="inlineStr">
        <is>
          <t xml:space="preserve">  └─ ISUZU</t>
        </is>
      </c>
      <c r="B459" s="348" t="inlineStr">
        <is>
          <t>HH081963</t>
        </is>
      </c>
      <c r="C459" s="349" t="inlineStr">
        <is>
          <t>IHI</t>
        </is>
      </c>
      <c r="D459" s="349" t="inlineStr">
        <is>
          <t>RHF5</t>
        </is>
      </c>
      <c r="E459" s="349" t="inlineStr">
        <is>
          <t>4JH1-TC</t>
        </is>
      </c>
      <c r="F459" s="350" t="inlineStr">
        <is>
          <t>VB430093
8973544234
8973659480/VA430084 VB430084 VC430084 24123A
8973659481/8973659482/8973544233
| VA430084 | VB430084 | VC430084 | 24123A | 5T-643 | 8973544233 | 8973659482 | F51CADS0084B | F51CADS0084G | VIEK | VA430093 | VB430093 |</t>
        </is>
      </c>
      <c r="G459" s="374" t="inlineStr">
        <is>
          <t>có đường nước làm mát
cổ gang bắt 5 lỗ bulon</t>
        </is>
      </c>
      <c r="H459" s="374" t="inlineStr">
        <is>
          <t>Isuzu DMAX ,Isuzu D-MAX, Pickup 3.0L TD 
 Isuzu KB 3.0L TD / Isuzu Rodeo 3.0L TD</t>
        </is>
      </c>
      <c r="I459" s="349" t="n"/>
      <c r="J459" s="351" t="inlineStr">
        <is>
          <t>SL</t>
        </is>
      </c>
      <c r="K459" s="352" t="n"/>
      <c r="L459" s="352" t="n"/>
      <c r="M459" s="352" t="n"/>
      <c r="N459" s="352">
        <f>IF(M459="","",M459*1.1)</f>
        <v/>
      </c>
      <c r="O459" s="353" t="n">
        <v>52.5</v>
      </c>
      <c r="P459" s="353" t="n">
        <v>39.1</v>
      </c>
      <c r="Q459" s="353" t="inlineStr">
        <is>
          <t>6/6</t>
        </is>
      </c>
      <c r="R459" s="353" t="n">
        <v>44.4</v>
      </c>
      <c r="S459" s="353" t="n">
        <v>37.6</v>
      </c>
      <c r="T459" s="353" t="n">
        <v>8</v>
      </c>
      <c r="V459" s="346">
        <f>UPPER(A459&amp;" "&amp;B459&amp;" "&amp;D459&amp;" "&amp;E459&amp;" "&amp;F459&amp;" "&amp;G459&amp;" "&amp;H459&amp;" "&amp;I459&amp;" "&amp;J459)</f>
        <v/>
      </c>
      <c r="W459" s="216">
        <f>IF(AND('TRA CỨU TỔNG HỢP'!$B$3&lt;&gt;"",ISNUMBER(SEARCH('TRA CỨU TỔNG HỢP'!$B$3,V459))),MAX($W$3:W458)+1,"")</f>
        <v/>
      </c>
    </row>
    <row r="460" ht="15" customHeight="1" s="217">
      <c r="A460" s="354" t="inlineStr">
        <is>
          <t>ISUZU</t>
        </is>
      </c>
      <c r="B460" s="355" t="inlineStr">
        <is>
          <t>HH082884</t>
        </is>
      </c>
      <c r="C460" s="354" t="inlineStr">
        <is>
          <t>IHI</t>
        </is>
      </c>
      <c r="D460" s="354" t="inlineStr">
        <is>
          <t>RHV5</t>
        </is>
      </c>
      <c r="E460" s="354" t="inlineStr">
        <is>
          <t>4JJ1-TC</t>
        </is>
      </c>
      <c r="F460" s="356" t="inlineStr">
        <is>
          <t>VBD30013
8980115293/ VFD30013 | VBD30013 | VED30013 | 8980115293 | 8980115294
8980115295 | 8980115296 | 8980115297 | 8-98011-5293 | 8-98011-5294 | 8-98011-5295 | 8-98011-5296 | 8-98011-5297</t>
        </is>
      </c>
      <c r="G460" s="354" t="inlineStr">
        <is>
          <t>điều tốc xoay cùng chiều cổ gió</t>
        </is>
      </c>
      <c r="H460" s="354" t="inlineStr">
        <is>
          <t>Isuzu DMAX</t>
        </is>
      </c>
      <c r="I460" s="354" t="inlineStr">
        <is>
          <t>CÓ H/A TBS</t>
        </is>
      </c>
      <c r="J460" s="357" t="inlineStr">
        <is>
          <t>SL</t>
        </is>
      </c>
      <c r="K460" s="358" t="n"/>
      <c r="L460" s="358" t="n"/>
      <c r="M460" s="358" t="n"/>
      <c r="N460" s="358">
        <f>IF(M460="","",M460*1.1)</f>
        <v/>
      </c>
      <c r="O460" s="359" t="n">
        <v>52.6</v>
      </c>
      <c r="P460" s="359" t="n">
        <v>40.8</v>
      </c>
      <c r="Q460" s="359" t="inlineStr">
        <is>
          <t>6/6</t>
        </is>
      </c>
      <c r="R460" s="359" t="n">
        <v>52.5</v>
      </c>
      <c r="S460" s="359" t="n">
        <v>42.6</v>
      </c>
      <c r="T460" s="359" t="n">
        <v>9</v>
      </c>
      <c r="V460" s="346">
        <f>UPPER(A460&amp;" "&amp;B460&amp;" "&amp;D460&amp;" "&amp;E460&amp;" "&amp;F460&amp;" "&amp;G460&amp;" "&amp;H460&amp;" "&amp;I460&amp;" "&amp;J460)</f>
        <v/>
      </c>
      <c r="W460" s="216">
        <f>IF(AND('TRA CỨU TỔNG HỢP'!$B$3&lt;&gt;"",ISNUMBER(SEARCH('TRA CỨU TỔNG HỢP'!$B$3,V460))),MAX($W$3:W459)+1,"")</f>
        <v/>
      </c>
    </row>
    <row r="461" ht="15" customHeight="1" s="217">
      <c r="A461" s="354" t="inlineStr">
        <is>
          <t>ISUZU</t>
        </is>
      </c>
      <c r="B461" s="355" t="inlineStr">
        <is>
          <t>HH082230</t>
        </is>
      </c>
      <c r="C461" s="354" t="inlineStr">
        <is>
          <t>IHI</t>
        </is>
      </c>
      <c r="D461" s="354" t="inlineStr">
        <is>
          <t>RHF5V</t>
        </is>
      </c>
      <c r="E461" s="354" t="inlineStr">
        <is>
          <t xml:space="preserve"> 4JJ1/4JJ1-N</t>
        </is>
      </c>
      <c r="F461" s="356" t="inlineStr">
        <is>
          <t>8973815072/ VFA30023 | VEA30023 | VDA30023 | VCA30023 | VBA30023 | VAA30023 | 8973815070 | 8973815073 | 8973815074 | 897-381-5-070 | 897-381-5-072 | 897-381-5-073 | 897-381-5-074</t>
        </is>
      </c>
      <c r="G461" s="354" t="inlineStr">
        <is>
          <t>Cổ gió bắt 3 lỗ bu lon</t>
        </is>
      </c>
      <c r="H461" s="354" t="inlineStr">
        <is>
          <t>NKR 3.0</t>
        </is>
      </c>
      <c r="I461" s="354" t="inlineStr">
        <is>
          <t xml:space="preserve">mới về có ruột </t>
        </is>
      </c>
      <c r="J461" s="357" t="inlineStr">
        <is>
          <t>SL</t>
        </is>
      </c>
      <c r="K461" s="358" t="n"/>
      <c r="L461" s="358" t="n"/>
      <c r="M461" s="358" t="n"/>
      <c r="N461" s="358">
        <f>IF(M461="","",M461*1.1)</f>
        <v/>
      </c>
      <c r="O461" s="359" t="n"/>
      <c r="P461" s="359" t="n"/>
      <c r="Q461" s="359" t="n"/>
      <c r="R461" s="359" t="n"/>
      <c r="S461" s="359" t="n"/>
      <c r="T461" s="359" t="n"/>
      <c r="V461" s="216">
        <f>UPPER(A461&amp;" "&amp;B461&amp;" "&amp;D461&amp;" "&amp;E461&amp;" "&amp;F461&amp;" "&amp;G461&amp;" "&amp;H461&amp;" "&amp;I461&amp;" "&amp;J461)</f>
        <v/>
      </c>
      <c r="W461" s="216">
        <f>IF(AND('TRA CỨU TỔNG HỢP'!$B$3&lt;&gt;"",ISNUMBER(SEARCH('TRA CỨU TỔNG HỢP'!$B$3,V461))),MAX($W$3:W460)+1,"")</f>
        <v/>
      </c>
    </row>
    <row r="462" ht="15" customHeight="1" s="217">
      <c r="A462" s="354" t="inlineStr">
        <is>
          <t>ISUZU</t>
        </is>
      </c>
      <c r="B462" s="355" t="inlineStr">
        <is>
          <t>HH079125</t>
        </is>
      </c>
      <c r="C462" s="354" t="inlineStr">
        <is>
          <t>IHI</t>
        </is>
      </c>
      <c r="D462" s="354" t="inlineStr">
        <is>
          <t>RHF4</t>
        </is>
      </c>
      <c r="E462" s="354" t="inlineStr">
        <is>
          <t>4JA1</t>
        </is>
      </c>
      <c r="F462" s="356" t="inlineStr">
        <is>
          <t>VC420037-VIDA
8I04-200-980</t>
        </is>
      </c>
      <c r="G462" s="354" t="n"/>
      <c r="H462" s="354" t="inlineStr">
        <is>
          <t>Isuzu DMAX</t>
        </is>
      </c>
      <c r="I462" s="354" t="n"/>
      <c r="J462" s="357" t="inlineStr">
        <is>
          <t>JRONE</t>
        </is>
      </c>
      <c r="K462" s="358" t="n"/>
      <c r="L462" s="358" t="n"/>
      <c r="M462" s="358" t="n"/>
      <c r="N462" s="358">
        <f>IF(M462="","",M462*1.1)</f>
        <v/>
      </c>
      <c r="O462" s="359" t="n"/>
      <c r="P462" s="359" t="n"/>
      <c r="Q462" s="359" t="n"/>
      <c r="R462" s="359" t="n"/>
      <c r="S462" s="359" t="n"/>
      <c r="T462" s="359" t="n"/>
      <c r="V462" s="346">
        <f>UPPER(A462&amp;" "&amp;B462&amp;" "&amp;D462&amp;" "&amp;E462&amp;" "&amp;F462&amp;" "&amp;G462&amp;" "&amp;H462&amp;" "&amp;I462&amp;" "&amp;J462)</f>
        <v/>
      </c>
      <c r="W462" s="216">
        <f>IF(AND('TRA CỨU TỔNG HỢP'!$B$3&lt;&gt;"",ISNUMBER(SEARCH('TRA CỨU TỔNG HỢP'!$B$3,V462))),MAX($W$3:W461)+1,"")</f>
        <v/>
      </c>
    </row>
    <row r="463" ht="15" customHeight="1" s="217">
      <c r="A463" s="354" t="inlineStr">
        <is>
          <t>ISUZU</t>
        </is>
      </c>
      <c r="B463" s="355" t="inlineStr">
        <is>
          <t>HH077142</t>
        </is>
      </c>
      <c r="C463" s="354" t="inlineStr">
        <is>
          <t>IHI</t>
        </is>
      </c>
      <c r="D463" s="354" t="inlineStr">
        <is>
          <t>RHV5</t>
        </is>
      </c>
      <c r="E463" s="354" t="inlineStr">
        <is>
          <t>4JJ1</t>
        </is>
      </c>
      <c r="F463" s="356" t="inlineStr">
        <is>
          <t>VD30013-VIEZ
8I05-300-A26</t>
        </is>
      </c>
      <c r="G463" s="354" t="inlineStr">
        <is>
          <t>Xe bán tải Isuzu Dmax</t>
        </is>
      </c>
      <c r="H463" s="354" t="inlineStr">
        <is>
          <t>Isuzu DMAX</t>
        </is>
      </c>
      <c r="I463" s="354" t="n"/>
      <c r="J463" s="357" t="inlineStr">
        <is>
          <t>JRONE</t>
        </is>
      </c>
      <c r="K463" s="358" t="n"/>
      <c r="L463" s="358" t="n"/>
      <c r="M463" s="358" t="n"/>
      <c r="N463" s="358">
        <f>IF(M463="","",M463*1.1)</f>
        <v/>
      </c>
      <c r="O463" s="359" t="n"/>
      <c r="P463" s="359" t="n"/>
      <c r="Q463" s="359" t="n"/>
      <c r="R463" s="359" t="n"/>
      <c r="S463" s="359" t="n"/>
      <c r="T463" s="359" t="n"/>
      <c r="V463" s="346">
        <f>UPPER(A463&amp;" "&amp;B463&amp;" "&amp;D463&amp;" "&amp;E463&amp;" "&amp;F463&amp;" "&amp;G463&amp;" "&amp;H463&amp;" "&amp;I463&amp;" "&amp;J463)</f>
        <v/>
      </c>
      <c r="W463" s="216">
        <f>IF(AND('TRA CỨU TỔNG HỢP'!$B$3&lt;&gt;"",ISNUMBER(SEARCH('TRA CỨU TỔNG HỢP'!$B$3,V463))),MAX($W$3:W462)+1,"")</f>
        <v/>
      </c>
    </row>
    <row r="464" ht="15" customHeight="1" s="217">
      <c r="A464" s="354" t="inlineStr">
        <is>
          <t>ISUZU</t>
        </is>
      </c>
      <c r="B464" s="355" t="inlineStr">
        <is>
          <t>HH077141</t>
        </is>
      </c>
      <c r="C464" s="354" t="inlineStr">
        <is>
          <t>IHI</t>
        </is>
      </c>
      <c r="D464" s="354" t="inlineStr">
        <is>
          <t>RHB5</t>
        </is>
      </c>
      <c r="E464" s="354" t="inlineStr">
        <is>
          <t>4JG2</t>
        </is>
      </c>
      <c r="F464" s="356" t="inlineStr">
        <is>
          <t>VE180027-VI95/8I05-200-521
8943212010/8943853831
8970385181/8970700290</t>
        </is>
      </c>
      <c r="G464" s="354" t="inlineStr">
        <is>
          <t>Có đường làm mát nước</t>
        </is>
      </c>
      <c r="H464" s="354" t="n"/>
      <c r="I464" s="354" t="n"/>
      <c r="J464" s="357" t="inlineStr">
        <is>
          <t>JRONE</t>
        </is>
      </c>
      <c r="K464" s="358" t="n"/>
      <c r="L464" s="358" t="n"/>
      <c r="M464" s="358" t="n"/>
      <c r="N464" s="358">
        <f>IF(M464="","",M464*1.1)</f>
        <v/>
      </c>
      <c r="O464" s="359" t="n">
        <v>52.5</v>
      </c>
      <c r="P464" s="359" t="n">
        <v>38.6</v>
      </c>
      <c r="Q464" s="359" t="inlineStr">
        <is>
          <t>5/5</t>
        </is>
      </c>
      <c r="R464" s="359" t="n">
        <v>52.5</v>
      </c>
      <c r="S464" s="359" t="n">
        <v>44</v>
      </c>
      <c r="T464" s="359" t="n">
        <v>12</v>
      </c>
      <c r="V464" s="346">
        <f>UPPER(A464&amp;" "&amp;B464&amp;" "&amp;D464&amp;" "&amp;E464&amp;" "&amp;F464&amp;" "&amp;G464&amp;" "&amp;H464&amp;" "&amp;I464&amp;" "&amp;J464)</f>
        <v/>
      </c>
      <c r="W464" s="216">
        <f>IF(AND('TRA CỨU TỔNG HỢP'!$B$3&lt;&gt;"",ISNUMBER(SEARCH('TRA CỨU TỔNG HỢP'!$B$3,V464))),MAX($W$3:W463)+1,"")</f>
        <v/>
      </c>
    </row>
    <row r="465" ht="15" customHeight="1" s="217">
      <c r="A465" s="354" t="inlineStr">
        <is>
          <t>ISUZU</t>
        </is>
      </c>
      <c r="B465" s="355" t="inlineStr">
        <is>
          <t>HH078717</t>
        </is>
      </c>
      <c r="C465" s="354" t="inlineStr">
        <is>
          <t>IHI</t>
        </is>
      </c>
      <c r="D465" s="354" t="inlineStr">
        <is>
          <t>RHF4/4HK1</t>
        </is>
      </c>
      <c r="E465" s="354" t="n"/>
      <c r="F465" s="356" t="n">
        <v>8981941890</v>
      </c>
      <c r="G465" s="354" t="inlineStr">
        <is>
          <t>Cổ gió bắt 3 bu lông</t>
        </is>
      </c>
      <c r="H465" s="354" t="n"/>
      <c r="I465" s="354" t="n"/>
      <c r="J465" s="357" t="inlineStr">
        <is>
          <t>VIDARIR</t>
        </is>
      </c>
      <c r="K465" s="358" t="n"/>
      <c r="L465" s="358" t="n"/>
      <c r="M465" s="358" t="n"/>
      <c r="N465" s="358">
        <f>IF(M465="","",M465*1.1)</f>
        <v/>
      </c>
      <c r="O465" s="359" t="n"/>
      <c r="P465" s="359" t="n"/>
      <c r="Q465" s="359" t="n"/>
      <c r="R465" s="359" t="n"/>
      <c r="S465" s="359" t="n"/>
      <c r="T465" s="359" t="n"/>
      <c r="V465" s="216">
        <f>UPPER(A465&amp;" "&amp;B465&amp;" "&amp;D465&amp;" "&amp;E465&amp;" "&amp;F465&amp;" "&amp;G465&amp;" "&amp;H465&amp;" "&amp;I465&amp;" "&amp;J465)</f>
        <v/>
      </c>
      <c r="W465" s="216">
        <f>IF(AND('TRA CỨU TỔNG HỢP'!$B$3&lt;&gt;"",ISNUMBER(SEARCH('TRA CỨU TỔNG HỢP'!$B$3,V465))),MAX($W$3:W464)+1,"")</f>
        <v/>
      </c>
    </row>
    <row r="466" ht="15" customHeight="1" s="217">
      <c r="A466" s="354" t="inlineStr">
        <is>
          <t>ISUZU</t>
        </is>
      </c>
      <c r="B466" s="355" t="inlineStr">
        <is>
          <t>HH083507</t>
        </is>
      </c>
      <c r="C466" s="354" t="inlineStr">
        <is>
          <t>Garrett</t>
        </is>
      </c>
      <c r="D466" s="354" t="inlineStr">
        <is>
          <t>GT3576D</t>
        </is>
      </c>
      <c r="E466" s="354" t="inlineStr">
        <is>
          <t>6HK1, 6HH1, 6HE1</t>
        </is>
      </c>
      <c r="F466" s="356" t="inlineStr">
        <is>
          <t>704407-0007</t>
        </is>
      </c>
      <c r="G466" s="354" t="n"/>
      <c r="H466" s="354" t="inlineStr">
        <is>
          <t>xe tải 15T</t>
        </is>
      </c>
      <c r="I466" s="354" t="inlineStr">
        <is>
          <t>Isu, 6HK1, 6HH1, 6HE1 xe tải 15T, - TBS</t>
        </is>
      </c>
      <c r="J466" s="357" t="inlineStr">
        <is>
          <t>TBS</t>
        </is>
      </c>
      <c r="K466" s="358" t="n"/>
      <c r="L466" s="358" t="n"/>
      <c r="M466" s="358" t="n"/>
      <c r="N466" s="358">
        <f>IF(M466="","",M466*1.1)</f>
        <v/>
      </c>
      <c r="O466" s="359" t="n"/>
      <c r="P466" s="359" t="n"/>
      <c r="Q466" s="359" t="n"/>
      <c r="R466" s="359" t="n"/>
      <c r="S466" s="359" t="n"/>
      <c r="T466" s="359" t="n"/>
      <c r="V466" s="216">
        <f>UPPER(A466&amp;" "&amp;B466&amp;" "&amp;D466&amp;" "&amp;E466&amp;" "&amp;F466&amp;" "&amp;G466&amp;" "&amp;H466&amp;" "&amp;I466&amp;" "&amp;J466)</f>
        <v/>
      </c>
      <c r="W466" s="216">
        <f>IF(AND('TRA CỨU TỔNG HỢP'!$B$3&lt;&gt;"",ISNUMBER(SEARCH('TRA CỨU TỔNG HỢP'!$B$3,V466))),MAX($W$3:W465)+1,"")</f>
        <v/>
      </c>
    </row>
    <row r="467" ht="15" customHeight="1" s="217">
      <c r="A467" s="354" t="inlineStr">
        <is>
          <t>ISUZU</t>
        </is>
      </c>
      <c r="B467" s="355" t="inlineStr">
        <is>
          <t>HH070614</t>
        </is>
      </c>
      <c r="C467" s="354" t="inlineStr">
        <is>
          <t>Garrett</t>
        </is>
      </c>
      <c r="D467" s="354" t="inlineStr">
        <is>
          <t>TB2518</t>
        </is>
      </c>
      <c r="E467" s="354" t="inlineStr">
        <is>
          <t>4BD1/4BD2T</t>
        </is>
      </c>
      <c r="F467" s="356" t="inlineStr">
        <is>
          <t>466898-0006
466898</t>
        </is>
      </c>
      <c r="G467" s="354" t="n"/>
      <c r="H467" s="354" t="inlineStr">
        <is>
          <t>Isuzu NPR</t>
        </is>
      </c>
      <c r="I467" s="354" t="n"/>
      <c r="J467" s="357" t="n"/>
      <c r="K467" s="358" t="n"/>
      <c r="L467" s="358" t="n"/>
      <c r="M467" s="358" t="n"/>
      <c r="N467" s="358">
        <f>IF(M467="","",M467*1.1)</f>
        <v/>
      </c>
      <c r="O467" s="359" t="n">
        <v>51.3</v>
      </c>
      <c r="P467" s="359" t="n">
        <v>39.7</v>
      </c>
      <c r="Q467" s="359" t="inlineStr">
        <is>
          <t>6/6</t>
        </is>
      </c>
      <c r="R467" s="359" t="n">
        <v>50.3</v>
      </c>
      <c r="S467" s="359" t="n">
        <v>46.2</v>
      </c>
      <c r="T467" s="359" t="n">
        <v>10</v>
      </c>
      <c r="V467" s="346">
        <f>UPPER(A467&amp;" "&amp;B467&amp;" "&amp;D467&amp;" "&amp;E467&amp;" "&amp;F467&amp;" "&amp;G467&amp;" "&amp;H467&amp;" "&amp;I467&amp;" "&amp;J467)</f>
        <v/>
      </c>
      <c r="W467" s="216">
        <f>IF(AND('TRA CỨU TỔNG HỢP'!$B$3&lt;&gt;"",ISNUMBER(SEARCH('TRA CỨU TỔNG HỢP'!$B$3,V467))),MAX($W$3:W466)+1,"")</f>
        <v/>
      </c>
    </row>
    <row r="468" ht="19.5" customHeight="1" s="217">
      <c r="A468" s="339" t="inlineStr">
        <is>
          <t xml:space="preserve">  🏭  JAC   ·   1 loại turbo</t>
        </is>
      </c>
      <c r="W468" s="216">
        <f>IF(AND('TRA CỨU TỔNG HỢP'!$B$3&lt;&gt;"",ISNUMBER(SEARCH('TRA CỨU TỔNG HỢP'!$B$3,V468))),MAX($W$3:W467)+1,"")</f>
        <v/>
      </c>
    </row>
    <row r="469" ht="15" customHeight="1" s="217">
      <c r="A469" s="354" t="inlineStr">
        <is>
          <t>JAC</t>
        </is>
      </c>
      <c r="B469" s="355" t="inlineStr">
        <is>
          <t>HH083503</t>
        </is>
      </c>
      <c r="C469" s="354" t="inlineStr">
        <is>
          <t>Garrett</t>
        </is>
      </c>
      <c r="D469" s="354" t="inlineStr">
        <is>
          <t>HP55</t>
        </is>
      </c>
      <c r="E469" s="354" t="n"/>
      <c r="F469" s="356" t="inlineStr">
        <is>
          <t>55X4505-00-1</t>
        </is>
      </c>
      <c r="G469" s="354" t="n"/>
      <c r="H469" s="354" t="n"/>
      <c r="I469" s="354" t="inlineStr">
        <is>
          <t>JAC 2.8L, JAC HP55, 55X4505-00-1 - TBS</t>
        </is>
      </c>
      <c r="J469" s="357" t="inlineStr">
        <is>
          <t>TBS</t>
        </is>
      </c>
      <c r="K469" s="358" t="n"/>
      <c r="L469" s="358" t="n"/>
      <c r="M469" s="358" t="n"/>
      <c r="N469" s="358">
        <f>IF(M469="","",M469*1.1)</f>
        <v/>
      </c>
      <c r="O469" s="359" t="n"/>
      <c r="P469" s="359" t="n"/>
      <c r="Q469" s="359" t="n"/>
      <c r="R469" s="359" t="n"/>
      <c r="S469" s="359" t="n"/>
      <c r="T469" s="359" t="n"/>
      <c r="V469" s="216">
        <f>UPPER(A469&amp;" "&amp;B469&amp;" "&amp;D469&amp;" "&amp;E469&amp;" "&amp;F469&amp;" "&amp;G469&amp;" "&amp;H469&amp;" "&amp;I469&amp;" "&amp;J469)</f>
        <v/>
      </c>
      <c r="W469" s="216">
        <f>IF(AND('TRA CỨU TỔNG HỢP'!$B$3&lt;&gt;"",ISNUMBER(SEARCH('TRA CỨU TỔNG HỢP'!$B$3,V469))),MAX($W$3:W468)+1,"")</f>
        <v/>
      </c>
    </row>
    <row r="470" ht="19.5" customHeight="1" s="217">
      <c r="A470" s="339" t="inlineStr">
        <is>
          <t xml:space="preserve">  🏭  KAMAZ   ·   2 loại turbo</t>
        </is>
      </c>
      <c r="W470" s="216">
        <f>IF(AND('TRA CỨU TỔNG HỢP'!$B$3&lt;&gt;"",ISNUMBER(SEARCH('TRA CỨU TỔNG HỢP'!$B$3,V470))),MAX($W$3:W469)+1,"")</f>
        <v/>
      </c>
    </row>
    <row r="471" ht="15" customHeight="1" s="217">
      <c r="A471" s="340" t="inlineStr">
        <is>
          <t>KAMAZ</t>
        </is>
      </c>
      <c r="B471" s="341" t="inlineStr">
        <is>
          <t>HH074831</t>
        </is>
      </c>
      <c r="C471" s="340" t="inlineStr">
        <is>
          <t>BorgWarner</t>
        </is>
      </c>
      <c r="D471" s="340" t="inlineStr">
        <is>
          <t>S2B</t>
        </is>
      </c>
      <c r="E471" s="340" t="inlineStr">
        <is>
          <t>KAMAZ 740</t>
        </is>
      </c>
      <c r="F471" s="342" t="inlineStr">
        <is>
          <t>1274-970-0003
8S02-100-E14</t>
        </is>
      </c>
      <c r="G471" s="340" t="n"/>
      <c r="H471" s="340" t="n"/>
      <c r="I471" s="340" t="n"/>
      <c r="J471" s="343" t="inlineStr">
        <is>
          <t>JRONE</t>
        </is>
      </c>
      <c r="K471" s="344" t="n"/>
      <c r="L471" s="344" t="n"/>
      <c r="M471" s="344" t="n"/>
      <c r="N471" s="344">
        <f>IF(M471="","",M471*1.1)</f>
        <v/>
      </c>
      <c r="O471" s="345" t="n"/>
      <c r="P471" s="345" t="n"/>
      <c r="Q471" s="345" t="n"/>
      <c r="R471" s="345" t="n"/>
      <c r="S471" s="345" t="n"/>
      <c r="T471" s="345" t="n"/>
      <c r="V471" s="346">
        <f>UPPER(A471&amp;" "&amp;B471&amp;" "&amp;D471&amp;" "&amp;E471&amp;" "&amp;F471&amp;" "&amp;G471&amp;" "&amp;H471&amp;" "&amp;I471&amp;" "&amp;J471)</f>
        <v/>
      </c>
      <c r="W471" s="216">
        <f>IF(AND('TRA CỨU TỔNG HỢP'!$B$3&lt;&gt;"",ISNUMBER(SEARCH('TRA CỨU TỔNG HỢP'!$B$3,V471))),MAX($W$3:W470)+1,"")</f>
        <v/>
      </c>
    </row>
    <row r="472" ht="15" customHeight="1" s="217">
      <c r="A472" s="347" t="inlineStr">
        <is>
          <t xml:space="preserve">  └─ KAMAZ</t>
        </is>
      </c>
      <c r="B472" s="348" t="inlineStr">
        <is>
          <t>HH084056</t>
        </is>
      </c>
      <c r="C472" s="349" t="inlineStr">
        <is>
          <t>BorgWarner</t>
        </is>
      </c>
      <c r="D472" s="349" t="inlineStr">
        <is>
          <t>S2B</t>
        </is>
      </c>
      <c r="E472" s="349" t="inlineStr">
        <is>
          <t>KAMAZ 740</t>
        </is>
      </c>
      <c r="F472" s="350" t="inlineStr">
        <is>
          <t>1274-970-0003
8S02-100-E14</t>
        </is>
      </c>
      <c r="G472" s="349" t="n"/>
      <c r="H472" s="349" t="n"/>
      <c r="I472" s="349" t="n"/>
      <c r="J472" s="351" t="inlineStr">
        <is>
          <t>JRONE</t>
        </is>
      </c>
      <c r="K472" s="352" t="n"/>
      <c r="L472" s="352" t="n"/>
      <c r="M472" s="352" t="n"/>
      <c r="N472" s="352">
        <f>IF(M472="","",M472*1.1)</f>
        <v/>
      </c>
      <c r="O472" s="353" t="n"/>
      <c r="P472" s="353" t="n"/>
      <c r="Q472" s="353" t="n"/>
      <c r="R472" s="353" t="n"/>
      <c r="S472" s="353" t="n"/>
      <c r="T472" s="353" t="n"/>
      <c r="V472" s="346">
        <f>UPPER(A472&amp;" "&amp;B472&amp;" "&amp;D472&amp;" "&amp;E472&amp;" "&amp;F472&amp;" "&amp;G472&amp;" "&amp;H472&amp;" "&amp;I472&amp;" "&amp;J472)</f>
        <v/>
      </c>
      <c r="W472" s="216">
        <f>IF(AND('TRA CỨU TỔNG HỢP'!$B$3&lt;&gt;"",ISNUMBER(SEARCH('TRA CỨU TỔNG HỢP'!$B$3,V472))),MAX($W$3:W471)+1,"")</f>
        <v/>
      </c>
    </row>
    <row r="473" ht="15" customHeight="1" s="217">
      <c r="A473" s="354" t="inlineStr">
        <is>
          <t>KAMAZ</t>
        </is>
      </c>
      <c r="B473" s="355" t="inlineStr">
        <is>
          <t>HH079356</t>
        </is>
      </c>
      <c r="C473" s="354" t="inlineStr">
        <is>
          <t>BorgWarner</t>
        </is>
      </c>
      <c r="D473" s="354" t="inlineStr">
        <is>
          <t>K27-145</t>
        </is>
      </c>
      <c r="E473" s="354" t="n"/>
      <c r="F473" s="356" t="inlineStr">
        <is>
          <t>399-0023-145
TKP
7-08.09</t>
        </is>
      </c>
      <c r="G473" s="354" t="inlineStr">
        <is>
          <t>lắp lẫn cho đời sò gang 4 lỗ bu lông</t>
        </is>
      </c>
      <c r="H473" s="354" t="n"/>
      <c r="I473" s="354" t="n"/>
      <c r="J473" s="357" t="inlineStr">
        <is>
          <t>SL</t>
        </is>
      </c>
      <c r="K473" s="358" t="n"/>
      <c r="L473" s="358" t="n"/>
      <c r="M473" s="358" t="n"/>
      <c r="N473" s="358">
        <f>IF(M473="","",M473*1.1)</f>
        <v/>
      </c>
      <c r="O473" s="359" t="n">
        <v>76.2</v>
      </c>
      <c r="P473" s="359" t="n">
        <v>48.5</v>
      </c>
      <c r="Q473" s="359" t="inlineStr">
        <is>
          <t>6/6</t>
        </is>
      </c>
      <c r="R473" s="359" t="n">
        <v>75.90000000000001</v>
      </c>
      <c r="S473" s="359" t="n">
        <v>60.4</v>
      </c>
      <c r="T473" s="359" t="n">
        <v>12</v>
      </c>
      <c r="V473" s="346">
        <f>UPPER(A473&amp;" "&amp;B473&amp;" "&amp;D473&amp;" "&amp;E473&amp;" "&amp;F473&amp;" "&amp;G473&amp;" "&amp;H473&amp;" "&amp;I473&amp;" "&amp;J473)</f>
        <v/>
      </c>
      <c r="W473" s="216">
        <f>IF(AND('TRA CỨU TỔNG HỢP'!$B$3&lt;&gt;"",ISNUMBER(SEARCH('TRA CỨU TỔNG HỢP'!$B$3,V473))),MAX($W$3:W472)+1,"")</f>
        <v/>
      </c>
    </row>
    <row r="474" ht="19.5" customHeight="1" s="217">
      <c r="A474" s="339" t="inlineStr">
        <is>
          <t xml:space="preserve">  🏭  KOBELCO   ·   19 loại turbo</t>
        </is>
      </c>
      <c r="W474" s="216">
        <f>IF(AND('TRA CỨU TỔNG HỢP'!$B$3&lt;&gt;"",ISNUMBER(SEARCH('TRA CỨU TỔNG HỢP'!$B$3,V474))),MAX($W$3:W473)+1,"")</f>
        <v/>
      </c>
    </row>
    <row r="475" ht="15" customHeight="1" s="217">
      <c r="A475" s="340" t="inlineStr">
        <is>
          <t>KOBELCO</t>
        </is>
      </c>
      <c r="B475" s="341" t="inlineStr">
        <is>
          <t>HH071467</t>
        </is>
      </c>
      <c r="C475" s="340" t="inlineStr">
        <is>
          <t>Garrett</t>
        </is>
      </c>
      <c r="D475" s="340" t="inlineStr">
        <is>
          <t>GT2259L</t>
        </is>
      </c>
      <c r="E475" s="340" t="inlineStr">
        <is>
          <t>J05E</t>
        </is>
      </c>
      <c r="F475" s="342" t="inlineStr">
        <is>
          <t>761916-0003/17201-E0521/B161202088
761916-0006/8G22-200-H82</t>
        </is>
      </c>
      <c r="G475" s="340" t="inlineStr">
        <is>
          <t>Tâm lỗ bu lông 44.5 x 86</t>
        </is>
      </c>
      <c r="H475" s="340" t="inlineStr">
        <is>
          <t>SK200-8</t>
        </is>
      </c>
      <c r="I475" s="340" t="n"/>
      <c r="J475" s="343" t="inlineStr">
        <is>
          <t>SL</t>
        </is>
      </c>
      <c r="K475" s="344" t="n"/>
      <c r="L475" s="344" t="n"/>
      <c r="M475" s="344" t="n"/>
      <c r="N475" s="344">
        <f>IF(M475="","",M475*1.1)</f>
        <v/>
      </c>
      <c r="O475" s="345" t="n">
        <v>59.4</v>
      </c>
      <c r="P475" s="345" t="n">
        <v>41.96</v>
      </c>
      <c r="Q475" s="345" t="inlineStr">
        <is>
          <t>6/6</t>
        </is>
      </c>
      <c r="R475" s="345" t="n">
        <v>50.5</v>
      </c>
      <c r="S475" s="345" t="n">
        <v>42.8</v>
      </c>
      <c r="T475" s="345" t="inlineStr">
        <is>
          <t>9</t>
        </is>
      </c>
      <c r="V475" s="346">
        <f>UPPER(A475&amp;" "&amp;B475&amp;" "&amp;D475&amp;" "&amp;E475&amp;" "&amp;F475&amp;" "&amp;G475&amp;" "&amp;H475&amp;" "&amp;I475&amp;" "&amp;J475)</f>
        <v/>
      </c>
      <c r="W475" s="216">
        <f>IF(AND('TRA CỨU TỔNG HỢP'!$B$3&lt;&gt;"",ISNUMBER(SEARCH('TRA CỨU TỔNG HỢP'!$B$3,V475))),MAX($W$3:W474)+1,"")</f>
        <v/>
      </c>
    </row>
    <row r="476" ht="15" customHeight="1" s="217">
      <c r="A476" s="347" t="inlineStr">
        <is>
          <t xml:space="preserve">  └─ KOBELCO</t>
        </is>
      </c>
      <c r="B476" s="348" t="inlineStr">
        <is>
          <t>HH080014</t>
        </is>
      </c>
      <c r="C476" s="349" t="inlineStr">
        <is>
          <t>Garrett</t>
        </is>
      </c>
      <c r="D476" s="349" t="inlineStr">
        <is>
          <t>GT2259L</t>
        </is>
      </c>
      <c r="E476" s="349" t="inlineStr">
        <is>
          <t>J05E</t>
        </is>
      </c>
      <c r="F476" s="350" t="inlineStr">
        <is>
          <t>761916-0003/17201-E0521/B161202088
761916-0006/8G22-200-H82</t>
        </is>
      </c>
      <c r="G476" s="349" t="inlineStr">
        <is>
          <t>Tâm lỗ bu lông 44.5 x 86</t>
        </is>
      </c>
      <c r="H476" s="349" t="inlineStr">
        <is>
          <t>SK200-8</t>
        </is>
      </c>
      <c r="I476" s="349" t="n"/>
      <c r="J476" s="351" t="inlineStr">
        <is>
          <t>SL</t>
        </is>
      </c>
      <c r="K476" s="352" t="n"/>
      <c r="L476" s="352" t="n"/>
      <c r="M476" s="352" t="n"/>
      <c r="N476" s="352">
        <f>IF(M476="","",M476*1.1)</f>
        <v/>
      </c>
      <c r="O476" s="353" t="n">
        <v>59.4</v>
      </c>
      <c r="P476" s="353" t="n">
        <v>41.96</v>
      </c>
      <c r="Q476" s="353" t="inlineStr">
        <is>
          <t>6/6</t>
        </is>
      </c>
      <c r="R476" s="353" t="n">
        <v>50.5</v>
      </c>
      <c r="S476" s="353" t="n">
        <v>42.8</v>
      </c>
      <c r="T476" s="353" t="inlineStr">
        <is>
          <t>9</t>
        </is>
      </c>
      <c r="V476" s="346">
        <f>UPPER(A476&amp;" "&amp;B476&amp;" "&amp;D476&amp;" "&amp;E476&amp;" "&amp;F476&amp;" "&amp;G476&amp;" "&amp;H476&amp;" "&amp;I476&amp;" "&amp;J476)</f>
        <v/>
      </c>
      <c r="W476" s="216">
        <f>IF(AND('TRA CỨU TỔNG HỢP'!$B$3&lt;&gt;"",ISNUMBER(SEARCH('TRA CỨU TỔNG HỢP'!$B$3,V476))),MAX($W$3:W475)+1,"")</f>
        <v/>
      </c>
    </row>
    <row r="477" ht="15" customHeight="1" s="217">
      <c r="A477" s="340" t="inlineStr">
        <is>
          <t>KOBELCO</t>
        </is>
      </c>
      <c r="B477" s="341" t="inlineStr">
        <is>
          <t>HH075720</t>
        </is>
      </c>
      <c r="C477" s="340" t="inlineStr">
        <is>
          <t>Garrett</t>
        </is>
      </c>
      <c r="D477" s="340" t="inlineStr">
        <is>
          <t>GT3271LS</t>
        </is>
      </c>
      <c r="E477" s="340" t="inlineStr">
        <is>
          <t>J08E</t>
        </is>
      </c>
      <c r="F477" s="342" t="inlineStr">
        <is>
          <t>8G32-200-H45
787846-0001/24100-4640</t>
        </is>
      </c>
      <c r="G477" s="340" t="inlineStr">
        <is>
          <t>Tâm lỗ bu lông 44.5 x 86</t>
        </is>
      </c>
      <c r="H477" s="340" t="inlineStr">
        <is>
          <t>SK300-8 / 350-8</t>
        </is>
      </c>
      <c r="I477" s="340" t="n"/>
      <c r="J477" s="343" t="inlineStr">
        <is>
          <t>JRONE</t>
        </is>
      </c>
      <c r="K477" s="344" t="n"/>
      <c r="L477" s="344" t="n"/>
      <c r="M477" s="344" t="n"/>
      <c r="N477" s="344">
        <f>IF(M477="","",M477*1.1)</f>
        <v/>
      </c>
      <c r="O477" s="345" t="n">
        <v>71</v>
      </c>
      <c r="P477" s="345" t="n">
        <v>49.2</v>
      </c>
      <c r="Q477" s="345" t="inlineStr">
        <is>
          <t>6/6</t>
        </is>
      </c>
      <c r="R477" s="345" t="n">
        <v>61.4</v>
      </c>
      <c r="S477" s="345" t="n">
        <v>54.3</v>
      </c>
      <c r="T477" s="345" t="n">
        <v>10</v>
      </c>
      <c r="V477" s="346">
        <f>UPPER(A477&amp;" "&amp;B477&amp;" "&amp;D477&amp;" "&amp;E477&amp;" "&amp;F477&amp;" "&amp;G477&amp;" "&amp;H477&amp;" "&amp;I477&amp;" "&amp;J477)</f>
        <v/>
      </c>
      <c r="W477" s="216">
        <f>IF(AND('TRA CỨU TỔNG HỢP'!$B$3&lt;&gt;"",ISNUMBER(SEARCH('TRA CỨU TỔNG HỢP'!$B$3,V477))),MAX($W$3:W476)+1,"")</f>
        <v/>
      </c>
    </row>
    <row r="478" ht="15" customHeight="1" s="217">
      <c r="A478" s="347" t="inlineStr">
        <is>
          <t xml:space="preserve">  └─ KOBELCO</t>
        </is>
      </c>
      <c r="B478" s="348" t="inlineStr">
        <is>
          <t>HH070617</t>
        </is>
      </c>
      <c r="C478" s="349" t="inlineStr">
        <is>
          <t>Garrett</t>
        </is>
      </c>
      <c r="D478" s="349" t="inlineStr">
        <is>
          <t>GT3271LS</t>
        </is>
      </c>
      <c r="E478" s="349" t="inlineStr">
        <is>
          <t>J08E</t>
        </is>
      </c>
      <c r="F478" s="350" t="inlineStr">
        <is>
          <t>8G32-200-H45
787846-0001/24100-4640</t>
        </is>
      </c>
      <c r="G478" s="349" t="inlineStr">
        <is>
          <t>Tâm lỗ bu lông 44.5 x 86</t>
        </is>
      </c>
      <c r="H478" s="349" t="inlineStr">
        <is>
          <t>SK300-8 / 350-8</t>
        </is>
      </c>
      <c r="I478" s="349" t="n"/>
      <c r="J478" s="351" t="inlineStr">
        <is>
          <t>SL</t>
        </is>
      </c>
      <c r="K478" s="352" t="n"/>
      <c r="L478" s="352" t="n"/>
      <c r="M478" s="352" t="n"/>
      <c r="N478" s="352">
        <f>IF(M478="","",M478*1.1)</f>
        <v/>
      </c>
      <c r="O478" s="353" t="n">
        <v>71</v>
      </c>
      <c r="P478" s="353" t="n">
        <v>49.2</v>
      </c>
      <c r="Q478" s="353" t="inlineStr">
        <is>
          <t>6/6</t>
        </is>
      </c>
      <c r="R478" s="353" t="n">
        <v>61.4</v>
      </c>
      <c r="S478" s="353" t="n">
        <v>54.3</v>
      </c>
      <c r="T478" s="353" t="n">
        <v>10</v>
      </c>
      <c r="V478" s="346">
        <f>UPPER(A478&amp;" "&amp;B478&amp;" "&amp;D478&amp;" "&amp;E478&amp;" "&amp;F478&amp;" "&amp;G478&amp;" "&amp;H478&amp;" "&amp;I478&amp;" "&amp;J478)</f>
        <v/>
      </c>
      <c r="W478" s="216">
        <f>IF(AND('TRA CỨU TỔNG HỢP'!$B$3&lt;&gt;"",ISNUMBER(SEARCH('TRA CỨU TỔNG HỢP'!$B$3,V478))),MAX($W$3:W477)+1,"")</f>
        <v/>
      </c>
    </row>
    <row r="479" ht="15" customHeight="1" s="217">
      <c r="A479" s="354" t="inlineStr">
        <is>
          <t>KOBELCO</t>
        </is>
      </c>
      <c r="B479" s="355" t="inlineStr">
        <is>
          <t>HH071952</t>
        </is>
      </c>
      <c r="C479" s="354" t="inlineStr">
        <is>
          <t>Mitsubishi</t>
        </is>
      </c>
      <c r="D479" s="354" t="inlineStr">
        <is>
          <t>TD0890/TD08-22D</t>
        </is>
      </c>
      <c r="E479" s="354" t="inlineStr">
        <is>
          <t>6D22T</t>
        </is>
      </c>
      <c r="F479" s="356" t="inlineStr">
        <is>
          <t>ME157215
49174-00566/49174-09200</t>
        </is>
      </c>
      <c r="G479" s="366" t="inlineStr">
        <is>
          <t>Tâm lỗ 70 x 82.5
(cổ gang nhỏ 90)</t>
        </is>
      </c>
      <c r="H479" s="354" t="inlineStr">
        <is>
          <t>Kobelco/Fuso</t>
        </is>
      </c>
      <c r="I479" s="354" t="n"/>
      <c r="J479" s="357" t="inlineStr">
        <is>
          <t>SL</t>
        </is>
      </c>
      <c r="K479" s="358" t="n"/>
      <c r="L479" s="358" t="n"/>
      <c r="M479" s="358" t="n"/>
      <c r="N479" s="358">
        <f>IF(M479="","",M479*1.1)</f>
        <v/>
      </c>
      <c r="O479" s="359" t="n">
        <v>92</v>
      </c>
      <c r="P479" s="359" t="n">
        <v>61.5</v>
      </c>
      <c r="Q479" s="359" t="inlineStr">
        <is>
          <t>7/7</t>
        </is>
      </c>
      <c r="R479" s="359" t="n">
        <v>90</v>
      </c>
      <c r="S479" s="359" t="n">
        <v>79</v>
      </c>
      <c r="T479" s="359" t="n">
        <v>12</v>
      </c>
      <c r="V479" s="346">
        <f>UPPER(A479&amp;" "&amp;B479&amp;" "&amp;D479&amp;" "&amp;E479&amp;" "&amp;F479&amp;" "&amp;G479&amp;" "&amp;H479&amp;" "&amp;I479&amp;" "&amp;J479)</f>
        <v/>
      </c>
      <c r="W479" s="216">
        <f>IF(AND('TRA CỨU TỔNG HỢP'!$B$3&lt;&gt;"",ISNUMBER(SEARCH('TRA CỨU TỔNG HỢP'!$B$3,V479))),MAX($W$3:W478)+1,"")</f>
        <v/>
      </c>
    </row>
    <row r="480" ht="15" customHeight="1" s="217">
      <c r="A480" s="340" t="inlineStr">
        <is>
          <t>KOBELCO</t>
        </is>
      </c>
      <c r="B480" s="341" t="inlineStr">
        <is>
          <t>HH079974</t>
        </is>
      </c>
      <c r="C480" s="340" t="inlineStr">
        <is>
          <t>Mitsubishi</t>
        </is>
      </c>
      <c r="D480" s="340" t="inlineStr">
        <is>
          <t>TD08H-21D/22</t>
        </is>
      </c>
      <c r="E480" s="340" t="inlineStr">
        <is>
          <t>6D22T/6D24T</t>
        </is>
      </c>
      <c r="F480" s="342" t="inlineStr">
        <is>
          <t>49188-01262/49188-03062/49188-01263
ME035940/ME053934</t>
        </is>
      </c>
      <c r="G480" s="373" t="inlineStr">
        <is>
          <t>Tâm lỗ 70 x 82.5
(cổ gang lớn 98)</t>
        </is>
      </c>
      <c r="H480" s="340" t="inlineStr">
        <is>
          <t>Kobelco/Sumitomo</t>
        </is>
      </c>
      <c r="I480" s="340" t="n"/>
      <c r="J480" s="343" t="n"/>
      <c r="K480" s="344" t="n"/>
      <c r="L480" s="344" t="n"/>
      <c r="M480" s="344" t="n"/>
      <c r="N480" s="344">
        <f>IF(M480="","",M480*1.1)</f>
        <v/>
      </c>
      <c r="O480" s="345" t="n">
        <v>92</v>
      </c>
      <c r="P480" s="345" t="n">
        <v>61.5</v>
      </c>
      <c r="Q480" s="345" t="inlineStr">
        <is>
          <t>7/7</t>
        </is>
      </c>
      <c r="R480" s="345" t="n">
        <v>90</v>
      </c>
      <c r="S480" s="345" t="n">
        <v>79</v>
      </c>
      <c r="T480" s="345" t="n">
        <v>12</v>
      </c>
      <c r="V480" s="346">
        <f>UPPER(A480&amp;" "&amp;B480&amp;" "&amp;D480&amp;" "&amp;E480&amp;" "&amp;F480&amp;" "&amp;G480&amp;" "&amp;H480&amp;" "&amp;I480&amp;" "&amp;J480)</f>
        <v/>
      </c>
      <c r="W480" s="216">
        <f>IF(AND('TRA CỨU TỔNG HỢP'!$B$3&lt;&gt;"",ISNUMBER(SEARCH('TRA CỨU TỔNG HỢP'!$B$3,V480))),MAX($W$3:W479)+1,"")</f>
        <v/>
      </c>
    </row>
    <row r="481" ht="15" customHeight="1" s="217">
      <c r="A481" s="347" t="inlineStr">
        <is>
          <t xml:space="preserve">  └─ KOBELCO</t>
        </is>
      </c>
      <c r="B481" s="348" t="inlineStr">
        <is>
          <t>HH070610</t>
        </is>
      </c>
      <c r="C481" s="349" t="inlineStr">
        <is>
          <t>Mitsubishi</t>
        </is>
      </c>
      <c r="D481" s="349" t="inlineStr">
        <is>
          <t>TD08H-21D/22</t>
        </is>
      </c>
      <c r="E481" s="349" t="inlineStr">
        <is>
          <t>6D22T/6D24T</t>
        </is>
      </c>
      <c r="F481" s="350" t="inlineStr">
        <is>
          <t>49188-01262/49188-03062/49188-01263
ME035940/ME053934</t>
        </is>
      </c>
      <c r="G481" s="374" t="inlineStr">
        <is>
          <t>Tâm lỗ 70 x 82.5
(cổ gang lớn 98)</t>
        </is>
      </c>
      <c r="H481" s="349" t="inlineStr">
        <is>
          <t>Kobelco/Sumitomo</t>
        </is>
      </c>
      <c r="I481" s="349" t="n"/>
      <c r="J481" s="351" t="n"/>
      <c r="K481" s="352" t="n"/>
      <c r="L481" s="352" t="n"/>
      <c r="M481" s="352" t="n"/>
      <c r="N481" s="352">
        <f>IF(M481="","",M481*1.1)</f>
        <v/>
      </c>
      <c r="O481" s="353" t="n">
        <v>92</v>
      </c>
      <c r="P481" s="353" t="n">
        <v>61.5</v>
      </c>
      <c r="Q481" s="353" t="inlineStr">
        <is>
          <t>7/7</t>
        </is>
      </c>
      <c r="R481" s="353" t="n">
        <v>90</v>
      </c>
      <c r="S481" s="353" t="n">
        <v>79</v>
      </c>
      <c r="T481" s="353" t="n">
        <v>12</v>
      </c>
      <c r="V481" s="346">
        <f>UPPER(A481&amp;" "&amp;B481&amp;" "&amp;D481&amp;" "&amp;E481&amp;" "&amp;F481&amp;" "&amp;G481&amp;" "&amp;H481&amp;" "&amp;I481&amp;" "&amp;J481)</f>
        <v/>
      </c>
      <c r="W481" s="216">
        <f>IF(AND('TRA CỨU TỔNG HỢP'!$B$3&lt;&gt;"",ISNUMBER(SEARCH('TRA CỨU TỔNG HỢP'!$B$3,V481))),MAX($W$3:W480)+1,"")</f>
        <v/>
      </c>
    </row>
    <row r="482" ht="15" customHeight="1" s="217">
      <c r="A482" s="340" t="inlineStr">
        <is>
          <t>KOBELCO</t>
        </is>
      </c>
      <c r="B482" s="341" t="inlineStr">
        <is>
          <t>HH070617</t>
        </is>
      </c>
      <c r="C482" s="340" t="inlineStr">
        <is>
          <t>Garrett</t>
        </is>
      </c>
      <c r="D482" s="340" t="inlineStr">
        <is>
          <t>GT32/GT3271LS</t>
        </is>
      </c>
      <c r="E482" s="340" t="inlineStr">
        <is>
          <t>J08E</t>
        </is>
      </c>
      <c r="F482" s="342" t="inlineStr">
        <is>
          <t>764267-0001
24100-4640
S1760-E0200
VHS1760E0200</t>
        </is>
      </c>
      <c r="G482" s="340" t="n"/>
      <c r="H482" s="340" t="inlineStr">
        <is>
          <t>SK330-8 / SK350-8</t>
        </is>
      </c>
      <c r="I482" s="340" t="n"/>
      <c r="J482" s="343" t="inlineStr">
        <is>
          <t>SL</t>
        </is>
      </c>
      <c r="K482" s="344" t="n"/>
      <c r="L482" s="344" t="n"/>
      <c r="M482" s="344" t="n"/>
      <c r="N482" s="344">
        <f>IF(M482="","",M482*1.1)</f>
        <v/>
      </c>
      <c r="O482" s="345" t="n">
        <v>71</v>
      </c>
      <c r="P482" s="345" t="n">
        <v>49.2</v>
      </c>
      <c r="Q482" s="345" t="inlineStr">
        <is>
          <t>6/6</t>
        </is>
      </c>
      <c r="R482" s="345" t="n">
        <v>61.4</v>
      </c>
      <c r="S482" s="345" t="n">
        <v>54.3</v>
      </c>
      <c r="T482" s="345" t="n">
        <v>10</v>
      </c>
      <c r="V482" s="346">
        <f>UPPER(A482&amp;" "&amp;B482&amp;" "&amp;D482&amp;" "&amp;E482&amp;" "&amp;F482&amp;" "&amp;G482&amp;" "&amp;H482&amp;" "&amp;I482&amp;" "&amp;J482)</f>
        <v/>
      </c>
      <c r="W482" s="216">
        <f>IF(AND('TRA CỨU TỔNG HỢP'!$B$3&lt;&gt;"",ISNUMBER(SEARCH('TRA CỨU TỔNG HỢP'!$B$3,V482))),MAX($W$3:W481)+1,"")</f>
        <v/>
      </c>
    </row>
    <row r="483" ht="15" customHeight="1" s="217">
      <c r="A483" s="347" t="inlineStr">
        <is>
          <t xml:space="preserve">  └─ KOBELCO</t>
        </is>
      </c>
      <c r="B483" s="348" t="inlineStr">
        <is>
          <t>HH079966</t>
        </is>
      </c>
      <c r="C483" s="349" t="inlineStr">
        <is>
          <t>Garrett</t>
        </is>
      </c>
      <c r="D483" s="349" t="inlineStr">
        <is>
          <t>GT32/GT3271LS</t>
        </is>
      </c>
      <c r="E483" s="349" t="inlineStr">
        <is>
          <t>J08E</t>
        </is>
      </c>
      <c r="F483" s="350" t="inlineStr">
        <is>
          <t>764267-0001
24100-4640
S1760-E0200
VHS1760E0200</t>
        </is>
      </c>
      <c r="G483" s="349" t="n"/>
      <c r="H483" s="349" t="inlineStr">
        <is>
          <t>SK330-8 / SK350-8</t>
        </is>
      </c>
      <c r="I483" s="349" t="n"/>
      <c r="J483" s="351" t="inlineStr">
        <is>
          <t>SL</t>
        </is>
      </c>
      <c r="K483" s="352" t="n"/>
      <c r="L483" s="352" t="n"/>
      <c r="M483" s="352" t="n"/>
      <c r="N483" s="352">
        <f>IF(M483="","",M483*1.1)</f>
        <v/>
      </c>
      <c r="O483" s="353" t="n">
        <v>71</v>
      </c>
      <c r="P483" s="353" t="n">
        <v>49.2</v>
      </c>
      <c r="Q483" s="353" t="inlineStr">
        <is>
          <t>6/6</t>
        </is>
      </c>
      <c r="R483" s="353" t="n">
        <v>61.4</v>
      </c>
      <c r="S483" s="353" t="n">
        <v>54.3</v>
      </c>
      <c r="T483" s="353" t="n">
        <v>10</v>
      </c>
      <c r="V483" s="346">
        <f>UPPER(A483&amp;" "&amp;B483&amp;" "&amp;D483&amp;" "&amp;E483&amp;" "&amp;F483&amp;" "&amp;G483&amp;" "&amp;H483&amp;" "&amp;I483&amp;" "&amp;J483)</f>
        <v/>
      </c>
      <c r="W483" s="216">
        <f>IF(AND('TRA CỨU TỔNG HỢP'!$B$3&lt;&gt;"",ISNUMBER(SEARCH('TRA CỨU TỔNG HỢP'!$B$3,V483))),MAX($W$3:W482)+1,"")</f>
        <v/>
      </c>
    </row>
    <row r="484" ht="15" customHeight="1" s="217">
      <c r="A484" s="340" t="inlineStr">
        <is>
          <t>KOBELCO</t>
        </is>
      </c>
      <c r="B484" s="341" t="inlineStr">
        <is>
          <t>HH070615</t>
        </is>
      </c>
      <c r="C484" s="340" t="inlineStr">
        <is>
          <t>Garrett</t>
        </is>
      </c>
      <c r="D484" s="340" t="inlineStr">
        <is>
          <t>TA3134</t>
        </is>
      </c>
      <c r="E484" s="340" t="inlineStr">
        <is>
          <t>6D31</t>
        </is>
      </c>
      <c r="F484" s="342" t="inlineStr">
        <is>
          <t>ME088488
409172-0096
466129-0001</t>
        </is>
      </c>
      <c r="G484" s="373" t="inlineStr">
        <is>
          <t>Tâm lỗ bu lông 44.5 x 86
Cổ gang bắt ống</t>
        </is>
      </c>
      <c r="H484" s="373" t="inlineStr">
        <is>
          <t>SK200-1/-2/ 3/-5 (thông dụng)
Lắp lẫn S4D95</t>
        </is>
      </c>
      <c r="I484" s="340" t="n"/>
      <c r="J484" s="343" t="inlineStr">
        <is>
          <t>SL</t>
        </is>
      </c>
      <c r="K484" s="344" t="n"/>
      <c r="L484" s="344" t="n"/>
      <c r="M484" s="344" t="n"/>
      <c r="N484" s="344">
        <f>IF(M484="","",M484*1.1)</f>
        <v/>
      </c>
      <c r="O484" s="345" t="n"/>
      <c r="P484" s="345" t="n"/>
      <c r="Q484" s="345" t="n"/>
      <c r="R484" s="345" t="n"/>
      <c r="S484" s="345" t="n"/>
      <c r="T484" s="345" t="n"/>
      <c r="V484" s="346">
        <f>UPPER(A484&amp;" "&amp;B484&amp;" "&amp;D484&amp;" "&amp;E484&amp;" "&amp;F484&amp;" "&amp;G484&amp;" "&amp;H484&amp;" "&amp;I484&amp;" "&amp;J484)</f>
        <v/>
      </c>
      <c r="W484" s="216">
        <f>IF(AND('TRA CỨU TỔNG HỢP'!$B$3&lt;&gt;"",ISNUMBER(SEARCH('TRA CỨU TỔNG HỢP'!$B$3,V484))),MAX($W$3:W483)+1,"")</f>
        <v/>
      </c>
    </row>
    <row r="485" ht="15" customHeight="1" s="217">
      <c r="A485" s="347" t="inlineStr">
        <is>
          <t xml:space="preserve">  └─ KOBELCO</t>
        </is>
      </c>
      <c r="B485" s="348" t="inlineStr">
        <is>
          <t>HH080012</t>
        </is>
      </c>
      <c r="C485" s="349" t="inlineStr">
        <is>
          <t>Garrett</t>
        </is>
      </c>
      <c r="D485" s="349" t="inlineStr">
        <is>
          <t>TA3134</t>
        </is>
      </c>
      <c r="E485" s="349" t="inlineStr">
        <is>
          <t>6D31</t>
        </is>
      </c>
      <c r="F485" s="350" t="inlineStr">
        <is>
          <t>ME088488
409172-0096
466129-0001</t>
        </is>
      </c>
      <c r="G485" s="374" t="inlineStr">
        <is>
          <t>Tâm lỗ bu lông 44.5 x 86
Cổ gang bắt ống</t>
        </is>
      </c>
      <c r="H485" s="374" t="inlineStr">
        <is>
          <t>SK200-1/-2/ 3/-5 (thông dụng)
Lắp lẫn S4D95</t>
        </is>
      </c>
      <c r="I485" s="349" t="n"/>
      <c r="J485" s="351" t="inlineStr">
        <is>
          <t>SL</t>
        </is>
      </c>
      <c r="K485" s="352" t="n"/>
      <c r="L485" s="352" t="n"/>
      <c r="M485" s="352" t="n"/>
      <c r="N485" s="352">
        <f>IF(M485="","",M485*1.1)</f>
        <v/>
      </c>
      <c r="O485" s="353" t="n"/>
      <c r="P485" s="353" t="n"/>
      <c r="Q485" s="353" t="n"/>
      <c r="R485" s="353" t="n"/>
      <c r="S485" s="353" t="n"/>
      <c r="T485" s="353" t="n"/>
      <c r="V485" s="346">
        <f>UPPER(A485&amp;" "&amp;B485&amp;" "&amp;D485&amp;" "&amp;E485&amp;" "&amp;F485&amp;" "&amp;G485&amp;" "&amp;H485&amp;" "&amp;I485&amp;" "&amp;J485)</f>
        <v/>
      </c>
      <c r="W485" s="216">
        <f>IF(AND('TRA CỨU TỔNG HỢP'!$B$3&lt;&gt;"",ISNUMBER(SEARCH('TRA CỨU TỔNG HỢP'!$B$3,V485))),MAX($W$3:W484)+1,"")</f>
        <v/>
      </c>
    </row>
    <row r="486" ht="15" customHeight="1" s="217">
      <c r="A486" s="340" t="inlineStr">
        <is>
          <t>KOBELCO</t>
        </is>
      </c>
      <c r="B486" s="341" t="inlineStr">
        <is>
          <t>HH070620</t>
        </is>
      </c>
      <c r="C486" s="340" t="inlineStr">
        <is>
          <t>Mitsubishi</t>
        </is>
      </c>
      <c r="D486" s="340" t="inlineStr">
        <is>
          <t>TD06</t>
        </is>
      </c>
      <c r="E486" s="340" t="inlineStr">
        <is>
          <t>6D14/6D31</t>
        </is>
      </c>
      <c r="F486" s="342" t="inlineStr">
        <is>
          <t>ME037701/49179-00110 
49179-02100/ME070460</t>
        </is>
      </c>
      <c r="G486" s="340" t="inlineStr">
        <is>
          <t>Chân tam giác tâm lỗ 66</t>
        </is>
      </c>
      <c r="H486" s="340" t="inlineStr">
        <is>
          <t>SK07</t>
        </is>
      </c>
      <c r="I486" s="340" t="n"/>
      <c r="J486" s="343" t="inlineStr">
        <is>
          <t>SL</t>
        </is>
      </c>
      <c r="K486" s="344" t="n"/>
      <c r="L486" s="344" t="n"/>
      <c r="M486" s="344" t="n"/>
      <c r="N486" s="344">
        <f>IF(M486="","",M486*1.1)</f>
        <v/>
      </c>
      <c r="O486" s="345" t="n">
        <v>65</v>
      </c>
      <c r="P486" s="345" t="n">
        <v>48</v>
      </c>
      <c r="Q486" s="345" t="inlineStr">
        <is>
          <t>7/7</t>
        </is>
      </c>
      <c r="R486" s="345" t="n">
        <v>65.2</v>
      </c>
      <c r="S486" s="345" t="n">
        <v>55.2</v>
      </c>
      <c r="T486" s="345" t="n">
        <v>12</v>
      </c>
      <c r="V486" s="346">
        <f>UPPER(A486&amp;" "&amp;B486&amp;" "&amp;D486&amp;" "&amp;E486&amp;" "&amp;F486&amp;" "&amp;G486&amp;" "&amp;H486&amp;" "&amp;I486&amp;" "&amp;J486)</f>
        <v/>
      </c>
      <c r="W486" s="216">
        <f>IF(AND('TRA CỨU TỔNG HỢP'!$B$3&lt;&gt;"",ISNUMBER(SEARCH('TRA CỨU TỔNG HỢP'!$B$3,V486))),MAX($W$3:W485)+1,"")</f>
        <v/>
      </c>
    </row>
    <row r="487" ht="15" customHeight="1" s="217">
      <c r="A487" s="347" t="inlineStr">
        <is>
          <t xml:space="preserve">  └─ KOBELCO</t>
        </is>
      </c>
      <c r="B487" s="348" t="inlineStr">
        <is>
          <t>HH080737</t>
        </is>
      </c>
      <c r="C487" s="349" t="inlineStr">
        <is>
          <t>Mitsubishi</t>
        </is>
      </c>
      <c r="D487" s="349" t="inlineStr">
        <is>
          <t>TD06</t>
        </is>
      </c>
      <c r="E487" s="349" t="inlineStr">
        <is>
          <t>6D14/6D31</t>
        </is>
      </c>
      <c r="F487" s="350" t="inlineStr">
        <is>
          <t>ME037701/49179-00110 
49179-02100/ME070460</t>
        </is>
      </c>
      <c r="G487" s="349" t="inlineStr">
        <is>
          <t>Chân tam giác tâm lỗ 66</t>
        </is>
      </c>
      <c r="H487" s="349" t="inlineStr">
        <is>
          <t>SK07</t>
        </is>
      </c>
      <c r="I487" s="349" t="n"/>
      <c r="J487" s="351" t="n"/>
      <c r="K487" s="352" t="n"/>
      <c r="L487" s="352" t="n"/>
      <c r="M487" s="352" t="n"/>
      <c r="N487" s="352">
        <f>IF(M487="","",M487*1.1)</f>
        <v/>
      </c>
      <c r="O487" s="353" t="n">
        <v>65</v>
      </c>
      <c r="P487" s="353" t="n">
        <v>48</v>
      </c>
      <c r="Q487" s="353" t="inlineStr">
        <is>
          <t>7/7</t>
        </is>
      </c>
      <c r="R487" s="353" t="n">
        <v>65.2</v>
      </c>
      <c r="S487" s="353" t="n">
        <v>55.2</v>
      </c>
      <c r="T487" s="353" t="n">
        <v>12</v>
      </c>
      <c r="V487" s="346">
        <f>UPPER(A487&amp;" "&amp;B487&amp;" "&amp;D487&amp;" "&amp;E487&amp;" "&amp;F487&amp;" "&amp;G487&amp;" "&amp;H487&amp;" "&amp;I487&amp;" "&amp;J487)</f>
        <v/>
      </c>
      <c r="W487" s="216">
        <f>IF(AND('TRA CỨU TỔNG HỢP'!$B$3&lt;&gt;"",ISNUMBER(SEARCH('TRA CỨU TỔNG HỢP'!$B$3,V487))),MAX($W$3:W486)+1,"")</f>
        <v/>
      </c>
    </row>
    <row r="488" ht="15" customHeight="1" s="217">
      <c r="A488" s="354" t="inlineStr">
        <is>
          <t>KOBELCO</t>
        </is>
      </c>
      <c r="B488" s="355" t="inlineStr">
        <is>
          <t>HH070616</t>
        </is>
      </c>
      <c r="C488" s="354" t="inlineStr">
        <is>
          <t>Mitsubishi</t>
        </is>
      </c>
      <c r="D488" s="354" t="inlineStr">
        <is>
          <t>TD06-17C</t>
        </is>
      </c>
      <c r="E488" s="354" t="inlineStr">
        <is>
          <t>6D31</t>
        </is>
      </c>
      <c r="F488" s="356" t="inlineStr">
        <is>
          <t>49179-02110
49179-09400
ME088256</t>
        </is>
      </c>
      <c r="G488" s="366" t="inlineStr">
        <is>
          <t>Tâm lỗ bu lông 67 x 73
(Chân vuông)</t>
        </is>
      </c>
      <c r="H488" s="354" t="inlineStr">
        <is>
          <t>SK07/SK07-N2</t>
        </is>
      </c>
      <c r="I488" s="354" t="n"/>
      <c r="J488" s="357" t="inlineStr">
        <is>
          <t>SL</t>
        </is>
      </c>
      <c r="K488" s="358" t="n"/>
      <c r="L488" s="358" t="n"/>
      <c r="M488" s="358" t="n"/>
      <c r="N488" s="358">
        <f>IF(M488="","",M488*1.1)</f>
        <v/>
      </c>
      <c r="O488" s="359" t="n">
        <v>68</v>
      </c>
      <c r="P488" s="359" t="n">
        <v>48.2</v>
      </c>
      <c r="Q488" s="359" t="inlineStr">
        <is>
          <t>12</t>
        </is>
      </c>
      <c r="R488" s="359" t="n">
        <v>65.2</v>
      </c>
      <c r="S488" s="359" t="n">
        <v>55.2</v>
      </c>
      <c r="T488" s="359" t="n">
        <v>12</v>
      </c>
      <c r="V488" s="346">
        <f>UPPER(A488&amp;" "&amp;B488&amp;" "&amp;D488&amp;" "&amp;E488&amp;" "&amp;F488&amp;" "&amp;G488&amp;" "&amp;H488&amp;" "&amp;I488&amp;" "&amp;J488)</f>
        <v/>
      </c>
      <c r="W488" s="216">
        <f>IF(AND('TRA CỨU TỔNG HỢP'!$B$3&lt;&gt;"",ISNUMBER(SEARCH('TRA CỨU TỔNG HỢP'!$B$3,V488))),MAX($W$3:W487)+1,"")</f>
        <v/>
      </c>
    </row>
    <row r="489" ht="15" customHeight="1" s="217">
      <c r="A489" s="354" t="inlineStr">
        <is>
          <t>KOBELCO</t>
        </is>
      </c>
      <c r="B489" s="355" t="inlineStr">
        <is>
          <t>HH081360</t>
        </is>
      </c>
      <c r="C489" s="354" t="inlineStr">
        <is>
          <t>Garrett</t>
        </is>
      </c>
      <c r="D489" s="354" t="inlineStr">
        <is>
          <t>GTA4082</t>
        </is>
      </c>
      <c r="E489" s="354" t="n"/>
      <c r="F489" s="356" t="inlineStr">
        <is>
          <t>789003-5009S</t>
        </is>
      </c>
      <c r="G489" s="354" t="n"/>
      <c r="H489" s="354" t="inlineStr">
        <is>
          <t>SK350-9</t>
        </is>
      </c>
      <c r="I489" s="354" t="n"/>
      <c r="J489" s="357" t="inlineStr">
        <is>
          <t>GARRETT</t>
        </is>
      </c>
      <c r="K489" s="358" t="n"/>
      <c r="L489" s="358" t="n"/>
      <c r="M489" s="358" t="n"/>
      <c r="N489" s="358">
        <f>IF(M489="","",M489*1.1)</f>
        <v/>
      </c>
      <c r="O489" s="359" t="n"/>
      <c r="P489" s="359" t="n"/>
      <c r="Q489" s="359" t="n"/>
      <c r="R489" s="359" t="n"/>
      <c r="S489" s="359" t="n"/>
      <c r="T489" s="359" t="n"/>
      <c r="V489" s="216">
        <f>UPPER(A489&amp;" "&amp;B489&amp;" "&amp;D489&amp;" "&amp;E489&amp;" "&amp;F489&amp;" "&amp;G489&amp;" "&amp;H489&amp;" "&amp;I489&amp;" "&amp;J489)</f>
        <v/>
      </c>
      <c r="W489" s="216">
        <f>IF(AND('TRA CỨU TỔNG HỢP'!$B$3&lt;&gt;"",ISNUMBER(SEARCH('TRA CỨU TỔNG HỢP'!$B$3,V489))),MAX($W$3:W488)+1,"")</f>
        <v/>
      </c>
    </row>
    <row r="490" ht="15" customHeight="1" s="217">
      <c r="A490" s="354" t="inlineStr">
        <is>
          <t>KOBELCO</t>
        </is>
      </c>
      <c r="B490" s="355" t="inlineStr">
        <is>
          <t>HH077143</t>
        </is>
      </c>
      <c r="C490" s="354" t="inlineStr">
        <is>
          <t>Mitsubishi</t>
        </is>
      </c>
      <c r="D490" s="354" t="inlineStr">
        <is>
          <t>TD04HL4-11</t>
        </is>
      </c>
      <c r="E490" s="354" t="inlineStr">
        <is>
          <t>D04FR</t>
        </is>
      </c>
      <c r="F490" s="356" t="inlineStr">
        <is>
          <t>49189-02750
8M04-100-L60</t>
        </is>
      </c>
      <c r="G490" s="354" t="n"/>
      <c r="H490" s="354" t="inlineStr">
        <is>
          <t>SK125SR</t>
        </is>
      </c>
      <c r="I490" s="354" t="n"/>
      <c r="J490" s="357" t="inlineStr">
        <is>
          <t>JRONE</t>
        </is>
      </c>
      <c r="K490" s="358" t="n"/>
      <c r="L490" s="358" t="n"/>
      <c r="M490" s="358" t="n"/>
      <c r="N490" s="358">
        <f>IF(M490="","",M490*1.1)</f>
        <v/>
      </c>
      <c r="O490" s="359" t="n"/>
      <c r="P490" s="359" t="n"/>
      <c r="Q490" s="359" t="n"/>
      <c r="R490" s="359" t="n"/>
      <c r="S490" s="359" t="n"/>
      <c r="T490" s="359" t="n"/>
      <c r="V490" s="346">
        <f>UPPER(A490&amp;" "&amp;B490&amp;" "&amp;D490&amp;" "&amp;E490&amp;" "&amp;F490&amp;" "&amp;G490&amp;" "&amp;H490&amp;" "&amp;I490&amp;" "&amp;J490)</f>
        <v/>
      </c>
      <c r="W490" s="216">
        <f>IF(AND('TRA CỨU TỔNG HỢP'!$B$3&lt;&gt;"",ISNUMBER(SEARCH('TRA CỨU TỔNG HỢP'!$B$3,V490))),MAX($W$3:W489)+1,"")</f>
        <v/>
      </c>
    </row>
    <row r="491" ht="15" customHeight="1" s="217">
      <c r="A491" s="360" t="inlineStr">
        <is>
          <t>KOBELCO</t>
        </is>
      </c>
      <c r="B491" s="361" t="n"/>
      <c r="C491" s="360" t="inlineStr">
        <is>
          <t>Mitsubishi</t>
        </is>
      </c>
      <c r="D491" s="360" t="inlineStr">
        <is>
          <t>TF035HL4</t>
        </is>
      </c>
      <c r="E491" s="360" t="inlineStr">
        <is>
          <t>D04EG</t>
        </is>
      </c>
      <c r="F491" s="362" t="inlineStr">
        <is>
          <t>49335-00760</t>
        </is>
      </c>
      <c r="G491" s="360" t="n"/>
      <c r="H491" s="360" t="inlineStr">
        <is>
          <t>SK135</t>
        </is>
      </c>
      <c r="I491" s="360" t="inlineStr">
        <is>
          <t>chưa nhập</t>
        </is>
      </c>
      <c r="J491" s="363" t="n"/>
      <c r="K491" s="364" t="n"/>
      <c r="L491" s="364" t="n"/>
      <c r="M491" s="364" t="n"/>
      <c r="N491" s="364" t="n"/>
      <c r="O491" s="365" t="n"/>
      <c r="P491" s="365" t="n"/>
      <c r="Q491" s="365" t="n"/>
      <c r="R491" s="365" t="n"/>
      <c r="S491" s="365" t="n"/>
      <c r="T491" s="365" t="n"/>
      <c r="V491" s="216">
        <f>UPPER(A491&amp;" "&amp;B491&amp;" "&amp;D491&amp;" "&amp;E491&amp;" "&amp;F491&amp;" "&amp;G491&amp;" "&amp;H491&amp;" "&amp;I491&amp;" "&amp;J491)</f>
        <v/>
      </c>
      <c r="W491" s="216">
        <f>IF(AND('TRA CỨU TỔNG HỢP'!$B$3&lt;&gt;"",ISNUMBER(SEARCH('TRA CỨU TỔNG HỢP'!$B$3,V491))),MAX($W$3:W490)+1,"")</f>
        <v/>
      </c>
    </row>
    <row r="492" ht="15" customHeight="1" s="217">
      <c r="A492" s="340" t="inlineStr">
        <is>
          <t>KOBELCO</t>
        </is>
      </c>
      <c r="B492" s="341" t="inlineStr">
        <is>
          <t>HH070612</t>
        </is>
      </c>
      <c r="C492" s="340" t="inlineStr">
        <is>
          <t>IHI</t>
        </is>
      </c>
      <c r="D492" s="340" t="inlineStr">
        <is>
          <t>RHB6</t>
        </is>
      </c>
      <c r="E492" s="340" t="inlineStr">
        <is>
          <t>4BD1/4BG1/4CH</t>
        </is>
      </c>
      <c r="F492" s="342" t="inlineStr">
        <is>
          <t>894418-3200
NE190022
CI38
NB190027</t>
        </is>
      </c>
      <c r="G492" s="340" t="inlineStr">
        <is>
          <t>Tâm lỗ bu lông: 34 x 73</t>
        </is>
      </c>
      <c r="H492" s="373" t="inlineStr">
        <is>
          <t>SH100/EX120-1
SK04/5/EX150</t>
        </is>
      </c>
      <c r="I492" s="340" t="n"/>
      <c r="J492" s="343" t="inlineStr">
        <is>
          <t>SL</t>
        </is>
      </c>
      <c r="K492" s="344" t="n"/>
      <c r="L492" s="344" t="n"/>
      <c r="M492" s="344" t="n"/>
      <c r="N492" s="344">
        <f>IF(M492="","",M492*1.1)</f>
        <v/>
      </c>
      <c r="O492" s="345" t="n">
        <v>59</v>
      </c>
      <c r="P492" s="345" t="n">
        <v>36.7</v>
      </c>
      <c r="Q492" s="345" t="inlineStr">
        <is>
          <t>10</t>
        </is>
      </c>
      <c r="R492" s="345" t="n">
        <v>62.1</v>
      </c>
      <c r="S492" s="345" t="n">
        <v>51</v>
      </c>
      <c r="T492" s="345" t="inlineStr">
        <is>
          <t>11</t>
        </is>
      </c>
      <c r="V492" s="346">
        <f>UPPER(A492&amp;" "&amp;B492&amp;" "&amp;D492&amp;" "&amp;E492&amp;" "&amp;F492&amp;" "&amp;G492&amp;" "&amp;H492&amp;" "&amp;I492&amp;" "&amp;J492)</f>
        <v/>
      </c>
      <c r="W492" s="216">
        <f>IF(AND('TRA CỨU TỔNG HỢP'!$B$3&lt;&gt;"",ISNUMBER(SEARCH('TRA CỨU TỔNG HỢP'!$B$3,V492))),MAX($W$3:W491)+1,"")</f>
        <v/>
      </c>
    </row>
    <row r="493" ht="15" customHeight="1" s="217">
      <c r="A493" s="347" t="inlineStr">
        <is>
          <t xml:space="preserve">  └─ KOBELCO</t>
        </is>
      </c>
      <c r="B493" s="348" t="inlineStr">
        <is>
          <t>HH079969</t>
        </is>
      </c>
      <c r="C493" s="349" t="inlineStr">
        <is>
          <t>IHI</t>
        </is>
      </c>
      <c r="D493" s="349" t="inlineStr">
        <is>
          <t>RHB6</t>
        </is>
      </c>
      <c r="E493" s="349" t="inlineStr">
        <is>
          <t>4BD1/4BG1/4CH</t>
        </is>
      </c>
      <c r="F493" s="350" t="inlineStr">
        <is>
          <t>894418-3200
NE190022
CI38
NB190027</t>
        </is>
      </c>
      <c r="G493" s="349" t="inlineStr">
        <is>
          <t>Tâm lỗ bu lông: 34 x 73</t>
        </is>
      </c>
      <c r="H493" s="374" t="inlineStr">
        <is>
          <t>SH100/EX120-1
SK04/5/EX150</t>
        </is>
      </c>
      <c r="I493" s="349" t="n"/>
      <c r="J493" s="351" t="inlineStr">
        <is>
          <t>SL</t>
        </is>
      </c>
      <c r="K493" s="352" t="n"/>
      <c r="L493" s="352" t="n"/>
      <c r="M493" s="352" t="n"/>
      <c r="N493" s="352">
        <f>IF(M493="","",M493*1.1)</f>
        <v/>
      </c>
      <c r="O493" s="353" t="n">
        <v>59</v>
      </c>
      <c r="P493" s="353" t="n">
        <v>36.7</v>
      </c>
      <c r="Q493" s="353" t="inlineStr">
        <is>
          <t>10</t>
        </is>
      </c>
      <c r="R493" s="353" t="n">
        <v>62.1</v>
      </c>
      <c r="S493" s="353" t="n">
        <v>51</v>
      </c>
      <c r="T493" s="353" t="inlineStr">
        <is>
          <t>11</t>
        </is>
      </c>
      <c r="V493" s="346">
        <f>UPPER(A493&amp;" "&amp;B493&amp;" "&amp;D493&amp;" "&amp;E493&amp;" "&amp;F493&amp;" "&amp;G493&amp;" "&amp;H493&amp;" "&amp;I493&amp;" "&amp;J493)</f>
        <v/>
      </c>
      <c r="W493" s="216">
        <f>IF(AND('TRA CỨU TỔNG HỢP'!$B$3&lt;&gt;"",ISNUMBER(SEARCH('TRA CỨU TỔNG HỢP'!$B$3,V493))),MAX($W$3:W492)+1,"")</f>
        <v/>
      </c>
    </row>
    <row r="494" ht="15" customHeight="1" s="217">
      <c r="A494" s="354" t="inlineStr">
        <is>
          <t>KOBELCO</t>
        </is>
      </c>
      <c r="B494" s="355" t="inlineStr">
        <is>
          <t>HH080645</t>
        </is>
      </c>
      <c r="C494" s="354" t="inlineStr">
        <is>
          <t>Mitsubishi</t>
        </is>
      </c>
      <c r="D494" s="354" t="inlineStr">
        <is>
          <t>TD07-22A</t>
        </is>
      </c>
      <c r="E494" s="354" t="inlineStr">
        <is>
          <t>6D14T/ 6D15T</t>
        </is>
      </c>
      <c r="F494" s="356" t="inlineStr">
        <is>
          <t>49175-00428
ME032938</t>
        </is>
      </c>
      <c r="G494" s="366" t="inlineStr">
        <is>
          <t>Tâm lỗ 70 x 82.5
Chân vuông</t>
        </is>
      </c>
      <c r="H494" s="354" t="inlineStr">
        <is>
          <t>KATO</t>
        </is>
      </c>
      <c r="I494" s="354" t="n"/>
      <c r="J494" s="357" t="inlineStr">
        <is>
          <t>FIRE</t>
        </is>
      </c>
      <c r="K494" s="358" t="n"/>
      <c r="L494" s="358" t="n"/>
      <c r="M494" s="358" t="n"/>
      <c r="N494" s="358">
        <f>IF(M494="","",M494*1.1)</f>
        <v/>
      </c>
      <c r="O494" s="359" t="n">
        <v>65</v>
      </c>
      <c r="P494" s="359" t="n">
        <v>48</v>
      </c>
      <c r="Q494" s="359" t="inlineStr">
        <is>
          <t>7/7</t>
        </is>
      </c>
      <c r="R494" s="359" t="n">
        <v>65.2</v>
      </c>
      <c r="S494" s="359" t="n">
        <v>55.2</v>
      </c>
      <c r="T494" s="359" t="n">
        <v>12</v>
      </c>
      <c r="V494" s="346">
        <f>UPPER(A494&amp;" "&amp;B494&amp;" "&amp;D494&amp;" "&amp;E494&amp;" "&amp;F494&amp;" "&amp;G494&amp;" "&amp;H494&amp;" "&amp;I494&amp;" "&amp;J494)</f>
        <v/>
      </c>
      <c r="W494" s="216">
        <f>IF(AND('TRA CỨU TỔNG HỢP'!$B$3&lt;&gt;"",ISNUMBER(SEARCH('TRA CỨU TỔNG HỢP'!$B$3,V494))),MAX($W$3:W493)+1,"")</f>
        <v/>
      </c>
    </row>
    <row r="495" ht="15" customHeight="1" s="217">
      <c r="A495" s="360" t="inlineStr">
        <is>
          <t>KOBELCO</t>
        </is>
      </c>
      <c r="B495" s="361" t="n"/>
      <c r="C495" s="360" t="inlineStr">
        <is>
          <t>Mitsubishi</t>
        </is>
      </c>
      <c r="D495" s="360" t="inlineStr">
        <is>
          <t>TF07-13M | TE06H</t>
        </is>
      </c>
      <c r="E495" s="360" t="inlineStr">
        <is>
          <t>6D34 | 6D34T</t>
        </is>
      </c>
      <c r="F495" s="362" t="inlineStr">
        <is>
          <t>49186-00360
4918600360
49186-00370
4918600370
ME088865
ME441218</t>
        </is>
      </c>
      <c r="G495" s="375" t="inlineStr">
        <is>
          <t>Tâm lỗ bu lông 85 x 70
(cổ gang ra đút ống 90 mm )</t>
        </is>
      </c>
      <c r="H495" s="360" t="inlineStr">
        <is>
          <t>SK230-6</t>
        </is>
      </c>
      <c r="I495" s="375" t="inlineStr">
        <is>
          <t>chưa nhập , check kĩ tâm lỗ 
,chưa đo thực tế</t>
        </is>
      </c>
      <c r="J495" s="363" t="n"/>
      <c r="K495" s="364" t="n"/>
      <c r="L495" s="364" t="n"/>
      <c r="M495" s="364" t="n"/>
      <c r="N495" s="364" t="n"/>
      <c r="O495" s="365" t="n"/>
      <c r="P495" s="365" t="n"/>
      <c r="Q495" s="365" t="n"/>
      <c r="R495" s="365" t="n"/>
      <c r="S495" s="365" t="n"/>
      <c r="T495" s="365" t="n"/>
      <c r="V495" s="346">
        <f>UPPER(A495&amp;" "&amp;B495&amp;" "&amp;D495&amp;" "&amp;E495&amp;" "&amp;F495&amp;" "&amp;G495&amp;" "&amp;H495&amp;" "&amp;I495&amp;" "&amp;J495)</f>
        <v/>
      </c>
      <c r="W495" s="216">
        <f>IF(AND('TRA CỨU TỔNG HỢP'!$B$3&lt;&gt;"",ISNUMBER(SEARCH('TRA CỨU TỔNG HỢP'!$B$3,V495))),MAX($W$3:W494)+1,"")</f>
        <v/>
      </c>
    </row>
    <row r="496" ht="15" customHeight="1" s="217">
      <c r="A496" s="354" t="inlineStr">
        <is>
          <t>KOBELCO</t>
        </is>
      </c>
      <c r="B496" s="355" t="inlineStr">
        <is>
          <t>HH075591</t>
        </is>
      </c>
      <c r="C496" s="354" t="inlineStr">
        <is>
          <t>Mitsubishi</t>
        </is>
      </c>
      <c r="D496" s="354" t="inlineStr">
        <is>
          <t>TE06</t>
        </is>
      </c>
      <c r="E496" s="354" t="inlineStr">
        <is>
          <t>6D34T</t>
        </is>
      </c>
      <c r="F496" s="356" t="inlineStr">
        <is>
          <t>49185-01041
8M06-100-J03</t>
        </is>
      </c>
      <c r="G496" s="366" t="inlineStr">
        <is>
          <t>Tâm lỗ bu lông 44.5 x 86
(cổ gang ra bắt bu lông)</t>
        </is>
      </c>
      <c r="H496" s="354" t="inlineStr">
        <is>
          <t>SK235SR/KATO HD830</t>
        </is>
      </c>
      <c r="I496" s="354" t="n"/>
      <c r="J496" s="357" t="inlineStr">
        <is>
          <t>JRONE</t>
        </is>
      </c>
      <c r="K496" s="358" t="n"/>
      <c r="L496" s="358" t="n"/>
      <c r="M496" s="358" t="n"/>
      <c r="N496" s="358">
        <f>IF(M496="","",M496*1.1)</f>
        <v/>
      </c>
      <c r="O496" s="359" t="n"/>
      <c r="P496" s="359" t="n"/>
      <c r="Q496" s="359" t="n"/>
      <c r="R496" s="359" t="n"/>
      <c r="S496" s="359" t="n"/>
      <c r="T496" s="359" t="n"/>
      <c r="V496" s="346">
        <f>UPPER(A496&amp;" "&amp;B496&amp;" "&amp;D496&amp;" "&amp;E496&amp;" "&amp;F496&amp;" "&amp;G496&amp;" "&amp;H496&amp;" "&amp;I496&amp;" "&amp;J496)</f>
        <v/>
      </c>
      <c r="W496" s="216">
        <f>IF(AND('TRA CỨU TỔNG HỢP'!$B$3&lt;&gt;"",ISNUMBER(SEARCH('TRA CỨU TỔNG HỢP'!$B$3,V496))),MAX($W$3:W495)+1,"")</f>
        <v/>
      </c>
    </row>
    <row r="497" ht="15" customHeight="1" s="217">
      <c r="A497" s="354" t="inlineStr">
        <is>
          <t>KOBELCO</t>
        </is>
      </c>
      <c r="B497" s="355" t="inlineStr">
        <is>
          <t>HH081702</t>
        </is>
      </c>
      <c r="C497" s="354" t="inlineStr">
        <is>
          <t>Garrett</t>
        </is>
      </c>
      <c r="D497" s="354" t="inlineStr">
        <is>
          <t>GTA3576KLNV</t>
        </is>
      </c>
      <c r="E497" s="354" t="n"/>
      <c r="F497" s="356" t="inlineStr">
        <is>
          <t>789209-5012S</t>
        </is>
      </c>
      <c r="G497" s="354" t="n"/>
      <c r="H497" s="354" t="inlineStr">
        <is>
          <t>SK200-9</t>
        </is>
      </c>
      <c r="I497" s="354" t="n"/>
      <c r="J497" s="357" t="inlineStr">
        <is>
          <t>GARRETT</t>
        </is>
      </c>
      <c r="K497" s="358" t="n"/>
      <c r="L497" s="358" t="n"/>
      <c r="M497" s="358" t="n"/>
      <c r="N497" s="358">
        <f>IF(M497="","",M497*1.1)</f>
        <v/>
      </c>
      <c r="O497" s="359" t="n"/>
      <c r="P497" s="359" t="n"/>
      <c r="Q497" s="359" t="n"/>
      <c r="R497" s="359" t="n"/>
      <c r="S497" s="359" t="n"/>
      <c r="T497" s="359" t="n"/>
      <c r="V497" s="216">
        <f>UPPER(A497&amp;" "&amp;B497&amp;" "&amp;D497&amp;" "&amp;E497&amp;" "&amp;F497&amp;" "&amp;G497&amp;" "&amp;H497&amp;" "&amp;I497&amp;" "&amp;J497)</f>
        <v/>
      </c>
      <c r="W497" s="216">
        <f>IF(AND('TRA CỨU TỔNG HỢP'!$B$3&lt;&gt;"",ISNUMBER(SEARCH('TRA CỨU TỔNG HỢP'!$B$3,V497))),MAX($W$3:W496)+1,"")</f>
        <v/>
      </c>
    </row>
    <row r="498" ht="15" customHeight="1" s="217">
      <c r="A498" s="340" t="inlineStr">
        <is>
          <t>KOBELCO</t>
        </is>
      </c>
      <c r="B498" s="341" t="inlineStr">
        <is>
          <t>HH071476</t>
        </is>
      </c>
      <c r="C498" s="340" t="inlineStr">
        <is>
          <t>Mitsubishi</t>
        </is>
      </c>
      <c r="D498" s="340" t="inlineStr">
        <is>
          <t>TE06H-16M</t>
        </is>
      </c>
      <c r="E498" s="340" t="inlineStr">
        <is>
          <t>6D34T</t>
        </is>
      </c>
      <c r="F498" s="342" t="inlineStr">
        <is>
          <t>49185-01030/49185-01020/4918501020/49S8501020/49S85-01020
49185-01031/ME440895/ME088846/ME088840
8M06-100-M11</t>
        </is>
      </c>
      <c r="G498" s="373" t="inlineStr">
        <is>
          <t>Tâm lỗ bu lông 44.5 x 86 
(cổ gang ra bắt bu lông)</t>
        </is>
      </c>
      <c r="H498" s="340" t="inlineStr">
        <is>
          <t>SK200-5/6</t>
        </is>
      </c>
      <c r="I498" s="340" t="n"/>
      <c r="J498" s="343" t="inlineStr">
        <is>
          <t>SL</t>
        </is>
      </c>
      <c r="K498" s="344" t="n"/>
      <c r="L498" s="344" t="n"/>
      <c r="M498" s="344" t="n"/>
      <c r="N498" s="344">
        <f>IF(M498="","",M498*1.1)</f>
        <v/>
      </c>
      <c r="O498" s="345" t="n">
        <v>68</v>
      </c>
      <c r="P498" s="345" t="n">
        <v>48</v>
      </c>
      <c r="Q498" s="345" t="inlineStr">
        <is>
          <t>7/7</t>
        </is>
      </c>
      <c r="R498" s="345" t="n">
        <v>67.09999999999999</v>
      </c>
      <c r="S498" s="345" t="n">
        <v>58.7</v>
      </c>
      <c r="T498" s="345" t="n">
        <v>12</v>
      </c>
      <c r="V498" s="346">
        <f>UPPER(A498&amp;" "&amp;B498&amp;" "&amp;D498&amp;" "&amp;E498&amp;" "&amp;F498&amp;" "&amp;G498&amp;" "&amp;H498&amp;" "&amp;I498&amp;" "&amp;J498)</f>
        <v/>
      </c>
      <c r="W498" s="216">
        <f>IF(AND('TRA CỨU TỔNG HỢP'!$B$3&lt;&gt;"",ISNUMBER(SEARCH('TRA CỨU TỔNG HỢP'!$B$3,V498))),MAX($W$3:W497)+1,"")</f>
        <v/>
      </c>
    </row>
    <row r="499" ht="15" customHeight="1" s="217">
      <c r="A499" s="347" t="inlineStr">
        <is>
          <t xml:space="preserve">  └─ KOBELCO</t>
        </is>
      </c>
      <c r="B499" s="348" t="inlineStr">
        <is>
          <t>HH075592</t>
        </is>
      </c>
      <c r="C499" s="349" t="inlineStr">
        <is>
          <t>Mitsubishi</t>
        </is>
      </c>
      <c r="D499" s="349" t="inlineStr">
        <is>
          <t>TE06H-16M</t>
        </is>
      </c>
      <c r="E499" s="349" t="inlineStr">
        <is>
          <t>6D34T</t>
        </is>
      </c>
      <c r="F499" s="350" t="inlineStr">
        <is>
          <t>49185-01030/49185-01020/4918501020/49S8501020/49S85-01020
49185-01031/ME440895/ME088846/ME088840
8M06-100-M11</t>
        </is>
      </c>
      <c r="G499" s="374" t="inlineStr">
        <is>
          <t>Tâm lỗ bu lông 44.5 x 86 
(cổ gang ra bắt bu lông)</t>
        </is>
      </c>
      <c r="H499" s="349" t="inlineStr">
        <is>
          <t>SK200-5/6</t>
        </is>
      </c>
      <c r="I499" s="349" t="n"/>
      <c r="J499" s="351" t="inlineStr">
        <is>
          <t>JRONE</t>
        </is>
      </c>
      <c r="K499" s="352" t="n"/>
      <c r="L499" s="352" t="n"/>
      <c r="M499" s="352" t="n"/>
      <c r="N499" s="352">
        <f>IF(M499="","",M499*1.1)</f>
        <v/>
      </c>
      <c r="O499" s="353" t="n">
        <v>68</v>
      </c>
      <c r="P499" s="353" t="n">
        <v>48</v>
      </c>
      <c r="Q499" s="353" t="inlineStr">
        <is>
          <t>7/7</t>
        </is>
      </c>
      <c r="R499" s="353" t="n">
        <v>67.09999999999999</v>
      </c>
      <c r="S499" s="353" t="n">
        <v>58.7</v>
      </c>
      <c r="T499" s="353" t="n">
        <v>12</v>
      </c>
      <c r="V499" s="346">
        <f>UPPER(A499&amp;" "&amp;B499&amp;" "&amp;D499&amp;" "&amp;E499&amp;" "&amp;F499&amp;" "&amp;G499&amp;" "&amp;H499&amp;" "&amp;I499&amp;" "&amp;J499)</f>
        <v/>
      </c>
      <c r="W499" s="216">
        <f>IF(AND('TRA CỨU TỔNG HỢP'!$B$3&lt;&gt;"",ISNUMBER(SEARCH('TRA CỨU TỔNG HỢP'!$B$3,V499))),MAX($W$3:W498)+1,"")</f>
        <v/>
      </c>
    </row>
    <row r="500" ht="15" customHeight="1" s="217">
      <c r="A500" s="347" t="inlineStr">
        <is>
          <t xml:space="preserve">  └─ KOBELCO</t>
        </is>
      </c>
      <c r="B500" s="348" t="inlineStr">
        <is>
          <t>HH080013</t>
        </is>
      </c>
      <c r="C500" s="349" t="inlineStr">
        <is>
          <t>Mitsubishi</t>
        </is>
      </c>
      <c r="D500" s="349" t="inlineStr">
        <is>
          <t>TE06H-16M</t>
        </is>
      </c>
      <c r="E500" s="349" t="inlineStr">
        <is>
          <t>6D34T</t>
        </is>
      </c>
      <c r="F500" s="350" t="inlineStr">
        <is>
          <t>49185-01030/49185-01020/4918501020/49S8501020/49S85-01020
49185-01031/ME440895/ME088846/ME088840
8M06-100-M11</t>
        </is>
      </c>
      <c r="G500" s="374" t="inlineStr">
        <is>
          <t>Tâm lỗ bu lông 44.5 x 86 
(cổ gang ra bắt bu lông)</t>
        </is>
      </c>
      <c r="H500" s="349" t="inlineStr">
        <is>
          <t>SK200-5/6</t>
        </is>
      </c>
      <c r="I500" s="349" t="n"/>
      <c r="J500" s="351" t="inlineStr">
        <is>
          <t>SL</t>
        </is>
      </c>
      <c r="K500" s="352" t="n"/>
      <c r="L500" s="352" t="n"/>
      <c r="M500" s="352" t="n"/>
      <c r="N500" s="352">
        <f>IF(M500="","",M500*1.1)</f>
        <v/>
      </c>
      <c r="O500" s="353" t="n">
        <v>68</v>
      </c>
      <c r="P500" s="353" t="n">
        <v>48</v>
      </c>
      <c r="Q500" s="353" t="inlineStr">
        <is>
          <t>7/7</t>
        </is>
      </c>
      <c r="R500" s="353" t="n">
        <v>67.09999999999999</v>
      </c>
      <c r="S500" s="353" t="n">
        <v>58.7</v>
      </c>
      <c r="T500" s="353" t="n">
        <v>12</v>
      </c>
      <c r="V500" s="346">
        <f>UPPER(A500&amp;" "&amp;B500&amp;" "&amp;D500&amp;" "&amp;E500&amp;" "&amp;F500&amp;" "&amp;G500&amp;" "&amp;H500&amp;" "&amp;I500&amp;" "&amp;J500)</f>
        <v/>
      </c>
      <c r="W500" s="216">
        <f>IF(AND('TRA CỨU TỔNG HỢP'!$B$3&lt;&gt;"",ISNUMBER(SEARCH('TRA CỨU TỔNG HỢP'!$B$3,V500))),MAX($W$3:W499)+1,"")</f>
        <v/>
      </c>
    </row>
    <row r="501" ht="15" customHeight="1" s="217">
      <c r="A501" s="340" t="inlineStr">
        <is>
          <t>KOBELCO</t>
        </is>
      </c>
      <c r="B501" s="341" t="inlineStr">
        <is>
          <t>HH071475</t>
        </is>
      </c>
      <c r="C501" s="340" t="inlineStr">
        <is>
          <t>Mitsubishi</t>
        </is>
      </c>
      <c r="D501" s="340" t="inlineStr">
        <is>
          <t>TE06</t>
        </is>
      </c>
      <c r="E501" s="340" t="inlineStr">
        <is>
          <t>6D31T</t>
        </is>
      </c>
      <c r="F501" s="342" t="inlineStr">
        <is>
          <t>49185-01010
ME088725</t>
        </is>
      </c>
      <c r="G501" s="373" t="inlineStr">
        <is>
          <t>Tâm lỗ bu lông 44.5 x 86
cổ gang ra dài</t>
        </is>
      </c>
      <c r="H501" s="340" t="inlineStr">
        <is>
          <t>xe đào KATO/ xe tải MITSU/SK200-5</t>
        </is>
      </c>
      <c r="I501" s="340" t="n"/>
      <c r="J501" s="343" t="inlineStr">
        <is>
          <t>SL</t>
        </is>
      </c>
      <c r="K501" s="344" t="n"/>
      <c r="L501" s="344" t="n"/>
      <c r="M501" s="344" t="n"/>
      <c r="N501" s="344">
        <f>IF(M501="","",M501*1.1)</f>
        <v/>
      </c>
      <c r="O501" s="345" t="n">
        <v>68</v>
      </c>
      <c r="P501" s="345" t="n">
        <v>42.6</v>
      </c>
      <c r="Q501" s="345" t="inlineStr">
        <is>
          <t>7/7</t>
        </is>
      </c>
      <c r="R501" s="345" t="n">
        <v>67.09999999999999</v>
      </c>
      <c r="S501" s="345" t="n">
        <v>58.7</v>
      </c>
      <c r="T501" s="345" t="n">
        <v>12</v>
      </c>
      <c r="V501" s="346">
        <f>UPPER(A501&amp;" "&amp;B501&amp;" "&amp;D501&amp;" "&amp;E501&amp;" "&amp;F501&amp;" "&amp;G501&amp;" "&amp;H501&amp;" "&amp;I501&amp;" "&amp;J501)</f>
        <v/>
      </c>
      <c r="W501" s="216">
        <f>IF(AND('TRA CỨU TỔNG HỢP'!$B$3&lt;&gt;"",ISNUMBER(SEARCH('TRA CỨU TỔNG HỢP'!$B$3,V501))),MAX($W$3:W500)+1,"")</f>
        <v/>
      </c>
    </row>
    <row r="502" ht="15" customHeight="1" s="217">
      <c r="A502" s="347" t="inlineStr">
        <is>
          <t xml:space="preserve">  └─ KOBELCO</t>
        </is>
      </c>
      <c r="B502" s="348" t="inlineStr">
        <is>
          <t>HH080020</t>
        </is>
      </c>
      <c r="C502" s="349" t="inlineStr">
        <is>
          <t>Mitsubishi</t>
        </is>
      </c>
      <c r="D502" s="349" t="inlineStr">
        <is>
          <t>TE06</t>
        </is>
      </c>
      <c r="E502" s="349" t="inlineStr">
        <is>
          <t>6D31T</t>
        </is>
      </c>
      <c r="F502" s="350" t="inlineStr">
        <is>
          <t>49185-01010
ME088725</t>
        </is>
      </c>
      <c r="G502" s="374" t="inlineStr">
        <is>
          <t>Tâm lỗ bu lông 44.5 x 86
cổ gang ra dài</t>
        </is>
      </c>
      <c r="H502" s="349" t="inlineStr">
        <is>
          <t>xe đào KATO/ xe tải MITSU/SK200-5</t>
        </is>
      </c>
      <c r="I502" s="349" t="n"/>
      <c r="J502" s="351" t="inlineStr">
        <is>
          <t>SL</t>
        </is>
      </c>
      <c r="K502" s="352" t="n"/>
      <c r="L502" s="352" t="n"/>
      <c r="M502" s="352" t="n"/>
      <c r="N502" s="352">
        <f>IF(M502="","",M502*1.1)</f>
        <v/>
      </c>
      <c r="O502" s="353" t="n">
        <v>68</v>
      </c>
      <c r="P502" s="353" t="n">
        <v>42.6</v>
      </c>
      <c r="Q502" s="353" t="inlineStr">
        <is>
          <t>7/7</t>
        </is>
      </c>
      <c r="R502" s="353" t="n">
        <v>67.09999999999999</v>
      </c>
      <c r="S502" s="353" t="n">
        <v>58.7</v>
      </c>
      <c r="T502" s="353" t="n">
        <v>12</v>
      </c>
      <c r="V502" s="346">
        <f>UPPER(A502&amp;" "&amp;B502&amp;" "&amp;D502&amp;" "&amp;E502&amp;" "&amp;F502&amp;" "&amp;G502&amp;" "&amp;H502&amp;" "&amp;I502&amp;" "&amp;J502)</f>
        <v/>
      </c>
      <c r="W502" s="216">
        <f>IF(AND('TRA CỨU TỔNG HỢP'!$B$3&lt;&gt;"",ISNUMBER(SEARCH('TRA CỨU TỔNG HỢP'!$B$3,V502))),MAX($W$3:W501)+1,"")</f>
        <v/>
      </c>
    </row>
    <row r="503" ht="15" customHeight="1" s="217">
      <c r="A503" s="340" t="inlineStr">
        <is>
          <t>KOBELCO</t>
        </is>
      </c>
      <c r="B503" s="341" t="inlineStr">
        <is>
          <t>HH076057</t>
        </is>
      </c>
      <c r="C503" s="340" t="inlineStr">
        <is>
          <t>Garrett</t>
        </is>
      </c>
      <c r="D503" s="340" t="inlineStr">
        <is>
          <t>T04E73</t>
        </is>
      </c>
      <c r="E503" s="340" t="inlineStr">
        <is>
          <t>6D16T</t>
        </is>
      </c>
      <c r="F503" s="342" t="inlineStr">
        <is>
          <t>7047794-0002
ME078871
8G04-100-M12
ME078660</t>
        </is>
      </c>
      <c r="G503" s="340" t="inlineStr">
        <is>
          <t>Tâm lỗ bu lông 44.5 x 86</t>
        </is>
      </c>
      <c r="H503" s="340" t="inlineStr">
        <is>
          <t>SK330-6</t>
        </is>
      </c>
      <c r="I503" s="373" t="inlineStr">
        <is>
          <t>lắp lẫn pc200-3 
chỉ khác sò lửa to hơn xíu</t>
        </is>
      </c>
      <c r="J503" s="343" t="n"/>
      <c r="K503" s="344" t="n"/>
      <c r="L503" s="344" t="n"/>
      <c r="M503" s="344" t="n"/>
      <c r="N503" s="344">
        <f>IF(M503="","",M503*1.1)</f>
        <v/>
      </c>
      <c r="O503" s="345" t="n"/>
      <c r="P503" s="345" t="n"/>
      <c r="Q503" s="345" t="n"/>
      <c r="R503" s="345" t="n"/>
      <c r="S503" s="345" t="n"/>
      <c r="T503" s="345" t="n"/>
      <c r="V503" s="346">
        <f>UPPER(A503&amp;" "&amp;B503&amp;" "&amp;D503&amp;" "&amp;E503&amp;" "&amp;F503&amp;" "&amp;G503&amp;" "&amp;H503&amp;" "&amp;I503&amp;" "&amp;J503)</f>
        <v/>
      </c>
      <c r="W503" s="216">
        <f>IF(AND('TRA CỨU TỔNG HỢP'!$B$3&lt;&gt;"",ISNUMBER(SEARCH('TRA CỨU TỔNG HỢP'!$B$3,V503))),MAX($W$3:W502)+1,"")</f>
        <v/>
      </c>
    </row>
    <row r="504" ht="15" customHeight="1" s="217">
      <c r="A504" s="347" t="inlineStr">
        <is>
          <t xml:space="preserve">  └─ KOBELCO</t>
        </is>
      </c>
      <c r="B504" s="348" t="inlineStr">
        <is>
          <t>HH082802</t>
        </is>
      </c>
      <c r="C504" s="349" t="inlineStr">
        <is>
          <t>Garrett</t>
        </is>
      </c>
      <c r="D504" s="349" t="inlineStr">
        <is>
          <t>T04E73</t>
        </is>
      </c>
      <c r="E504" s="349" t="inlineStr">
        <is>
          <t>6D16T</t>
        </is>
      </c>
      <c r="F504" s="350" t="inlineStr">
        <is>
          <t>7047794-0002
ME078871
8G04-100-M12
ME078660</t>
        </is>
      </c>
      <c r="G504" s="349" t="inlineStr">
        <is>
          <t>Tâm lỗ bu lông 44.5 x 86</t>
        </is>
      </c>
      <c r="H504" s="349" t="inlineStr">
        <is>
          <t>SK330-6</t>
        </is>
      </c>
      <c r="I504" s="374" t="inlineStr">
        <is>
          <t>lắp lẫn pc200-3 
chỉ khác sò lửa to hơn xíu</t>
        </is>
      </c>
      <c r="J504" s="351" t="inlineStr">
        <is>
          <t>VIDARIR</t>
        </is>
      </c>
      <c r="K504" s="352" t="n"/>
      <c r="L504" s="352" t="n"/>
      <c r="M504" s="352" t="n"/>
      <c r="N504" s="352">
        <f>IF(M504="","",M504*1.1)</f>
        <v/>
      </c>
      <c r="O504" s="353" t="n"/>
      <c r="P504" s="353" t="n"/>
      <c r="Q504" s="353" t="n"/>
      <c r="R504" s="353" t="n"/>
      <c r="S504" s="353" t="n"/>
      <c r="T504" s="353" t="n"/>
      <c r="V504" s="346">
        <f>UPPER(A504&amp;" "&amp;B504&amp;" "&amp;D504&amp;" "&amp;E504&amp;" "&amp;F504&amp;" "&amp;G504&amp;" "&amp;H504&amp;" "&amp;I504&amp;" "&amp;J504)</f>
        <v/>
      </c>
      <c r="W504" s="216">
        <f>IF(AND('TRA CỨU TỔNG HỢP'!$B$3&lt;&gt;"",ISNUMBER(SEARCH('TRA CỨU TỔNG HỢP'!$B$3,V504))),MAX($W$3:W503)+1,"")</f>
        <v/>
      </c>
    </row>
    <row r="505" ht="19.5" customHeight="1" s="217">
      <c r="A505" s="339" t="inlineStr">
        <is>
          <t xml:space="preserve">  🏭  KOMATSU   ·   44 loại turbo</t>
        </is>
      </c>
      <c r="W505" s="216">
        <f>IF(AND('TRA CỨU TỔNG HỢP'!$B$3&lt;&gt;"",ISNUMBER(SEARCH('TRA CỨU TỔNG HỢP'!$B$3,V505))),MAX($W$3:W504)+1,"")</f>
        <v/>
      </c>
    </row>
    <row r="506" ht="15" customHeight="1" s="217">
      <c r="A506" s="367" t="inlineStr">
        <is>
          <t>KOMATSU</t>
        </is>
      </c>
      <c r="B506" s="368" t="n"/>
      <c r="C506" s="367" t="inlineStr">
        <is>
          <t>Holset</t>
        </is>
      </c>
      <c r="D506" s="367" t="inlineStr">
        <is>
          <t>H1C</t>
        </is>
      </c>
      <c r="E506" s="367" t="inlineStr">
        <is>
          <t>4BT 3.9/6B5.9</t>
        </is>
      </c>
      <c r="F506" s="369" t="inlineStr">
        <is>
          <t>3522900
3802290</t>
        </is>
      </c>
      <c r="G506" s="367" t="inlineStr">
        <is>
          <t>Tâm lỗ bu lông 44.5 x 86</t>
        </is>
      </c>
      <c r="H506" s="367" t="inlineStr">
        <is>
          <t>D41-6</t>
        </is>
      </c>
      <c r="I506" s="367" t="n"/>
      <c r="J506" s="370" t="n"/>
      <c r="K506" s="371" t="n"/>
      <c r="L506" s="371" t="n"/>
      <c r="M506" s="371" t="n"/>
      <c r="N506" s="371" t="n"/>
      <c r="O506" s="372" t="n">
        <v>73</v>
      </c>
      <c r="P506" s="372" t="n">
        <v>44</v>
      </c>
      <c r="Q506" s="372" t="inlineStr">
        <is>
          <t>7/7</t>
        </is>
      </c>
      <c r="R506" s="372" t="n">
        <v>70</v>
      </c>
      <c r="S506" s="372" t="n">
        <v>60</v>
      </c>
      <c r="T506" s="372" t="n">
        <v>12</v>
      </c>
      <c r="V506" s="346">
        <f>UPPER(A506&amp;" "&amp;B506&amp;" "&amp;D506&amp;" "&amp;E506&amp;" "&amp;F506&amp;" "&amp;G506&amp;" "&amp;H506&amp;" "&amp;I506&amp;" "&amp;J506)</f>
        <v/>
      </c>
      <c r="W506" s="216">
        <f>IF(AND('TRA CỨU TỔNG HỢP'!$B$3&lt;&gt;"",ISNUMBER(SEARCH('TRA CỨU TỔNG HỢP'!$B$3,V506))),MAX($W$3:W505)+1,"")</f>
        <v/>
      </c>
    </row>
    <row r="507" ht="15" customHeight="1" s="217">
      <c r="A507" s="340" t="inlineStr">
        <is>
          <t>KOMATSU</t>
        </is>
      </c>
      <c r="B507" s="341" t="inlineStr">
        <is>
          <t>HH083045</t>
        </is>
      </c>
      <c r="C507" s="340" t="inlineStr">
        <is>
          <t>IHI</t>
        </is>
      </c>
      <c r="D507" s="340" t="inlineStr">
        <is>
          <t>KTR130</t>
        </is>
      </c>
      <c r="E507" s="340" t="inlineStr">
        <is>
          <t>S6D155</t>
        </is>
      </c>
      <c r="F507" s="342" t="inlineStr">
        <is>
          <t>319032
6502-12-9005</t>
        </is>
      </c>
      <c r="G507" s="340" t="n"/>
      <c r="H507" s="373" t="inlineStr">
        <is>
          <t>KTR130
S500R</t>
        </is>
      </c>
      <c r="I507" s="340" t="inlineStr">
        <is>
          <t>Komatsu D355</t>
        </is>
      </c>
      <c r="J507" s="343" t="inlineStr">
        <is>
          <t>SL</t>
        </is>
      </c>
      <c r="K507" s="344" t="n"/>
      <c r="L507" s="344" t="n"/>
      <c r="M507" s="344" t="n"/>
      <c r="N507" s="344">
        <f>IF(M507="","",M507*1.1)</f>
        <v/>
      </c>
      <c r="O507" s="345" t="n">
        <v>130</v>
      </c>
      <c r="P507" s="345" t="n">
        <v>80.59999999999999</v>
      </c>
      <c r="Q507" s="345" t="inlineStr">
        <is>
          <t>8/8反</t>
        </is>
      </c>
      <c r="R507" s="345" t="n">
        <v>130</v>
      </c>
      <c r="S507" s="345" t="n">
        <v>98</v>
      </c>
      <c r="T507" s="345" t="inlineStr">
        <is>
          <t>8/8反</t>
        </is>
      </c>
      <c r="V507" s="346">
        <f>UPPER(A507&amp;" "&amp;B507&amp;" "&amp;D507&amp;" "&amp;E507&amp;" "&amp;F507&amp;" "&amp;G507&amp;" "&amp;H507&amp;" "&amp;I507&amp;" "&amp;J507)</f>
        <v/>
      </c>
      <c r="W507" s="216">
        <f>IF(AND('TRA CỨU TỔNG HỢP'!$B$3&lt;&gt;"",ISNUMBER(SEARCH('TRA CỨU TỔNG HỢP'!$B$3,V507))),MAX($W$3:W506)+1,"")</f>
        <v/>
      </c>
    </row>
    <row r="508" ht="15" customHeight="1" s="217">
      <c r="A508" s="347" t="inlineStr">
        <is>
          <t xml:space="preserve">  └─ KOMATSU</t>
        </is>
      </c>
      <c r="B508" s="348" t="inlineStr">
        <is>
          <t>HH083442</t>
        </is>
      </c>
      <c r="C508" s="349" t="inlineStr">
        <is>
          <t>IHI</t>
        </is>
      </c>
      <c r="D508" s="349" t="inlineStr">
        <is>
          <t>KTR130</t>
        </is>
      </c>
      <c r="E508" s="349" t="inlineStr">
        <is>
          <t>S6D155</t>
        </is>
      </c>
      <c r="F508" s="350" t="inlineStr">
        <is>
          <t>319032
6502-12-9005</t>
        </is>
      </c>
      <c r="G508" s="349" t="n"/>
      <c r="H508" s="374" t="inlineStr">
        <is>
          <t>KTR130
S500R</t>
        </is>
      </c>
      <c r="I508" s="349" t="inlineStr">
        <is>
          <t>Komatsu D355</t>
        </is>
      </c>
      <c r="J508" s="351" t="inlineStr">
        <is>
          <t>SL</t>
        </is>
      </c>
      <c r="K508" s="352" t="n"/>
      <c r="L508" s="352" t="n"/>
      <c r="M508" s="352" t="n"/>
      <c r="N508" s="352">
        <f>IF(M508="","",M508*1.1)</f>
        <v/>
      </c>
      <c r="O508" s="353" t="n">
        <v>130</v>
      </c>
      <c r="P508" s="353" t="n">
        <v>80.59999999999999</v>
      </c>
      <c r="Q508" s="353" t="inlineStr">
        <is>
          <t>8/8反</t>
        </is>
      </c>
      <c r="R508" s="353" t="n">
        <v>130</v>
      </c>
      <c r="S508" s="353" t="n">
        <v>98</v>
      </c>
      <c r="T508" s="353" t="inlineStr">
        <is>
          <t>8/8反</t>
        </is>
      </c>
      <c r="V508" s="346">
        <f>UPPER(A508&amp;" "&amp;B508&amp;" "&amp;D508&amp;" "&amp;E508&amp;" "&amp;F508&amp;" "&amp;G508&amp;" "&amp;H508&amp;" "&amp;I508&amp;" "&amp;J508)</f>
        <v/>
      </c>
      <c r="W508" s="216">
        <f>IF(AND('TRA CỨU TỔNG HỢP'!$B$3&lt;&gt;"",ISNUMBER(SEARCH('TRA CỨU TỔNG HỢP'!$B$3,V508))),MAX($W$3:W507)+1,"")</f>
        <v/>
      </c>
    </row>
    <row r="509" ht="15" customHeight="1" s="217">
      <c r="A509" s="354" t="inlineStr">
        <is>
          <t>KOMATSU</t>
        </is>
      </c>
      <c r="B509" s="355" t="inlineStr">
        <is>
          <t>HH074021</t>
        </is>
      </c>
      <c r="C509" s="354" t="inlineStr">
        <is>
          <t>Holset</t>
        </is>
      </c>
      <c r="D509" s="354" t="inlineStr">
        <is>
          <t>HX35W</t>
        </is>
      </c>
      <c r="E509" s="354" t="inlineStr">
        <is>
          <t>QSB/S6D107</t>
        </is>
      </c>
      <c r="F509" s="356" t="inlineStr">
        <is>
          <t>8C03-200-B80
6754-81-8190/ 6754-81-8120
4038597/4039630
4033282/4033282H
4955479/4039330
4039963/4043679
4043802/4046265
4955156/4038209/4042667</t>
        </is>
      </c>
      <c r="G509" s="366" t="inlineStr">
        <is>
          <t>Tâm lỗ bu lông 44.5 x 86
(cổ gió loe) có điều tốc</t>
        </is>
      </c>
      <c r="H509" s="354" t="inlineStr">
        <is>
          <t>PC200-8/PC220-8</t>
        </is>
      </c>
      <c r="I509" s="354" t="n"/>
      <c r="J509" s="357" t="inlineStr">
        <is>
          <t>JRONE</t>
        </is>
      </c>
      <c r="K509" s="358" t="n"/>
      <c r="L509" s="358" t="n"/>
      <c r="M509" s="358" t="n"/>
      <c r="N509" s="358">
        <f>IF(M509="","",M509*1.1)</f>
        <v/>
      </c>
      <c r="O509" s="359" t="n">
        <v>83</v>
      </c>
      <c r="P509" s="359" t="n">
        <v>52</v>
      </c>
      <c r="Q509" s="359" t="inlineStr">
        <is>
          <t>8/8</t>
        </is>
      </c>
      <c r="R509" s="359" t="n">
        <v>70</v>
      </c>
      <c r="S509" s="359" t="n">
        <v>60</v>
      </c>
      <c r="T509" s="359" t="n">
        <v>12</v>
      </c>
      <c r="V509" s="346">
        <f>UPPER(A509&amp;" "&amp;B509&amp;" "&amp;D509&amp;" "&amp;E509&amp;" "&amp;F509&amp;" "&amp;G509&amp;" "&amp;H509&amp;" "&amp;I509&amp;" "&amp;J509)</f>
        <v/>
      </c>
      <c r="W509" s="216">
        <f>IF(AND('TRA CỨU TỔNG HỢP'!$B$3&lt;&gt;"",ISNUMBER(SEARCH('TRA CỨU TỔNG HỢP'!$B$3,V509))),MAX($W$3:W508)+1,"")</f>
        <v/>
      </c>
    </row>
    <row r="510" ht="15" customHeight="1" s="217">
      <c r="A510" s="354" t="inlineStr">
        <is>
          <t>KOMATSU</t>
        </is>
      </c>
      <c r="B510" s="355" t="inlineStr">
        <is>
          <t>HH075719</t>
        </is>
      </c>
      <c r="C510" s="354" t="inlineStr">
        <is>
          <t>Holset</t>
        </is>
      </c>
      <c r="D510" s="354" t="inlineStr">
        <is>
          <t>HX35</t>
        </is>
      </c>
      <c r="E510" s="354" t="inlineStr">
        <is>
          <t>QSB/S6D107/DL06</t>
        </is>
      </c>
      <c r="F510" s="356" t="inlineStr">
        <is>
          <t>8C03-100-B81
 6754-81-8090
4955155/4037469</t>
        </is>
      </c>
      <c r="G510" s="366" t="inlineStr">
        <is>
          <t>cổ gió loe, đít dài,
 ko điều tốc</t>
        </is>
      </c>
      <c r="H510" s="354" t="inlineStr">
        <is>
          <t>PC200-8</t>
        </is>
      </c>
      <c r="I510" s="354" t="n"/>
      <c r="J510" s="357" t="n"/>
      <c r="K510" s="358" t="n"/>
      <c r="L510" s="358" t="n"/>
      <c r="M510" s="358" t="n"/>
      <c r="N510" s="358">
        <f>IF(M510="","",M510*1.1)</f>
        <v/>
      </c>
      <c r="O510" s="359" t="n">
        <v>83</v>
      </c>
      <c r="P510" s="359" t="n">
        <v>52</v>
      </c>
      <c r="Q510" s="359" t="inlineStr">
        <is>
          <t>8/8</t>
        </is>
      </c>
      <c r="R510" s="359" t="n">
        <v>70</v>
      </c>
      <c r="S510" s="359" t="n">
        <v>60</v>
      </c>
      <c r="T510" s="359" t="n">
        <v>12</v>
      </c>
      <c r="V510" s="346">
        <f>UPPER(A510&amp;" "&amp;B510&amp;" "&amp;D510&amp;" "&amp;E510&amp;" "&amp;F510&amp;" "&amp;G510&amp;" "&amp;H510&amp;" "&amp;I510&amp;" "&amp;J510)</f>
        <v/>
      </c>
      <c r="W510" s="216">
        <f>IF(AND('TRA CỨU TỔNG HỢP'!$B$3&lt;&gt;"",ISNUMBER(SEARCH('TRA CỨU TỔNG HỢP'!$B$3,V510))),MAX($W$3:W509)+1,"")</f>
        <v/>
      </c>
    </row>
    <row r="511" ht="15" customHeight="1" s="217">
      <c r="A511" s="360" t="inlineStr">
        <is>
          <t>KOMATSU</t>
        </is>
      </c>
      <c r="B511" s="361" t="n"/>
      <c r="C511" s="360" t="inlineStr">
        <is>
          <t>Holset</t>
        </is>
      </c>
      <c r="D511" s="360" t="inlineStr">
        <is>
          <t>H1C</t>
        </is>
      </c>
      <c r="E511" s="360" t="inlineStr">
        <is>
          <t>6BT</t>
        </is>
      </c>
      <c r="F511" s="362" t="inlineStr">
        <is>
          <t>3531696</t>
        </is>
      </c>
      <c r="G511" s="360" t="inlineStr">
        <is>
          <t>Tâm lỗ bu lông 44.5 x 86</t>
        </is>
      </c>
      <c r="H511" s="360" t="n"/>
      <c r="I511" s="360" t="n"/>
      <c r="J511" s="363" t="n"/>
      <c r="K511" s="364" t="n"/>
      <c r="L511" s="364" t="n"/>
      <c r="M511" s="364" t="n"/>
      <c r="N511" s="364" t="n"/>
      <c r="O511" s="365" t="n"/>
      <c r="P511" s="365" t="n"/>
      <c r="Q511" s="365" t="n"/>
      <c r="R511" s="365" t="n"/>
      <c r="S511" s="365" t="n"/>
      <c r="T511" s="365" t="n"/>
      <c r="V511" s="216">
        <f>UPPER(A511&amp;" "&amp;B511&amp;" "&amp;D511&amp;" "&amp;E511&amp;" "&amp;F511&amp;" "&amp;G511&amp;" "&amp;H511&amp;" "&amp;I511&amp;" "&amp;J511)</f>
        <v/>
      </c>
      <c r="W511" s="216">
        <f>IF(AND('TRA CỨU TỔNG HỢP'!$B$3&lt;&gt;"",ISNUMBER(SEARCH('TRA CỨU TỔNG HỢP'!$B$3,V511))),MAX($W$3:W510)+1,"")</f>
        <v/>
      </c>
    </row>
    <row r="512" ht="15" customHeight="1" s="217">
      <c r="A512" s="354" t="inlineStr">
        <is>
          <t>KOMATSU</t>
        </is>
      </c>
      <c r="B512" s="355" t="inlineStr">
        <is>
          <t>HH082044</t>
        </is>
      </c>
      <c r="C512" s="354" t="inlineStr">
        <is>
          <t>Holset</t>
        </is>
      </c>
      <c r="D512" s="354" t="inlineStr">
        <is>
          <t>H1C</t>
        </is>
      </c>
      <c r="E512" s="354" t="inlineStr">
        <is>
          <t>4BT3.9</t>
        </is>
      </c>
      <c r="F512" s="356" t="n">
        <v>3535381</v>
      </c>
      <c r="G512" s="366" t="inlineStr">
        <is>
          <t>Tâm lỗ bu lông 44.5 x 86
(Sò gang lớn)</t>
        </is>
      </c>
      <c r="H512" s="354" t="n"/>
      <c r="I512" s="354" t="n"/>
      <c r="J512" s="357" t="inlineStr">
        <is>
          <t>0265</t>
        </is>
      </c>
      <c r="K512" s="358" t="n"/>
      <c r="L512" s="358" t="n"/>
      <c r="M512" s="358" t="n"/>
      <c r="N512" s="358">
        <f>IF(M512="","",M512*1.1)</f>
        <v/>
      </c>
      <c r="O512" s="359" t="n"/>
      <c r="P512" s="359" t="n"/>
      <c r="Q512" s="359" t="n"/>
      <c r="R512" s="359" t="n"/>
      <c r="S512" s="359" t="n"/>
      <c r="T512" s="359" t="n"/>
      <c r="V512" s="346">
        <f>UPPER(A512&amp;" "&amp;B512&amp;" "&amp;D512&amp;" "&amp;E512&amp;" "&amp;F512&amp;" "&amp;G512&amp;" "&amp;H512&amp;" "&amp;I512&amp;" "&amp;J512)</f>
        <v/>
      </c>
      <c r="W512" s="216">
        <f>IF(AND('TRA CỨU TỔNG HỢP'!$B$3&lt;&gt;"",ISNUMBER(SEARCH('TRA CỨU TỔNG HỢP'!$B$3,V512))),MAX($W$3:W511)+1,"")</f>
        <v/>
      </c>
    </row>
    <row r="513" ht="15" customHeight="1" s="217">
      <c r="A513" s="360" t="inlineStr">
        <is>
          <t>KOMATSU</t>
        </is>
      </c>
      <c r="B513" s="361" t="n"/>
      <c r="C513" s="360" t="inlineStr">
        <is>
          <t>Holset</t>
        </is>
      </c>
      <c r="D513" s="360" t="inlineStr">
        <is>
          <t>H1C</t>
        </is>
      </c>
      <c r="E513" s="360" t="inlineStr">
        <is>
          <t>4BTA</t>
        </is>
      </c>
      <c r="F513" s="362" t="n">
        <v>3523743</v>
      </c>
      <c r="G513" s="360" t="inlineStr">
        <is>
          <t>Tâm lỗ bu lông 44.5 x 86</t>
        </is>
      </c>
      <c r="H513" s="360" t="n"/>
      <c r="I513" s="360" t="n"/>
      <c r="J513" s="363" t="n"/>
      <c r="K513" s="364" t="n"/>
      <c r="L513" s="364" t="n"/>
      <c r="M513" s="364" t="n"/>
      <c r="N513" s="364" t="n"/>
      <c r="O513" s="365" t="n"/>
      <c r="P513" s="365" t="n"/>
      <c r="Q513" s="365" t="n"/>
      <c r="R513" s="365" t="n"/>
      <c r="S513" s="365" t="n"/>
      <c r="T513" s="365" t="n"/>
      <c r="V513" s="216">
        <f>UPPER(A513&amp;" "&amp;B513&amp;" "&amp;D513&amp;" "&amp;E513&amp;" "&amp;F513&amp;" "&amp;G513&amp;" "&amp;H513&amp;" "&amp;I513&amp;" "&amp;J513)</f>
        <v/>
      </c>
      <c r="W513" s="216">
        <f>IF(AND('TRA CỨU TỔNG HỢP'!$B$3&lt;&gt;"",ISNUMBER(SEARCH('TRA CỨU TỔNG HỢP'!$B$3,V513))),MAX($W$3:W512)+1,"")</f>
        <v/>
      </c>
    </row>
    <row r="514" ht="15" customHeight="1" s="217">
      <c r="A514" s="340" t="inlineStr">
        <is>
          <t>KOMATSU</t>
        </is>
      </c>
      <c r="B514" s="341" t="inlineStr">
        <is>
          <t>HH082517</t>
        </is>
      </c>
      <c r="C514" s="340" t="inlineStr">
        <is>
          <t>Holset</t>
        </is>
      </c>
      <c r="D514" s="340" t="inlineStr">
        <is>
          <t>HE221W</t>
        </is>
      </c>
      <c r="E514" s="340" t="inlineStr">
        <is>
          <t>ISDE 140/ 4.5/ S4D107</t>
        </is>
      </c>
      <c r="F514" s="342" t="inlineStr">
        <is>
          <t>3781989</t>
        </is>
      </c>
      <c r="G514" s="340" t="n"/>
      <c r="H514" s="340" t="n"/>
      <c r="I514" s="340" t="n"/>
      <c r="J514" s="343" t="inlineStr">
        <is>
          <t>SL</t>
        </is>
      </c>
      <c r="K514" s="344" t="n"/>
      <c r="L514" s="344" t="n"/>
      <c r="M514" s="344" t="n"/>
      <c r="N514" s="344">
        <f>IF(M514="","",M514*1.1)</f>
        <v/>
      </c>
      <c r="O514" s="345" t="n"/>
      <c r="P514" s="345" t="n"/>
      <c r="Q514" s="345" t="n"/>
      <c r="R514" s="345" t="n"/>
      <c r="S514" s="345" t="n"/>
      <c r="T514" s="345" t="n"/>
      <c r="V514" s="216">
        <f>UPPER(A514&amp;" "&amp;B514&amp;" "&amp;D514&amp;" "&amp;E514&amp;" "&amp;F514&amp;" "&amp;G514&amp;" "&amp;H514&amp;" "&amp;I514&amp;" "&amp;J514)</f>
        <v/>
      </c>
      <c r="W514" s="216">
        <f>IF(AND('TRA CỨU TỔNG HỢP'!$B$3&lt;&gt;"",ISNUMBER(SEARCH('TRA CỨU TỔNG HỢP'!$B$3,V514))),MAX($W$3:W513)+1,"")</f>
        <v/>
      </c>
    </row>
    <row r="515" ht="15" customHeight="1" s="217">
      <c r="A515" s="347" t="inlineStr">
        <is>
          <t xml:space="preserve">  └─ KOMATSU</t>
        </is>
      </c>
      <c r="B515" s="348" t="inlineStr">
        <is>
          <t>HH082673</t>
        </is>
      </c>
      <c r="C515" s="349" t="inlineStr">
        <is>
          <t>Holset</t>
        </is>
      </c>
      <c r="D515" s="349" t="inlineStr">
        <is>
          <t>HE221W</t>
        </is>
      </c>
      <c r="E515" s="349" t="inlineStr">
        <is>
          <t>ISDE 140/ 4.5/ S4D107</t>
        </is>
      </c>
      <c r="F515" s="350" t="inlineStr">
        <is>
          <t>3781989</t>
        </is>
      </c>
      <c r="G515" s="349" t="n"/>
      <c r="H515" s="349" t="n"/>
      <c r="I515" s="349" t="n"/>
      <c r="J515" s="351" t="inlineStr">
        <is>
          <t>SL</t>
        </is>
      </c>
      <c r="K515" s="352" t="n"/>
      <c r="L515" s="352" t="n"/>
      <c r="M515" s="352" t="n"/>
      <c r="N515" s="352">
        <f>IF(M515="","",M515*1.1)</f>
        <v/>
      </c>
      <c r="O515" s="353" t="n"/>
      <c r="P515" s="353" t="n"/>
      <c r="Q515" s="353" t="n"/>
      <c r="R515" s="353" t="n"/>
      <c r="S515" s="353" t="n"/>
      <c r="T515" s="353" t="n"/>
      <c r="V515" s="216">
        <f>UPPER(A515&amp;" "&amp;B515&amp;" "&amp;D515&amp;" "&amp;E515&amp;" "&amp;F515&amp;" "&amp;G515&amp;" "&amp;H515&amp;" "&amp;I515&amp;" "&amp;J515)</f>
        <v/>
      </c>
      <c r="W515" s="216">
        <f>IF(AND('TRA CỨU TỔNG HỢP'!$B$3&lt;&gt;"",ISNUMBER(SEARCH('TRA CỨU TỔNG HỢP'!$B$3,V515))),MAX($W$3:W514)+1,"")</f>
        <v/>
      </c>
    </row>
    <row r="516" ht="15" customHeight="1" s="217">
      <c r="A516" s="354" t="inlineStr">
        <is>
          <t>KOMATSU</t>
        </is>
      </c>
      <c r="B516" s="355" t="inlineStr">
        <is>
          <t>HH075383</t>
        </is>
      </c>
      <c r="C516" s="354" t="inlineStr">
        <is>
          <t>Holset</t>
        </is>
      </c>
      <c r="D516" s="354" t="inlineStr">
        <is>
          <t>HE221W</t>
        </is>
      </c>
      <c r="E516" s="354" t="inlineStr">
        <is>
          <t>S4D107/QSB4.5</t>
        </is>
      </c>
      <c r="F516" s="356" t="inlineStr">
        <is>
          <t>318714
318632
6751-81-8050
8C02-200-H85</t>
        </is>
      </c>
      <c r="G516" s="354" t="n"/>
      <c r="H516" s="354" t="inlineStr">
        <is>
          <t>có thể thay thế cho HX25W 4038792</t>
        </is>
      </c>
      <c r="I516" s="354" t="n"/>
      <c r="J516" s="357" t="inlineStr">
        <is>
          <t>JRONE</t>
        </is>
      </c>
      <c r="K516" s="358" t="n"/>
      <c r="L516" s="358" t="n"/>
      <c r="M516" s="358" t="n"/>
      <c r="N516" s="358">
        <f>IF(M516="","",M516*1.1)</f>
        <v/>
      </c>
      <c r="O516" s="359" t="n"/>
      <c r="P516" s="359" t="n"/>
      <c r="Q516" s="359" t="n"/>
      <c r="R516" s="359" t="n"/>
      <c r="S516" s="359" t="n"/>
      <c r="T516" s="359" t="n"/>
      <c r="V516" s="346">
        <f>UPPER(A516&amp;" "&amp;B516&amp;" "&amp;D516&amp;" "&amp;E516&amp;" "&amp;F516&amp;" "&amp;G516&amp;" "&amp;H516&amp;" "&amp;I516&amp;" "&amp;J516)</f>
        <v/>
      </c>
      <c r="W516" s="216">
        <f>IF(AND('TRA CỨU TỔNG HỢP'!$B$3&lt;&gt;"",ISNUMBER(SEARCH('TRA CỨU TỔNG HỢP'!$B$3,V516))),MAX($W$3:W515)+1,"")</f>
        <v/>
      </c>
    </row>
    <row r="517" ht="15" customHeight="1" s="217">
      <c r="A517" s="354" t="inlineStr">
        <is>
          <t>KOMATSU</t>
        </is>
      </c>
      <c r="B517" s="355" t="inlineStr">
        <is>
          <t>HH083207</t>
        </is>
      </c>
      <c r="C517" s="354" t="inlineStr">
        <is>
          <t>BorgWarner</t>
        </is>
      </c>
      <c r="D517" s="354" t="inlineStr">
        <is>
          <t>S500</t>
        </is>
      </c>
      <c r="E517" s="354" t="n"/>
      <c r="F517" s="356" t="inlineStr">
        <is>
          <t>6240-81-8600
319167</t>
        </is>
      </c>
      <c r="G517" s="354" t="n"/>
      <c r="H517" s="354" t="inlineStr">
        <is>
          <t>EX1200</t>
        </is>
      </c>
      <c r="I517" s="354" t="n"/>
      <c r="J517" s="357" t="inlineStr">
        <is>
          <t>MX</t>
        </is>
      </c>
      <c r="K517" s="358" t="n"/>
      <c r="L517" s="358" t="n"/>
      <c r="M517" s="358" t="n"/>
      <c r="N517" s="358">
        <f>IF(M517="","",M517*1.1)</f>
        <v/>
      </c>
      <c r="O517" s="359" t="n"/>
      <c r="P517" s="359" t="n"/>
      <c r="Q517" s="359" t="n"/>
      <c r="R517" s="359" t="n"/>
      <c r="S517" s="359" t="n"/>
      <c r="T517" s="359" t="n"/>
      <c r="V517" s="346">
        <f>UPPER(A517&amp;" "&amp;B517&amp;" "&amp;D517&amp;" "&amp;E517&amp;" "&amp;F517&amp;" "&amp;G517&amp;" "&amp;H517&amp;" "&amp;I517&amp;" "&amp;J517)</f>
        <v/>
      </c>
      <c r="W517" s="216">
        <f>IF(AND('TRA CỨU TỔNG HỢP'!$B$3&lt;&gt;"",ISNUMBER(SEARCH('TRA CỨU TỔNG HỢP'!$B$3,V517))),MAX($W$3:W516)+1,"")</f>
        <v/>
      </c>
    </row>
    <row r="518" ht="15" customHeight="1" s="217">
      <c r="A518" s="367" t="inlineStr">
        <is>
          <t>KOMATSU</t>
        </is>
      </c>
      <c r="B518" s="368" t="n"/>
      <c r="C518" s="367" t="inlineStr">
        <is>
          <t>Holset</t>
        </is>
      </c>
      <c r="D518" s="367" t="inlineStr">
        <is>
          <t>HX35W</t>
        </is>
      </c>
      <c r="E518" s="367" t="n"/>
      <c r="F518" s="369" t="inlineStr">
        <is>
          <t>3960454
3960408</t>
        </is>
      </c>
      <c r="G518" s="367" t="inlineStr">
        <is>
          <t>Tâm lỗ bu lông 44.5 x 86</t>
        </is>
      </c>
      <c r="H518" s="367" t="inlineStr">
        <is>
          <t>R210-7</t>
        </is>
      </c>
      <c r="I518" s="367" t="n"/>
      <c r="J518" s="370" t="n"/>
      <c r="K518" s="371" t="n"/>
      <c r="L518" s="371" t="n"/>
      <c r="M518" s="371" t="n"/>
      <c r="N518" s="371" t="n"/>
      <c r="O518" s="372" t="n"/>
      <c r="P518" s="372" t="n"/>
      <c r="Q518" s="372" t="n"/>
      <c r="R518" s="372" t="n"/>
      <c r="S518" s="372" t="n"/>
      <c r="T518" s="372" t="n"/>
      <c r="V518" s="346">
        <f>UPPER(A518&amp;" "&amp;B518&amp;" "&amp;D518&amp;" "&amp;E518&amp;" "&amp;F518&amp;" "&amp;G518&amp;" "&amp;H518&amp;" "&amp;I518&amp;" "&amp;J518)</f>
        <v/>
      </c>
      <c r="W518" s="216">
        <f>IF(AND('TRA CỨU TỔNG HỢP'!$B$3&lt;&gt;"",ISNUMBER(SEARCH('TRA CỨU TỔNG HỢP'!$B$3,V518))),MAX($W$3:W517)+1,"")</f>
        <v/>
      </c>
    </row>
    <row r="519" ht="15" customHeight="1" s="217">
      <c r="A519" s="354" t="inlineStr">
        <is>
          <t>KOMATSU</t>
        </is>
      </c>
      <c r="B519" s="355" t="inlineStr">
        <is>
          <t>HH079267</t>
        </is>
      </c>
      <c r="C519" s="354" t="inlineStr">
        <is>
          <t>Holset</t>
        </is>
      </c>
      <c r="D519" s="354" t="inlineStr">
        <is>
          <t>HX40W</t>
        </is>
      </c>
      <c r="E519" s="354" t="inlineStr">
        <is>
          <t>6CT</t>
        </is>
      </c>
      <c r="F519" s="356" t="n">
        <v>4029184</v>
      </c>
      <c r="G519" s="354" t="inlineStr">
        <is>
          <t>cổ gió không loe</t>
        </is>
      </c>
      <c r="H519" s="354" t="n"/>
      <c r="I519" s="354" t="n"/>
      <c r="J519" s="357" t="inlineStr">
        <is>
          <t>VIDARIR</t>
        </is>
      </c>
      <c r="K519" s="358" t="n"/>
      <c r="L519" s="358" t="n"/>
      <c r="M519" s="358" t="n"/>
      <c r="N519" s="358">
        <f>IF(M519="","",M519*1.1)</f>
        <v/>
      </c>
      <c r="O519" s="359" t="n"/>
      <c r="P519" s="359" t="n"/>
      <c r="Q519" s="359" t="n"/>
      <c r="R519" s="359" t="n"/>
      <c r="S519" s="359" t="n"/>
      <c r="T519" s="359" t="n"/>
      <c r="V519" s="216">
        <f>UPPER(A519&amp;" "&amp;B519&amp;" "&amp;D519&amp;" "&amp;E519&amp;" "&amp;F519&amp;" "&amp;G519&amp;" "&amp;H519&amp;" "&amp;I519&amp;" "&amp;J519)</f>
        <v/>
      </c>
      <c r="W519" s="216">
        <f>IF(AND('TRA CỨU TỔNG HỢP'!$B$3&lt;&gt;"",ISNUMBER(SEARCH('TRA CỨU TỔNG HỢP'!$B$3,V519))),MAX($W$3:W518)+1,"")</f>
        <v/>
      </c>
    </row>
    <row r="520" ht="15" customHeight="1" s="217">
      <c r="A520" s="340" t="inlineStr">
        <is>
          <t>KOMATSU</t>
        </is>
      </c>
      <c r="B520" s="341" t="inlineStr">
        <is>
          <t>HH070599</t>
        </is>
      </c>
      <c r="C520" s="340" t="inlineStr">
        <is>
          <t>Garrett</t>
        </is>
      </c>
      <c r="D520" s="340" t="inlineStr">
        <is>
          <t>TO4B59</t>
        </is>
      </c>
      <c r="E520" s="340" t="inlineStr">
        <is>
          <t>S6D95/4D105</t>
        </is>
      </c>
      <c r="F520" s="342" t="inlineStr">
        <is>
          <t>465044-0051/312875
6207-81-8210
6207-81-8220</t>
        </is>
      </c>
      <c r="G520" s="340" t="inlineStr">
        <is>
          <t>Tâm lỗ bu lông 69 x 83</t>
        </is>
      </c>
      <c r="H520" s="340" t="inlineStr">
        <is>
          <t>PC200-5</t>
        </is>
      </c>
      <c r="I520" s="340" t="n"/>
      <c r="J520" s="343" t="inlineStr">
        <is>
          <t>SL</t>
        </is>
      </c>
      <c r="K520" s="344" t="n"/>
      <c r="L520" s="344" t="n"/>
      <c r="M520" s="344" t="n"/>
      <c r="N520" s="344">
        <f>IF(M520="","",M520*1.1)</f>
        <v/>
      </c>
      <c r="O520" s="345" t="n">
        <v>70</v>
      </c>
      <c r="P520" s="345" t="n">
        <v>43.7</v>
      </c>
      <c r="Q520" s="345" t="inlineStr">
        <is>
          <t>8/8</t>
        </is>
      </c>
      <c r="R520" s="345" t="n">
        <v>74.2</v>
      </c>
      <c r="S520" s="345" t="n">
        <v>58.2</v>
      </c>
      <c r="T520" s="345" t="n">
        <v>11</v>
      </c>
      <c r="V520" s="346">
        <f>UPPER(A520&amp;" "&amp;B520&amp;" "&amp;D520&amp;" "&amp;E520&amp;" "&amp;F520&amp;" "&amp;G520&amp;" "&amp;H520&amp;" "&amp;I520&amp;" "&amp;J520)</f>
        <v/>
      </c>
      <c r="W520" s="216">
        <f>IF(AND('TRA CỨU TỔNG HỢP'!$B$3&lt;&gt;"",ISNUMBER(SEARCH('TRA CỨU TỔNG HỢP'!$B$3,V520))),MAX($W$3:W519)+1,"")</f>
        <v/>
      </c>
    </row>
    <row r="521" ht="15" customHeight="1" s="217">
      <c r="A521" s="347" t="inlineStr">
        <is>
          <t xml:space="preserve">  └─ KOMATSU</t>
        </is>
      </c>
      <c r="B521" s="348" t="inlineStr">
        <is>
          <t>HH079999</t>
        </is>
      </c>
      <c r="C521" s="349" t="inlineStr">
        <is>
          <t>Garrett</t>
        </is>
      </c>
      <c r="D521" s="349" t="inlineStr">
        <is>
          <t>TO4B59</t>
        </is>
      </c>
      <c r="E521" s="349" t="inlineStr">
        <is>
          <t>S6D95/4D105</t>
        </is>
      </c>
      <c r="F521" s="350" t="inlineStr">
        <is>
          <t>465044-0051/312875
6207-81-8210
6207-81-8220</t>
        </is>
      </c>
      <c r="G521" s="349" t="inlineStr">
        <is>
          <t>Tâm lỗ bu lông 69 x 83</t>
        </is>
      </c>
      <c r="H521" s="349" t="inlineStr">
        <is>
          <t>PC200-5</t>
        </is>
      </c>
      <c r="I521" s="349" t="n"/>
      <c r="J521" s="351" t="inlineStr">
        <is>
          <t>SL</t>
        </is>
      </c>
      <c r="K521" s="352" t="n"/>
      <c r="L521" s="352" t="n"/>
      <c r="M521" s="352" t="n"/>
      <c r="N521" s="352">
        <f>IF(M521="","",M521*1.1)</f>
        <v/>
      </c>
      <c r="O521" s="353" t="n">
        <v>70</v>
      </c>
      <c r="P521" s="353" t="n">
        <v>43.7</v>
      </c>
      <c r="Q521" s="353" t="inlineStr">
        <is>
          <t>8/8</t>
        </is>
      </c>
      <c r="R521" s="353" t="n">
        <v>74.2</v>
      </c>
      <c r="S521" s="353" t="n">
        <v>58.2</v>
      </c>
      <c r="T521" s="353" t="n">
        <v>11</v>
      </c>
      <c r="V521" s="346">
        <f>UPPER(A521&amp;" "&amp;B521&amp;" "&amp;D521&amp;" "&amp;E521&amp;" "&amp;F521&amp;" "&amp;G521&amp;" "&amp;H521&amp;" "&amp;I521&amp;" "&amp;J521)</f>
        <v/>
      </c>
      <c r="W521" s="216">
        <f>IF(AND('TRA CỨU TỔNG HỢP'!$B$3&lt;&gt;"",ISNUMBER(SEARCH('TRA CỨU TỔNG HỢP'!$B$3,V521))),MAX($W$3:W520)+1,"")</f>
        <v/>
      </c>
    </row>
    <row r="522" ht="15" customHeight="1" s="217">
      <c r="A522" s="354" t="inlineStr">
        <is>
          <t>KOMATSU</t>
        </is>
      </c>
      <c r="B522" s="355" t="inlineStr">
        <is>
          <t>HH070600</t>
        </is>
      </c>
      <c r="C522" s="354" t="inlineStr">
        <is>
          <t>Garrett</t>
        </is>
      </c>
      <c r="D522" s="354" t="inlineStr">
        <is>
          <t>TO4B59</t>
        </is>
      </c>
      <c r="E522" s="354" t="inlineStr">
        <is>
          <t>S6D105-1/4D105/S6D110</t>
        </is>
      </c>
      <c r="F522" s="356" t="inlineStr">
        <is>
          <t>6137-82-8200/465269-0002/465269-0001
465269-0004/465269-0006/465269-0007</t>
        </is>
      </c>
      <c r="G522" s="366" t="inlineStr">
        <is>
          <t>Tâm lỗ bu lông 69 x 83
cổ gang bắt bulon 90 mm</t>
        </is>
      </c>
      <c r="H522" s="354" t="inlineStr">
        <is>
          <t>PC200-3/-5</t>
        </is>
      </c>
      <c r="I522" s="354" t="n"/>
      <c r="J522" s="357" t="inlineStr">
        <is>
          <t>SL</t>
        </is>
      </c>
      <c r="K522" s="358" t="n"/>
      <c r="L522" s="358" t="n"/>
      <c r="M522" s="358" t="n"/>
      <c r="N522" s="358">
        <f>IF(M522="","",M522*1.1)</f>
        <v/>
      </c>
      <c r="O522" s="359" t="n">
        <v>70</v>
      </c>
      <c r="P522" s="359" t="n">
        <v>45.7</v>
      </c>
      <c r="Q522" s="359" t="inlineStr">
        <is>
          <t>8/8</t>
        </is>
      </c>
      <c r="R522" s="359" t="n">
        <v>74.2</v>
      </c>
      <c r="S522" s="359" t="n">
        <v>64.5</v>
      </c>
      <c r="T522" s="359" t="n">
        <v>11</v>
      </c>
      <c r="V522" s="346">
        <f>UPPER(A522&amp;" "&amp;B522&amp;" "&amp;D522&amp;" "&amp;E522&amp;" "&amp;F522&amp;" "&amp;G522&amp;" "&amp;H522&amp;" "&amp;I522&amp;" "&amp;J522)</f>
        <v/>
      </c>
      <c r="W522" s="216">
        <f>IF(AND('TRA CỨU TỔNG HỢP'!$B$3&lt;&gt;"",ISNUMBER(SEARCH('TRA CỨU TỔNG HỢP'!$B$3,V522))),MAX($W$3:W521)+1,"")</f>
        <v/>
      </c>
    </row>
    <row r="523" ht="15" customHeight="1" s="217">
      <c r="A523" s="340" t="inlineStr">
        <is>
          <t>KOMATSU</t>
        </is>
      </c>
      <c r="B523" s="341" t="inlineStr">
        <is>
          <t>HH070601</t>
        </is>
      </c>
      <c r="C523" s="340" t="inlineStr">
        <is>
          <t>Garrett</t>
        </is>
      </c>
      <c r="D523" s="340" t="inlineStr">
        <is>
          <t>TA3137</t>
        </is>
      </c>
      <c r="E523" s="340" t="inlineStr">
        <is>
          <t>S6D95</t>
        </is>
      </c>
      <c r="F523" s="342" t="inlineStr">
        <is>
          <t>6207-81-8331</t>
        </is>
      </c>
      <c r="G523" s="340" t="inlineStr">
        <is>
          <t>Tâm lỗ bu lông 44.5 x 86</t>
        </is>
      </c>
      <c r="H523" s="340" t="inlineStr">
        <is>
          <t>PC200-6</t>
        </is>
      </c>
      <c r="I523" s="340" t="n"/>
      <c r="J523" s="343" t="inlineStr">
        <is>
          <t>SL</t>
        </is>
      </c>
      <c r="K523" s="344" t="n"/>
      <c r="L523" s="344" t="n"/>
      <c r="M523" s="344" t="n"/>
      <c r="N523" s="344">
        <f>IF(M523="","",M523*1.1)</f>
        <v/>
      </c>
      <c r="O523" s="345" t="n">
        <v>63</v>
      </c>
      <c r="P523" s="345" t="n">
        <v>39.8</v>
      </c>
      <c r="Q523" s="345" t="inlineStr">
        <is>
          <t>6/6</t>
        </is>
      </c>
      <c r="R523" s="345" t="n">
        <v>61.4</v>
      </c>
      <c r="S523" s="345" t="n">
        <v>52.2</v>
      </c>
      <c r="T523" s="345" t="n">
        <v>10</v>
      </c>
      <c r="V523" s="216">
        <f>UPPER(A523&amp;" "&amp;B523&amp;" "&amp;D523&amp;" "&amp;E523&amp;" "&amp;F523&amp;" "&amp;G523&amp;" "&amp;H523&amp;" "&amp;I523&amp;" "&amp;J523)</f>
        <v/>
      </c>
      <c r="W523" s="216">
        <f>IF(AND('TRA CỨU TỔNG HỢP'!$B$3&lt;&gt;"",ISNUMBER(SEARCH('TRA CỨU TỔNG HỢP'!$B$3,V523))),MAX($W$3:W522)+1,"")</f>
        <v/>
      </c>
    </row>
    <row r="524" ht="15" customHeight="1" s="217">
      <c r="A524" s="347" t="inlineStr">
        <is>
          <t xml:space="preserve">  └─ KOMATSU</t>
        </is>
      </c>
      <c r="B524" s="348" t="inlineStr">
        <is>
          <t>HH080017</t>
        </is>
      </c>
      <c r="C524" s="349" t="inlineStr">
        <is>
          <t>Garrett</t>
        </is>
      </c>
      <c r="D524" s="349" t="inlineStr">
        <is>
          <t>TA3137</t>
        </is>
      </c>
      <c r="E524" s="349" t="inlineStr">
        <is>
          <t>S6D95</t>
        </is>
      </c>
      <c r="F524" s="350" t="inlineStr">
        <is>
          <t>6207-81-8331</t>
        </is>
      </c>
      <c r="G524" s="349" t="inlineStr">
        <is>
          <t>Tâm lỗ bu lông 44.5 x 86</t>
        </is>
      </c>
      <c r="H524" s="349" t="inlineStr">
        <is>
          <t>PC200-6</t>
        </is>
      </c>
      <c r="I524" s="349" t="n"/>
      <c r="J524" s="351" t="inlineStr">
        <is>
          <t>SL</t>
        </is>
      </c>
      <c r="K524" s="352" t="n"/>
      <c r="L524" s="352" t="n"/>
      <c r="M524" s="352" t="n"/>
      <c r="N524" s="352">
        <f>IF(M524="","",M524*1.1)</f>
        <v/>
      </c>
      <c r="O524" s="353" t="n">
        <v>63</v>
      </c>
      <c r="P524" s="353" t="n">
        <v>39.8</v>
      </c>
      <c r="Q524" s="353" t="inlineStr">
        <is>
          <t>6/6</t>
        </is>
      </c>
      <c r="R524" s="353" t="n">
        <v>61.4</v>
      </c>
      <c r="S524" s="353" t="n">
        <v>52.2</v>
      </c>
      <c r="T524" s="353" t="n">
        <v>10</v>
      </c>
      <c r="V524" s="216">
        <f>UPPER(A524&amp;" "&amp;B524&amp;" "&amp;D524&amp;" "&amp;E524&amp;" "&amp;F524&amp;" "&amp;G524&amp;" "&amp;H524&amp;" "&amp;I524&amp;" "&amp;J524)</f>
        <v/>
      </c>
      <c r="W524" s="216">
        <f>IF(AND('TRA CỨU TỔNG HỢP'!$B$3&lt;&gt;"",ISNUMBER(SEARCH('TRA CỨU TỔNG HỢP'!$B$3,V524))),MAX($W$3:W523)+1,"")</f>
        <v/>
      </c>
    </row>
    <row r="525" ht="15" customHeight="1" s="217">
      <c r="A525" s="340" t="inlineStr">
        <is>
          <t>KOMATSU</t>
        </is>
      </c>
      <c r="B525" s="341" t="inlineStr">
        <is>
          <t>HH071470</t>
        </is>
      </c>
      <c r="C525" s="340" t="inlineStr">
        <is>
          <t>Holset</t>
        </is>
      </c>
      <c r="D525" s="340" t="inlineStr">
        <is>
          <t>HX35</t>
        </is>
      </c>
      <c r="E525" s="340" t="inlineStr">
        <is>
          <t>S6D102</t>
        </is>
      </c>
      <c r="F525" s="342" t="inlineStr">
        <is>
          <t>3539697
6735-81-8201/6735-81-8301/6735-81-8401
3580902/3539697/3787001/3539700/3804877
8C03-100-B77</t>
        </is>
      </c>
      <c r="G525" s="373" t="inlineStr">
        <is>
          <t>Tâm lỗ bu lông 44.5 x 86
cổ gang dài</t>
        </is>
      </c>
      <c r="H525" s="373" t="inlineStr">
        <is>
          <t>PC200-6 ( nội địa nhật)
PC200/PC220-6</t>
        </is>
      </c>
      <c r="I525" s="340" t="n"/>
      <c r="J525" s="343" t="inlineStr">
        <is>
          <t>SL</t>
        </is>
      </c>
      <c r="K525" s="344" t="n"/>
      <c r="L525" s="344" t="n"/>
      <c r="M525" s="344" t="n"/>
      <c r="N525" s="344">
        <f>IF(M525="","",M525*1.1)</f>
        <v/>
      </c>
      <c r="O525" s="345" t="n">
        <v>83</v>
      </c>
      <c r="P525" s="345" t="n">
        <v>52</v>
      </c>
      <c r="Q525" s="345" t="inlineStr">
        <is>
          <t>8/8</t>
        </is>
      </c>
      <c r="R525" s="345" t="n">
        <v>70</v>
      </c>
      <c r="S525" s="345" t="n">
        <v>60</v>
      </c>
      <c r="T525" s="345" t="n">
        <v>12</v>
      </c>
      <c r="V525" s="346">
        <f>UPPER(A525&amp;" "&amp;B525&amp;" "&amp;D525&amp;" "&amp;E525&amp;" "&amp;F525&amp;" "&amp;G525&amp;" "&amp;H525&amp;" "&amp;I525&amp;" "&amp;J525)</f>
        <v/>
      </c>
      <c r="W525" s="216">
        <f>IF(AND('TRA CỨU TỔNG HỢP'!$B$3&lt;&gt;"",ISNUMBER(SEARCH('TRA CỨU TỔNG HỢP'!$B$3,V525))),MAX($W$3:W524)+1,"")</f>
        <v/>
      </c>
    </row>
    <row r="526" ht="15" customHeight="1" s="217">
      <c r="A526" s="347" t="inlineStr">
        <is>
          <t xml:space="preserve">  └─ KOMATSU</t>
        </is>
      </c>
      <c r="B526" s="348" t="inlineStr">
        <is>
          <t>HH077137</t>
        </is>
      </c>
      <c r="C526" s="349" t="inlineStr">
        <is>
          <t>Holset</t>
        </is>
      </c>
      <c r="D526" s="349" t="inlineStr">
        <is>
          <t>HX35</t>
        </is>
      </c>
      <c r="E526" s="349" t="inlineStr">
        <is>
          <t>S6D102</t>
        </is>
      </c>
      <c r="F526" s="350" t="inlineStr">
        <is>
          <t>3539697
6735-81-8201/6735-81-8301/6735-81-8401
3580902/3539697/3787001/3539700/3804877
8C03-100-B77</t>
        </is>
      </c>
      <c r="G526" s="374" t="inlineStr">
        <is>
          <t>Tâm lỗ bu lông 44.5 x 86
cổ gang dài</t>
        </is>
      </c>
      <c r="H526" s="374" t="inlineStr">
        <is>
          <t>PC200-6 ( nội địa nhật)
PC200/PC220-6</t>
        </is>
      </c>
      <c r="I526" s="349" t="n"/>
      <c r="J526" s="351" t="inlineStr">
        <is>
          <t>JRONE</t>
        </is>
      </c>
      <c r="K526" s="352" t="n"/>
      <c r="L526" s="352" t="n"/>
      <c r="M526" s="352" t="n"/>
      <c r="N526" s="352">
        <f>IF(M526="","",M526*1.1)</f>
        <v/>
      </c>
      <c r="O526" s="353" t="n">
        <v>83</v>
      </c>
      <c r="P526" s="353" t="n">
        <v>52</v>
      </c>
      <c r="Q526" s="353" t="inlineStr">
        <is>
          <t>8/8</t>
        </is>
      </c>
      <c r="R526" s="353" t="n">
        <v>70</v>
      </c>
      <c r="S526" s="353" t="n">
        <v>60</v>
      </c>
      <c r="T526" s="353" t="n">
        <v>12</v>
      </c>
      <c r="V526" s="346">
        <f>UPPER(A526&amp;" "&amp;B526&amp;" "&amp;D526&amp;" "&amp;E526&amp;" "&amp;F526&amp;" "&amp;G526&amp;" "&amp;H526&amp;" "&amp;I526&amp;" "&amp;J526)</f>
        <v/>
      </c>
      <c r="W526" s="216">
        <f>IF(AND('TRA CỨU TỔNG HỢP'!$B$3&lt;&gt;"",ISNUMBER(SEARCH('TRA CỨU TỔNG HỢP'!$B$3,V526))),MAX($W$3:W525)+1,"")</f>
        <v/>
      </c>
    </row>
    <row r="527" ht="15" customHeight="1" s="217">
      <c r="A527" s="340" t="inlineStr">
        <is>
          <t>KOMATSU</t>
        </is>
      </c>
      <c r="B527" s="341" t="inlineStr">
        <is>
          <t>HH074615</t>
        </is>
      </c>
      <c r="C527" s="340" t="inlineStr">
        <is>
          <t>Holset</t>
        </is>
      </c>
      <c r="D527" s="340" t="inlineStr">
        <is>
          <t>H1C</t>
        </is>
      </c>
      <c r="E527" s="340" t="inlineStr">
        <is>
          <t>6BT</t>
        </is>
      </c>
      <c r="F527" s="342" t="inlineStr">
        <is>
          <t>3528741
3522777 3522778
3802289/J919121/J907029
J919117/J907028/J919115
J919113/J907026/3528742
3535414/3535419/3535417
3535418/3535416/3538188
3535415/3535420/3535454
3530714/3535421
3528741/3530772</t>
        </is>
      </c>
      <c r="G527" s="373" t="inlineStr">
        <is>
          <t>Tâm lỗ bu lông 44.5 x 86
sò lửa/gió lớn</t>
        </is>
      </c>
      <c r="H527" s="373" t="inlineStr">
        <is>
          <t>PC200-6/7 Komatsu Mỹ 
PC200/PC220-6</t>
        </is>
      </c>
      <c r="I527" s="340" t="n"/>
      <c r="J527" s="343" t="inlineStr">
        <is>
          <t>SL</t>
        </is>
      </c>
      <c r="K527" s="344" t="n"/>
      <c r="L527" s="344" t="n"/>
      <c r="M527" s="344" t="n"/>
      <c r="N527" s="344">
        <f>IF(M527="","",M527*1.1)</f>
        <v/>
      </c>
      <c r="O527" s="345" t="n"/>
      <c r="P527" s="345" t="n"/>
      <c r="Q527" s="345" t="n"/>
      <c r="R527" s="345" t="n"/>
      <c r="S527" s="345" t="n"/>
      <c r="T527" s="345" t="n"/>
      <c r="V527" s="346">
        <f>UPPER(A527&amp;" "&amp;B527&amp;" "&amp;D527&amp;" "&amp;E527&amp;" "&amp;F527&amp;" "&amp;G527&amp;" "&amp;H527&amp;" "&amp;I527&amp;" "&amp;J527)</f>
        <v/>
      </c>
      <c r="W527" s="216">
        <f>IF(AND('TRA CỨU TỔNG HỢP'!$B$3&lt;&gt;"",ISNUMBER(SEARCH('TRA CỨU TỔNG HỢP'!$B$3,V527))),MAX($W$3:W526)+1,"")</f>
        <v/>
      </c>
    </row>
    <row r="528" ht="15" customHeight="1" s="217">
      <c r="A528" s="347" t="inlineStr">
        <is>
          <t xml:space="preserve">  └─ KOMATSU</t>
        </is>
      </c>
      <c r="B528" s="348" t="inlineStr">
        <is>
          <t>HH079973</t>
        </is>
      </c>
      <c r="C528" s="349" t="inlineStr">
        <is>
          <t>Holset</t>
        </is>
      </c>
      <c r="D528" s="349" t="inlineStr">
        <is>
          <t>H1C</t>
        </is>
      </c>
      <c r="E528" s="349" t="inlineStr">
        <is>
          <t>6BT</t>
        </is>
      </c>
      <c r="F528" s="350" t="inlineStr">
        <is>
          <t>3528741
3522777 3522778
3802289/J919121/J907029
J919117/J907028/J919115
J919113/J907026/3528742
3535414/3535419/3535417
3535418/3535416/3538188
3535415/3535420/3535454
3530714/3535421
3528741/3530772</t>
        </is>
      </c>
      <c r="G528" s="374" t="inlineStr">
        <is>
          <t>Tâm lỗ bu lông 44.5 x 86
sò lửa/gió lớn</t>
        </is>
      </c>
      <c r="H528" s="374" t="inlineStr">
        <is>
          <t>PC200-6/7 Komatsu Mỹ 
PC200/PC220-6</t>
        </is>
      </c>
      <c r="I528" s="349" t="n"/>
      <c r="J528" s="351" t="inlineStr">
        <is>
          <t>SL</t>
        </is>
      </c>
      <c r="K528" s="352" t="n"/>
      <c r="L528" s="352" t="n"/>
      <c r="M528" s="352" t="n"/>
      <c r="N528" s="352">
        <f>IF(M528="","",M528*1.1)</f>
        <v/>
      </c>
      <c r="O528" s="353" t="n"/>
      <c r="P528" s="353" t="n"/>
      <c r="Q528" s="353" t="n"/>
      <c r="R528" s="353" t="n"/>
      <c r="S528" s="353" t="n"/>
      <c r="T528" s="353" t="n"/>
      <c r="V528" s="346">
        <f>UPPER(A528&amp;" "&amp;B528&amp;" "&amp;D528&amp;" "&amp;E528&amp;" "&amp;F528&amp;" "&amp;G528&amp;" "&amp;H528&amp;" "&amp;I528&amp;" "&amp;J528)</f>
        <v/>
      </c>
      <c r="W528" s="216">
        <f>IF(AND('TRA CỨU TỔNG HỢP'!$B$3&lt;&gt;"",ISNUMBER(SEARCH('TRA CỨU TỔNG HỢP'!$B$3,V528))),MAX($W$3:W527)+1,"")</f>
        <v/>
      </c>
    </row>
    <row r="529" ht="15" customHeight="1" s="217">
      <c r="A529" s="360" t="inlineStr">
        <is>
          <t>KOMATSU</t>
        </is>
      </c>
      <c r="B529" s="361" t="n"/>
      <c r="C529" s="360" t="inlineStr">
        <is>
          <t>Holset</t>
        </is>
      </c>
      <c r="D529" s="360" t="inlineStr">
        <is>
          <t>HX35W</t>
        </is>
      </c>
      <c r="E529" s="360" t="inlineStr">
        <is>
          <t>S6D102E-2</t>
        </is>
      </c>
      <c r="F529" s="362" t="inlineStr">
        <is>
          <t>4038471
3596629
6738-81-8181
6738-81-8190</t>
        </is>
      </c>
      <c r="G529" s="375" t="inlineStr">
        <is>
          <t>có điều tốc 
(cổ gió loe)</t>
        </is>
      </c>
      <c r="H529" s="360" t="inlineStr">
        <is>
          <t>PC200-7/PC220-7</t>
        </is>
      </c>
      <c r="I529" s="360" t="n"/>
      <c r="J529" s="363" t="n"/>
      <c r="K529" s="364" t="n"/>
      <c r="L529" s="364" t="n"/>
      <c r="M529" s="364" t="n"/>
      <c r="N529" s="364" t="n"/>
      <c r="O529" s="365" t="n">
        <v>83</v>
      </c>
      <c r="P529" s="365" t="n">
        <v>54</v>
      </c>
      <c r="Q529" s="365" t="inlineStr">
        <is>
          <t>7/7</t>
        </is>
      </c>
      <c r="R529" s="365" t="n">
        <v>70</v>
      </c>
      <c r="S529" s="365" t="n">
        <v>60</v>
      </c>
      <c r="T529" s="365" t="n">
        <v>12</v>
      </c>
      <c r="V529" s="346">
        <f>UPPER(A529&amp;" "&amp;B529&amp;" "&amp;D529&amp;" "&amp;E529&amp;" "&amp;F529&amp;" "&amp;G529&amp;" "&amp;H529&amp;" "&amp;I529&amp;" "&amp;J529)</f>
        <v/>
      </c>
      <c r="W529" s="216">
        <f>IF(AND('TRA CỨU TỔNG HỢP'!$B$3&lt;&gt;"",ISNUMBER(SEARCH('TRA CỨU TỔNG HỢP'!$B$3,V529))),MAX($W$3:W528)+1,"")</f>
        <v/>
      </c>
    </row>
    <row r="530" ht="15" customHeight="1" s="217">
      <c r="A530" s="367" t="inlineStr">
        <is>
          <t>KOMATSU</t>
        </is>
      </c>
      <c r="B530" s="368" t="n"/>
      <c r="C530" s="367" t="inlineStr">
        <is>
          <t>Holset</t>
        </is>
      </c>
      <c r="D530" s="367" t="inlineStr">
        <is>
          <t>HX35</t>
        </is>
      </c>
      <c r="E530" s="367" t="inlineStr">
        <is>
          <t>S6D102E</t>
        </is>
      </c>
      <c r="F530" s="369" t="inlineStr">
        <is>
          <t>6738-82-8220</t>
        </is>
      </c>
      <c r="G530" s="376" t="inlineStr">
        <is>
          <t>Tâm lỗ bu lông 44.5 x 86
(cổ gió loe, cổ xả dài ,ko có điều tốc )</t>
        </is>
      </c>
      <c r="H530" s="367" t="inlineStr">
        <is>
          <t>PC200-7</t>
        </is>
      </c>
      <c r="I530" s="367" t="n"/>
      <c r="J530" s="370" t="n"/>
      <c r="K530" s="371" t="n"/>
      <c r="L530" s="371" t="n"/>
      <c r="M530" s="371" t="n"/>
      <c r="N530" s="371" t="n"/>
      <c r="O530" s="372" t="n">
        <v>83</v>
      </c>
      <c r="P530" s="372" t="n">
        <v>52</v>
      </c>
      <c r="Q530" s="372" t="inlineStr">
        <is>
          <t>8/8</t>
        </is>
      </c>
      <c r="R530" s="372" t="n">
        <v>70</v>
      </c>
      <c r="S530" s="372" t="n">
        <v>60</v>
      </c>
      <c r="T530" s="372" t="n">
        <v>12</v>
      </c>
      <c r="V530" s="346">
        <f>UPPER(A530&amp;" "&amp;B530&amp;" "&amp;D530&amp;" "&amp;E530&amp;" "&amp;F530&amp;" "&amp;G530&amp;" "&amp;H530&amp;" "&amp;I530&amp;" "&amp;J530)</f>
        <v/>
      </c>
      <c r="W530" s="216">
        <f>IF(AND('TRA CỨU TỔNG HỢP'!$B$3&lt;&gt;"",ISNUMBER(SEARCH('TRA CỨU TỔNG HỢP'!$B$3,V530))),MAX($W$3:W529)+1,"")</f>
        <v/>
      </c>
    </row>
    <row r="531" ht="15" customHeight="1" s="217">
      <c r="A531" s="354" t="inlineStr">
        <is>
          <t>KOMATSU</t>
        </is>
      </c>
      <c r="B531" s="355" t="inlineStr">
        <is>
          <t>HH074022</t>
        </is>
      </c>
      <c r="C531" s="354" t="inlineStr">
        <is>
          <t>Holset</t>
        </is>
      </c>
      <c r="D531" s="354" t="inlineStr">
        <is>
          <t>HX35W</t>
        </is>
      </c>
      <c r="E531" s="354" t="inlineStr">
        <is>
          <t>6BTA</t>
        </is>
      </c>
      <c r="F531" s="356" t="inlineStr">
        <is>
          <t>4035253
8C03-200-E61
3960478</t>
        </is>
      </c>
      <c r="G531" s="354" t="inlineStr">
        <is>
          <t>(cổ gió loe) có điều tốc</t>
        </is>
      </c>
      <c r="H531" s="354" t="inlineStr">
        <is>
          <t>PC200-8</t>
        </is>
      </c>
      <c r="I531" s="354" t="n"/>
      <c r="J531" s="357" t="inlineStr">
        <is>
          <t>JRONE</t>
        </is>
      </c>
      <c r="K531" s="358" t="n"/>
      <c r="L531" s="358" t="n"/>
      <c r="M531" s="358" t="n"/>
      <c r="N531" s="358">
        <f>IF(M531="","",M531*1.1)</f>
        <v/>
      </c>
      <c r="O531" s="359" t="n">
        <v>78</v>
      </c>
      <c r="P531" s="359" t="n">
        <v>54</v>
      </c>
      <c r="Q531" s="359" t="inlineStr">
        <is>
          <t>7/7</t>
        </is>
      </c>
      <c r="R531" s="359" t="n">
        <v>70</v>
      </c>
      <c r="S531" s="359" t="n">
        <v>60</v>
      </c>
      <c r="T531" s="359" t="n">
        <v>12</v>
      </c>
      <c r="V531" s="346">
        <f>UPPER(A531&amp;" "&amp;B531&amp;" "&amp;D531&amp;" "&amp;E531&amp;" "&amp;F531&amp;" "&amp;G531&amp;" "&amp;H531&amp;" "&amp;I531&amp;" "&amp;J531)</f>
        <v/>
      </c>
      <c r="W531" s="216">
        <f>IF(AND('TRA CỨU TỔNG HỢP'!$B$3&lt;&gt;"",ISNUMBER(SEARCH('TRA CỨU TỔNG HỢP'!$B$3,V531))),MAX($W$3:W530)+1,"")</f>
        <v/>
      </c>
    </row>
    <row r="532" ht="15" customHeight="1" s="217">
      <c r="A532" s="340" t="inlineStr">
        <is>
          <t>KOMATSU</t>
        </is>
      </c>
      <c r="B532" s="341" t="inlineStr">
        <is>
          <t>HH082162</t>
        </is>
      </c>
      <c r="C532" s="340" t="inlineStr">
        <is>
          <t>Garrett</t>
        </is>
      </c>
      <c r="D532" s="340" t="inlineStr">
        <is>
          <t>T04E08</t>
        </is>
      </c>
      <c r="E532" s="340" t="inlineStr">
        <is>
          <t>D65EX-12</t>
        </is>
      </c>
      <c r="F532" s="342" t="inlineStr">
        <is>
          <t>466704-0213
8G04-100-M10
 6151-82-8500/466704-0213</t>
        </is>
      </c>
      <c r="G532" s="340" t="inlineStr">
        <is>
          <t>Cổ gang ra bắt bu lông</t>
        </is>
      </c>
      <c r="H532" s="340" t="n"/>
      <c r="I532" s="340" t="n"/>
      <c r="J532" s="343" t="inlineStr">
        <is>
          <t>JRONE</t>
        </is>
      </c>
      <c r="K532" s="344" t="n"/>
      <c r="L532" s="344" t="n"/>
      <c r="M532" s="344" t="n"/>
      <c r="N532" s="344">
        <f>IF(M532="","",M532*1.1)</f>
        <v/>
      </c>
      <c r="O532" s="345" t="n"/>
      <c r="P532" s="345" t="n"/>
      <c r="Q532" s="345" t="n"/>
      <c r="R532" s="345" t="n"/>
      <c r="S532" s="345" t="n"/>
      <c r="T532" s="345" t="n"/>
      <c r="V532" s="346">
        <f>UPPER(A532&amp;" "&amp;B532&amp;" "&amp;D532&amp;" "&amp;E532&amp;" "&amp;F532&amp;" "&amp;G532&amp;" "&amp;H532&amp;" "&amp;I532&amp;" "&amp;J532)</f>
        <v/>
      </c>
      <c r="W532" s="216">
        <f>IF(AND('TRA CỨU TỔNG HỢP'!$B$3&lt;&gt;"",ISNUMBER(SEARCH('TRA CỨU TỔNG HỢP'!$B$3,V532))),MAX($W$3:W531)+1,"")</f>
        <v/>
      </c>
    </row>
    <row r="533" ht="15" customHeight="1" s="217">
      <c r="A533" s="347" t="inlineStr">
        <is>
          <t xml:space="preserve">  └─ KOMATSU</t>
        </is>
      </c>
      <c r="B533" s="348" t="inlineStr">
        <is>
          <t>HH075791</t>
        </is>
      </c>
      <c r="C533" s="349" t="inlineStr">
        <is>
          <t>Garrett</t>
        </is>
      </c>
      <c r="D533" s="349" t="inlineStr">
        <is>
          <t>T04E08</t>
        </is>
      </c>
      <c r="E533" s="349" t="inlineStr">
        <is>
          <t>D65EX-12</t>
        </is>
      </c>
      <c r="F533" s="350" t="inlineStr">
        <is>
          <t>466704-0213
8G04-100-M10
 6151-82-8500/466704-0213</t>
        </is>
      </c>
      <c r="G533" s="349" t="inlineStr">
        <is>
          <t>Cổ gang ra bắt bu lông</t>
        </is>
      </c>
      <c r="H533" s="349" t="n"/>
      <c r="I533" s="349" t="n"/>
      <c r="J533" s="351" t="inlineStr">
        <is>
          <t>JRONE</t>
        </is>
      </c>
      <c r="K533" s="352" t="n"/>
      <c r="L533" s="352" t="n"/>
      <c r="M533" s="352" t="n"/>
      <c r="N533" s="352">
        <f>IF(M533="","",M533*1.1)</f>
        <v/>
      </c>
      <c r="O533" s="353" t="n"/>
      <c r="P533" s="353" t="n"/>
      <c r="Q533" s="353" t="n"/>
      <c r="R533" s="353" t="n"/>
      <c r="S533" s="353" t="n"/>
      <c r="T533" s="353" t="n"/>
      <c r="V533" s="346">
        <f>UPPER(A533&amp;" "&amp;B533&amp;" "&amp;D533&amp;" "&amp;E533&amp;" "&amp;F533&amp;" "&amp;G533&amp;" "&amp;H533&amp;" "&amp;I533&amp;" "&amp;J533)</f>
        <v/>
      </c>
      <c r="W533" s="216">
        <f>IF(AND('TRA CỨU TỔNG HỢP'!$B$3&lt;&gt;"",ISNUMBER(SEARCH('TRA CỨU TỔNG HỢP'!$B$3,V533))),MAX($W$3:W532)+1,"")</f>
        <v/>
      </c>
    </row>
    <row r="534" ht="15" customHeight="1" s="217">
      <c r="A534" s="354" t="inlineStr">
        <is>
          <t>KOMATSU</t>
        </is>
      </c>
      <c r="B534" s="355" t="inlineStr">
        <is>
          <t>HH079486</t>
        </is>
      </c>
      <c r="C534" s="354" t="inlineStr">
        <is>
          <t>Garrett</t>
        </is>
      </c>
      <c r="D534" s="354" t="inlineStr">
        <is>
          <t>TB4130</t>
        </is>
      </c>
      <c r="E534" s="354" t="inlineStr">
        <is>
          <t>S6D125</t>
        </is>
      </c>
      <c r="F534" s="356" t="inlineStr">
        <is>
          <t>6151-81-8400</t>
        </is>
      </c>
      <c r="G534" s="354" t="inlineStr">
        <is>
          <t>Tâm lỗ bu lông 70 x 82</t>
        </is>
      </c>
      <c r="H534" s="354" t="inlineStr">
        <is>
          <t>PC300-3</t>
        </is>
      </c>
      <c r="I534" s="354" t="inlineStr">
        <is>
          <t>có hàng fire</t>
        </is>
      </c>
      <c r="J534" s="357" t="inlineStr">
        <is>
          <t>FIRE</t>
        </is>
      </c>
      <c r="K534" s="358" t="n"/>
      <c r="L534" s="358" t="n"/>
      <c r="M534" s="358" t="n"/>
      <c r="N534" s="358">
        <f>IF(M534="","",M534*1.1)</f>
        <v/>
      </c>
      <c r="O534" s="359" t="n"/>
      <c r="P534" s="359" t="n"/>
      <c r="Q534" s="359" t="n"/>
      <c r="R534" s="359" t="n"/>
      <c r="S534" s="359" t="n"/>
      <c r="T534" s="359" t="n"/>
      <c r="V534" s="216">
        <f>UPPER(A534&amp;" "&amp;B534&amp;" "&amp;D534&amp;" "&amp;E534&amp;" "&amp;F534&amp;" "&amp;G534&amp;" "&amp;H534&amp;" "&amp;I534&amp;" "&amp;J534)</f>
        <v/>
      </c>
      <c r="W534" s="216">
        <f>IF(AND('TRA CỨU TỔNG HỢP'!$B$3&lt;&gt;"",ISNUMBER(SEARCH('TRA CỨU TỔNG HỢP'!$B$3,V534))),MAX($W$3:W533)+1,"")</f>
        <v/>
      </c>
    </row>
    <row r="535" ht="15" customHeight="1" s="217">
      <c r="A535" s="354" t="inlineStr">
        <is>
          <t>KOMATSU</t>
        </is>
      </c>
      <c r="B535" s="355" t="inlineStr">
        <is>
          <t>HH074827</t>
        </is>
      </c>
      <c r="C535" s="354" t="inlineStr">
        <is>
          <t>Garrett</t>
        </is>
      </c>
      <c r="D535" s="354" t="inlineStr">
        <is>
          <t>T04E15</t>
        </is>
      </c>
      <c r="E535" s="354" t="inlineStr">
        <is>
          <t>S6D108</t>
        </is>
      </c>
      <c r="F535" s="356" t="inlineStr">
        <is>
          <t>466670-0013
8G04-100-B74
6222-81-8210
6222-83-8171</t>
        </is>
      </c>
      <c r="G535" s="354" t="inlineStr">
        <is>
          <t>Tâm lỗ bu lông 70 x 83</t>
        </is>
      </c>
      <c r="H535" s="366" t="inlineStr">
        <is>
          <t>PC300-6
lắp lẫn PC300-5</t>
        </is>
      </c>
      <c r="I535" s="354" t="n"/>
      <c r="J535" s="357" t="inlineStr">
        <is>
          <t>JRONE</t>
        </is>
      </c>
      <c r="K535" s="358" t="n"/>
      <c r="L535" s="358" t="n"/>
      <c r="M535" s="358" t="n"/>
      <c r="N535" s="358">
        <f>IF(M535="","",M535*1.1)</f>
        <v/>
      </c>
      <c r="O535" s="359" t="n">
        <v>75</v>
      </c>
      <c r="P535" s="359" t="n">
        <v>48.5</v>
      </c>
      <c r="Q535" s="359" t="inlineStr">
        <is>
          <t>6/6</t>
        </is>
      </c>
      <c r="R535" s="359" t="n">
        <v>74.2</v>
      </c>
      <c r="S535" s="359" t="n">
        <v>64.5</v>
      </c>
      <c r="T535" s="359" t="n">
        <v>11</v>
      </c>
      <c r="V535" s="346">
        <f>UPPER(A535&amp;" "&amp;B535&amp;" "&amp;D535&amp;" "&amp;E535&amp;" "&amp;F535&amp;" "&amp;G535&amp;" "&amp;H535&amp;" "&amp;I535&amp;" "&amp;J535)</f>
        <v/>
      </c>
      <c r="W535" s="216">
        <f>IF(AND('TRA CỨU TỔNG HỢP'!$B$3&lt;&gt;"",ISNUMBER(SEARCH('TRA CỨU TỔNG HỢP'!$B$3,V535))),MAX($W$3:W534)+1,"")</f>
        <v/>
      </c>
    </row>
    <row r="536" ht="15" customHeight="1" s="217">
      <c r="A536" s="340" t="inlineStr">
        <is>
          <t>KOMATSU</t>
        </is>
      </c>
      <c r="B536" s="341" t="inlineStr">
        <is>
          <t>HH075105</t>
        </is>
      </c>
      <c r="C536" s="340" t="inlineStr">
        <is>
          <t>Holset</t>
        </is>
      </c>
      <c r="D536" s="340" t="inlineStr">
        <is>
          <t>HX40W</t>
        </is>
      </c>
      <c r="E536" s="340" t="inlineStr">
        <is>
          <t>S6D114E-2A</t>
        </is>
      </c>
      <c r="F536" s="342" t="inlineStr">
        <is>
          <t>6743-81-8040
8C04-200-H34/4038421 4038425
4090015
6743818040
4089189</t>
        </is>
      </c>
      <c r="G536" s="373" t="inlineStr">
        <is>
          <t>Tâm lỗ bu lông 69 x 82
Cổ gió loe
dây van điều tốc lắp vào động cơ</t>
        </is>
      </c>
      <c r="H536" s="340" t="inlineStr">
        <is>
          <t>PC300-7</t>
        </is>
      </c>
      <c r="I536" s="340" t="n"/>
      <c r="J536" s="343" t="inlineStr">
        <is>
          <t>JRONE</t>
        </is>
      </c>
      <c r="K536" s="344" t="n"/>
      <c r="L536" s="344" t="n"/>
      <c r="M536" s="344" t="n"/>
      <c r="N536" s="344">
        <f>IF(M536="","",M536*1.1)</f>
        <v/>
      </c>
      <c r="O536" s="345" t="n">
        <v>86</v>
      </c>
      <c r="P536" s="345" t="n">
        <v>60</v>
      </c>
      <c r="Q536" s="345" t="inlineStr">
        <is>
          <t>7/7</t>
        </is>
      </c>
      <c r="R536" s="345" t="n">
        <v>76</v>
      </c>
      <c r="S536" s="345" t="n">
        <v>64</v>
      </c>
      <c r="T536" s="345" t="n">
        <v>10</v>
      </c>
      <c r="V536" s="346">
        <f>UPPER(A536&amp;" "&amp;B536&amp;" "&amp;D536&amp;" "&amp;E536&amp;" "&amp;F536&amp;" "&amp;G536&amp;" "&amp;H536&amp;" "&amp;I536&amp;" "&amp;J536)</f>
        <v/>
      </c>
      <c r="W536" s="216">
        <f>IF(AND('TRA CỨU TỔNG HỢP'!$B$3&lt;&gt;"",ISNUMBER(SEARCH('TRA CỨU TỔNG HỢP'!$B$3,V536))),MAX($W$3:W535)+1,"")</f>
        <v/>
      </c>
    </row>
    <row r="537" ht="15" customHeight="1" s="217">
      <c r="A537" s="347" t="inlineStr">
        <is>
          <t xml:space="preserve">  └─ KOMATSU</t>
        </is>
      </c>
      <c r="B537" s="348" t="inlineStr">
        <is>
          <t>HH070603</t>
        </is>
      </c>
      <c r="C537" s="349" t="inlineStr">
        <is>
          <t>Holset</t>
        </is>
      </c>
      <c r="D537" s="349" t="inlineStr">
        <is>
          <t>HX40W</t>
        </is>
      </c>
      <c r="E537" s="349" t="inlineStr">
        <is>
          <t>S6D114E-2A</t>
        </is>
      </c>
      <c r="F537" s="350" t="inlineStr">
        <is>
          <t>6743-81-8040
8C04-200-H34/4038421 4038425
4090015
6743818040
4089189</t>
        </is>
      </c>
      <c r="G537" s="374" t="inlineStr">
        <is>
          <t>Tâm lỗ bu lông 69 x 82
Cổ gió loe
dây van điều tốc lắp vào động cơ</t>
        </is>
      </c>
      <c r="H537" s="349" t="inlineStr">
        <is>
          <t>PC300-7</t>
        </is>
      </c>
      <c r="I537" s="349" t="n"/>
      <c r="J537" s="351" t="inlineStr">
        <is>
          <t>SL</t>
        </is>
      </c>
      <c r="K537" s="352" t="n"/>
      <c r="L537" s="352" t="n"/>
      <c r="M537" s="352" t="n"/>
      <c r="N537" s="352">
        <f>IF(M537="","",M537*1.1)</f>
        <v/>
      </c>
      <c r="O537" s="353" t="n">
        <v>86</v>
      </c>
      <c r="P537" s="353" t="n">
        <v>60</v>
      </c>
      <c r="Q537" s="353" t="inlineStr">
        <is>
          <t>7/7</t>
        </is>
      </c>
      <c r="R537" s="353" t="n">
        <v>76</v>
      </c>
      <c r="S537" s="353" t="n">
        <v>64</v>
      </c>
      <c r="T537" s="353" t="n">
        <v>10</v>
      </c>
      <c r="V537" s="346">
        <f>UPPER(A537&amp;" "&amp;B537&amp;" "&amp;D537&amp;" "&amp;E537&amp;" "&amp;F537&amp;" "&amp;G537&amp;" "&amp;H537&amp;" "&amp;I537&amp;" "&amp;J537)</f>
        <v/>
      </c>
      <c r="W537" s="216">
        <f>IF(AND('TRA CỨU TỔNG HỢP'!$B$3&lt;&gt;"",ISNUMBER(SEARCH('TRA CỨU TỔNG HỢP'!$B$3,V537))),MAX($W$3:W536)+1,"")</f>
        <v/>
      </c>
    </row>
    <row r="538" ht="15" customHeight="1" s="217">
      <c r="A538" s="347" t="inlineStr">
        <is>
          <t xml:space="preserve">  └─ KOMATSU</t>
        </is>
      </c>
      <c r="B538" s="348" t="inlineStr">
        <is>
          <t>HH080732</t>
        </is>
      </c>
      <c r="C538" s="349" t="inlineStr">
        <is>
          <t>Holset</t>
        </is>
      </c>
      <c r="D538" s="349" t="inlineStr">
        <is>
          <t>HX40W</t>
        </is>
      </c>
      <c r="E538" s="349" t="inlineStr">
        <is>
          <t>S6D114E-2A</t>
        </is>
      </c>
      <c r="F538" s="350" t="inlineStr">
        <is>
          <t>6743-81-8040
8C04-200-H34/4038421 4038425
4090015
6743818040
4089189</t>
        </is>
      </c>
      <c r="G538" s="374" t="inlineStr">
        <is>
          <t>Tâm lỗ bu lông 69 x 82
Cổ gió loe
dây van điều tốc lắp vào động cơ</t>
        </is>
      </c>
      <c r="H538" s="349" t="inlineStr">
        <is>
          <t>PC300-7</t>
        </is>
      </c>
      <c r="I538" s="349" t="n"/>
      <c r="J538" s="351" t="inlineStr">
        <is>
          <t>SL</t>
        </is>
      </c>
      <c r="K538" s="352" t="n"/>
      <c r="L538" s="352" t="n"/>
      <c r="M538" s="352" t="n"/>
      <c r="N538" s="352">
        <f>IF(M538="","",M538*1.1)</f>
        <v/>
      </c>
      <c r="O538" s="353" t="n">
        <v>86</v>
      </c>
      <c r="P538" s="353" t="n">
        <v>60</v>
      </c>
      <c r="Q538" s="353" t="inlineStr">
        <is>
          <t>7/7</t>
        </is>
      </c>
      <c r="R538" s="353" t="n">
        <v>76</v>
      </c>
      <c r="S538" s="353" t="n">
        <v>64</v>
      </c>
      <c r="T538" s="353" t="n">
        <v>10</v>
      </c>
      <c r="V538" s="346">
        <f>UPPER(A538&amp;" "&amp;B538&amp;" "&amp;D538&amp;" "&amp;E538&amp;" "&amp;F538&amp;" "&amp;G538&amp;" "&amp;H538&amp;" "&amp;I538&amp;" "&amp;J538)</f>
        <v/>
      </c>
      <c r="W538" s="216">
        <f>IF(AND('TRA CỨU TỔNG HỢP'!$B$3&lt;&gt;"",ISNUMBER(SEARCH('TRA CỨU TỔNG HỢP'!$B$3,V538))),MAX($W$3:W537)+1,"")</f>
        <v/>
      </c>
    </row>
    <row r="539" ht="15" customHeight="1" s="217">
      <c r="A539" s="340" t="inlineStr">
        <is>
          <t>KOMATSU</t>
        </is>
      </c>
      <c r="B539" s="341" t="inlineStr">
        <is>
          <t>HH083868</t>
        </is>
      </c>
      <c r="C539" s="340" t="inlineStr">
        <is>
          <t>Holset</t>
        </is>
      </c>
      <c r="D539" s="340" t="inlineStr">
        <is>
          <t>HX40W</t>
        </is>
      </c>
      <c r="E539" s="340" t="n"/>
      <c r="F539" s="342" t="inlineStr">
        <is>
          <t>4051033/8C04-200-H36
3783430/3787181H/3785224/3787181
4048335/ 6745-81-8040/3783604 | 3787175 | 4956108 | 2836441 | 3773210 | 3784580 | 3788609 | 4051033 | 4033160 | 5329180 | 4051032 | 4049358 | 4046383 | 4046498 | 4047354 | 4051384 | 4051430 | 2836411</t>
        </is>
      </c>
      <c r="G539" s="340" t="inlineStr">
        <is>
          <t>Tâm lỗ bu lông: 45 x 85</t>
        </is>
      </c>
      <c r="H539" s="373" t="inlineStr">
        <is>
          <t>PC300-8/PC350-8/HOWO 15 TẤN 
L375</t>
        </is>
      </c>
      <c r="I539" s="340" t="n"/>
      <c r="J539" s="343" t="inlineStr">
        <is>
          <t>SL</t>
        </is>
      </c>
      <c r="K539" s="344" t="n"/>
      <c r="L539" s="344" t="n"/>
      <c r="M539" s="344" t="n"/>
      <c r="N539" s="344">
        <f>IF(M539="","",M539*1.1)</f>
        <v/>
      </c>
      <c r="O539" s="345" t="n">
        <v>86</v>
      </c>
      <c r="P539" s="345" t="n">
        <v>60</v>
      </c>
      <c r="Q539" s="345" t="inlineStr">
        <is>
          <t>7/7</t>
        </is>
      </c>
      <c r="R539" s="345" t="n">
        <v>76</v>
      </c>
      <c r="S539" s="345" t="n">
        <v>64</v>
      </c>
      <c r="T539" s="345" t="n">
        <v>10</v>
      </c>
      <c r="V539" s="346">
        <f>UPPER(A539&amp;" "&amp;B539&amp;" "&amp;D539&amp;" "&amp;E539&amp;" "&amp;F539&amp;" "&amp;G539&amp;" "&amp;H539&amp;" "&amp;I539&amp;" "&amp;J539)</f>
        <v/>
      </c>
      <c r="W539" s="216">
        <f>IF(AND('TRA CỨU TỔNG HỢP'!$B$3&lt;&gt;"",ISNUMBER(SEARCH('TRA CỨU TỔNG HỢP'!$B$3,V539))),MAX($W$3:W538)+1,"")</f>
        <v/>
      </c>
    </row>
    <row r="540" ht="15" customHeight="1" s="217">
      <c r="A540" s="347" t="inlineStr">
        <is>
          <t xml:space="preserve">  └─ KOMATSU</t>
        </is>
      </c>
      <c r="B540" s="348" t="inlineStr">
        <is>
          <t>HH080733</t>
        </is>
      </c>
      <c r="C540" s="349" t="inlineStr">
        <is>
          <t>Holset</t>
        </is>
      </c>
      <c r="D540" s="349" t="inlineStr">
        <is>
          <t>HX40W</t>
        </is>
      </c>
      <c r="E540" s="349" t="n"/>
      <c r="F540" s="350" t="inlineStr">
        <is>
          <t>4051033/8C04-200-H36
3783430/3787181H/3785224/3787181
4048335/ 6745-81-8040/3783604 | 3787175 | 4956108 | 2836441 | 3773210 | 3784580 | 3788609 | 4051033 | 4033160 | 5329180 | 4051032 | 4049358 | 4046383 | 4046498 | 4047354 | 4051384 | 4051430 | 2836411</t>
        </is>
      </c>
      <c r="G540" s="349" t="inlineStr">
        <is>
          <t>Tâm lỗ bu lông: 45 x 85</t>
        </is>
      </c>
      <c r="H540" s="374" t="inlineStr">
        <is>
          <t>PC300-8/PC350-8/HOWO 15 TẤN 
L375</t>
        </is>
      </c>
      <c r="I540" s="349" t="n"/>
      <c r="J540" s="351" t="inlineStr">
        <is>
          <t>SL</t>
        </is>
      </c>
      <c r="K540" s="352" t="n"/>
      <c r="L540" s="352" t="n"/>
      <c r="M540" s="352" t="n"/>
      <c r="N540" s="352">
        <f>IF(M540="","",M540*1.1)</f>
        <v/>
      </c>
      <c r="O540" s="353" t="n">
        <v>86</v>
      </c>
      <c r="P540" s="353" t="n">
        <v>60</v>
      </c>
      <c r="Q540" s="353" t="inlineStr">
        <is>
          <t>7/7</t>
        </is>
      </c>
      <c r="R540" s="353" t="n">
        <v>76</v>
      </c>
      <c r="S540" s="353" t="n">
        <v>64</v>
      </c>
      <c r="T540" s="353" t="n">
        <v>10</v>
      </c>
      <c r="V540" s="346">
        <f>UPPER(A540&amp;" "&amp;B540&amp;" "&amp;D540&amp;" "&amp;E540&amp;" "&amp;F540&amp;" "&amp;G540&amp;" "&amp;H540&amp;" "&amp;I540&amp;" "&amp;J540)</f>
        <v/>
      </c>
      <c r="W540" s="216">
        <f>IF(AND('TRA CỨU TỔNG HỢP'!$B$3&lt;&gt;"",ISNUMBER(SEARCH('TRA CỨU TỔNG HỢP'!$B$3,V540))),MAX($W$3:W539)+1,"")</f>
        <v/>
      </c>
    </row>
    <row r="541" ht="15" customHeight="1" s="217">
      <c r="A541" s="347" t="inlineStr">
        <is>
          <t xml:space="preserve">  └─ KOMATSU</t>
        </is>
      </c>
      <c r="B541" s="348" t="inlineStr">
        <is>
          <t>HH081574</t>
        </is>
      </c>
      <c r="C541" s="349" t="inlineStr">
        <is>
          <t>Holset</t>
        </is>
      </c>
      <c r="D541" s="349" t="inlineStr">
        <is>
          <t>HX40W</t>
        </is>
      </c>
      <c r="E541" s="349" t="n"/>
      <c r="F541" s="350" t="inlineStr">
        <is>
          <t>4051033/8C04-200-H36
3783430/3787181H/3785224/3787181
4048335/ 6745-81-8040/3783604 | 3787175 | 4956108 | 2836441 | 3773210 | 3784580 | 3788609 | 4051033 | 4033160 | 5329180 | 4051032 | 4049358 | 4046383 | 4046498 | 4047354 | 4051384 | 4051430 | 2836411</t>
        </is>
      </c>
      <c r="G541" s="349" t="inlineStr">
        <is>
          <t>Tâm lỗ bu lông: 45 x 85</t>
        </is>
      </c>
      <c r="H541" s="374" t="inlineStr">
        <is>
          <t>PC300-8/PC350-8/HOWO 15 TẤN 
L375</t>
        </is>
      </c>
      <c r="I541" s="349" t="n"/>
      <c r="J541" s="351" t="inlineStr">
        <is>
          <t>TBS</t>
        </is>
      </c>
      <c r="K541" s="352" t="n"/>
      <c r="L541" s="352" t="n"/>
      <c r="M541" s="352" t="n"/>
      <c r="N541" s="352">
        <f>IF(M541="","",M541*1.1)</f>
        <v/>
      </c>
      <c r="O541" s="353" t="n">
        <v>86</v>
      </c>
      <c r="P541" s="353" t="n">
        <v>60</v>
      </c>
      <c r="Q541" s="353" t="inlineStr">
        <is>
          <t>7/7</t>
        </is>
      </c>
      <c r="R541" s="353" t="n">
        <v>76</v>
      </c>
      <c r="S541" s="353" t="n">
        <v>64</v>
      </c>
      <c r="T541" s="353" t="n">
        <v>10</v>
      </c>
      <c r="V541" s="346">
        <f>UPPER(A541&amp;" "&amp;B541&amp;" "&amp;D541&amp;" "&amp;E541&amp;" "&amp;F541&amp;" "&amp;G541&amp;" "&amp;H541&amp;" "&amp;I541&amp;" "&amp;J541)</f>
        <v/>
      </c>
      <c r="W541" s="216">
        <f>IF(AND('TRA CỨU TỔNG HỢP'!$B$3&lt;&gt;"",ISNUMBER(SEARCH('TRA CỨU TỔNG HỢP'!$B$3,V541))),MAX($W$3:W540)+1,"")</f>
        <v/>
      </c>
    </row>
    <row r="542" ht="15" customHeight="1" s="217">
      <c r="A542" s="347" t="inlineStr">
        <is>
          <t xml:space="preserve">  └─ KOMATSU</t>
        </is>
      </c>
      <c r="B542" s="348" t="inlineStr">
        <is>
          <t>HH075106</t>
        </is>
      </c>
      <c r="C542" s="349" t="inlineStr">
        <is>
          <t>Holset</t>
        </is>
      </c>
      <c r="D542" s="349" t="inlineStr">
        <is>
          <t>HX40W</t>
        </is>
      </c>
      <c r="E542" s="349" t="n"/>
      <c r="F542" s="350" t="inlineStr">
        <is>
          <t>4051033/8C04-200-H36
3783430/3787181H/3785224/3787181
4048335/ 6745-81-8040/3783604 | 3787175 | 4956108 | 2836441 | 3773210 | 3784580 | 3788609 | 4051033 | 4033160 | 5329180 | 4051032 | 4049358 | 4046383 | 4046498 | 4047354 | 4051384 | 4051430 | 2836411</t>
        </is>
      </c>
      <c r="G542" s="349" t="inlineStr">
        <is>
          <t>Tâm lỗ bu lông: 45 x 85</t>
        </is>
      </c>
      <c r="H542" s="374" t="inlineStr">
        <is>
          <t>PC300-8/PC350-8/HOWO 15 TẤN 
L375</t>
        </is>
      </c>
      <c r="I542" s="349" t="n"/>
      <c r="J542" s="351" t="inlineStr">
        <is>
          <t>JRONE</t>
        </is>
      </c>
      <c r="K542" s="352" t="n"/>
      <c r="L542" s="352" t="n"/>
      <c r="M542" s="352" t="n"/>
      <c r="N542" s="352">
        <f>IF(M542="","",M542*1.1)</f>
        <v/>
      </c>
      <c r="O542" s="353" t="n">
        <v>86</v>
      </c>
      <c r="P542" s="353" t="n">
        <v>60</v>
      </c>
      <c r="Q542" s="353" t="inlineStr">
        <is>
          <t>7/7</t>
        </is>
      </c>
      <c r="R542" s="353" t="n">
        <v>76</v>
      </c>
      <c r="S542" s="353" t="n">
        <v>64</v>
      </c>
      <c r="T542" s="353" t="n">
        <v>10</v>
      </c>
      <c r="V542" s="346">
        <f>UPPER(A542&amp;" "&amp;B542&amp;" "&amp;D542&amp;" "&amp;E542&amp;" "&amp;F542&amp;" "&amp;G542&amp;" "&amp;H542&amp;" "&amp;I542&amp;" "&amp;J542)</f>
        <v/>
      </c>
      <c r="W542" s="216">
        <f>IF(AND('TRA CỨU TỔNG HỢP'!$B$3&lt;&gt;"",ISNUMBER(SEARCH('TRA CỨU TỔNG HỢP'!$B$3,V542))),MAX($W$3:W541)+1,"")</f>
        <v/>
      </c>
    </row>
    <row r="543" ht="15" customHeight="1" s="217">
      <c r="A543" s="340" t="inlineStr">
        <is>
          <t>KOMATSU</t>
        </is>
      </c>
      <c r="B543" s="341" t="inlineStr">
        <is>
          <t>HH078442</t>
        </is>
      </c>
      <c r="C543" s="340" t="inlineStr">
        <is>
          <t>Holset</t>
        </is>
      </c>
      <c r="D543" s="340" t="inlineStr">
        <is>
          <t>HX25W</t>
        </is>
      </c>
      <c r="E543" s="340" t="inlineStr">
        <is>
          <t>S4D107 / QSB4.5/4B3.9</t>
        </is>
      </c>
      <c r="F543" s="342" t="inlineStr">
        <is>
          <t>4038790/3599355 | 3599356 | 4038791 4089714</t>
        </is>
      </c>
      <c r="G543" s="340" t="n"/>
      <c r="H543" s="340" t="inlineStr">
        <is>
          <t>R140LC-9/PC100/200/128US</t>
        </is>
      </c>
      <c r="I543" s="340" t="inlineStr">
        <is>
          <t>TBS</t>
        </is>
      </c>
      <c r="J543" s="343" t="inlineStr">
        <is>
          <t>VIDARIR</t>
        </is>
      </c>
      <c r="K543" s="344" t="n"/>
      <c r="L543" s="344" t="n"/>
      <c r="M543" s="344" t="n"/>
      <c r="N543" s="344">
        <f>IF(M543="","",M543*1.1)</f>
        <v/>
      </c>
      <c r="O543" s="345" t="n">
        <v>56</v>
      </c>
      <c r="P543" s="345" t="n">
        <v>38.4</v>
      </c>
      <c r="Q543" s="345" t="inlineStr">
        <is>
          <t>6/6</t>
        </is>
      </c>
      <c r="R543" s="345" t="n">
        <v>52</v>
      </c>
      <c r="S543" s="345" t="n">
        <v>45.6</v>
      </c>
      <c r="T543" s="345" t="n">
        <v>12</v>
      </c>
      <c r="V543" s="216">
        <f>UPPER(A543&amp;" "&amp;B543&amp;" "&amp;D543&amp;" "&amp;E543&amp;" "&amp;F543&amp;" "&amp;G543&amp;" "&amp;H543&amp;" "&amp;I543&amp;" "&amp;J543)</f>
        <v/>
      </c>
      <c r="W543" s="216">
        <f>IF(AND('TRA CỨU TỔNG HỢP'!$B$3&lt;&gt;"",ISNUMBER(SEARCH('TRA CỨU TỔNG HỢP'!$B$3,V543))),MAX($W$3:W542)+1,"")</f>
        <v/>
      </c>
    </row>
    <row r="544" ht="15" customHeight="1" s="217">
      <c r="A544" s="347" t="inlineStr">
        <is>
          <t xml:space="preserve">  └─ KOMATSU</t>
        </is>
      </c>
      <c r="B544" s="348" t="inlineStr">
        <is>
          <t>HH083259</t>
        </is>
      </c>
      <c r="C544" s="349" t="inlineStr">
        <is>
          <t>Holset</t>
        </is>
      </c>
      <c r="D544" s="349" t="inlineStr">
        <is>
          <t>HX25W</t>
        </is>
      </c>
      <c r="E544" s="349" t="inlineStr">
        <is>
          <t>S4D107 / QSB4.5/4B3.9</t>
        </is>
      </c>
      <c r="F544" s="350" t="inlineStr">
        <is>
          <t>4038790/3599355 | 3599356 | 4038791 4089714</t>
        </is>
      </c>
      <c r="G544" s="349" t="n"/>
      <c r="H544" s="349" t="inlineStr">
        <is>
          <t>R140LC-9/PC100/200/128US</t>
        </is>
      </c>
      <c r="I544" s="349" t="inlineStr">
        <is>
          <t>TBS</t>
        </is>
      </c>
      <c r="J544" s="351" t="inlineStr">
        <is>
          <t>TBS</t>
        </is>
      </c>
      <c r="K544" s="352" t="n"/>
      <c r="L544" s="352" t="n"/>
      <c r="M544" s="352" t="n"/>
      <c r="N544" s="352">
        <f>IF(M544="","",M544*1.1)</f>
        <v/>
      </c>
      <c r="O544" s="353" t="n">
        <v>56</v>
      </c>
      <c r="P544" s="353" t="n">
        <v>38.4</v>
      </c>
      <c r="Q544" s="353" t="inlineStr">
        <is>
          <t>6/6</t>
        </is>
      </c>
      <c r="R544" s="353" t="n">
        <v>52</v>
      </c>
      <c r="S544" s="353" t="n">
        <v>45.6</v>
      </c>
      <c r="T544" s="353" t="n">
        <v>12</v>
      </c>
      <c r="V544" s="216">
        <f>UPPER(A544&amp;" "&amp;B544&amp;" "&amp;D544&amp;" "&amp;E544&amp;" "&amp;F544&amp;" "&amp;G544&amp;" "&amp;H544&amp;" "&amp;I544&amp;" "&amp;J544)</f>
        <v/>
      </c>
      <c r="W544" s="216">
        <f>IF(AND('TRA CỨU TỔNG HỢP'!$B$3&lt;&gt;"",ISNUMBER(SEARCH('TRA CỨU TỔNG HỢP'!$B$3,V544))),MAX($W$3:W543)+1,"")</f>
        <v/>
      </c>
    </row>
    <row r="545" ht="15" customHeight="1" s="217">
      <c r="A545" s="340" t="inlineStr">
        <is>
          <t>KOMATSU</t>
        </is>
      </c>
      <c r="B545" s="341" t="inlineStr">
        <is>
          <t>HH082516</t>
        </is>
      </c>
      <c r="C545" s="340" t="inlineStr">
        <is>
          <t>Holset</t>
        </is>
      </c>
      <c r="D545" s="340" t="inlineStr">
        <is>
          <t>HE221W</t>
        </is>
      </c>
      <c r="E545" s="340" t="inlineStr">
        <is>
          <t>ISDE4/ ISB4.5/ S4D107</t>
        </is>
      </c>
      <c r="F545" s="342" t="inlineStr">
        <is>
          <t>4956031/ 2835143 | 4043978 | 2835144 | 2835142 | 4033969</t>
        </is>
      </c>
      <c r="G545" s="340" t="n"/>
      <c r="H545" s="340" t="n"/>
      <c r="I545" s="340" t="n"/>
      <c r="J545" s="343" t="inlineStr">
        <is>
          <t>SL</t>
        </is>
      </c>
      <c r="K545" s="344" t="n"/>
      <c r="L545" s="344" t="n"/>
      <c r="M545" s="344" t="n"/>
      <c r="N545" s="344">
        <f>IF(M545="","",M545*1.1)</f>
        <v/>
      </c>
      <c r="O545" s="345" t="n">
        <v>61</v>
      </c>
      <c r="P545" s="345" t="n">
        <v>43.5</v>
      </c>
      <c r="Q545" s="345" t="inlineStr">
        <is>
          <t>6/6</t>
        </is>
      </c>
      <c r="R545" s="345" t="n">
        <v>52</v>
      </c>
      <c r="S545" s="345" t="n">
        <v>45.7</v>
      </c>
      <c r="T545" s="345" t="n">
        <v>12</v>
      </c>
      <c r="V545" s="216">
        <f>UPPER(A545&amp;" "&amp;B545&amp;" "&amp;D545&amp;" "&amp;E545&amp;" "&amp;F545&amp;" "&amp;G545&amp;" "&amp;H545&amp;" "&amp;I545&amp;" "&amp;J545)</f>
        <v/>
      </c>
      <c r="W545" s="216">
        <f>IF(AND('TRA CỨU TỔNG HỢP'!$B$3&lt;&gt;"",ISNUMBER(SEARCH('TRA CỨU TỔNG HỢP'!$B$3,V545))),MAX($W$3:W544)+1,"")</f>
        <v/>
      </c>
    </row>
    <row r="546" ht="15" customHeight="1" s="217">
      <c r="A546" s="347" t="inlineStr">
        <is>
          <t xml:space="preserve">  └─ KOMATSU</t>
        </is>
      </c>
      <c r="B546" s="348" t="inlineStr">
        <is>
          <t>HH082672</t>
        </is>
      </c>
      <c r="C546" s="349" t="inlineStr">
        <is>
          <t>Holset</t>
        </is>
      </c>
      <c r="D546" s="349" t="inlineStr">
        <is>
          <t>HE221W</t>
        </is>
      </c>
      <c r="E546" s="349" t="inlineStr">
        <is>
          <t>ISDE4/ ISB4.5/ S4D107</t>
        </is>
      </c>
      <c r="F546" s="350" t="inlineStr">
        <is>
          <t>4956031/ 2835143 | 4043978 | 2835144 | 2835142 | 4033969</t>
        </is>
      </c>
      <c r="G546" s="349" t="n"/>
      <c r="H546" s="349" t="n"/>
      <c r="I546" s="349" t="n"/>
      <c r="J546" s="351" t="inlineStr">
        <is>
          <t>SL</t>
        </is>
      </c>
      <c r="K546" s="352" t="n"/>
      <c r="L546" s="352" t="n"/>
      <c r="M546" s="352" t="n"/>
      <c r="N546" s="352">
        <f>IF(M546="","",M546*1.1)</f>
        <v/>
      </c>
      <c r="O546" s="353" t="n">
        <v>61</v>
      </c>
      <c r="P546" s="353" t="n">
        <v>43.5</v>
      </c>
      <c r="Q546" s="353" t="inlineStr">
        <is>
          <t>6/6</t>
        </is>
      </c>
      <c r="R546" s="353" t="n">
        <v>52</v>
      </c>
      <c r="S546" s="353" t="n">
        <v>45.7</v>
      </c>
      <c r="T546" s="353" t="n">
        <v>12</v>
      </c>
      <c r="V546" s="216">
        <f>UPPER(A546&amp;" "&amp;B546&amp;" "&amp;D546&amp;" "&amp;E546&amp;" "&amp;F546&amp;" "&amp;G546&amp;" "&amp;H546&amp;" "&amp;I546&amp;" "&amp;J546)</f>
        <v/>
      </c>
      <c r="W546" s="216">
        <f>IF(AND('TRA CỨU TỔNG HỢP'!$B$3&lt;&gt;"",ISNUMBER(SEARCH('TRA CỨU TỔNG HỢP'!$B$3,V546))),MAX($W$3:W545)+1,"")</f>
        <v/>
      </c>
    </row>
    <row r="547" ht="15" customHeight="1" s="217">
      <c r="A547" s="360" t="inlineStr">
        <is>
          <t>KOMATSU</t>
        </is>
      </c>
      <c r="B547" s="361" t="n"/>
      <c r="C547" s="360" t="inlineStr">
        <is>
          <t>Holset</t>
        </is>
      </c>
      <c r="D547" s="360" t="inlineStr">
        <is>
          <t>HE351W</t>
        </is>
      </c>
      <c r="E547" s="360" t="inlineStr">
        <is>
          <t>6BTAA, ISB, ISDE6</t>
        </is>
      </c>
      <c r="F547" s="362" t="inlineStr">
        <is>
          <t>4043980/2837188
4955908/4043982
2834176/4032737</t>
        </is>
      </c>
      <c r="G547" s="360" t="n"/>
      <c r="H547" s="360" t="n"/>
      <c r="I547" s="360" t="inlineStr">
        <is>
          <t>chưa nhập có hình ảnh sl</t>
        </is>
      </c>
      <c r="J547" s="363" t="n"/>
      <c r="K547" s="364" t="n"/>
      <c r="L547" s="364" t="n"/>
      <c r="M547" s="364" t="n"/>
      <c r="N547" s="364" t="n"/>
      <c r="O547" s="365" t="n">
        <v>86</v>
      </c>
      <c r="P547" s="365" t="n">
        <v>58</v>
      </c>
      <c r="Q547" s="365" t="inlineStr">
        <is>
          <t>7/7</t>
        </is>
      </c>
      <c r="R547" s="365" t="n">
        <v>70</v>
      </c>
      <c r="S547" s="365" t="n">
        <v>60</v>
      </c>
      <c r="T547" s="365" t="n">
        <v>12</v>
      </c>
      <c r="V547" s="346">
        <f>UPPER(A547&amp;" "&amp;B547&amp;" "&amp;D547&amp;" "&amp;E547&amp;" "&amp;F547&amp;" "&amp;G547&amp;" "&amp;H547&amp;" "&amp;I547&amp;" "&amp;J547)</f>
        <v/>
      </c>
      <c r="W547" s="216">
        <f>IF(AND('TRA CỨU TỔNG HỢP'!$B$3&lt;&gt;"",ISNUMBER(SEARCH('TRA CỨU TỔNG HỢP'!$B$3,V547))),MAX($W$3:W546)+1,"")</f>
        <v/>
      </c>
    </row>
    <row r="548" ht="15" customHeight="1" s="217">
      <c r="A548" s="367" t="inlineStr">
        <is>
          <t>KOMATSU</t>
        </is>
      </c>
      <c r="B548" s="368" t="n"/>
      <c r="C548" s="367" t="inlineStr">
        <is>
          <t>Holset</t>
        </is>
      </c>
      <c r="D548" s="367" t="inlineStr">
        <is>
          <t>HX35W</t>
        </is>
      </c>
      <c r="E548" s="367" t="n"/>
      <c r="F548" s="369" t="n">
        <v>3802761</v>
      </c>
      <c r="G548" s="367" t="inlineStr">
        <is>
          <t>Tâm lỗ bu lông 44.5 x 86</t>
        </is>
      </c>
      <c r="H548" s="367" t="inlineStr">
        <is>
          <t>R200/R210-3/R220-5</t>
        </is>
      </c>
      <c r="I548" s="367" t="n"/>
      <c r="J548" s="370" t="n"/>
      <c r="K548" s="371" t="n"/>
      <c r="L548" s="371" t="n"/>
      <c r="M548" s="371" t="n"/>
      <c r="N548" s="371" t="n"/>
      <c r="O548" s="372" t="n"/>
      <c r="P548" s="372" t="n"/>
      <c r="Q548" s="372" t="n"/>
      <c r="R548" s="372" t="n"/>
      <c r="S548" s="372" t="n"/>
      <c r="T548" s="372" t="n"/>
      <c r="V548" s="216">
        <f>UPPER(A548&amp;" "&amp;B548&amp;" "&amp;D548&amp;" "&amp;E548&amp;" "&amp;F548&amp;" "&amp;G548&amp;" "&amp;H548&amp;" "&amp;I548&amp;" "&amp;J548)</f>
        <v/>
      </c>
      <c r="W548" s="216">
        <f>IF(AND('TRA CỨU TỔNG HỢP'!$B$3&lt;&gt;"",ISNUMBER(SEARCH('TRA CỨU TỔNG HỢP'!$B$3,V548))),MAX($W$3:W547)+1,"")</f>
        <v/>
      </c>
    </row>
    <row r="549" ht="15" customHeight="1" s="217">
      <c r="A549" s="360" t="inlineStr">
        <is>
          <t>KOMATSU</t>
        </is>
      </c>
      <c r="B549" s="361" t="n"/>
      <c r="C549" s="360" t="inlineStr">
        <is>
          <t>Holset</t>
        </is>
      </c>
      <c r="D549" s="360" t="inlineStr">
        <is>
          <t>HX35W</t>
        </is>
      </c>
      <c r="E549" s="360" t="inlineStr">
        <is>
          <t>6BTA</t>
        </is>
      </c>
      <c r="F549" s="362" t="inlineStr">
        <is>
          <t>3536971
3536972
3536973
3536974
3536975</t>
        </is>
      </c>
      <c r="G549" s="375" t="inlineStr">
        <is>
          <t>Tâm lỗ bu lông 44.5 x 87
cổ gió không loe</t>
        </is>
      </c>
      <c r="H549" s="360" t="inlineStr">
        <is>
          <t>ROBEX R220</t>
        </is>
      </c>
      <c r="I549" s="360" t="n"/>
      <c r="J549" s="363" t="n"/>
      <c r="K549" s="364" t="n"/>
      <c r="L549" s="364" t="n"/>
      <c r="M549" s="364" t="n"/>
      <c r="N549" s="364" t="n"/>
      <c r="O549" s="365" t="n">
        <v>83</v>
      </c>
      <c r="P549" s="365" t="n">
        <v>52</v>
      </c>
      <c r="Q549" s="365" t="inlineStr">
        <is>
          <t>8/8</t>
        </is>
      </c>
      <c r="R549" s="365" t="n">
        <v>70</v>
      </c>
      <c r="S549" s="365" t="n">
        <v>60</v>
      </c>
      <c r="T549" s="365" t="n">
        <v>12</v>
      </c>
      <c r="V549" s="346">
        <f>UPPER(A549&amp;" "&amp;B549&amp;" "&amp;D549&amp;" "&amp;E549&amp;" "&amp;F549&amp;" "&amp;G549&amp;" "&amp;H549&amp;" "&amp;I549&amp;" "&amp;J549)</f>
        <v/>
      </c>
      <c r="W549" s="216">
        <f>IF(AND('TRA CỨU TỔNG HỢP'!$B$3&lt;&gt;"",ISNUMBER(SEARCH('TRA CỨU TỔNG HỢP'!$B$3,V549))),MAX($W$3:W548)+1,"")</f>
        <v/>
      </c>
    </row>
    <row r="550" ht="15" customHeight="1" s="217">
      <c r="A550" s="354" t="inlineStr">
        <is>
          <t>KOMATSU</t>
        </is>
      </c>
      <c r="B550" s="355" t="inlineStr">
        <is>
          <t>HH082352</t>
        </is>
      </c>
      <c r="C550" s="354" t="n"/>
      <c r="D550" s="354" t="n"/>
      <c r="E550" s="354" t="inlineStr">
        <is>
          <t>S4D107/SAA4D107E/QSB4.5</t>
        </is>
      </c>
      <c r="F550" s="356" t="inlineStr">
        <is>
          <t>49477-02600</t>
        </is>
      </c>
      <c r="G550" s="354" t="inlineStr">
        <is>
          <t>Điều tốc điện</t>
        </is>
      </c>
      <c r="H550" s="354" t="inlineStr">
        <is>
          <t>PC200-10/HB205/Hybrid</t>
        </is>
      </c>
      <c r="I550" s="354" t="n"/>
      <c r="J550" s="357" t="inlineStr">
        <is>
          <t>CHÍNH</t>
        </is>
      </c>
      <c r="K550" s="358" t="n"/>
      <c r="L550" s="358" t="n"/>
      <c r="M550" s="358" t="n"/>
      <c r="N550" s="358">
        <f>IF(M550="","",M550*1.1)</f>
        <v/>
      </c>
      <c r="O550" s="359" t="n"/>
      <c r="P550" s="359" t="n"/>
      <c r="Q550" s="359" t="n"/>
      <c r="R550" s="359" t="n"/>
      <c r="S550" s="359" t="n"/>
      <c r="T550" s="359" t="n"/>
      <c r="V550" s="216">
        <f>UPPER(A550&amp;" "&amp;B550&amp;" "&amp;D550&amp;" "&amp;E550&amp;" "&amp;F550&amp;" "&amp;G550&amp;" "&amp;H550&amp;" "&amp;I550&amp;" "&amp;J550)</f>
        <v/>
      </c>
      <c r="W550" s="216">
        <f>IF(AND('TRA CỨU TỔNG HỢP'!$B$3&lt;&gt;"",ISNUMBER(SEARCH('TRA CỨU TỔNG HỢP'!$B$3,V550))),MAX($W$3:W549)+1,"")</f>
        <v/>
      </c>
    </row>
    <row r="551" ht="15" customHeight="1" s="217">
      <c r="A551" s="340" t="inlineStr">
        <is>
          <t>KOMATSU</t>
        </is>
      </c>
      <c r="B551" s="341" t="inlineStr">
        <is>
          <t>HH070597</t>
        </is>
      </c>
      <c r="C551" s="340" t="inlineStr">
        <is>
          <t>Garrett</t>
        </is>
      </c>
      <c r="D551" s="340" t="inlineStr">
        <is>
          <t>TA3103</t>
        </is>
      </c>
      <c r="E551" s="340" t="inlineStr">
        <is>
          <t>S4D95/S6D95</t>
        </is>
      </c>
      <c r="F551" s="342" t="inlineStr">
        <is>
          <t>6205-81-8150/6205-81-8110/6205-81-8120
465636-0117/465636-0206/465636-0209/465636-0216</t>
        </is>
      </c>
      <c r="G551" s="340" t="inlineStr">
        <is>
          <t>Tâm lỗ bu lông 44.5 x 86</t>
        </is>
      </c>
      <c r="H551" s="373" t="inlineStr">
        <is>
          <t>PC100-1/2/3/5 /6 / PC150-3
 PC120-6/ PC128UU-1
 PC130-6/ PW130-6</t>
        </is>
      </c>
      <c r="I551" s="340" t="n"/>
      <c r="J551" s="343" t="inlineStr">
        <is>
          <t>SL</t>
        </is>
      </c>
      <c r="K551" s="344" t="n"/>
      <c r="L551" s="344" t="n"/>
      <c r="M551" s="344" t="n"/>
      <c r="N551" s="344">
        <f>IF(M551="","",M551*1.1)</f>
        <v/>
      </c>
      <c r="O551" s="345" t="n">
        <v>60.2</v>
      </c>
      <c r="P551" s="345" t="n">
        <v>42.5</v>
      </c>
      <c r="Q551" s="345" t="inlineStr">
        <is>
          <t>6/6</t>
        </is>
      </c>
      <c r="R551" s="345" t="n">
        <v>65.2</v>
      </c>
      <c r="S551" s="345" t="n">
        <v>49.4</v>
      </c>
      <c r="T551" s="345" t="n">
        <v>11</v>
      </c>
      <c r="V551" s="346">
        <f>UPPER(A551&amp;" "&amp;B551&amp;" "&amp;D551&amp;" "&amp;E551&amp;" "&amp;F551&amp;" "&amp;G551&amp;" "&amp;H551&amp;" "&amp;I551&amp;" "&amp;J551)</f>
        <v/>
      </c>
      <c r="W551" s="216">
        <f>IF(AND('TRA CỨU TỔNG HỢP'!$B$3&lt;&gt;"",ISNUMBER(SEARCH('TRA CỨU TỔNG HỢP'!$B$3,V551))),MAX($W$3:W550)+1,"")</f>
        <v/>
      </c>
    </row>
    <row r="552" ht="15" customHeight="1" s="217">
      <c r="A552" s="347" t="inlineStr">
        <is>
          <t xml:space="preserve">  └─ KOMATSU</t>
        </is>
      </c>
      <c r="B552" s="348" t="inlineStr">
        <is>
          <t>HH079996</t>
        </is>
      </c>
      <c r="C552" s="349" t="inlineStr">
        <is>
          <t>Garrett</t>
        </is>
      </c>
      <c r="D552" s="349" t="inlineStr">
        <is>
          <t>TA3103</t>
        </is>
      </c>
      <c r="E552" s="349" t="inlineStr">
        <is>
          <t>S4D95/S6D95</t>
        </is>
      </c>
      <c r="F552" s="350" t="inlineStr">
        <is>
          <t>6205-81-8150/6205-81-8110/6205-81-8120
465636-0117/465636-0206/465636-0209/465636-0216</t>
        </is>
      </c>
      <c r="G552" s="349" t="inlineStr">
        <is>
          <t>Tâm lỗ bu lông 44.5 x 86</t>
        </is>
      </c>
      <c r="H552" s="374" t="inlineStr">
        <is>
          <t>PC100-1/2/3/5 /6 / PC150-3
 PC120-6/ PC128UU-1
 PC130-6/ PW130-6</t>
        </is>
      </c>
      <c r="I552" s="349" t="n"/>
      <c r="J552" s="351" t="inlineStr">
        <is>
          <t>SL</t>
        </is>
      </c>
      <c r="K552" s="352" t="n"/>
      <c r="L552" s="352" t="n"/>
      <c r="M552" s="352" t="n"/>
      <c r="N552" s="352">
        <f>IF(M552="","",M552*1.1)</f>
        <v/>
      </c>
      <c r="O552" s="353" t="n">
        <v>60.2</v>
      </c>
      <c r="P552" s="353" t="n">
        <v>42.5</v>
      </c>
      <c r="Q552" s="353" t="inlineStr">
        <is>
          <t>6/6</t>
        </is>
      </c>
      <c r="R552" s="353" t="n">
        <v>65.2</v>
      </c>
      <c r="S552" s="353" t="n">
        <v>49.4</v>
      </c>
      <c r="T552" s="353" t="n">
        <v>11</v>
      </c>
      <c r="V552" s="346">
        <f>UPPER(A552&amp;" "&amp;B552&amp;" "&amp;D552&amp;" "&amp;E552&amp;" "&amp;F552&amp;" "&amp;G552&amp;" "&amp;H552&amp;" "&amp;I552&amp;" "&amp;J552)</f>
        <v/>
      </c>
      <c r="W552" s="216">
        <f>IF(AND('TRA CỨU TỔNG HỢP'!$B$3&lt;&gt;"",ISNUMBER(SEARCH('TRA CỨU TỔNG HỢP'!$B$3,V552))),MAX($W$3:W551)+1,"")</f>
        <v/>
      </c>
    </row>
    <row r="553" ht="15" customHeight="1" s="217">
      <c r="A553" s="354" t="inlineStr">
        <is>
          <t>KOMATSU</t>
        </is>
      </c>
      <c r="B553" s="355" t="inlineStr">
        <is>
          <t>HH070598</t>
        </is>
      </c>
      <c r="C553" s="354" t="inlineStr">
        <is>
          <t>Holset</t>
        </is>
      </c>
      <c r="D553" s="354" t="inlineStr">
        <is>
          <t>HX30</t>
        </is>
      </c>
      <c r="E553" s="354" t="inlineStr">
        <is>
          <t>S4D102</t>
        </is>
      </c>
      <c r="F553" s="356" t="inlineStr">
        <is>
          <t>6732-81-8102
3539803/3539846
3539803/3539846/3590022
6732-81-8052/3590022</t>
        </is>
      </c>
      <c r="G553" s="354" t="inlineStr">
        <is>
          <t>Tâm lỗ bu lông 44.5 x 86</t>
        </is>
      </c>
      <c r="H553" s="366" t="inlineStr">
        <is>
          <t>PC100-6/PC100 PC120-6/ PC100-5 
 samsung MX6, MX8</t>
        </is>
      </c>
      <c r="I553" s="354" t="n"/>
      <c r="J553" s="357" t="inlineStr">
        <is>
          <t>SL</t>
        </is>
      </c>
      <c r="K553" s="358" t="n"/>
      <c r="L553" s="358" t="n"/>
      <c r="M553" s="358" t="n"/>
      <c r="N553" s="358">
        <f>IF(M553="","",M553*1.1)</f>
        <v/>
      </c>
      <c r="O553" s="359" t="n">
        <v>83</v>
      </c>
      <c r="P553" s="359" t="n">
        <v>52</v>
      </c>
      <c r="Q553" s="359" t="inlineStr">
        <is>
          <t>8/8</t>
        </is>
      </c>
      <c r="R553" s="359" t="n">
        <v>70</v>
      </c>
      <c r="S553" s="359" t="n">
        <v>60</v>
      </c>
      <c r="T553" s="359" t="n">
        <v>12</v>
      </c>
      <c r="V553" s="346">
        <f>UPPER(A553&amp;" "&amp;B553&amp;" "&amp;D553&amp;" "&amp;E553&amp;" "&amp;F553&amp;" "&amp;G553&amp;" "&amp;H553&amp;" "&amp;I553&amp;" "&amp;J553)</f>
        <v/>
      </c>
      <c r="W553" s="216">
        <f>IF(AND('TRA CỨU TỔNG HỢP'!$B$3&lt;&gt;"",ISNUMBER(SEARCH('TRA CỨU TỔNG HỢP'!$B$3,V553))),MAX($W$3:W552)+1,"")</f>
        <v/>
      </c>
    </row>
    <row r="554" ht="15" customHeight="1" s="217">
      <c r="A554" s="354" t="inlineStr">
        <is>
          <t>KOMATSU</t>
        </is>
      </c>
      <c r="B554" s="355" t="inlineStr">
        <is>
          <t>HH075792</t>
        </is>
      </c>
      <c r="C554" s="354" t="inlineStr">
        <is>
          <t>Mitsubishi</t>
        </is>
      </c>
      <c r="D554" s="354" t="inlineStr">
        <is>
          <t>TD04L-10T</t>
        </is>
      </c>
      <c r="E554" s="354" t="inlineStr">
        <is>
          <t>S4D95 LE/ B3.3</t>
        </is>
      </c>
      <c r="F554" s="356" t="inlineStr">
        <is>
          <t>49377-01601
49177-08500 (ruột)
6205-81-8270
3800880/4089794/4089795
6205-81-8214/6205-81-8212/8M04-200-H91
49377-01500/49377-01502/49377-01503
49377-01504/49377-01510/49377-01511
49377-01512/49377-01520/49377-01522
49377-01530/49377-01531/49377-01541
49377-01550/49377-01590/49177-92702</t>
        </is>
      </c>
      <c r="G554" s="354" t="inlineStr">
        <is>
          <t>Cổ gió không bắt bu lông</t>
        </is>
      </c>
      <c r="H554" s="354" t="inlineStr">
        <is>
          <t>PC130-7</t>
        </is>
      </c>
      <c r="I554" s="354" t="n"/>
      <c r="J554" s="357" t="inlineStr">
        <is>
          <t>JRONE</t>
        </is>
      </c>
      <c r="K554" s="358" t="n"/>
      <c r="L554" s="358" t="n"/>
      <c r="M554" s="358" t="n"/>
      <c r="N554" s="358">
        <f>IF(M554="","",M554*1.1)</f>
        <v/>
      </c>
      <c r="O554" s="359" t="n">
        <v>49</v>
      </c>
      <c r="P554" s="359" t="n">
        <v>35.5</v>
      </c>
      <c r="Q554" s="359" t="inlineStr">
        <is>
          <t>6/6</t>
        </is>
      </c>
      <c r="R554" s="359" t="n">
        <v>47.1</v>
      </c>
      <c r="S554" s="359" t="n">
        <v>41.2</v>
      </c>
      <c r="T554" s="359" t="n">
        <v>12</v>
      </c>
      <c r="V554" s="346">
        <f>UPPER(A554&amp;" "&amp;B554&amp;" "&amp;D554&amp;" "&amp;E554&amp;" "&amp;F554&amp;" "&amp;G554&amp;" "&amp;H554&amp;" "&amp;I554&amp;" "&amp;J554)</f>
        <v/>
      </c>
      <c r="W554" s="216">
        <f>IF(AND('TRA CỨU TỔNG HỢP'!$B$3&lt;&gt;"",ISNUMBER(SEARCH('TRA CỨU TỔNG HỢP'!$B$3,V554))),MAX($W$3:W553)+1,"")</f>
        <v/>
      </c>
    </row>
    <row r="555" ht="15" customHeight="1" s="217">
      <c r="A555" s="340" t="inlineStr">
        <is>
          <t>KOMATSU</t>
        </is>
      </c>
      <c r="B555" s="341" t="inlineStr">
        <is>
          <t>HH075390</t>
        </is>
      </c>
      <c r="C555" s="340" t="inlineStr">
        <is>
          <t>Mitsubishi</t>
        </is>
      </c>
      <c r="D555" s="340" t="inlineStr">
        <is>
          <t>TD04L-10</t>
        </is>
      </c>
      <c r="E555" s="340" t="inlineStr">
        <is>
          <t>S4D95LE</t>
        </is>
      </c>
      <c r="F555" s="342" t="inlineStr">
        <is>
          <t>49377-01611/49377-01610
6208-81-8100/6205-81-8250/8M04-200-892</t>
        </is>
      </c>
      <c r="G555" s="340" t="inlineStr">
        <is>
          <t>Cổ gió bắt bu lông</t>
        </is>
      </c>
      <c r="H555" s="340" t="inlineStr">
        <is>
          <t>PC130-8</t>
        </is>
      </c>
      <c r="I555" s="340" t="n"/>
      <c r="J555" s="343" t="n"/>
      <c r="K555" s="344" t="n"/>
      <c r="L555" s="344" t="n"/>
      <c r="M555" s="344" t="n"/>
      <c r="N555" s="344">
        <f>IF(M555="","",M555*1.1)</f>
        <v/>
      </c>
      <c r="O555" s="345" t="n">
        <v>51</v>
      </c>
      <c r="P555" s="345" t="n">
        <v>36.4</v>
      </c>
      <c r="Q555" s="345" t="inlineStr">
        <is>
          <t>6/6</t>
        </is>
      </c>
      <c r="R555" s="345" t="n">
        <v>47.1</v>
      </c>
      <c r="S555" s="345" t="n">
        <v>41.2</v>
      </c>
      <c r="T555" s="345" t="n">
        <v>12</v>
      </c>
      <c r="V555" s="346">
        <f>UPPER(A555&amp;" "&amp;B555&amp;" "&amp;D555&amp;" "&amp;E555&amp;" "&amp;F555&amp;" "&amp;G555&amp;" "&amp;H555&amp;" "&amp;I555&amp;" "&amp;J555)</f>
        <v/>
      </c>
      <c r="W555" s="216">
        <f>IF(AND('TRA CỨU TỔNG HỢP'!$B$3&lt;&gt;"",ISNUMBER(SEARCH('TRA CỨU TỔNG HỢP'!$B$3,V555))),MAX($W$3:W554)+1,"")</f>
        <v/>
      </c>
    </row>
    <row r="556" ht="15" customHeight="1" s="217">
      <c r="A556" s="347" t="inlineStr">
        <is>
          <t xml:space="preserve">  └─ KOMATSU</t>
        </is>
      </c>
      <c r="B556" s="348" t="inlineStr">
        <is>
          <t>HH080118</t>
        </is>
      </c>
      <c r="C556" s="349" t="inlineStr">
        <is>
          <t>Mitsubishi</t>
        </is>
      </c>
      <c r="D556" s="349" t="inlineStr">
        <is>
          <t>TD04L-10</t>
        </is>
      </c>
      <c r="E556" s="349" t="inlineStr">
        <is>
          <t>S4D95LE</t>
        </is>
      </c>
      <c r="F556" s="350" t="inlineStr">
        <is>
          <t>49377-01611/49377-01610
6208-81-8100/6205-81-8250/8M04-200-892</t>
        </is>
      </c>
      <c r="G556" s="349" t="inlineStr">
        <is>
          <t>Cổ gió bắt bu lông</t>
        </is>
      </c>
      <c r="H556" s="349" t="inlineStr">
        <is>
          <t>PC130-8</t>
        </is>
      </c>
      <c r="I556" s="349" t="n"/>
      <c r="J556" s="351" t="inlineStr">
        <is>
          <t>SL</t>
        </is>
      </c>
      <c r="K556" s="352" t="n"/>
      <c r="L556" s="352" t="n"/>
      <c r="M556" s="352" t="n"/>
      <c r="N556" s="352">
        <f>IF(M556="","",M556*1.1)</f>
        <v/>
      </c>
      <c r="O556" s="353" t="n">
        <v>51</v>
      </c>
      <c r="P556" s="353" t="n">
        <v>36.4</v>
      </c>
      <c r="Q556" s="353" t="inlineStr">
        <is>
          <t>6/6</t>
        </is>
      </c>
      <c r="R556" s="353" t="n">
        <v>47.1</v>
      </c>
      <c r="S556" s="353" t="n">
        <v>41.2</v>
      </c>
      <c r="T556" s="353" t="n">
        <v>12</v>
      </c>
      <c r="V556" s="346">
        <f>UPPER(A556&amp;" "&amp;B556&amp;" "&amp;D556&amp;" "&amp;E556&amp;" "&amp;F556&amp;" "&amp;G556&amp;" "&amp;H556&amp;" "&amp;I556&amp;" "&amp;J556)</f>
        <v/>
      </c>
      <c r="W556" s="216">
        <f>IF(AND('TRA CỨU TỔNG HỢP'!$B$3&lt;&gt;"",ISNUMBER(SEARCH('TRA CỨU TỔNG HỢP'!$B$3,V556))),MAX($W$3:W555)+1,"")</f>
        <v/>
      </c>
    </row>
    <row r="557" ht="15" customHeight="1" s="217">
      <c r="A557" s="340" t="inlineStr">
        <is>
          <t>KOMATSU</t>
        </is>
      </c>
      <c r="B557" s="341" t="inlineStr">
        <is>
          <t>HH071951</t>
        </is>
      </c>
      <c r="C557" s="340" t="inlineStr">
        <is>
          <t>Garrett</t>
        </is>
      </c>
      <c r="D557" s="340" t="inlineStr">
        <is>
          <t>TA4532</t>
        </is>
      </c>
      <c r="E557" s="340" t="inlineStr">
        <is>
          <t>S6D125</t>
        </is>
      </c>
      <c r="F557" s="342" t="inlineStr">
        <is>
          <t>465105-0002
8G04-100-394
6152818310
441398-0052
6152-81-8310/6152-81-8210/6152-81-8300/6152-82-8300/6152-81-8110/6152-82-8110/6152-81-8370</t>
        </is>
      </c>
      <c r="G557" s="373" t="inlineStr">
        <is>
          <t>Tâm lỗ bu lông 70 x 112.7 
(cổ xả ra bắt ống)</t>
        </is>
      </c>
      <c r="H557" s="340" t="inlineStr">
        <is>
          <t>PC400-1/3/5/6</t>
        </is>
      </c>
      <c r="I557" s="340" t="n"/>
      <c r="J557" s="343" t="inlineStr">
        <is>
          <t>SL</t>
        </is>
      </c>
      <c r="K557" s="344" t="n"/>
      <c r="L557" s="344" t="n"/>
      <c r="M557" s="344" t="n"/>
      <c r="N557" s="344">
        <f>IF(M557="","",M557*1.1)</f>
        <v/>
      </c>
      <c r="O557" s="345" t="n">
        <v>84</v>
      </c>
      <c r="P557" s="345" t="n">
        <v>60.4</v>
      </c>
      <c r="Q557" s="345" t="inlineStr">
        <is>
          <t>6/6</t>
        </is>
      </c>
      <c r="R557" s="345" t="n">
        <v>82</v>
      </c>
      <c r="S557" s="345" t="n">
        <v>71.5</v>
      </c>
      <c r="T557" s="345" t="n">
        <v>11</v>
      </c>
      <c r="V557" s="346">
        <f>UPPER(A557&amp;" "&amp;B557&amp;" "&amp;D557&amp;" "&amp;E557&amp;" "&amp;F557&amp;" "&amp;G557&amp;" "&amp;H557&amp;" "&amp;I557&amp;" "&amp;J557)</f>
        <v/>
      </c>
      <c r="W557" s="216">
        <f>IF(AND('TRA CỨU TỔNG HỢP'!$B$3&lt;&gt;"",ISNUMBER(SEARCH('TRA CỨU TỔNG HỢP'!$B$3,V557))),MAX($W$3:W556)+1,"")</f>
        <v/>
      </c>
    </row>
    <row r="558" ht="15" customHeight="1" s="217">
      <c r="A558" s="347" t="inlineStr">
        <is>
          <t xml:space="preserve">  └─ KOMATSU</t>
        </is>
      </c>
      <c r="B558" s="348" t="inlineStr">
        <is>
          <t>HH074826</t>
        </is>
      </c>
      <c r="C558" s="349" t="inlineStr">
        <is>
          <t>Garrett</t>
        </is>
      </c>
      <c r="D558" s="349" t="inlineStr">
        <is>
          <t>TA4532</t>
        </is>
      </c>
      <c r="E558" s="349" t="inlineStr">
        <is>
          <t>S6D125</t>
        </is>
      </c>
      <c r="F558" s="350" t="inlineStr">
        <is>
          <t>465105-0002
8G04-100-394
6152818310
441398-0052
6152-81-8310/6152-81-8210/6152-81-8300/6152-82-8300/6152-81-8110/6152-82-8110/6152-81-8370</t>
        </is>
      </c>
      <c r="G558" s="374" t="inlineStr">
        <is>
          <t>Tâm lỗ bu lông 70 x 112.7 
(cổ xả ra bắt ống)</t>
        </is>
      </c>
      <c r="H558" s="349" t="inlineStr">
        <is>
          <t>PC400-1/3/5/6</t>
        </is>
      </c>
      <c r="I558" s="349" t="n"/>
      <c r="J558" s="351" t="inlineStr">
        <is>
          <t>JRONE</t>
        </is>
      </c>
      <c r="K558" s="352" t="n"/>
      <c r="L558" s="352" t="n"/>
      <c r="M558" s="352" t="n"/>
      <c r="N558" s="352">
        <f>IF(M558="","",M558*1.1)</f>
        <v/>
      </c>
      <c r="O558" s="353" t="n">
        <v>84</v>
      </c>
      <c r="P558" s="353" t="n">
        <v>60.4</v>
      </c>
      <c r="Q558" s="353" t="inlineStr">
        <is>
          <t>6/6</t>
        </is>
      </c>
      <c r="R558" s="353" t="n">
        <v>82</v>
      </c>
      <c r="S558" s="353" t="n">
        <v>71.5</v>
      </c>
      <c r="T558" s="353" t="n">
        <v>11</v>
      </c>
      <c r="V558" s="346">
        <f>UPPER(A558&amp;" "&amp;B558&amp;" "&amp;D558&amp;" "&amp;E558&amp;" "&amp;F558&amp;" "&amp;G558&amp;" "&amp;H558&amp;" "&amp;I558&amp;" "&amp;J558)</f>
        <v/>
      </c>
      <c r="W558" s="216">
        <f>IF(AND('TRA CỨU TỔNG HỢP'!$B$3&lt;&gt;"",ISNUMBER(SEARCH('TRA CỨU TỔNG HỢP'!$B$3,V558))),MAX($W$3:W557)+1,"")</f>
        <v/>
      </c>
    </row>
    <row r="559" ht="15" customHeight="1" s="217">
      <c r="A559" s="347" t="inlineStr">
        <is>
          <t xml:space="preserve">  └─ KOMATSU</t>
        </is>
      </c>
      <c r="B559" s="348" t="inlineStr">
        <is>
          <t>HH080001</t>
        </is>
      </c>
      <c r="C559" s="349" t="inlineStr">
        <is>
          <t>Garrett</t>
        </is>
      </c>
      <c r="D559" s="349" t="inlineStr">
        <is>
          <t>TA4532</t>
        </is>
      </c>
      <c r="E559" s="349" t="inlineStr">
        <is>
          <t>S6D125</t>
        </is>
      </c>
      <c r="F559" s="350" t="inlineStr">
        <is>
          <t>465105-0002
8G04-100-394
6152818310
441398-0052
6152-81-8310/6152-81-8210/6152-81-8300/6152-82-8300/6152-81-8110/6152-82-8110/6152-81-8370</t>
        </is>
      </c>
      <c r="G559" s="374" t="inlineStr">
        <is>
          <t>Tâm lỗ bu lông 70 x 112.7 
(cổ xả ra bắt ống)</t>
        </is>
      </c>
      <c r="H559" s="349" t="inlineStr">
        <is>
          <t>PC400-1/3/5/6</t>
        </is>
      </c>
      <c r="I559" s="349" t="n"/>
      <c r="J559" s="351" t="inlineStr">
        <is>
          <t>SL</t>
        </is>
      </c>
      <c r="K559" s="352" t="n"/>
      <c r="L559" s="352" t="n"/>
      <c r="M559" s="352" t="n"/>
      <c r="N559" s="352">
        <f>IF(M559="","",M559*1.1)</f>
        <v/>
      </c>
      <c r="O559" s="353" t="n">
        <v>84</v>
      </c>
      <c r="P559" s="353" t="n">
        <v>60.4</v>
      </c>
      <c r="Q559" s="353" t="inlineStr">
        <is>
          <t>6/6</t>
        </is>
      </c>
      <c r="R559" s="353" t="n">
        <v>82</v>
      </c>
      <c r="S559" s="353" t="n">
        <v>71.5</v>
      </c>
      <c r="T559" s="353" t="n">
        <v>11</v>
      </c>
      <c r="V559" s="346">
        <f>UPPER(A559&amp;" "&amp;B559&amp;" "&amp;D559&amp;" "&amp;E559&amp;" "&amp;F559&amp;" "&amp;G559&amp;" "&amp;H559&amp;" "&amp;I559&amp;" "&amp;J559)</f>
        <v/>
      </c>
      <c r="W559" s="216">
        <f>IF(AND('TRA CỨU TỔNG HỢP'!$B$3&lt;&gt;"",ISNUMBER(SEARCH('TRA CỨU TỔNG HỢP'!$B$3,V559))),MAX($W$3:W558)+1,"")</f>
        <v/>
      </c>
    </row>
    <row r="560" ht="15" customHeight="1" s="217">
      <c r="A560" s="354" t="inlineStr">
        <is>
          <t>KOMATSU</t>
        </is>
      </c>
      <c r="B560" s="355" t="inlineStr">
        <is>
          <t>HH082882</t>
        </is>
      </c>
      <c r="C560" s="354" t="inlineStr">
        <is>
          <t>BorgWarner</t>
        </is>
      </c>
      <c r="D560" s="354" t="inlineStr">
        <is>
          <t>S400</t>
        </is>
      </c>
      <c r="E560" s="354" t="inlineStr">
        <is>
          <t>S6D125E-3</t>
        </is>
      </c>
      <c r="F560" s="356" t="inlineStr">
        <is>
          <t>6156-81-8170</t>
        </is>
      </c>
      <c r="G560" s="366" t="inlineStr">
        <is>
          <t>Tâm lỗ bu lông 70 x 113
( cổ xả đút ống )</t>
        </is>
      </c>
      <c r="H560" s="354" t="inlineStr">
        <is>
          <t>PC400-7</t>
        </is>
      </c>
      <c r="I560" s="354" t="n"/>
      <c r="J560" s="357" t="inlineStr">
        <is>
          <t>SL</t>
        </is>
      </c>
      <c r="K560" s="358" t="n"/>
      <c r="L560" s="358" t="n"/>
      <c r="M560" s="358" t="n"/>
      <c r="N560" s="358">
        <f>IF(M560="","",M560*1.1)</f>
        <v/>
      </c>
      <c r="O560" s="359" t="n">
        <v>96.589</v>
      </c>
      <c r="P560" s="359" t="n">
        <v>66.2</v>
      </c>
      <c r="Q560" s="359" t="inlineStr">
        <is>
          <t>7/7</t>
        </is>
      </c>
      <c r="R560" s="359" t="n">
        <v>87.2</v>
      </c>
      <c r="S560" s="359" t="n">
        <v>78.2</v>
      </c>
      <c r="T560" s="359" t="n">
        <v>10</v>
      </c>
      <c r="V560" s="346">
        <f>UPPER(A560&amp;" "&amp;B560&amp;" "&amp;D560&amp;" "&amp;E560&amp;" "&amp;F560&amp;" "&amp;G560&amp;" "&amp;H560&amp;" "&amp;I560&amp;" "&amp;J560)</f>
        <v/>
      </c>
      <c r="W560" s="216">
        <f>IF(AND('TRA CỨU TỔNG HỢP'!$B$3&lt;&gt;"",ISNUMBER(SEARCH('TRA CỨU TỔNG HỢP'!$B$3,V560))),MAX($W$3:W559)+1,"")</f>
        <v/>
      </c>
    </row>
    <row r="561" ht="15" customHeight="1" s="217">
      <c r="A561" s="354" t="inlineStr">
        <is>
          <t>KOMATSU</t>
        </is>
      </c>
      <c r="B561" s="355" t="inlineStr">
        <is>
          <t>HH079171</t>
        </is>
      </c>
      <c r="C561" s="354" t="inlineStr">
        <is>
          <t>IHI</t>
        </is>
      </c>
      <c r="D561" s="354" t="inlineStr">
        <is>
          <t>KTR90</t>
        </is>
      </c>
      <c r="E561" s="354" t="inlineStr">
        <is>
          <t>S6D125E-5</t>
        </is>
      </c>
      <c r="F561" s="356" t="inlineStr">
        <is>
          <t>6506-21-5020</t>
        </is>
      </c>
      <c r="G561" s="366" t="inlineStr">
        <is>
          <t>Tâm lỗ bu lông 70 x 113
(cổ xả bắt bulon)</t>
        </is>
      </c>
      <c r="H561" s="354" t="inlineStr">
        <is>
          <t>PC400-8/PC450-8</t>
        </is>
      </c>
      <c r="I561" s="354" t="n"/>
      <c r="J561" s="357" t="inlineStr">
        <is>
          <t>1815</t>
        </is>
      </c>
      <c r="K561" s="358" t="n"/>
      <c r="L561" s="358" t="n"/>
      <c r="M561" s="358" t="n"/>
      <c r="N561" s="358">
        <f>IF(M561="","",M561*1.1)</f>
        <v/>
      </c>
      <c r="O561" s="359" t="n"/>
      <c r="P561" s="359" t="n"/>
      <c r="Q561" s="359" t="n"/>
      <c r="R561" s="359" t="n"/>
      <c r="S561" s="359" t="n"/>
      <c r="T561" s="359" t="n"/>
      <c r="V561" s="346">
        <f>UPPER(A561&amp;" "&amp;B561&amp;" "&amp;D561&amp;" "&amp;E561&amp;" "&amp;F561&amp;" "&amp;G561&amp;" "&amp;H561&amp;" "&amp;I561&amp;" "&amp;J561)</f>
        <v/>
      </c>
      <c r="W561" s="216">
        <f>IF(AND('TRA CỨU TỔNG HỢP'!$B$3&lt;&gt;"",ISNUMBER(SEARCH('TRA CỨU TỔNG HỢP'!$B$3,V561))),MAX($W$3:W560)+1,"")</f>
        <v/>
      </c>
    </row>
    <row r="562" ht="15" customHeight="1" s="217">
      <c r="A562" s="340" t="inlineStr">
        <is>
          <t>KOMATSU</t>
        </is>
      </c>
      <c r="B562" s="341" t="inlineStr">
        <is>
          <t>HH071777</t>
        </is>
      </c>
      <c r="C562" s="340" t="inlineStr">
        <is>
          <t>IHI</t>
        </is>
      </c>
      <c r="D562" s="340" t="inlineStr">
        <is>
          <t>KTR110</t>
        </is>
      </c>
      <c r="E562" s="340" t="inlineStr">
        <is>
          <t>S6D140E-1/-2C/2B/2D</t>
        </is>
      </c>
      <c r="F562" s="342" t="inlineStr">
        <is>
          <t>6505-52-5410</t>
        </is>
      </c>
      <c r="G562" s="340" t="n"/>
      <c r="H562" s="340" t="inlineStr">
        <is>
          <t>PC600</t>
        </is>
      </c>
      <c r="I562" s="340" t="n"/>
      <c r="J562" s="343" t="n"/>
      <c r="K562" s="344" t="n"/>
      <c r="L562" s="344" t="n"/>
      <c r="M562" s="344" t="n"/>
      <c r="N562" s="344">
        <f>IF(M562="","",M562*1.1)</f>
        <v/>
      </c>
      <c r="O562" s="345" t="n">
        <v>109</v>
      </c>
      <c r="P562" s="345" t="n">
        <v>72</v>
      </c>
      <c r="Q562" s="345" t="inlineStr">
        <is>
          <t>8/8</t>
        </is>
      </c>
      <c r="R562" s="345" t="n">
        <v>102.8</v>
      </c>
      <c r="S562" s="345" t="n">
        <v>86.3</v>
      </c>
      <c r="T562" s="345" t="inlineStr">
        <is>
          <t>11反</t>
        </is>
      </c>
      <c r="V562" s="216">
        <f>UPPER(A562&amp;" "&amp;B562&amp;" "&amp;D562&amp;" "&amp;E562&amp;" "&amp;F562&amp;" "&amp;G562&amp;" "&amp;H562&amp;" "&amp;I562&amp;" "&amp;J562)</f>
        <v/>
      </c>
      <c r="W562" s="216">
        <f>IF(AND('TRA CỨU TỔNG HỢP'!$B$3&lt;&gt;"",ISNUMBER(SEARCH('TRA CỨU TỔNG HỢP'!$B$3,V562))),MAX($W$3:W561)+1,"")</f>
        <v/>
      </c>
    </row>
    <row r="563" ht="15" customHeight="1" s="217">
      <c r="A563" s="347" t="inlineStr">
        <is>
          <t xml:space="preserve">  └─ KOMATSU</t>
        </is>
      </c>
      <c r="B563" s="348" t="inlineStr">
        <is>
          <t>HH080002</t>
        </is>
      </c>
      <c r="C563" s="349" t="inlineStr">
        <is>
          <t>IHI</t>
        </is>
      </c>
      <c r="D563" s="349" t="inlineStr">
        <is>
          <t>KTR110</t>
        </is>
      </c>
      <c r="E563" s="349" t="inlineStr">
        <is>
          <t>S6D140E-1/-2C/2B/2D</t>
        </is>
      </c>
      <c r="F563" s="350" t="inlineStr">
        <is>
          <t>6505-52-5410</t>
        </is>
      </c>
      <c r="G563" s="349" t="n"/>
      <c r="H563" s="349" t="inlineStr">
        <is>
          <t>PC600</t>
        </is>
      </c>
      <c r="I563" s="349" t="n"/>
      <c r="J563" s="351" t="n"/>
      <c r="K563" s="352" t="n"/>
      <c r="L563" s="352" t="n"/>
      <c r="M563" s="352" t="n"/>
      <c r="N563" s="352">
        <f>IF(M563="","",M563*1.1)</f>
        <v/>
      </c>
      <c r="O563" s="353" t="n">
        <v>109</v>
      </c>
      <c r="P563" s="353" t="n">
        <v>72</v>
      </c>
      <c r="Q563" s="353" t="inlineStr">
        <is>
          <t>8/8</t>
        </is>
      </c>
      <c r="R563" s="353" t="n">
        <v>102.8</v>
      </c>
      <c r="S563" s="353" t="n">
        <v>86.3</v>
      </c>
      <c r="T563" s="353" t="inlineStr">
        <is>
          <t>11反</t>
        </is>
      </c>
      <c r="V563" s="216">
        <f>UPPER(A563&amp;" "&amp;B563&amp;" "&amp;D563&amp;" "&amp;E563&amp;" "&amp;F563&amp;" "&amp;G563&amp;" "&amp;H563&amp;" "&amp;I563&amp;" "&amp;J563)</f>
        <v/>
      </c>
      <c r="W563" s="216">
        <f>IF(AND('TRA CỨU TỔNG HỢP'!$B$3&lt;&gt;"",ISNUMBER(SEARCH('TRA CỨU TỔNG HỢP'!$B$3,V563))),MAX($W$3:W562)+1,"")</f>
        <v/>
      </c>
    </row>
    <row r="564" ht="15" customHeight="1" s="217">
      <c r="A564" s="340" t="inlineStr">
        <is>
          <t>KOMATSU</t>
        </is>
      </c>
      <c r="B564" s="341" t="inlineStr">
        <is>
          <t>HH077186</t>
        </is>
      </c>
      <c r="C564" s="340" t="inlineStr">
        <is>
          <t>IHI</t>
        </is>
      </c>
      <c r="D564" s="340" t="inlineStr">
        <is>
          <t>KTR110/KTR113</t>
        </is>
      </c>
      <c r="E564" s="340" t="inlineStr">
        <is>
          <t>S6D140E-3/SAA6D170E-3A/3B/3D / SAA6D170</t>
        </is>
      </c>
      <c r="F564" s="342" t="inlineStr">
        <is>
          <t>6505-61-5030</t>
        </is>
      </c>
      <c r="G564" s="373" t="inlineStr">
        <is>
          <t>Tâm lỗ bu lông 70 x 112.7
Cổ gang ra bắt bu lông</t>
        </is>
      </c>
      <c r="H564" s="340" t="inlineStr">
        <is>
          <t>PC600-6 / WA600-3</t>
        </is>
      </c>
      <c r="I564" s="340" t="n"/>
      <c r="J564" s="343" t="n"/>
      <c r="K564" s="344" t="n"/>
      <c r="L564" s="344" t="n"/>
      <c r="M564" s="344" t="n"/>
      <c r="N564" s="344">
        <f>IF(M564="","",M564*1.1)</f>
        <v/>
      </c>
      <c r="O564" s="345" t="n">
        <v>113.2</v>
      </c>
      <c r="P564" s="345" t="n">
        <v>80</v>
      </c>
      <c r="Q564" s="345" t="inlineStr">
        <is>
          <t>8/8（反）</t>
        </is>
      </c>
      <c r="R564" s="345" t="n">
        <v>105.5</v>
      </c>
      <c r="S564" s="345" t="n">
        <v>96</v>
      </c>
      <c r="T564" s="345" t="inlineStr">
        <is>
          <t>11（反）</t>
        </is>
      </c>
      <c r="V564" s="346">
        <f>UPPER(A564&amp;" "&amp;B564&amp;" "&amp;D564&amp;" "&amp;E564&amp;" "&amp;F564&amp;" "&amp;G564&amp;" "&amp;H564&amp;" "&amp;I564&amp;" "&amp;J564)</f>
        <v/>
      </c>
      <c r="W564" s="216">
        <f>IF(AND('TRA CỨU TỔNG HỢP'!$B$3&lt;&gt;"",ISNUMBER(SEARCH('TRA CỨU TỔNG HỢP'!$B$3,V564))),MAX($W$3:W563)+1,"")</f>
        <v/>
      </c>
    </row>
    <row r="565" ht="15" customHeight="1" s="217">
      <c r="A565" s="347" t="inlineStr">
        <is>
          <t xml:space="preserve">  └─ KOMATSU</t>
        </is>
      </c>
      <c r="B565" s="348" t="inlineStr">
        <is>
          <t>HH080007</t>
        </is>
      </c>
      <c r="C565" s="349" t="inlineStr">
        <is>
          <t>IHI</t>
        </is>
      </c>
      <c r="D565" s="349" t="inlineStr">
        <is>
          <t>KTR110/KTR113</t>
        </is>
      </c>
      <c r="E565" s="349" t="inlineStr">
        <is>
          <t>S6D140E-3/SAA6D170E-3A/3B/3D / SAA6D170</t>
        </is>
      </c>
      <c r="F565" s="350" t="inlineStr">
        <is>
          <t>6505-61-5030</t>
        </is>
      </c>
      <c r="G565" s="374" t="inlineStr">
        <is>
          <t>Tâm lỗ bu lông 70 x 112.7
Cổ gang ra bắt bu lông</t>
        </is>
      </c>
      <c r="H565" s="349" t="inlineStr">
        <is>
          <t>PC600-6 / WA600-3</t>
        </is>
      </c>
      <c r="I565" s="349" t="n"/>
      <c r="J565" s="351" t="inlineStr">
        <is>
          <t>SL</t>
        </is>
      </c>
      <c r="K565" s="352" t="n"/>
      <c r="L565" s="352" t="n"/>
      <c r="M565" s="352" t="n"/>
      <c r="N565" s="352">
        <f>IF(M565="","",M565*1.1)</f>
        <v/>
      </c>
      <c r="O565" s="353" t="n">
        <v>113.2</v>
      </c>
      <c r="P565" s="353" t="n">
        <v>80</v>
      </c>
      <c r="Q565" s="353" t="inlineStr">
        <is>
          <t>8/8（反）</t>
        </is>
      </c>
      <c r="R565" s="353" t="n">
        <v>105.5</v>
      </c>
      <c r="S565" s="353" t="n">
        <v>96</v>
      </c>
      <c r="T565" s="353" t="inlineStr">
        <is>
          <t>11（反）</t>
        </is>
      </c>
      <c r="V565" s="346">
        <f>UPPER(A565&amp;" "&amp;B565&amp;" "&amp;D565&amp;" "&amp;E565&amp;" "&amp;F565&amp;" "&amp;G565&amp;" "&amp;H565&amp;" "&amp;I565&amp;" "&amp;J565)</f>
        <v/>
      </c>
      <c r="W565" s="216">
        <f>IF(AND('TRA CỨU TỔNG HỢP'!$B$3&lt;&gt;"",ISNUMBER(SEARCH('TRA CỨU TỔNG HỢP'!$B$3,V565))),MAX($W$3:W564)+1,"")</f>
        <v/>
      </c>
    </row>
    <row r="566" ht="15" customHeight="1" s="217">
      <c r="A566" s="340" t="inlineStr">
        <is>
          <t>KOMATSU</t>
        </is>
      </c>
      <c r="B566" s="341" t="inlineStr">
        <is>
          <t>HH078403</t>
        </is>
      </c>
      <c r="C566" s="340" t="inlineStr">
        <is>
          <t>IHI</t>
        </is>
      </c>
      <c r="D566" s="340" t="inlineStr">
        <is>
          <t>KTR110</t>
        </is>
      </c>
      <c r="E566" s="340" t="inlineStr">
        <is>
          <t>S6D140/SAA12V140/D155A</t>
        </is>
      </c>
      <c r="F566" s="342" t="inlineStr">
        <is>
          <t>6505-67-5040
6505-67-5030</t>
        </is>
      </c>
      <c r="G566" s="373" t="inlineStr">
        <is>
          <t>Cổ gang ra bắt bu lông
Có đường nước làm mát</t>
        </is>
      </c>
      <c r="H566" s="340" t="n"/>
      <c r="I566" s="340" t="n"/>
      <c r="J566" s="343" t="inlineStr">
        <is>
          <t>SL</t>
        </is>
      </c>
      <c r="K566" s="344" t="n"/>
      <c r="L566" s="344" t="n"/>
      <c r="M566" s="344" t="n"/>
      <c r="N566" s="344">
        <f>IF(M566="","",M566*1.1)</f>
        <v/>
      </c>
      <c r="O566" s="345" t="n">
        <v>113.706</v>
      </c>
      <c r="P566" s="345" t="n">
        <v>82</v>
      </c>
      <c r="Q566" s="345" t="inlineStr">
        <is>
          <t>9/9反</t>
        </is>
      </c>
      <c r="R566" s="345" t="n">
        <v>105.5</v>
      </c>
      <c r="S566" s="345" t="n">
        <v>96</v>
      </c>
      <c r="T566" s="345" t="inlineStr">
        <is>
          <t>11反</t>
        </is>
      </c>
      <c r="V566" s="346">
        <f>UPPER(A566&amp;" "&amp;B566&amp;" "&amp;D566&amp;" "&amp;E566&amp;" "&amp;F566&amp;" "&amp;G566&amp;" "&amp;H566&amp;" "&amp;I566&amp;" "&amp;J566)</f>
        <v/>
      </c>
      <c r="W566" s="216">
        <f>IF(AND('TRA CỨU TỔNG HỢP'!$B$3&lt;&gt;"",ISNUMBER(SEARCH('TRA CỨU TỔNG HỢP'!$B$3,V566))),MAX($W$3:W565)+1,"")</f>
        <v/>
      </c>
    </row>
    <row r="567" ht="15" customHeight="1" s="217">
      <c r="A567" s="347" t="inlineStr">
        <is>
          <t xml:space="preserve">  └─ KOMATSU</t>
        </is>
      </c>
      <c r="B567" s="348" t="inlineStr">
        <is>
          <t>HH078713</t>
        </is>
      </c>
      <c r="C567" s="349" t="inlineStr">
        <is>
          <t>IHI</t>
        </is>
      </c>
      <c r="D567" s="349" t="inlineStr">
        <is>
          <t>KTR110</t>
        </is>
      </c>
      <c r="E567" s="349" t="inlineStr">
        <is>
          <t>S6D140/SAA12V140/D155A</t>
        </is>
      </c>
      <c r="F567" s="350" t="inlineStr">
        <is>
          <t>6505-67-5040
6505-67-5030</t>
        </is>
      </c>
      <c r="G567" s="374" t="inlineStr">
        <is>
          <t>Cổ gang ra bắt bu lông
Có đường nước làm mát</t>
        </is>
      </c>
      <c r="H567" s="349" t="n"/>
      <c r="I567" s="349" t="n"/>
      <c r="J567" s="351" t="inlineStr">
        <is>
          <t>SL</t>
        </is>
      </c>
      <c r="K567" s="352" t="n"/>
      <c r="L567" s="352" t="n"/>
      <c r="M567" s="352" t="n"/>
      <c r="N567" s="352">
        <f>IF(M567="","",M567*1.1)</f>
        <v/>
      </c>
      <c r="O567" s="353" t="n">
        <v>113.706</v>
      </c>
      <c r="P567" s="353" t="n">
        <v>82</v>
      </c>
      <c r="Q567" s="353" t="inlineStr">
        <is>
          <t>9/9反</t>
        </is>
      </c>
      <c r="R567" s="353" t="n">
        <v>105.5</v>
      </c>
      <c r="S567" s="353" t="n">
        <v>96</v>
      </c>
      <c r="T567" s="353" t="inlineStr">
        <is>
          <t>11反</t>
        </is>
      </c>
      <c r="V567" s="346">
        <f>UPPER(A567&amp;" "&amp;B567&amp;" "&amp;D567&amp;" "&amp;E567&amp;" "&amp;F567&amp;" "&amp;G567&amp;" "&amp;H567&amp;" "&amp;I567&amp;" "&amp;J567)</f>
        <v/>
      </c>
      <c r="W567" s="216">
        <f>IF(AND('TRA CỨU TỔNG HỢP'!$B$3&lt;&gt;"",ISNUMBER(SEARCH('TRA CỨU TỔNG HỢP'!$B$3,V567))),MAX($W$3:W566)+1,"")</f>
        <v/>
      </c>
    </row>
    <row r="568" ht="15" customHeight="1" s="217">
      <c r="A568" s="354" t="inlineStr">
        <is>
          <t>KOMATSU</t>
        </is>
      </c>
      <c r="B568" s="355" t="inlineStr">
        <is>
          <t>HH075280</t>
        </is>
      </c>
      <c r="C568" s="354" t="inlineStr">
        <is>
          <t>IHI</t>
        </is>
      </c>
      <c r="D568" s="354" t="inlineStr">
        <is>
          <t>KTR100</t>
        </is>
      </c>
      <c r="E568" s="354" t="inlineStr">
        <is>
          <t>S4D120/S4D130</t>
        </is>
      </c>
      <c r="F568" s="356" t="inlineStr">
        <is>
          <t>6501-11-3100</t>
        </is>
      </c>
      <c r="G568" s="354" t="n"/>
      <c r="H568" s="354" t="n"/>
      <c r="I568" s="354" t="n"/>
      <c r="J568" s="357" t="inlineStr">
        <is>
          <t>MX</t>
        </is>
      </c>
      <c r="K568" s="358" t="n"/>
      <c r="L568" s="358" t="n"/>
      <c r="M568" s="358" t="n"/>
      <c r="N568" s="358">
        <f>IF(M568="","",M568*1.1)</f>
        <v/>
      </c>
      <c r="O568" s="359" t="n"/>
      <c r="P568" s="359" t="n"/>
      <c r="Q568" s="359" t="n"/>
      <c r="R568" s="359" t="n"/>
      <c r="S568" s="359" t="n"/>
      <c r="T568" s="359" t="n"/>
      <c r="V568" s="216">
        <f>UPPER(A568&amp;" "&amp;B568&amp;" "&amp;D568&amp;" "&amp;E568&amp;" "&amp;F568&amp;" "&amp;G568&amp;" "&amp;H568&amp;" "&amp;I568&amp;" "&amp;J568)</f>
        <v/>
      </c>
      <c r="W568" s="216">
        <f>IF(AND('TRA CỨU TỔNG HỢP'!$B$3&lt;&gt;"",ISNUMBER(SEARCH('TRA CỨU TỔNG HỢP'!$B$3,V568))),MAX($W$3:W567)+1,"")</f>
        <v/>
      </c>
    </row>
    <row r="569" ht="15" customHeight="1" s="217">
      <c r="A569" s="354" t="inlineStr">
        <is>
          <t>KOMATSU</t>
        </is>
      </c>
      <c r="B569" s="355" t="inlineStr">
        <is>
          <t>HH076790</t>
        </is>
      </c>
      <c r="C569" s="354" t="inlineStr">
        <is>
          <t>IHI</t>
        </is>
      </c>
      <c r="D569" s="354" t="inlineStr">
        <is>
          <t>KTR130</t>
        </is>
      </c>
      <c r="E569" s="354" t="inlineStr">
        <is>
          <t>S6D155</t>
        </is>
      </c>
      <c r="F569" s="356" t="inlineStr">
        <is>
          <t>6502-10-9004
6502-12-9003</t>
        </is>
      </c>
      <c r="G569" s="354" t="n"/>
      <c r="H569" s="354" t="n"/>
      <c r="I569" s="354" t="n"/>
      <c r="J569" s="357" t="inlineStr">
        <is>
          <t>MX</t>
        </is>
      </c>
      <c r="K569" s="358" t="n"/>
      <c r="L569" s="358" t="n"/>
      <c r="M569" s="358" t="n"/>
      <c r="N569" s="358">
        <f>IF(M569="","",M569*1.1)</f>
        <v/>
      </c>
      <c r="O569" s="359" t="n">
        <v>130</v>
      </c>
      <c r="P569" s="359" t="n">
        <v>80.59999999999999</v>
      </c>
      <c r="Q569" s="359" t="inlineStr">
        <is>
          <t>8/8反</t>
        </is>
      </c>
      <c r="R569" s="359" t="n">
        <v>130</v>
      </c>
      <c r="S569" s="359" t="n">
        <v>98</v>
      </c>
      <c r="T569" s="359" t="inlineStr">
        <is>
          <t>8/8反</t>
        </is>
      </c>
      <c r="V569" s="346">
        <f>UPPER(A569&amp;" "&amp;B569&amp;" "&amp;D569&amp;" "&amp;E569&amp;" "&amp;F569&amp;" "&amp;G569&amp;" "&amp;H569&amp;" "&amp;I569&amp;" "&amp;J569)</f>
        <v/>
      </c>
      <c r="W569" s="216">
        <f>IF(AND('TRA CỨU TỔNG HỢP'!$B$3&lt;&gt;"",ISNUMBER(SEARCH('TRA CỨU TỔNG HỢP'!$B$3,V569))),MAX($W$3:W568)+1,"")</f>
        <v/>
      </c>
    </row>
    <row r="570" ht="15" customHeight="1" s="217">
      <c r="A570" s="340" t="inlineStr">
        <is>
          <t>KOMATSU</t>
        </is>
      </c>
      <c r="B570" s="341" t="inlineStr">
        <is>
          <t>HH083045</t>
        </is>
      </c>
      <c r="C570" s="340" t="inlineStr">
        <is>
          <t>IHI</t>
        </is>
      </c>
      <c r="D570" s="340" t="inlineStr">
        <is>
          <t>KTR130</t>
        </is>
      </c>
      <c r="E570" s="340" t="inlineStr">
        <is>
          <t>S6D155</t>
        </is>
      </c>
      <c r="F570" s="342" t="inlineStr">
        <is>
          <t>6502-12-9005
319032</t>
        </is>
      </c>
      <c r="G570" s="340" t="n"/>
      <c r="H570" s="340" t="n"/>
      <c r="I570" s="340" t="n"/>
      <c r="J570" s="343" t="inlineStr">
        <is>
          <t>SL</t>
        </is>
      </c>
      <c r="K570" s="344" t="n"/>
      <c r="L570" s="344" t="n"/>
      <c r="M570" s="344" t="n"/>
      <c r="N570" s="344">
        <f>IF(M570="","",M570*1.1)</f>
        <v/>
      </c>
      <c r="O570" s="345" t="n">
        <v>130</v>
      </c>
      <c r="P570" s="345" t="n">
        <v>80.59999999999999</v>
      </c>
      <c r="Q570" s="345" t="inlineStr">
        <is>
          <t>8/8反</t>
        </is>
      </c>
      <c r="R570" s="345" t="n">
        <v>130</v>
      </c>
      <c r="S570" s="345" t="n">
        <v>98</v>
      </c>
      <c r="T570" s="345" t="inlineStr">
        <is>
          <t>8/8反</t>
        </is>
      </c>
      <c r="V570" s="346">
        <f>UPPER(A570&amp;" "&amp;B570&amp;" "&amp;D570&amp;" "&amp;E570&amp;" "&amp;F570&amp;" "&amp;G570&amp;" "&amp;H570&amp;" "&amp;I570&amp;" "&amp;J570)</f>
        <v/>
      </c>
      <c r="W570" s="216">
        <f>IF(AND('TRA CỨU TỔNG HỢP'!$B$3&lt;&gt;"",ISNUMBER(SEARCH('TRA CỨU TỔNG HỢP'!$B$3,V570))),MAX($W$3:W569)+1,"")</f>
        <v/>
      </c>
    </row>
    <row r="571" ht="15" customHeight="1" s="217">
      <c r="A571" s="347" t="inlineStr">
        <is>
          <t xml:space="preserve">  └─ KOMATSU</t>
        </is>
      </c>
      <c r="B571" s="348" t="inlineStr">
        <is>
          <t>HH083442</t>
        </is>
      </c>
      <c r="C571" s="349" t="inlineStr">
        <is>
          <t>IHI</t>
        </is>
      </c>
      <c r="D571" s="349" t="inlineStr">
        <is>
          <t>KTR130</t>
        </is>
      </c>
      <c r="E571" s="349" t="inlineStr">
        <is>
          <t>S6D155</t>
        </is>
      </c>
      <c r="F571" s="350" t="inlineStr">
        <is>
          <t>6502-12-9005
319032</t>
        </is>
      </c>
      <c r="G571" s="349" t="n"/>
      <c r="H571" s="349" t="n"/>
      <c r="I571" s="349" t="n"/>
      <c r="J571" s="351" t="inlineStr">
        <is>
          <t>SL</t>
        </is>
      </c>
      <c r="K571" s="352" t="n"/>
      <c r="L571" s="352" t="n"/>
      <c r="M571" s="352" t="n"/>
      <c r="N571" s="352">
        <f>IF(M571="","",M571*1.1)</f>
        <v/>
      </c>
      <c r="O571" s="353" t="n">
        <v>130</v>
      </c>
      <c r="P571" s="353" t="n">
        <v>80.59999999999999</v>
      </c>
      <c r="Q571" s="353" t="inlineStr">
        <is>
          <t>8/8反</t>
        </is>
      </c>
      <c r="R571" s="353" t="n">
        <v>130</v>
      </c>
      <c r="S571" s="353" t="n">
        <v>98</v>
      </c>
      <c r="T571" s="353" t="inlineStr">
        <is>
          <t>8/8反</t>
        </is>
      </c>
      <c r="V571" s="346">
        <f>UPPER(A571&amp;" "&amp;B571&amp;" "&amp;D571&amp;" "&amp;E571&amp;" "&amp;F571&amp;" "&amp;G571&amp;" "&amp;H571&amp;" "&amp;I571&amp;" "&amp;J571)</f>
        <v/>
      </c>
      <c r="W571" s="216">
        <f>IF(AND('TRA CỨU TỔNG HỢP'!$B$3&lt;&gt;"",ISNUMBER(SEARCH('TRA CỨU TỔNG HỢP'!$B$3,V571))),MAX($W$3:W570)+1,"")</f>
        <v/>
      </c>
    </row>
    <row r="572" ht="19.5" customHeight="1" s="217">
      <c r="A572" s="339" t="inlineStr">
        <is>
          <t xml:space="preserve">  🏭  KUBOTA   ·   10 loại turbo</t>
        </is>
      </c>
      <c r="W572" s="216">
        <f>IF(AND('TRA CỨU TỔNG HỢP'!$B$3&lt;&gt;"",ISNUMBER(SEARCH('TRA CỨU TỔNG HỢP'!$B$3,V572))),MAX($W$3:W571)+1,"")</f>
        <v/>
      </c>
    </row>
    <row r="573" ht="15" customHeight="1" s="217">
      <c r="A573" s="340" t="inlineStr">
        <is>
          <t>KUBOTA</t>
        </is>
      </c>
      <c r="B573" s="341" t="inlineStr">
        <is>
          <t>HH080916</t>
        </is>
      </c>
      <c r="C573" s="340" t="inlineStr">
        <is>
          <t>Mitsubishi</t>
        </is>
      </c>
      <c r="D573" s="340" t="inlineStr">
        <is>
          <t>TD04HL-13G</t>
        </is>
      </c>
      <c r="E573" s="340" t="inlineStr">
        <is>
          <t>V3800</t>
        </is>
      </c>
      <c r="F573" s="342" t="inlineStr">
        <is>
          <t>49189-00910</t>
        </is>
      </c>
      <c r="G573" s="340" t="n"/>
      <c r="H573" s="340" t="n"/>
      <c r="I573" s="340" t="n"/>
      <c r="J573" s="343" t="inlineStr">
        <is>
          <t>TBS</t>
        </is>
      </c>
      <c r="K573" s="344" t="n"/>
      <c r="L573" s="344" t="n"/>
      <c r="M573" s="344" t="n"/>
      <c r="N573" s="344">
        <f>IF(M573="","",M573*1.1)</f>
        <v/>
      </c>
      <c r="O573" s="345" t="n"/>
      <c r="P573" s="345" t="n"/>
      <c r="Q573" s="345" t="n"/>
      <c r="R573" s="345" t="n"/>
      <c r="S573" s="345" t="n"/>
      <c r="T573" s="345" t="n"/>
      <c r="V573" s="216">
        <f>UPPER(A573&amp;" "&amp;B573&amp;" "&amp;D573&amp;" "&amp;E573&amp;" "&amp;F573&amp;" "&amp;G573&amp;" "&amp;H573&amp;" "&amp;I573&amp;" "&amp;J573)</f>
        <v/>
      </c>
      <c r="W573" s="216">
        <f>IF(AND('TRA CỨU TỔNG HỢP'!$B$3&lt;&gt;"",ISNUMBER(SEARCH('TRA CỨU TỔNG HỢP'!$B$3,V573))),MAX($W$3:W572)+1,"")</f>
        <v/>
      </c>
    </row>
    <row r="574" ht="15" customHeight="1" s="217">
      <c r="A574" s="347" t="inlineStr">
        <is>
          <t xml:space="preserve">  └─ KUBOTA</t>
        </is>
      </c>
      <c r="B574" s="348" t="inlineStr">
        <is>
          <t>HH081575</t>
        </is>
      </c>
      <c r="C574" s="349" t="inlineStr">
        <is>
          <t>Mitsubishi</t>
        </is>
      </c>
      <c r="D574" s="349" t="inlineStr">
        <is>
          <t>TD04HL-13G</t>
        </is>
      </c>
      <c r="E574" s="349" t="inlineStr">
        <is>
          <t>V3800</t>
        </is>
      </c>
      <c r="F574" s="350" t="inlineStr">
        <is>
          <t>49189-00910</t>
        </is>
      </c>
      <c r="G574" s="349" t="n"/>
      <c r="H574" s="349" t="n"/>
      <c r="I574" s="349" t="n"/>
      <c r="J574" s="351" t="inlineStr">
        <is>
          <t>TBS</t>
        </is>
      </c>
      <c r="K574" s="352" t="n"/>
      <c r="L574" s="352" t="n"/>
      <c r="M574" s="352" t="n"/>
      <c r="N574" s="352">
        <f>IF(M574="","",M574*1.1)</f>
        <v/>
      </c>
      <c r="O574" s="353" t="n"/>
      <c r="P574" s="353" t="n"/>
      <c r="Q574" s="353" t="n"/>
      <c r="R574" s="353" t="n"/>
      <c r="S574" s="353" t="n"/>
      <c r="T574" s="353" t="n"/>
      <c r="V574" s="216">
        <f>UPPER(A574&amp;" "&amp;B574&amp;" "&amp;D574&amp;" "&amp;E574&amp;" "&amp;F574&amp;" "&amp;G574&amp;" "&amp;H574&amp;" "&amp;I574&amp;" "&amp;J574)</f>
        <v/>
      </c>
      <c r="W574" s="216">
        <f>IF(AND('TRA CỨU TỔNG HỢP'!$B$3&lt;&gt;"",ISNUMBER(SEARCH('TRA CỨU TỔNG HỢP'!$B$3,V574))),MAX($W$3:W573)+1,"")</f>
        <v/>
      </c>
    </row>
    <row r="575" ht="15" customHeight="1" s="217">
      <c r="A575" s="354" t="inlineStr">
        <is>
          <t>KUBOTA</t>
        </is>
      </c>
      <c r="B575" s="355" t="inlineStr">
        <is>
          <t>HH077144</t>
        </is>
      </c>
      <c r="C575" s="354" t="inlineStr">
        <is>
          <t>Mitsubishi</t>
        </is>
      </c>
      <c r="D575" s="354" t="inlineStr">
        <is>
          <t>TD04HL4</t>
        </is>
      </c>
      <c r="E575" s="354" t="inlineStr">
        <is>
          <t>4M50T</t>
        </is>
      </c>
      <c r="F575" s="356" t="inlineStr">
        <is>
          <t>49389-02140
ME444897
8M04-200-H83</t>
        </is>
      </c>
      <c r="G575" s="354" t="n"/>
      <c r="H575" s="366" t="inlineStr">
        <is>
          <t>Kubota V3800
Mitsu 4M50T</t>
        </is>
      </c>
      <c r="I575" s="354" t="n"/>
      <c r="J575" s="357" t="inlineStr">
        <is>
          <t>JRONE</t>
        </is>
      </c>
      <c r="K575" s="358" t="n"/>
      <c r="L575" s="358" t="n"/>
      <c r="M575" s="358" t="n"/>
      <c r="N575" s="358">
        <f>IF(M575="","",M575*1.1)</f>
        <v/>
      </c>
      <c r="O575" s="359" t="n"/>
      <c r="P575" s="359" t="n"/>
      <c r="Q575" s="359" t="n"/>
      <c r="R575" s="359" t="n"/>
      <c r="S575" s="359" t="n"/>
      <c r="T575" s="359" t="n"/>
      <c r="V575" s="346">
        <f>UPPER(A575&amp;" "&amp;B575&amp;" "&amp;D575&amp;" "&amp;E575&amp;" "&amp;F575&amp;" "&amp;G575&amp;" "&amp;H575&amp;" "&amp;I575&amp;" "&amp;J575)</f>
        <v/>
      </c>
      <c r="W575" s="216">
        <f>IF(AND('TRA CỨU TỔNG HỢP'!$B$3&lt;&gt;"",ISNUMBER(SEARCH('TRA CỨU TỔNG HỢP'!$B$3,V575))),MAX($W$3:W574)+1,"")</f>
        <v/>
      </c>
    </row>
    <row r="576" ht="15" customHeight="1" s="217">
      <c r="A576" s="340" t="inlineStr">
        <is>
          <t>KUBOTA</t>
        </is>
      </c>
      <c r="B576" s="341" t="inlineStr">
        <is>
          <t>HH079126</t>
        </is>
      </c>
      <c r="C576" s="340" t="inlineStr">
        <is>
          <t>Mitsubishi</t>
        </is>
      </c>
      <c r="D576" s="340" t="inlineStr">
        <is>
          <t>TD025</t>
        </is>
      </c>
      <c r="E576" s="340" t="inlineStr">
        <is>
          <t>V1505</t>
        </is>
      </c>
      <c r="F576" s="342" t="inlineStr">
        <is>
          <t>49373-01100
49173-03010
03100
ME444897
8M02-200-N02
49173-03400</t>
        </is>
      </c>
      <c r="G576" s="340" t="n"/>
      <c r="H576" s="340" t="inlineStr">
        <is>
          <t>Kubota V1505</t>
        </is>
      </c>
      <c r="I576" s="340" t="n"/>
      <c r="J576" s="343" t="inlineStr">
        <is>
          <t>JRONE</t>
        </is>
      </c>
      <c r="K576" s="344" t="n"/>
      <c r="L576" s="344" t="n"/>
      <c r="M576" s="344" t="n"/>
      <c r="N576" s="344">
        <f>IF(M576="","",M576*1.1)</f>
        <v/>
      </c>
      <c r="O576" s="345" t="n">
        <v>40</v>
      </c>
      <c r="P576" s="345" t="n">
        <v>27.8</v>
      </c>
      <c r="Q576" s="345" t="inlineStr">
        <is>
          <t>6/6</t>
        </is>
      </c>
      <c r="R576" s="345" t="n">
        <v>37</v>
      </c>
      <c r="S576" s="345" t="n">
        <v>31.5</v>
      </c>
      <c r="T576" s="345" t="n">
        <v>12</v>
      </c>
      <c r="V576" s="346">
        <f>UPPER(A576&amp;" "&amp;B576&amp;" "&amp;D576&amp;" "&amp;E576&amp;" "&amp;F576&amp;" "&amp;G576&amp;" "&amp;H576&amp;" "&amp;I576&amp;" "&amp;J576)</f>
        <v/>
      </c>
      <c r="W576" s="216">
        <f>IF(AND('TRA CỨU TỔNG HỢP'!$B$3&lt;&gt;"",ISNUMBER(SEARCH('TRA CỨU TỔNG HỢP'!$B$3,V576))),MAX($W$3:W575)+1,"")</f>
        <v/>
      </c>
    </row>
    <row r="577" ht="15" customHeight="1" s="217">
      <c r="A577" s="347" t="inlineStr">
        <is>
          <t xml:space="preserve">  └─ KUBOTA</t>
        </is>
      </c>
      <c r="B577" s="348" t="inlineStr">
        <is>
          <t>HH080744</t>
        </is>
      </c>
      <c r="C577" s="349" t="inlineStr">
        <is>
          <t>Mitsubishi</t>
        </is>
      </c>
      <c r="D577" s="349" t="inlineStr">
        <is>
          <t>TD025</t>
        </is>
      </c>
      <c r="E577" s="349" t="inlineStr">
        <is>
          <t>V1505</t>
        </is>
      </c>
      <c r="F577" s="350" t="inlineStr">
        <is>
          <t>49373-01100
49173-03010
03100
ME444897
8M02-200-N02
49173-03400</t>
        </is>
      </c>
      <c r="G577" s="349" t="n"/>
      <c r="H577" s="349" t="inlineStr">
        <is>
          <t>Kubota V1505</t>
        </is>
      </c>
      <c r="I577" s="349" t="n"/>
      <c r="J577" s="351" t="inlineStr">
        <is>
          <t>SL</t>
        </is>
      </c>
      <c r="K577" s="352" t="n"/>
      <c r="L577" s="352" t="n"/>
      <c r="M577" s="352" t="n"/>
      <c r="N577" s="352">
        <f>IF(M577="","",M577*1.1)</f>
        <v/>
      </c>
      <c r="O577" s="353" t="n">
        <v>40</v>
      </c>
      <c r="P577" s="353" t="n">
        <v>27.8</v>
      </c>
      <c r="Q577" s="353" t="inlineStr">
        <is>
          <t>6/6</t>
        </is>
      </c>
      <c r="R577" s="353" t="n">
        <v>37</v>
      </c>
      <c r="S577" s="353" t="n">
        <v>31.5</v>
      </c>
      <c r="T577" s="353" t="n">
        <v>12</v>
      </c>
      <c r="V577" s="346">
        <f>UPPER(A577&amp;" "&amp;B577&amp;" "&amp;D577&amp;" "&amp;E577&amp;" "&amp;F577&amp;" "&amp;G577&amp;" "&amp;H577&amp;" "&amp;I577&amp;" "&amp;J577)</f>
        <v/>
      </c>
      <c r="W577" s="216">
        <f>IF(AND('TRA CỨU TỔNG HỢP'!$B$3&lt;&gt;"",ISNUMBER(SEARCH('TRA CỨU TỔNG HỢP'!$B$3,V577))),MAX($W$3:W576)+1,"")</f>
        <v/>
      </c>
    </row>
    <row r="578" ht="15" customHeight="1" s="217">
      <c r="A578" s="354" t="inlineStr">
        <is>
          <t>KUBOTA</t>
        </is>
      </c>
      <c r="B578" s="355" t="inlineStr">
        <is>
          <t>HH078444</t>
        </is>
      </c>
      <c r="C578" s="354" t="inlineStr">
        <is>
          <t>IHI</t>
        </is>
      </c>
      <c r="D578" s="354" t="inlineStr">
        <is>
          <t>RHF3</t>
        </is>
      </c>
      <c r="E578" s="354" t="inlineStr">
        <is>
          <t>V2607</t>
        </is>
      </c>
      <c r="F578" s="356" t="inlineStr">
        <is>
          <t>1J700-17010</t>
        </is>
      </c>
      <c r="G578" s="354" t="n"/>
      <c r="H578" s="354" t="inlineStr">
        <is>
          <t>Kubota V2607</t>
        </is>
      </c>
      <c r="I578" s="354" t="n"/>
      <c r="J578" s="357" t="inlineStr">
        <is>
          <t>VIDARIR</t>
        </is>
      </c>
      <c r="K578" s="358" t="n"/>
      <c r="L578" s="358" t="n"/>
      <c r="M578" s="358" t="n"/>
      <c r="N578" s="358">
        <f>IF(M578="","",M578*1.1)</f>
        <v/>
      </c>
      <c r="O578" s="359" t="n"/>
      <c r="P578" s="359" t="n"/>
      <c r="Q578" s="359" t="n"/>
      <c r="R578" s="359" t="n"/>
      <c r="S578" s="359" t="n"/>
      <c r="T578" s="359" t="n"/>
      <c r="V578" s="216">
        <f>UPPER(A578&amp;" "&amp;B578&amp;" "&amp;D578&amp;" "&amp;E578&amp;" "&amp;F578&amp;" "&amp;G578&amp;" "&amp;H578&amp;" "&amp;I578&amp;" "&amp;J578)</f>
        <v/>
      </c>
      <c r="W578" s="216">
        <f>IF(AND('TRA CỨU TỔNG HỢP'!$B$3&lt;&gt;"",ISNUMBER(SEARCH('TRA CỨU TỔNG HỢP'!$B$3,V578))),MAX($W$3:W577)+1,"")</f>
        <v/>
      </c>
    </row>
    <row r="579" ht="15" customHeight="1" s="217">
      <c r="A579" s="340" t="inlineStr">
        <is>
          <t>KUBOTA</t>
        </is>
      </c>
      <c r="B579" s="341" t="inlineStr">
        <is>
          <t>HH079688</t>
        </is>
      </c>
      <c r="C579" s="340" t="inlineStr">
        <is>
          <t>Mitsubishi</t>
        </is>
      </c>
      <c r="D579" s="340" t="inlineStr">
        <is>
          <t>TD03-07T /SJ440Q</t>
        </is>
      </c>
      <c r="E579" s="340" t="inlineStr">
        <is>
          <t>V2003 /QC480ZLQ</t>
        </is>
      </c>
      <c r="F579" s="342" t="inlineStr">
        <is>
          <t>49173-04100
49173-04000
8935279050949</t>
        </is>
      </c>
      <c r="G579" s="373" t="inlineStr">
        <is>
          <t>(Chân sò lửa tam giác) cổ
nhỏ</t>
        </is>
      </c>
      <c r="H579" s="373" t="inlineStr">
        <is>
          <t>Kubota V2003
xúc lật WS300A</t>
        </is>
      </c>
      <c r="I579" s="340" t="n"/>
      <c r="J579" s="343" t="inlineStr">
        <is>
          <t>VIDARIR</t>
        </is>
      </c>
      <c r="K579" s="344" t="n"/>
      <c r="L579" s="344" t="n"/>
      <c r="M579" s="344" t="n"/>
      <c r="N579" s="344">
        <f>IF(M579="","",M579*1.1)</f>
        <v/>
      </c>
      <c r="O579" s="345" t="n"/>
      <c r="P579" s="345" t="n"/>
      <c r="Q579" s="345" t="n"/>
      <c r="R579" s="345" t="n"/>
      <c r="S579" s="345" t="n"/>
      <c r="T579" s="345" t="n"/>
      <c r="V579" s="346">
        <f>UPPER(A579&amp;" "&amp;B579&amp;" "&amp;D579&amp;" "&amp;E579&amp;" "&amp;F579&amp;" "&amp;G579&amp;" "&amp;H579&amp;" "&amp;I579&amp;" "&amp;J579)</f>
        <v/>
      </c>
      <c r="W579" s="216">
        <f>IF(AND('TRA CỨU TỔNG HỢP'!$B$3&lt;&gt;"",ISNUMBER(SEARCH('TRA CỨU TỔNG HỢP'!$B$3,V579))),MAX($W$3:W578)+1,"")</f>
        <v/>
      </c>
    </row>
    <row r="580" ht="15" customHeight="1" s="217">
      <c r="A580" s="347" t="inlineStr">
        <is>
          <t xml:space="preserve">  └─ KUBOTA</t>
        </is>
      </c>
      <c r="B580" s="348" t="inlineStr">
        <is>
          <t>HH080914</t>
        </is>
      </c>
      <c r="C580" s="349" t="inlineStr">
        <is>
          <t>Mitsubishi</t>
        </is>
      </c>
      <c r="D580" s="349" t="inlineStr">
        <is>
          <t>TD03-07T /SJ440Q</t>
        </is>
      </c>
      <c r="E580" s="349" t="inlineStr">
        <is>
          <t>V2003 /QC480ZLQ</t>
        </is>
      </c>
      <c r="F580" s="350" t="inlineStr">
        <is>
          <t>49173-04100
49173-04000
8935279050949</t>
        </is>
      </c>
      <c r="G580" s="374" t="inlineStr">
        <is>
          <t>(Chân sò lửa tam giác) cổ
nhỏ</t>
        </is>
      </c>
      <c r="H580" s="374" t="inlineStr">
        <is>
          <t>Kubota V2003
xúc lật WS300A</t>
        </is>
      </c>
      <c r="I580" s="349" t="n"/>
      <c r="J580" s="351" t="inlineStr">
        <is>
          <t>VIDARIR</t>
        </is>
      </c>
      <c r="K580" s="352" t="n"/>
      <c r="L580" s="352" t="n"/>
      <c r="M580" s="352" t="n"/>
      <c r="N580" s="352">
        <f>IF(M580="","",M580*1.1)</f>
        <v/>
      </c>
      <c r="O580" s="353" t="n"/>
      <c r="P580" s="353" t="n"/>
      <c r="Q580" s="353" t="n"/>
      <c r="R580" s="353" t="n"/>
      <c r="S580" s="353" t="n"/>
      <c r="T580" s="353" t="n"/>
      <c r="V580" s="346">
        <f>UPPER(A580&amp;" "&amp;B580&amp;" "&amp;D580&amp;" "&amp;E580&amp;" "&amp;F580&amp;" "&amp;G580&amp;" "&amp;H580&amp;" "&amp;I580&amp;" "&amp;J580)</f>
        <v/>
      </c>
      <c r="W580" s="216">
        <f>IF(AND('TRA CỨU TỔNG HỢP'!$B$3&lt;&gt;"",ISNUMBER(SEARCH('TRA CỨU TỔNG HỢP'!$B$3,V580))),MAX($W$3:W579)+1,"")</f>
        <v/>
      </c>
    </row>
    <row r="581" ht="15" customHeight="1" s="217">
      <c r="A581" s="340" t="inlineStr">
        <is>
          <t>KUBOTA</t>
        </is>
      </c>
      <c r="B581" s="341" t="inlineStr">
        <is>
          <t>HH078443</t>
        </is>
      </c>
      <c r="C581" s="340" t="inlineStr">
        <is>
          <t>Mitsubishi</t>
        </is>
      </c>
      <c r="D581" s="340" t="inlineStr">
        <is>
          <t>TD03-7</t>
        </is>
      </c>
      <c r="E581" s="340" t="inlineStr">
        <is>
          <t>V2003</t>
        </is>
      </c>
      <c r="F581" s="342" t="inlineStr">
        <is>
          <t>49131-02030
1G622-17012
17012-1G622</t>
        </is>
      </c>
      <c r="G581" s="340" t="inlineStr">
        <is>
          <t>( chân vuông)</t>
        </is>
      </c>
      <c r="H581" s="340" t="inlineStr">
        <is>
          <t>Máy đào Kubota V2003</t>
        </is>
      </c>
      <c r="I581" s="340" t="n"/>
      <c r="J581" s="343" t="inlineStr">
        <is>
          <t>VIDARIR</t>
        </is>
      </c>
      <c r="K581" s="344" t="n"/>
      <c r="L581" s="344" t="n"/>
      <c r="M581" s="344" t="n"/>
      <c r="N581" s="344">
        <f>IF(M581="","",M581*1.1)</f>
        <v/>
      </c>
      <c r="O581" s="345" t="n"/>
      <c r="P581" s="345" t="n"/>
      <c r="Q581" s="345" t="n"/>
      <c r="R581" s="345" t="n"/>
      <c r="S581" s="345" t="n"/>
      <c r="T581" s="345" t="n"/>
      <c r="V581" s="346">
        <f>UPPER(A581&amp;" "&amp;B581&amp;" "&amp;D581&amp;" "&amp;E581&amp;" "&amp;F581&amp;" "&amp;G581&amp;" "&amp;H581&amp;" "&amp;I581&amp;" "&amp;J581)</f>
        <v/>
      </c>
      <c r="W581" s="216">
        <f>IF(AND('TRA CỨU TỔNG HỢP'!$B$3&lt;&gt;"",ISNUMBER(SEARCH('TRA CỨU TỔNG HỢP'!$B$3,V581))),MAX($W$3:W580)+1,"")</f>
        <v/>
      </c>
    </row>
    <row r="582" ht="15" customHeight="1" s="217">
      <c r="A582" s="347" t="inlineStr">
        <is>
          <t xml:space="preserve">  └─ KUBOTA</t>
        </is>
      </c>
      <c r="B582" s="348" t="inlineStr">
        <is>
          <t>HH081618</t>
        </is>
      </c>
      <c r="C582" s="349" t="inlineStr">
        <is>
          <t>Mitsubishi</t>
        </is>
      </c>
      <c r="D582" s="349" t="inlineStr">
        <is>
          <t>TD03-7</t>
        </is>
      </c>
      <c r="E582" s="349" t="inlineStr">
        <is>
          <t>V2003</t>
        </is>
      </c>
      <c r="F582" s="350" t="inlineStr">
        <is>
          <t>49131-02030
1G622-17012
17012-1G622</t>
        </is>
      </c>
      <c r="G582" s="349" t="inlineStr">
        <is>
          <t>( chân vuông)</t>
        </is>
      </c>
      <c r="H582" s="349" t="inlineStr">
        <is>
          <t>Máy đào Kubota V2003</t>
        </is>
      </c>
      <c r="I582" s="349" t="n"/>
      <c r="J582" s="351" t="inlineStr">
        <is>
          <t>VIDARIR</t>
        </is>
      </c>
      <c r="K582" s="352" t="n"/>
      <c r="L582" s="352" t="n"/>
      <c r="M582" s="352" t="n"/>
      <c r="N582" s="352">
        <f>IF(M582="","",M582*1.1)</f>
        <v/>
      </c>
      <c r="O582" s="353" t="n"/>
      <c r="P582" s="353" t="n"/>
      <c r="Q582" s="353" t="n"/>
      <c r="R582" s="353" t="n"/>
      <c r="S582" s="353" t="n"/>
      <c r="T582" s="353" t="n"/>
      <c r="V582" s="346">
        <f>UPPER(A582&amp;" "&amp;B582&amp;" "&amp;D582&amp;" "&amp;E582&amp;" "&amp;F582&amp;" "&amp;G582&amp;" "&amp;H582&amp;" "&amp;I582&amp;" "&amp;J582)</f>
        <v/>
      </c>
      <c r="W582" s="216">
        <f>IF(AND('TRA CỨU TỔNG HỢP'!$B$3&lt;&gt;"",ISNUMBER(SEARCH('TRA CỨU TỔNG HỢP'!$B$3,V582))),MAX($W$3:W581)+1,"")</f>
        <v/>
      </c>
    </row>
    <row r="583" ht="15" customHeight="1" s="217">
      <c r="A583" s="354" t="inlineStr">
        <is>
          <t>KUBOTA</t>
        </is>
      </c>
      <c r="B583" s="355" t="inlineStr">
        <is>
          <t>HH079266</t>
        </is>
      </c>
      <c r="C583" s="354" t="inlineStr">
        <is>
          <t>Mitsubishi</t>
        </is>
      </c>
      <c r="D583" s="354" t="inlineStr">
        <is>
          <t>TD04-12T</t>
        </is>
      </c>
      <c r="E583" s="354" t="inlineStr">
        <is>
          <t>V3300</t>
        </is>
      </c>
      <c r="F583" s="356" t="inlineStr">
        <is>
          <t>49177-03130</t>
        </is>
      </c>
      <c r="G583" s="354" t="n"/>
      <c r="H583" s="354" t="inlineStr">
        <is>
          <t>PAJERO</t>
        </is>
      </c>
      <c r="I583" s="354" t="n"/>
      <c r="J583" s="357" t="inlineStr">
        <is>
          <t>VIDARIR</t>
        </is>
      </c>
      <c r="K583" s="358" t="n"/>
      <c r="L583" s="358" t="n"/>
      <c r="M583" s="358" t="n"/>
      <c r="N583" s="358">
        <f>IF(M583="","",M583*1.1)</f>
        <v/>
      </c>
      <c r="O583" s="359" t="n"/>
      <c r="P583" s="359" t="n"/>
      <c r="Q583" s="359" t="n"/>
      <c r="R583" s="359" t="n"/>
      <c r="S583" s="359" t="n"/>
      <c r="T583" s="359" t="n"/>
      <c r="V583" s="216">
        <f>UPPER(A583&amp;" "&amp;B583&amp;" "&amp;D583&amp;" "&amp;E583&amp;" "&amp;F583&amp;" "&amp;G583&amp;" "&amp;H583&amp;" "&amp;I583&amp;" "&amp;J583)</f>
        <v/>
      </c>
      <c r="W583" s="216">
        <f>IF(AND('TRA CỨU TỔNG HỢP'!$B$3&lt;&gt;"",ISNUMBER(SEARCH('TRA CỨU TỔNG HỢP'!$B$3,V583))),MAX($W$3:W582)+1,"")</f>
        <v/>
      </c>
    </row>
    <row r="584" ht="15" customHeight="1" s="217">
      <c r="A584" s="340" t="inlineStr">
        <is>
          <t>KUBOTA</t>
        </is>
      </c>
      <c r="B584" s="341" t="inlineStr">
        <is>
          <t>HH073982</t>
        </is>
      </c>
      <c r="C584" s="340" t="inlineStr">
        <is>
          <t>IHI</t>
        </is>
      </c>
      <c r="D584" s="340" t="inlineStr">
        <is>
          <t>RHF3</t>
        </is>
      </c>
      <c r="E584" s="340" t="inlineStr">
        <is>
          <t>4D87</t>
        </is>
      </c>
      <c r="F584" s="342" t="inlineStr">
        <is>
          <t>1G491-17011
VA410164</t>
        </is>
      </c>
      <c r="G584" s="340" t="inlineStr">
        <is>
          <t>cánh nhỏ</t>
        </is>
      </c>
      <c r="H584" s="340" t="inlineStr">
        <is>
          <t>PC56-7 / V2403/DC60</t>
        </is>
      </c>
      <c r="I584" s="340" t="n"/>
      <c r="J584" s="343" t="inlineStr">
        <is>
          <t>SL</t>
        </is>
      </c>
      <c r="K584" s="344" t="n"/>
      <c r="L584" s="344" t="n"/>
      <c r="M584" s="344" t="n"/>
      <c r="N584" s="344">
        <f>IF(M584="","",M584*1.1)</f>
        <v/>
      </c>
      <c r="O584" s="345" t="n">
        <v>40.1</v>
      </c>
      <c r="P584" s="345" t="n">
        <v>29.2</v>
      </c>
      <c r="Q584" s="345" t="inlineStr">
        <is>
          <t>4/4</t>
        </is>
      </c>
      <c r="R584" s="345" t="n">
        <v>37.9</v>
      </c>
      <c r="S584" s="345" t="n">
        <v>30</v>
      </c>
      <c r="T584" s="345" t="n">
        <v>11</v>
      </c>
      <c r="V584" s="346">
        <f>UPPER(A584&amp;" "&amp;B584&amp;" "&amp;D584&amp;" "&amp;E584&amp;" "&amp;F584&amp;" "&amp;G584&amp;" "&amp;H584&amp;" "&amp;I584&amp;" "&amp;J584)</f>
        <v/>
      </c>
      <c r="W584" s="216">
        <f>IF(AND('TRA CỨU TỔNG HỢP'!$B$3&lt;&gt;"",ISNUMBER(SEARCH('TRA CỨU TỔNG HỢP'!$B$3,V584))),MAX($W$3:W583)+1,"")</f>
        <v/>
      </c>
    </row>
    <row r="585" ht="15" customHeight="1" s="217">
      <c r="A585" s="347" t="inlineStr">
        <is>
          <t xml:space="preserve">  └─ KUBOTA</t>
        </is>
      </c>
      <c r="B585" s="348" t="inlineStr">
        <is>
          <t>HH081337</t>
        </is>
      </c>
      <c r="C585" s="349" t="inlineStr">
        <is>
          <t>IHI</t>
        </is>
      </c>
      <c r="D585" s="349" t="inlineStr">
        <is>
          <t>RHF3</t>
        </is>
      </c>
      <c r="E585" s="349" t="inlineStr">
        <is>
          <t>4D87</t>
        </is>
      </c>
      <c r="F585" s="350" t="inlineStr">
        <is>
          <t>1G491-17011
VA410164</t>
        </is>
      </c>
      <c r="G585" s="349" t="inlineStr">
        <is>
          <t>cánh nhỏ</t>
        </is>
      </c>
      <c r="H585" s="349" t="inlineStr">
        <is>
          <t>PC56-7 / V2403/DC60</t>
        </is>
      </c>
      <c r="I585" s="349" t="n"/>
      <c r="J585" s="351" t="inlineStr">
        <is>
          <t>VIDARIR</t>
        </is>
      </c>
      <c r="K585" s="352" t="n"/>
      <c r="L585" s="352" t="n"/>
      <c r="M585" s="352" t="n"/>
      <c r="N585" s="352">
        <f>IF(M585="","",M585*1.1)</f>
        <v/>
      </c>
      <c r="O585" s="353" t="n">
        <v>40.1</v>
      </c>
      <c r="P585" s="353" t="n">
        <v>29.2</v>
      </c>
      <c r="Q585" s="353" t="inlineStr">
        <is>
          <t>4/4</t>
        </is>
      </c>
      <c r="R585" s="353" t="n">
        <v>37.9</v>
      </c>
      <c r="S585" s="353" t="n">
        <v>30</v>
      </c>
      <c r="T585" s="353" t="n">
        <v>11</v>
      </c>
      <c r="V585" s="346">
        <f>UPPER(A585&amp;" "&amp;B585&amp;" "&amp;D585&amp;" "&amp;E585&amp;" "&amp;F585&amp;" "&amp;G585&amp;" "&amp;H585&amp;" "&amp;I585&amp;" "&amp;J585)</f>
        <v/>
      </c>
      <c r="W585" s="216">
        <f>IF(AND('TRA CỨU TỔNG HỢP'!$B$3&lt;&gt;"",ISNUMBER(SEARCH('TRA CỨU TỔNG HỢP'!$B$3,V585))),MAX($W$3:W584)+1,"")</f>
        <v/>
      </c>
    </row>
    <row r="586" ht="15" customHeight="1" s="217">
      <c r="A586" s="347" t="inlineStr">
        <is>
          <t xml:space="preserve">  └─ KUBOTA</t>
        </is>
      </c>
      <c r="B586" s="348" t="inlineStr">
        <is>
          <t>HH079003</t>
        </is>
      </c>
      <c r="C586" s="349" t="inlineStr">
        <is>
          <t>IHI</t>
        </is>
      </c>
      <c r="D586" s="349" t="inlineStr">
        <is>
          <t>RHF3</t>
        </is>
      </c>
      <c r="E586" s="349" t="inlineStr">
        <is>
          <t>4D87</t>
        </is>
      </c>
      <c r="F586" s="350" t="inlineStr">
        <is>
          <t>1G491-17011
VA410164</t>
        </is>
      </c>
      <c r="G586" s="349" t="inlineStr">
        <is>
          <t>cánh nhỏ</t>
        </is>
      </c>
      <c r="H586" s="349" t="inlineStr">
        <is>
          <t>PC56-7 / V2403/DC60</t>
        </is>
      </c>
      <c r="I586" s="349" t="n"/>
      <c r="J586" s="351" t="inlineStr">
        <is>
          <t>SL</t>
        </is>
      </c>
      <c r="K586" s="352" t="n"/>
      <c r="L586" s="352" t="n"/>
      <c r="M586" s="352" t="n"/>
      <c r="N586" s="352">
        <f>IF(M586="","",M586*1.1)</f>
        <v/>
      </c>
      <c r="O586" s="353" t="n">
        <v>40.1</v>
      </c>
      <c r="P586" s="353" t="n">
        <v>29.2</v>
      </c>
      <c r="Q586" s="353" t="inlineStr">
        <is>
          <t>4/4</t>
        </is>
      </c>
      <c r="R586" s="353" t="n">
        <v>37.9</v>
      </c>
      <c r="S586" s="353" t="n">
        <v>30</v>
      </c>
      <c r="T586" s="353" t="n">
        <v>11</v>
      </c>
      <c r="V586" s="346">
        <f>UPPER(A586&amp;" "&amp;B586&amp;" "&amp;D586&amp;" "&amp;E586&amp;" "&amp;F586&amp;" "&amp;G586&amp;" "&amp;H586&amp;" "&amp;I586&amp;" "&amp;J586)</f>
        <v/>
      </c>
      <c r="W586" s="216">
        <f>IF(AND('TRA CỨU TỔNG HỢP'!$B$3&lt;&gt;"",ISNUMBER(SEARCH('TRA CỨU TỔNG HỢP'!$B$3,V586))),MAX($W$3:W585)+1,"")</f>
        <v/>
      </c>
    </row>
    <row r="587" ht="15" customHeight="1" s="217">
      <c r="A587" s="340" t="inlineStr">
        <is>
          <t>KUBOTA</t>
        </is>
      </c>
      <c r="B587" s="341" t="inlineStr">
        <is>
          <t>HH083399</t>
        </is>
      </c>
      <c r="C587" s="340" t="inlineStr">
        <is>
          <t>IHI</t>
        </is>
      </c>
      <c r="D587" s="340" t="inlineStr">
        <is>
          <t>RHF3</t>
        </is>
      </c>
      <c r="E587" s="340" t="inlineStr">
        <is>
          <t>4D87</t>
        </is>
      </c>
      <c r="F587" s="342" t="inlineStr">
        <is>
          <t>1G924-17011</t>
        </is>
      </c>
      <c r="G587" s="340" t="inlineStr">
        <is>
          <t>cánh lớn</t>
        </is>
      </c>
      <c r="H587" s="340" t="inlineStr">
        <is>
          <t>PC56-7 / V2403/DC70</t>
        </is>
      </c>
      <c r="I587" s="340" t="n"/>
      <c r="J587" s="343" t="inlineStr">
        <is>
          <t>EE</t>
        </is>
      </c>
      <c r="K587" s="344" t="n"/>
      <c r="L587" s="344" t="n"/>
      <c r="M587" s="344" t="n"/>
      <c r="N587" s="344">
        <f>IF(M587="","",M587*1.1)</f>
        <v/>
      </c>
      <c r="O587" s="345" t="n">
        <v>40</v>
      </c>
      <c r="P587" s="345" t="n">
        <v>30.9</v>
      </c>
      <c r="Q587" s="345" t="inlineStr">
        <is>
          <t>5/5</t>
        </is>
      </c>
      <c r="R587" s="345" t="n">
        <v>39.7</v>
      </c>
      <c r="S587" s="345" t="n">
        <v>34.7</v>
      </c>
      <c r="T587" s="345" t="n">
        <v>9</v>
      </c>
      <c r="V587" s="216">
        <f>UPPER(A587&amp;" "&amp;B587&amp;" "&amp;D587&amp;" "&amp;E587&amp;" "&amp;F587&amp;" "&amp;G587&amp;" "&amp;H587&amp;" "&amp;I587&amp;" "&amp;J587)</f>
        <v/>
      </c>
      <c r="W587" s="216">
        <f>IF(AND('TRA CỨU TỔNG HỢP'!$B$3&lt;&gt;"",ISNUMBER(SEARCH('TRA CỨU TỔNG HỢP'!$B$3,V587))),MAX($W$3:W586)+1,"")</f>
        <v/>
      </c>
    </row>
    <row r="588" ht="15" customHeight="1" s="217">
      <c r="A588" s="347" t="inlineStr">
        <is>
          <t xml:space="preserve">  └─ KUBOTA</t>
        </is>
      </c>
      <c r="B588" s="348" t="inlineStr">
        <is>
          <t>HH080005</t>
        </is>
      </c>
      <c r="C588" s="349" t="inlineStr">
        <is>
          <t>IHI</t>
        </is>
      </c>
      <c r="D588" s="349" t="inlineStr">
        <is>
          <t>RHF3</t>
        </is>
      </c>
      <c r="E588" s="349" t="inlineStr">
        <is>
          <t>4D87</t>
        </is>
      </c>
      <c r="F588" s="350" t="inlineStr">
        <is>
          <t>1G924-17011</t>
        </is>
      </c>
      <c r="G588" s="349" t="inlineStr">
        <is>
          <t>cánh lớn</t>
        </is>
      </c>
      <c r="H588" s="349" t="inlineStr">
        <is>
          <t>PC56-7 / V2403/DC70</t>
        </is>
      </c>
      <c r="I588" s="349" t="n"/>
      <c r="J588" s="351" t="inlineStr">
        <is>
          <t>SL</t>
        </is>
      </c>
      <c r="K588" s="352" t="n"/>
      <c r="L588" s="352" t="n"/>
      <c r="M588" s="352" t="n"/>
      <c r="N588" s="352">
        <f>IF(M588="","",M588*1.1)</f>
        <v/>
      </c>
      <c r="O588" s="353" t="n">
        <v>40</v>
      </c>
      <c r="P588" s="353" t="n">
        <v>30.9</v>
      </c>
      <c r="Q588" s="353" t="inlineStr">
        <is>
          <t>5/5</t>
        </is>
      </c>
      <c r="R588" s="353" t="n">
        <v>39.7</v>
      </c>
      <c r="S588" s="353" t="n">
        <v>34.7</v>
      </c>
      <c r="T588" s="353" t="n">
        <v>9</v>
      </c>
      <c r="V588" s="216">
        <f>UPPER(A588&amp;" "&amp;B588&amp;" "&amp;D588&amp;" "&amp;E588&amp;" "&amp;F588&amp;" "&amp;G588&amp;" "&amp;H588&amp;" "&amp;I588&amp;" "&amp;J588)</f>
        <v/>
      </c>
      <c r="W588" s="216">
        <f>IF(AND('TRA CỨU TỔNG HỢP'!$B$3&lt;&gt;"",ISNUMBER(SEARCH('TRA CỨU TỔNG HỢP'!$B$3,V588))),MAX($W$3:W587)+1,"")</f>
        <v/>
      </c>
    </row>
    <row r="589" ht="15" customHeight="1" s="217">
      <c r="A589" s="360" t="inlineStr">
        <is>
          <t>KUBOTA</t>
        </is>
      </c>
      <c r="B589" s="361" t="n"/>
      <c r="C589" s="360" t="inlineStr">
        <is>
          <t>Mitsubishi</t>
        </is>
      </c>
      <c r="D589" s="360" t="inlineStr">
        <is>
          <t>TD03L4</t>
        </is>
      </c>
      <c r="E589" s="360" t="inlineStr">
        <is>
          <t>V3307</t>
        </is>
      </c>
      <c r="F589" s="362" t="inlineStr">
        <is>
          <t>49131-02606</t>
        </is>
      </c>
      <c r="G589" s="360" t="n"/>
      <c r="H589" s="360" t="n"/>
      <c r="I589" s="360" t="n"/>
      <c r="J589" s="363" t="n"/>
      <c r="K589" s="364" t="n"/>
      <c r="L589" s="364" t="n"/>
      <c r="M589" s="364" t="n"/>
      <c r="N589" s="364" t="n"/>
      <c r="O589" s="365" t="n"/>
      <c r="P589" s="365" t="n"/>
      <c r="Q589" s="365" t="n"/>
      <c r="R589" s="365" t="n"/>
      <c r="S589" s="365" t="n"/>
      <c r="T589" s="365" t="n"/>
      <c r="V589" s="216">
        <f>UPPER(A589&amp;" "&amp;B589&amp;" "&amp;D589&amp;" "&amp;E589&amp;" "&amp;F589&amp;" "&amp;G589&amp;" "&amp;H589&amp;" "&amp;I589&amp;" "&amp;J589)</f>
        <v/>
      </c>
      <c r="W589" s="216">
        <f>IF(AND('TRA CỨU TỔNG HỢP'!$B$3&lt;&gt;"",ISNUMBER(SEARCH('TRA CỨU TỔNG HỢP'!$B$3,V589))),MAX($W$3:W588)+1,"")</f>
        <v/>
      </c>
    </row>
    <row r="590" ht="19.5" customHeight="1" s="217">
      <c r="A590" s="339" t="inlineStr">
        <is>
          <t xml:space="preserve">  🏭  MAXXFORCE   ·   1 loại turbo</t>
        </is>
      </c>
      <c r="W590" s="216">
        <f>IF(AND('TRA CỨU TỔNG HỢP'!$B$3&lt;&gt;"",ISNUMBER(SEARCH('TRA CỨU TỔNG HỢP'!$B$3,V590))),MAX($W$3:W589)+1,"")</f>
        <v/>
      </c>
    </row>
    <row r="591" ht="15" customHeight="1" s="217">
      <c r="A591" s="340" t="inlineStr">
        <is>
          <t>MAXXFORCE</t>
        </is>
      </c>
      <c r="B591" s="341" t="inlineStr">
        <is>
          <t>HH078004</t>
        </is>
      </c>
      <c r="C591" s="340" t="inlineStr">
        <is>
          <t>BorgWarner</t>
        </is>
      </c>
      <c r="D591" s="340" t="inlineStr">
        <is>
          <t>B1UG</t>
        </is>
      </c>
      <c r="E591" s="340" t="n"/>
      <c r="F591" s="342" t="inlineStr">
        <is>
          <t>1155-990-0047
8S01-200-J36</t>
        </is>
      </c>
      <c r="G591" s="340" t="n"/>
      <c r="H591" s="340" t="n"/>
      <c r="I591" s="340" t="inlineStr">
        <is>
          <t>Maxxforce 7.6, Đầu kéo Iternational - Jrone 8S01-200-J36</t>
        </is>
      </c>
      <c r="J591" s="343" t="inlineStr">
        <is>
          <t>JRONE</t>
        </is>
      </c>
      <c r="K591" s="344" t="n"/>
      <c r="L591" s="344" t="n"/>
      <c r="M591" s="344" t="n"/>
      <c r="N591" s="344">
        <f>IF(M591="","",M591*1.1)</f>
        <v/>
      </c>
      <c r="O591" s="345" t="n"/>
      <c r="P591" s="345" t="n"/>
      <c r="Q591" s="345" t="n"/>
      <c r="R591" s="345" t="n"/>
      <c r="S591" s="345" t="n"/>
      <c r="T591" s="345" t="n"/>
      <c r="V591" s="346">
        <f>UPPER(A591&amp;" "&amp;B591&amp;" "&amp;D591&amp;" "&amp;E591&amp;" "&amp;F591&amp;" "&amp;G591&amp;" "&amp;H591&amp;" "&amp;I591&amp;" "&amp;J591)</f>
        <v/>
      </c>
      <c r="W591" s="216">
        <f>IF(AND('TRA CỨU TỔNG HỢP'!$B$3&lt;&gt;"",ISNUMBER(SEARCH('TRA CỨU TỔNG HỢP'!$B$3,V591))),MAX($W$3:W590)+1,"")</f>
        <v/>
      </c>
    </row>
    <row r="592" ht="15" customHeight="1" s="217">
      <c r="A592" s="347" t="inlineStr">
        <is>
          <t xml:space="preserve">  └─ MAXXFORCE</t>
        </is>
      </c>
      <c r="B592" s="348" t="inlineStr">
        <is>
          <t>HH077597</t>
        </is>
      </c>
      <c r="C592" s="349" t="inlineStr">
        <is>
          <t>BorgWarner</t>
        </is>
      </c>
      <c r="D592" s="349" t="inlineStr">
        <is>
          <t>B1UG</t>
        </is>
      </c>
      <c r="E592" s="349" t="n"/>
      <c r="F592" s="350" t="inlineStr">
        <is>
          <t>1155-990-0047
8S01-200-J36</t>
        </is>
      </c>
      <c r="G592" s="349" t="n"/>
      <c r="H592" s="349" t="n"/>
      <c r="I592" s="349" t="inlineStr">
        <is>
          <t>Maxxforce 7.6, Đầu kéo Iternational - Jrone 8S01-200-J36</t>
        </is>
      </c>
      <c r="J592" s="351" t="inlineStr">
        <is>
          <t>JRONE</t>
        </is>
      </c>
      <c r="K592" s="352" t="n"/>
      <c r="L592" s="352" t="n"/>
      <c r="M592" s="352" t="n"/>
      <c r="N592" s="352">
        <f>IF(M592="","",M592*1.1)</f>
        <v/>
      </c>
      <c r="O592" s="353" t="n"/>
      <c r="P592" s="353" t="n"/>
      <c r="Q592" s="353" t="n"/>
      <c r="R592" s="353" t="n"/>
      <c r="S592" s="353" t="n"/>
      <c r="T592" s="353" t="n"/>
      <c r="V592" s="346">
        <f>UPPER(A592&amp;" "&amp;B592&amp;" "&amp;D592&amp;" "&amp;E592&amp;" "&amp;F592&amp;" "&amp;G592&amp;" "&amp;H592&amp;" "&amp;I592&amp;" "&amp;J592)</f>
        <v/>
      </c>
      <c r="W592" s="216">
        <f>IF(AND('TRA CỨU TỔNG HỢP'!$B$3&lt;&gt;"",ISNUMBER(SEARCH('TRA CỨU TỔNG HỢP'!$B$3,V592))),MAX($W$3:W591)+1,"")</f>
        <v/>
      </c>
    </row>
    <row r="593" ht="19.5" customHeight="1" s="217">
      <c r="A593" s="339" t="inlineStr">
        <is>
          <t xml:space="preserve">  🏭  MERCEDES   ·   5 loại turbo</t>
        </is>
      </c>
      <c r="W593" s="216">
        <f>IF(AND('TRA CỨU TỔNG HỢP'!$B$3&lt;&gt;"",ISNUMBER(SEARCH('TRA CỨU TỔNG HỢP'!$B$3,V593))),MAX($W$3:W592)+1,"")</f>
        <v/>
      </c>
    </row>
    <row r="594" ht="15" customHeight="1" s="217">
      <c r="A594" s="354" t="inlineStr">
        <is>
          <t>MERCEDES</t>
        </is>
      </c>
      <c r="B594" s="355" t="inlineStr">
        <is>
          <t>HH081247</t>
        </is>
      </c>
      <c r="C594" s="354" t="inlineStr">
        <is>
          <t>BorgWarner</t>
        </is>
      </c>
      <c r="D594" s="354" t="inlineStr">
        <is>
          <t>4LGZ</t>
        </is>
      </c>
      <c r="E594" s="354" t="inlineStr">
        <is>
          <t>OM355</t>
        </is>
      </c>
      <c r="F594" s="356" t="inlineStr">
        <is>
          <t>5232-970-3296/0020961399
0010968399/5232-710-0011</t>
        </is>
      </c>
      <c r="G594" s="354" t="n"/>
      <c r="H594" s="354" t="n"/>
      <c r="I594" s="354" t="n"/>
      <c r="J594" s="357" t="inlineStr">
        <is>
          <t>SL</t>
        </is>
      </c>
      <c r="K594" s="358" t="n"/>
      <c r="L594" s="358" t="n"/>
      <c r="M594" s="358" t="n"/>
      <c r="N594" s="358">
        <f>IF(M594="","",M594*1.1)</f>
        <v/>
      </c>
      <c r="O594" s="359" t="n">
        <v>93.90000000000001</v>
      </c>
      <c r="P594" s="359" t="n">
        <v>59.5</v>
      </c>
      <c r="Q594" s="359" t="inlineStr">
        <is>
          <t>6/6</t>
        </is>
      </c>
      <c r="R594" s="359" t="n">
        <v>96.40000000000001</v>
      </c>
      <c r="S594" s="359" t="n">
        <v>86.3</v>
      </c>
      <c r="T594" s="359" t="inlineStr">
        <is>
          <t>12</t>
        </is>
      </c>
      <c r="V594" s="346">
        <f>UPPER(A594&amp;" "&amp;B594&amp;" "&amp;D594&amp;" "&amp;E594&amp;" "&amp;F594&amp;" "&amp;G594&amp;" "&amp;H594&amp;" "&amp;I594&amp;" "&amp;J594)</f>
        <v/>
      </c>
      <c r="W594" s="216">
        <f>IF(AND('TRA CỨU TỔNG HỢP'!$B$3&lt;&gt;"",ISNUMBER(SEARCH('TRA CỨU TỔNG HỢP'!$B$3,V594))),MAX($W$3:W593)+1,"")</f>
        <v/>
      </c>
    </row>
    <row r="595" ht="15" customHeight="1" s="217">
      <c r="A595" s="354" t="inlineStr">
        <is>
          <t>MERCEDES</t>
        </is>
      </c>
      <c r="B595" s="355" t="inlineStr">
        <is>
          <t>HH083050</t>
        </is>
      </c>
      <c r="C595" s="354" t="inlineStr">
        <is>
          <t>Garrett</t>
        </is>
      </c>
      <c r="D595" s="354" t="inlineStr">
        <is>
          <t>GT2256V</t>
        </is>
      </c>
      <c r="E595" s="354" t="inlineStr">
        <is>
          <t>OM612</t>
        </is>
      </c>
      <c r="F595" s="356" t="inlineStr">
        <is>
          <t>709838-0001</t>
        </is>
      </c>
      <c r="G595" s="354" t="n"/>
      <c r="H595" s="354" t="inlineStr">
        <is>
          <t>Sprinter</t>
        </is>
      </c>
      <c r="I595" s="354" t="n"/>
      <c r="J595" s="357" t="inlineStr">
        <is>
          <t>SL</t>
        </is>
      </c>
      <c r="K595" s="358" t="n"/>
      <c r="L595" s="358" t="n"/>
      <c r="M595" s="358" t="n"/>
      <c r="N595" s="358">
        <f>IF(M595="","",M595*1.1)</f>
        <v/>
      </c>
      <c r="O595" s="359" t="n">
        <v>56</v>
      </c>
      <c r="P595" s="359" t="n">
        <v>39.6</v>
      </c>
      <c r="Q595" s="359" t="inlineStr">
        <is>
          <t>6/6</t>
        </is>
      </c>
      <c r="R595" s="359" t="n">
        <v>50</v>
      </c>
      <c r="S595" s="359" t="n">
        <v>42.7</v>
      </c>
      <c r="T595" s="359" t="n">
        <v>9</v>
      </c>
      <c r="V595" s="216">
        <f>UPPER(A595&amp;" "&amp;B595&amp;" "&amp;D595&amp;" "&amp;E595&amp;" "&amp;F595&amp;" "&amp;G595&amp;" "&amp;H595&amp;" "&amp;I595&amp;" "&amp;J595)</f>
        <v/>
      </c>
      <c r="W595" s="216">
        <f>IF(AND('TRA CỨU TỔNG HỢP'!$B$3&lt;&gt;"",ISNUMBER(SEARCH('TRA CỨU TỔNG HỢP'!$B$3,V595))),MAX($W$3:W594)+1,"")</f>
        <v/>
      </c>
    </row>
    <row r="596" ht="15" customHeight="1" s="217">
      <c r="A596" s="340" t="inlineStr">
        <is>
          <t>MERCEDES</t>
        </is>
      </c>
      <c r="B596" s="341" t="inlineStr">
        <is>
          <t>HH081967</t>
        </is>
      </c>
      <c r="C596" s="340" t="inlineStr">
        <is>
          <t>Garrett</t>
        </is>
      </c>
      <c r="D596" s="340" t="inlineStr">
        <is>
          <t>GT1852V</t>
        </is>
      </c>
      <c r="E596" s="340" t="n"/>
      <c r="F596" s="342" t="inlineStr">
        <is>
          <t>709836-0001
A6110961599</t>
        </is>
      </c>
      <c r="G596" s="340" t="n"/>
      <c r="H596" s="340" t="inlineStr">
        <is>
          <t>Mercedes SPRINTER</t>
        </is>
      </c>
      <c r="I596" s="340" t="n"/>
      <c r="J596" s="343" t="inlineStr">
        <is>
          <t>SL</t>
        </is>
      </c>
      <c r="K596" s="344" t="n"/>
      <c r="L596" s="344" t="n"/>
      <c r="M596" s="344" t="n"/>
      <c r="N596" s="344">
        <f>IF(M596="","",M596*1.1)</f>
        <v/>
      </c>
      <c r="O596" s="345" t="n">
        <v>52</v>
      </c>
      <c r="P596" s="345" t="n">
        <v>36.7</v>
      </c>
      <c r="Q596" s="345" t="inlineStr">
        <is>
          <t>6/6</t>
        </is>
      </c>
      <c r="R596" s="345" t="n">
        <v>44.5</v>
      </c>
      <c r="S596" s="345" t="n">
        <v>39.9</v>
      </c>
      <c r="T596" s="345" t="inlineStr">
        <is>
          <t>9</t>
        </is>
      </c>
      <c r="V596" s="346">
        <f>UPPER(A596&amp;" "&amp;B596&amp;" "&amp;D596&amp;" "&amp;E596&amp;" "&amp;F596&amp;" "&amp;G596&amp;" "&amp;H596&amp;" "&amp;I596&amp;" "&amp;J596)</f>
        <v/>
      </c>
      <c r="W596" s="216">
        <f>IF(AND('TRA CỨU TỔNG HỢP'!$B$3&lt;&gt;"",ISNUMBER(SEARCH('TRA CỨU TỔNG HỢP'!$B$3,V596))),MAX($W$3:W595)+1,"")</f>
        <v/>
      </c>
    </row>
    <row r="597" ht="15" customHeight="1" s="217">
      <c r="A597" s="347" t="inlineStr">
        <is>
          <t xml:space="preserve">  └─ MERCEDES</t>
        </is>
      </c>
      <c r="B597" s="348" t="inlineStr">
        <is>
          <t>HH080810</t>
        </is>
      </c>
      <c r="C597" s="349" t="inlineStr">
        <is>
          <t>Garrett</t>
        </is>
      </c>
      <c r="D597" s="349" t="inlineStr">
        <is>
          <t>GT1852V</t>
        </is>
      </c>
      <c r="E597" s="349" t="n"/>
      <c r="F597" s="350" t="inlineStr">
        <is>
          <t>709836-0001
A6110961599</t>
        </is>
      </c>
      <c r="G597" s="349" t="n"/>
      <c r="H597" s="349" t="inlineStr">
        <is>
          <t>Mercedes SPRINTER</t>
        </is>
      </c>
      <c r="I597" s="349" t="n"/>
      <c r="J597" s="351" t="inlineStr">
        <is>
          <t>SL</t>
        </is>
      </c>
      <c r="K597" s="352" t="n"/>
      <c r="L597" s="352" t="n"/>
      <c r="M597" s="352" t="n"/>
      <c r="N597" s="352">
        <f>IF(M597="","",M597*1.1)</f>
        <v/>
      </c>
      <c r="O597" s="353" t="n">
        <v>52</v>
      </c>
      <c r="P597" s="353" t="n">
        <v>36.7</v>
      </c>
      <c r="Q597" s="353" t="inlineStr">
        <is>
          <t>6/6</t>
        </is>
      </c>
      <c r="R597" s="353" t="n">
        <v>44.5</v>
      </c>
      <c r="S597" s="353" t="n">
        <v>39.9</v>
      </c>
      <c r="T597" s="353" t="inlineStr">
        <is>
          <t>9</t>
        </is>
      </c>
      <c r="V597" s="346">
        <f>UPPER(A597&amp;" "&amp;B597&amp;" "&amp;D597&amp;" "&amp;E597&amp;" "&amp;F597&amp;" "&amp;G597&amp;" "&amp;H597&amp;" "&amp;I597&amp;" "&amp;J597)</f>
        <v/>
      </c>
      <c r="W597" s="216">
        <f>IF(AND('TRA CỨU TỔNG HỢP'!$B$3&lt;&gt;"",ISNUMBER(SEARCH('TRA CỨU TỔNG HỢP'!$B$3,V597))),MAX($W$3:W596)+1,"")</f>
        <v/>
      </c>
    </row>
    <row r="598" ht="15" customHeight="1" s="217">
      <c r="A598" s="354" t="inlineStr">
        <is>
          <t>MERCEDES</t>
        </is>
      </c>
      <c r="B598" s="355" t="inlineStr">
        <is>
          <t>HH083049</t>
        </is>
      </c>
      <c r="C598" s="354" t="inlineStr">
        <is>
          <t>Garrett</t>
        </is>
      </c>
      <c r="D598" s="354" t="inlineStr">
        <is>
          <t>GT2538C</t>
        </is>
      </c>
      <c r="E598" s="354" t="inlineStr">
        <is>
          <t>OM602</t>
        </is>
      </c>
      <c r="F598" s="356" t="n">
        <v>6020900880</v>
      </c>
      <c r="G598" s="354" t="n"/>
      <c r="H598" s="354" t="inlineStr">
        <is>
          <t>Sprinter</t>
        </is>
      </c>
      <c r="I598" s="354" t="n"/>
      <c r="J598" s="357" t="inlineStr">
        <is>
          <t>SL</t>
        </is>
      </c>
      <c r="K598" s="358" t="n"/>
      <c r="L598" s="358" t="n"/>
      <c r="M598" s="358" t="n"/>
      <c r="N598" s="358">
        <f>IF(M598="","",M598*1.1)</f>
        <v/>
      </c>
      <c r="O598" s="359" t="n">
        <v>52.2</v>
      </c>
      <c r="P598" s="359" t="n">
        <v>38.7</v>
      </c>
      <c r="Q598" s="359" t="inlineStr">
        <is>
          <t>6/6</t>
        </is>
      </c>
      <c r="R598" s="359" t="n">
        <v>53</v>
      </c>
      <c r="S598" s="359" t="n">
        <v>38.6</v>
      </c>
      <c r="T598" s="359" t="n">
        <v>9</v>
      </c>
      <c r="V598" s="216">
        <f>UPPER(A598&amp;" "&amp;B598&amp;" "&amp;D598&amp;" "&amp;E598&amp;" "&amp;F598&amp;" "&amp;G598&amp;" "&amp;H598&amp;" "&amp;I598&amp;" "&amp;J598)</f>
        <v/>
      </c>
      <c r="W598" s="216">
        <f>IF(AND('TRA CỨU TỔNG HỢP'!$B$3&lt;&gt;"",ISNUMBER(SEARCH('TRA CỨU TỔNG HỢP'!$B$3,V598))),MAX($W$3:W597)+1,"")</f>
        <v/>
      </c>
    </row>
    <row r="599" ht="15" customHeight="1" s="217">
      <c r="A599" s="340" t="inlineStr">
        <is>
          <t>MERCEDES</t>
        </is>
      </c>
      <c r="B599" s="341" t="inlineStr">
        <is>
          <t>HH082513</t>
        </is>
      </c>
      <c r="C599" s="340" t="inlineStr">
        <is>
          <t>BorgWarner</t>
        </is>
      </c>
      <c r="D599" s="340" t="inlineStr">
        <is>
          <t>OM906</t>
        </is>
      </c>
      <c r="E599" s="340" t="inlineStr">
        <is>
          <t>OM906</t>
        </is>
      </c>
      <c r="F599" s="342" t="inlineStr">
        <is>
          <t>5327-970-7120</t>
        </is>
      </c>
      <c r="G599" s="340" t="n"/>
      <c r="H599" s="340" t="inlineStr">
        <is>
          <t>Mercedes-Benz</t>
        </is>
      </c>
      <c r="I599" s="340" t="n"/>
      <c r="J599" s="343" t="inlineStr">
        <is>
          <t>SL</t>
        </is>
      </c>
      <c r="K599" s="344" t="n"/>
      <c r="L599" s="344" t="n"/>
      <c r="M599" s="344" t="n"/>
      <c r="N599" s="344">
        <f>IF(M599="","",M599*1.1)</f>
        <v/>
      </c>
      <c r="O599" s="345" t="n">
        <v>77</v>
      </c>
      <c r="P599" s="345" t="n">
        <v>54.6</v>
      </c>
      <c r="Q599" s="345" t="inlineStr">
        <is>
          <t>7/7</t>
        </is>
      </c>
      <c r="R599" s="345" t="n">
        <v>70</v>
      </c>
      <c r="S599" s="345" t="n">
        <v>58.8</v>
      </c>
      <c r="T599" s="345" t="inlineStr">
        <is>
          <t>12</t>
        </is>
      </c>
      <c r="V599" s="216">
        <f>UPPER(A599&amp;" "&amp;B599&amp;" "&amp;D599&amp;" "&amp;E599&amp;" "&amp;F599&amp;" "&amp;G599&amp;" "&amp;H599&amp;" "&amp;I599&amp;" "&amp;J599)</f>
        <v/>
      </c>
      <c r="W599" s="216">
        <f>IF(AND('TRA CỨU TỔNG HỢP'!$B$3&lt;&gt;"",ISNUMBER(SEARCH('TRA CỨU TỔNG HỢP'!$B$3,V599))),MAX($W$3:W598)+1,"")</f>
        <v/>
      </c>
    </row>
    <row r="600" ht="15" customHeight="1" s="217">
      <c r="A600" s="347" t="inlineStr">
        <is>
          <t xml:space="preserve">  └─ MERCEDES</t>
        </is>
      </c>
      <c r="B600" s="348" t="inlineStr">
        <is>
          <t>HH082514</t>
        </is>
      </c>
      <c r="C600" s="349" t="inlineStr">
        <is>
          <t>BorgWarner</t>
        </is>
      </c>
      <c r="D600" s="349" t="inlineStr">
        <is>
          <t>OM906</t>
        </is>
      </c>
      <c r="E600" s="349" t="inlineStr">
        <is>
          <t>OM906</t>
        </is>
      </c>
      <c r="F600" s="350" t="inlineStr">
        <is>
          <t>5327-970-7120</t>
        </is>
      </c>
      <c r="G600" s="349" t="n"/>
      <c r="H600" s="349" t="inlineStr">
        <is>
          <t>Mercedes-Benz</t>
        </is>
      </c>
      <c r="I600" s="349" t="n"/>
      <c r="J600" s="351" t="inlineStr">
        <is>
          <t>SL</t>
        </is>
      </c>
      <c r="K600" s="352" t="n"/>
      <c r="L600" s="352" t="n"/>
      <c r="M600" s="352" t="n"/>
      <c r="N600" s="352">
        <f>IF(M600="","",M600*1.1)</f>
        <v/>
      </c>
      <c r="O600" s="353" t="n">
        <v>77</v>
      </c>
      <c r="P600" s="353" t="n">
        <v>54.6</v>
      </c>
      <c r="Q600" s="353" t="inlineStr">
        <is>
          <t>7/7</t>
        </is>
      </c>
      <c r="R600" s="353" t="n">
        <v>70</v>
      </c>
      <c r="S600" s="353" t="n">
        <v>58.8</v>
      </c>
      <c r="T600" s="353" t="inlineStr">
        <is>
          <t>12</t>
        </is>
      </c>
      <c r="V600" s="216">
        <f>UPPER(A600&amp;" "&amp;B600&amp;" "&amp;D600&amp;" "&amp;E600&amp;" "&amp;F600&amp;" "&amp;G600&amp;" "&amp;H600&amp;" "&amp;I600&amp;" "&amp;J600)</f>
        <v/>
      </c>
      <c r="W600" s="216">
        <f>IF(AND('TRA CỨU TỔNG HỢP'!$B$3&lt;&gt;"",ISNUMBER(SEARCH('TRA CỨU TỔNG HỢP'!$B$3,V600))),MAX($W$3:W599)+1,"")</f>
        <v/>
      </c>
    </row>
    <row r="601" ht="19.5" customHeight="1" s="217">
      <c r="A601" s="339" t="inlineStr">
        <is>
          <t xml:space="preserve">  🏭  MITSUBISHI   ·   8 loại turbo</t>
        </is>
      </c>
      <c r="W601" s="216">
        <f>IF(AND('TRA CỨU TỔNG HỢP'!$B$3&lt;&gt;"",ISNUMBER(SEARCH('TRA CỨU TỔNG HỢP'!$B$3,V601))),MAX($W$3:W600)+1,"")</f>
        <v/>
      </c>
    </row>
    <row r="602" ht="15" customHeight="1" s="217">
      <c r="A602" s="367" t="inlineStr">
        <is>
          <t>MITSUBISHI</t>
        </is>
      </c>
      <c r="B602" s="368" t="n"/>
      <c r="C602" s="367" t="inlineStr">
        <is>
          <t>Mitsubishi</t>
        </is>
      </c>
      <c r="D602" s="367" t="inlineStr">
        <is>
          <t>TD08-5</t>
        </is>
      </c>
      <c r="E602" s="367" t="inlineStr">
        <is>
          <t>8DC9T</t>
        </is>
      </c>
      <c r="F602" s="369" t="inlineStr">
        <is>
          <t>49174-00592</t>
        </is>
      </c>
      <c r="G602" s="367" t="n"/>
      <c r="H602" s="367" t="n"/>
      <c r="I602" s="367" t="n"/>
      <c r="J602" s="370" t="n"/>
      <c r="K602" s="371" t="n"/>
      <c r="L602" s="371" t="n"/>
      <c r="M602" s="371" t="n"/>
      <c r="N602" s="371" t="n"/>
      <c r="O602" s="372" t="n"/>
      <c r="P602" s="372" t="n"/>
      <c r="Q602" s="372" t="n"/>
      <c r="R602" s="372" t="n"/>
      <c r="S602" s="372" t="n"/>
      <c r="T602" s="372" t="n"/>
      <c r="V602" s="216">
        <f>UPPER(A602&amp;" "&amp;B602&amp;" "&amp;D602&amp;" "&amp;E602&amp;" "&amp;F602&amp;" "&amp;G602&amp;" "&amp;H602&amp;" "&amp;I602&amp;" "&amp;J602)</f>
        <v/>
      </c>
      <c r="W602" s="216">
        <f>IF(AND('TRA CỨU TỔNG HỢP'!$B$3&lt;&gt;"",ISNUMBER(SEARCH('TRA CỨU TỔNG HỢP'!$B$3,V602))),MAX($W$3:W601)+1,"")</f>
        <v/>
      </c>
    </row>
    <row r="603" ht="15" customHeight="1" s="217">
      <c r="A603" s="340" t="inlineStr">
        <is>
          <t>MITSUBISHI</t>
        </is>
      </c>
      <c r="B603" s="341" t="inlineStr">
        <is>
          <t>HH081730</t>
        </is>
      </c>
      <c r="C603" s="340" t="inlineStr">
        <is>
          <t>Mitsubishi</t>
        </is>
      </c>
      <c r="D603" s="340" t="inlineStr">
        <is>
          <t>TD13</t>
        </is>
      </c>
      <c r="E603" s="340" t="inlineStr">
        <is>
          <t>S6R</t>
        </is>
      </c>
      <c r="F603" s="342" t="inlineStr">
        <is>
          <t>49182-03520
 49182-03120</t>
        </is>
      </c>
      <c r="G603" s="340" t="inlineStr">
        <is>
          <t>Tâm lỗ bu lông 115 x 87</t>
        </is>
      </c>
      <c r="H603" s="340" t="inlineStr">
        <is>
          <t>máy thủy</t>
        </is>
      </c>
      <c r="I603" s="340" t="n"/>
      <c r="J603" s="343" t="inlineStr">
        <is>
          <t>SL</t>
        </is>
      </c>
      <c r="K603" s="344" t="n"/>
      <c r="L603" s="344" t="n"/>
      <c r="M603" s="344" t="n"/>
      <c r="N603" s="344">
        <f>IF(M603="","",M603*1.1)</f>
        <v/>
      </c>
      <c r="O603" s="345" t="n">
        <v>160.2</v>
      </c>
      <c r="P603" s="345" t="n">
        <v>100</v>
      </c>
      <c r="Q603" s="345" t="inlineStr">
        <is>
          <t>10/10</t>
        </is>
      </c>
      <c r="R603" s="345" t="n">
        <v>149.7</v>
      </c>
      <c r="S603" s="345" t="n">
        <v>131</v>
      </c>
      <c r="T603" s="345" t="n">
        <v>12</v>
      </c>
      <c r="V603" s="346">
        <f>UPPER(A603&amp;" "&amp;B603&amp;" "&amp;D603&amp;" "&amp;E603&amp;" "&amp;F603&amp;" "&amp;G603&amp;" "&amp;H603&amp;" "&amp;I603&amp;" "&amp;J603)</f>
        <v/>
      </c>
      <c r="W603" s="216">
        <f>IF(AND('TRA CỨU TỔNG HỢP'!$B$3&lt;&gt;"",ISNUMBER(SEARCH('TRA CỨU TỔNG HỢP'!$B$3,V603))),MAX($W$3:W602)+1,"")</f>
        <v/>
      </c>
    </row>
    <row r="604" ht="15" customHeight="1" s="217">
      <c r="A604" s="347" t="inlineStr">
        <is>
          <t xml:space="preserve">  └─ MITSUBISHI</t>
        </is>
      </c>
      <c r="B604" s="348" t="inlineStr">
        <is>
          <t>HH081412</t>
        </is>
      </c>
      <c r="C604" s="349" t="inlineStr">
        <is>
          <t>Mitsubishi</t>
        </is>
      </c>
      <c r="D604" s="349" t="inlineStr">
        <is>
          <t>TD13</t>
        </is>
      </c>
      <c r="E604" s="349" t="inlineStr">
        <is>
          <t>S6R</t>
        </is>
      </c>
      <c r="F604" s="350" t="inlineStr">
        <is>
          <t>49182-03520
 49182-03120</t>
        </is>
      </c>
      <c r="G604" s="349" t="inlineStr">
        <is>
          <t>Tâm lỗ bu lông 115 x 87</t>
        </is>
      </c>
      <c r="H604" s="349" t="inlineStr">
        <is>
          <t>máy thủy</t>
        </is>
      </c>
      <c r="I604" s="349" t="n"/>
      <c r="J604" s="351" t="inlineStr">
        <is>
          <t>SL</t>
        </is>
      </c>
      <c r="K604" s="352" t="n"/>
      <c r="L604" s="352" t="n"/>
      <c r="M604" s="352" t="n"/>
      <c r="N604" s="352">
        <f>IF(M604="","",M604*1.1)</f>
        <v/>
      </c>
      <c r="O604" s="353" t="n">
        <v>160.2</v>
      </c>
      <c r="P604" s="353" t="n">
        <v>100</v>
      </c>
      <c r="Q604" s="353" t="inlineStr">
        <is>
          <t>10/10</t>
        </is>
      </c>
      <c r="R604" s="353" t="n">
        <v>149.7</v>
      </c>
      <c r="S604" s="353" t="n">
        <v>131</v>
      </c>
      <c r="T604" s="353" t="n">
        <v>12</v>
      </c>
      <c r="V604" s="346">
        <f>UPPER(A604&amp;" "&amp;B604&amp;" "&amp;D604&amp;" "&amp;E604&amp;" "&amp;F604&amp;" "&amp;G604&amp;" "&amp;H604&amp;" "&amp;I604&amp;" "&amp;J604)</f>
        <v/>
      </c>
      <c r="W604" s="216">
        <f>IF(AND('TRA CỨU TỔNG HỢP'!$B$3&lt;&gt;"",ISNUMBER(SEARCH('TRA CỨU TỔNG HỢP'!$B$3,V604))),MAX($W$3:W603)+1,"")</f>
        <v/>
      </c>
    </row>
    <row r="605" ht="15" customHeight="1" s="217">
      <c r="A605" s="347" t="inlineStr">
        <is>
          <t xml:space="preserve">  └─ MITSUBISHI</t>
        </is>
      </c>
      <c r="B605" s="348" t="inlineStr">
        <is>
          <t>HH080019</t>
        </is>
      </c>
      <c r="C605" s="349" t="inlineStr">
        <is>
          <t>Mitsubishi</t>
        </is>
      </c>
      <c r="D605" s="349" t="inlineStr">
        <is>
          <t>TD13</t>
        </is>
      </c>
      <c r="E605" s="349" t="inlineStr">
        <is>
          <t>S6R</t>
        </is>
      </c>
      <c r="F605" s="350" t="inlineStr">
        <is>
          <t>49182-03520
 49182-03120</t>
        </is>
      </c>
      <c r="G605" s="349" t="inlineStr">
        <is>
          <t>Tâm lỗ bu lông 115 x 87</t>
        </is>
      </c>
      <c r="H605" s="349" t="inlineStr">
        <is>
          <t>máy thủy</t>
        </is>
      </c>
      <c r="I605" s="349" t="n"/>
      <c r="J605" s="351" t="inlineStr">
        <is>
          <t>SL</t>
        </is>
      </c>
      <c r="K605" s="352" t="n"/>
      <c r="L605" s="352" t="n"/>
      <c r="M605" s="352" t="n"/>
      <c r="N605" s="352">
        <f>IF(M605="","",M605*1.1)</f>
        <v/>
      </c>
      <c r="O605" s="353" t="n">
        <v>160.2</v>
      </c>
      <c r="P605" s="353" t="n">
        <v>100</v>
      </c>
      <c r="Q605" s="353" t="inlineStr">
        <is>
          <t>10/10</t>
        </is>
      </c>
      <c r="R605" s="353" t="n">
        <v>149.7</v>
      </c>
      <c r="S605" s="353" t="n">
        <v>131</v>
      </c>
      <c r="T605" s="353" t="n">
        <v>12</v>
      </c>
      <c r="V605" s="346">
        <f>UPPER(A605&amp;" "&amp;B605&amp;" "&amp;D605&amp;" "&amp;E605&amp;" "&amp;F605&amp;" "&amp;G605&amp;" "&amp;H605&amp;" "&amp;I605&amp;" "&amp;J605)</f>
        <v/>
      </c>
      <c r="W605" s="216">
        <f>IF(AND('TRA CỨU TỔNG HỢP'!$B$3&lt;&gt;"",ISNUMBER(SEARCH('TRA CỨU TỔNG HỢP'!$B$3,V605))),MAX($W$3:W604)+1,"")</f>
        <v/>
      </c>
    </row>
    <row r="606" ht="15" customHeight="1" s="217">
      <c r="A606" s="340" t="inlineStr">
        <is>
          <t>MITSUBISHI</t>
        </is>
      </c>
      <c r="B606" s="341" t="inlineStr">
        <is>
          <t>HH077662</t>
        </is>
      </c>
      <c r="C606" s="340" t="inlineStr">
        <is>
          <t>Garrett</t>
        </is>
      </c>
      <c r="D606" s="340" t="inlineStr">
        <is>
          <t>GT22S</t>
        </is>
      </c>
      <c r="E606" s="340" t="inlineStr">
        <is>
          <t>4D34T</t>
        </is>
      </c>
      <c r="F606" s="342" t="inlineStr">
        <is>
          <t>836254-0002
A4300900080</t>
        </is>
      </c>
      <c r="G606" s="340" t="inlineStr">
        <is>
          <t>tâm lỗ 75×57</t>
        </is>
      </c>
      <c r="H606" s="340" t="inlineStr">
        <is>
          <t>Fuso Canter</t>
        </is>
      </c>
      <c r="I606" s="340" t="n"/>
      <c r="J606" s="343" t="inlineStr">
        <is>
          <t>SL</t>
        </is>
      </c>
      <c r="K606" s="344" t="n"/>
      <c r="L606" s="344" t="n"/>
      <c r="M606" s="344" t="n"/>
      <c r="N606" s="344">
        <f>IF(M606="","",M606*1.1)</f>
        <v/>
      </c>
      <c r="O606" s="345" t="n">
        <v>60.4</v>
      </c>
      <c r="P606" s="345" t="n">
        <v>44.5</v>
      </c>
      <c r="Q606" s="345" t="inlineStr">
        <is>
          <t>7/7</t>
        </is>
      </c>
      <c r="R606" s="345" t="n">
        <v>50</v>
      </c>
      <c r="S606" s="345" t="n">
        <v>43.7</v>
      </c>
      <c r="T606" s="345" t="n">
        <v>9</v>
      </c>
      <c r="V606" s="346">
        <f>UPPER(A606&amp;" "&amp;B606&amp;" "&amp;D606&amp;" "&amp;E606&amp;" "&amp;F606&amp;" "&amp;G606&amp;" "&amp;H606&amp;" "&amp;I606&amp;" "&amp;J606)</f>
        <v/>
      </c>
      <c r="W606" s="216">
        <f>IF(AND('TRA CỨU TỔNG HỢP'!$B$3&lt;&gt;"",ISNUMBER(SEARCH('TRA CỨU TỔNG HỢP'!$B$3,V606))),MAX($W$3:W605)+1,"")</f>
        <v/>
      </c>
    </row>
    <row r="607" ht="15" customHeight="1" s="217">
      <c r="A607" s="347" t="inlineStr">
        <is>
          <t xml:space="preserve">  └─ MITSUBISHI</t>
        </is>
      </c>
      <c r="B607" s="348" t="inlineStr">
        <is>
          <t>HH078002</t>
        </is>
      </c>
      <c r="C607" s="349" t="inlineStr">
        <is>
          <t>Garrett</t>
        </is>
      </c>
      <c r="D607" s="349" t="inlineStr">
        <is>
          <t>GT22S</t>
        </is>
      </c>
      <c r="E607" s="349" t="inlineStr">
        <is>
          <t>4D34T</t>
        </is>
      </c>
      <c r="F607" s="350" t="inlineStr">
        <is>
          <t>836254-0002
A4300900080</t>
        </is>
      </c>
      <c r="G607" s="349" t="inlineStr">
        <is>
          <t>tâm lỗ 75×57</t>
        </is>
      </c>
      <c r="H607" s="349" t="inlineStr">
        <is>
          <t>Fuso Canter</t>
        </is>
      </c>
      <c r="I607" s="349" t="n"/>
      <c r="J607" s="351" t="inlineStr">
        <is>
          <t>JRONE</t>
        </is>
      </c>
      <c r="K607" s="352" t="n"/>
      <c r="L607" s="352" t="n"/>
      <c r="M607" s="352" t="n"/>
      <c r="N607" s="352">
        <f>IF(M607="","",M607*1.1)</f>
        <v/>
      </c>
      <c r="O607" s="353" t="n">
        <v>60.4</v>
      </c>
      <c r="P607" s="353" t="n">
        <v>44.5</v>
      </c>
      <c r="Q607" s="353" t="inlineStr">
        <is>
          <t>7/7</t>
        </is>
      </c>
      <c r="R607" s="353" t="n">
        <v>50</v>
      </c>
      <c r="S607" s="353" t="n">
        <v>43.7</v>
      </c>
      <c r="T607" s="353" t="n">
        <v>9</v>
      </c>
      <c r="V607" s="346">
        <f>UPPER(A607&amp;" "&amp;B607&amp;" "&amp;D607&amp;" "&amp;E607&amp;" "&amp;F607&amp;" "&amp;G607&amp;" "&amp;H607&amp;" "&amp;I607&amp;" "&amp;J607)</f>
        <v/>
      </c>
      <c r="W607" s="216">
        <f>IF(AND('TRA CỨU TỔNG HỢP'!$B$3&lt;&gt;"",ISNUMBER(SEARCH('TRA CỨU TỔNG HỢP'!$B$3,V607))),MAX($W$3:W606)+1,"")</f>
        <v/>
      </c>
    </row>
    <row r="608" ht="15" customHeight="1" s="217">
      <c r="A608" s="340" t="inlineStr">
        <is>
          <t>MITSUBISHI</t>
        </is>
      </c>
      <c r="B608" s="341" t="inlineStr">
        <is>
          <t>HH083120</t>
        </is>
      </c>
      <c r="C608" s="340" t="inlineStr">
        <is>
          <t>Mitsubishi</t>
        </is>
      </c>
      <c r="D608" s="340" t="inlineStr">
        <is>
          <t>TD04HL-15T</t>
        </is>
      </c>
      <c r="E608" s="340" t="inlineStr">
        <is>
          <t>4D34T</t>
        </is>
      </c>
      <c r="F608" s="342" t="inlineStr">
        <is>
          <t>49189-02350/49S89-02320
49S89-02340/49189-08020
ME080904/ME217235
ME441592/VAME217235</t>
        </is>
      </c>
      <c r="G608" s="340" t="n"/>
      <c r="H608" s="373" t="inlineStr">
        <is>
          <t>Kato HD510, HD512, HD513 
Mitsubishi Fuso Truck, Buse
 SH135</t>
        </is>
      </c>
      <c r="I608" s="373" t="inlineStr">
        <is>
          <t>ruột dùng chung ME080904
49189-00511</t>
        </is>
      </c>
      <c r="J608" s="343" t="inlineStr">
        <is>
          <t>SL</t>
        </is>
      </c>
      <c r="K608" s="344" t="n"/>
      <c r="L608" s="344" t="n"/>
      <c r="M608" s="344" t="n"/>
      <c r="N608" s="344">
        <f>IF(M608="","",M608*1.1)</f>
        <v/>
      </c>
      <c r="O608" s="345" t="n">
        <v>56</v>
      </c>
      <c r="P608" s="345" t="n">
        <v>42</v>
      </c>
      <c r="Q608" s="345" t="inlineStr">
        <is>
          <t>6/6</t>
        </is>
      </c>
      <c r="R608" s="345" t="n">
        <v>52</v>
      </c>
      <c r="S608" s="345" t="n">
        <v>45.6</v>
      </c>
      <c r="T608" s="345" t="n">
        <v>12</v>
      </c>
      <c r="V608" s="346">
        <f>UPPER(A608&amp;" "&amp;B608&amp;" "&amp;D608&amp;" "&amp;E608&amp;" "&amp;F608&amp;" "&amp;G608&amp;" "&amp;H608&amp;" "&amp;I608&amp;" "&amp;J608)</f>
        <v/>
      </c>
      <c r="W608" s="216">
        <f>IF(AND('TRA CỨU TỔNG HỢP'!$B$3&lt;&gt;"",ISNUMBER(SEARCH('TRA CỨU TỔNG HỢP'!$B$3,V608))),MAX($W$3:W607)+1,"")</f>
        <v/>
      </c>
    </row>
    <row r="609" ht="15" customHeight="1" s="217">
      <c r="A609" s="347" t="inlineStr">
        <is>
          <t xml:space="preserve">  └─ MITSUBISHI</t>
        </is>
      </c>
      <c r="B609" s="348" t="inlineStr">
        <is>
          <t>HH083121</t>
        </is>
      </c>
      <c r="C609" s="349" t="inlineStr">
        <is>
          <t>Mitsubishi</t>
        </is>
      </c>
      <c r="D609" s="349" t="inlineStr">
        <is>
          <t>TD04HL-15T</t>
        </is>
      </c>
      <c r="E609" s="349" t="inlineStr">
        <is>
          <t>4D34T</t>
        </is>
      </c>
      <c r="F609" s="350" t="inlineStr">
        <is>
          <t>49189-02350/49S89-02320
49S89-02340/49189-08020
ME080904/ME217235
ME441592/VAME217235</t>
        </is>
      </c>
      <c r="G609" s="349" t="n"/>
      <c r="H609" s="374" t="inlineStr">
        <is>
          <t>Kato HD510, HD512, HD513 
Mitsubishi Fuso Truck, Buse
 SH135</t>
        </is>
      </c>
      <c r="I609" s="374" t="inlineStr">
        <is>
          <t>ruột dùng chung ME080904
49189-00511</t>
        </is>
      </c>
      <c r="J609" s="351" t="inlineStr">
        <is>
          <t>SL</t>
        </is>
      </c>
      <c r="K609" s="352" t="n"/>
      <c r="L609" s="352" t="n"/>
      <c r="M609" s="352" t="n"/>
      <c r="N609" s="352">
        <f>IF(M609="","",M609*1.1)</f>
        <v/>
      </c>
      <c r="O609" s="353" t="n">
        <v>56</v>
      </c>
      <c r="P609" s="353" t="n">
        <v>42</v>
      </c>
      <c r="Q609" s="353" t="inlineStr">
        <is>
          <t>6/6</t>
        </is>
      </c>
      <c r="R609" s="353" t="n">
        <v>52</v>
      </c>
      <c r="S609" s="353" t="n">
        <v>45.6</v>
      </c>
      <c r="T609" s="353" t="n">
        <v>12</v>
      </c>
      <c r="V609" s="346">
        <f>UPPER(A609&amp;" "&amp;B609&amp;" "&amp;D609&amp;" "&amp;E609&amp;" "&amp;F609&amp;" "&amp;G609&amp;" "&amp;H609&amp;" "&amp;I609&amp;" "&amp;J609)</f>
        <v/>
      </c>
      <c r="W609" s="216">
        <f>IF(AND('TRA CỨU TỔNG HỢP'!$B$3&lt;&gt;"",ISNUMBER(SEARCH('TRA CỨU TỔNG HỢP'!$B$3,V609))),MAX($W$3:W608)+1,"")</f>
        <v/>
      </c>
    </row>
    <row r="610" ht="15" customHeight="1" s="217">
      <c r="A610" s="354" t="inlineStr">
        <is>
          <t>MITSUBISHI</t>
        </is>
      </c>
      <c r="B610" s="355" t="inlineStr">
        <is>
          <t>HH071812</t>
        </is>
      </c>
      <c r="C610" s="354" t="inlineStr">
        <is>
          <t>Mitsubishi</t>
        </is>
      </c>
      <c r="D610" s="354" t="inlineStr">
        <is>
          <t>TE06H-16M</t>
        </is>
      </c>
      <c r="E610" s="354" t="inlineStr">
        <is>
          <t>S6K/3066</t>
        </is>
      </c>
      <c r="F610" s="356" t="inlineStr">
        <is>
          <t>49179-02300</t>
        </is>
      </c>
      <c r="G610" s="354" t="inlineStr">
        <is>
          <t>TE06H-16M</t>
        </is>
      </c>
      <c r="H610" s="354" t="inlineStr">
        <is>
          <t>E320C</t>
        </is>
      </c>
      <c r="I610" s="354" t="inlineStr">
        <is>
          <t>Mitsu</t>
        </is>
      </c>
      <c r="J610" s="357" t="inlineStr">
        <is>
          <t>SL</t>
        </is>
      </c>
      <c r="K610" s="358" t="n"/>
      <c r="L610" s="358" t="n"/>
      <c r="M610" s="358" t="n"/>
      <c r="N610" s="358">
        <f>IF(M610="","",M610*1.1)</f>
        <v/>
      </c>
      <c r="O610" s="359" t="n"/>
      <c r="P610" s="359" t="n"/>
      <c r="Q610" s="359" t="n"/>
      <c r="R610" s="359" t="n"/>
      <c r="S610" s="359" t="n"/>
      <c r="T610" s="359" t="n"/>
      <c r="V610" s="216">
        <f>UPPER(A610&amp;" "&amp;B610&amp;" "&amp;D610&amp;" "&amp;E610&amp;" "&amp;F610&amp;" "&amp;G610&amp;" "&amp;H610&amp;" "&amp;I610&amp;" "&amp;J610)</f>
        <v/>
      </c>
      <c r="W610" s="216">
        <f>IF(AND('TRA CỨU TỔNG HỢP'!$B$3&lt;&gt;"",ISNUMBER(SEARCH('TRA CỨU TỔNG HỢP'!$B$3,V610))),MAX($W$3:W609)+1,"")</f>
        <v/>
      </c>
    </row>
    <row r="611" ht="15" customHeight="1" s="217">
      <c r="A611" s="340" t="inlineStr">
        <is>
          <t>MITSUBISHI</t>
        </is>
      </c>
      <c r="B611" s="341" t="inlineStr">
        <is>
          <t>HH083056</t>
        </is>
      </c>
      <c r="C611" s="340" t="inlineStr">
        <is>
          <t>Mitsubishi</t>
        </is>
      </c>
      <c r="D611" s="340" t="inlineStr">
        <is>
          <t>TD04-12T</t>
        </is>
      </c>
      <c r="E611" s="340" t="inlineStr">
        <is>
          <t>4M40</t>
        </is>
      </c>
      <c r="F611" s="342" t="inlineStr">
        <is>
          <t>49377-03040
ME200898
ME201258
49377-08130</t>
        </is>
      </c>
      <c r="G611" s="340" t="n"/>
      <c r="H611" s="340" t="n"/>
      <c r="I611" s="340" t="n"/>
      <c r="J611" s="343" t="inlineStr">
        <is>
          <t>SL</t>
        </is>
      </c>
      <c r="K611" s="344" t="n"/>
      <c r="L611" s="344" t="n"/>
      <c r="M611" s="344" t="n"/>
      <c r="N611" s="344">
        <f>IF(M611="","",M611*1.1)</f>
        <v/>
      </c>
      <c r="O611" s="345" t="n"/>
      <c r="P611" s="345" t="n"/>
      <c r="Q611" s="345" t="n"/>
      <c r="R611" s="345" t="n"/>
      <c r="S611" s="345" t="n"/>
      <c r="T611" s="345" t="n"/>
      <c r="V611" s="346">
        <f>UPPER(A611&amp;" "&amp;B611&amp;" "&amp;D611&amp;" "&amp;E611&amp;" "&amp;F611&amp;" "&amp;G611&amp;" "&amp;H611&amp;" "&amp;I611&amp;" "&amp;J611)</f>
        <v/>
      </c>
      <c r="W611" s="216">
        <f>IF(AND('TRA CỨU TỔNG HỢP'!$B$3&lt;&gt;"",ISNUMBER(SEARCH('TRA CỨU TỔNG HỢP'!$B$3,V611))),MAX($W$3:W610)+1,"")</f>
        <v/>
      </c>
    </row>
    <row r="612" ht="15" customHeight="1" s="217">
      <c r="A612" s="347" t="inlineStr">
        <is>
          <t xml:space="preserve">  └─ MITSUBISHI</t>
        </is>
      </c>
      <c r="B612" s="348" t="inlineStr">
        <is>
          <t>HH083057</t>
        </is>
      </c>
      <c r="C612" s="349" t="inlineStr">
        <is>
          <t>Mitsubishi</t>
        </is>
      </c>
      <c r="D612" s="349" t="inlineStr">
        <is>
          <t>TD04-12T</t>
        </is>
      </c>
      <c r="E612" s="349" t="inlineStr">
        <is>
          <t>4M40</t>
        </is>
      </c>
      <c r="F612" s="350" t="inlineStr">
        <is>
          <t>49377-03040
ME200898
ME201258
49377-08130</t>
        </is>
      </c>
      <c r="G612" s="349" t="n"/>
      <c r="H612" s="349" t="n"/>
      <c r="I612" s="349" t="n"/>
      <c r="J612" s="351" t="inlineStr">
        <is>
          <t>SL</t>
        </is>
      </c>
      <c r="K612" s="352" t="n"/>
      <c r="L612" s="352" t="n"/>
      <c r="M612" s="352" t="n"/>
      <c r="N612" s="352">
        <f>IF(M612="","",M612*1.1)</f>
        <v/>
      </c>
      <c r="O612" s="353" t="n"/>
      <c r="P612" s="353" t="n"/>
      <c r="Q612" s="353" t="n"/>
      <c r="R612" s="353" t="n"/>
      <c r="S612" s="353" t="n"/>
      <c r="T612" s="353" t="n"/>
      <c r="V612" s="346">
        <f>UPPER(A612&amp;" "&amp;B612&amp;" "&amp;D612&amp;" "&amp;E612&amp;" "&amp;F612&amp;" "&amp;G612&amp;" "&amp;H612&amp;" "&amp;I612&amp;" "&amp;J612)</f>
        <v/>
      </c>
      <c r="W612" s="216">
        <f>IF(AND('TRA CỨU TỔNG HỢP'!$B$3&lt;&gt;"",ISNUMBER(SEARCH('TRA CỨU TỔNG HỢP'!$B$3,V612))),MAX($W$3:W611)+1,"")</f>
        <v/>
      </c>
    </row>
    <row r="613" ht="15" customHeight="1" s="217">
      <c r="A613" s="354" t="inlineStr">
        <is>
          <t>MITSUBISHI</t>
        </is>
      </c>
      <c r="B613" s="355" t="inlineStr">
        <is>
          <t>HH078209</t>
        </is>
      </c>
      <c r="C613" s="354" t="inlineStr">
        <is>
          <t>Mitsubishi</t>
        </is>
      </c>
      <c r="D613" s="354" t="inlineStr">
        <is>
          <t>TD07S</t>
        </is>
      </c>
      <c r="E613" s="354" t="inlineStr">
        <is>
          <t>6D16T</t>
        </is>
      </c>
      <c r="F613" s="356" t="inlineStr">
        <is>
          <t>49187-00271/49187-00270
49187-00250/4918700271
4918700270/4918700250
ME073935</t>
        </is>
      </c>
      <c r="G613" s="366" t="inlineStr">
        <is>
          <t>Tâm lỗ 83 x 70
có điều tốc</t>
        </is>
      </c>
      <c r="H613" s="354" t="inlineStr">
        <is>
          <t>Fuso FM657</t>
        </is>
      </c>
      <c r="I613" s="354" t="n"/>
      <c r="J613" s="357" t="inlineStr">
        <is>
          <t>SL</t>
        </is>
      </c>
      <c r="K613" s="358" t="n"/>
      <c r="L613" s="358" t="n"/>
      <c r="M613" s="358" t="n"/>
      <c r="N613" s="358">
        <f>IF(M613="","",M613*1.1)</f>
        <v/>
      </c>
      <c r="O613" s="359" t="n">
        <v>78</v>
      </c>
      <c r="P613" s="359" t="n">
        <v>55.6</v>
      </c>
      <c r="Q613" s="359" t="inlineStr">
        <is>
          <t>12</t>
        </is>
      </c>
      <c r="R613" s="359" t="n">
        <v>74.09999999999999</v>
      </c>
      <c r="S613" s="359" t="n">
        <v>63</v>
      </c>
      <c r="T613" s="359" t="n">
        <v>12</v>
      </c>
      <c r="V613" s="346">
        <f>UPPER(A613&amp;" "&amp;B613&amp;" "&amp;D613&amp;" "&amp;E613&amp;" "&amp;F613&amp;" "&amp;G613&amp;" "&amp;H613&amp;" "&amp;I613&amp;" "&amp;J613)</f>
        <v/>
      </c>
      <c r="W613" s="216">
        <f>IF(AND('TRA CỨU TỔNG HỢP'!$B$3&lt;&gt;"",ISNUMBER(SEARCH('TRA CỨU TỔNG HỢP'!$B$3,V613))),MAX($W$3:W612)+1,"")</f>
        <v/>
      </c>
    </row>
    <row r="614" ht="15" customHeight="1" s="217">
      <c r="A614" s="354" t="inlineStr">
        <is>
          <t>MITSUBISHI</t>
        </is>
      </c>
      <c r="B614" s="355" t="inlineStr">
        <is>
          <t>HH078445</t>
        </is>
      </c>
      <c r="C614" s="354" t="inlineStr">
        <is>
          <t>Mitsubishi</t>
        </is>
      </c>
      <c r="D614" s="354" t="inlineStr">
        <is>
          <t>TD06</t>
        </is>
      </c>
      <c r="E614" s="354" t="inlineStr">
        <is>
          <t>4D34T / 4D34T/ 6D16T</t>
        </is>
      </c>
      <c r="F614" s="356" t="inlineStr">
        <is>
          <t>49179-00260/4917900260
49179-00261/49179-00270
49179-00280/49179-00290</t>
        </is>
      </c>
      <c r="G614" s="354" t="n"/>
      <c r="H614" s="354" t="inlineStr">
        <is>
          <t>Mitsubishi Canter / Mitsubishi Canter</t>
        </is>
      </c>
      <c r="I614" s="354" t="n"/>
      <c r="J614" s="357" t="inlineStr">
        <is>
          <t>VIDARIR</t>
        </is>
      </c>
      <c r="K614" s="358" t="n"/>
      <c r="L614" s="358" t="n"/>
      <c r="M614" s="358" t="n"/>
      <c r="N614" s="358">
        <f>IF(M614="","",M614*1.1)</f>
        <v/>
      </c>
      <c r="O614" s="359" t="n"/>
      <c r="P614" s="359" t="n"/>
      <c r="Q614" s="359" t="n"/>
      <c r="R614" s="359" t="n"/>
      <c r="S614" s="359" t="n"/>
      <c r="T614" s="359" t="n"/>
      <c r="V614" s="346">
        <f>UPPER(A614&amp;" "&amp;B614&amp;" "&amp;D614&amp;" "&amp;E614&amp;" "&amp;F614&amp;" "&amp;G614&amp;" "&amp;H614&amp;" "&amp;I614&amp;" "&amp;J614)</f>
        <v/>
      </c>
      <c r="W614" s="216">
        <f>IF(AND('TRA CỨU TỔNG HỢP'!$B$3&lt;&gt;"",ISNUMBER(SEARCH('TRA CỨU TỔNG HỢP'!$B$3,V614))),MAX($W$3:W613)+1,"")</f>
        <v/>
      </c>
    </row>
    <row r="615" ht="19.5" customHeight="1" s="217">
      <c r="A615" s="339" t="inlineStr">
        <is>
          <t xml:space="preserve">  🏭  NISSAN   ·   11 loại turbo</t>
        </is>
      </c>
      <c r="W615" s="216">
        <f>IF(AND('TRA CỨU TỔNG HỢP'!$B$3&lt;&gt;"",ISNUMBER(SEARCH('TRA CỨU TỔNG HỢP'!$B$3,V615))),MAX($W$3:W614)+1,"")</f>
        <v/>
      </c>
    </row>
    <row r="616" ht="15" customHeight="1" s="217">
      <c r="A616" s="340" t="inlineStr">
        <is>
          <t>NISSAN</t>
        </is>
      </c>
      <c r="B616" s="341" t="inlineStr">
        <is>
          <t>HH082505</t>
        </is>
      </c>
      <c r="C616" s="340" t="inlineStr">
        <is>
          <t>BorgWarner</t>
        </is>
      </c>
      <c r="D616" s="340" t="inlineStr">
        <is>
          <t>BV45</t>
        </is>
      </c>
      <c r="E616" s="340" t="n"/>
      <c r="F616" s="342" t="inlineStr">
        <is>
          <t>5303-970-0337</t>
        </is>
      </c>
      <c r="G616" s="340" t="n"/>
      <c r="H616" s="340" t="inlineStr">
        <is>
          <t>Navara</t>
        </is>
      </c>
      <c r="I616" s="340" t="n"/>
      <c r="J616" s="343" t="inlineStr">
        <is>
          <t>SL</t>
        </is>
      </c>
      <c r="K616" s="344" t="n"/>
      <c r="L616" s="344" t="n"/>
      <c r="M616" s="344" t="n"/>
      <c r="N616" s="344">
        <f>IF(M616="","",M616*1.1)</f>
        <v/>
      </c>
      <c r="O616" s="345" t="n">
        <v>52.9</v>
      </c>
      <c r="P616" s="345" t="n">
        <v>41</v>
      </c>
      <c r="Q616" s="345" t="inlineStr">
        <is>
          <t>6/6</t>
        </is>
      </c>
      <c r="R616" s="345" t="n">
        <v>45</v>
      </c>
      <c r="S616" s="345" t="n">
        <v>40</v>
      </c>
      <c r="T616" s="345" t="inlineStr">
        <is>
          <t>10</t>
        </is>
      </c>
      <c r="V616" s="216">
        <f>UPPER(A616&amp;" "&amp;B616&amp;" "&amp;D616&amp;" "&amp;E616&amp;" "&amp;F616&amp;" "&amp;G616&amp;" "&amp;H616&amp;" "&amp;I616&amp;" "&amp;J616)</f>
        <v/>
      </c>
      <c r="W616" s="216">
        <f>IF(AND('TRA CỨU TỔNG HỢP'!$B$3&lt;&gt;"",ISNUMBER(SEARCH('TRA CỨU TỔNG HỢP'!$B$3,V616))),MAX($W$3:W615)+1,"")</f>
        <v/>
      </c>
    </row>
    <row r="617" ht="15" customHeight="1" s="217">
      <c r="A617" s="347" t="inlineStr">
        <is>
          <t xml:space="preserve">  └─ NISSAN</t>
        </is>
      </c>
      <c r="B617" s="348" t="inlineStr">
        <is>
          <t>HH082507</t>
        </is>
      </c>
      <c r="C617" s="349" t="inlineStr">
        <is>
          <t>BorgWarner</t>
        </is>
      </c>
      <c r="D617" s="349" t="inlineStr">
        <is>
          <t>BV45</t>
        </is>
      </c>
      <c r="E617" s="349" t="n"/>
      <c r="F617" s="350" t="inlineStr">
        <is>
          <t>5303-970-0337</t>
        </is>
      </c>
      <c r="G617" s="349" t="n"/>
      <c r="H617" s="349" t="inlineStr">
        <is>
          <t>Navara</t>
        </is>
      </c>
      <c r="I617" s="349" t="n"/>
      <c r="J617" s="351" t="inlineStr">
        <is>
          <t>SL</t>
        </is>
      </c>
      <c r="K617" s="352" t="n"/>
      <c r="L617" s="352" t="n"/>
      <c r="M617" s="352" t="n"/>
      <c r="N617" s="352">
        <f>IF(M617="","",M617*1.1)</f>
        <v/>
      </c>
      <c r="O617" s="353" t="n">
        <v>52.9</v>
      </c>
      <c r="P617" s="353" t="n">
        <v>41</v>
      </c>
      <c r="Q617" s="353" t="inlineStr">
        <is>
          <t>6/6</t>
        </is>
      </c>
      <c r="R617" s="353" t="n">
        <v>45</v>
      </c>
      <c r="S617" s="353" t="n">
        <v>40</v>
      </c>
      <c r="T617" s="353" t="inlineStr">
        <is>
          <t>10</t>
        </is>
      </c>
      <c r="V617" s="216">
        <f>UPPER(A617&amp;" "&amp;B617&amp;" "&amp;D617&amp;" "&amp;E617&amp;" "&amp;F617&amp;" "&amp;G617&amp;" "&amp;H617&amp;" "&amp;I617&amp;" "&amp;J617)</f>
        <v/>
      </c>
      <c r="W617" s="216">
        <f>IF(AND('TRA CỨU TỔNG HỢP'!$B$3&lt;&gt;"",ISNUMBER(SEARCH('TRA CỨU TỔNG HỢP'!$B$3,V617))),MAX($W$3:W616)+1,"")</f>
        <v/>
      </c>
    </row>
    <row r="618" ht="15" customHeight="1" s="217">
      <c r="A618" s="347" t="inlineStr">
        <is>
          <t xml:space="preserve">  └─ NISSAN</t>
        </is>
      </c>
      <c r="B618" s="348" t="inlineStr">
        <is>
          <t>HH082506</t>
        </is>
      </c>
      <c r="C618" s="349" t="inlineStr">
        <is>
          <t>BorgWarner</t>
        </is>
      </c>
      <c r="D618" s="349" t="inlineStr">
        <is>
          <t>BV45</t>
        </is>
      </c>
      <c r="E618" s="349" t="n"/>
      <c r="F618" s="350" t="inlineStr">
        <is>
          <t>5303-970-0337</t>
        </is>
      </c>
      <c r="G618" s="349" t="n"/>
      <c r="H618" s="349" t="inlineStr">
        <is>
          <t>Navara</t>
        </is>
      </c>
      <c r="I618" s="349" t="n"/>
      <c r="J618" s="351" t="inlineStr">
        <is>
          <t>SL</t>
        </is>
      </c>
      <c r="K618" s="352" t="n"/>
      <c r="L618" s="352" t="n"/>
      <c r="M618" s="352" t="n"/>
      <c r="N618" s="352">
        <f>IF(M618="","",M618*1.1)</f>
        <v/>
      </c>
      <c r="O618" s="353" t="n">
        <v>52.9</v>
      </c>
      <c r="P618" s="353" t="n">
        <v>41</v>
      </c>
      <c r="Q618" s="353" t="inlineStr">
        <is>
          <t>6/6</t>
        </is>
      </c>
      <c r="R618" s="353" t="n">
        <v>45</v>
      </c>
      <c r="S618" s="353" t="n">
        <v>40</v>
      </c>
      <c r="T618" s="353" t="inlineStr">
        <is>
          <t>10</t>
        </is>
      </c>
      <c r="V618" s="216">
        <f>UPPER(A618&amp;" "&amp;B618&amp;" "&amp;D618&amp;" "&amp;E618&amp;" "&amp;F618&amp;" "&amp;G618&amp;" "&amp;H618&amp;" "&amp;I618&amp;" "&amp;J618)</f>
        <v/>
      </c>
      <c r="W618" s="216">
        <f>IF(AND('TRA CỨU TỔNG HỢP'!$B$3&lt;&gt;"",ISNUMBER(SEARCH('TRA CỨU TỔNG HỢP'!$B$3,V618))),MAX($W$3:W617)+1,"")</f>
        <v/>
      </c>
    </row>
    <row r="619" ht="15" customHeight="1" s="217">
      <c r="A619" s="360" t="inlineStr">
        <is>
          <t>NISSAN</t>
        </is>
      </c>
      <c r="B619" s="361" t="n"/>
      <c r="C619" s="360" t="inlineStr">
        <is>
          <t>IHI</t>
        </is>
      </c>
      <c r="D619" s="360" t="inlineStr">
        <is>
          <t>RHC6</t>
        </is>
      </c>
      <c r="E619" s="360" t="inlineStr">
        <is>
          <t>FE6</t>
        </is>
      </c>
      <c r="F619" s="362" t="inlineStr">
        <is>
          <t>24100-5613</t>
        </is>
      </c>
      <c r="G619" s="360" t="n"/>
      <c r="H619" s="360" t="n"/>
      <c r="I619" s="360" t="n"/>
      <c r="J619" s="363" t="n"/>
      <c r="K619" s="364" t="n"/>
      <c r="L619" s="364" t="n"/>
      <c r="M619" s="364" t="n"/>
      <c r="N619" s="364" t="n"/>
      <c r="O619" s="365" t="n"/>
      <c r="P619" s="365" t="n"/>
      <c r="Q619" s="365" t="n"/>
      <c r="R619" s="365" t="n"/>
      <c r="S619" s="365" t="n"/>
      <c r="T619" s="365" t="n"/>
      <c r="V619" s="216">
        <f>UPPER(A619&amp;" "&amp;B619&amp;" "&amp;D619&amp;" "&amp;E619&amp;" "&amp;F619&amp;" "&amp;G619&amp;" "&amp;H619&amp;" "&amp;I619&amp;" "&amp;J619)</f>
        <v/>
      </c>
      <c r="W619" s="216">
        <f>IF(AND('TRA CỨU TỔNG HỢP'!$B$3&lt;&gt;"",ISNUMBER(SEARCH('TRA CỨU TỔNG HỢP'!$B$3,V619))),MAX($W$3:W618)+1,"")</f>
        <v/>
      </c>
    </row>
    <row r="620" ht="15" customHeight="1" s="217">
      <c r="A620" s="340" t="inlineStr">
        <is>
          <t>NISSAN</t>
        </is>
      </c>
      <c r="B620" s="341" t="inlineStr">
        <is>
          <t>HH081067</t>
        </is>
      </c>
      <c r="C620" s="340" t="inlineStr">
        <is>
          <t>Garrett</t>
        </is>
      </c>
      <c r="D620" s="340" t="inlineStr">
        <is>
          <t>GT1749V</t>
        </is>
      </c>
      <c r="E620" s="340" t="inlineStr">
        <is>
          <t>ZD30</t>
        </is>
      </c>
      <c r="F620" s="342" t="inlineStr">
        <is>
          <t>14411-VZ20A</t>
        </is>
      </c>
      <c r="G620" s="340" t="n"/>
      <c r="H620" s="340" t="n"/>
      <c r="I620" s="340" t="n"/>
      <c r="J620" s="343" t="inlineStr">
        <is>
          <t>SL</t>
        </is>
      </c>
      <c r="K620" s="344" t="n"/>
      <c r="L620" s="344" t="n"/>
      <c r="M620" s="344" t="n"/>
      <c r="N620" s="344">
        <f>IF(M620="","",M620*1.1)</f>
        <v/>
      </c>
      <c r="O620" s="345" t="n">
        <v>52</v>
      </c>
      <c r="P620" s="345" t="n">
        <v>38.6</v>
      </c>
      <c r="Q620" s="345" t="inlineStr">
        <is>
          <t>5/5</t>
        </is>
      </c>
      <c r="R620" s="345" t="n">
        <v>44.5</v>
      </c>
      <c r="S620" s="345" t="n">
        <v>39.6</v>
      </c>
      <c r="T620" s="345" t="n">
        <v>9</v>
      </c>
      <c r="V620" s="216">
        <f>UPPER(A620&amp;" "&amp;B620&amp;" "&amp;D620&amp;" "&amp;E620&amp;" "&amp;F620&amp;" "&amp;G620&amp;" "&amp;H620&amp;" "&amp;I620&amp;" "&amp;J620)</f>
        <v/>
      </c>
      <c r="W620" s="216">
        <f>IF(AND('TRA CỨU TỔNG HỢP'!$B$3&lt;&gt;"",ISNUMBER(SEARCH('TRA CỨU TỔNG HỢP'!$B$3,V620))),MAX($W$3:W619)+1,"")</f>
        <v/>
      </c>
    </row>
    <row r="621" ht="15" customHeight="1" s="217">
      <c r="A621" s="347" t="inlineStr">
        <is>
          <t xml:space="preserve">  └─ NISSAN</t>
        </is>
      </c>
      <c r="B621" s="348" t="inlineStr">
        <is>
          <t>HH081248</t>
        </is>
      </c>
      <c r="C621" s="349" t="inlineStr">
        <is>
          <t>Garrett</t>
        </is>
      </c>
      <c r="D621" s="349" t="inlineStr">
        <is>
          <t>GT1749V</t>
        </is>
      </c>
      <c r="E621" s="349" t="inlineStr">
        <is>
          <t>ZD30</t>
        </is>
      </c>
      <c r="F621" s="350" t="inlineStr">
        <is>
          <t>14411-VZ20A</t>
        </is>
      </c>
      <c r="G621" s="349" t="n"/>
      <c r="H621" s="349" t="n"/>
      <c r="I621" s="349" t="n"/>
      <c r="J621" s="351" t="inlineStr">
        <is>
          <t>SL</t>
        </is>
      </c>
      <c r="K621" s="352" t="n"/>
      <c r="L621" s="352" t="n"/>
      <c r="M621" s="352" t="n"/>
      <c r="N621" s="352">
        <f>IF(M621="","",M621*1.1)</f>
        <v/>
      </c>
      <c r="O621" s="353" t="n">
        <v>52</v>
      </c>
      <c r="P621" s="353" t="n">
        <v>38.6</v>
      </c>
      <c r="Q621" s="353" t="inlineStr">
        <is>
          <t>5/5</t>
        </is>
      </c>
      <c r="R621" s="353" t="n">
        <v>44.5</v>
      </c>
      <c r="S621" s="353" t="n">
        <v>39.6</v>
      </c>
      <c r="T621" s="353" t="n">
        <v>9</v>
      </c>
      <c r="V621" s="216">
        <f>UPPER(A621&amp;" "&amp;B621&amp;" "&amp;D621&amp;" "&amp;E621&amp;" "&amp;F621&amp;" "&amp;G621&amp;" "&amp;H621&amp;" "&amp;I621&amp;" "&amp;J621)</f>
        <v/>
      </c>
      <c r="W621" s="216">
        <f>IF(AND('TRA CỨU TỔNG HỢP'!$B$3&lt;&gt;"",ISNUMBER(SEARCH('TRA CỨU TỔNG HỢP'!$B$3,V621))),MAX($W$3:W620)+1,"")</f>
        <v/>
      </c>
    </row>
    <row r="622" ht="15" customHeight="1" s="217">
      <c r="A622" s="340" t="inlineStr">
        <is>
          <t>NISSAN</t>
        </is>
      </c>
      <c r="B622" s="341" t="inlineStr">
        <is>
          <t>HH083042</t>
        </is>
      </c>
      <c r="C622" s="340" t="inlineStr">
        <is>
          <t>Holset</t>
        </is>
      </c>
      <c r="D622" s="340" t="inlineStr">
        <is>
          <t>HT12-19</t>
        </is>
      </c>
      <c r="E622" s="340" t="inlineStr">
        <is>
          <t>ZD30</t>
        </is>
      </c>
      <c r="F622" s="342" t="inlineStr">
        <is>
          <t>14411-9S000</t>
        </is>
      </c>
      <c r="G622" s="340" t="n"/>
      <c r="H622" s="340" t="n"/>
      <c r="I622" s="340" t="n"/>
      <c r="J622" s="343" t="inlineStr">
        <is>
          <t>SL</t>
        </is>
      </c>
      <c r="K622" s="344" t="n"/>
      <c r="L622" s="344" t="n"/>
      <c r="M622" s="344" t="n"/>
      <c r="N622" s="344">
        <f>IF(M622="","",M622*1.1)</f>
        <v/>
      </c>
      <c r="O622" s="345" t="n">
        <v>54</v>
      </c>
      <c r="P622" s="345" t="n">
        <v>41</v>
      </c>
      <c r="Q622" s="345" t="n">
        <v>5</v>
      </c>
      <c r="R622" s="345" t="n">
        <v>44</v>
      </c>
      <c r="S622" s="345" t="n">
        <v>37.3</v>
      </c>
      <c r="T622" s="345" t="n">
        <v>9</v>
      </c>
      <c r="V622" s="216">
        <f>UPPER(A622&amp;" "&amp;B622&amp;" "&amp;D622&amp;" "&amp;E622&amp;" "&amp;F622&amp;" "&amp;G622&amp;" "&amp;H622&amp;" "&amp;I622&amp;" "&amp;J622)</f>
        <v/>
      </c>
      <c r="W622" s="216">
        <f>IF(AND('TRA CỨU TỔNG HỢP'!$B$3&lt;&gt;"",ISNUMBER(SEARCH('TRA CỨU TỔNG HỢP'!$B$3,V622))),MAX($W$3:W621)+1,"")</f>
        <v/>
      </c>
    </row>
    <row r="623" ht="15" customHeight="1" s="217">
      <c r="A623" s="347" t="inlineStr">
        <is>
          <t xml:space="preserve">  └─ NISSAN</t>
        </is>
      </c>
      <c r="B623" s="348" t="inlineStr">
        <is>
          <t>HH083043</t>
        </is>
      </c>
      <c r="C623" s="349" t="inlineStr">
        <is>
          <t>Holset</t>
        </is>
      </c>
      <c r="D623" s="349" t="inlineStr">
        <is>
          <t>HT12-19</t>
        </is>
      </c>
      <c r="E623" s="349" t="inlineStr">
        <is>
          <t>ZD30</t>
        </is>
      </c>
      <c r="F623" s="350" t="inlineStr">
        <is>
          <t>14411-9S000</t>
        </is>
      </c>
      <c r="G623" s="349" t="n"/>
      <c r="H623" s="349" t="n"/>
      <c r="I623" s="349" t="n"/>
      <c r="J623" s="351" t="inlineStr">
        <is>
          <t>SL</t>
        </is>
      </c>
      <c r="K623" s="352" t="n"/>
      <c r="L623" s="352" t="n"/>
      <c r="M623" s="352" t="n"/>
      <c r="N623" s="352">
        <f>IF(M623="","",M623*1.1)</f>
        <v/>
      </c>
      <c r="O623" s="353" t="n">
        <v>54</v>
      </c>
      <c r="P623" s="353" t="n">
        <v>41</v>
      </c>
      <c r="Q623" s="353" t="n">
        <v>5</v>
      </c>
      <c r="R623" s="353" t="n">
        <v>44</v>
      </c>
      <c r="S623" s="353" t="n">
        <v>37.3</v>
      </c>
      <c r="T623" s="353" t="n">
        <v>9</v>
      </c>
      <c r="V623" s="216">
        <f>UPPER(A623&amp;" "&amp;B623&amp;" "&amp;D623&amp;" "&amp;E623&amp;" "&amp;F623&amp;" "&amp;G623&amp;" "&amp;H623&amp;" "&amp;I623&amp;" "&amp;J623)</f>
        <v/>
      </c>
      <c r="W623" s="216">
        <f>IF(AND('TRA CỨU TỔNG HỢP'!$B$3&lt;&gt;"",ISNUMBER(SEARCH('TRA CỨU TỔNG HỢP'!$B$3,V623))),MAX($W$3:W622)+1,"")</f>
        <v/>
      </c>
    </row>
    <row r="624" ht="15" customHeight="1" s="217">
      <c r="A624" s="367" t="inlineStr">
        <is>
          <t>NISSAN</t>
        </is>
      </c>
      <c r="B624" s="368" t="n"/>
      <c r="C624" s="367" t="inlineStr">
        <is>
          <t>Garrett</t>
        </is>
      </c>
      <c r="D624" s="367" t="inlineStr">
        <is>
          <t>TA4507</t>
        </is>
      </c>
      <c r="E624" s="367" t="inlineStr">
        <is>
          <t>PE6T</t>
        </is>
      </c>
      <c r="F624" s="369" t="inlineStr">
        <is>
          <t>466314-0002</t>
        </is>
      </c>
      <c r="G624" s="367" t="n"/>
      <c r="H624" s="367" t="n"/>
      <c r="I624" s="367" t="n"/>
      <c r="J624" s="370" t="n"/>
      <c r="K624" s="371" t="n"/>
      <c r="L624" s="371" t="n"/>
      <c r="M624" s="371" t="n"/>
      <c r="N624" s="371" t="n"/>
      <c r="O624" s="372" t="n"/>
      <c r="P624" s="372" t="n"/>
      <c r="Q624" s="372" t="n"/>
      <c r="R624" s="372" t="n"/>
      <c r="S624" s="372" t="n"/>
      <c r="T624" s="372" t="n"/>
      <c r="V624" s="216">
        <f>UPPER(A624&amp;" "&amp;B624&amp;" "&amp;D624&amp;" "&amp;E624&amp;" "&amp;F624&amp;" "&amp;G624&amp;" "&amp;H624&amp;" "&amp;I624&amp;" "&amp;J624)</f>
        <v/>
      </c>
      <c r="W624" s="216">
        <f>IF(AND('TRA CỨU TỔNG HỢP'!$B$3&lt;&gt;"",ISNUMBER(SEARCH('TRA CỨU TỔNG HỢP'!$B$3,V624))),MAX($W$3:W623)+1,"")</f>
        <v/>
      </c>
    </row>
    <row r="625" ht="15" customHeight="1" s="217">
      <c r="A625" s="354" t="inlineStr">
        <is>
          <t>NISSAN</t>
        </is>
      </c>
      <c r="B625" s="355" t="inlineStr">
        <is>
          <t>HH081341</t>
        </is>
      </c>
      <c r="C625" s="354" t="inlineStr">
        <is>
          <t>IHI</t>
        </is>
      </c>
      <c r="D625" s="354" t="inlineStr">
        <is>
          <t>PD6-T</t>
        </is>
      </c>
      <c r="E625" s="354" t="inlineStr">
        <is>
          <t>KATO</t>
        </is>
      </c>
      <c r="F625" s="356" t="inlineStr">
        <is>
          <t>406130-0005</t>
        </is>
      </c>
      <c r="G625" s="354" t="n"/>
      <c r="H625" s="354" t="n"/>
      <c r="I625" s="354" t="n"/>
      <c r="J625" s="357" t="inlineStr">
        <is>
          <t>FIRE</t>
        </is>
      </c>
      <c r="K625" s="358" t="n"/>
      <c r="L625" s="358" t="n"/>
      <c r="M625" s="358" t="n"/>
      <c r="N625" s="358">
        <f>IF(M625="","",M625*1.1)</f>
        <v/>
      </c>
      <c r="O625" s="359" t="n"/>
      <c r="P625" s="359" t="n"/>
      <c r="Q625" s="359" t="n"/>
      <c r="R625" s="359" t="n"/>
      <c r="S625" s="359" t="n"/>
      <c r="T625" s="359" t="n"/>
      <c r="V625" s="216">
        <f>UPPER(A625&amp;" "&amp;B625&amp;" "&amp;D625&amp;" "&amp;E625&amp;" "&amp;F625&amp;" "&amp;G625&amp;" "&amp;H625&amp;" "&amp;I625&amp;" "&amp;J625)</f>
        <v/>
      </c>
      <c r="W625" s="216">
        <f>IF(AND('TRA CỨU TỔNG HỢP'!$B$3&lt;&gt;"",ISNUMBER(SEARCH('TRA CỨU TỔNG HỢP'!$B$3,V625))),MAX($W$3:W624)+1,"")</f>
        <v/>
      </c>
    </row>
    <row r="626" ht="15" customHeight="1" s="217">
      <c r="A626" s="340" t="inlineStr">
        <is>
          <t>NISSAN</t>
        </is>
      </c>
      <c r="B626" s="341" t="inlineStr">
        <is>
          <t>HH081736</t>
        </is>
      </c>
      <c r="C626" s="340" t="inlineStr">
        <is>
          <t>Garrett</t>
        </is>
      </c>
      <c r="D626" s="340" t="inlineStr">
        <is>
          <t>GT2056V</t>
        </is>
      </c>
      <c r="E626" s="340" t="n"/>
      <c r="F626" s="342" t="inlineStr">
        <is>
          <t>751243-0002
14411-EB300</t>
        </is>
      </c>
      <c r="G626" s="340" t="n"/>
      <c r="H626" s="340" t="inlineStr">
        <is>
          <t>Navara</t>
        </is>
      </c>
      <c r="I626" s="340" t="n"/>
      <c r="J626" s="343" t="inlineStr">
        <is>
          <t>TBS</t>
        </is>
      </c>
      <c r="K626" s="344" t="n"/>
      <c r="L626" s="344" t="n"/>
      <c r="M626" s="344" t="n"/>
      <c r="N626" s="344">
        <f>IF(M626="","",M626*1.1)</f>
        <v/>
      </c>
      <c r="O626" s="345" t="n">
        <v>56.2</v>
      </c>
      <c r="P626" s="345" t="n">
        <v>39.6</v>
      </c>
      <c r="Q626" s="345" t="inlineStr">
        <is>
          <t>6/6</t>
        </is>
      </c>
      <c r="R626" s="345" t="n">
        <v>47.3</v>
      </c>
      <c r="S626" s="345" t="n">
        <v>39.9</v>
      </c>
      <c r="T626" s="345" t="n">
        <v>9</v>
      </c>
      <c r="V626" s="346">
        <f>UPPER(A626&amp;" "&amp;B626&amp;" "&amp;D626&amp;" "&amp;E626&amp;" "&amp;F626&amp;" "&amp;G626&amp;" "&amp;H626&amp;" "&amp;I626&amp;" "&amp;J626)</f>
        <v/>
      </c>
      <c r="W626" s="216">
        <f>IF(AND('TRA CỨU TỔNG HỢP'!$B$3&lt;&gt;"",ISNUMBER(SEARCH('TRA CỨU TỔNG HỢP'!$B$3,V626))),MAX($W$3:W625)+1,"")</f>
        <v/>
      </c>
    </row>
    <row r="627" ht="15" customHeight="1" s="217">
      <c r="A627" s="347" t="inlineStr">
        <is>
          <t xml:space="preserve">  └─ NISSAN</t>
        </is>
      </c>
      <c r="B627" s="348" t="inlineStr">
        <is>
          <t>HH081737</t>
        </is>
      </c>
      <c r="C627" s="349" t="inlineStr">
        <is>
          <t>Garrett</t>
        </is>
      </c>
      <c r="D627" s="349" t="inlineStr">
        <is>
          <t>GT2056V</t>
        </is>
      </c>
      <c r="E627" s="349" t="n"/>
      <c r="F627" s="350" t="inlineStr">
        <is>
          <t>751243-0002
14411-EB300</t>
        </is>
      </c>
      <c r="G627" s="349" t="n"/>
      <c r="H627" s="349" t="inlineStr">
        <is>
          <t>Navara</t>
        </is>
      </c>
      <c r="I627" s="349" t="n"/>
      <c r="J627" s="351" t="inlineStr">
        <is>
          <t>TBS</t>
        </is>
      </c>
      <c r="K627" s="352" t="n"/>
      <c r="L627" s="352" t="n"/>
      <c r="M627" s="352" t="n"/>
      <c r="N627" s="352">
        <f>IF(M627="","",M627*1.1)</f>
        <v/>
      </c>
      <c r="O627" s="353" t="n">
        <v>56.2</v>
      </c>
      <c r="P627" s="353" t="n">
        <v>39.6</v>
      </c>
      <c r="Q627" s="353" t="inlineStr">
        <is>
          <t>6/6</t>
        </is>
      </c>
      <c r="R627" s="353" t="n">
        <v>47.3</v>
      </c>
      <c r="S627" s="353" t="n">
        <v>39.9</v>
      </c>
      <c r="T627" s="353" t="n">
        <v>9</v>
      </c>
      <c r="V627" s="346">
        <f>UPPER(A627&amp;" "&amp;B627&amp;" "&amp;D627&amp;" "&amp;E627&amp;" "&amp;F627&amp;" "&amp;G627&amp;" "&amp;H627&amp;" "&amp;I627&amp;" "&amp;J627)</f>
        <v/>
      </c>
      <c r="W627" s="216">
        <f>IF(AND('TRA CỨU TỔNG HỢP'!$B$3&lt;&gt;"",ISNUMBER(SEARCH('TRA CỨU TỔNG HỢP'!$B$3,V627))),MAX($W$3:W626)+1,"")</f>
        <v/>
      </c>
    </row>
    <row r="628" ht="15" customHeight="1" s="217">
      <c r="A628" s="354" t="inlineStr">
        <is>
          <t>NISSAN</t>
        </is>
      </c>
      <c r="B628" s="355" t="inlineStr">
        <is>
          <t>HH080808</t>
        </is>
      </c>
      <c r="C628" s="354" t="inlineStr">
        <is>
          <t>Mitsubishi</t>
        </is>
      </c>
      <c r="D628" s="354" t="inlineStr">
        <is>
          <t>TD04L</t>
        </is>
      </c>
      <c r="E628" s="354" t="inlineStr">
        <is>
          <t>QD32T</t>
        </is>
      </c>
      <c r="F628" s="356" t="inlineStr">
        <is>
          <t>14411-7T600
49377-02600</t>
        </is>
      </c>
      <c r="G628" s="354" t="n"/>
      <c r="H628" s="354" t="n"/>
      <c r="I628" s="354" t="n"/>
      <c r="J628" s="357" t="inlineStr">
        <is>
          <t>SL</t>
        </is>
      </c>
      <c r="K628" s="358" t="n"/>
      <c r="L628" s="358" t="n"/>
      <c r="M628" s="358" t="n"/>
      <c r="N628" s="358">
        <f>IF(M628="","",M628*1.1)</f>
        <v/>
      </c>
      <c r="O628" s="359" t="n">
        <v>56</v>
      </c>
      <c r="P628" s="359" t="n">
        <v>41</v>
      </c>
      <c r="Q628" s="359" t="inlineStr">
        <is>
          <t>6/6</t>
        </is>
      </c>
      <c r="R628" s="359" t="n">
        <v>48.5</v>
      </c>
      <c r="S628" s="359" t="n">
        <v>40.9</v>
      </c>
      <c r="T628" s="359" t="n">
        <v>10</v>
      </c>
      <c r="V628" s="346">
        <f>UPPER(A628&amp;" "&amp;B628&amp;" "&amp;D628&amp;" "&amp;E628&amp;" "&amp;F628&amp;" "&amp;G628&amp;" "&amp;H628&amp;" "&amp;I628&amp;" "&amp;J628)</f>
        <v/>
      </c>
      <c r="W628" s="216">
        <f>IF(AND('TRA CỨU TỔNG HỢP'!$B$3&lt;&gt;"",ISNUMBER(SEARCH('TRA CỨU TỔNG HỢP'!$B$3,V628))),MAX($W$3:W627)+1,"")</f>
        <v/>
      </c>
    </row>
    <row r="629" ht="15" customHeight="1" s="217">
      <c r="A629" s="340" t="inlineStr">
        <is>
          <t>NISSAN</t>
        </is>
      </c>
      <c r="B629" s="341" t="inlineStr">
        <is>
          <t>HH078405</t>
        </is>
      </c>
      <c r="C629" s="340" t="inlineStr">
        <is>
          <t>Garrett</t>
        </is>
      </c>
      <c r="D629" s="340" t="inlineStr">
        <is>
          <t>GT2056V</t>
        </is>
      </c>
      <c r="E629" s="340" t="inlineStr">
        <is>
          <t>YD25</t>
        </is>
      </c>
      <c r="F629" s="342" t="inlineStr">
        <is>
          <t>14111-EB70A/14411-EB70B
14411-EB70C/14411-EB70D
14411-EC00B/14411-EC00C
14411-EC00E/769708-0001
769708-0002/769708-0003
769708-0004/764327-0001</t>
        </is>
      </c>
      <c r="G629" s="340" t="n"/>
      <c r="H629" s="340" t="inlineStr">
        <is>
          <t>Navara 2019</t>
        </is>
      </c>
      <c r="I629" s="340" t="n"/>
      <c r="J629" s="343" t="inlineStr">
        <is>
          <t>SL</t>
        </is>
      </c>
      <c r="K629" s="344" t="n"/>
      <c r="L629" s="344" t="n"/>
      <c r="M629" s="344" t="n"/>
      <c r="N629" s="344">
        <f>IF(M629="","",M629*1.1)</f>
        <v/>
      </c>
      <c r="O629" s="345" t="n">
        <v>56</v>
      </c>
      <c r="P629" s="345" t="n">
        <v>41.5</v>
      </c>
      <c r="Q629" s="345" t="inlineStr">
        <is>
          <t>6/6</t>
        </is>
      </c>
      <c r="R629" s="345" t="n">
        <v>46.9</v>
      </c>
      <c r="S629" s="345" t="n">
        <v>42.2</v>
      </c>
      <c r="T629" s="345" t="n">
        <v>9</v>
      </c>
      <c r="V629" s="346">
        <f>UPPER(A629&amp;" "&amp;B629&amp;" "&amp;D629&amp;" "&amp;E629&amp;" "&amp;F629&amp;" "&amp;G629&amp;" "&amp;H629&amp;" "&amp;I629&amp;" "&amp;J629)</f>
        <v/>
      </c>
      <c r="W629" s="216">
        <f>IF(AND('TRA CỨU TỔNG HỢP'!$B$3&lt;&gt;"",ISNUMBER(SEARCH('TRA CỨU TỔNG HỢP'!$B$3,V629))),MAX($W$3:W628)+1,"")</f>
        <v/>
      </c>
    </row>
    <row r="630" ht="15" customHeight="1" s="217">
      <c r="A630" s="347" t="inlineStr">
        <is>
          <t xml:space="preserve">  └─ NISSAN</t>
        </is>
      </c>
      <c r="B630" s="348" t="inlineStr">
        <is>
          <t>HH079995</t>
        </is>
      </c>
      <c r="C630" s="349" t="inlineStr">
        <is>
          <t>Garrett</t>
        </is>
      </c>
      <c r="D630" s="349" t="inlineStr">
        <is>
          <t>GT2056V</t>
        </is>
      </c>
      <c r="E630" s="349" t="inlineStr">
        <is>
          <t>YD25</t>
        </is>
      </c>
      <c r="F630" s="350" t="inlineStr">
        <is>
          <t>14111-EB70A/14411-EB70B
14411-EB70C/14411-EB70D
14411-EC00B/14411-EC00C
14411-EC00E/769708-0001
769708-0002/769708-0003
769708-0004/764327-0001</t>
        </is>
      </c>
      <c r="G630" s="349" t="n"/>
      <c r="H630" s="349" t="inlineStr">
        <is>
          <t>Navara 2019</t>
        </is>
      </c>
      <c r="I630" s="349" t="n"/>
      <c r="J630" s="351" t="inlineStr">
        <is>
          <t>SL</t>
        </is>
      </c>
      <c r="K630" s="352" t="n"/>
      <c r="L630" s="352" t="n"/>
      <c r="M630" s="352" t="n"/>
      <c r="N630" s="352">
        <f>IF(M630="","",M630*1.1)</f>
        <v/>
      </c>
      <c r="O630" s="353" t="n">
        <v>56</v>
      </c>
      <c r="P630" s="353" t="n">
        <v>41.5</v>
      </c>
      <c r="Q630" s="353" t="inlineStr">
        <is>
          <t>6/6</t>
        </is>
      </c>
      <c r="R630" s="353" t="n">
        <v>46.9</v>
      </c>
      <c r="S630" s="353" t="n">
        <v>42.2</v>
      </c>
      <c r="T630" s="353" t="n">
        <v>9</v>
      </c>
      <c r="V630" s="346">
        <f>UPPER(A630&amp;" "&amp;B630&amp;" "&amp;D630&amp;" "&amp;E630&amp;" "&amp;F630&amp;" "&amp;G630&amp;" "&amp;H630&amp;" "&amp;I630&amp;" "&amp;J630)</f>
        <v/>
      </c>
      <c r="W630" s="216">
        <f>IF(AND('TRA CỨU TỔNG HỢP'!$B$3&lt;&gt;"",ISNUMBER(SEARCH('TRA CỨU TỔNG HỢP'!$B$3,V630))),MAX($W$3:W629)+1,"")</f>
        <v/>
      </c>
    </row>
    <row r="631" ht="15" customHeight="1" s="217">
      <c r="A631" s="354" t="inlineStr">
        <is>
          <t>NISSAN</t>
        </is>
      </c>
      <c r="B631" s="355" t="inlineStr">
        <is>
          <t>HH075590</t>
        </is>
      </c>
      <c r="C631" s="354" t="inlineStr">
        <is>
          <t>Garrett</t>
        </is>
      </c>
      <c r="D631" s="354" t="inlineStr">
        <is>
          <t>GT3576DL</t>
        </is>
      </c>
      <c r="E631" s="354" t="inlineStr">
        <is>
          <t>FE6T</t>
        </is>
      </c>
      <c r="F631" s="356" t="inlineStr">
        <is>
          <t>702172-0012
8G35-200-744/702172-0002
0003
0005
0006
14201-Z5905</t>
        </is>
      </c>
      <c r="G631" s="354" t="n"/>
      <c r="H631" s="354" t="n"/>
      <c r="I631" s="354" t="n"/>
      <c r="J631" s="357" t="inlineStr">
        <is>
          <t>JRONE</t>
        </is>
      </c>
      <c r="K631" s="358" t="n"/>
      <c r="L631" s="358" t="n"/>
      <c r="M631" s="358" t="n"/>
      <c r="N631" s="358">
        <f>IF(M631="","",M631*1.1)</f>
        <v/>
      </c>
      <c r="O631" s="359" t="n">
        <v>76.2</v>
      </c>
      <c r="P631" s="359" t="n">
        <v>57</v>
      </c>
      <c r="Q631" s="359" t="inlineStr">
        <is>
          <t>6/6</t>
        </is>
      </c>
      <c r="R631" s="359" t="n">
        <v>68</v>
      </c>
      <c r="S631" s="359" t="n">
        <v>60</v>
      </c>
      <c r="T631" s="359" t="n">
        <v>10</v>
      </c>
      <c r="V631" s="346">
        <f>UPPER(A631&amp;" "&amp;B631&amp;" "&amp;D631&amp;" "&amp;E631&amp;" "&amp;F631&amp;" "&amp;G631&amp;" "&amp;H631&amp;" "&amp;I631&amp;" "&amp;J631)</f>
        <v/>
      </c>
      <c r="W631" s="216">
        <f>IF(AND('TRA CỨU TỔNG HỢP'!$B$3&lt;&gt;"",ISNUMBER(SEARCH('TRA CỨU TỔNG HỢP'!$B$3,V631))),MAX($W$3:W630)+1,"")</f>
        <v/>
      </c>
    </row>
    <row r="632" ht="15" customHeight="1" s="217">
      <c r="A632" s="340" t="inlineStr">
        <is>
          <t>NISSAN</t>
        </is>
      </c>
      <c r="B632" s="341" t="inlineStr">
        <is>
          <t>HH079544</t>
        </is>
      </c>
      <c r="C632" s="340" t="inlineStr">
        <is>
          <t>Garrett</t>
        </is>
      </c>
      <c r="D632" s="340" t="inlineStr">
        <is>
          <t>TB2505</t>
        </is>
      </c>
      <c r="E632" s="340" t="inlineStr">
        <is>
          <t>FD46</t>
        </is>
      </c>
      <c r="F632" s="342" t="inlineStr">
        <is>
          <t>471024-7B
14411-24D00</t>
        </is>
      </c>
      <c r="G632" s="340" t="n"/>
      <c r="H632" s="340" t="n"/>
      <c r="I632" s="340" t="n"/>
      <c r="J632" s="343" t="inlineStr">
        <is>
          <t>SL</t>
        </is>
      </c>
      <c r="K632" s="344" t="n"/>
      <c r="L632" s="344" t="n"/>
      <c r="M632" s="344" t="n"/>
      <c r="N632" s="344">
        <f>IF(M632="","",M632*1.1)</f>
        <v/>
      </c>
      <c r="O632" s="345" t="n">
        <v>60.2</v>
      </c>
      <c r="P632" s="345" t="n">
        <v>46.4</v>
      </c>
      <c r="Q632" s="345" t="inlineStr">
        <is>
          <t>6/6</t>
        </is>
      </c>
      <c r="R632" s="345" t="n">
        <v>53</v>
      </c>
      <c r="S632" s="345" t="n">
        <v>47.3</v>
      </c>
      <c r="T632" s="345" t="n">
        <v>10</v>
      </c>
      <c r="V632" s="346">
        <f>UPPER(A632&amp;" "&amp;B632&amp;" "&amp;D632&amp;" "&amp;E632&amp;" "&amp;F632&amp;" "&amp;G632&amp;" "&amp;H632&amp;" "&amp;I632&amp;" "&amp;J632)</f>
        <v/>
      </c>
      <c r="W632" s="216">
        <f>IF(AND('TRA CỨU TỔNG HỢP'!$B$3&lt;&gt;"",ISNUMBER(SEARCH('TRA CỨU TỔNG HỢP'!$B$3,V632))),MAX($W$3:W631)+1,"")</f>
        <v/>
      </c>
    </row>
    <row r="633" ht="15" customHeight="1" s="217">
      <c r="A633" s="347" t="inlineStr">
        <is>
          <t xml:space="preserve">  └─ NISSAN</t>
        </is>
      </c>
      <c r="B633" s="348" t="inlineStr">
        <is>
          <t>HH082679</t>
        </is>
      </c>
      <c r="C633" s="349" t="inlineStr">
        <is>
          <t>Garrett</t>
        </is>
      </c>
      <c r="D633" s="349" t="inlineStr">
        <is>
          <t>TB2505</t>
        </is>
      </c>
      <c r="E633" s="349" t="inlineStr">
        <is>
          <t>FD46</t>
        </is>
      </c>
      <c r="F633" s="350" t="inlineStr">
        <is>
          <t>471024-7B
14411-24D00</t>
        </is>
      </c>
      <c r="G633" s="349" t="n"/>
      <c r="H633" s="349" t="n"/>
      <c r="I633" s="349" t="n"/>
      <c r="J633" s="351" t="inlineStr">
        <is>
          <t>SL</t>
        </is>
      </c>
      <c r="K633" s="352" t="n"/>
      <c r="L633" s="352" t="n"/>
      <c r="M633" s="352" t="n"/>
      <c r="N633" s="352">
        <f>IF(M633="","",M633*1.1)</f>
        <v/>
      </c>
      <c r="O633" s="353" t="n">
        <v>60.2</v>
      </c>
      <c r="P633" s="353" t="n">
        <v>46.4</v>
      </c>
      <c r="Q633" s="353" t="inlineStr">
        <is>
          <t>6/6</t>
        </is>
      </c>
      <c r="R633" s="353" t="n">
        <v>53</v>
      </c>
      <c r="S633" s="353" t="n">
        <v>47.3</v>
      </c>
      <c r="T633" s="353" t="n">
        <v>10</v>
      </c>
      <c r="V633" s="346">
        <f>UPPER(A633&amp;" "&amp;B633&amp;" "&amp;D633&amp;" "&amp;E633&amp;" "&amp;F633&amp;" "&amp;G633&amp;" "&amp;H633&amp;" "&amp;I633&amp;" "&amp;J633)</f>
        <v/>
      </c>
      <c r="W633" s="216">
        <f>IF(AND('TRA CỨU TỔNG HỢP'!$B$3&lt;&gt;"",ISNUMBER(SEARCH('TRA CỨU TỔNG HỢP'!$B$3,V633))),MAX($W$3:W632)+1,"")</f>
        <v/>
      </c>
    </row>
    <row r="634" ht="15" customHeight="1" s="217">
      <c r="A634" s="347" t="inlineStr">
        <is>
          <t xml:space="preserve">  └─ NISSAN</t>
        </is>
      </c>
      <c r="B634" s="348" t="inlineStr">
        <is>
          <t>HH081921</t>
        </is>
      </c>
      <c r="C634" s="349" t="inlineStr">
        <is>
          <t>Garrett</t>
        </is>
      </c>
      <c r="D634" s="349" t="inlineStr">
        <is>
          <t>TB2505</t>
        </is>
      </c>
      <c r="E634" s="349" t="inlineStr">
        <is>
          <t>FD46</t>
        </is>
      </c>
      <c r="F634" s="350" t="inlineStr">
        <is>
          <t>471024-7B
14411-24D00</t>
        </is>
      </c>
      <c r="G634" s="349" t="n"/>
      <c r="H634" s="349" t="n"/>
      <c r="I634" s="349" t="n"/>
      <c r="J634" s="351" t="inlineStr">
        <is>
          <t>SL</t>
        </is>
      </c>
      <c r="K634" s="352" t="n"/>
      <c r="L634" s="352" t="n"/>
      <c r="M634" s="352" t="n"/>
      <c r="N634" s="352">
        <f>IF(M634="","",M634*1.1)</f>
        <v/>
      </c>
      <c r="O634" s="353" t="n">
        <v>60.2</v>
      </c>
      <c r="P634" s="353" t="n">
        <v>46.4</v>
      </c>
      <c r="Q634" s="353" t="inlineStr">
        <is>
          <t>6/6</t>
        </is>
      </c>
      <c r="R634" s="353" t="n">
        <v>53</v>
      </c>
      <c r="S634" s="353" t="n">
        <v>47.3</v>
      </c>
      <c r="T634" s="353" t="n">
        <v>10</v>
      </c>
      <c r="V634" s="346">
        <f>UPPER(A634&amp;" "&amp;B634&amp;" "&amp;D634&amp;" "&amp;E634&amp;" "&amp;F634&amp;" "&amp;G634&amp;" "&amp;H634&amp;" "&amp;I634&amp;" "&amp;J634)</f>
        <v/>
      </c>
      <c r="W634" s="216">
        <f>IF(AND('TRA CỨU TỔNG HỢP'!$B$3&lt;&gt;"",ISNUMBER(SEARCH('TRA CỨU TỔNG HỢP'!$B$3,V634))),MAX($W$3:W633)+1,"")</f>
        <v/>
      </c>
    </row>
    <row r="635" ht="19.5" customHeight="1" s="217">
      <c r="A635" s="339" t="inlineStr">
        <is>
          <t xml:space="preserve">  🏭  PERKINS   ·   12 loại turbo</t>
        </is>
      </c>
      <c r="W635" s="216">
        <f>IF(AND('TRA CỨU TỔNG HỢP'!$B$3&lt;&gt;"",ISNUMBER(SEARCH('TRA CỨU TỔNG HỢP'!$B$3,V635))),MAX($W$3:W634)+1,"")</f>
        <v/>
      </c>
    </row>
    <row r="636" ht="15" customHeight="1" s="217">
      <c r="A636" s="340" t="inlineStr">
        <is>
          <t>PERKINS</t>
        </is>
      </c>
      <c r="B636" s="341" t="inlineStr">
        <is>
          <t>HH079174</t>
        </is>
      </c>
      <c r="C636" s="340" t="inlineStr">
        <is>
          <t>Garrett</t>
        </is>
      </c>
      <c r="D636" s="340" t="inlineStr">
        <is>
          <t>GT2556S</t>
        </is>
      </c>
      <c r="E636" s="340" t="inlineStr">
        <is>
          <t>PERKINS 4.4</t>
        </is>
      </c>
      <c r="F636" s="342" t="inlineStr">
        <is>
          <t>711736-0026
 2674A226
8G25-200-737</t>
        </is>
      </c>
      <c r="G636" s="340" t="n"/>
      <c r="H636" s="340" t="n"/>
      <c r="I636" s="340" t="n"/>
      <c r="J636" s="343" t="inlineStr">
        <is>
          <t>0432</t>
        </is>
      </c>
      <c r="K636" s="344" t="n"/>
      <c r="L636" s="344" t="n"/>
      <c r="M636" s="344" t="n"/>
      <c r="N636" s="344">
        <f>IF(M636="","",M636*1.1)</f>
        <v/>
      </c>
      <c r="O636" s="345" t="n">
        <v>56</v>
      </c>
      <c r="P636" s="345" t="n">
        <v>37.6</v>
      </c>
      <c r="Q636" s="345" t="inlineStr">
        <is>
          <t>6/6</t>
        </is>
      </c>
      <c r="R636" s="345" t="n">
        <v>54</v>
      </c>
      <c r="S636" s="345" t="n">
        <v>45.8</v>
      </c>
      <c r="T636" s="345" t="n">
        <v>12</v>
      </c>
      <c r="V636" s="346">
        <f>UPPER(A636&amp;" "&amp;B636&amp;" "&amp;D636&amp;" "&amp;E636&amp;" "&amp;F636&amp;" "&amp;G636&amp;" "&amp;H636&amp;" "&amp;I636&amp;" "&amp;J636)</f>
        <v/>
      </c>
      <c r="W636" s="216">
        <f>IF(AND('TRA CỨU TỔNG HỢP'!$B$3&lt;&gt;"",ISNUMBER(SEARCH('TRA CỨU TỔNG HỢP'!$B$3,V636))),MAX($W$3:W635)+1,"")</f>
        <v/>
      </c>
    </row>
    <row r="637" ht="15" customHeight="1" s="217">
      <c r="A637" s="347" t="inlineStr">
        <is>
          <t xml:space="preserve">  └─ PERKINS</t>
        </is>
      </c>
      <c r="B637" s="348" t="inlineStr">
        <is>
          <t>HH076778</t>
        </is>
      </c>
      <c r="C637" s="349" t="inlineStr">
        <is>
          <t>Garrett</t>
        </is>
      </c>
      <c r="D637" s="349" t="inlineStr">
        <is>
          <t>GT2556S</t>
        </is>
      </c>
      <c r="E637" s="349" t="inlineStr">
        <is>
          <t>PERKINS 4.4</t>
        </is>
      </c>
      <c r="F637" s="350" t="inlineStr">
        <is>
          <t>711736-0026
 2674A226
8G25-200-737</t>
        </is>
      </c>
      <c r="G637" s="349" t="n"/>
      <c r="H637" s="349" t="n"/>
      <c r="I637" s="349" t="n"/>
      <c r="J637" s="351" t="inlineStr">
        <is>
          <t>JRONE</t>
        </is>
      </c>
      <c r="K637" s="352" t="n"/>
      <c r="L637" s="352" t="n"/>
      <c r="M637" s="352" t="n"/>
      <c r="N637" s="352">
        <f>IF(M637="","",M637*1.1)</f>
        <v/>
      </c>
      <c r="O637" s="353" t="n">
        <v>56</v>
      </c>
      <c r="P637" s="353" t="n">
        <v>37.6</v>
      </c>
      <c r="Q637" s="353" t="inlineStr">
        <is>
          <t>6/6</t>
        </is>
      </c>
      <c r="R637" s="353" t="n">
        <v>54</v>
      </c>
      <c r="S637" s="353" t="n">
        <v>45.8</v>
      </c>
      <c r="T637" s="353" t="n">
        <v>12</v>
      </c>
      <c r="V637" s="346">
        <f>UPPER(A637&amp;" "&amp;B637&amp;" "&amp;D637&amp;" "&amp;E637&amp;" "&amp;F637&amp;" "&amp;G637&amp;" "&amp;H637&amp;" "&amp;I637&amp;" "&amp;J637)</f>
        <v/>
      </c>
      <c r="W637" s="216">
        <f>IF(AND('TRA CỨU TỔNG HỢP'!$B$3&lt;&gt;"",ISNUMBER(SEARCH('TRA CỨU TỔNG HỢP'!$B$3,V637))),MAX($W$3:W636)+1,"")</f>
        <v/>
      </c>
    </row>
    <row r="638" ht="15" customHeight="1" s="217">
      <c r="A638" s="354" t="inlineStr">
        <is>
          <t>PERKINS</t>
        </is>
      </c>
      <c r="B638" s="355" t="inlineStr">
        <is>
          <t>HH075386</t>
        </is>
      </c>
      <c r="C638" s="354" t="inlineStr">
        <is>
          <t>Garrett</t>
        </is>
      </c>
      <c r="D638" s="354" t="inlineStr">
        <is>
          <t>GT2556S</t>
        </is>
      </c>
      <c r="E638" s="354" t="inlineStr">
        <is>
          <t>PERKINS 4.4</t>
        </is>
      </c>
      <c r="F638" s="356" t="inlineStr">
        <is>
          <t>711736-0024/711736-0023
8G25-200-H84</t>
        </is>
      </c>
      <c r="G638" s="366" t="inlineStr">
        <is>
          <t>Tâm lỗ bu lông 40 x 73
như nhau khác nhau chiều quay</t>
        </is>
      </c>
      <c r="H638" s="354" t="n"/>
      <c r="I638" s="354" t="n"/>
      <c r="J638" s="357" t="inlineStr">
        <is>
          <t>JRONE</t>
        </is>
      </c>
      <c r="K638" s="358" t="n"/>
      <c r="L638" s="358" t="n"/>
      <c r="M638" s="358" t="n"/>
      <c r="N638" s="358">
        <f>IF(M638="","",M638*1.1)</f>
        <v/>
      </c>
      <c r="O638" s="359" t="n">
        <v>56</v>
      </c>
      <c r="P638" s="359" t="n">
        <v>39.6</v>
      </c>
      <c r="Q638" s="359" t="inlineStr">
        <is>
          <t>6/6</t>
        </is>
      </c>
      <c r="R638" s="359" t="n">
        <v>54</v>
      </c>
      <c r="S638" s="359" t="n">
        <v>45.8</v>
      </c>
      <c r="T638" s="359" t="inlineStr">
        <is>
          <t>12</t>
        </is>
      </c>
      <c r="V638" s="346">
        <f>UPPER(A638&amp;" "&amp;B638&amp;" "&amp;D638&amp;" "&amp;E638&amp;" "&amp;F638&amp;" "&amp;G638&amp;" "&amp;H638&amp;" "&amp;I638&amp;" "&amp;J638)</f>
        <v/>
      </c>
      <c r="W638" s="216">
        <f>IF(AND('TRA CỨU TỔNG HỢP'!$B$3&lt;&gt;"",ISNUMBER(SEARCH('TRA CỨU TỔNG HỢP'!$B$3,V638))),MAX($W$3:W637)+1,"")</f>
        <v/>
      </c>
    </row>
    <row r="639" ht="15" customHeight="1" s="217">
      <c r="A639" s="354" t="inlineStr">
        <is>
          <t>PERKINS</t>
        </is>
      </c>
      <c r="B639" s="355" t="inlineStr">
        <is>
          <t>HH081639</t>
        </is>
      </c>
      <c r="C639" s="354" t="inlineStr">
        <is>
          <t>Garrett</t>
        </is>
      </c>
      <c r="D639" s="354" t="inlineStr">
        <is>
          <t>GT3571S</t>
        </is>
      </c>
      <c r="E639" s="354" t="inlineStr">
        <is>
          <t>Perkins 1106</t>
        </is>
      </c>
      <c r="F639" s="356" t="inlineStr">
        <is>
          <t>2674A349
709942-0008</t>
        </is>
      </c>
      <c r="G639" s="354" t="n"/>
      <c r="H639" s="354" t="n"/>
      <c r="I639" s="354" t="n"/>
      <c r="J639" s="357" t="inlineStr">
        <is>
          <t>FIRE</t>
        </is>
      </c>
      <c r="K639" s="358" t="n"/>
      <c r="L639" s="358" t="n"/>
      <c r="M639" s="358" t="n"/>
      <c r="N639" s="358">
        <f>IF(M639="","",M639*1.1)</f>
        <v/>
      </c>
      <c r="O639" s="359" t="n">
        <v>71</v>
      </c>
      <c r="P639" s="359" t="n">
        <v>49.1</v>
      </c>
      <c r="Q639" s="359" t="inlineStr">
        <is>
          <t>6/6</t>
        </is>
      </c>
      <c r="R639" s="359" t="n">
        <v>68</v>
      </c>
      <c r="S639" s="359" t="n">
        <v>57.8</v>
      </c>
      <c r="T639" s="359" t="n">
        <v>12</v>
      </c>
      <c r="V639" s="346">
        <f>UPPER(A639&amp;" "&amp;B639&amp;" "&amp;D639&amp;" "&amp;E639&amp;" "&amp;F639&amp;" "&amp;G639&amp;" "&amp;H639&amp;" "&amp;I639&amp;" "&amp;J639)</f>
        <v/>
      </c>
      <c r="W639" s="216">
        <f>IF(AND('TRA CỨU TỔNG HỢP'!$B$3&lt;&gt;"",ISNUMBER(SEARCH('TRA CỨU TỔNG HỢP'!$B$3,V639))),MAX($W$3:W638)+1,"")</f>
        <v/>
      </c>
    </row>
    <row r="640" ht="15" customHeight="1" s="217">
      <c r="A640" s="354" t="inlineStr">
        <is>
          <t>PERKINS</t>
        </is>
      </c>
      <c r="B640" s="355" t="inlineStr">
        <is>
          <t>HH079272</t>
        </is>
      </c>
      <c r="C640" s="354" t="inlineStr">
        <is>
          <t>Garrett</t>
        </is>
      </c>
      <c r="D640" s="354" t="inlineStr">
        <is>
          <t>GT2052S</t>
        </is>
      </c>
      <c r="E640" s="354" t="n">
        <v>1004</v>
      </c>
      <c r="F640" s="356" t="inlineStr">
        <is>
          <t>2674A323</t>
        </is>
      </c>
      <c r="G640" s="354" t="n"/>
      <c r="H640" s="354" t="n"/>
      <c r="I640" s="354" t="n"/>
      <c r="J640" s="357" t="inlineStr">
        <is>
          <t>VIDARIR</t>
        </is>
      </c>
      <c r="K640" s="358" t="n"/>
      <c r="L640" s="358" t="n"/>
      <c r="M640" s="358" t="n"/>
      <c r="N640" s="358">
        <f>IF(M640="","",M640*1.1)</f>
        <v/>
      </c>
      <c r="O640" s="359" t="n"/>
      <c r="P640" s="359" t="n"/>
      <c r="Q640" s="359" t="n"/>
      <c r="R640" s="359" t="n"/>
      <c r="S640" s="359" t="n"/>
      <c r="T640" s="359" t="n"/>
      <c r="V640" s="216">
        <f>UPPER(A640&amp;" "&amp;B640&amp;" "&amp;D640&amp;" "&amp;E640&amp;" "&amp;F640&amp;" "&amp;G640&amp;" "&amp;H640&amp;" "&amp;I640&amp;" "&amp;J640)</f>
        <v/>
      </c>
      <c r="W640" s="216">
        <f>IF(AND('TRA CỨU TỔNG HỢP'!$B$3&lt;&gt;"",ISNUMBER(SEARCH('TRA CỨU TỔNG HỢP'!$B$3,V640))),MAX($W$3:W639)+1,"")</f>
        <v/>
      </c>
    </row>
    <row r="641" ht="15" customHeight="1" s="217">
      <c r="A641" s="354" t="inlineStr">
        <is>
          <t>PERKINS</t>
        </is>
      </c>
      <c r="B641" s="355" t="inlineStr">
        <is>
          <t>HH082799</t>
        </is>
      </c>
      <c r="C641" s="354" t="inlineStr">
        <is>
          <t>Garrett</t>
        </is>
      </c>
      <c r="D641" s="354" t="inlineStr">
        <is>
          <t>TBP419</t>
        </is>
      </c>
      <c r="E641" s="354" t="n">
        <v>1106</v>
      </c>
      <c r="F641" s="356" t="inlineStr">
        <is>
          <t>2674A059
452089-0003</t>
        </is>
      </c>
      <c r="G641" s="354" t="n"/>
      <c r="H641" s="354" t="n"/>
      <c r="I641" s="354" t="inlineStr">
        <is>
          <t>PERKINS 1106, 2674A059</t>
        </is>
      </c>
      <c r="J641" s="357" t="inlineStr">
        <is>
          <t>FIRE</t>
        </is>
      </c>
      <c r="K641" s="358" t="n"/>
      <c r="L641" s="358" t="n"/>
      <c r="M641" s="358" t="n"/>
      <c r="N641" s="358">
        <f>IF(M641="","",M641*1.1)</f>
        <v/>
      </c>
      <c r="O641" s="359" t="n"/>
      <c r="P641" s="359" t="n"/>
      <c r="Q641" s="359" t="n"/>
      <c r="R641" s="359" t="n"/>
      <c r="S641" s="359" t="n"/>
      <c r="T641" s="359" t="n"/>
      <c r="V641" s="346">
        <f>UPPER(A641&amp;" "&amp;B641&amp;" "&amp;D641&amp;" "&amp;E641&amp;" "&amp;F641&amp;" "&amp;G641&amp;" "&amp;H641&amp;" "&amp;I641&amp;" "&amp;J641)</f>
        <v/>
      </c>
      <c r="W641" s="216">
        <f>IF(AND('TRA CỨU TỔNG HỢP'!$B$3&lt;&gt;"",ISNUMBER(SEARCH('TRA CỨU TỔNG HỢP'!$B$3,V641))),MAX($W$3:W640)+1,"")</f>
        <v/>
      </c>
    </row>
    <row r="642" ht="15" customHeight="1" s="217">
      <c r="A642" s="354" t="inlineStr">
        <is>
          <t>PERKINS</t>
        </is>
      </c>
      <c r="B642" s="355" t="inlineStr">
        <is>
          <t>HH082794</t>
        </is>
      </c>
      <c r="C642" s="354" t="inlineStr">
        <is>
          <t>BorgWarner</t>
        </is>
      </c>
      <c r="D642" s="354" t="inlineStr">
        <is>
          <t>S2A</t>
        </is>
      </c>
      <c r="E642" s="354" t="n"/>
      <c r="F642" s="356" t="inlineStr">
        <is>
          <t>2674A027</t>
        </is>
      </c>
      <c r="G642" s="354" t="n"/>
      <c r="H642" s="354" t="n"/>
      <c r="I642" s="354" t="n"/>
      <c r="J642" s="357" t="inlineStr">
        <is>
          <t>SL</t>
        </is>
      </c>
      <c r="K642" s="358" t="n"/>
      <c r="L642" s="358" t="n"/>
      <c r="M642" s="358" t="n"/>
      <c r="N642" s="358">
        <f>IF(M642="","",M642*1.1)</f>
        <v/>
      </c>
      <c r="O642" s="359" t="n">
        <v>60.9</v>
      </c>
      <c r="P642" s="359" t="n">
        <v>35.5</v>
      </c>
      <c r="Q642" s="359" t="inlineStr">
        <is>
          <t>7/7</t>
        </is>
      </c>
      <c r="R642" s="359" t="n">
        <v>60.7</v>
      </c>
      <c r="S642" s="359" t="n">
        <v>48.7</v>
      </c>
      <c r="T642" s="359" t="n">
        <v>11</v>
      </c>
      <c r="V642" s="216">
        <f>UPPER(A642&amp;" "&amp;B642&amp;" "&amp;D642&amp;" "&amp;E642&amp;" "&amp;F642&amp;" "&amp;G642&amp;" "&amp;H642&amp;" "&amp;I642&amp;" "&amp;J642)</f>
        <v/>
      </c>
      <c r="W642" s="216">
        <f>IF(AND('TRA CỨU TỔNG HỢP'!$B$3&lt;&gt;"",ISNUMBER(SEARCH('TRA CỨU TỔNG HỢP'!$B$3,V642))),MAX($W$3:W641)+1,"")</f>
        <v/>
      </c>
    </row>
    <row r="643" ht="15" customHeight="1" s="217">
      <c r="A643" s="354" t="inlineStr">
        <is>
          <t>PERKINS</t>
        </is>
      </c>
      <c r="B643" s="355" t="inlineStr">
        <is>
          <t>HH081639</t>
        </is>
      </c>
      <c r="C643" s="354" t="inlineStr">
        <is>
          <t>Garrett</t>
        </is>
      </c>
      <c r="D643" s="354" t="inlineStr">
        <is>
          <t>GT3571S</t>
        </is>
      </c>
      <c r="E643" s="354" t="inlineStr">
        <is>
          <t>Perkins 1106</t>
        </is>
      </c>
      <c r="F643" s="356" t="inlineStr">
        <is>
          <t>709942-0008/2674A349</t>
        </is>
      </c>
      <c r="G643" s="354" t="n"/>
      <c r="H643" s="354" t="n"/>
      <c r="I643" s="354" t="inlineStr">
        <is>
          <t>Perkins 1106, 2674A349</t>
        </is>
      </c>
      <c r="J643" s="357" t="inlineStr">
        <is>
          <t>FIRE</t>
        </is>
      </c>
      <c r="K643" s="358" t="n"/>
      <c r="L643" s="358" t="n"/>
      <c r="M643" s="358" t="n"/>
      <c r="N643" s="358">
        <f>IF(M643="","",M643*1.1)</f>
        <v/>
      </c>
      <c r="O643" s="359" t="n">
        <v>71</v>
      </c>
      <c r="P643" s="359" t="n">
        <v>49.1</v>
      </c>
      <c r="Q643" s="359" t="inlineStr">
        <is>
          <t>6/6</t>
        </is>
      </c>
      <c r="R643" s="359" t="n">
        <v>68</v>
      </c>
      <c r="S643" s="359" t="n">
        <v>57.8</v>
      </c>
      <c r="T643" s="359" t="n">
        <v>12</v>
      </c>
      <c r="V643" s="216">
        <f>UPPER(A643&amp;" "&amp;B643&amp;" "&amp;D643&amp;" "&amp;E643&amp;" "&amp;F643&amp;" "&amp;G643&amp;" "&amp;H643&amp;" "&amp;I643&amp;" "&amp;J643)</f>
        <v/>
      </c>
      <c r="W643" s="216">
        <f>IF(AND('TRA CỨU TỔNG HỢP'!$B$3&lt;&gt;"",ISNUMBER(SEARCH('TRA CỨU TỔNG HỢP'!$B$3,V643))),MAX($W$3:W642)+1,"")</f>
        <v/>
      </c>
    </row>
    <row r="644" ht="15" customHeight="1" s="217">
      <c r="A644" s="340" t="inlineStr">
        <is>
          <t>PERKINS</t>
        </is>
      </c>
      <c r="B644" s="341" t="inlineStr">
        <is>
          <t>HH082045</t>
        </is>
      </c>
      <c r="C644" s="340" t="inlineStr">
        <is>
          <t>Garrett</t>
        </is>
      </c>
      <c r="D644" s="340" t="inlineStr">
        <is>
          <t>GT3571S</t>
        </is>
      </c>
      <c r="E644" s="340" t="inlineStr">
        <is>
          <t>Perkins 1106</t>
        </is>
      </c>
      <c r="F644" s="342" t="inlineStr">
        <is>
          <t>2674A342</t>
        </is>
      </c>
      <c r="G644" s="340" t="n"/>
      <c r="H644" s="340" t="n"/>
      <c r="I644" s="340" t="n"/>
      <c r="J644" s="343" t="inlineStr">
        <is>
          <t>2410</t>
        </is>
      </c>
      <c r="K644" s="344" t="n"/>
      <c r="L644" s="344" t="n"/>
      <c r="M644" s="344" t="n"/>
      <c r="N644" s="344">
        <f>IF(M644="","",M644*1.1)</f>
        <v/>
      </c>
      <c r="O644" s="345" t="n"/>
      <c r="P644" s="345" t="n"/>
      <c r="Q644" s="345" t="n"/>
      <c r="R644" s="345" t="n"/>
      <c r="S644" s="345" t="n"/>
      <c r="T644" s="345" t="n"/>
      <c r="V644" s="216">
        <f>UPPER(A644&amp;" "&amp;B644&amp;" "&amp;D644&amp;" "&amp;E644&amp;" "&amp;F644&amp;" "&amp;G644&amp;" "&amp;H644&amp;" "&amp;I644&amp;" "&amp;J644)</f>
        <v/>
      </c>
      <c r="W644" s="216">
        <f>IF(AND('TRA CỨU TỔNG HỢP'!$B$3&lt;&gt;"",ISNUMBER(SEARCH('TRA CỨU TỔNG HỢP'!$B$3,V644))),MAX($W$3:W643)+1,"")</f>
        <v/>
      </c>
    </row>
    <row r="645" ht="15" customHeight="1" s="217">
      <c r="A645" s="347" t="inlineStr">
        <is>
          <t xml:space="preserve">  └─ PERKINS</t>
        </is>
      </c>
      <c r="B645" s="348" t="inlineStr">
        <is>
          <t>HH082046</t>
        </is>
      </c>
      <c r="C645" s="349" t="inlineStr">
        <is>
          <t>Garrett</t>
        </is>
      </c>
      <c r="D645" s="349" t="inlineStr">
        <is>
          <t>GT3571S</t>
        </is>
      </c>
      <c r="E645" s="349" t="inlineStr">
        <is>
          <t>Perkins 1106</t>
        </is>
      </c>
      <c r="F645" s="350" t="inlineStr">
        <is>
          <t>2674A342</t>
        </is>
      </c>
      <c r="G645" s="349" t="n"/>
      <c r="H645" s="349" t="n"/>
      <c r="I645" s="349" t="n"/>
      <c r="J645" s="351" t="inlineStr">
        <is>
          <t>02G-2410</t>
        </is>
      </c>
      <c r="K645" s="352" t="n"/>
      <c r="L645" s="352" t="n"/>
      <c r="M645" s="352" t="n"/>
      <c r="N645" s="352">
        <f>IF(M645="","",M645*1.1)</f>
        <v/>
      </c>
      <c r="O645" s="353" t="n"/>
      <c r="P645" s="353" t="n"/>
      <c r="Q645" s="353" t="n"/>
      <c r="R645" s="353" t="n"/>
      <c r="S645" s="353" t="n"/>
      <c r="T645" s="353" t="n"/>
      <c r="V645" s="216">
        <f>UPPER(A645&amp;" "&amp;B645&amp;" "&amp;D645&amp;" "&amp;E645&amp;" "&amp;F645&amp;" "&amp;G645&amp;" "&amp;H645&amp;" "&amp;I645&amp;" "&amp;J645)</f>
        <v/>
      </c>
      <c r="W645" s="216">
        <f>IF(AND('TRA CỨU TỔNG HỢP'!$B$3&lt;&gt;"",ISNUMBER(SEARCH('TRA CỨU TỔNG HỢP'!$B$3,V645))),MAX($W$3:W644)+1,"")</f>
        <v/>
      </c>
    </row>
    <row r="646" ht="15" customHeight="1" s="217">
      <c r="A646" s="354" t="inlineStr">
        <is>
          <t>PERKINS</t>
        </is>
      </c>
      <c r="B646" s="355" t="inlineStr">
        <is>
          <t>HH082799</t>
        </is>
      </c>
      <c r="C646" s="354" t="inlineStr">
        <is>
          <t>Garrett</t>
        </is>
      </c>
      <c r="D646" s="354" t="inlineStr">
        <is>
          <t>TBP419</t>
        </is>
      </c>
      <c r="E646" s="354" t="inlineStr">
        <is>
          <t>PERKINS 1106</t>
        </is>
      </c>
      <c r="F646" s="356" t="inlineStr">
        <is>
          <t>2674A059
452089-0003</t>
        </is>
      </c>
      <c r="G646" s="354" t="n"/>
      <c r="H646" s="354" t="n"/>
      <c r="I646" s="354" t="n"/>
      <c r="J646" s="357" t="inlineStr">
        <is>
          <t>FIRE</t>
        </is>
      </c>
      <c r="K646" s="358" t="n"/>
      <c r="L646" s="358" t="n"/>
      <c r="M646" s="358" t="n"/>
      <c r="N646" s="358">
        <f>IF(M646="","",M646*1.1)</f>
        <v/>
      </c>
      <c r="O646" s="359" t="n"/>
      <c r="P646" s="359" t="n"/>
      <c r="Q646" s="359" t="n"/>
      <c r="R646" s="359" t="n"/>
      <c r="S646" s="359" t="n"/>
      <c r="T646" s="359" t="n"/>
      <c r="V646" s="346">
        <f>UPPER(A646&amp;" "&amp;B646&amp;" "&amp;D646&amp;" "&amp;E646&amp;" "&amp;F646&amp;" "&amp;G646&amp;" "&amp;H646&amp;" "&amp;I646&amp;" "&amp;J646)</f>
        <v/>
      </c>
      <c r="W646" s="216">
        <f>IF(AND('TRA CỨU TỔNG HỢP'!$B$3&lt;&gt;"",ISNUMBER(SEARCH('TRA CỨU TỔNG HỢP'!$B$3,V646))),MAX($W$3:W645)+1,"")</f>
        <v/>
      </c>
    </row>
    <row r="647" ht="15" customHeight="1" s="217">
      <c r="A647" s="354" t="inlineStr">
        <is>
          <t>PERKINS</t>
        </is>
      </c>
      <c r="B647" s="355" t="inlineStr">
        <is>
          <t>HH082670</t>
        </is>
      </c>
      <c r="C647" s="354" t="inlineStr">
        <is>
          <t>Garrett</t>
        </is>
      </c>
      <c r="D647" s="354" t="inlineStr">
        <is>
          <t>GT2052S</t>
        </is>
      </c>
      <c r="E647" s="354" t="inlineStr">
        <is>
          <t>Perkins 1004</t>
        </is>
      </c>
      <c r="F647" s="356" t="inlineStr">
        <is>
          <t>727266-0001</t>
        </is>
      </c>
      <c r="G647" s="354" t="n"/>
      <c r="H647" s="354" t="n"/>
      <c r="I647" s="354" t="n"/>
      <c r="J647" s="357" t="inlineStr">
        <is>
          <t>SL</t>
        </is>
      </c>
      <c r="K647" s="358" t="n"/>
      <c r="L647" s="358" t="n"/>
      <c r="M647" s="358" t="n"/>
      <c r="N647" s="358">
        <f>IF(M647="","",M647*1.1)</f>
        <v/>
      </c>
      <c r="O647" s="359" t="n">
        <v>49</v>
      </c>
      <c r="P647" s="359" t="n">
        <v>37.6</v>
      </c>
      <c r="Q647" s="359" t="inlineStr">
        <is>
          <t>6/6</t>
        </is>
      </c>
      <c r="R647" s="359" t="n">
        <v>47</v>
      </c>
      <c r="S647" s="359" t="n">
        <v>40.2</v>
      </c>
      <c r="T647" s="359" t="inlineStr">
        <is>
          <t>12</t>
        </is>
      </c>
      <c r="V647" s="216">
        <f>UPPER(A647&amp;" "&amp;B647&amp;" "&amp;D647&amp;" "&amp;E647&amp;" "&amp;F647&amp;" "&amp;G647&amp;" "&amp;H647&amp;" "&amp;I647&amp;" "&amp;J647)</f>
        <v/>
      </c>
      <c r="W647" s="216">
        <f>IF(AND('TRA CỨU TỔNG HỢP'!$B$3&lt;&gt;"",ISNUMBER(SEARCH('TRA CỨU TỔNG HỢP'!$B$3,V647))),MAX($W$3:W646)+1,"")</f>
        <v/>
      </c>
    </row>
    <row r="648" ht="15" customHeight="1" s="217">
      <c r="A648" s="354" t="inlineStr">
        <is>
          <t>PERKINS</t>
        </is>
      </c>
      <c r="B648" s="355" t="inlineStr">
        <is>
          <t>HH079070</t>
        </is>
      </c>
      <c r="C648" s="354" t="inlineStr">
        <is>
          <t>Garrett</t>
        </is>
      </c>
      <c r="D648" s="354" t="inlineStr">
        <is>
          <t>TB2558</t>
        </is>
      </c>
      <c r="E648" s="354" t="inlineStr">
        <is>
          <t>Perkins 4.0115Ti</t>
        </is>
      </c>
      <c r="F648" s="356" t="inlineStr">
        <is>
          <t>452065-0003</t>
        </is>
      </c>
      <c r="G648" s="354" t="n"/>
      <c r="H648" s="354" t="n"/>
      <c r="I648" s="354" t="n"/>
      <c r="J648" s="357" t="inlineStr">
        <is>
          <t>SL</t>
        </is>
      </c>
      <c r="K648" s="358" t="n"/>
      <c r="L648" s="358" t="n"/>
      <c r="M648" s="358" t="n"/>
      <c r="N648" s="358">
        <f>IF(M648="","",M648*1.1)</f>
        <v/>
      </c>
      <c r="O648" s="359" t="n">
        <v>56</v>
      </c>
      <c r="P648" s="359" t="n">
        <v>41.5</v>
      </c>
      <c r="Q648" s="359" t="inlineStr">
        <is>
          <t>6/6</t>
        </is>
      </c>
      <c r="R648" s="359" t="n">
        <v>53</v>
      </c>
      <c r="S648" s="359" t="n">
        <v>46.2</v>
      </c>
      <c r="T648" s="359" t="n">
        <v>10</v>
      </c>
      <c r="V648" s="216">
        <f>UPPER(A648&amp;" "&amp;B648&amp;" "&amp;D648&amp;" "&amp;E648&amp;" "&amp;F648&amp;" "&amp;G648&amp;" "&amp;H648&amp;" "&amp;I648&amp;" "&amp;J648)</f>
        <v/>
      </c>
      <c r="W648" s="216">
        <f>IF(AND('TRA CỨU TỔNG HỢP'!$B$3&lt;&gt;"",ISNUMBER(SEARCH('TRA CỨU TỔNG HỢP'!$B$3,V648))),MAX($W$3:W647)+1,"")</f>
        <v/>
      </c>
    </row>
    <row r="649" ht="15" customHeight="1" s="217">
      <c r="A649" s="354" t="inlineStr">
        <is>
          <t>PERKINS</t>
        </is>
      </c>
      <c r="B649" s="355" t="inlineStr">
        <is>
          <t>HH075395</t>
        </is>
      </c>
      <c r="C649" s="354" t="inlineStr">
        <is>
          <t>BorgWarner</t>
        </is>
      </c>
      <c r="D649" s="354" t="inlineStr">
        <is>
          <t>B2G</t>
        </is>
      </c>
      <c r="E649" s="354" t="n">
        <v>1106</v>
      </c>
      <c r="F649" s="356" t="inlineStr">
        <is>
          <t>8S02-200-835
2674A256/315-9810/ 1070-197-0002</t>
        </is>
      </c>
      <c r="G649" s="354" t="inlineStr">
        <is>
          <t>điều tốc ở giữa 2 sò</t>
        </is>
      </c>
      <c r="H649" s="354" t="n"/>
      <c r="I649" s="354" t="inlineStr">
        <is>
          <t>8S02-200-835, điều tốc ở giữa 2 sò</t>
        </is>
      </c>
      <c r="J649" s="357" t="inlineStr">
        <is>
          <t>JRONE</t>
        </is>
      </c>
      <c r="K649" s="358" t="n"/>
      <c r="L649" s="358" t="n"/>
      <c r="M649" s="358" t="n"/>
      <c r="N649" s="358">
        <f>IF(M649="","",M649*1.1)</f>
        <v/>
      </c>
      <c r="O649" s="359" t="n">
        <v>78.59999999999999</v>
      </c>
      <c r="P649" s="359" t="n">
        <v>51.8</v>
      </c>
      <c r="Q649" s="359" t="inlineStr">
        <is>
          <t>7/7</t>
        </is>
      </c>
      <c r="R649" s="359" t="n">
        <v>69.59999999999999</v>
      </c>
      <c r="S649" s="359" t="n">
        <v>55.9</v>
      </c>
      <c r="T649" s="359" t="n">
        <v>10</v>
      </c>
      <c r="V649" s="346">
        <f>UPPER(A649&amp;" "&amp;B649&amp;" "&amp;D649&amp;" "&amp;E649&amp;" "&amp;F649&amp;" "&amp;G649&amp;" "&amp;H649&amp;" "&amp;I649&amp;" "&amp;J649)</f>
        <v/>
      </c>
      <c r="W649" s="216">
        <f>IF(AND('TRA CỨU TỔNG HỢP'!$B$3&lt;&gt;"",ISNUMBER(SEARCH('TRA CỨU TỔNG HỢP'!$B$3,V649))),MAX($W$3:W648)+1,"")</f>
        <v/>
      </c>
    </row>
    <row r="650" ht="19.5" customHeight="1" s="217">
      <c r="A650" s="339" t="inlineStr">
        <is>
          <t xml:space="preserve">  🏭  QUANCHAI   ·   1 loại turbo</t>
        </is>
      </c>
      <c r="W650" s="216">
        <f>IF(AND('TRA CỨU TỔNG HỢP'!$B$3&lt;&gt;"",ISNUMBER(SEARCH('TRA CỨU TỔNG HỢP'!$B$3,V650))),MAX($W$3:W649)+1,"")</f>
        <v/>
      </c>
    </row>
    <row r="651" ht="15" customHeight="1" s="217">
      <c r="A651" s="360" t="inlineStr">
        <is>
          <t>QUANCHAI</t>
        </is>
      </c>
      <c r="B651" s="361" t="n"/>
      <c r="C651" s="360" t="inlineStr">
        <is>
          <t>BorgWarner</t>
        </is>
      </c>
      <c r="D651" s="360" t="inlineStr">
        <is>
          <t>JP50</t>
        </is>
      </c>
      <c r="E651" s="360" t="n"/>
      <c r="F651" s="362" t="inlineStr">
        <is>
          <t>1408506300103</t>
        </is>
      </c>
      <c r="G651" s="360" t="n"/>
      <c r="H651" s="360" t="n"/>
      <c r="I651" s="360" t="n"/>
      <c r="J651" s="363" t="n"/>
      <c r="K651" s="364" t="n"/>
      <c r="L651" s="364" t="n"/>
      <c r="M651" s="364" t="n"/>
      <c r="N651" s="364" t="n"/>
      <c r="O651" s="365" t="n"/>
      <c r="P651" s="365" t="n"/>
      <c r="Q651" s="365" t="n"/>
      <c r="R651" s="365" t="n"/>
      <c r="S651" s="365" t="n"/>
      <c r="T651" s="365" t="n"/>
      <c r="V651" s="216">
        <f>UPPER(A651&amp;" "&amp;B651&amp;" "&amp;D651&amp;" "&amp;E651&amp;" "&amp;F651&amp;" "&amp;G651&amp;" "&amp;H651&amp;" "&amp;I651&amp;" "&amp;J651)</f>
        <v/>
      </c>
      <c r="W651" s="216">
        <f>IF(AND('TRA CỨU TỔNG HỢP'!$B$3&lt;&gt;"",ISNUMBER(SEARCH('TRA CỨU TỔNG HỢP'!$B$3,V651))),MAX($W$3:W650)+1,"")</f>
        <v/>
      </c>
    </row>
    <row r="652" ht="19.5" customHeight="1" s="217">
      <c r="A652" s="339" t="inlineStr">
        <is>
          <t xml:space="preserve">  🏭  SUMITOMO   ·   4 loại turbo</t>
        </is>
      </c>
      <c r="W652" s="216">
        <f>IF(AND('TRA CỨU TỔNG HỢP'!$B$3&lt;&gt;"",ISNUMBER(SEARCH('TRA CỨU TỔNG HỢP'!$B$3,V652))),MAX($W$3:W651)+1,"")</f>
        <v/>
      </c>
    </row>
    <row r="653" ht="15" customHeight="1" s="217">
      <c r="A653" s="340" t="inlineStr">
        <is>
          <t>SUMITOMO</t>
        </is>
      </c>
      <c r="B653" s="341" t="inlineStr">
        <is>
          <t>HH081735</t>
        </is>
      </c>
      <c r="C653" s="340" t="inlineStr">
        <is>
          <t>Mitsubishi</t>
        </is>
      </c>
      <c r="D653" s="340" t="inlineStr">
        <is>
          <t>TD05-10A</t>
        </is>
      </c>
      <c r="E653" s="340" t="inlineStr">
        <is>
          <t>4D31T/4D56Q</t>
        </is>
      </c>
      <c r="F653" s="342" t="inlineStr">
        <is>
          <t>49178-00500/49178-00510
49178-00520 /49178-00530 
49178-00540 /49178-00550
M013134/ME080098</t>
        </is>
      </c>
      <c r="G653" s="373" t="inlineStr">
        <is>
          <t>Chân tam giác tâm lỗ 70
(cổ turbo 3 chân)</t>
        </is>
      </c>
      <c r="H653" s="340" t="inlineStr">
        <is>
          <t>SH120/HD450</t>
        </is>
      </c>
      <c r="I653" s="340" t="n"/>
      <c r="J653" s="343" t="inlineStr">
        <is>
          <t>TBS</t>
        </is>
      </c>
      <c r="K653" s="344" t="n"/>
      <c r="L653" s="344" t="n"/>
      <c r="M653" s="344" t="n"/>
      <c r="N653" s="344">
        <f>IF(M653="","",M653*1.1)</f>
        <v/>
      </c>
      <c r="O653" s="345" t="n">
        <v>54</v>
      </c>
      <c r="P653" s="345" t="n">
        <v>37</v>
      </c>
      <c r="Q653" s="345" t="inlineStr">
        <is>
          <t>7/7</t>
        </is>
      </c>
      <c r="R653" s="345" t="n">
        <v>56.4</v>
      </c>
      <c r="S653" s="345" t="n">
        <v>47.6</v>
      </c>
      <c r="T653" s="345" t="n">
        <v>12</v>
      </c>
      <c r="V653" s="346">
        <f>UPPER(A653&amp;" "&amp;B653&amp;" "&amp;D653&amp;" "&amp;E653&amp;" "&amp;F653&amp;" "&amp;G653&amp;" "&amp;H653&amp;" "&amp;I653&amp;" "&amp;J653)</f>
        <v/>
      </c>
      <c r="W653" s="216">
        <f>IF(AND('TRA CỨU TỔNG HỢP'!$B$3&lt;&gt;"",ISNUMBER(SEARCH('TRA CỨU TỔNG HỢP'!$B$3,V653))),MAX($W$3:W652)+1,"")</f>
        <v/>
      </c>
    </row>
    <row r="654" ht="15" customHeight="1" s="217">
      <c r="A654" s="347" t="inlineStr">
        <is>
          <t xml:space="preserve">  └─ SUMITOMO</t>
        </is>
      </c>
      <c r="B654" s="348" t="inlineStr">
        <is>
          <t>HH070621</t>
        </is>
      </c>
      <c r="C654" s="349" t="inlineStr">
        <is>
          <t>Mitsubishi</t>
        </is>
      </c>
      <c r="D654" s="349" t="inlineStr">
        <is>
          <t>TD05-10A</t>
        </is>
      </c>
      <c r="E654" s="349" t="inlineStr">
        <is>
          <t>4D31T/4D56Q</t>
        </is>
      </c>
      <c r="F654" s="350" t="inlineStr">
        <is>
          <t>49178-00500/49178-00510
49178-00520 /49178-00530 
49178-00540 /49178-00550
M013134/ME080098</t>
        </is>
      </c>
      <c r="G654" s="374" t="inlineStr">
        <is>
          <t>Chân tam giác tâm lỗ 70
(cổ turbo 3 chân)</t>
        </is>
      </c>
      <c r="H654" s="349" t="inlineStr">
        <is>
          <t>SH120/HD450</t>
        </is>
      </c>
      <c r="I654" s="349" t="n"/>
      <c r="J654" s="351" t="inlineStr">
        <is>
          <t>SL</t>
        </is>
      </c>
      <c r="K654" s="352" t="n"/>
      <c r="L654" s="352" t="n"/>
      <c r="M654" s="352" t="n"/>
      <c r="N654" s="352">
        <f>IF(M654="","",M654*1.1)</f>
        <v/>
      </c>
      <c r="O654" s="353" t="n">
        <v>54</v>
      </c>
      <c r="P654" s="353" t="n">
        <v>37</v>
      </c>
      <c r="Q654" s="353" t="inlineStr">
        <is>
          <t>7/7</t>
        </is>
      </c>
      <c r="R654" s="353" t="n">
        <v>56.4</v>
      </c>
      <c r="S654" s="353" t="n">
        <v>47.6</v>
      </c>
      <c r="T654" s="353" t="n">
        <v>12</v>
      </c>
      <c r="V654" s="346">
        <f>UPPER(A654&amp;" "&amp;B654&amp;" "&amp;D654&amp;" "&amp;E654&amp;" "&amp;F654&amp;" "&amp;G654&amp;" "&amp;H654&amp;" "&amp;I654&amp;" "&amp;J654)</f>
        <v/>
      </c>
      <c r="W654" s="216">
        <f>IF(AND('TRA CỨU TỔNG HỢP'!$B$3&lt;&gt;"",ISNUMBER(SEARCH('TRA CỨU TỔNG HỢP'!$B$3,V654))),MAX($W$3:W653)+1,"")</f>
        <v/>
      </c>
    </row>
    <row r="655" ht="15" customHeight="1" s="217">
      <c r="A655" s="347" t="inlineStr">
        <is>
          <t xml:space="preserve">  └─ SUMITOMO</t>
        </is>
      </c>
      <c r="B655" s="348" t="inlineStr">
        <is>
          <t>HH080008</t>
        </is>
      </c>
      <c r="C655" s="349" t="inlineStr">
        <is>
          <t>Mitsubishi</t>
        </is>
      </c>
      <c r="D655" s="349" t="inlineStr">
        <is>
          <t>TD05-10A</t>
        </is>
      </c>
      <c r="E655" s="349" t="inlineStr">
        <is>
          <t>4D31T/4D56Q</t>
        </is>
      </c>
      <c r="F655" s="350" t="inlineStr">
        <is>
          <t>49178-00500/49178-00510
49178-00520 /49178-00530 
49178-00540 /49178-00550
M013134/ME080098</t>
        </is>
      </c>
      <c r="G655" s="374" t="inlineStr">
        <is>
          <t>Chân tam giác tâm lỗ 70
(cổ turbo 3 chân)</t>
        </is>
      </c>
      <c r="H655" s="349" t="inlineStr">
        <is>
          <t>SH120/HD450</t>
        </is>
      </c>
      <c r="I655" s="349" t="n"/>
      <c r="J655" s="351" t="inlineStr">
        <is>
          <t>SL</t>
        </is>
      </c>
      <c r="K655" s="352" t="n"/>
      <c r="L655" s="352" t="n"/>
      <c r="M655" s="352" t="n"/>
      <c r="N655" s="352">
        <f>IF(M655="","",M655*1.1)</f>
        <v/>
      </c>
      <c r="O655" s="353" t="n">
        <v>54</v>
      </c>
      <c r="P655" s="353" t="n">
        <v>37</v>
      </c>
      <c r="Q655" s="353" t="inlineStr">
        <is>
          <t>7/7</t>
        </is>
      </c>
      <c r="R655" s="353" t="n">
        <v>56.4</v>
      </c>
      <c r="S655" s="353" t="n">
        <v>47.6</v>
      </c>
      <c r="T655" s="353" t="n">
        <v>12</v>
      </c>
      <c r="V655" s="346">
        <f>UPPER(A655&amp;" "&amp;B655&amp;" "&amp;D655&amp;" "&amp;E655&amp;" "&amp;F655&amp;" "&amp;G655&amp;" "&amp;H655&amp;" "&amp;I655&amp;" "&amp;J655)</f>
        <v/>
      </c>
      <c r="W655" s="216">
        <f>IF(AND('TRA CỨU TỔNG HỢP'!$B$3&lt;&gt;"",ISNUMBER(SEARCH('TRA CỨU TỔNG HỢP'!$B$3,V655))),MAX($W$3:W654)+1,"")</f>
        <v/>
      </c>
    </row>
    <row r="656" ht="15" customHeight="1" s="217">
      <c r="A656" s="354" t="inlineStr">
        <is>
          <t>SUMITOMO</t>
        </is>
      </c>
      <c r="B656" s="355" t="inlineStr">
        <is>
          <t>HH084185</t>
        </is>
      </c>
      <c r="C656" s="354" t="inlineStr">
        <is>
          <t>Mitsubishi</t>
        </is>
      </c>
      <c r="D656" s="354" t="inlineStr">
        <is>
          <t>TD06</t>
        </is>
      </c>
      <c r="E656" s="354" t="inlineStr">
        <is>
          <t>4D31</t>
        </is>
      </c>
      <c r="F656" s="356" t="inlineStr">
        <is>
          <t>ME013734/ 49179-00230</t>
        </is>
      </c>
      <c r="G656" s="354" t="n"/>
      <c r="H656" s="354" t="n"/>
      <c r="I656" s="354" t="inlineStr">
        <is>
          <t>có H/A</t>
        </is>
      </c>
      <c r="J656" s="357" t="inlineStr">
        <is>
          <t>SL</t>
        </is>
      </c>
      <c r="K656" s="358" t="n"/>
      <c r="L656" s="358" t="n"/>
      <c r="M656" s="358" t="n"/>
      <c r="N656" s="358">
        <f>IF(M656="","",M656*1.1)</f>
        <v/>
      </c>
      <c r="O656" s="359" t="n"/>
      <c r="P656" s="359" t="n"/>
      <c r="Q656" s="359" t="n"/>
      <c r="R656" s="359" t="n"/>
      <c r="S656" s="359" t="n"/>
      <c r="T656" s="359" t="n"/>
      <c r="V656" s="216">
        <f>UPPER(A656&amp;" "&amp;B656&amp;" "&amp;D656&amp;" "&amp;E656&amp;" "&amp;F656&amp;" "&amp;G656&amp;" "&amp;H656&amp;" "&amp;I656&amp;" "&amp;J656)</f>
        <v/>
      </c>
      <c r="W656" s="216">
        <f>IF(AND('TRA CỨU TỔNG HỢP'!$B$3&lt;&gt;"",ISNUMBER(SEARCH('TRA CỨU TỔNG HỢP'!$B$3,V656))),MAX($W$3:W655)+1,"")</f>
        <v/>
      </c>
    </row>
    <row r="657" ht="15" customHeight="1" s="217">
      <c r="A657" s="340" t="inlineStr">
        <is>
          <t>SUMITOMO</t>
        </is>
      </c>
      <c r="B657" s="341" t="inlineStr">
        <is>
          <t>HH073014</t>
        </is>
      </c>
      <c r="C657" s="340" t="inlineStr">
        <is>
          <t>Mitsubishi</t>
        </is>
      </c>
      <c r="D657" s="340" t="inlineStr">
        <is>
          <t>TD04H-13G</t>
        </is>
      </c>
      <c r="E657" s="340" t="inlineStr">
        <is>
          <t>4D31T</t>
        </is>
      </c>
      <c r="F657" s="342" t="inlineStr">
        <is>
          <t>ME080442/49189-00800/49189-00810
ME080443</t>
        </is>
      </c>
      <c r="G657" s="373" t="inlineStr">
        <is>
          <t>Tâm lỗ bu lông 41 x 73
(cổ turbo 4 chân)
Lỗ bu lông 10mm</t>
        </is>
      </c>
      <c r="H657" s="373" t="inlineStr">
        <is>
          <t>SH260/SH265/HD450-7 
 E312C</t>
        </is>
      </c>
      <c r="I657" s="340" t="n"/>
      <c r="J657" s="343" t="inlineStr">
        <is>
          <t>SL</t>
        </is>
      </c>
      <c r="K657" s="344" t="n"/>
      <c r="L657" s="344" t="n"/>
      <c r="M657" s="344" t="n"/>
      <c r="N657" s="344">
        <f>IF(M657="","",M657*1.1)</f>
        <v/>
      </c>
      <c r="O657" s="345" t="n">
        <v>54</v>
      </c>
      <c r="P657" s="345" t="n">
        <v>37</v>
      </c>
      <c r="Q657" s="345" t="inlineStr">
        <is>
          <t>7/7</t>
        </is>
      </c>
      <c r="R657" s="345" t="n">
        <v>56.4</v>
      </c>
      <c r="S657" s="345" t="n">
        <v>47.6</v>
      </c>
      <c r="T657" s="345" t="n">
        <v>12</v>
      </c>
      <c r="V657" s="346">
        <f>UPPER(A657&amp;" "&amp;B657&amp;" "&amp;D657&amp;" "&amp;E657&amp;" "&amp;F657&amp;" "&amp;G657&amp;" "&amp;H657&amp;" "&amp;I657&amp;" "&amp;J657)</f>
        <v/>
      </c>
      <c r="W657" s="216">
        <f>IF(AND('TRA CỨU TỔNG HỢP'!$B$3&lt;&gt;"",ISNUMBER(SEARCH('TRA CỨU TỔNG HỢP'!$B$3,V657))),MAX($W$3:W656)+1,"")</f>
        <v/>
      </c>
    </row>
    <row r="658" ht="15" customHeight="1" s="217">
      <c r="A658" s="347" t="inlineStr">
        <is>
          <t xml:space="preserve">  └─ SUMITOMO</t>
        </is>
      </c>
      <c r="B658" s="348" t="inlineStr">
        <is>
          <t>HH080009</t>
        </is>
      </c>
      <c r="C658" s="349" t="inlineStr">
        <is>
          <t>Mitsubishi</t>
        </is>
      </c>
      <c r="D658" s="349" t="inlineStr">
        <is>
          <t>TD04H-13G</t>
        </is>
      </c>
      <c r="E658" s="349" t="inlineStr">
        <is>
          <t>4D31T</t>
        </is>
      </c>
      <c r="F658" s="350" t="inlineStr">
        <is>
          <t>ME080442/49189-00800/49189-00810
ME080443</t>
        </is>
      </c>
      <c r="G658" s="374" t="inlineStr">
        <is>
          <t>Tâm lỗ bu lông 41 x 73
(cổ turbo 4 chân)
Lỗ bu lông 10mm</t>
        </is>
      </c>
      <c r="H658" s="374" t="inlineStr">
        <is>
          <t>SH260/SH265/HD450-7 
 E312C</t>
        </is>
      </c>
      <c r="I658" s="349" t="n"/>
      <c r="J658" s="351" t="n"/>
      <c r="K658" s="352" t="n"/>
      <c r="L658" s="352" t="n"/>
      <c r="M658" s="352" t="n"/>
      <c r="N658" s="352">
        <f>IF(M658="","",M658*1.1)</f>
        <v/>
      </c>
      <c r="O658" s="353" t="n">
        <v>54</v>
      </c>
      <c r="P658" s="353" t="n">
        <v>37</v>
      </c>
      <c r="Q658" s="353" t="inlineStr">
        <is>
          <t>7/7</t>
        </is>
      </c>
      <c r="R658" s="353" t="n">
        <v>56.4</v>
      </c>
      <c r="S658" s="353" t="n">
        <v>47.6</v>
      </c>
      <c r="T658" s="353" t="n">
        <v>12</v>
      </c>
      <c r="V658" s="346">
        <f>UPPER(A658&amp;" "&amp;B658&amp;" "&amp;D658&amp;" "&amp;E658&amp;" "&amp;F658&amp;" "&amp;G658&amp;" "&amp;H658&amp;" "&amp;I658&amp;" "&amp;J658)</f>
        <v/>
      </c>
      <c r="W658" s="216">
        <f>IF(AND('TRA CỨU TỔNG HỢP'!$B$3&lt;&gt;"",ISNUMBER(SEARCH('TRA CỨU TỔNG HỢP'!$B$3,V658))),MAX($W$3:W657)+1,"")</f>
        <v/>
      </c>
    </row>
    <row r="659" ht="15" customHeight="1" s="217">
      <c r="A659" s="340" t="inlineStr">
        <is>
          <t>SUMITOMO</t>
        </is>
      </c>
      <c r="B659" s="341" t="inlineStr">
        <is>
          <t>HH070613</t>
        </is>
      </c>
      <c r="C659" s="340" t="inlineStr">
        <is>
          <t>Garrett</t>
        </is>
      </c>
      <c r="D659" s="340" t="inlineStr">
        <is>
          <t>TB4150/RHB7</t>
        </is>
      </c>
      <c r="E659" s="340" t="inlineStr">
        <is>
          <t>6BD1</t>
        </is>
      </c>
      <c r="F659" s="342"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59" s="340" t="inlineStr">
        <is>
          <t>Tâm lỗ bu lông: 70 x 82.5</t>
        </is>
      </c>
      <c r="H659" s="373" t="inlineStr">
        <is>
          <t>EX280/ S280 / SH280
 EX200LCK/UH07-7</t>
        </is>
      </c>
      <c r="I659" s="340" t="n"/>
      <c r="J659" s="343" t="inlineStr">
        <is>
          <t>SL</t>
        </is>
      </c>
      <c r="K659" s="344" t="n"/>
      <c r="L659" s="344" t="n"/>
      <c r="M659" s="344" t="n"/>
      <c r="N659" s="344">
        <f>IF(M659="","",M659*1.1)</f>
        <v/>
      </c>
      <c r="O659" s="345" t="n"/>
      <c r="P659" s="345" t="n"/>
      <c r="Q659" s="345" t="n"/>
      <c r="R659" s="345" t="n"/>
      <c r="S659" s="345" t="n"/>
      <c r="T659" s="345" t="n"/>
      <c r="V659" s="346">
        <f>UPPER(A659&amp;" "&amp;B659&amp;" "&amp;D659&amp;" "&amp;E659&amp;" "&amp;F659&amp;" "&amp;G659&amp;" "&amp;H659&amp;" "&amp;I659&amp;" "&amp;J659)</f>
        <v/>
      </c>
      <c r="W659" s="216">
        <f>IF(AND('TRA CỨU TỔNG HỢP'!$B$3&lt;&gt;"",ISNUMBER(SEARCH('TRA CỨU TỔNG HỢP'!$B$3,V659))),MAX($W$3:W658)+1,"")</f>
        <v/>
      </c>
    </row>
    <row r="660" ht="15" customHeight="1" s="217">
      <c r="A660" s="347" t="inlineStr">
        <is>
          <t xml:space="preserve">  └─ SUMITOMO</t>
        </is>
      </c>
      <c r="B660" s="348" t="inlineStr">
        <is>
          <t>HH081576</t>
        </is>
      </c>
      <c r="C660" s="349" t="inlineStr">
        <is>
          <t>Garrett</t>
        </is>
      </c>
      <c r="D660" s="349" t="inlineStr">
        <is>
          <t>TB4150/RHB7</t>
        </is>
      </c>
      <c r="E660" s="349" t="inlineStr">
        <is>
          <t>6BD1</t>
        </is>
      </c>
      <c r="F660" s="350"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60" s="349" t="inlineStr">
        <is>
          <t>Tâm lỗ bu lông: 70 x 82.5</t>
        </is>
      </c>
      <c r="H660" s="374" t="inlineStr">
        <is>
          <t>EX280/ S280 / SH280
 EX200LCK/UH07-7</t>
        </is>
      </c>
      <c r="I660" s="349" t="n"/>
      <c r="J660" s="351" t="inlineStr">
        <is>
          <t>TBS</t>
        </is>
      </c>
      <c r="K660" s="352" t="n"/>
      <c r="L660" s="352" t="n"/>
      <c r="M660" s="352" t="n"/>
      <c r="N660" s="352">
        <f>IF(M660="","",M660*1.1)</f>
        <v/>
      </c>
      <c r="O660" s="353" t="n"/>
      <c r="P660" s="353" t="n"/>
      <c r="Q660" s="353" t="n"/>
      <c r="R660" s="353" t="n"/>
      <c r="S660" s="353" t="n"/>
      <c r="T660" s="353" t="n"/>
      <c r="V660" s="346">
        <f>UPPER(A660&amp;" "&amp;B660&amp;" "&amp;D660&amp;" "&amp;E660&amp;" "&amp;F660&amp;" "&amp;G660&amp;" "&amp;H660&amp;" "&amp;I660&amp;" "&amp;J660)</f>
        <v/>
      </c>
      <c r="W660" s="216">
        <f>IF(AND('TRA CỨU TỔNG HỢP'!$B$3&lt;&gt;"",ISNUMBER(SEARCH('TRA CỨU TỔNG HỢP'!$B$3,V660))),MAX($W$3:W659)+1,"")</f>
        <v/>
      </c>
    </row>
    <row r="661" ht="15" customHeight="1" s="217">
      <c r="A661" s="347" t="inlineStr">
        <is>
          <t xml:space="preserve">  └─ SUMITOMO</t>
        </is>
      </c>
      <c r="B661" s="348" t="inlineStr">
        <is>
          <t>HH080010</t>
        </is>
      </c>
      <c r="C661" s="349" t="inlineStr">
        <is>
          <t>Garrett</t>
        </is>
      </c>
      <c r="D661" s="349" t="inlineStr">
        <is>
          <t>TB4150/RHB7</t>
        </is>
      </c>
      <c r="E661" s="349" t="inlineStr">
        <is>
          <t>6BD1</t>
        </is>
      </c>
      <c r="F661" s="350"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61" s="349" t="inlineStr">
        <is>
          <t>Tâm lỗ bu lông: 70 x 82.5</t>
        </is>
      </c>
      <c r="H661" s="374" t="inlineStr">
        <is>
          <t>EX280/ S280 / SH280
 EX200LCK/UH07-7</t>
        </is>
      </c>
      <c r="I661" s="349" t="n"/>
      <c r="J661" s="351" t="n"/>
      <c r="K661" s="352" t="n"/>
      <c r="L661" s="352" t="n"/>
      <c r="M661" s="352" t="n"/>
      <c r="N661" s="352">
        <f>IF(M661="","",M661*1.1)</f>
        <v/>
      </c>
      <c r="O661" s="353" t="n"/>
      <c r="P661" s="353" t="n"/>
      <c r="Q661" s="353" t="n"/>
      <c r="R661" s="353" t="n"/>
      <c r="S661" s="353" t="n"/>
      <c r="T661" s="353" t="n"/>
      <c r="V661" s="346">
        <f>UPPER(A661&amp;" "&amp;B661&amp;" "&amp;D661&amp;" "&amp;E661&amp;" "&amp;F661&amp;" "&amp;G661&amp;" "&amp;H661&amp;" "&amp;I661&amp;" "&amp;J661)</f>
        <v/>
      </c>
      <c r="W661" s="216">
        <f>IF(AND('TRA CỨU TỔNG HỢP'!$B$3&lt;&gt;"",ISNUMBER(SEARCH('TRA CỨU TỔNG HỢP'!$B$3,V661))),MAX($W$3:W660)+1,"")</f>
        <v/>
      </c>
    </row>
    <row r="662" ht="15" customHeight="1" s="217">
      <c r="A662" s="367" t="inlineStr">
        <is>
          <t>SUMITOMO</t>
        </is>
      </c>
      <c r="B662" s="368" t="n"/>
      <c r="C662" s="367" t="inlineStr">
        <is>
          <t>IHI</t>
        </is>
      </c>
      <c r="D662" s="367" t="inlineStr">
        <is>
          <t>RHF55</t>
        </is>
      </c>
      <c r="E662" s="367" t="inlineStr">
        <is>
          <t>4HK1</t>
        </is>
      </c>
      <c r="F662" s="369" t="inlineStr">
        <is>
          <t>VA440051, 8980302170, 8980302171</t>
        </is>
      </c>
      <c r="G662" s="367" t="n"/>
      <c r="H662" s="367" t="inlineStr">
        <is>
          <t>CH210-IS-5, SH210, SH240/SH200-5</t>
        </is>
      </c>
      <c r="I662" s="367" t="inlineStr">
        <is>
          <t>có hàng jrone</t>
        </is>
      </c>
      <c r="J662" s="370" t="n"/>
      <c r="K662" s="371" t="n"/>
      <c r="L662" s="371" t="n"/>
      <c r="M662" s="371" t="n"/>
      <c r="N662" s="371" t="n"/>
      <c r="O662" s="372" t="n">
        <v>60</v>
      </c>
      <c r="P662" s="372" t="n">
        <v>43</v>
      </c>
      <c r="Q662" s="372" t="inlineStr">
        <is>
          <t>6/6</t>
        </is>
      </c>
      <c r="R662" s="372" t="n">
        <v>56</v>
      </c>
      <c r="S662" s="372" t="n">
        <v>50.9</v>
      </c>
      <c r="T662" s="372" t="n">
        <v>11</v>
      </c>
      <c r="V662" s="216">
        <f>UPPER(A662&amp;" "&amp;B662&amp;" "&amp;D662&amp;" "&amp;E662&amp;" "&amp;F662&amp;" "&amp;G662&amp;" "&amp;H662&amp;" "&amp;I662&amp;" "&amp;J662)</f>
        <v/>
      </c>
      <c r="W662" s="216">
        <f>IF(AND('TRA CỨU TỔNG HỢP'!$B$3&lt;&gt;"",ISNUMBER(SEARCH('TRA CỨU TỔNG HỢP'!$B$3,V662))),MAX($W$3:W661)+1,"")</f>
        <v/>
      </c>
    </row>
    <row r="663" ht="19.5" customHeight="1" s="217">
      <c r="A663" s="339" t="inlineStr">
        <is>
          <t xml:space="preserve">  🏭  TOYOTA   ·   6 loại turbo</t>
        </is>
      </c>
      <c r="W663" s="216">
        <f>IF(AND('TRA CỨU TỔNG HỢP'!$B$3&lt;&gt;"",ISNUMBER(SEARCH('TRA CỨU TỔNG HỢP'!$B$3,V663))),MAX($W$3:W662)+1,"")</f>
        <v/>
      </c>
    </row>
    <row r="664" ht="15" customHeight="1" s="217">
      <c r="A664" s="340" t="inlineStr">
        <is>
          <t>TOYOTA</t>
        </is>
      </c>
      <c r="B664" s="341" t="inlineStr">
        <is>
          <t>HH078577</t>
        </is>
      </c>
      <c r="C664" s="340" t="inlineStr">
        <is>
          <t>IHI</t>
        </is>
      </c>
      <c r="D664" s="340" t="inlineStr">
        <is>
          <t>CT16</t>
        </is>
      </c>
      <c r="E664" s="340" t="inlineStr">
        <is>
          <t>2KD-FTV</t>
        </is>
      </c>
      <c r="F664" s="342" t="inlineStr">
        <is>
          <t>17201-30080</t>
        </is>
      </c>
      <c r="G664" s="340" t="n"/>
      <c r="H664" s="340" t="inlineStr">
        <is>
          <t>Hiace</t>
        </is>
      </c>
      <c r="I664" s="340" t="inlineStr">
        <is>
          <t>xem hình trên TBS</t>
        </is>
      </c>
      <c r="J664" s="343" t="inlineStr">
        <is>
          <t>SL</t>
        </is>
      </c>
      <c r="K664" s="344" t="n"/>
      <c r="L664" s="344" t="n"/>
      <c r="M664" s="344" t="n"/>
      <c r="N664" s="344">
        <f>IF(M664="","",M664*1.1)</f>
        <v/>
      </c>
      <c r="O664" s="345" t="n"/>
      <c r="P664" s="345" t="n"/>
      <c r="Q664" s="345" t="n"/>
      <c r="R664" s="345" t="n"/>
      <c r="S664" s="345" t="n"/>
      <c r="T664" s="345" t="n"/>
      <c r="V664" s="216">
        <f>UPPER(A664&amp;" "&amp;B664&amp;" "&amp;D664&amp;" "&amp;E664&amp;" "&amp;F664&amp;" "&amp;G664&amp;" "&amp;H664&amp;" "&amp;I664&amp;" "&amp;J664)</f>
        <v/>
      </c>
      <c r="W664" s="216">
        <f>IF(AND('TRA CỨU TỔNG HỢP'!$B$3&lt;&gt;"",ISNUMBER(SEARCH('TRA CỨU TỔNG HỢP'!$B$3,V664))),MAX($W$3:W663)+1,"")</f>
        <v/>
      </c>
    </row>
    <row r="665" ht="15" customHeight="1" s="217">
      <c r="A665" s="347" t="inlineStr">
        <is>
          <t xml:space="preserve">  └─ TOYOTA</t>
        </is>
      </c>
      <c r="B665" s="348" t="inlineStr">
        <is>
          <t>HH079549</t>
        </is>
      </c>
      <c r="C665" s="349" t="inlineStr">
        <is>
          <t>IHI</t>
        </is>
      </c>
      <c r="D665" s="349" t="inlineStr">
        <is>
          <t>CT16</t>
        </is>
      </c>
      <c r="E665" s="349" t="inlineStr">
        <is>
          <t>2KD-FTV</t>
        </is>
      </c>
      <c r="F665" s="350" t="inlineStr">
        <is>
          <t>17201-30080</t>
        </is>
      </c>
      <c r="G665" s="349" t="n"/>
      <c r="H665" s="349" t="inlineStr">
        <is>
          <t>Hiace</t>
        </is>
      </c>
      <c r="I665" s="349" t="inlineStr">
        <is>
          <t>xem hình trên TBS</t>
        </is>
      </c>
      <c r="J665" s="351" t="inlineStr">
        <is>
          <t>SL</t>
        </is>
      </c>
      <c r="K665" s="352" t="n"/>
      <c r="L665" s="352" t="n"/>
      <c r="M665" s="352" t="n"/>
      <c r="N665" s="352">
        <f>IF(M665="","",M665*1.1)</f>
        <v/>
      </c>
      <c r="O665" s="353" t="n"/>
      <c r="P665" s="353" t="n"/>
      <c r="Q665" s="353" t="n"/>
      <c r="R665" s="353" t="n"/>
      <c r="S665" s="353" t="n"/>
      <c r="T665" s="353" t="n"/>
      <c r="V665" s="216">
        <f>UPPER(A665&amp;" "&amp;B665&amp;" "&amp;D665&amp;" "&amp;E665&amp;" "&amp;F665&amp;" "&amp;G665&amp;" "&amp;H665&amp;" "&amp;I665&amp;" "&amp;J665)</f>
        <v/>
      </c>
      <c r="W665" s="216">
        <f>IF(AND('TRA CỨU TỔNG HỢP'!$B$3&lt;&gt;"",ISNUMBER(SEARCH('TRA CỨU TỔNG HỢP'!$B$3,V665))),MAX($W$3:W664)+1,"")</f>
        <v/>
      </c>
    </row>
    <row r="666" ht="15" customHeight="1" s="217">
      <c r="A666" s="354" t="inlineStr">
        <is>
          <t>TOYOTA</t>
        </is>
      </c>
      <c r="B666" s="355" t="inlineStr">
        <is>
          <t>HH082355</t>
        </is>
      </c>
      <c r="C666" s="354" t="inlineStr">
        <is>
          <t>IHI</t>
        </is>
      </c>
      <c r="D666" s="354" t="inlineStr">
        <is>
          <t>CT16</t>
        </is>
      </c>
      <c r="E666" s="354" t="inlineStr">
        <is>
          <t>2KD-FTV</t>
        </is>
      </c>
      <c r="F666" s="356" t="inlineStr">
        <is>
          <t>17201-OL030
17202-0L030</t>
        </is>
      </c>
      <c r="G666" s="354" t="inlineStr">
        <is>
          <t>ko làm mát nước</t>
        </is>
      </c>
      <c r="H666" s="354" t="inlineStr">
        <is>
          <t>HILUX</t>
        </is>
      </c>
      <c r="I666" s="354" t="n"/>
      <c r="J666" s="357" t="inlineStr">
        <is>
          <t>SL</t>
        </is>
      </c>
      <c r="K666" s="358" t="n"/>
      <c r="L666" s="358" t="n"/>
      <c r="M666" s="358" t="n"/>
      <c r="N666" s="358">
        <f>IF(M666="","",M666*1.1)</f>
        <v/>
      </c>
      <c r="O666" s="359" t="n">
        <v>51</v>
      </c>
      <c r="P666" s="359" t="n">
        <v>36</v>
      </c>
      <c r="Q666" s="359" t="inlineStr">
        <is>
          <t>6/6</t>
        </is>
      </c>
      <c r="R666" s="359" t="n">
        <v>45.7</v>
      </c>
      <c r="S666" s="359" t="n">
        <v>38</v>
      </c>
      <c r="T666" s="359" t="inlineStr">
        <is>
          <t>9</t>
        </is>
      </c>
      <c r="V666" s="346">
        <f>UPPER(A666&amp;" "&amp;B666&amp;" "&amp;D666&amp;" "&amp;E666&amp;" "&amp;F666&amp;" "&amp;G666&amp;" "&amp;H666&amp;" "&amp;I666&amp;" "&amp;J666)</f>
        <v/>
      </c>
      <c r="W666" s="216">
        <f>IF(AND('TRA CỨU TỔNG HỢP'!$B$3&lt;&gt;"",ISNUMBER(SEARCH('TRA CỨU TỔNG HỢP'!$B$3,V666))),MAX($W$3:W665)+1,"")</f>
        <v/>
      </c>
    </row>
    <row r="667" ht="15" customHeight="1" s="217">
      <c r="A667" s="340" t="inlineStr">
        <is>
          <t>TOYOTA</t>
        </is>
      </c>
      <c r="B667" s="341" t="inlineStr">
        <is>
          <t>HH079002</t>
        </is>
      </c>
      <c r="C667" s="340" t="inlineStr">
        <is>
          <t>IHI</t>
        </is>
      </c>
      <c r="D667" s="340" t="inlineStr">
        <is>
          <t>CT16V</t>
        </is>
      </c>
      <c r="E667" s="340" t="inlineStr">
        <is>
          <t>1KD</t>
        </is>
      </c>
      <c r="F667" s="342" t="inlineStr">
        <is>
          <t>17201-0L040/17201-30101
17201-30110/17202-90040</t>
        </is>
      </c>
      <c r="G667" s="340" t="n"/>
      <c r="H667" s="373" t="inlineStr">
        <is>
          <t>Hilux / Fortuner 2013-2015/ Prado
 D-4D 1KD-FTV 3.0L</t>
        </is>
      </c>
      <c r="I667" s="340" t="n"/>
      <c r="J667" s="343" t="inlineStr">
        <is>
          <t>SL</t>
        </is>
      </c>
      <c r="K667" s="344" t="n"/>
      <c r="L667" s="344" t="n"/>
      <c r="M667" s="344" t="n"/>
      <c r="N667" s="344">
        <f>IF(M667="","",M667*1.1)</f>
        <v/>
      </c>
      <c r="O667" s="345" t="n">
        <v>58</v>
      </c>
      <c r="P667" s="345" t="n">
        <v>39</v>
      </c>
      <c r="Q667" s="345" t="inlineStr">
        <is>
          <t>6/6</t>
        </is>
      </c>
      <c r="R667" s="345" t="n">
        <v>51.7</v>
      </c>
      <c r="S667" s="345" t="n">
        <v>48</v>
      </c>
      <c r="T667" s="345" t="inlineStr">
        <is>
          <t>11</t>
        </is>
      </c>
      <c r="V667" s="346">
        <f>UPPER(A667&amp;" "&amp;B667&amp;" "&amp;D667&amp;" "&amp;E667&amp;" "&amp;F667&amp;" "&amp;G667&amp;" "&amp;H667&amp;" "&amp;I667&amp;" "&amp;J667)</f>
        <v/>
      </c>
      <c r="W667" s="216">
        <f>IF(AND('TRA CỨU TỔNG HỢP'!$B$3&lt;&gt;"",ISNUMBER(SEARCH('TRA CỨU TỔNG HỢP'!$B$3,V667))),MAX($W$3:W666)+1,"")</f>
        <v/>
      </c>
    </row>
    <row r="668" ht="15" customHeight="1" s="217">
      <c r="A668" s="347" t="inlineStr">
        <is>
          <t xml:space="preserve">  └─ TOYOTA</t>
        </is>
      </c>
      <c r="B668" s="348" t="inlineStr">
        <is>
          <t>HH080319</t>
        </is>
      </c>
      <c r="C668" s="349" t="inlineStr">
        <is>
          <t>IHI</t>
        </is>
      </c>
      <c r="D668" s="349" t="inlineStr">
        <is>
          <t>CT16V</t>
        </is>
      </c>
      <c r="E668" s="349" t="inlineStr">
        <is>
          <t>1KD</t>
        </is>
      </c>
      <c r="F668" s="350" t="inlineStr">
        <is>
          <t>17201-0L040/17201-30101
17201-30110/17202-90040</t>
        </is>
      </c>
      <c r="G668" s="349" t="n"/>
      <c r="H668" s="374" t="inlineStr">
        <is>
          <t>Hilux / Fortuner 2013-2015/ Prado
 D-4D 1KD-FTV 3.0L</t>
        </is>
      </c>
      <c r="I668" s="349" t="n"/>
      <c r="J668" s="351" t="inlineStr">
        <is>
          <t>SL</t>
        </is>
      </c>
      <c r="K668" s="352" t="n"/>
      <c r="L668" s="352" t="n"/>
      <c r="M668" s="352" t="n"/>
      <c r="N668" s="352">
        <f>IF(M668="","",M668*1.1)</f>
        <v/>
      </c>
      <c r="O668" s="353" t="n">
        <v>58</v>
      </c>
      <c r="P668" s="353" t="n">
        <v>39</v>
      </c>
      <c r="Q668" s="353" t="inlineStr">
        <is>
          <t>6/6</t>
        </is>
      </c>
      <c r="R668" s="353" t="n">
        <v>51.7</v>
      </c>
      <c r="S668" s="353" t="n">
        <v>48</v>
      </c>
      <c r="T668" s="353" t="inlineStr">
        <is>
          <t>11</t>
        </is>
      </c>
      <c r="V668" s="346">
        <f>UPPER(A668&amp;" "&amp;B668&amp;" "&amp;D668&amp;" "&amp;E668&amp;" "&amp;F668&amp;" "&amp;G668&amp;" "&amp;H668&amp;" "&amp;I668&amp;" "&amp;J668)</f>
        <v/>
      </c>
      <c r="W668" s="216">
        <f>IF(AND('TRA CỨU TỔNG HỢP'!$B$3&lt;&gt;"",ISNUMBER(SEARCH('TRA CỨU TỔNG HỢP'!$B$3,V668))),MAX($W$3:W667)+1,"")</f>
        <v/>
      </c>
    </row>
    <row r="669" ht="15" customHeight="1" s="217">
      <c r="A669" s="340" t="inlineStr">
        <is>
          <t>TOYOTA</t>
        </is>
      </c>
      <c r="B669" s="341" t="inlineStr">
        <is>
          <t>HH081332</t>
        </is>
      </c>
      <c r="C669" s="340" t="inlineStr">
        <is>
          <t>IHI</t>
        </is>
      </c>
      <c r="D669" s="340" t="inlineStr">
        <is>
          <t>CT16V</t>
        </is>
      </c>
      <c r="E669" s="340" t="inlineStr">
        <is>
          <t>2GD-FTV</t>
        </is>
      </c>
      <c r="F669" s="342" t="inlineStr">
        <is>
          <t>17201-11070</t>
        </is>
      </c>
      <c r="G669" s="340" t="n"/>
      <c r="H669" s="340" t="inlineStr">
        <is>
          <t>Hilux</t>
        </is>
      </c>
      <c r="I669" s="340" t="n"/>
      <c r="J669" s="343" t="inlineStr">
        <is>
          <t>SL</t>
        </is>
      </c>
      <c r="K669" s="344" t="n"/>
      <c r="L669" s="344" t="n"/>
      <c r="M669" s="344" t="n"/>
      <c r="N669" s="344">
        <f>IF(M669="","",M669*1.1)</f>
        <v/>
      </c>
      <c r="O669" s="345" t="n">
        <v>45</v>
      </c>
      <c r="P669" s="345" t="n">
        <v>32</v>
      </c>
      <c r="Q669" s="345" t="inlineStr">
        <is>
          <t>6/6</t>
        </is>
      </c>
      <c r="R669" s="345" t="n">
        <v>37.8</v>
      </c>
      <c r="S669" s="345" t="n">
        <v>34.8</v>
      </c>
      <c r="T669" s="345" t="n">
        <v>9</v>
      </c>
      <c r="V669" s="216">
        <f>UPPER(A669&amp;" "&amp;B669&amp;" "&amp;D669&amp;" "&amp;E669&amp;" "&amp;F669&amp;" "&amp;G669&amp;" "&amp;H669&amp;" "&amp;I669&amp;" "&amp;J669)</f>
        <v/>
      </c>
      <c r="W669" s="216">
        <f>IF(AND('TRA CỨU TỔNG HỢP'!$B$3&lt;&gt;"",ISNUMBER(SEARCH('TRA CỨU TỔNG HỢP'!$B$3,V669))),MAX($W$3:W668)+1,"")</f>
        <v/>
      </c>
    </row>
    <row r="670" ht="15" customHeight="1" s="217">
      <c r="A670" s="347" t="inlineStr">
        <is>
          <t xml:space="preserve">  └─ TOYOTA</t>
        </is>
      </c>
      <c r="B670" s="348" t="inlineStr">
        <is>
          <t>HH082676</t>
        </is>
      </c>
      <c r="C670" s="349" t="inlineStr">
        <is>
          <t>IHI</t>
        </is>
      </c>
      <c r="D670" s="349" t="inlineStr">
        <is>
          <t>CT16V</t>
        </is>
      </c>
      <c r="E670" s="349" t="inlineStr">
        <is>
          <t>2GD-FTV</t>
        </is>
      </c>
      <c r="F670" s="350" t="inlineStr">
        <is>
          <t>17201-11070</t>
        </is>
      </c>
      <c r="G670" s="349" t="n"/>
      <c r="H670" s="349" t="inlineStr">
        <is>
          <t>Hilux</t>
        </is>
      </c>
      <c r="I670" s="349" t="n"/>
      <c r="J670" s="351" t="inlineStr">
        <is>
          <t>SL</t>
        </is>
      </c>
      <c r="K670" s="352" t="n"/>
      <c r="L670" s="352" t="n"/>
      <c r="M670" s="352" t="n"/>
      <c r="N670" s="352">
        <f>IF(M670="","",M670*1.1)</f>
        <v/>
      </c>
      <c r="O670" s="353" t="n">
        <v>45</v>
      </c>
      <c r="P670" s="353" t="n">
        <v>32</v>
      </c>
      <c r="Q670" s="353" t="inlineStr">
        <is>
          <t>6/6</t>
        </is>
      </c>
      <c r="R670" s="353" t="n">
        <v>37.8</v>
      </c>
      <c r="S670" s="353" t="n">
        <v>34.8</v>
      </c>
      <c r="T670" s="353" t="n">
        <v>9</v>
      </c>
      <c r="V670" s="216">
        <f>UPPER(A670&amp;" "&amp;B670&amp;" "&amp;D670&amp;" "&amp;E670&amp;" "&amp;F670&amp;" "&amp;G670&amp;" "&amp;H670&amp;" "&amp;I670&amp;" "&amp;J670)</f>
        <v/>
      </c>
      <c r="W670" s="216">
        <f>IF(AND('TRA CỨU TỔNG HỢP'!$B$3&lt;&gt;"",ISNUMBER(SEARCH('TRA CỨU TỔNG HỢP'!$B$3,V670))),MAX($W$3:W669)+1,"")</f>
        <v/>
      </c>
    </row>
    <row r="671" ht="15" customHeight="1" s="217">
      <c r="A671" s="340" t="inlineStr">
        <is>
          <t>TOYOTA</t>
        </is>
      </c>
      <c r="B671" s="341" t="inlineStr">
        <is>
          <t>HH084197</t>
        </is>
      </c>
      <c r="C671" s="340" t="inlineStr">
        <is>
          <t>IHI</t>
        </is>
      </c>
      <c r="D671" s="340" t="inlineStr">
        <is>
          <t>VB31</t>
        </is>
      </c>
      <c r="E671" s="340" t="inlineStr">
        <is>
          <t>2KD-FTV | 2KD</t>
        </is>
      </c>
      <c r="F671" s="342" t="inlineStr">
        <is>
          <t>17201-0L070 | 17201-0L071 | 17201-OL070 | 17201-OL071 | 172010L070 | 172010L071 | 17201OL070 | 17201OL071</t>
        </is>
      </c>
      <c r="G671" s="340" t="n"/>
      <c r="H671" s="340" t="n"/>
      <c r="I671" s="340" t="inlineStr">
        <is>
          <t>chưa nhập xem hình trên TBS</t>
        </is>
      </c>
      <c r="J671" s="343" t="inlineStr">
        <is>
          <t>EE</t>
        </is>
      </c>
      <c r="K671" s="344" t="n"/>
      <c r="L671" s="344" t="n"/>
      <c r="M671" s="344" t="n"/>
      <c r="N671" s="344">
        <f>IF(M671="","",M671*1.1)</f>
        <v/>
      </c>
      <c r="O671" s="345" t="n">
        <v>51</v>
      </c>
      <c r="P671" s="345" t="n">
        <v>37.6</v>
      </c>
      <c r="Q671" s="345" t="inlineStr">
        <is>
          <t>6/6</t>
        </is>
      </c>
      <c r="R671" s="345" t="n">
        <v>44.6</v>
      </c>
      <c r="S671" s="345" t="n">
        <v>41.6</v>
      </c>
      <c r="T671" s="345" t="n">
        <v>9</v>
      </c>
      <c r="V671" s="216">
        <f>UPPER(A671&amp;" "&amp;B671&amp;" "&amp;D671&amp;" "&amp;E671&amp;" "&amp;F671&amp;" "&amp;G671&amp;" "&amp;H671&amp;" "&amp;I671&amp;" "&amp;J671)</f>
        <v/>
      </c>
      <c r="W671" s="216">
        <f>IF(AND('TRA CỨU TỔNG HỢP'!$B$3&lt;&gt;"",ISNUMBER(SEARCH('TRA CỨU TỔNG HỢP'!$B$3,V671))),MAX($W$3:W670)+1,"")</f>
        <v/>
      </c>
    </row>
    <row r="672" ht="15" customHeight="1" s="217">
      <c r="A672" s="347" t="inlineStr">
        <is>
          <t xml:space="preserve">  └─ TOYOTA</t>
        </is>
      </c>
      <c r="B672" s="348" t="inlineStr">
        <is>
          <t>HH069930</t>
        </is>
      </c>
      <c r="C672" s="349" t="inlineStr">
        <is>
          <t>IHI</t>
        </is>
      </c>
      <c r="D672" s="349" t="inlineStr">
        <is>
          <t>VB31</t>
        </is>
      </c>
      <c r="E672" s="349" t="inlineStr">
        <is>
          <t>2KD-FTV | 2KD</t>
        </is>
      </c>
      <c r="F672" s="350" t="inlineStr">
        <is>
          <t>17201-0L070 | 17201-0L071 | 17201-OL070 | 17201-OL071 | 172010L070 | 172010L071 | 17201OL070 | 17201OL071</t>
        </is>
      </c>
      <c r="G672" s="349" t="n"/>
      <c r="H672" s="349" t="n"/>
      <c r="I672" s="349" t="inlineStr">
        <is>
          <t>chưa nhập xem hình trên TBS</t>
        </is>
      </c>
      <c r="J672" s="351" t="inlineStr">
        <is>
          <t>SL</t>
        </is>
      </c>
      <c r="K672" s="352" t="n"/>
      <c r="L672" s="352" t="n"/>
      <c r="M672" s="352" t="n"/>
      <c r="N672" s="352">
        <f>IF(M672="","",M672*1.1)</f>
        <v/>
      </c>
      <c r="O672" s="353" t="n">
        <v>51</v>
      </c>
      <c r="P672" s="353" t="n">
        <v>37.6</v>
      </c>
      <c r="Q672" s="353" t="inlineStr">
        <is>
          <t>6/6</t>
        </is>
      </c>
      <c r="R672" s="353" t="n">
        <v>44.6</v>
      </c>
      <c r="S672" s="353" t="n">
        <v>41.6</v>
      </c>
      <c r="T672" s="353" t="n">
        <v>9</v>
      </c>
      <c r="V672" s="216">
        <f>UPPER(A672&amp;" "&amp;B672&amp;" "&amp;D672&amp;" "&amp;E672&amp;" "&amp;F672&amp;" "&amp;G672&amp;" "&amp;H672&amp;" "&amp;I672&amp;" "&amp;J672)</f>
        <v/>
      </c>
      <c r="W672" s="216">
        <f>IF(AND('TRA CỨU TỔNG HỢP'!$B$3&lt;&gt;"",ISNUMBER(SEARCH('TRA CỨU TỔNG HỢP'!$B$3,V672))),MAX($W$3:W671)+1,"")</f>
        <v/>
      </c>
    </row>
    <row r="673" ht="15" customHeight="1" s="217">
      <c r="A673" s="347" t="inlineStr">
        <is>
          <t xml:space="preserve">  └─ TOYOTA</t>
        </is>
      </c>
      <c r="B673" s="348" t="inlineStr">
        <is>
          <t>HH069931</t>
        </is>
      </c>
      <c r="C673" s="349" t="inlineStr">
        <is>
          <t>IHI</t>
        </is>
      </c>
      <c r="D673" s="349" t="inlineStr">
        <is>
          <t>VB31</t>
        </is>
      </c>
      <c r="E673" s="349" t="inlineStr">
        <is>
          <t>2KD-FTV | 2KD</t>
        </is>
      </c>
      <c r="F673" s="350" t="inlineStr">
        <is>
          <t>17201-0L070 | 17201-0L071 | 17201-OL070 | 17201-OL071 | 172010L070 | 172010L071 | 17201OL070 | 17201OL071</t>
        </is>
      </c>
      <c r="G673" s="349" t="n"/>
      <c r="H673" s="349" t="n"/>
      <c r="I673" s="349" t="inlineStr">
        <is>
          <t>chưa nhập xem hình trên TBS</t>
        </is>
      </c>
      <c r="J673" s="351" t="inlineStr">
        <is>
          <t>SL</t>
        </is>
      </c>
      <c r="K673" s="352" t="n"/>
      <c r="L673" s="352" t="n"/>
      <c r="M673" s="352" t="n"/>
      <c r="N673" s="352">
        <f>IF(M673="","",M673*1.1)</f>
        <v/>
      </c>
      <c r="O673" s="353" t="n">
        <v>51</v>
      </c>
      <c r="P673" s="353" t="n">
        <v>37.6</v>
      </c>
      <c r="Q673" s="353" t="inlineStr">
        <is>
          <t>6/6</t>
        </is>
      </c>
      <c r="R673" s="353" t="n">
        <v>44.6</v>
      </c>
      <c r="S673" s="353" t="n">
        <v>41.6</v>
      </c>
      <c r="T673" s="353" t="n">
        <v>9</v>
      </c>
      <c r="V673" s="216">
        <f>UPPER(A673&amp;" "&amp;B673&amp;" "&amp;D673&amp;" "&amp;E673&amp;" "&amp;F673&amp;" "&amp;G673&amp;" "&amp;H673&amp;" "&amp;I673&amp;" "&amp;J673)</f>
        <v/>
      </c>
      <c r="W673" s="216">
        <f>IF(AND('TRA CỨU TỔNG HỢP'!$B$3&lt;&gt;"",ISNUMBER(SEARCH('TRA CỨU TỔNG HỢP'!$B$3,V673))),MAX($W$3:W672)+1,"")</f>
        <v/>
      </c>
    </row>
    <row r="674" ht="15" customHeight="1" s="217">
      <c r="A674" s="367" t="inlineStr">
        <is>
          <t>TOYOTA</t>
        </is>
      </c>
      <c r="B674" s="368" t="n"/>
      <c r="C674" s="367" t="inlineStr">
        <is>
          <t>Garrett</t>
        </is>
      </c>
      <c r="D674" s="367" t="inlineStr">
        <is>
          <t>GT2359V</t>
        </is>
      </c>
      <c r="E674" s="367" t="n"/>
      <c r="F674" s="369" t="inlineStr">
        <is>
          <t>775095-0001
17201-51010</t>
        </is>
      </c>
      <c r="G674" s="367" t="n"/>
      <c r="H674" s="367" t="inlineStr">
        <is>
          <t>Land Cruiser 70 Seires 1VD-FTV Euro 4</t>
        </is>
      </c>
      <c r="I674" s="367" t="n"/>
      <c r="J674" s="370" t="n"/>
      <c r="K674" s="371" t="n"/>
      <c r="L674" s="371" t="n"/>
      <c r="M674" s="371" t="n"/>
      <c r="N674" s="371" t="n"/>
      <c r="O674" s="372" t="n">
        <v>59.5</v>
      </c>
      <c r="P674" s="372" t="n">
        <v>44.5</v>
      </c>
      <c r="Q674" s="372" t="inlineStr">
        <is>
          <t>6/6</t>
        </is>
      </c>
      <c r="R674" s="372" t="n">
        <v>51.2</v>
      </c>
      <c r="S674" s="372" t="n">
        <v>47.1</v>
      </c>
      <c r="T674" s="372" t="n">
        <v>9</v>
      </c>
      <c r="V674" s="346">
        <f>UPPER(A674&amp;" "&amp;B674&amp;" "&amp;D674&amp;" "&amp;E674&amp;" "&amp;F674&amp;" "&amp;G674&amp;" "&amp;H674&amp;" "&amp;I674&amp;" "&amp;J674)</f>
        <v/>
      </c>
      <c r="W674" s="216">
        <f>IF(AND('TRA CỨU TỔNG HỢP'!$B$3&lt;&gt;"",ISNUMBER(SEARCH('TRA CỨU TỔNG HỢP'!$B$3,V674))),MAX($W$3:W673)+1,"")</f>
        <v/>
      </c>
    </row>
    <row r="675" ht="19.5" customHeight="1" s="217">
      <c r="A675" s="339" t="inlineStr">
        <is>
          <t xml:space="preserve">  🏭  WEICHAI   ·   1 loại turbo</t>
        </is>
      </c>
      <c r="W675" s="216">
        <f>IF(AND('TRA CỨU TỔNG HỢP'!$B$3&lt;&gt;"",ISNUMBER(SEARCH('TRA CỨU TỔNG HỢP'!$B$3,V675))),MAX($W$3:W674)+1,"")</f>
        <v/>
      </c>
    </row>
    <row r="676" ht="15" customHeight="1" s="217">
      <c r="A676" s="354" t="inlineStr">
        <is>
          <t>WEICHAI</t>
        </is>
      </c>
      <c r="B676" s="355" t="inlineStr">
        <is>
          <t>HH080650</t>
        </is>
      </c>
      <c r="C676" s="354" t="inlineStr">
        <is>
          <t>Holset</t>
        </is>
      </c>
      <c r="D676" s="354" t="inlineStr">
        <is>
          <t>H1F</t>
        </is>
      </c>
      <c r="E676" s="354" t="inlineStr">
        <is>
          <t>BF6L913/BF4L913</t>
        </is>
      </c>
      <c r="F676" s="356" t="inlineStr">
        <is>
          <t>3826322</t>
        </is>
      </c>
      <c r="G676" s="354" t="n"/>
      <c r="H676" s="354" t="n"/>
      <c r="I676" s="354" t="n"/>
      <c r="J676" s="357" t="inlineStr">
        <is>
          <t>FIRE</t>
        </is>
      </c>
      <c r="K676" s="358" t="n"/>
      <c r="L676" s="358" t="n"/>
      <c r="M676" s="358" t="n"/>
      <c r="N676" s="358">
        <f>IF(M676="","",M676*1.1)</f>
        <v/>
      </c>
      <c r="O676" s="359" t="n"/>
      <c r="P676" s="359" t="n"/>
      <c r="Q676" s="359" t="n"/>
      <c r="R676" s="359" t="n"/>
      <c r="S676" s="359" t="n"/>
      <c r="T676" s="359" t="n"/>
      <c r="V676" s="216">
        <f>UPPER(A676&amp;" "&amp;B676&amp;" "&amp;D676&amp;" "&amp;E676&amp;" "&amp;F676&amp;" "&amp;G676&amp;" "&amp;H676&amp;" "&amp;I676&amp;" "&amp;J676)</f>
        <v/>
      </c>
      <c r="W676" s="216">
        <f>IF(AND('TRA CỨU TỔNG HỢP'!$B$3&lt;&gt;"",ISNUMBER(SEARCH('TRA CỨU TỔNG HỢP'!$B$3,V676))),MAX($W$3:W675)+1,"")</f>
        <v/>
      </c>
    </row>
    <row r="677" ht="19.5" customHeight="1" s="217">
      <c r="A677" s="339" t="inlineStr">
        <is>
          <t xml:space="preserve">  🏭  XICHAI   ·   1 loại turbo</t>
        </is>
      </c>
      <c r="W677" s="216">
        <f>IF(AND('TRA CỨU TỔNG HỢP'!$B$3&lt;&gt;"",ISNUMBER(SEARCH('TRA CỨU TỔNG HỢP'!$B$3,V677))),MAX($W$3:W676)+1,"")</f>
        <v/>
      </c>
    </row>
    <row r="678" ht="15" customHeight="1" s="217">
      <c r="A678" s="340" t="inlineStr">
        <is>
          <t>XICHAI</t>
        </is>
      </c>
      <c r="B678" s="341" t="inlineStr">
        <is>
          <t>HH080318</t>
        </is>
      </c>
      <c r="C678" s="340" t="inlineStr">
        <is>
          <t>Garrett</t>
        </is>
      </c>
      <c r="D678" s="340" t="inlineStr">
        <is>
          <t>TB28</t>
        </is>
      </c>
      <c r="E678" s="340" t="inlineStr">
        <is>
          <t>CA4113/CA4110</t>
        </is>
      </c>
      <c r="F678" s="342" t="inlineStr">
        <is>
          <t>111801014BKZ/711380-0010</t>
        </is>
      </c>
      <c r="G678" s="340" t="inlineStr">
        <is>
          <t>cổ gang ra 3 lỗ</t>
        </is>
      </c>
      <c r="H678" s="340" t="n"/>
      <c r="I678" s="340" t="n"/>
      <c r="J678" s="343" t="inlineStr">
        <is>
          <t>SL</t>
        </is>
      </c>
      <c r="K678" s="344" t="n"/>
      <c r="L678" s="344" t="n"/>
      <c r="M678" s="344" t="n"/>
      <c r="N678" s="344">
        <f>IF(M678="","",M678*1.1)</f>
        <v/>
      </c>
      <c r="O678" s="345" t="n">
        <v>59.5</v>
      </c>
      <c r="P678" s="345" t="n">
        <v>42.8</v>
      </c>
      <c r="Q678" s="345" t="inlineStr">
        <is>
          <t>6/6</t>
        </is>
      </c>
      <c r="R678" s="345" t="n">
        <v>53</v>
      </c>
      <c r="S678" s="345" t="n">
        <v>46.2</v>
      </c>
      <c r="T678" s="345" t="n">
        <v>10</v>
      </c>
      <c r="V678" s="216">
        <f>UPPER(A678&amp;" "&amp;B678&amp;" "&amp;D678&amp;" "&amp;E678&amp;" "&amp;F678&amp;" "&amp;G678&amp;" "&amp;H678&amp;" "&amp;I678&amp;" "&amp;J678)</f>
        <v/>
      </c>
      <c r="W678" s="216">
        <f>IF(AND('TRA CỨU TỔNG HỢP'!$B$3&lt;&gt;"",ISNUMBER(SEARCH('TRA CỨU TỔNG HỢP'!$B$3,V678))),MAX($W$3:W677)+1,"")</f>
        <v/>
      </c>
    </row>
    <row r="679" ht="15" customHeight="1" s="217">
      <c r="A679" s="347" t="inlineStr">
        <is>
          <t xml:space="preserve">  └─ XICHAI</t>
        </is>
      </c>
      <c r="B679" s="348" t="inlineStr">
        <is>
          <t>HH083864</t>
        </is>
      </c>
      <c r="C679" s="349" t="inlineStr">
        <is>
          <t>Garrett</t>
        </is>
      </c>
      <c r="D679" s="349" t="inlineStr">
        <is>
          <t>TB28</t>
        </is>
      </c>
      <c r="E679" s="349" t="inlineStr">
        <is>
          <t>CA4113/CA4110</t>
        </is>
      </c>
      <c r="F679" s="350" t="inlineStr">
        <is>
          <t>111801014BKZ/711380-0010</t>
        </is>
      </c>
      <c r="G679" s="349" t="inlineStr">
        <is>
          <t>cổ gang ra 3 lỗ</t>
        </is>
      </c>
      <c r="H679" s="349" t="n"/>
      <c r="I679" s="349" t="n"/>
      <c r="J679" s="351" t="inlineStr">
        <is>
          <t>SL</t>
        </is>
      </c>
      <c r="K679" s="352" t="n"/>
      <c r="L679" s="352" t="n"/>
      <c r="M679" s="352" t="n"/>
      <c r="N679" s="352">
        <f>IF(M679="","",M679*1.1)</f>
        <v/>
      </c>
      <c r="O679" s="353" t="n">
        <v>59.5</v>
      </c>
      <c r="P679" s="353" t="n">
        <v>42.8</v>
      </c>
      <c r="Q679" s="353" t="inlineStr">
        <is>
          <t>6/6</t>
        </is>
      </c>
      <c r="R679" s="353" t="n">
        <v>53</v>
      </c>
      <c r="S679" s="353" t="n">
        <v>46.2</v>
      </c>
      <c r="T679" s="353" t="n">
        <v>10</v>
      </c>
      <c r="V679" s="216">
        <f>UPPER(A679&amp;" "&amp;B679&amp;" "&amp;D679&amp;" "&amp;E679&amp;" "&amp;F679&amp;" "&amp;G679&amp;" "&amp;H679&amp;" "&amp;I679&amp;" "&amp;J679)</f>
        <v/>
      </c>
      <c r="W679" s="216">
        <f>IF(AND('TRA CỨU TỔNG HỢP'!$B$3&lt;&gt;"",ISNUMBER(SEARCH('TRA CỨU TỔNG HỢP'!$B$3,V679))),MAX($W$3:W678)+1,"")</f>
        <v/>
      </c>
    </row>
    <row r="680" ht="19.5" customHeight="1" s="217">
      <c r="A680" s="339" t="inlineStr">
        <is>
          <t xml:space="preserve">  🏭  YANMAR   ·   4 loại turbo</t>
        </is>
      </c>
      <c r="W680" s="216">
        <f>IF(AND('TRA CỨU TỔNG HỢP'!$B$3&lt;&gt;"",ISNUMBER(SEARCH('TRA CỨU TỔNG HỢP'!$B$3,V680))),MAX($W$3:W679)+1,"")</f>
        <v/>
      </c>
    </row>
    <row r="681" ht="15" customHeight="1" s="217">
      <c r="A681" s="360" t="inlineStr">
        <is>
          <t>YANMAR</t>
        </is>
      </c>
      <c r="B681" s="361" t="n"/>
      <c r="C681" s="360" t="inlineStr">
        <is>
          <t>Garrett</t>
        </is>
      </c>
      <c r="D681" s="360" t="inlineStr">
        <is>
          <t>TA4514</t>
        </is>
      </c>
      <c r="E681" s="360" t="inlineStr">
        <is>
          <t>6CH</t>
        </is>
      </c>
      <c r="F681" s="362" t="inlineStr">
        <is>
          <t>466822-5001</t>
        </is>
      </c>
      <c r="G681" s="360" t="n"/>
      <c r="H681" s="360" t="inlineStr">
        <is>
          <t>chưa nhập ( mã miền tây)</t>
        </is>
      </c>
      <c r="I681" s="360" t="n"/>
      <c r="J681" s="363" t="n"/>
      <c r="K681" s="364" t="n"/>
      <c r="L681" s="364" t="n"/>
      <c r="M681" s="364" t="n"/>
      <c r="N681" s="364" t="n"/>
      <c r="O681" s="365" t="n"/>
      <c r="P681" s="365" t="n"/>
      <c r="Q681" s="365" t="n"/>
      <c r="R681" s="365" t="n"/>
      <c r="S681" s="365" t="n"/>
      <c r="T681" s="365" t="n"/>
      <c r="V681" s="216">
        <f>UPPER(A681&amp;" "&amp;B681&amp;" "&amp;D681&amp;" "&amp;E681&amp;" "&amp;F681&amp;" "&amp;G681&amp;" "&amp;H681&amp;" "&amp;I681&amp;" "&amp;J681)</f>
        <v/>
      </c>
      <c r="W681" s="216">
        <f>IF(AND('TRA CỨU TỔNG HỢP'!$B$3&lt;&gt;"",ISNUMBER(SEARCH('TRA CỨU TỔNG HỢP'!$B$3,V681))),MAX($W$3:W680)+1,"")</f>
        <v/>
      </c>
    </row>
    <row r="682" ht="15" customHeight="1" s="217">
      <c r="A682" s="354" t="inlineStr">
        <is>
          <t>YANMAR</t>
        </is>
      </c>
      <c r="B682" s="355" t="inlineStr">
        <is>
          <t>HH077146</t>
        </is>
      </c>
      <c r="C682" s="354" t="inlineStr">
        <is>
          <t>IHI</t>
        </is>
      </c>
      <c r="D682" s="354" t="inlineStr">
        <is>
          <t>RHF5</t>
        </is>
      </c>
      <c r="E682" s="354" t="inlineStr">
        <is>
          <t>4TNV98T</t>
        </is>
      </c>
      <c r="F682" s="356" t="inlineStr">
        <is>
          <t>VA430075
8I05-200-M09/F51CADS0075/12990818011
123945-18020/129908-18010/12990818010</t>
        </is>
      </c>
      <c r="G682" s="354" t="inlineStr">
        <is>
          <t>điều tốc</t>
        </is>
      </c>
      <c r="H682" s="354" t="n"/>
      <c r="I682" s="354" t="n"/>
      <c r="J682" s="357" t="inlineStr">
        <is>
          <t>JRONE</t>
        </is>
      </c>
      <c r="K682" s="358" t="n"/>
      <c r="L682" s="358" t="n"/>
      <c r="M682" s="358" t="n"/>
      <c r="N682" s="358">
        <f>IF(M682="","",M682*1.1)</f>
        <v/>
      </c>
      <c r="O682" s="359" t="n"/>
      <c r="P682" s="359" t="n"/>
      <c r="Q682" s="359" t="n"/>
      <c r="R682" s="359" t="n"/>
      <c r="S682" s="359" t="n"/>
      <c r="T682" s="359" t="n"/>
      <c r="V682" s="346">
        <f>UPPER(A682&amp;" "&amp;B682&amp;" "&amp;D682&amp;" "&amp;E682&amp;" "&amp;F682&amp;" "&amp;G682&amp;" "&amp;H682&amp;" "&amp;I682&amp;" "&amp;J682)</f>
        <v/>
      </c>
      <c r="W682" s="216">
        <f>IF(AND('TRA CỨU TỔNG HỢP'!$B$3&lt;&gt;"",ISNUMBER(SEARCH('TRA CỨU TỔNG HỢP'!$B$3,V682))),MAX($W$3:W681)+1,"")</f>
        <v/>
      </c>
    </row>
    <row r="683" ht="15" customHeight="1" s="217">
      <c r="A683" s="354" t="inlineStr">
        <is>
          <t>YANMAR</t>
        </is>
      </c>
      <c r="B683" s="355" t="inlineStr">
        <is>
          <t>HH00710</t>
        </is>
      </c>
      <c r="C683" s="354" t="inlineStr">
        <is>
          <t>IHI</t>
        </is>
      </c>
      <c r="D683" s="354" t="inlineStr">
        <is>
          <t>RHB52</t>
        </is>
      </c>
      <c r="E683" s="354" t="inlineStr">
        <is>
          <t>4TNV100/C240/W04DT</t>
        </is>
      </c>
      <c r="F683" s="356" t="inlineStr">
        <is>
          <t>241001880A/24100-1511/24100-1510A</t>
        </is>
      </c>
      <c r="G683" s="354" t="inlineStr">
        <is>
          <t>cổ gang bắt 3 lỗ bulon</t>
        </is>
      </c>
      <c r="H683" s="354" t="n"/>
      <c r="I683" s="354" t="inlineStr">
        <is>
          <t>máy thủy nhiều</t>
        </is>
      </c>
      <c r="J683" s="357" t="inlineStr">
        <is>
          <t>MX</t>
        </is>
      </c>
      <c r="K683" s="358" t="n"/>
      <c r="L683" s="358" t="n"/>
      <c r="M683" s="358" t="n"/>
      <c r="N683" s="358">
        <f>IF(M683="","",M683*1.1)</f>
        <v/>
      </c>
      <c r="O683" s="359" t="n"/>
      <c r="P683" s="359" t="n"/>
      <c r="Q683" s="359" t="n"/>
      <c r="R683" s="359" t="n"/>
      <c r="S683" s="359" t="n"/>
      <c r="T683" s="359" t="n"/>
      <c r="V683" s="216">
        <f>UPPER(A683&amp;" "&amp;B683&amp;" "&amp;D683&amp;" "&amp;E683&amp;" "&amp;F683&amp;" "&amp;G683&amp;" "&amp;H683&amp;" "&amp;I683&amp;" "&amp;J683)</f>
        <v/>
      </c>
      <c r="W683" s="216">
        <f>IF(AND('TRA CỨU TỔNG HỢP'!$B$3&lt;&gt;"",ISNUMBER(SEARCH('TRA CỨU TỔNG HỢP'!$B$3,V683))),MAX($W$3:W682)+1,"")</f>
        <v/>
      </c>
    </row>
    <row r="684" ht="15" customHeight="1" s="217">
      <c r="A684" s="367" t="inlineStr">
        <is>
          <t>YANMAR</t>
        </is>
      </c>
      <c r="B684" s="368" t="n"/>
      <c r="C684" s="367" t="inlineStr">
        <is>
          <t>IHI</t>
        </is>
      </c>
      <c r="D684" s="367" t="inlineStr">
        <is>
          <t>RHB31</t>
        </is>
      </c>
      <c r="E684" s="367" t="inlineStr">
        <is>
          <t>4TNA78 3TN82/3TE82/84/3T84</t>
        </is>
      </c>
      <c r="F684" s="369" t="inlineStr">
        <is>
          <t>129403-18050
129189-18010</t>
        </is>
      </c>
      <c r="G684" s="367" t="n"/>
      <c r="H684" s="367" t="inlineStr">
        <is>
          <t>MY61 Yanmar</t>
        </is>
      </c>
      <c r="I684" s="367" t="n"/>
      <c r="J684" s="370" t="n"/>
      <c r="K684" s="371" t="n"/>
      <c r="L684" s="371" t="n"/>
      <c r="M684" s="371" t="n"/>
      <c r="N684" s="371" t="n"/>
      <c r="O684" s="372" t="n"/>
      <c r="P684" s="372" t="n"/>
      <c r="Q684" s="372" t="n"/>
      <c r="R684" s="372" t="n"/>
      <c r="S684" s="372" t="n"/>
      <c r="T684" s="372" t="n"/>
      <c r="V684" s="346">
        <f>UPPER(A684&amp;" "&amp;B684&amp;" "&amp;D684&amp;" "&amp;E684&amp;" "&amp;F684&amp;" "&amp;G684&amp;" "&amp;H684&amp;" "&amp;I684&amp;" "&amp;J684)</f>
        <v/>
      </c>
      <c r="W684" s="216">
        <f>IF(AND('TRA CỨU TỔNG HỢP'!$B$3&lt;&gt;"",ISNUMBER(SEARCH('TRA CỨU TỔNG HỢP'!$B$3,V684))),MAX($W$3:W683)+1,"")</f>
        <v/>
      </c>
    </row>
    <row r="685" ht="19.5" customHeight="1" s="217">
      <c r="A685" s="339" t="inlineStr">
        <is>
          <t xml:space="preserve">  🏭  YUCHAI   ·   4 loại turbo</t>
        </is>
      </c>
      <c r="W685" s="216">
        <f>IF(AND('TRA CỨU TỔNG HỢP'!$B$3&lt;&gt;"",ISNUMBER(SEARCH('TRA CỨU TỔNG HỢP'!$B$3,V685))),MAX($W$3:W684)+1,"")</f>
        <v/>
      </c>
    </row>
    <row r="686" ht="15" customHeight="1" s="217">
      <c r="A686" s="367" t="inlineStr">
        <is>
          <t>YUCHAI</t>
        </is>
      </c>
      <c r="B686" s="368" t="n"/>
      <c r="C686" s="367" t="inlineStr">
        <is>
          <t>Garrett</t>
        </is>
      </c>
      <c r="D686" s="367" t="inlineStr">
        <is>
          <t>TBP4</t>
        </is>
      </c>
      <c r="E686" s="367" t="inlineStr">
        <is>
          <t>YC6108ZQ / (475D)</t>
        </is>
      </c>
      <c r="F686" s="369" t="inlineStr">
        <is>
          <t>720669-5002
S150123042</t>
        </is>
      </c>
      <c r="G686" s="367" t="inlineStr">
        <is>
          <t>cổ gang bắt 6 lỗ bulon</t>
        </is>
      </c>
      <c r="H686" s="367" t="inlineStr">
        <is>
          <t>chưa nhập</t>
        </is>
      </c>
      <c r="I686" s="367" t="n"/>
      <c r="J686" s="370" t="n"/>
      <c r="K686" s="371" t="n"/>
      <c r="L686" s="371" t="n"/>
      <c r="M686" s="371" t="n"/>
      <c r="N686" s="371" t="n"/>
      <c r="O686" s="372" t="n"/>
      <c r="P686" s="372" t="n"/>
      <c r="Q686" s="372" t="n"/>
      <c r="R686" s="372" t="n"/>
      <c r="S686" s="372" t="n"/>
      <c r="T686" s="372" t="n"/>
      <c r="V686" s="346">
        <f>UPPER(A686&amp;" "&amp;B686&amp;" "&amp;D686&amp;" "&amp;E686&amp;" "&amp;F686&amp;" "&amp;G686&amp;" "&amp;H686&amp;" "&amp;I686&amp;" "&amp;J686)</f>
        <v/>
      </c>
      <c r="W686" s="216">
        <f>IF(AND('TRA CỨU TỔNG HỢP'!$B$3&lt;&gt;"",ISNUMBER(SEARCH('TRA CỨU TỔNG HỢP'!$B$3,V686))),MAX($W$3:W685)+1,"")</f>
        <v/>
      </c>
    </row>
    <row r="687" ht="15" customHeight="1" s="217">
      <c r="A687" s="340" t="inlineStr">
        <is>
          <t>YUCHAI</t>
        </is>
      </c>
      <c r="B687" s="341" t="inlineStr">
        <is>
          <t>HH080807</t>
        </is>
      </c>
      <c r="C687" s="340" t="inlineStr">
        <is>
          <t>BorgWarner</t>
        </is>
      </c>
      <c r="D687" s="340" t="inlineStr">
        <is>
          <t>JP60S/TB28</t>
        </is>
      </c>
      <c r="E687" s="340" t="inlineStr">
        <is>
          <t>CA498</t>
        </is>
      </c>
      <c r="F687" s="342" t="inlineStr">
        <is>
          <t>708353-0001
1118010X3</t>
        </is>
      </c>
      <c r="G687" s="340" t="inlineStr">
        <is>
          <t>cổ gang bắt 5 lỗ bulon,làm mắt bằng nước nhớt</t>
        </is>
      </c>
      <c r="H687" s="340" t="n"/>
      <c r="I687" s="340" t="n"/>
      <c r="J687" s="343" t="inlineStr">
        <is>
          <t>SL</t>
        </is>
      </c>
      <c r="K687" s="344" t="n"/>
      <c r="L687" s="344" t="n"/>
      <c r="M687" s="344" t="n"/>
      <c r="N687" s="344">
        <f>IF(M687="","",M687*1.1)</f>
        <v/>
      </c>
      <c r="O687" s="345" t="n">
        <v>60.2</v>
      </c>
      <c r="P687" s="345" t="n">
        <v>40.5</v>
      </c>
      <c r="Q687" s="345" t="inlineStr">
        <is>
          <t>6/6</t>
        </is>
      </c>
      <c r="R687" s="345" t="n">
        <v>53</v>
      </c>
      <c r="S687" s="345" t="n">
        <v>46.2</v>
      </c>
      <c r="T687" s="345" t="n">
        <v>10</v>
      </c>
      <c r="V687" s="346">
        <f>UPPER(A687&amp;" "&amp;B687&amp;" "&amp;D687&amp;" "&amp;E687&amp;" "&amp;F687&amp;" "&amp;G687&amp;" "&amp;H687&amp;" "&amp;I687&amp;" "&amp;J687)</f>
        <v/>
      </c>
      <c r="W687" s="216">
        <f>IF(AND('TRA CỨU TỔNG HỢP'!$B$3&lt;&gt;"",ISNUMBER(SEARCH('TRA CỨU TỔNG HỢP'!$B$3,V687))),MAX($W$3:W686)+1,"")</f>
        <v/>
      </c>
    </row>
    <row r="688" ht="15" customHeight="1" s="217">
      <c r="A688" s="347" t="inlineStr">
        <is>
          <t xml:space="preserve">  └─ YUCHAI</t>
        </is>
      </c>
      <c r="B688" s="348" t="inlineStr">
        <is>
          <t>HH083795</t>
        </is>
      </c>
      <c r="C688" s="349" t="inlineStr">
        <is>
          <t>BorgWarner</t>
        </is>
      </c>
      <c r="D688" s="349" t="inlineStr">
        <is>
          <t>JP60S/TB28</t>
        </is>
      </c>
      <c r="E688" s="349" t="inlineStr">
        <is>
          <t>CA498</t>
        </is>
      </c>
      <c r="F688" s="350" t="inlineStr">
        <is>
          <t>708353-0001
1118010X3</t>
        </is>
      </c>
      <c r="G688" s="349" t="inlineStr">
        <is>
          <t>cổ gang bắt 5 lỗ bulon,làm mắt bằng nước nhớt</t>
        </is>
      </c>
      <c r="H688" s="349" t="n"/>
      <c r="I688" s="349" t="n"/>
      <c r="J688" s="351" t="n"/>
      <c r="K688" s="352" t="n"/>
      <c r="L688" s="352" t="n"/>
      <c r="M688" s="352" t="n"/>
      <c r="N688" s="352">
        <f>IF(M688="","",M688*1.1)</f>
        <v/>
      </c>
      <c r="O688" s="353" t="n">
        <v>60.2</v>
      </c>
      <c r="P688" s="353" t="n">
        <v>40.5</v>
      </c>
      <c r="Q688" s="353" t="inlineStr">
        <is>
          <t>6/6</t>
        </is>
      </c>
      <c r="R688" s="353" t="n">
        <v>53</v>
      </c>
      <c r="S688" s="353" t="n">
        <v>46.2</v>
      </c>
      <c r="T688" s="353" t="n">
        <v>10</v>
      </c>
      <c r="V688" s="346">
        <f>UPPER(A688&amp;" "&amp;B688&amp;" "&amp;D688&amp;" "&amp;E688&amp;" "&amp;F688&amp;" "&amp;G688&amp;" "&amp;H688&amp;" "&amp;I688&amp;" "&amp;J688)</f>
        <v/>
      </c>
      <c r="W688" s="216">
        <f>IF(AND('TRA CỨU TỔNG HỢP'!$B$3&lt;&gt;"",ISNUMBER(SEARCH('TRA CỨU TỔNG HỢP'!$B$3,V688))),MAX($W$3:W687)+1,"")</f>
        <v/>
      </c>
    </row>
    <row r="689" ht="15" customHeight="1" s="217">
      <c r="A689" s="354" t="inlineStr">
        <is>
          <t>YUCHAI</t>
        </is>
      </c>
      <c r="B689" s="355" t="inlineStr">
        <is>
          <t>HH080314</t>
        </is>
      </c>
      <c r="C689" s="354" t="inlineStr">
        <is>
          <t>Garrett</t>
        </is>
      </c>
      <c r="D689" s="354" t="inlineStr">
        <is>
          <t>TB28</t>
        </is>
      </c>
      <c r="E689" s="354" t="inlineStr">
        <is>
          <t>YC4110ZQ/YC4108</t>
        </is>
      </c>
      <c r="F689" s="356" t="inlineStr">
        <is>
          <t>1575-1118020A</t>
        </is>
      </c>
      <c r="G689" s="354" t="inlineStr">
        <is>
          <t>cổ gang bắt 5 lỗ bulon</t>
        </is>
      </c>
      <c r="H689" s="354" t="n"/>
      <c r="I689" s="354" t="n"/>
      <c r="J689" s="357" t="inlineStr">
        <is>
          <t>SL</t>
        </is>
      </c>
      <c r="K689" s="358" t="n"/>
      <c r="L689" s="358" t="n"/>
      <c r="M689" s="358" t="n"/>
      <c r="N689" s="358">
        <f>IF(M689="","",M689*1.1)</f>
        <v/>
      </c>
      <c r="O689" s="359" t="n">
        <v>60.1</v>
      </c>
      <c r="P689" s="359" t="n">
        <v>44.6</v>
      </c>
      <c r="Q689" s="359" t="inlineStr">
        <is>
          <t>6/6</t>
        </is>
      </c>
      <c r="R689" s="359" t="n">
        <v>53</v>
      </c>
      <c r="S689" s="359" t="n">
        <v>46.2</v>
      </c>
      <c r="T689" s="359" t="n">
        <v>12</v>
      </c>
      <c r="V689" s="216">
        <f>UPPER(A689&amp;" "&amp;B689&amp;" "&amp;D689&amp;" "&amp;E689&amp;" "&amp;F689&amp;" "&amp;G689&amp;" "&amp;H689&amp;" "&amp;I689&amp;" "&amp;J689)</f>
        <v/>
      </c>
      <c r="W689" s="216">
        <f>IF(AND('TRA CỨU TỔNG HỢP'!$B$3&lt;&gt;"",ISNUMBER(SEARCH('TRA CỨU TỔNG HỢP'!$B$3,V689))),MAX($W$3:W688)+1,"")</f>
        <v/>
      </c>
    </row>
    <row r="690" ht="15" customHeight="1" s="217">
      <c r="A690" s="354" t="inlineStr">
        <is>
          <t>YUCHAI</t>
        </is>
      </c>
      <c r="B690" s="355" t="inlineStr">
        <is>
          <t>HH079173</t>
        </is>
      </c>
      <c r="C690" s="354" t="inlineStr">
        <is>
          <t>Garrett</t>
        </is>
      </c>
      <c r="D690" s="354" t="inlineStr">
        <is>
          <t>TB28</t>
        </is>
      </c>
      <c r="E690" s="354" t="inlineStr">
        <is>
          <t>CY4102</t>
        </is>
      </c>
      <c r="F690" s="356" t="inlineStr">
        <is>
          <t>702365-0018/702365-18
702365-5018S/702365-50185</t>
        </is>
      </c>
      <c r="G690" s="354" t="inlineStr">
        <is>
          <t>cổ gang bắt 5 lỗ bulo</t>
        </is>
      </c>
      <c r="H690" s="354" t="inlineStr">
        <is>
          <t>JAC</t>
        </is>
      </c>
      <c r="I690" s="354" t="n"/>
      <c r="J690" s="357" t="inlineStr">
        <is>
          <t>1815</t>
        </is>
      </c>
      <c r="K690" s="358" t="n"/>
      <c r="L690" s="358" t="n"/>
      <c r="M690" s="358" t="n"/>
      <c r="N690" s="358">
        <f>IF(M690="","",M690*1.1)</f>
        <v/>
      </c>
      <c r="O690" s="359" t="n"/>
      <c r="P690" s="359" t="n"/>
      <c r="Q690" s="359" t="n"/>
      <c r="R690" s="359" t="n"/>
      <c r="S690" s="359" t="n"/>
      <c r="T690" s="359" t="n"/>
      <c r="V690" s="346">
        <f>UPPER(A690&amp;" "&amp;B690&amp;" "&amp;D690&amp;" "&amp;E690&amp;" "&amp;F690&amp;" "&amp;G690&amp;" "&amp;H690&amp;" "&amp;I690&amp;" "&amp;J690)</f>
        <v/>
      </c>
      <c r="W690" s="216">
        <f>IF(AND('TRA CỨU TỔNG HỢP'!$B$3&lt;&gt;"",ISNUMBER(SEARCH('TRA CỨU TỔNG HỢP'!$B$3,V690))),MAX($W$3:W689)+1,"")</f>
        <v/>
      </c>
    </row>
  </sheetData>
  <mergeCells count="33">
    <mergeCell ref="A680:T680"/>
    <mergeCell ref="A593:T593"/>
    <mergeCell ref="A143:T143"/>
    <mergeCell ref="A48:T48"/>
    <mergeCell ref="A176:T176"/>
    <mergeCell ref="A663:T663"/>
    <mergeCell ref="A590:T590"/>
    <mergeCell ref="A291:T291"/>
    <mergeCell ref="A615:T615"/>
    <mergeCell ref="A505:T505"/>
    <mergeCell ref="A1:T1"/>
    <mergeCell ref="A677:T677"/>
    <mergeCell ref="A635:T635"/>
    <mergeCell ref="A174:T174"/>
    <mergeCell ref="A652:T652"/>
    <mergeCell ref="A572:T572"/>
    <mergeCell ref="A50:T50"/>
    <mergeCell ref="A474:T474"/>
    <mergeCell ref="A685:T685"/>
    <mergeCell ref="A2:T2"/>
    <mergeCell ref="A468:T468"/>
    <mergeCell ref="A415:T415"/>
    <mergeCell ref="A213:T213"/>
    <mergeCell ref="A675:T675"/>
    <mergeCell ref="A650:T650"/>
    <mergeCell ref="A234:T234"/>
    <mergeCell ref="A470:T470"/>
    <mergeCell ref="A601:T601"/>
    <mergeCell ref="A4:T4"/>
    <mergeCell ref="A140:T140"/>
    <mergeCell ref="A209:T209"/>
    <mergeCell ref="A280:T280"/>
    <mergeCell ref="A161:T16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375623"/>
    <outlinePr summaryBelow="1" summaryRight="1"/>
    <pageSetUpPr fitToPage="0"/>
  </sheetPr>
  <dimension ref="A1:U89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16" min="1" max="3"/>
    <col width="19" customWidth="1" style="216" min="4" max="4"/>
    <col width="13" customWidth="1" style="216" min="5" max="5"/>
    <col width="34" customWidth="1" style="216" min="6" max="6"/>
    <col width="16" customWidth="1" style="216" min="7" max="7"/>
    <col width="11" customWidth="1" style="216" min="8" max="9"/>
    <col width="12" customWidth="1" style="216" min="10" max="10"/>
    <col width="11" customWidth="1" style="216" min="11" max="11"/>
    <col width="12" customWidth="1" style="216" min="12" max="12"/>
    <col width="9" customWidth="1" style="216" min="13" max="14"/>
    <col width="8" customWidth="1" style="216" min="15" max="15"/>
    <col width="9" customWidth="1" style="216" min="16" max="17"/>
    <col width="8" customWidth="1" style="216" min="18" max="18"/>
    <col width="2" customWidth="1" style="216" min="19" max="19"/>
    <col hidden="1" width="40" customWidth="1" style="216" min="20" max="20"/>
    <col hidden="1" width="13" customWidth="1" style="216" min="21" max="21"/>
  </cols>
  <sheetData>
    <row r="1" ht="30" customHeight="1" s="217">
      <c r="A1" s="334" t="inlineStr">
        <is>
          <t>🔧  RUỘT TURBO (CHRA)  —  Gom mã cùng PARNO</t>
        </is>
      </c>
    </row>
    <row r="2" ht="15.75" customHeight="1" s="217">
      <c r="A2" s="335" t="inlineStr">
        <is>
          <t>🟡 Vàng = mã gốc có biến thể cùng PARNO   ·   🟠 Cam = mã khác thương hiệu (cùng PARNO)   ·   🟢 Xanh = MÃ VT vừa điền</t>
        </is>
      </c>
    </row>
    <row r="3" ht="27.75" customHeight="1" s="217">
      <c r="A3" s="377" t="inlineStr">
        <is>
          <t>HÃNG MÁY</t>
        </is>
      </c>
      <c r="B3" s="377" t="inlineStr">
        <is>
          <t>MÃ VT</t>
        </is>
      </c>
      <c r="C3" s="377" t="inlineStr">
        <is>
          <t>HÃNG SX</t>
        </is>
      </c>
      <c r="D3" s="377" t="inlineStr">
        <is>
          <t>MODEL TURBO</t>
        </is>
      </c>
      <c r="E3" s="377" t="inlineStr">
        <is>
          <t>MÃ ĐỘNG CƠ</t>
        </is>
      </c>
      <c r="F3" s="377" t="inlineStr">
        <is>
          <t>OEM PART NO</t>
        </is>
      </c>
      <c r="G3" s="377" t="inlineStr">
        <is>
          <t>GHI CHÚ</t>
        </is>
      </c>
      <c r="H3" s="377" t="inlineStr">
        <is>
          <t>THƯƠNG HIỆU</t>
        </is>
      </c>
      <c r="I3" s="337" t="inlineStr">
        <is>
          <t>GIÁ VIP</t>
        </is>
      </c>
      <c r="J3" s="337" t="inlineStr">
        <is>
          <t>GIÁ ƯU ĐÃI</t>
        </is>
      </c>
      <c r="K3" s="337" t="inlineStr">
        <is>
          <t>GIÁ ĐẠI LÝ</t>
        </is>
      </c>
      <c r="L3" s="337" t="inlineStr">
        <is>
          <t>GIÁ ĐL +10%</t>
        </is>
      </c>
      <c r="M3" s="377" t="inlineStr">
        <is>
          <t>CG Ø DƯỚI</t>
        </is>
      </c>
      <c r="N3" s="377" t="inlineStr">
        <is>
          <t>CG Ø ĐỈNH</t>
        </is>
      </c>
      <c r="O3" s="377" t="inlineStr">
        <is>
          <t>CG SỐ</t>
        </is>
      </c>
      <c r="P3" s="377" t="inlineStr">
        <is>
          <t>CL Ø DƯỚI</t>
        </is>
      </c>
      <c r="Q3" s="377" t="inlineStr">
        <is>
          <t>CL Ø ĐỈNH</t>
        </is>
      </c>
      <c r="R3" s="377" t="inlineStr">
        <is>
          <t>CL SỐ</t>
        </is>
      </c>
      <c r="T3" s="338" t="inlineStr">
        <is>
          <t>_BLOB</t>
        </is>
      </c>
      <c r="U3" s="338" t="n">
        <v>0</v>
      </c>
    </row>
    <row r="4" ht="19.5" customHeight="1" s="217">
      <c r="A4" s="378" t="inlineStr">
        <is>
          <t xml:space="preserve">  🏭  CAT   ·   34 loại turbo</t>
        </is>
      </c>
      <c r="U4" s="216">
        <f>IF(AND('TRA CỨU TỔNG HỢP'!$B$3&lt;&gt;"",ISNUMBER(SEARCH('TRA CỨU TỔNG HỢP'!$B$3,T4))),MAX($U$3:U3)+1,"")</f>
        <v/>
      </c>
    </row>
    <row r="5" ht="15" customHeight="1" s="217">
      <c r="A5" s="340" t="inlineStr">
        <is>
          <t>CAT</t>
        </is>
      </c>
      <c r="B5" s="341" t="inlineStr">
        <is>
          <t>HH077147</t>
        </is>
      </c>
      <c r="C5" s="340" t="n"/>
      <c r="D5" s="340" t="inlineStr">
        <is>
          <t>Cat E320D/C6.4/ TD06H</t>
        </is>
      </c>
      <c r="E5" s="340" t="n"/>
      <c r="F5" s="342" t="inlineStr">
        <is>
          <t>49179-02910
8M06-100-E63</t>
        </is>
      </c>
      <c r="G5" s="340" t="n"/>
      <c r="H5" s="343" t="inlineStr">
        <is>
          <t>JRONE</t>
        </is>
      </c>
      <c r="I5" s="344" t="n"/>
      <c r="J5" s="344" t="n"/>
      <c r="K5" s="344" t="n"/>
      <c r="L5" s="344">
        <f>IF(K5="","",K5*1.1)</f>
        <v/>
      </c>
      <c r="M5" s="345" t="n"/>
      <c r="N5" s="345" t="n"/>
      <c r="O5" s="345" t="n"/>
      <c r="P5" s="345" t="n"/>
      <c r="Q5" s="345" t="n"/>
      <c r="R5" s="345" t="n"/>
      <c r="T5" s="346">
        <f>UPPER(A5&amp;" "&amp;B5&amp;" "&amp;D5&amp;" "&amp;E5&amp;" "&amp;F5&amp;" "&amp;G5&amp;" "&amp;H5)</f>
        <v/>
      </c>
      <c r="U5" s="216">
        <f>IF(AND('TRA CỨU TỔNG HỢP'!$B$3&lt;&gt;"",ISNUMBER(SEARCH('TRA CỨU TỔNG HỢP'!$B$3,T5))),MAX($U$3:U4)+1,"")</f>
        <v/>
      </c>
    </row>
    <row r="6" ht="15" customHeight="1" s="217">
      <c r="A6" s="347" t="inlineStr">
        <is>
          <t>CAT</t>
        </is>
      </c>
      <c r="B6" s="348" t="inlineStr">
        <is>
          <t>HH081913</t>
        </is>
      </c>
      <c r="C6" s="349" t="n"/>
      <c r="D6" s="349" t="inlineStr">
        <is>
          <t>Cat E320D/C6.4/ TD06H</t>
        </is>
      </c>
      <c r="E6" s="349" t="n"/>
      <c r="F6" s="350" t="inlineStr">
        <is>
          <t>49179-02910
8M06-100-E63</t>
        </is>
      </c>
      <c r="G6" s="349" t="n"/>
      <c r="H6" s="351" t="inlineStr">
        <is>
          <t>VIDARIR</t>
        </is>
      </c>
      <c r="I6" s="352" t="n"/>
      <c r="J6" s="352" t="n"/>
      <c r="K6" s="352" t="n"/>
      <c r="L6" s="352">
        <f>IF(K6="","",K6*1.1)</f>
        <v/>
      </c>
      <c r="M6" s="353" t="n"/>
      <c r="N6" s="353" t="n"/>
      <c r="O6" s="353" t="n"/>
      <c r="P6" s="353" t="n"/>
      <c r="Q6" s="353" t="n"/>
      <c r="R6" s="353" t="n"/>
      <c r="T6" s="346">
        <f>UPPER(A6&amp;" "&amp;B6&amp;" "&amp;D6&amp;" "&amp;E6&amp;" "&amp;F6&amp;" "&amp;G6&amp;" "&amp;H6)</f>
        <v/>
      </c>
      <c r="U6" s="216">
        <f>IF(AND('TRA CỨU TỔNG HỢP'!$B$3&lt;&gt;"",ISNUMBER(SEARCH('TRA CỨU TỔNG HỢP'!$B$3,T6))),MAX($U$3:U5)+1,"")</f>
        <v/>
      </c>
    </row>
    <row r="7" ht="15" customHeight="1" s="217">
      <c r="A7" s="354" t="inlineStr">
        <is>
          <t>CAT</t>
        </is>
      </c>
      <c r="B7" s="355" t="inlineStr">
        <is>
          <t>HH075291</t>
        </is>
      </c>
      <c r="C7" s="354" t="inlineStr">
        <is>
          <t>Mitsubishi</t>
        </is>
      </c>
      <c r="D7" s="354" t="inlineStr">
        <is>
          <t>TD06H-16M</t>
        </is>
      </c>
      <c r="E7" s="354" t="inlineStr">
        <is>
          <t>3066/S6KT</t>
        </is>
      </c>
      <c r="F7" s="356" t="inlineStr">
        <is>
          <t>49179-02820
8M06-100-E68</t>
        </is>
      </c>
      <c r="G7" s="354" t="n"/>
      <c r="H7" s="357" t="inlineStr">
        <is>
          <t>JRONE</t>
        </is>
      </c>
      <c r="I7" s="358" t="n"/>
      <c r="J7" s="358" t="n"/>
      <c r="K7" s="358" t="n"/>
      <c r="L7" s="358">
        <f>IF(K7="","",K7*1.1)</f>
        <v/>
      </c>
      <c r="M7" s="359" t="n"/>
      <c r="N7" s="359" t="n"/>
      <c r="O7" s="359" t="n"/>
      <c r="P7" s="359" t="n"/>
      <c r="Q7" s="359" t="n"/>
      <c r="R7" s="359" t="n"/>
      <c r="T7" s="346">
        <f>UPPER(A7&amp;" "&amp;B7&amp;" "&amp;D7&amp;" "&amp;E7&amp;" "&amp;F7&amp;" "&amp;G7&amp;" "&amp;H7)</f>
        <v/>
      </c>
      <c r="U7" s="216">
        <f>IF(AND('TRA CỨU TỔNG HỢP'!$B$3&lt;&gt;"",ISNUMBER(SEARCH('TRA CỨU TỔNG HỢP'!$B$3,T7))),MAX($U$3:U6)+1,"")</f>
        <v/>
      </c>
    </row>
    <row r="8" ht="15" customHeight="1" s="217">
      <c r="A8" s="354" t="inlineStr">
        <is>
          <t>CAT</t>
        </is>
      </c>
      <c r="B8" s="355" t="inlineStr">
        <is>
          <t>HH070130</t>
        </is>
      </c>
      <c r="C8" s="354" t="inlineStr">
        <is>
          <t>BorgWarner</t>
        </is>
      </c>
      <c r="D8" s="354" t="inlineStr">
        <is>
          <t>S2A</t>
        </is>
      </c>
      <c r="E8" s="354" t="n">
        <v>3114</v>
      </c>
      <c r="F8" s="356" t="inlineStr">
        <is>
          <t>317817/ 8S03-100-J37</t>
        </is>
      </c>
      <c r="G8" s="354" t="inlineStr">
        <is>
          <t>8S03-100-J37</t>
        </is>
      </c>
      <c r="H8" s="357" t="inlineStr">
        <is>
          <t>JRONE</t>
        </is>
      </c>
      <c r="I8" s="358" t="n"/>
      <c r="J8" s="358" t="n"/>
      <c r="K8" s="358" t="n"/>
      <c r="L8" s="358">
        <f>IF(K8="","",K8*1.1)</f>
        <v/>
      </c>
      <c r="M8" s="359" t="n"/>
      <c r="N8" s="359" t="n"/>
      <c r="O8" s="359" t="n"/>
      <c r="P8" s="359" t="n"/>
      <c r="Q8" s="359" t="n"/>
      <c r="R8" s="359" t="n"/>
      <c r="T8" s="216">
        <f>UPPER(A8&amp;" "&amp;B8&amp;" "&amp;D8&amp;" "&amp;E8&amp;" "&amp;F8&amp;" "&amp;G8&amp;" "&amp;H8)</f>
        <v/>
      </c>
      <c r="U8" s="216">
        <f>IF(AND('TRA CỨU TỔNG HỢP'!$B$3&lt;&gt;"",ISNUMBER(SEARCH('TRA CỨU TỔNG HỢP'!$B$3,T8))),MAX($U$3:U7)+1,"")</f>
        <v/>
      </c>
    </row>
    <row r="9" ht="15" customHeight="1" s="217">
      <c r="A9" s="354" t="inlineStr">
        <is>
          <t>CAT</t>
        </is>
      </c>
      <c r="B9" s="355" t="inlineStr">
        <is>
          <t>HH071812</t>
        </is>
      </c>
      <c r="C9" s="354" t="inlineStr">
        <is>
          <t>Mitsubishi</t>
        </is>
      </c>
      <c r="D9" s="354" t="inlineStr">
        <is>
          <t>TD06H-16M</t>
        </is>
      </c>
      <c r="E9" s="354" t="inlineStr">
        <is>
          <t>3066/S6KT</t>
        </is>
      </c>
      <c r="F9" s="356" t="inlineStr">
        <is>
          <t>49179-02300
5I8018/2797860
49179-08600</t>
        </is>
      </c>
      <c r="G9" s="354" t="n"/>
      <c r="H9" s="357" t="inlineStr">
        <is>
          <t>SL</t>
        </is>
      </c>
      <c r="I9" s="358" t="n"/>
      <c r="J9" s="358" t="n"/>
      <c r="K9" s="358" t="n"/>
      <c r="L9" s="358">
        <f>IF(K9="","",K9*1.1)</f>
        <v/>
      </c>
      <c r="M9" s="359" t="n"/>
      <c r="N9" s="359" t="n"/>
      <c r="O9" s="359" t="n"/>
      <c r="P9" s="359" t="n"/>
      <c r="Q9" s="359" t="n"/>
      <c r="R9" s="359" t="n"/>
      <c r="T9" s="346">
        <f>UPPER(A9&amp;" "&amp;B9&amp;" "&amp;D9&amp;" "&amp;E9&amp;" "&amp;F9&amp;" "&amp;G9&amp;" "&amp;H9)</f>
        <v/>
      </c>
      <c r="U9" s="216">
        <f>IF(AND('TRA CỨU TỔNG HỢP'!$B$3&lt;&gt;"",ISNUMBER(SEARCH('TRA CỨU TỔNG HỢP'!$B$3,T9))),MAX($U$3:U8)+1,"")</f>
        <v/>
      </c>
    </row>
    <row r="10" ht="15" customHeight="1" s="217">
      <c r="A10" s="340" t="inlineStr">
        <is>
          <t>CAT</t>
        </is>
      </c>
      <c r="B10" s="341" t="inlineStr">
        <is>
          <t>HH075289</t>
        </is>
      </c>
      <c r="C10" s="340" t="inlineStr">
        <is>
          <t>Mitsubishi</t>
        </is>
      </c>
      <c r="D10" s="340" t="inlineStr">
        <is>
          <t>TE06H-16M</t>
        </is>
      </c>
      <c r="E10" s="340" t="inlineStr">
        <is>
          <t>S6KT</t>
        </is>
      </c>
      <c r="F10" s="342" t="inlineStr">
        <is>
          <t>49179-02230
8M06-100-235</t>
        </is>
      </c>
      <c r="G10" s="340" t="n"/>
      <c r="H10" s="343" t="inlineStr">
        <is>
          <t>JRONE</t>
        </is>
      </c>
      <c r="I10" s="344" t="n"/>
      <c r="J10" s="344" t="n"/>
      <c r="K10" s="344" t="n"/>
      <c r="L10" s="344">
        <f>IF(K10="","",K10*1.1)</f>
        <v/>
      </c>
      <c r="M10" s="345" t="n"/>
      <c r="N10" s="345" t="n"/>
      <c r="O10" s="345" t="n"/>
      <c r="P10" s="345" t="n"/>
      <c r="Q10" s="345" t="n"/>
      <c r="R10" s="345" t="n"/>
      <c r="T10" s="346">
        <f>UPPER(A10&amp;" "&amp;B10&amp;" "&amp;D10&amp;" "&amp;E10&amp;" "&amp;F10&amp;" "&amp;G10&amp;" "&amp;H10)</f>
        <v/>
      </c>
      <c r="U10" s="216">
        <f>IF(AND('TRA CỨU TỔNG HỢP'!$B$3&lt;&gt;"",ISNUMBER(SEARCH('TRA CỨU TỔNG HỢP'!$B$3,T10))),MAX($U$3:U9)+1,"")</f>
        <v/>
      </c>
    </row>
    <row r="11" ht="15" customHeight="1" s="217">
      <c r="A11" s="347" t="inlineStr">
        <is>
          <t>CAT</t>
        </is>
      </c>
      <c r="B11" s="348" t="inlineStr">
        <is>
          <t>HH071811</t>
        </is>
      </c>
      <c r="C11" s="349" t="inlineStr">
        <is>
          <t>Mitsubishi</t>
        </is>
      </c>
      <c r="D11" s="349" t="inlineStr">
        <is>
          <t>TE06H-16M</t>
        </is>
      </c>
      <c r="E11" s="349" t="inlineStr">
        <is>
          <t>S6KT</t>
        </is>
      </c>
      <c r="F11" s="350" t="inlineStr">
        <is>
          <t>49179-02230
8M06-100-235</t>
        </is>
      </c>
      <c r="G11" s="349" t="n"/>
      <c r="H11" s="351" t="inlineStr">
        <is>
          <t>SL</t>
        </is>
      </c>
      <c r="I11" s="352" t="n"/>
      <c r="J11" s="352" t="n"/>
      <c r="K11" s="352" t="n"/>
      <c r="L11" s="352">
        <f>IF(K11="","",K11*1.1)</f>
        <v/>
      </c>
      <c r="M11" s="353" t="n"/>
      <c r="N11" s="353" t="n"/>
      <c r="O11" s="353" t="n"/>
      <c r="P11" s="353" t="n"/>
      <c r="Q11" s="353" t="n"/>
      <c r="R11" s="353" t="n"/>
      <c r="T11" s="346">
        <f>UPPER(A11&amp;" "&amp;B11&amp;" "&amp;D11&amp;" "&amp;E11&amp;" "&amp;F11&amp;" "&amp;G11&amp;" "&amp;H11)</f>
        <v/>
      </c>
      <c r="U11" s="216">
        <f>IF(AND('TRA CỨU TỔNG HỢP'!$B$3&lt;&gt;"",ISNUMBER(SEARCH('TRA CỨU TỔNG HỢP'!$B$3,T11))),MAX($U$3:U10)+1,"")</f>
        <v/>
      </c>
    </row>
    <row r="12" ht="15" customHeight="1" s="217">
      <c r="A12" s="347" t="inlineStr">
        <is>
          <t>CAT</t>
        </is>
      </c>
      <c r="B12" s="348" t="inlineStr">
        <is>
          <t>HH079980</t>
        </is>
      </c>
      <c r="C12" s="349" t="inlineStr">
        <is>
          <t>Mitsubishi</t>
        </is>
      </c>
      <c r="D12" s="349" t="inlineStr">
        <is>
          <t>TE06H-16M</t>
        </is>
      </c>
      <c r="E12" s="349" t="inlineStr">
        <is>
          <t>S6KT</t>
        </is>
      </c>
      <c r="F12" s="350" t="inlineStr">
        <is>
          <t>49179-02230
8M06-100-235</t>
        </is>
      </c>
      <c r="G12" s="349" t="n"/>
      <c r="H12" s="351" t="n"/>
      <c r="I12" s="352" t="n"/>
      <c r="J12" s="352" t="n"/>
      <c r="K12" s="352" t="n"/>
      <c r="L12" s="352">
        <f>IF(K12="","",K12*1.1)</f>
        <v/>
      </c>
      <c r="M12" s="353" t="n"/>
      <c r="N12" s="353" t="n"/>
      <c r="O12" s="353" t="n"/>
      <c r="P12" s="353" t="n"/>
      <c r="Q12" s="353" t="n"/>
      <c r="R12" s="353" t="n"/>
      <c r="T12" s="346">
        <f>UPPER(A12&amp;" "&amp;B12&amp;" "&amp;D12&amp;" "&amp;E12&amp;" "&amp;F12&amp;" "&amp;G12&amp;" "&amp;H12)</f>
        <v/>
      </c>
      <c r="U12" s="216">
        <f>IF(AND('TRA CỨU TỔNG HỢP'!$B$3&lt;&gt;"",ISNUMBER(SEARCH('TRA CỨU TỔNG HỢP'!$B$3,T12))),MAX($U$3:U11)+1,"")</f>
        <v/>
      </c>
    </row>
    <row r="13" ht="15" customHeight="1" s="217">
      <c r="A13" s="340" t="inlineStr">
        <is>
          <t>CAT</t>
        </is>
      </c>
      <c r="B13" s="341" t="inlineStr">
        <is>
          <t>HH081733</t>
        </is>
      </c>
      <c r="C13" s="340" t="inlineStr">
        <is>
          <t>Mitsubishi</t>
        </is>
      </c>
      <c r="D13" s="340" t="inlineStr">
        <is>
          <t>TD06H-14C</t>
        </is>
      </c>
      <c r="E13" s="340" t="inlineStr">
        <is>
          <t>S6KT/S4KT</t>
        </is>
      </c>
      <c r="F13" s="342" t="inlineStr">
        <is>
          <t>49179-00451/49179-00451 | 49179-00450 | 4917900451 | 4917900450 | 5I-5015 | 5I5015
8M06-100-056/49179-00450
5I501549179-09830/49179-00451/4917900451/317013/49179-00450/4917900450/49S79-00451/49S7900451
(ruột)</t>
        </is>
      </c>
      <c r="G13" s="340" t="n"/>
      <c r="H13" s="343" t="inlineStr">
        <is>
          <t>TBS</t>
        </is>
      </c>
      <c r="I13" s="344" t="n"/>
      <c r="J13" s="344" t="n"/>
      <c r="K13" s="344" t="n"/>
      <c r="L13" s="344">
        <f>IF(K13="","",K13*1.1)</f>
        <v/>
      </c>
      <c r="M13" s="345" t="n"/>
      <c r="N13" s="345" t="n"/>
      <c r="O13" s="345" t="n"/>
      <c r="P13" s="345" t="n"/>
      <c r="Q13" s="345" t="n"/>
      <c r="R13" s="345" t="n"/>
      <c r="T13" s="346">
        <f>UPPER(A13&amp;" "&amp;B13&amp;" "&amp;D13&amp;" "&amp;E13&amp;" "&amp;F13&amp;" "&amp;G13&amp;" "&amp;H13)</f>
        <v/>
      </c>
      <c r="U13" s="216">
        <f>IF(AND('TRA CỨU TỔNG HỢP'!$B$3&lt;&gt;"",ISNUMBER(SEARCH('TRA CỨU TỔNG HỢP'!$B$3,T13))),MAX($U$3:U12)+1,"")</f>
        <v/>
      </c>
    </row>
    <row r="14" ht="15" customHeight="1" s="217">
      <c r="A14" s="347" t="inlineStr">
        <is>
          <t>CAT</t>
        </is>
      </c>
      <c r="B14" s="348" t="inlineStr">
        <is>
          <t>HH075110</t>
        </is>
      </c>
      <c r="C14" s="349" t="inlineStr">
        <is>
          <t>Mitsubishi</t>
        </is>
      </c>
      <c r="D14" s="349" t="inlineStr">
        <is>
          <t>TD06H-14C</t>
        </is>
      </c>
      <c r="E14" s="349" t="inlineStr">
        <is>
          <t>S6KT/S4KT</t>
        </is>
      </c>
      <c r="F14" s="350" t="inlineStr">
        <is>
          <t>49179-00451/49179-00451 | 49179-00450 | 4917900451 | 4917900450 | 5I-5015 | 5I5015
8M06-100-056/49179-00450
5I501549179-09830/49179-00451/4917900451/317013/49179-00450/4917900450/49S79-00451/49S7900451
(ruột)</t>
        </is>
      </c>
      <c r="G14" s="349" t="n"/>
      <c r="H14" s="351" t="inlineStr">
        <is>
          <t>JRONE</t>
        </is>
      </c>
      <c r="I14" s="352" t="n"/>
      <c r="J14" s="352" t="n"/>
      <c r="K14" s="352" t="n"/>
      <c r="L14" s="352">
        <f>IF(K14="","",K14*1.1)</f>
        <v/>
      </c>
      <c r="M14" s="353" t="n"/>
      <c r="N14" s="353" t="n"/>
      <c r="O14" s="353" t="n"/>
      <c r="P14" s="353" t="n"/>
      <c r="Q14" s="353" t="n"/>
      <c r="R14" s="353" t="n"/>
      <c r="T14" s="346">
        <f>UPPER(A14&amp;" "&amp;B14&amp;" "&amp;D14&amp;" "&amp;E14&amp;" "&amp;F14&amp;" "&amp;G14&amp;" "&amp;H14)</f>
        <v/>
      </c>
      <c r="U14" s="216">
        <f>IF(AND('TRA CỨU TỔNG HỢP'!$B$3&lt;&gt;"",ISNUMBER(SEARCH('TRA CỨU TỔNG HỢP'!$B$3,T14))),MAX($U$3:U13)+1,"")</f>
        <v/>
      </c>
    </row>
    <row r="15" ht="15" customHeight="1" s="217">
      <c r="A15" s="347" t="inlineStr">
        <is>
          <t>CAT</t>
        </is>
      </c>
      <c r="B15" s="348" t="inlineStr">
        <is>
          <t>HH079979</t>
        </is>
      </c>
      <c r="C15" s="349" t="inlineStr">
        <is>
          <t>Mitsubishi</t>
        </is>
      </c>
      <c r="D15" s="349" t="inlineStr">
        <is>
          <t>TD06H-14C</t>
        </is>
      </c>
      <c r="E15" s="349" t="inlineStr">
        <is>
          <t>S6KT/S4KT</t>
        </is>
      </c>
      <c r="F15" s="350" t="inlineStr">
        <is>
          <t>49179-00451/49179-00451 | 49179-00450 | 4917900451 | 4917900450 | 5I-5015 | 5I5015
8M06-100-056/49179-00450
5I501549179-09830/49179-00451/4917900451/317013/49179-00450/4917900450/49S79-00451/49S7900451
(ruột)</t>
        </is>
      </c>
      <c r="G15" s="349" t="n"/>
      <c r="H15" s="351" t="inlineStr">
        <is>
          <t>SL</t>
        </is>
      </c>
      <c r="I15" s="352" t="n"/>
      <c r="J15" s="352" t="n"/>
      <c r="K15" s="352" t="n"/>
      <c r="L15" s="352">
        <f>IF(K15="","",K15*1.1)</f>
        <v/>
      </c>
      <c r="M15" s="353" t="n"/>
      <c r="N15" s="353" t="n"/>
      <c r="O15" s="353" t="n"/>
      <c r="P15" s="353" t="n"/>
      <c r="Q15" s="353" t="n"/>
      <c r="R15" s="353" t="n"/>
      <c r="T15" s="346">
        <f>UPPER(A15&amp;" "&amp;B15&amp;" "&amp;D15&amp;" "&amp;E15&amp;" "&amp;F15&amp;" "&amp;G15&amp;" "&amp;H15)</f>
        <v/>
      </c>
      <c r="U15" s="216">
        <f>IF(AND('TRA CỨU TỔNG HỢP'!$B$3&lt;&gt;"",ISNUMBER(SEARCH('TRA CỨU TỔNG HỢP'!$B$3,T15))),MAX($U$3:U14)+1,"")</f>
        <v/>
      </c>
    </row>
    <row r="16" ht="15" customHeight="1" s="217">
      <c r="A16" s="354" t="inlineStr">
        <is>
          <t>CAT</t>
        </is>
      </c>
      <c r="B16" s="355" t="inlineStr">
        <is>
          <t>HH075397</t>
        </is>
      </c>
      <c r="C16" s="354" t="inlineStr">
        <is>
          <t>BorgWarner</t>
        </is>
      </c>
      <c r="D16" s="354" t="inlineStr">
        <is>
          <t>S410G</t>
        </is>
      </c>
      <c r="E16" s="354" t="inlineStr">
        <is>
          <t>CAT 3406/ C15</t>
        </is>
      </c>
      <c r="F16" s="356" t="inlineStr">
        <is>
          <t>177148
169227
704604-0007/466445-0018
471142-0005/471142-0003
466445-0015/466445-0021
170354
137-4832/OR7152
167-9271/196-5951
OR6989/124-3035
141-8939/146-4328/136-6390
8S04-200-B71</t>
        </is>
      </c>
      <c r="G16" s="354" t="n"/>
      <c r="H16" s="357" t="inlineStr">
        <is>
          <t>JRONE</t>
        </is>
      </c>
      <c r="I16" s="358" t="n"/>
      <c r="J16" s="358" t="n"/>
      <c r="K16" s="358" t="n"/>
      <c r="L16" s="358">
        <f>IF(K16="","",K16*1.1)</f>
        <v/>
      </c>
      <c r="M16" s="359" t="n">
        <v>105.4</v>
      </c>
      <c r="N16" s="359" t="n">
        <v>74.59999999999999</v>
      </c>
      <c r="O16" s="359" t="inlineStr">
        <is>
          <t>7/7</t>
        </is>
      </c>
      <c r="P16" s="359" t="n">
        <v>91.5</v>
      </c>
      <c r="Q16" s="359" t="n">
        <v>81.7</v>
      </c>
      <c r="R16" s="359" t="n">
        <v>10</v>
      </c>
      <c r="T16" s="346">
        <f>UPPER(A16&amp;" "&amp;B16&amp;" "&amp;D16&amp;" "&amp;E16&amp;" "&amp;F16&amp;" "&amp;G16&amp;" "&amp;H16)</f>
        <v/>
      </c>
      <c r="U16" s="216">
        <f>IF(AND('TRA CỨU TỔNG HỢP'!$B$3&lt;&gt;"",ISNUMBER(SEARCH('TRA CỨU TỔNG HỢP'!$B$3,T16))),MAX($U$3:U15)+1,"")</f>
        <v/>
      </c>
    </row>
    <row r="17" ht="15" customHeight="1" s="217">
      <c r="A17" s="379" t="inlineStr">
        <is>
          <t>CAT</t>
        </is>
      </c>
      <c r="B17" s="380" t="n"/>
      <c r="C17" s="379" t="inlineStr">
        <is>
          <t>Mitsubishi</t>
        </is>
      </c>
      <c r="D17" s="379" t="inlineStr">
        <is>
          <t>TF035</t>
        </is>
      </c>
      <c r="E17" s="379" t="inlineStr">
        <is>
          <t>4M40-T</t>
        </is>
      </c>
      <c r="F17" s="381" t="inlineStr">
        <is>
          <t>49135-03320
49135-03301
03300/8M35-200-J12</t>
        </is>
      </c>
      <c r="G17" s="379" t="n"/>
      <c r="H17" s="382" t="n"/>
      <c r="I17" s="383" t="n"/>
      <c r="J17" s="383" t="n"/>
      <c r="K17" s="383" t="n"/>
      <c r="L17" s="383">
        <f>IF(K17="","",K17*1.1)</f>
        <v/>
      </c>
      <c r="M17" s="384" t="n"/>
      <c r="N17" s="384" t="n"/>
      <c r="O17" s="384" t="n"/>
      <c r="P17" s="384" t="n"/>
      <c r="Q17" s="384" t="n"/>
      <c r="R17" s="384" t="n"/>
      <c r="T17" s="346">
        <f>UPPER(A17&amp;" "&amp;B17&amp;" "&amp;D17&amp;" "&amp;E17&amp;" "&amp;F17&amp;" "&amp;G17&amp;" "&amp;H17)</f>
        <v/>
      </c>
      <c r="U17" s="216">
        <f>IF(AND('TRA CỨU TỔNG HỢP'!$B$3&lt;&gt;"",ISNUMBER(SEARCH('TRA CỨU TỔNG HỢP'!$B$3,T17))),MAX($U$3:U16)+1,"")</f>
        <v/>
      </c>
    </row>
    <row r="18" ht="15" customHeight="1" s="217">
      <c r="A18" s="340" t="inlineStr">
        <is>
          <t>CAT</t>
        </is>
      </c>
      <c r="B18" s="341" t="inlineStr">
        <is>
          <t>HH080116</t>
        </is>
      </c>
      <c r="C18" s="340" t="inlineStr">
        <is>
          <t>IHI</t>
        </is>
      </c>
      <c r="D18" s="340" t="inlineStr">
        <is>
          <t>RHF4</t>
        </is>
      </c>
      <c r="E18" s="340" t="inlineStr">
        <is>
          <t>VT10</t>
        </is>
      </c>
      <c r="F18" s="342" t="inlineStr">
        <is>
          <t>VA420088
1515A029/1515A030/VT11
VA420101/VB420088
VB420101/VC420088
VC420101/F41CAT-S0088B
F41CAT-S0088G/VF420088
VG420088A1/49179-08540</t>
        </is>
      </c>
      <c r="G18" s="340" t="n"/>
      <c r="H18" s="343" t="inlineStr">
        <is>
          <t>SL</t>
        </is>
      </c>
      <c r="I18" s="344" t="n"/>
      <c r="J18" s="344" t="n"/>
      <c r="K18" s="344" t="n"/>
      <c r="L18" s="344">
        <f>IF(K18="","",K18*1.1)</f>
        <v/>
      </c>
      <c r="M18" s="345" t="n">
        <v>50</v>
      </c>
      <c r="N18" s="345" t="n">
        <v>37.4</v>
      </c>
      <c r="O18" s="345" t="inlineStr">
        <is>
          <t>5/5</t>
        </is>
      </c>
      <c r="P18" s="345" t="n">
        <v>45.2</v>
      </c>
      <c r="Q18" s="345" t="n">
        <v>36.6</v>
      </c>
      <c r="R18" s="345" t="n">
        <v>9</v>
      </c>
      <c r="T18" s="346">
        <f>UPPER(A18&amp;" "&amp;B18&amp;" "&amp;D18&amp;" "&amp;E18&amp;" "&amp;F18&amp;" "&amp;G18&amp;" "&amp;H18)</f>
        <v/>
      </c>
      <c r="U18" s="216">
        <f>IF(AND('TRA CỨU TỔNG HỢP'!$B$3&lt;&gt;"",ISNUMBER(SEARCH('TRA CỨU TỔNG HỢP'!$B$3,T18))),MAX($U$3:U17)+1,"")</f>
        <v/>
      </c>
    </row>
    <row r="19" ht="15" customHeight="1" s="217">
      <c r="A19" s="347" t="inlineStr">
        <is>
          <t>CAT</t>
        </is>
      </c>
      <c r="B19" s="348" t="inlineStr">
        <is>
          <t>HH080117</t>
        </is>
      </c>
      <c r="C19" s="349" t="inlineStr">
        <is>
          <t>IHI</t>
        </is>
      </c>
      <c r="D19" s="349" t="inlineStr">
        <is>
          <t>RHF4</t>
        </is>
      </c>
      <c r="E19" s="349" t="inlineStr">
        <is>
          <t>VT10</t>
        </is>
      </c>
      <c r="F19" s="350" t="inlineStr">
        <is>
          <t>VA420088
1515A029/1515A030/VT11
VA420101/VB420088
VB420101/VC420088
VC420101/F41CAT-S0088B
F41CAT-S0088G/VF420088
VG420088A1/49179-08540</t>
        </is>
      </c>
      <c r="G19" s="349" t="n"/>
      <c r="H19" s="351" t="inlineStr">
        <is>
          <t>SL</t>
        </is>
      </c>
      <c r="I19" s="352" t="n"/>
      <c r="J19" s="352" t="n"/>
      <c r="K19" s="352" t="n"/>
      <c r="L19" s="352">
        <f>IF(K19="","",K19*1.1)</f>
        <v/>
      </c>
      <c r="M19" s="353" t="n">
        <v>50</v>
      </c>
      <c r="N19" s="353" t="n">
        <v>37.4</v>
      </c>
      <c r="O19" s="353" t="inlineStr">
        <is>
          <t>5/5</t>
        </is>
      </c>
      <c r="P19" s="353" t="n">
        <v>45.2</v>
      </c>
      <c r="Q19" s="353" t="n">
        <v>36.6</v>
      </c>
      <c r="R19" s="353" t="n">
        <v>9</v>
      </c>
      <c r="T19" s="346">
        <f>UPPER(A19&amp;" "&amp;B19&amp;" "&amp;D19&amp;" "&amp;E19&amp;" "&amp;F19&amp;" "&amp;G19&amp;" "&amp;H19)</f>
        <v/>
      </c>
      <c r="U19" s="216">
        <f>IF(AND('TRA CỨU TỔNG HỢP'!$B$3&lt;&gt;"",ISNUMBER(SEARCH('TRA CỨU TỔNG HỢP'!$B$3,T19))),MAX($U$3:U18)+1,"")</f>
        <v/>
      </c>
    </row>
    <row r="20" ht="15" customHeight="1" s="217">
      <c r="A20" s="340" t="inlineStr">
        <is>
          <t>CAT</t>
        </is>
      </c>
      <c r="B20" s="341" t="inlineStr">
        <is>
          <t>HH075384</t>
        </is>
      </c>
      <c r="C20" s="340" t="inlineStr">
        <is>
          <t>Garrett</t>
        </is>
      </c>
      <c r="D20" s="340" t="inlineStr">
        <is>
          <t>T04B91</t>
        </is>
      </c>
      <c r="E20" s="340" t="n">
        <v>3304</v>
      </c>
      <c r="F20" s="342" t="inlineStr">
        <is>
          <t>409410-0002
8G04-100-155</t>
        </is>
      </c>
      <c r="G20" s="340" t="n"/>
      <c r="H20" s="343" t="inlineStr">
        <is>
          <t>JRONE</t>
        </is>
      </c>
      <c r="I20" s="344" t="n"/>
      <c r="J20" s="344" t="n"/>
      <c r="K20" s="344" t="n"/>
      <c r="L20" s="344">
        <f>IF(K20="","",K20*1.1)</f>
        <v/>
      </c>
      <c r="M20" s="345" t="n">
        <v>70</v>
      </c>
      <c r="N20" s="345" t="n">
        <v>48.4</v>
      </c>
      <c r="O20" s="345" t="inlineStr">
        <is>
          <t>8/8</t>
        </is>
      </c>
      <c r="P20" s="345" t="n">
        <v>74.3</v>
      </c>
      <c r="Q20" s="345" t="n">
        <v>64.59999999999999</v>
      </c>
      <c r="R20" s="345" t="n">
        <v>11</v>
      </c>
      <c r="T20" s="346">
        <f>UPPER(A20&amp;" "&amp;B20&amp;" "&amp;D20&amp;" "&amp;E20&amp;" "&amp;F20&amp;" "&amp;G20&amp;" "&amp;H20)</f>
        <v/>
      </c>
      <c r="U20" s="216">
        <f>IF(AND('TRA CỨU TỔNG HỢP'!$B$3&lt;&gt;"",ISNUMBER(SEARCH('TRA CỨU TỔNG HỢP'!$B$3,T20))),MAX($U$3:U19)+1,"")</f>
        <v/>
      </c>
    </row>
    <row r="21" ht="15" customHeight="1" s="217">
      <c r="A21" s="347" t="inlineStr">
        <is>
          <t>CAT</t>
        </is>
      </c>
      <c r="B21" s="348" t="inlineStr">
        <is>
          <t>HH0626</t>
        </is>
      </c>
      <c r="C21" s="349" t="inlineStr">
        <is>
          <t>Garrett</t>
        </is>
      </c>
      <c r="D21" s="349" t="inlineStr">
        <is>
          <t>T04B91</t>
        </is>
      </c>
      <c r="E21" s="349" t="n">
        <v>3304</v>
      </c>
      <c r="F21" s="350" t="inlineStr">
        <is>
          <t>409410-0002
8G04-100-155</t>
        </is>
      </c>
      <c r="G21" s="349" t="n"/>
      <c r="H21" s="351" t="inlineStr">
        <is>
          <t>SL</t>
        </is>
      </c>
      <c r="I21" s="352" t="n"/>
      <c r="J21" s="352" t="n"/>
      <c r="K21" s="352" t="n"/>
      <c r="L21" s="352">
        <f>IF(K21="","",K21*1.1)</f>
        <v/>
      </c>
      <c r="M21" s="353" t="n">
        <v>70</v>
      </c>
      <c r="N21" s="353" t="n">
        <v>48.4</v>
      </c>
      <c r="O21" s="353" t="inlineStr">
        <is>
          <t>8/8</t>
        </is>
      </c>
      <c r="P21" s="353" t="n">
        <v>74.3</v>
      </c>
      <c r="Q21" s="353" t="n">
        <v>64.59999999999999</v>
      </c>
      <c r="R21" s="353" t="n">
        <v>11</v>
      </c>
      <c r="T21" s="346">
        <f>UPPER(A21&amp;" "&amp;B21&amp;" "&amp;D21&amp;" "&amp;E21&amp;" "&amp;F21&amp;" "&amp;G21&amp;" "&amp;H21)</f>
        <v/>
      </c>
      <c r="U21" s="216">
        <f>IF(AND('TRA CỨU TỔNG HỢP'!$B$3&lt;&gt;"",ISNUMBER(SEARCH('TRA CỨU TỔNG HỢP'!$B$3,T21))),MAX($U$3:U20)+1,"")</f>
        <v/>
      </c>
    </row>
    <row r="22" ht="15" customHeight="1" s="217">
      <c r="A22" s="340" t="inlineStr">
        <is>
          <t>CAT</t>
        </is>
      </c>
      <c r="B22" s="341" t="inlineStr">
        <is>
          <t>HH077152</t>
        </is>
      </c>
      <c r="C22" s="340" t="inlineStr">
        <is>
          <t>BorgWarner</t>
        </is>
      </c>
      <c r="D22" s="340" t="inlineStr">
        <is>
          <t>S200AG</t>
        </is>
      </c>
      <c r="E22" s="340" t="inlineStr">
        <is>
          <t>C7/3126B</t>
        </is>
      </c>
      <c r="F22" s="342" t="inlineStr">
        <is>
          <t>171860/178475
8S02-200-E65</t>
        </is>
      </c>
      <c r="G22" s="340" t="n"/>
      <c r="H22" s="343" t="inlineStr">
        <is>
          <t>JRONE</t>
        </is>
      </c>
      <c r="I22" s="344" t="n"/>
      <c r="J22" s="344" t="n"/>
      <c r="K22" s="344" t="n"/>
      <c r="L22" s="344">
        <f>IF(K22="","",K22*1.1)</f>
        <v/>
      </c>
      <c r="M22" s="345" t="n"/>
      <c r="N22" s="345" t="n"/>
      <c r="O22" s="345" t="n"/>
      <c r="P22" s="345" t="n"/>
      <c r="Q22" s="345" t="n"/>
      <c r="R22" s="345" t="n"/>
      <c r="T22" s="346">
        <f>UPPER(A22&amp;" "&amp;B22&amp;" "&amp;D22&amp;" "&amp;E22&amp;" "&amp;F22&amp;" "&amp;G22&amp;" "&amp;H22)</f>
        <v/>
      </c>
      <c r="U22" s="216">
        <f>IF(AND('TRA CỨU TỔNG HỢP'!$B$3&lt;&gt;"",ISNUMBER(SEARCH('TRA CỨU TỔNG HỢP'!$B$3,T22))),MAX($U$3:U21)+1,"")</f>
        <v/>
      </c>
    </row>
    <row r="23" ht="15" customHeight="1" s="217">
      <c r="A23" s="347" t="inlineStr">
        <is>
          <t>CAT</t>
        </is>
      </c>
      <c r="B23" s="348" t="inlineStr">
        <is>
          <t>HH084199</t>
        </is>
      </c>
      <c r="C23" s="349" t="inlineStr">
        <is>
          <t>BorgWarner</t>
        </is>
      </c>
      <c r="D23" s="349" t="inlineStr">
        <is>
          <t>S200AG</t>
        </is>
      </c>
      <c r="E23" s="349" t="inlineStr">
        <is>
          <t>C7/3126B</t>
        </is>
      </c>
      <c r="F23" s="350" t="inlineStr">
        <is>
          <t>171860/178475
8S02-200-E65</t>
        </is>
      </c>
      <c r="G23" s="349" t="n"/>
      <c r="H23" s="351" t="inlineStr">
        <is>
          <t>EE</t>
        </is>
      </c>
      <c r="I23" s="352" t="n"/>
      <c r="J23" s="352" t="n"/>
      <c r="K23" s="352" t="n"/>
      <c r="L23" s="352">
        <f>IF(K23="","",K23*1.1)</f>
        <v/>
      </c>
      <c r="M23" s="353" t="n"/>
      <c r="N23" s="353" t="n"/>
      <c r="O23" s="353" t="n"/>
      <c r="P23" s="353" t="n"/>
      <c r="Q23" s="353" t="n"/>
      <c r="R23" s="353" t="n"/>
      <c r="T23" s="346">
        <f>UPPER(A23&amp;" "&amp;B23&amp;" "&amp;D23&amp;" "&amp;E23&amp;" "&amp;F23&amp;" "&amp;G23&amp;" "&amp;H23)</f>
        <v/>
      </c>
      <c r="U23" s="216">
        <f>IF(AND('TRA CỨU TỔNG HỢP'!$B$3&lt;&gt;"",ISNUMBER(SEARCH('TRA CỨU TỔNG HỢP'!$B$3,T23))),MAX($U$3:U22)+1,"")</f>
        <v/>
      </c>
    </row>
    <row r="24" ht="15" customHeight="1" s="217">
      <c r="A24" s="354" t="inlineStr">
        <is>
          <t>CAT</t>
        </is>
      </c>
      <c r="B24" s="355" t="inlineStr">
        <is>
          <t>HH083051</t>
        </is>
      </c>
      <c r="C24" s="354" t="inlineStr">
        <is>
          <t>Garrett</t>
        </is>
      </c>
      <c r="D24" s="354" t="inlineStr">
        <is>
          <t>GT47</t>
        </is>
      </c>
      <c r="E24" s="354" t="inlineStr">
        <is>
          <t>C15/3406E</t>
        </is>
      </c>
      <c r="F24" s="356" t="n">
        <v>1679271</v>
      </c>
      <c r="G24" s="354" t="n"/>
      <c r="H24" s="357" t="inlineStr">
        <is>
          <t>SL</t>
        </is>
      </c>
      <c r="I24" s="358" t="n"/>
      <c r="J24" s="358" t="n"/>
      <c r="K24" s="358" t="n"/>
      <c r="L24" s="358">
        <f>IF(K24="","",K24*1.1)</f>
        <v/>
      </c>
      <c r="M24" s="359" t="n">
        <v>102.4</v>
      </c>
      <c r="N24" s="359" t="n">
        <v>74.7</v>
      </c>
      <c r="O24" s="359" t="inlineStr">
        <is>
          <t>6/6</t>
        </is>
      </c>
      <c r="P24" s="359" t="n">
        <v>94</v>
      </c>
      <c r="Q24" s="359" t="n">
        <v>84</v>
      </c>
      <c r="R24" s="359" t="inlineStr">
        <is>
          <t>10</t>
        </is>
      </c>
      <c r="T24" s="216">
        <f>UPPER(A24&amp;" "&amp;B24&amp;" "&amp;D24&amp;" "&amp;E24&amp;" "&amp;F24&amp;" "&amp;G24&amp;" "&amp;H24)</f>
        <v/>
      </c>
      <c r="U24" s="216">
        <f>IF(AND('TRA CỨU TỔNG HỢP'!$B$3&lt;&gt;"",ISNUMBER(SEARCH('TRA CỨU TỔNG HỢP'!$B$3,T24))),MAX($U$3:U23)+1,"")</f>
        <v/>
      </c>
    </row>
    <row r="25" ht="15" customHeight="1" s="217">
      <c r="A25" s="354" t="inlineStr">
        <is>
          <t>CAT</t>
        </is>
      </c>
      <c r="B25" s="355" t="inlineStr">
        <is>
          <t>HH075396</t>
        </is>
      </c>
      <c r="C25" s="354" t="inlineStr">
        <is>
          <t>BorgWarner</t>
        </is>
      </c>
      <c r="D25" s="354" t="inlineStr">
        <is>
          <t>S200G</t>
        </is>
      </c>
      <c r="E25" s="354" t="inlineStr">
        <is>
          <t>PERKINS 1106C/C7.1</t>
        </is>
      </c>
      <c r="F25" s="356" t="inlineStr">
        <is>
          <t>1270-970-0133/4314572
8S02-200-E66
431-4572/13J17-0007</t>
        </is>
      </c>
      <c r="G25" s="354" t="n"/>
      <c r="H25" s="357" t="inlineStr">
        <is>
          <t>JRONE</t>
        </is>
      </c>
      <c r="I25" s="358" t="n"/>
      <c r="J25" s="358" t="n"/>
      <c r="K25" s="358" t="n"/>
      <c r="L25" s="358">
        <f>IF(K25="","",K25*1.1)</f>
        <v/>
      </c>
      <c r="M25" s="359" t="n">
        <v>80</v>
      </c>
      <c r="N25" s="359" t="n">
        <v>53.2</v>
      </c>
      <c r="O25" s="359" t="inlineStr">
        <is>
          <t>7/7</t>
        </is>
      </c>
      <c r="P25" s="359" t="n">
        <v>69.59999999999999</v>
      </c>
      <c r="Q25" s="359" t="n">
        <v>55.9</v>
      </c>
      <c r="R25" s="359" t="n">
        <v>10</v>
      </c>
      <c r="T25" s="346">
        <f>UPPER(A25&amp;" "&amp;B25&amp;" "&amp;D25&amp;" "&amp;E25&amp;" "&amp;F25&amp;" "&amp;G25&amp;" "&amp;H25)</f>
        <v/>
      </c>
      <c r="U25" s="216">
        <f>IF(AND('TRA CỨU TỔNG HỢP'!$B$3&lt;&gt;"",ISNUMBER(SEARCH('TRA CỨU TỔNG HỢP'!$B$3,T25))),MAX($U$3:U24)+1,"")</f>
        <v/>
      </c>
    </row>
    <row r="26" ht="15" customHeight="1" s="217">
      <c r="A26" s="354" t="inlineStr">
        <is>
          <t>CAT</t>
        </is>
      </c>
      <c r="B26" s="355" t="inlineStr">
        <is>
          <t>HH075291</t>
        </is>
      </c>
      <c r="C26" s="354" t="inlineStr">
        <is>
          <t>Mitsubishi</t>
        </is>
      </c>
      <c r="D26" s="354" t="inlineStr">
        <is>
          <t>TD06H-16M</t>
        </is>
      </c>
      <c r="E26" s="354" t="inlineStr">
        <is>
          <t>3066/S6KT</t>
        </is>
      </c>
      <c r="F26" s="356" t="inlineStr">
        <is>
          <t>8M06-100-E68</t>
        </is>
      </c>
      <c r="G26" s="354" t="n"/>
      <c r="H26" s="357" t="inlineStr">
        <is>
          <t>JRONE</t>
        </is>
      </c>
      <c r="I26" s="358" t="n"/>
      <c r="J26" s="358" t="n"/>
      <c r="K26" s="358" t="n"/>
      <c r="L26" s="358">
        <f>IF(K26="","",K26*1.1)</f>
        <v/>
      </c>
      <c r="M26" s="359" t="n"/>
      <c r="N26" s="359" t="n"/>
      <c r="O26" s="359" t="n"/>
      <c r="P26" s="359" t="n"/>
      <c r="Q26" s="359" t="n"/>
      <c r="R26" s="359" t="n"/>
      <c r="T26" s="216">
        <f>UPPER(A26&amp;" "&amp;B26&amp;" "&amp;D26&amp;" "&amp;E26&amp;" "&amp;F26&amp;" "&amp;G26&amp;" "&amp;H26)</f>
        <v/>
      </c>
      <c r="U26" s="216">
        <f>IF(AND('TRA CỨU TỔNG HỢP'!$B$3&lt;&gt;"",ISNUMBER(SEARCH('TRA CỨU TỔNG HỢP'!$B$3,T26))),MAX($U$3:U25)+1,"")</f>
        <v/>
      </c>
    </row>
    <row r="27" ht="15" customHeight="1" s="217">
      <c r="A27" s="354" t="inlineStr">
        <is>
          <t>CAT</t>
        </is>
      </c>
      <c r="B27" s="355" t="inlineStr">
        <is>
          <t>HH080646</t>
        </is>
      </c>
      <c r="C27" s="354" t="inlineStr">
        <is>
          <t>IHI</t>
        </is>
      </c>
      <c r="D27" s="354" t="inlineStr">
        <is>
          <t>RHC7</t>
        </is>
      </c>
      <c r="E27" s="354" t="inlineStr">
        <is>
          <t>DB58</t>
        </is>
      </c>
      <c r="F27" s="356" t="inlineStr">
        <is>
          <t>VA250098</t>
        </is>
      </c>
      <c r="G27" s="354" t="n"/>
      <c r="H27" s="357" t="inlineStr">
        <is>
          <t>FIRE</t>
        </is>
      </c>
      <c r="I27" s="358" t="n"/>
      <c r="J27" s="358" t="n"/>
      <c r="K27" s="358" t="n"/>
      <c r="L27" s="358">
        <f>IF(K27="","",K27*1.1)</f>
        <v/>
      </c>
      <c r="M27" s="359" t="n"/>
      <c r="N27" s="359" t="n"/>
      <c r="O27" s="359" t="n"/>
      <c r="P27" s="359" t="n"/>
      <c r="Q27" s="359" t="n"/>
      <c r="R27" s="359" t="n"/>
      <c r="T27" s="216">
        <f>UPPER(A27&amp;" "&amp;B27&amp;" "&amp;D27&amp;" "&amp;E27&amp;" "&amp;F27&amp;" "&amp;G27&amp;" "&amp;H27)</f>
        <v/>
      </c>
      <c r="U27" s="216">
        <f>IF(AND('TRA CỨU TỔNG HỢP'!$B$3&lt;&gt;"",ISNUMBER(SEARCH('TRA CỨU TỔNG HỢP'!$B$3,T27))),MAX($U$3:U26)+1,"")</f>
        <v/>
      </c>
    </row>
    <row r="28" ht="15" customHeight="1" s="217">
      <c r="A28" s="354" t="inlineStr">
        <is>
          <t>CAT</t>
        </is>
      </c>
      <c r="B28" s="355" t="inlineStr">
        <is>
          <t>HH075385</t>
        </is>
      </c>
      <c r="C28" s="354" t="inlineStr">
        <is>
          <t>Garrett</t>
        </is>
      </c>
      <c r="D28" s="354" t="inlineStr">
        <is>
          <t>T04B65</t>
        </is>
      </c>
      <c r="E28" s="354" t="inlineStr">
        <is>
          <t>3204</t>
        </is>
      </c>
      <c r="F28" s="356" t="inlineStr">
        <is>
          <t>465088-0001
8G04-100-269</t>
        </is>
      </c>
      <c r="G28" s="354" t="n"/>
      <c r="H28" s="357" t="inlineStr">
        <is>
          <t>JRONE</t>
        </is>
      </c>
      <c r="I28" s="358" t="n"/>
      <c r="J28" s="358" t="n"/>
      <c r="K28" s="358" t="n"/>
      <c r="L28" s="358">
        <f>IF(K28="","",K28*1.1)</f>
        <v/>
      </c>
      <c r="M28" s="359" t="n"/>
      <c r="N28" s="359" t="n"/>
      <c r="O28" s="359" t="n"/>
      <c r="P28" s="359" t="n"/>
      <c r="Q28" s="359" t="n"/>
      <c r="R28" s="359" t="n"/>
      <c r="T28" s="346">
        <f>UPPER(A28&amp;" "&amp;B28&amp;" "&amp;D28&amp;" "&amp;E28&amp;" "&amp;F28&amp;" "&amp;G28&amp;" "&amp;H28)</f>
        <v/>
      </c>
      <c r="U28" s="216">
        <f>IF(AND('TRA CỨU TỔNG HỢP'!$B$3&lt;&gt;"",ISNUMBER(SEARCH('TRA CỨU TỔNG HỢP'!$B$3,T28))),MAX($U$3:U27)+1,"")</f>
        <v/>
      </c>
    </row>
    <row r="29" ht="15" customHeight="1" s="217">
      <c r="A29" s="354" t="inlineStr">
        <is>
          <t>CAT</t>
        </is>
      </c>
      <c r="B29" s="355" t="inlineStr">
        <is>
          <t>HH077150</t>
        </is>
      </c>
      <c r="C29" s="354" t="inlineStr">
        <is>
          <t>BorgWarner</t>
        </is>
      </c>
      <c r="D29" s="354" t="inlineStr">
        <is>
          <t>S200AG</t>
        </is>
      </c>
      <c r="E29" s="354" t="inlineStr">
        <is>
          <t>C7/3126</t>
        </is>
      </c>
      <c r="F29" s="356" t="inlineStr">
        <is>
          <t>8S02-200-D84</t>
        </is>
      </c>
      <c r="G29" s="354" t="inlineStr">
        <is>
          <t>CAT C7, S200AG - JRONE 8S02-200-D84</t>
        </is>
      </c>
      <c r="H29" s="357" t="inlineStr">
        <is>
          <t>JRONE</t>
        </is>
      </c>
      <c r="I29" s="358" t="n"/>
      <c r="J29" s="358" t="n"/>
      <c r="K29" s="358" t="n"/>
      <c r="L29" s="358">
        <f>IF(K29="","",K29*1.1)</f>
        <v/>
      </c>
      <c r="M29" s="359" t="n"/>
      <c r="N29" s="359" t="n"/>
      <c r="O29" s="359" t="n"/>
      <c r="P29" s="359" t="n"/>
      <c r="Q29" s="359" t="n"/>
      <c r="R29" s="359" t="n"/>
      <c r="T29" s="216">
        <f>UPPER(A29&amp;" "&amp;B29&amp;" "&amp;D29&amp;" "&amp;E29&amp;" "&amp;F29&amp;" "&amp;G29&amp;" "&amp;H29)</f>
        <v/>
      </c>
      <c r="U29" s="216">
        <f>IF(AND('TRA CỨU TỔNG HỢP'!$B$3&lt;&gt;"",ISNUMBER(SEARCH('TRA CỨU TỔNG HỢP'!$B$3,T29))),MAX($U$3:U28)+1,"")</f>
        <v/>
      </c>
    </row>
    <row r="30" ht="15" customHeight="1" s="217">
      <c r="A30" s="354" t="inlineStr">
        <is>
          <t>CAT</t>
        </is>
      </c>
      <c r="B30" s="355" t="inlineStr">
        <is>
          <t>HH077151</t>
        </is>
      </c>
      <c r="C30" s="354" t="inlineStr">
        <is>
          <t>BorgWarner</t>
        </is>
      </c>
      <c r="D30" s="354" t="inlineStr">
        <is>
          <t>S200AG048</t>
        </is>
      </c>
      <c r="E30" s="354" t="inlineStr">
        <is>
          <t>D6</t>
        </is>
      </c>
      <c r="F30" s="356" t="inlineStr">
        <is>
          <t>178472/171770
8S02-200-D86</t>
        </is>
      </c>
      <c r="G30" s="354" t="n"/>
      <c r="H30" s="357" t="inlineStr">
        <is>
          <t>JRONE</t>
        </is>
      </c>
      <c r="I30" s="358" t="n"/>
      <c r="J30" s="358" t="n"/>
      <c r="K30" s="358" t="n"/>
      <c r="L30" s="358">
        <f>IF(K30="","",K30*1.1)</f>
        <v/>
      </c>
      <c r="M30" s="359" t="n"/>
      <c r="N30" s="359" t="n"/>
      <c r="O30" s="359" t="n"/>
      <c r="P30" s="359" t="n"/>
      <c r="Q30" s="359" t="n"/>
      <c r="R30" s="359" t="n"/>
      <c r="T30" s="346">
        <f>UPPER(A30&amp;" "&amp;B30&amp;" "&amp;D30&amp;" "&amp;E30&amp;" "&amp;F30&amp;" "&amp;G30&amp;" "&amp;H30)</f>
        <v/>
      </c>
      <c r="U30" s="216">
        <f>IF(AND('TRA CỨU TỔNG HỢP'!$B$3&lt;&gt;"",ISNUMBER(SEARCH('TRA CỨU TỔNG HỢP'!$B$3,T30))),MAX($U$3:U29)+1,"")</f>
        <v/>
      </c>
    </row>
    <row r="31" ht="15" customHeight="1" s="217">
      <c r="A31" s="354" t="inlineStr">
        <is>
          <t>CAT</t>
        </is>
      </c>
      <c r="B31" s="355" t="inlineStr">
        <is>
          <t>HH071942</t>
        </is>
      </c>
      <c r="C31" s="354" t="inlineStr">
        <is>
          <t>BorgWarner</t>
        </is>
      </c>
      <c r="D31" s="354" t="inlineStr">
        <is>
          <t>SR4/S3A</t>
        </is>
      </c>
      <c r="E31" s="354" t="inlineStr">
        <is>
          <t>3306</t>
        </is>
      </c>
      <c r="F31" s="356" t="inlineStr">
        <is>
          <t>7C8632</t>
        </is>
      </c>
      <c r="G31" s="354" t="n"/>
      <c r="H31" s="357" t="inlineStr">
        <is>
          <t>SL</t>
        </is>
      </c>
      <c r="I31" s="358" t="n"/>
      <c r="J31" s="358" t="n"/>
      <c r="K31" s="358" t="n"/>
      <c r="L31" s="358">
        <f>IF(K31="","",K31*1.1)</f>
        <v/>
      </c>
      <c r="M31" s="359" t="n">
        <v>86.40000000000001</v>
      </c>
      <c r="N31" s="359" t="n">
        <v>58.6</v>
      </c>
      <c r="O31" s="359" t="inlineStr">
        <is>
          <t>7/7</t>
        </is>
      </c>
      <c r="P31" s="359" t="n">
        <v>82.8</v>
      </c>
      <c r="Q31" s="359" t="n">
        <v>74.59999999999999</v>
      </c>
      <c r="R31" s="359" t="n">
        <v>11</v>
      </c>
      <c r="T31" s="216">
        <f>UPPER(A31&amp;" "&amp;B31&amp;" "&amp;D31&amp;" "&amp;E31&amp;" "&amp;F31&amp;" "&amp;G31&amp;" "&amp;H31)</f>
        <v/>
      </c>
      <c r="U31" s="216">
        <f>IF(AND('TRA CỨU TỔNG HỢP'!$B$3&lt;&gt;"",ISNUMBER(SEARCH('TRA CỨU TỔNG HỢP'!$B$3,T31))),MAX($U$3:U30)+1,"")</f>
        <v/>
      </c>
    </row>
    <row r="32" ht="15" customHeight="1" s="217">
      <c r="A32" s="354" t="inlineStr">
        <is>
          <t>CAT</t>
        </is>
      </c>
      <c r="B32" s="355" t="inlineStr">
        <is>
          <t>HH077425</t>
        </is>
      </c>
      <c r="C32" s="354" t="inlineStr">
        <is>
          <t>Garrett</t>
        </is>
      </c>
      <c r="D32" s="354" t="inlineStr">
        <is>
          <t>GTA4502BLS</t>
        </is>
      </c>
      <c r="E32" s="354" t="inlineStr">
        <is>
          <t>C13</t>
        </is>
      </c>
      <c r="F32" s="356" t="inlineStr">
        <is>
          <t>750432-0005
8G45-200-B61</t>
        </is>
      </c>
      <c r="G32" s="354" t="n"/>
      <c r="H32" s="357" t="inlineStr">
        <is>
          <t>JRONE</t>
        </is>
      </c>
      <c r="I32" s="358" t="n"/>
      <c r="J32" s="358" t="n"/>
      <c r="K32" s="358" t="n"/>
      <c r="L32" s="358">
        <f>IF(K32="","",K32*1.1)</f>
        <v/>
      </c>
      <c r="M32" s="359" t="n"/>
      <c r="N32" s="359" t="n"/>
      <c r="O32" s="359" t="n"/>
      <c r="P32" s="359" t="n"/>
      <c r="Q32" s="359" t="n"/>
      <c r="R32" s="359" t="n"/>
      <c r="T32" s="346">
        <f>UPPER(A32&amp;" "&amp;B32&amp;" "&amp;D32&amp;" "&amp;E32&amp;" "&amp;F32&amp;" "&amp;G32&amp;" "&amp;H32)</f>
        <v/>
      </c>
      <c r="U32" s="216">
        <f>IF(AND('TRA CỨU TỔNG HỢP'!$B$3&lt;&gt;"",ISNUMBER(SEARCH('TRA CỨU TỔNG HỢP'!$B$3,T32))),MAX($U$3:U31)+1,"")</f>
        <v/>
      </c>
    </row>
    <row r="33" ht="15" customHeight="1" s="217">
      <c r="A33" s="354" t="inlineStr">
        <is>
          <t>CAT</t>
        </is>
      </c>
      <c r="B33" s="355" t="inlineStr">
        <is>
          <t>HH079580</t>
        </is>
      </c>
      <c r="C33" s="354" t="inlineStr">
        <is>
          <t>BorgWarner</t>
        </is>
      </c>
      <c r="D33" s="354" t="inlineStr">
        <is>
          <t>F-302</t>
        </is>
      </c>
      <c r="E33" s="354" t="n">
        <v>3306</v>
      </c>
      <c r="F33" s="356" t="inlineStr">
        <is>
          <t>4W0210
8S03-100-N78</t>
        </is>
      </c>
      <c r="G33" s="354" t="n"/>
      <c r="H33" s="357" t="inlineStr">
        <is>
          <t>JRONE</t>
        </is>
      </c>
      <c r="I33" s="358" t="n"/>
      <c r="J33" s="358" t="n"/>
      <c r="K33" s="358" t="n"/>
      <c r="L33" s="358">
        <f>IF(K33="","",K33*1.1)</f>
        <v/>
      </c>
      <c r="M33" s="359" t="n"/>
      <c r="N33" s="359" t="n"/>
      <c r="O33" s="359" t="n"/>
      <c r="P33" s="359" t="n"/>
      <c r="Q33" s="359" t="n"/>
      <c r="R33" s="359" t="n"/>
      <c r="T33" s="346">
        <f>UPPER(A33&amp;" "&amp;B33&amp;" "&amp;D33&amp;" "&amp;E33&amp;" "&amp;F33&amp;" "&amp;G33&amp;" "&amp;H33)</f>
        <v/>
      </c>
      <c r="U33" s="216">
        <f>IF(AND('TRA CỨU TỔNG HỢP'!$B$3&lt;&gt;"",ISNUMBER(SEARCH('TRA CỨU TỔNG HỢP'!$B$3,T33))),MAX($U$3:U32)+1,"")</f>
        <v/>
      </c>
    </row>
    <row r="34" ht="15" customHeight="1" s="217">
      <c r="A34" s="354" t="inlineStr">
        <is>
          <t>CAT</t>
        </is>
      </c>
      <c r="B34" s="355" t="inlineStr">
        <is>
          <t>HH071949</t>
        </is>
      </c>
      <c r="C34" s="354" t="inlineStr">
        <is>
          <t>BorgWarner</t>
        </is>
      </c>
      <c r="D34" s="354" t="inlineStr">
        <is>
          <t>S2E</t>
        </is>
      </c>
      <c r="E34" s="354" t="inlineStr">
        <is>
          <t>3116/3126</t>
        </is>
      </c>
      <c r="F34" s="356" t="inlineStr">
        <is>
          <t>4P4677</t>
        </is>
      </c>
      <c r="G34" s="354" t="n"/>
      <c r="H34" s="357" t="n"/>
      <c r="I34" s="358" t="n"/>
      <c r="J34" s="358" t="n"/>
      <c r="K34" s="358" t="n"/>
      <c r="L34" s="358">
        <f>IF(K34="","",K34*1.1)</f>
        <v/>
      </c>
      <c r="M34" s="359" t="n">
        <v>76.2</v>
      </c>
      <c r="N34" s="359" t="n">
        <v>48.2</v>
      </c>
      <c r="O34" s="359" t="inlineStr">
        <is>
          <t>7/7</t>
        </is>
      </c>
      <c r="P34" s="359" t="n">
        <v>74.40000000000001</v>
      </c>
      <c r="Q34" s="359" t="n">
        <v>64.59999999999999</v>
      </c>
      <c r="R34" s="359" t="n">
        <v>11</v>
      </c>
      <c r="T34" s="216">
        <f>UPPER(A34&amp;" "&amp;B34&amp;" "&amp;D34&amp;" "&amp;E34&amp;" "&amp;F34&amp;" "&amp;G34&amp;" "&amp;H34)</f>
        <v/>
      </c>
      <c r="U34" s="216">
        <f>IF(AND('TRA CỨU TỔNG HỢP'!$B$3&lt;&gt;"",ISNUMBER(SEARCH('TRA CỨU TỔNG HỢP'!$B$3,T34))),MAX($U$3:U33)+1,"")</f>
        <v/>
      </c>
    </row>
    <row r="35" ht="15" customHeight="1" s="217">
      <c r="A35" s="354" t="inlineStr">
        <is>
          <t>CAT</t>
        </is>
      </c>
      <c r="B35" s="355" t="inlineStr">
        <is>
          <t>HH079357</t>
        </is>
      </c>
      <c r="C35" s="354" t="inlineStr">
        <is>
          <t>BorgWarner</t>
        </is>
      </c>
      <c r="D35" s="354" t="inlineStr">
        <is>
          <t>S310G</t>
        </is>
      </c>
      <c r="E35" s="354" t="inlineStr">
        <is>
          <t>C9</t>
        </is>
      </c>
      <c r="F35" s="356" t="inlineStr">
        <is>
          <t>2167815</t>
        </is>
      </c>
      <c r="G35" s="354" t="n"/>
      <c r="H35" s="357" t="inlineStr">
        <is>
          <t>SL</t>
        </is>
      </c>
      <c r="I35" s="358" t="n"/>
      <c r="J35" s="358" t="n"/>
      <c r="K35" s="358" t="n"/>
      <c r="L35" s="358">
        <f>IF(K35="","",K35*1.1)</f>
        <v/>
      </c>
      <c r="M35" s="359" t="n">
        <v>61.6</v>
      </c>
      <c r="N35" s="359" t="n">
        <v>88.324</v>
      </c>
      <c r="O35" s="359" t="inlineStr">
        <is>
          <t>7/7</t>
        </is>
      </c>
      <c r="P35" s="359" t="n">
        <v>79.7</v>
      </c>
      <c r="Q35" s="359" t="n">
        <v>73.40000000000001</v>
      </c>
      <c r="R35" s="359" t="inlineStr">
        <is>
          <t>10</t>
        </is>
      </c>
      <c r="T35" s="216">
        <f>UPPER(A35&amp;" "&amp;B35&amp;" "&amp;D35&amp;" "&amp;E35&amp;" "&amp;F35&amp;" "&amp;G35&amp;" "&amp;H35)</f>
        <v/>
      </c>
      <c r="U35" s="216">
        <f>IF(AND('TRA CỨU TỔNG HỢP'!$B$3&lt;&gt;"",ISNUMBER(SEARCH('TRA CỨU TỔNG HỢP'!$B$3,T35))),MAX($U$3:U34)+1,"")</f>
        <v/>
      </c>
    </row>
    <row r="36" ht="15" customHeight="1" s="217">
      <c r="A36" s="354" t="inlineStr">
        <is>
          <t>CAT</t>
        </is>
      </c>
      <c r="B36" s="355" t="inlineStr">
        <is>
          <t>HH075395</t>
        </is>
      </c>
      <c r="C36" s="354" t="inlineStr">
        <is>
          <t>BorgWarner</t>
        </is>
      </c>
      <c r="D36" s="354" t="inlineStr">
        <is>
          <t>B2G</t>
        </is>
      </c>
      <c r="E36" s="354" t="inlineStr">
        <is>
          <t>PERKINS 1106D/C7</t>
        </is>
      </c>
      <c r="F36" s="356" t="inlineStr">
        <is>
          <t>1070-197-0002
8S02-200-835/1070-988-0002
2674A256/3159810
10R9580/458-8357</t>
        </is>
      </c>
      <c r="G36" s="354" t="n"/>
      <c r="H36" s="357" t="inlineStr">
        <is>
          <t>JRONE</t>
        </is>
      </c>
      <c r="I36" s="358" t="n"/>
      <c r="J36" s="358" t="n"/>
      <c r="K36" s="358" t="n"/>
      <c r="L36" s="358">
        <f>IF(K36="","",K36*1.1)</f>
        <v/>
      </c>
      <c r="M36" s="359" t="n">
        <v>78.59999999999999</v>
      </c>
      <c r="N36" s="359" t="n">
        <v>51.8</v>
      </c>
      <c r="O36" s="359" t="inlineStr">
        <is>
          <t>7/7</t>
        </is>
      </c>
      <c r="P36" s="359" t="n">
        <v>69.59999999999999</v>
      </c>
      <c r="Q36" s="359" t="n">
        <v>55.9</v>
      </c>
      <c r="R36" s="359" t="n">
        <v>10</v>
      </c>
      <c r="T36" s="346">
        <f>UPPER(A36&amp;" "&amp;B36&amp;" "&amp;D36&amp;" "&amp;E36&amp;" "&amp;F36&amp;" "&amp;G36&amp;" "&amp;H36)</f>
        <v/>
      </c>
      <c r="U36" s="216">
        <f>IF(AND('TRA CỨU TỔNG HỢP'!$B$3&lt;&gt;"",ISNUMBER(SEARCH('TRA CỨU TỔNG HỢP'!$B$3,T36))),MAX($U$3:U35)+1,"")</f>
        <v/>
      </c>
    </row>
    <row r="37" ht="15" customHeight="1" s="217">
      <c r="A37" s="340" t="inlineStr">
        <is>
          <t>CAT</t>
        </is>
      </c>
      <c r="B37" s="341" t="inlineStr">
        <is>
          <t>HH072352</t>
        </is>
      </c>
      <c r="C37" s="340" t="inlineStr">
        <is>
          <t>BorgWarner</t>
        </is>
      </c>
      <c r="D37" s="340" t="inlineStr">
        <is>
          <t>S4D</t>
        </is>
      </c>
      <c r="E37" s="340" t="inlineStr">
        <is>
          <t>330C/C9</t>
        </is>
      </c>
      <c r="F37" s="342" t="inlineStr">
        <is>
          <t>10R2355</t>
        </is>
      </c>
      <c r="G37" s="340" t="n"/>
      <c r="H37" s="343" t="inlineStr">
        <is>
          <t>SL</t>
        </is>
      </c>
      <c r="I37" s="344" t="n"/>
      <c r="J37" s="344" t="n"/>
      <c r="K37" s="344" t="n"/>
      <c r="L37" s="344">
        <f>IF(K37="","",K37*1.1)</f>
        <v/>
      </c>
      <c r="M37" s="345" t="n">
        <v>61.6</v>
      </c>
      <c r="N37" s="345" t="n">
        <v>88.324</v>
      </c>
      <c r="O37" s="345" t="inlineStr">
        <is>
          <t>7/7</t>
        </is>
      </c>
      <c r="P37" s="345" t="n">
        <v>79.7</v>
      </c>
      <c r="Q37" s="345" t="n">
        <v>73.40000000000001</v>
      </c>
      <c r="R37" s="345" t="inlineStr">
        <is>
          <t>10</t>
        </is>
      </c>
      <c r="T37" s="216">
        <f>UPPER(A37&amp;" "&amp;B37&amp;" "&amp;D37&amp;" "&amp;E37&amp;" "&amp;F37&amp;" "&amp;G37&amp;" "&amp;H37)</f>
        <v/>
      </c>
      <c r="U37" s="216">
        <f>IF(AND('TRA CỨU TỔNG HỢP'!$B$3&lt;&gt;"",ISNUMBER(SEARCH('TRA CỨU TỔNG HỢP'!$B$3,T37))),MAX($U$3:U36)+1,"")</f>
        <v/>
      </c>
    </row>
    <row r="38" ht="15" customHeight="1" s="217">
      <c r="A38" s="347" t="inlineStr">
        <is>
          <t>CAT</t>
        </is>
      </c>
      <c r="B38" s="348" t="inlineStr">
        <is>
          <t>HH081544</t>
        </is>
      </c>
      <c r="C38" s="349" t="inlineStr">
        <is>
          <t>BorgWarner</t>
        </is>
      </c>
      <c r="D38" s="349" t="inlineStr">
        <is>
          <t>S4D</t>
        </is>
      </c>
      <c r="E38" s="349" t="inlineStr">
        <is>
          <t>330C/C9</t>
        </is>
      </c>
      <c r="F38" s="350" t="inlineStr">
        <is>
          <t>10R2355</t>
        </is>
      </c>
      <c r="G38" s="349" t="n"/>
      <c r="H38" s="351" t="inlineStr">
        <is>
          <t>SL</t>
        </is>
      </c>
      <c r="I38" s="352" t="n"/>
      <c r="J38" s="352" t="n"/>
      <c r="K38" s="352" t="n"/>
      <c r="L38" s="352">
        <f>IF(K38="","",K38*1.1)</f>
        <v/>
      </c>
      <c r="M38" s="353" t="n">
        <v>61.6</v>
      </c>
      <c r="N38" s="353" t="n">
        <v>88.324</v>
      </c>
      <c r="O38" s="353" t="inlineStr">
        <is>
          <t>7/7</t>
        </is>
      </c>
      <c r="P38" s="353" t="n">
        <v>79.7</v>
      </c>
      <c r="Q38" s="353" t="n">
        <v>73.40000000000001</v>
      </c>
      <c r="R38" s="353" t="inlineStr">
        <is>
          <t>10</t>
        </is>
      </c>
      <c r="T38" s="216">
        <f>UPPER(A38&amp;" "&amp;B38&amp;" "&amp;D38&amp;" "&amp;E38&amp;" "&amp;F38&amp;" "&amp;G38&amp;" "&amp;H38)</f>
        <v/>
      </c>
      <c r="U38" s="216">
        <f>IF(AND('TRA CỨU TỔNG HỢP'!$B$3&lt;&gt;"",ISNUMBER(SEARCH('TRA CỨU TỔNG HỢP'!$B$3,T38))),MAX($U$3:U37)+1,"")</f>
        <v/>
      </c>
    </row>
    <row r="39" ht="15" customHeight="1" s="217">
      <c r="A39" s="354" t="inlineStr">
        <is>
          <t>CAT</t>
        </is>
      </c>
      <c r="B39" s="355" t="inlineStr">
        <is>
          <t>HH082164</t>
        </is>
      </c>
      <c r="C39" s="354" t="inlineStr">
        <is>
          <t>Mitsubishi</t>
        </is>
      </c>
      <c r="D39" s="354" t="inlineStr">
        <is>
          <t>TD06H-14K</t>
        </is>
      </c>
      <c r="E39" s="354" t="inlineStr">
        <is>
          <t>D06FR/C6.4</t>
        </is>
      </c>
      <c r="F39" s="356" t="inlineStr">
        <is>
          <t>49179-06210
8M06-100-L61</t>
        </is>
      </c>
      <c r="G39" s="354" t="n"/>
      <c r="H39" s="357" t="inlineStr">
        <is>
          <t>JRONE</t>
        </is>
      </c>
      <c r="I39" s="358" t="n"/>
      <c r="J39" s="358" t="n"/>
      <c r="K39" s="358" t="n"/>
      <c r="L39" s="358">
        <f>IF(K39="","",K39*1.1)</f>
        <v/>
      </c>
      <c r="M39" s="359" t="n"/>
      <c r="N39" s="359" t="n"/>
      <c r="O39" s="359" t="n"/>
      <c r="P39" s="359" t="n"/>
      <c r="Q39" s="359" t="n"/>
      <c r="R39" s="359" t="n"/>
      <c r="T39" s="346">
        <f>UPPER(A39&amp;" "&amp;B39&amp;" "&amp;D39&amp;" "&amp;E39&amp;" "&amp;F39&amp;" "&amp;G39&amp;" "&amp;H39)</f>
        <v/>
      </c>
      <c r="U39" s="216">
        <f>IF(AND('TRA CỨU TỔNG HỢP'!$B$3&lt;&gt;"",ISNUMBER(SEARCH('TRA CỨU TỔNG HỢP'!$B$3,T39))),MAX($U$3:U38)+1,"")</f>
        <v/>
      </c>
    </row>
    <row r="40" ht="15" customHeight="1" s="217">
      <c r="A40" s="367" t="inlineStr">
        <is>
          <t>CAT</t>
        </is>
      </c>
      <c r="B40" s="368" t="n"/>
      <c r="C40" s="367" t="inlineStr">
        <is>
          <t>BorgWarner</t>
        </is>
      </c>
      <c r="D40" s="367" t="inlineStr">
        <is>
          <t>S4DS</t>
        </is>
      </c>
      <c r="E40" s="367" t="inlineStr">
        <is>
          <t>3306</t>
        </is>
      </c>
      <c r="F40" s="369" t="inlineStr">
        <is>
          <t>196543
7C7579
0R6340(core:7C7596)</t>
        </is>
      </c>
      <c r="G40" s="367" t="n"/>
      <c r="H40" s="370" t="n"/>
      <c r="I40" s="371" t="n"/>
      <c r="J40" s="371" t="n"/>
      <c r="K40" s="371" t="n"/>
      <c r="L40" s="371">
        <f>IF(K40="","",K40*1.1)</f>
        <v/>
      </c>
      <c r="M40" s="372" t="n">
        <v>86.40000000000001</v>
      </c>
      <c r="N40" s="372" t="n">
        <v>59.1</v>
      </c>
      <c r="O40" s="372" t="inlineStr">
        <is>
          <t>7/7</t>
        </is>
      </c>
      <c r="P40" s="372" t="n">
        <v>87</v>
      </c>
      <c r="Q40" s="372" t="n">
        <v>79.5</v>
      </c>
      <c r="R40" s="372" t="n">
        <v>10</v>
      </c>
      <c r="T40" s="346">
        <f>UPPER(A40&amp;" "&amp;B40&amp;" "&amp;D40&amp;" "&amp;E40&amp;" "&amp;F40&amp;" "&amp;G40&amp;" "&amp;H40)</f>
        <v/>
      </c>
      <c r="U40" s="216">
        <f>IF(AND('TRA CỨU TỔNG HỢP'!$B$3&lt;&gt;"",ISNUMBER(SEARCH('TRA CỨU TỔNG HỢP'!$B$3,T40))),MAX($U$3:U39)+1,"")</f>
        <v/>
      </c>
    </row>
    <row r="41" ht="15" customHeight="1" s="217">
      <c r="A41" s="354" t="inlineStr">
        <is>
          <t>CAT</t>
        </is>
      </c>
      <c r="B41" s="355" t="inlineStr">
        <is>
          <t>HH077414</t>
        </is>
      </c>
      <c r="C41" s="354" t="inlineStr">
        <is>
          <t>Garrett</t>
        </is>
      </c>
      <c r="D41" s="354" t="inlineStr">
        <is>
          <t>GT4594</t>
        </is>
      </c>
      <c r="E41" s="354" t="inlineStr">
        <is>
          <t>S6A/ CAT 3306</t>
        </is>
      </c>
      <c r="F41" s="356" t="inlineStr">
        <is>
          <t>17C95-0182</t>
        </is>
      </c>
      <c r="G41" s="354" t="inlineStr">
        <is>
          <t>ráp sang 6D22 đời 1990</t>
        </is>
      </c>
      <c r="H41" s="357" t="inlineStr">
        <is>
          <t>MX</t>
        </is>
      </c>
      <c r="I41" s="358" t="n"/>
      <c r="J41" s="358" t="n"/>
      <c r="K41" s="358" t="n"/>
      <c r="L41" s="358">
        <f>IF(K41="","",K41*1.1)</f>
        <v/>
      </c>
      <c r="M41" s="359" t="n"/>
      <c r="N41" s="359" t="n"/>
      <c r="O41" s="359" t="n"/>
      <c r="P41" s="359" t="n"/>
      <c r="Q41" s="359" t="n"/>
      <c r="R41" s="359" t="n"/>
      <c r="T41" s="216">
        <f>UPPER(A41&amp;" "&amp;B41&amp;" "&amp;D41&amp;" "&amp;E41&amp;" "&amp;F41&amp;" "&amp;G41&amp;" "&amp;H41)</f>
        <v/>
      </c>
      <c r="U41" s="216">
        <f>IF(AND('TRA CỨU TỔNG HỢP'!$B$3&lt;&gt;"",ISNUMBER(SEARCH('TRA CỨU TỔNG HỢP'!$B$3,T41))),MAX($U$3:U40)+1,"")</f>
        <v/>
      </c>
    </row>
    <row r="42" ht="15" customHeight="1" s="217">
      <c r="A42" s="354" t="inlineStr">
        <is>
          <t>CAT</t>
        </is>
      </c>
      <c r="B42" s="355" t="inlineStr">
        <is>
          <t>HH079127</t>
        </is>
      </c>
      <c r="C42" s="354" t="inlineStr">
        <is>
          <t>BorgWarner</t>
        </is>
      </c>
      <c r="D42" s="354" t="inlineStr">
        <is>
          <t>S310G</t>
        </is>
      </c>
      <c r="E42" s="354" t="inlineStr">
        <is>
          <t>C9</t>
        </is>
      </c>
      <c r="F42" s="356" t="inlineStr">
        <is>
          <t>178485/174978
8S03-200-B70</t>
        </is>
      </c>
      <c r="G42" s="354" t="n"/>
      <c r="H42" s="357" t="inlineStr">
        <is>
          <t>JRONE</t>
        </is>
      </c>
      <c r="I42" s="358" t="n"/>
      <c r="J42" s="358" t="n"/>
      <c r="K42" s="358" t="n"/>
      <c r="L42" s="358">
        <f>IF(K42="","",K42*1.1)</f>
        <v/>
      </c>
      <c r="M42" s="359" t="n"/>
      <c r="N42" s="359" t="n"/>
      <c r="O42" s="359" t="n"/>
      <c r="P42" s="359" t="n"/>
      <c r="Q42" s="359" t="n"/>
      <c r="R42" s="359" t="n"/>
      <c r="T42" s="346">
        <f>UPPER(A42&amp;" "&amp;B42&amp;" "&amp;D42&amp;" "&amp;E42&amp;" "&amp;F42&amp;" "&amp;G42&amp;" "&amp;H42)</f>
        <v/>
      </c>
      <c r="U42" s="216">
        <f>IF(AND('TRA CỨU TỔNG HỢP'!$B$3&lt;&gt;"",ISNUMBER(SEARCH('TRA CỨU TỔNG HỢP'!$B$3,T42))),MAX($U$3:U41)+1,"")</f>
        <v/>
      </c>
    </row>
    <row r="43" ht="15" customHeight="1" s="217">
      <c r="A43" s="354" t="inlineStr">
        <is>
          <t>CAT</t>
        </is>
      </c>
      <c r="B43" s="355" t="inlineStr">
        <is>
          <t>HH079127</t>
        </is>
      </c>
      <c r="C43" s="354" t="inlineStr">
        <is>
          <t>BorgWarner</t>
        </is>
      </c>
      <c r="D43" s="354" t="inlineStr">
        <is>
          <t>S310G</t>
        </is>
      </c>
      <c r="E43" s="354" t="inlineStr">
        <is>
          <t>C9</t>
        </is>
      </c>
      <c r="F43" s="356" t="inlineStr">
        <is>
          <t>178485
174978
8S03-200-B70</t>
        </is>
      </c>
      <c r="G43" s="354" t="n"/>
      <c r="H43" s="357" t="inlineStr">
        <is>
          <t>JRONE</t>
        </is>
      </c>
      <c r="I43" s="358" t="n"/>
      <c r="J43" s="358" t="n"/>
      <c r="K43" s="358" t="n"/>
      <c r="L43" s="358">
        <f>IF(K43="","",K43*1.1)</f>
        <v/>
      </c>
      <c r="M43" s="359" t="n"/>
      <c r="N43" s="359" t="n"/>
      <c r="O43" s="359" t="n"/>
      <c r="P43" s="359" t="n"/>
      <c r="Q43" s="359" t="n"/>
      <c r="R43" s="359" t="n"/>
      <c r="T43" s="346">
        <f>UPPER(A43&amp;" "&amp;B43&amp;" "&amp;D43&amp;" "&amp;E43&amp;" "&amp;F43&amp;" "&amp;G43&amp;" "&amp;H43)</f>
        <v/>
      </c>
      <c r="U43" s="216">
        <f>IF(AND('TRA CỨU TỔNG HỢP'!$B$3&lt;&gt;"",ISNUMBER(SEARCH('TRA CỨU TỔNG HỢP'!$B$3,T43))),MAX($U$3:U42)+1,"")</f>
        <v/>
      </c>
    </row>
    <row r="44" ht="15" customHeight="1" s="217">
      <c r="A44" s="354" t="inlineStr">
        <is>
          <t>CAT</t>
        </is>
      </c>
      <c r="B44" s="355" t="inlineStr">
        <is>
          <t>HH077150</t>
        </is>
      </c>
      <c r="C44" s="354" t="inlineStr">
        <is>
          <t>BorgWarner</t>
        </is>
      </c>
      <c r="D44" s="354" t="inlineStr">
        <is>
          <t>S200AG</t>
        </is>
      </c>
      <c r="E44" s="354" t="inlineStr">
        <is>
          <t>C7/3126</t>
        </is>
      </c>
      <c r="F44" s="356" t="inlineStr">
        <is>
          <t>178482/174201/174202
8S02-200-D84</t>
        </is>
      </c>
      <c r="G44" s="354" t="n"/>
      <c r="H44" s="357" t="inlineStr">
        <is>
          <t>JRONE</t>
        </is>
      </c>
      <c r="I44" s="358" t="n"/>
      <c r="J44" s="358" t="n"/>
      <c r="K44" s="358" t="n"/>
      <c r="L44" s="358">
        <f>IF(K44="","",K44*1.1)</f>
        <v/>
      </c>
      <c r="M44" s="359" t="n"/>
      <c r="N44" s="359" t="n"/>
      <c r="O44" s="359" t="n"/>
      <c r="P44" s="359" t="n"/>
      <c r="Q44" s="359" t="n"/>
      <c r="R44" s="359" t="n"/>
      <c r="T44" s="346">
        <f>UPPER(A44&amp;" "&amp;B44&amp;" "&amp;D44&amp;" "&amp;E44&amp;" "&amp;F44&amp;" "&amp;G44&amp;" "&amp;H44)</f>
        <v/>
      </c>
      <c r="U44" s="216">
        <f>IF(AND('TRA CỨU TỔNG HỢP'!$B$3&lt;&gt;"",ISNUMBER(SEARCH('TRA CỨU TỔNG HỢP'!$B$3,T44))),MAX($U$3:U43)+1,"")</f>
        <v/>
      </c>
    </row>
    <row r="45" ht="15" customHeight="1" s="217">
      <c r="A45" s="354" t="inlineStr">
        <is>
          <t>CAT</t>
        </is>
      </c>
      <c r="B45" s="355" t="inlineStr">
        <is>
          <t>HH082165</t>
        </is>
      </c>
      <c r="C45" s="354" t="inlineStr">
        <is>
          <t>BorgWarner</t>
        </is>
      </c>
      <c r="D45" s="354" t="inlineStr">
        <is>
          <t>S200AG</t>
        </is>
      </c>
      <c r="E45" s="354" t="inlineStr">
        <is>
          <t>CAT C7/ 3126B</t>
        </is>
      </c>
      <c r="F45" s="356" t="inlineStr">
        <is>
          <t>178474/171859
8S02-200-A50</t>
        </is>
      </c>
      <c r="G45" s="354" t="n"/>
      <c r="H45" s="357" t="inlineStr">
        <is>
          <t>JRONE</t>
        </is>
      </c>
      <c r="I45" s="358" t="n"/>
      <c r="J45" s="358" t="n"/>
      <c r="K45" s="358" t="n"/>
      <c r="L45" s="358">
        <f>IF(K45="","",K45*1.1)</f>
        <v/>
      </c>
      <c r="M45" s="359" t="n"/>
      <c r="N45" s="359" t="n"/>
      <c r="O45" s="359" t="n"/>
      <c r="P45" s="359" t="n"/>
      <c r="Q45" s="359" t="n"/>
      <c r="R45" s="359" t="n"/>
      <c r="T45" s="346">
        <f>UPPER(A45&amp;" "&amp;B45&amp;" "&amp;D45&amp;" "&amp;E45&amp;" "&amp;F45&amp;" "&amp;G45&amp;" "&amp;H45)</f>
        <v/>
      </c>
      <c r="U45" s="216">
        <f>IF(AND('TRA CỨU TỔNG HỢP'!$B$3&lt;&gt;"",ISNUMBER(SEARCH('TRA CỨU TỔNG HỢP'!$B$3,T45))),MAX($U$3:U44)+1,"")</f>
        <v/>
      </c>
    </row>
    <row r="46" ht="15" customHeight="1" s="217">
      <c r="A46" s="354" t="inlineStr">
        <is>
          <t>CAT</t>
        </is>
      </c>
      <c r="B46" s="355" t="inlineStr">
        <is>
          <t>HH082681</t>
        </is>
      </c>
      <c r="C46" s="354" t="inlineStr">
        <is>
          <t>BorgWarner</t>
        </is>
      </c>
      <c r="D46" s="354" t="inlineStr">
        <is>
          <t>S2E GL</t>
        </is>
      </c>
      <c r="E46" s="354" t="inlineStr">
        <is>
          <t>CAT 3116</t>
        </is>
      </c>
      <c r="F46" s="356" t="inlineStr">
        <is>
          <t>167302
1055059
0R6865</t>
        </is>
      </c>
      <c r="G46" s="354" t="n"/>
      <c r="H46" s="357" t="inlineStr">
        <is>
          <t>SL</t>
        </is>
      </c>
      <c r="I46" s="358" t="n"/>
      <c r="J46" s="358" t="n"/>
      <c r="K46" s="358" t="n"/>
      <c r="L46" s="358">
        <f>IF(K46="","",K46*1.1)</f>
        <v/>
      </c>
      <c r="M46" s="359" t="n"/>
      <c r="N46" s="359" t="n"/>
      <c r="O46" s="359" t="n"/>
      <c r="P46" s="359" t="n"/>
      <c r="Q46" s="359" t="n"/>
      <c r="R46" s="359" t="n"/>
      <c r="T46" s="346">
        <f>UPPER(A46&amp;" "&amp;B46&amp;" "&amp;D46&amp;" "&amp;E46&amp;" "&amp;F46&amp;" "&amp;G46&amp;" "&amp;H46)</f>
        <v/>
      </c>
      <c r="U46" s="216">
        <f>IF(AND('TRA CỨU TỔNG HỢP'!$B$3&lt;&gt;"",ISNUMBER(SEARCH('TRA CỨU TỔNG HỢP'!$B$3,T46))),MAX($U$3:U45)+1,"")</f>
        <v/>
      </c>
    </row>
    <row r="47" ht="15" customHeight="1" s="217">
      <c r="A47" s="354" t="inlineStr">
        <is>
          <t>CAT</t>
        </is>
      </c>
      <c r="B47" s="355" t="inlineStr">
        <is>
          <t>HH082163</t>
        </is>
      </c>
      <c r="C47" s="354" t="inlineStr">
        <is>
          <t>Garrett</t>
        </is>
      </c>
      <c r="D47" s="354" t="inlineStr">
        <is>
          <t>GT2560S</t>
        </is>
      </c>
      <c r="E47" s="354" t="inlineStr">
        <is>
          <t>PERKINS CAT C4.4</t>
        </is>
      </c>
      <c r="F47" s="356" t="inlineStr">
        <is>
          <t>833908-0017
`8G22-200-E62</t>
        </is>
      </c>
      <c r="G47" s="354" t="n"/>
      <c r="H47" s="357" t="inlineStr">
        <is>
          <t>JRONE</t>
        </is>
      </c>
      <c r="I47" s="358" t="n"/>
      <c r="J47" s="358" t="n"/>
      <c r="K47" s="358" t="n"/>
      <c r="L47" s="358">
        <f>IF(K47="","",K47*1.1)</f>
        <v/>
      </c>
      <c r="M47" s="359" t="n"/>
      <c r="N47" s="359" t="n"/>
      <c r="O47" s="359" t="n"/>
      <c r="P47" s="359" t="n"/>
      <c r="Q47" s="359" t="n"/>
      <c r="R47" s="359" t="n"/>
      <c r="T47" s="346">
        <f>UPPER(A47&amp;" "&amp;B47&amp;" "&amp;D47&amp;" "&amp;E47&amp;" "&amp;F47&amp;" "&amp;G47&amp;" "&amp;H47)</f>
        <v/>
      </c>
      <c r="U47" s="216">
        <f>IF(AND('TRA CỨU TỔNG HỢP'!$B$3&lt;&gt;"",ISNUMBER(SEARCH('TRA CỨU TỔNG HỢP'!$B$3,T47))),MAX($U$3:U46)+1,"")</f>
        <v/>
      </c>
    </row>
    <row r="48" ht="19.5" customHeight="1" s="217">
      <c r="A48" s="378" t="inlineStr">
        <is>
          <t xml:space="preserve">  🏭  CHEVROLET   ·   1 loại turbo</t>
        </is>
      </c>
      <c r="U48" s="216">
        <f>IF(AND('TRA CỨU TỔNG HỢP'!$B$3&lt;&gt;"",ISNUMBER(SEARCH('TRA CỨU TỔNG HỢP'!$B$3,T48))),MAX($U$3:U47)+1,"")</f>
        <v/>
      </c>
    </row>
    <row r="49" ht="15" customHeight="1" s="217">
      <c r="A49" s="379" t="inlineStr">
        <is>
          <t>CHEVROLET</t>
        </is>
      </c>
      <c r="B49" s="380" t="n"/>
      <c r="C49" s="379" t="inlineStr">
        <is>
          <t>Garrett</t>
        </is>
      </c>
      <c r="D49" s="379" t="inlineStr">
        <is>
          <t>GTB1549VK</t>
        </is>
      </c>
      <c r="E49" s="379" t="n"/>
      <c r="F49" s="381" t="inlineStr">
        <is>
          <t>762463-0006/762463-0001 | 762463-0002 | 762463-0003 | 762463-0004 | 762463-0006 | 762463-1 | 762463-2 | 762463-3 | 762463-4 | 762463-6 | 762463-5001S | 762463-5002S | 762463-5003S | 762463-5004S | 762463-5006S | 96440365 | 4805337 | 805337 | 440365/96440365
4805337</t>
        </is>
      </c>
      <c r="G49" s="379" t="n"/>
      <c r="H49" s="382" t="n"/>
      <c r="I49" s="383" t="n"/>
      <c r="J49" s="383" t="n"/>
      <c r="K49" s="383" t="n"/>
      <c r="L49" s="383">
        <f>IF(K49="","",K49*1.1)</f>
        <v/>
      </c>
      <c r="M49" s="384" t="n">
        <v>49</v>
      </c>
      <c r="N49" s="384" t="n">
        <v>36.3</v>
      </c>
      <c r="O49" s="384" t="inlineStr">
        <is>
          <t>6/6</t>
        </is>
      </c>
      <c r="P49" s="384" t="n">
        <v>40.9</v>
      </c>
      <c r="Q49" s="384" t="n">
        <v>35.6</v>
      </c>
      <c r="R49" s="384" t="n">
        <v>9</v>
      </c>
      <c r="T49" s="346">
        <f>UPPER(A49&amp;" "&amp;B49&amp;" "&amp;D49&amp;" "&amp;E49&amp;" "&amp;F49&amp;" "&amp;G49&amp;" "&amp;H49)</f>
        <v/>
      </c>
      <c r="U49" s="216">
        <f>IF(AND('TRA CỨU TỔNG HỢP'!$B$3&lt;&gt;"",ISNUMBER(SEARCH('TRA CỨU TỔNG HỢP'!$B$3,T49))),MAX($U$3:U48)+1,"")</f>
        <v/>
      </c>
    </row>
    <row r="50" ht="19.5" customHeight="1" s="217">
      <c r="A50" s="378" t="inlineStr">
        <is>
          <t xml:space="preserve">  🏭  CUMMINS   ·   56 loại turbo</t>
        </is>
      </c>
      <c r="U50" s="216">
        <f>IF(AND('TRA CỨU TỔNG HỢP'!$B$3&lt;&gt;"",ISNUMBER(SEARCH('TRA CỨU TỔNG HỢP'!$B$3,T50))),MAX($U$3:U49)+1,"")</f>
        <v/>
      </c>
    </row>
    <row r="51" ht="15" customHeight="1" s="217">
      <c r="A51" s="340" t="inlineStr">
        <is>
          <t>CUMMINS</t>
        </is>
      </c>
      <c r="B51" s="341" t="inlineStr">
        <is>
          <t>HH081574</t>
        </is>
      </c>
      <c r="C51" s="340" t="inlineStr">
        <is>
          <t>Holset</t>
        </is>
      </c>
      <c r="D51" s="340" t="inlineStr">
        <is>
          <t>HX40W</t>
        </is>
      </c>
      <c r="E51" s="340" t="inlineStr">
        <is>
          <t>L375/ L340/ L360</t>
        </is>
      </c>
      <c r="F51" s="342" t="inlineStr">
        <is>
          <t>3783604
4051033/3787175
4048335/4956108/2836441/3773210
3784580/3788609/4033160/5329180
4051032/4049358/4046383/4046498
4047354/4051384/4051430/2836411</t>
        </is>
      </c>
      <c r="G51" s="340" t="n"/>
      <c r="H51" s="343" t="inlineStr">
        <is>
          <t>TBS</t>
        </is>
      </c>
      <c r="I51" s="344" t="n"/>
      <c r="J51" s="344" t="n"/>
      <c r="K51" s="344" t="n"/>
      <c r="L51" s="344">
        <f>IF(K51="","",K51*1.1)</f>
        <v/>
      </c>
      <c r="M51" s="345" t="n">
        <v>86</v>
      </c>
      <c r="N51" s="345" t="n">
        <v>60</v>
      </c>
      <c r="O51" s="345" t="inlineStr">
        <is>
          <t>7/7</t>
        </is>
      </c>
      <c r="P51" s="345" t="n">
        <v>76</v>
      </c>
      <c r="Q51" s="345" t="n">
        <v>64</v>
      </c>
      <c r="R51" s="345" t="n">
        <v>10</v>
      </c>
      <c r="T51" s="346">
        <f>UPPER(A51&amp;" "&amp;B51&amp;" "&amp;D51&amp;" "&amp;E51&amp;" "&amp;F51&amp;" "&amp;G51&amp;" "&amp;H51)</f>
        <v/>
      </c>
      <c r="U51" s="216">
        <f>IF(AND('TRA CỨU TỔNG HỢP'!$B$3&lt;&gt;"",ISNUMBER(SEARCH('TRA CỨU TỔNG HỢP'!$B$3,T51))),MAX($U$3:U50)+1,"")</f>
        <v/>
      </c>
    </row>
    <row r="52" ht="15" customHeight="1" s="217">
      <c r="A52" s="347" t="inlineStr">
        <is>
          <t>CUMMINS</t>
        </is>
      </c>
      <c r="B52" s="348" t="inlineStr">
        <is>
          <t>HH083868</t>
        </is>
      </c>
      <c r="C52" s="349" t="inlineStr">
        <is>
          <t>Holset</t>
        </is>
      </c>
      <c r="D52" s="349" t="inlineStr">
        <is>
          <t>HX40W</t>
        </is>
      </c>
      <c r="E52" s="349" t="inlineStr">
        <is>
          <t>L375/ L340/ L360</t>
        </is>
      </c>
      <c r="F52" s="350" t="inlineStr">
        <is>
          <t>3783604
4051033/3787175
4048335/4956108/2836441/3773210
3784580/3788609/4033160/5329180
4051032/4049358/4046383/4046498
4047354/4051384/4051430/2836411</t>
        </is>
      </c>
      <c r="G52" s="349" t="n"/>
      <c r="H52" s="351" t="inlineStr">
        <is>
          <t>SL</t>
        </is>
      </c>
      <c r="I52" s="352" t="n"/>
      <c r="J52" s="352" t="n"/>
      <c r="K52" s="352" t="n"/>
      <c r="L52" s="352">
        <f>IF(K52="","",K52*1.1)</f>
        <v/>
      </c>
      <c r="M52" s="353" t="n">
        <v>86</v>
      </c>
      <c r="N52" s="353" t="n">
        <v>60</v>
      </c>
      <c r="O52" s="353" t="inlineStr">
        <is>
          <t>7/7</t>
        </is>
      </c>
      <c r="P52" s="353" t="n">
        <v>76</v>
      </c>
      <c r="Q52" s="353" t="n">
        <v>64</v>
      </c>
      <c r="R52" s="353" t="n">
        <v>10</v>
      </c>
      <c r="T52" s="346">
        <f>UPPER(A52&amp;" "&amp;B52&amp;" "&amp;D52&amp;" "&amp;E52&amp;" "&amp;F52&amp;" "&amp;G52&amp;" "&amp;H52)</f>
        <v/>
      </c>
      <c r="U52" s="216">
        <f>IF(AND('TRA CỨU TỔNG HỢP'!$B$3&lt;&gt;"",ISNUMBER(SEARCH('TRA CỨU TỔNG HỢP'!$B$3,T52))),MAX($U$3:U51)+1,"")</f>
        <v/>
      </c>
    </row>
    <row r="53" ht="15" customHeight="1" s="217">
      <c r="A53" s="347" t="inlineStr">
        <is>
          <t>CUMMINS</t>
        </is>
      </c>
      <c r="B53" s="348" t="inlineStr">
        <is>
          <t>HH080733</t>
        </is>
      </c>
      <c r="C53" s="349" t="inlineStr">
        <is>
          <t>Holset</t>
        </is>
      </c>
      <c r="D53" s="349" t="inlineStr">
        <is>
          <t>HX40W</t>
        </is>
      </c>
      <c r="E53" s="349" t="inlineStr">
        <is>
          <t>L375/ L340/ L360</t>
        </is>
      </c>
      <c r="F53" s="350" t="inlineStr">
        <is>
          <t>3783604
4051033/3787175
4048335/4956108/2836441/3773210
3784580/3788609/4033160/5329180
4051032/4049358/4046383/4046498
4047354/4051384/4051430/2836411</t>
        </is>
      </c>
      <c r="G53" s="349" t="n"/>
      <c r="H53" s="351" t="inlineStr">
        <is>
          <t>SL</t>
        </is>
      </c>
      <c r="I53" s="352" t="n"/>
      <c r="J53" s="352" t="n"/>
      <c r="K53" s="352" t="n"/>
      <c r="L53" s="352">
        <f>IF(K53="","",K53*1.1)</f>
        <v/>
      </c>
      <c r="M53" s="353" t="n">
        <v>86</v>
      </c>
      <c r="N53" s="353" t="n">
        <v>60</v>
      </c>
      <c r="O53" s="353" t="inlineStr">
        <is>
          <t>7/7</t>
        </is>
      </c>
      <c r="P53" s="353" t="n">
        <v>76</v>
      </c>
      <c r="Q53" s="353" t="n">
        <v>64</v>
      </c>
      <c r="R53" s="353" t="n">
        <v>10</v>
      </c>
      <c r="T53" s="346">
        <f>UPPER(A53&amp;" "&amp;B53&amp;" "&amp;D53&amp;" "&amp;E53&amp;" "&amp;F53&amp;" "&amp;G53&amp;" "&amp;H53)</f>
        <v/>
      </c>
      <c r="U53" s="216">
        <f>IF(AND('TRA CỨU TỔNG HỢP'!$B$3&lt;&gt;"",ISNUMBER(SEARCH('TRA CỨU TỔNG HỢP'!$B$3,T53))),MAX($U$3:U52)+1,"")</f>
        <v/>
      </c>
    </row>
    <row r="54" ht="15" customHeight="1" s="217">
      <c r="A54" s="354" t="inlineStr">
        <is>
          <t>CUMMINS</t>
        </is>
      </c>
      <c r="B54" s="355" t="inlineStr">
        <is>
          <t>HH083054</t>
        </is>
      </c>
      <c r="C54" s="354" t="inlineStr">
        <is>
          <t>Holset</t>
        </is>
      </c>
      <c r="D54" s="354" t="inlineStr">
        <is>
          <t>HX27W</t>
        </is>
      </c>
      <c r="E54" s="354" t="inlineStr">
        <is>
          <t>ISF3.8</t>
        </is>
      </c>
      <c r="F54" s="356" t="inlineStr">
        <is>
          <t>3779951/ 2843674</t>
        </is>
      </c>
      <c r="G54" s="354" t="n"/>
      <c r="H54" s="357" t="inlineStr">
        <is>
          <t>SL</t>
        </is>
      </c>
      <c r="I54" s="358" t="n"/>
      <c r="J54" s="358" t="n"/>
      <c r="K54" s="358" t="n"/>
      <c r="L54" s="358">
        <f>IF(K54="","",K54*1.1)</f>
        <v/>
      </c>
      <c r="M54" s="359" t="n">
        <v>56</v>
      </c>
      <c r="N54" s="359" t="n">
        <v>40.8</v>
      </c>
      <c r="O54" s="359" t="inlineStr">
        <is>
          <t>6/6</t>
        </is>
      </c>
      <c r="P54" s="359" t="n">
        <v>52</v>
      </c>
      <c r="Q54" s="359" t="n">
        <v>45.6</v>
      </c>
      <c r="R54" s="359" t="n">
        <v>12</v>
      </c>
      <c r="T54" s="216">
        <f>UPPER(A54&amp;" "&amp;B54&amp;" "&amp;D54&amp;" "&amp;E54&amp;" "&amp;F54&amp;" "&amp;G54&amp;" "&amp;H54)</f>
        <v/>
      </c>
      <c r="U54" s="216">
        <f>IF(AND('TRA CỨU TỔNG HỢP'!$B$3&lt;&gt;"",ISNUMBER(SEARCH('TRA CỨU TỔNG HỢP'!$B$3,T54))),MAX($U$3:U53)+1,"")</f>
        <v/>
      </c>
    </row>
    <row r="55" ht="15" customHeight="1" s="217">
      <c r="A55" s="354" t="inlineStr">
        <is>
          <t>CUMMINS</t>
        </is>
      </c>
      <c r="B55" s="355" t="inlineStr">
        <is>
          <t>HH079779</t>
        </is>
      </c>
      <c r="C55" s="354" t="inlineStr">
        <is>
          <t>Holset</t>
        </is>
      </c>
      <c r="D55" s="354" t="inlineStr">
        <is>
          <t>HX40W</t>
        </is>
      </c>
      <c r="E55" s="354" t="inlineStr">
        <is>
          <t>6CTA/QSB5.9</t>
        </is>
      </c>
      <c r="F55" s="356" t="inlineStr">
        <is>
          <t>3536310/3536309</t>
        </is>
      </c>
      <c r="G55" s="354" t="n"/>
      <c r="H55" s="357" t="inlineStr">
        <is>
          <t>EE</t>
        </is>
      </c>
      <c r="I55" s="358" t="n"/>
      <c r="J55" s="358" t="n"/>
      <c r="K55" s="358" t="n"/>
      <c r="L55" s="358">
        <f>IF(K55="","",K55*1.1)</f>
        <v/>
      </c>
      <c r="M55" s="359" t="n">
        <v>83</v>
      </c>
      <c r="N55" s="359" t="n">
        <v>58</v>
      </c>
      <c r="O55" s="359" t="inlineStr">
        <is>
          <t>8/8</t>
        </is>
      </c>
      <c r="P55" s="359" t="n">
        <v>76</v>
      </c>
      <c r="Q55" s="359" t="n">
        <v>64</v>
      </c>
      <c r="R55" s="359" t="n">
        <v>12</v>
      </c>
      <c r="T55" s="216">
        <f>UPPER(A55&amp;" "&amp;B55&amp;" "&amp;D55&amp;" "&amp;E55&amp;" "&amp;F55&amp;" "&amp;G55&amp;" "&amp;H55)</f>
        <v/>
      </c>
      <c r="U55" s="216">
        <f>IF(AND('TRA CỨU TỔNG HỢP'!$B$3&lt;&gt;"",ISNUMBER(SEARCH('TRA CỨU TỔNG HỢP'!$B$3,T55))),MAX($U$3:U54)+1,"")</f>
        <v/>
      </c>
    </row>
    <row r="56" ht="15" customHeight="1" s="217">
      <c r="A56" s="354" t="inlineStr">
        <is>
          <t>CUMMINS</t>
        </is>
      </c>
      <c r="B56" s="355" t="inlineStr">
        <is>
          <t>HH081620</t>
        </is>
      </c>
      <c r="C56" s="354" t="inlineStr">
        <is>
          <t>Holset</t>
        </is>
      </c>
      <c r="D56" s="354" t="inlineStr">
        <is>
          <t>HX55W</t>
        </is>
      </c>
      <c r="E56" s="354" t="inlineStr">
        <is>
          <t>HOWO A7</t>
        </is>
      </c>
      <c r="F56" s="356" t="inlineStr">
        <is>
          <t>3776573
VG1034110054</t>
        </is>
      </c>
      <c r="G56" s="354" t="inlineStr">
        <is>
          <t>đá bán sang ngang 3776572/KA100-1118100 cho quân thọ trương chưa ráp chek tiếp</t>
        </is>
      </c>
      <c r="H56" s="357" t="inlineStr">
        <is>
          <t>VIDARIR</t>
        </is>
      </c>
      <c r="I56" s="358" t="n"/>
      <c r="J56" s="358" t="n"/>
      <c r="K56" s="358" t="n"/>
      <c r="L56" s="358">
        <f>IF(K56="","",K56*1.1)</f>
        <v/>
      </c>
      <c r="M56" s="359" t="n"/>
      <c r="N56" s="359" t="n"/>
      <c r="O56" s="359" t="n"/>
      <c r="P56" s="359" t="n"/>
      <c r="Q56" s="359" t="n"/>
      <c r="R56" s="359" t="n"/>
      <c r="T56" s="346">
        <f>UPPER(A56&amp;" "&amp;B56&amp;" "&amp;D56&amp;" "&amp;E56&amp;" "&amp;F56&amp;" "&amp;G56&amp;" "&amp;H56)</f>
        <v/>
      </c>
      <c r="U56" s="216">
        <f>IF(AND('TRA CỨU TỔNG HỢP'!$B$3&lt;&gt;"",ISNUMBER(SEARCH('TRA CỨU TỔNG HỢP'!$B$3,T56))),MAX($U$3:U55)+1,"")</f>
        <v/>
      </c>
    </row>
    <row r="57" ht="15" customHeight="1" s="217">
      <c r="A57" s="340" t="inlineStr">
        <is>
          <t>CUMMINS</t>
        </is>
      </c>
      <c r="B57" s="341" t="inlineStr">
        <is>
          <t>HH075640</t>
        </is>
      </c>
      <c r="C57" s="340" t="inlineStr">
        <is>
          <t>Holset</t>
        </is>
      </c>
      <c r="D57" s="340" t="inlineStr">
        <is>
          <t>HX50/H2C</t>
        </is>
      </c>
      <c r="E57" s="340" t="inlineStr">
        <is>
          <t>M11</t>
        </is>
      </c>
      <c r="F57" s="342" t="n">
        <v>3537037</v>
      </c>
      <c r="G57" s="340" t="n"/>
      <c r="H57" s="343" t="n"/>
      <c r="I57" s="344" t="n"/>
      <c r="J57" s="344" t="n"/>
      <c r="K57" s="344" t="n"/>
      <c r="L57" s="344">
        <f>IF(K57="","",K57*1.1)</f>
        <v/>
      </c>
      <c r="M57" s="345" t="n"/>
      <c r="N57" s="345" t="n"/>
      <c r="O57" s="345" t="n"/>
      <c r="P57" s="345" t="n"/>
      <c r="Q57" s="345" t="n"/>
      <c r="R57" s="345" t="n"/>
      <c r="T57" s="216">
        <f>UPPER(A57&amp;" "&amp;B57&amp;" "&amp;D57&amp;" "&amp;E57&amp;" "&amp;F57&amp;" "&amp;G57&amp;" "&amp;H57)</f>
        <v/>
      </c>
      <c r="U57" s="216">
        <f>IF(AND('TRA CỨU TỔNG HỢP'!$B$3&lt;&gt;"",ISNUMBER(SEARCH('TRA CỨU TỔNG HỢP'!$B$3,T57))),MAX($U$3:U56)+1,"")</f>
        <v/>
      </c>
    </row>
    <row r="58" ht="15" customHeight="1" s="217">
      <c r="A58" s="347" t="inlineStr">
        <is>
          <t>CUMMINS</t>
        </is>
      </c>
      <c r="B58" s="348" t="inlineStr">
        <is>
          <t>HH074862</t>
        </is>
      </c>
      <c r="C58" s="349" t="inlineStr">
        <is>
          <t>Holset</t>
        </is>
      </c>
      <c r="D58" s="349" t="inlineStr">
        <is>
          <t>HX50/H2C</t>
        </is>
      </c>
      <c r="E58" s="349" t="inlineStr">
        <is>
          <t>M11</t>
        </is>
      </c>
      <c r="F58" s="350" t="n">
        <v>3537037</v>
      </c>
      <c r="G58" s="349" t="n"/>
      <c r="H58" s="351" t="inlineStr">
        <is>
          <t>SL</t>
        </is>
      </c>
      <c r="I58" s="352" t="n"/>
      <c r="J58" s="352" t="n"/>
      <c r="K58" s="352" t="n"/>
      <c r="L58" s="352">
        <f>IF(K58="","",K58*1.1)</f>
        <v/>
      </c>
      <c r="M58" s="353" t="n"/>
      <c r="N58" s="353" t="n"/>
      <c r="O58" s="353" t="n"/>
      <c r="P58" s="353" t="n"/>
      <c r="Q58" s="353" t="n"/>
      <c r="R58" s="353" t="n"/>
      <c r="T58" s="216">
        <f>UPPER(A58&amp;" "&amp;B58&amp;" "&amp;D58&amp;" "&amp;E58&amp;" "&amp;F58&amp;" "&amp;G58&amp;" "&amp;H58)</f>
        <v/>
      </c>
      <c r="U58" s="216">
        <f>IF(AND('TRA CỨU TỔNG HỢP'!$B$3&lt;&gt;"",ISNUMBER(SEARCH('TRA CỨU TỔNG HỢP'!$B$3,T58))),MAX($U$3:U57)+1,"")</f>
        <v/>
      </c>
    </row>
    <row r="59" ht="15" customHeight="1" s="217">
      <c r="A59" s="340" t="inlineStr">
        <is>
          <t>CUMMINS</t>
        </is>
      </c>
      <c r="B59" s="341" t="inlineStr">
        <is>
          <t>HH077023</t>
        </is>
      </c>
      <c r="C59" s="340" t="inlineStr">
        <is>
          <t>Holset</t>
        </is>
      </c>
      <c r="D59" s="340" t="inlineStr">
        <is>
          <t>HT60</t>
        </is>
      </c>
      <c r="E59" s="340" t="inlineStr">
        <is>
          <t>N14/ NT855/ Volvo N14 NE1</t>
        </is>
      </c>
      <c r="F59" s="342" t="inlineStr">
        <is>
          <t>3537074
3804502/3537074 | 3592512 | 3592678 | 3804502 | 3804502RX | 3592512 | 3592678 | 3804632 | 3804808 | 3538396 | 3538401 | 3803585 | 3803585RX | 3804308 | 3536263 | 3536095 | 3531733 | 3531267</t>
        </is>
      </c>
      <c r="G59" s="340" t="n"/>
      <c r="H59" s="343" t="inlineStr">
        <is>
          <t>SL</t>
        </is>
      </c>
      <c r="I59" s="344" t="n"/>
      <c r="J59" s="344" t="n"/>
      <c r="K59" s="344" t="n"/>
      <c r="L59" s="344">
        <f>IF(K59="","",K59*1.1)</f>
        <v/>
      </c>
      <c r="M59" s="345" t="n">
        <v>109</v>
      </c>
      <c r="N59" s="345" t="n">
        <v>73.5</v>
      </c>
      <c r="O59" s="345" t="inlineStr">
        <is>
          <t>8/8反</t>
        </is>
      </c>
      <c r="P59" s="345" t="n">
        <v>97</v>
      </c>
      <c r="Q59" s="345" t="n">
        <v>86.36</v>
      </c>
      <c r="R59" s="345" t="inlineStr">
        <is>
          <t>12反</t>
        </is>
      </c>
      <c r="T59" s="346">
        <f>UPPER(A59&amp;" "&amp;B59&amp;" "&amp;D59&amp;" "&amp;E59&amp;" "&amp;F59&amp;" "&amp;G59&amp;" "&amp;H59)</f>
        <v/>
      </c>
      <c r="U59" s="216">
        <f>IF(AND('TRA CỨU TỔNG HỢP'!$B$3&lt;&gt;"",ISNUMBER(SEARCH('TRA CỨU TỔNG HỢP'!$B$3,T59))),MAX($U$3:U58)+1,"")</f>
        <v/>
      </c>
    </row>
    <row r="60" ht="15" customHeight="1" s="217">
      <c r="A60" s="347" t="inlineStr">
        <is>
          <t>CUMMINS</t>
        </is>
      </c>
      <c r="B60" s="348" t="inlineStr">
        <is>
          <t>HH079178</t>
        </is>
      </c>
      <c r="C60" s="349" t="inlineStr">
        <is>
          <t>Holset</t>
        </is>
      </c>
      <c r="D60" s="349" t="inlineStr">
        <is>
          <t>HT60</t>
        </is>
      </c>
      <c r="E60" s="349" t="inlineStr">
        <is>
          <t>N14/ NT855/ Volvo N14 NE1</t>
        </is>
      </c>
      <c r="F60" s="350" t="inlineStr">
        <is>
          <t>3537074
3804502/3537074 | 3592512 | 3592678 | 3804502 | 3804502RX | 3592512 | 3592678 | 3804632 | 3804808 | 3538396 | 3538401 | 3803585 | 3803585RX | 3804308 | 3536263 | 3536095 | 3531733 | 3531267</t>
        </is>
      </c>
      <c r="G60" s="349" t="n"/>
      <c r="H60" s="351" t="inlineStr">
        <is>
          <t>SL</t>
        </is>
      </c>
      <c r="I60" s="352" t="n"/>
      <c r="J60" s="352" t="n"/>
      <c r="K60" s="352" t="n"/>
      <c r="L60" s="352">
        <f>IF(K60="","",K60*1.1)</f>
        <v/>
      </c>
      <c r="M60" s="353" t="n">
        <v>109</v>
      </c>
      <c r="N60" s="353" t="n">
        <v>73.5</v>
      </c>
      <c r="O60" s="353" t="inlineStr">
        <is>
          <t>8/8反</t>
        </is>
      </c>
      <c r="P60" s="353" t="n">
        <v>97</v>
      </c>
      <c r="Q60" s="353" t="n">
        <v>86.36</v>
      </c>
      <c r="R60" s="353" t="inlineStr">
        <is>
          <t>12反</t>
        </is>
      </c>
      <c r="T60" s="346">
        <f>UPPER(A60&amp;" "&amp;B60&amp;" "&amp;D60&amp;" "&amp;E60&amp;" "&amp;F60&amp;" "&amp;G60&amp;" "&amp;H60)</f>
        <v/>
      </c>
      <c r="U60" s="216">
        <f>IF(AND('TRA CỨU TỔNG HỢP'!$B$3&lt;&gt;"",ISNUMBER(SEARCH('TRA CỨU TỔNG HỢP'!$B$3,T60))),MAX($U$3:U59)+1,"")</f>
        <v/>
      </c>
    </row>
    <row r="61" ht="15" customHeight="1" s="217">
      <c r="A61" s="379" t="inlineStr">
        <is>
          <t>CUMMINS</t>
        </is>
      </c>
      <c r="B61" s="380" t="n"/>
      <c r="C61" s="379" t="inlineStr">
        <is>
          <t>Holset</t>
        </is>
      </c>
      <c r="D61" s="379" t="inlineStr">
        <is>
          <t>HX40W</t>
        </is>
      </c>
      <c r="E61" s="379" t="inlineStr">
        <is>
          <t>6CTA</t>
        </is>
      </c>
      <c r="F61" s="381" t="inlineStr">
        <is>
          <t>3537127/3537128/3537129
3537130/3538856/3538857
3539208/3802810/3802909
4044187/4044188/4044990
76192751/3535631/3535632
3535634/3535635/3535636
3535638/3535638H/3535640
3535641/3802651/76192436
1304937H91/6742-01-5049
6742015049/J802651/J535635</t>
        </is>
      </c>
      <c r="G61" s="379" t="n"/>
      <c r="H61" s="382" t="n"/>
      <c r="I61" s="383" t="n"/>
      <c r="J61" s="383" t="n"/>
      <c r="K61" s="383" t="n"/>
      <c r="L61" s="383">
        <f>IF(K61="","",K61*1.1)</f>
        <v/>
      </c>
      <c r="M61" s="384" t="n">
        <v>83</v>
      </c>
      <c r="N61" s="384" t="n">
        <v>58</v>
      </c>
      <c r="O61" s="384" t="inlineStr">
        <is>
          <t>8/8</t>
        </is>
      </c>
      <c r="P61" s="384" t="n">
        <v>76</v>
      </c>
      <c r="Q61" s="384" t="n">
        <v>64</v>
      </c>
      <c r="R61" s="384" t="n">
        <v>12</v>
      </c>
      <c r="T61" s="346">
        <f>UPPER(A61&amp;" "&amp;B61&amp;" "&amp;D61&amp;" "&amp;E61&amp;" "&amp;F61&amp;" "&amp;G61&amp;" "&amp;H61)</f>
        <v/>
      </c>
      <c r="U61" s="216">
        <f>IF(AND('TRA CỨU TỔNG HỢP'!$B$3&lt;&gt;"",ISNUMBER(SEARCH('TRA CỨU TỔNG HỢP'!$B$3,T61))),MAX($U$3:U60)+1,"")</f>
        <v/>
      </c>
    </row>
    <row r="62" ht="15" customHeight="1" s="217">
      <c r="A62" s="367" t="inlineStr">
        <is>
          <t>CUMMINS</t>
        </is>
      </c>
      <c r="B62" s="368" t="n"/>
      <c r="C62" s="367" t="inlineStr">
        <is>
          <t>Holset</t>
        </is>
      </c>
      <c r="D62" s="367" t="inlineStr">
        <is>
          <t>HX40W</t>
        </is>
      </c>
      <c r="E62" s="367" t="inlineStr">
        <is>
          <t>6CTA</t>
        </is>
      </c>
      <c r="F62" s="369" t="inlineStr">
        <is>
          <t>3802784/3536404 3537287 3537288 3537289 3539312 3593565</t>
        </is>
      </c>
      <c r="G62" s="367" t="n"/>
      <c r="H62" s="370" t="n"/>
      <c r="I62" s="371" t="n"/>
      <c r="J62" s="371" t="n"/>
      <c r="K62" s="371" t="n"/>
      <c r="L62" s="371">
        <f>IF(K62="","",K62*1.1)</f>
        <v/>
      </c>
      <c r="M62" s="372" t="n"/>
      <c r="N62" s="372" t="n"/>
      <c r="O62" s="372" t="n"/>
      <c r="P62" s="372" t="n"/>
      <c r="Q62" s="372" t="n"/>
      <c r="R62" s="372" t="n"/>
      <c r="T62" s="216">
        <f>UPPER(A62&amp;" "&amp;B62&amp;" "&amp;D62&amp;" "&amp;E62&amp;" "&amp;F62&amp;" "&amp;G62&amp;" "&amp;H62)</f>
        <v/>
      </c>
      <c r="U62" s="216">
        <f>IF(AND('TRA CỨU TỔNG HỢP'!$B$3&lt;&gt;"",ISNUMBER(SEARCH('TRA CỨU TỔNG HỢP'!$B$3,T62))),MAX($U$3:U61)+1,"")</f>
        <v/>
      </c>
    </row>
    <row r="63" ht="15" customHeight="1" s="217">
      <c r="A63" s="354" t="inlineStr">
        <is>
          <t>CUMMINS</t>
        </is>
      </c>
      <c r="B63" s="355" t="inlineStr">
        <is>
          <t>HH079268</t>
        </is>
      </c>
      <c r="C63" s="354" t="inlineStr">
        <is>
          <t>Holset</t>
        </is>
      </c>
      <c r="D63" s="354" t="inlineStr">
        <is>
          <t>H2D</t>
        </is>
      </c>
      <c r="E63" s="354" t="inlineStr">
        <is>
          <t>6CTA</t>
        </is>
      </c>
      <c r="F63" s="356" t="n">
        <v>3538623</v>
      </c>
      <c r="G63" s="354" t="inlineStr">
        <is>
          <t>MÁY THỦY</t>
        </is>
      </c>
      <c r="H63" s="357" t="inlineStr">
        <is>
          <t>VIDARIR</t>
        </is>
      </c>
      <c r="I63" s="358" t="n"/>
      <c r="J63" s="358" t="n"/>
      <c r="K63" s="358" t="n"/>
      <c r="L63" s="358">
        <f>IF(K63="","",K63*1.1)</f>
        <v/>
      </c>
      <c r="M63" s="359" t="n"/>
      <c r="N63" s="359" t="n"/>
      <c r="O63" s="359" t="n"/>
      <c r="P63" s="359" t="n"/>
      <c r="Q63" s="359" t="n"/>
      <c r="R63" s="359" t="n"/>
      <c r="T63" s="216">
        <f>UPPER(A63&amp;" "&amp;B63&amp;" "&amp;D63&amp;" "&amp;E63&amp;" "&amp;F63&amp;" "&amp;G63&amp;" "&amp;H63)</f>
        <v/>
      </c>
      <c r="U63" s="216">
        <f>IF(AND('TRA CỨU TỔNG HỢP'!$B$3&lt;&gt;"",ISNUMBER(SEARCH('TRA CỨU TỔNG HỢP'!$B$3,T63))),MAX($U$3:U62)+1,"")</f>
        <v/>
      </c>
    </row>
    <row r="64" ht="15" customHeight="1" s="217">
      <c r="A64" s="340" t="inlineStr">
        <is>
          <t>CUMMINS</t>
        </is>
      </c>
      <c r="B64" s="341" t="inlineStr">
        <is>
          <t>HH082364</t>
        </is>
      </c>
      <c r="C64" s="340" t="inlineStr">
        <is>
          <t>Holset</t>
        </is>
      </c>
      <c r="D64" s="340" t="inlineStr">
        <is>
          <t>HE351VE</t>
        </is>
      </c>
      <c r="E64" s="340" t="inlineStr">
        <is>
          <t>FREIGHTLINER-</t>
        </is>
      </c>
      <c r="F64" s="342" t="inlineStr">
        <is>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is>
      </c>
      <c r="G64" s="340" t="n"/>
      <c r="H64" s="343" t="inlineStr">
        <is>
          <t>SL</t>
        </is>
      </c>
      <c r="I64" s="344" t="n"/>
      <c r="J64" s="344" t="n"/>
      <c r="K64" s="344" t="n"/>
      <c r="L64" s="344">
        <f>IF(K64="","",K64*1.1)</f>
        <v/>
      </c>
      <c r="M64" s="345" t="n">
        <v>85</v>
      </c>
      <c r="N64" s="345" t="n">
        <v>56</v>
      </c>
      <c r="O64" s="345" t="inlineStr">
        <is>
          <t>7/7</t>
        </is>
      </c>
      <c r="P64" s="345" t="n">
        <v>69.8</v>
      </c>
      <c r="Q64" s="345" t="n">
        <v>60</v>
      </c>
      <c r="R64" s="345" t="n">
        <v>12</v>
      </c>
      <c r="T64" s="346">
        <f>UPPER(A64&amp;" "&amp;B64&amp;" "&amp;D64&amp;" "&amp;E64&amp;" "&amp;F64&amp;" "&amp;G64&amp;" "&amp;H64)</f>
        <v/>
      </c>
      <c r="U64" s="216">
        <f>IF(AND('TRA CỨU TỔNG HỢP'!$B$3&lt;&gt;"",ISNUMBER(SEARCH('TRA CỨU TỔNG HỢP'!$B$3,T64))),MAX($U$3:U63)+1,"")</f>
        <v/>
      </c>
    </row>
    <row r="65" ht="15" customHeight="1" s="217">
      <c r="A65" s="347" t="inlineStr">
        <is>
          <t>CUMMINS</t>
        </is>
      </c>
      <c r="B65" s="348" t="inlineStr">
        <is>
          <t>HH082365</t>
        </is>
      </c>
      <c r="C65" s="349" t="inlineStr">
        <is>
          <t>Holset</t>
        </is>
      </c>
      <c r="D65" s="349" t="inlineStr">
        <is>
          <t>HE351VE</t>
        </is>
      </c>
      <c r="E65" s="349" t="inlineStr">
        <is>
          <t>FREIGHTLINER-</t>
        </is>
      </c>
      <c r="F65" s="350" t="inlineStr">
        <is>
          <t>4955397/3776805 
2835095, 2840775, 3769171, 3773435, 4031002, 403100200, 403100200H, 4031002H, 4031002HX, 4031003, 403100300, 4031003H, 4031205, 403120500H, 4031205H, 4031205HX, 4031239, 40312NX, 40312RX, 40313HX, 4046514, 4046515, 4046516, 4046517, 4046518, 4047365, 4047366, 4047367, 4047368, 4047369, 4048068, 4048069
20941931/20941933/21012875/21012876/21012877
21080078/21080079/21080080/21178032/21178033/21178034
21424404/21424405/21424406/21424419/21592749
21592750/21592751/21597914/22014294
22014295/22014296/22883059/22883060</t>
        </is>
      </c>
      <c r="G65" s="349" t="n"/>
      <c r="H65" s="351" t="inlineStr">
        <is>
          <t>SL</t>
        </is>
      </c>
      <c r="I65" s="352" t="n"/>
      <c r="J65" s="352" t="n"/>
      <c r="K65" s="352" t="n"/>
      <c r="L65" s="352">
        <f>IF(K65="","",K65*1.1)</f>
        <v/>
      </c>
      <c r="M65" s="353" t="n">
        <v>85</v>
      </c>
      <c r="N65" s="353" t="n">
        <v>56</v>
      </c>
      <c r="O65" s="353" t="inlineStr">
        <is>
          <t>7/7</t>
        </is>
      </c>
      <c r="P65" s="353" t="n">
        <v>69.8</v>
      </c>
      <c r="Q65" s="353" t="n">
        <v>60</v>
      </c>
      <c r="R65" s="353" t="n">
        <v>12</v>
      </c>
      <c r="T65" s="346">
        <f>UPPER(A65&amp;" "&amp;B65&amp;" "&amp;D65&amp;" "&amp;E65&amp;" "&amp;F65&amp;" "&amp;G65&amp;" "&amp;H65)</f>
        <v/>
      </c>
      <c r="U65" s="216">
        <f>IF(AND('TRA CỨU TỔNG HỢP'!$B$3&lt;&gt;"",ISNUMBER(SEARCH('TRA CỨU TỔNG HỢP'!$B$3,T65))),MAX($U$3:U64)+1,"")</f>
        <v/>
      </c>
    </row>
    <row r="66" ht="15" customHeight="1" s="217">
      <c r="A66" s="340" t="inlineStr">
        <is>
          <t>CUMMINS</t>
        </is>
      </c>
      <c r="B66" s="341" t="inlineStr">
        <is>
          <t>HH080317</t>
        </is>
      </c>
      <c r="C66" s="340" t="inlineStr">
        <is>
          <t>Holset</t>
        </is>
      </c>
      <c r="D66" s="340" t="inlineStr">
        <is>
          <t>HE300WG/HE351W</t>
        </is>
      </c>
      <c r="E66" s="340" t="inlineStr">
        <is>
          <t>ISDe6.7</t>
        </is>
      </c>
      <c r="F66" s="342" t="inlineStr">
        <is>
          <t>3776568
3776569/3960478/A3960478
3960479/A3960479
3971920/2839319
4035253/4047757
4047758/4029159/4029160</t>
        </is>
      </c>
      <c r="G66" s="340" t="n"/>
      <c r="H66" s="343" t="inlineStr">
        <is>
          <t>SL</t>
        </is>
      </c>
      <c r="I66" s="344" t="n"/>
      <c r="J66" s="344" t="n"/>
      <c r="K66" s="344" t="n"/>
      <c r="L66" s="344">
        <f>IF(K66="","",K66*1.1)</f>
        <v/>
      </c>
      <c r="M66" s="345" t="n">
        <v>78</v>
      </c>
      <c r="N66" s="345" t="n">
        <v>54</v>
      </c>
      <c r="O66" s="345" t="inlineStr">
        <is>
          <t>7/7</t>
        </is>
      </c>
      <c r="P66" s="345" t="n">
        <v>70</v>
      </c>
      <c r="Q66" s="345" t="n">
        <v>60</v>
      </c>
      <c r="R66" s="345" t="n">
        <v>12</v>
      </c>
      <c r="T66" s="346">
        <f>UPPER(A66&amp;" "&amp;B66&amp;" "&amp;D66&amp;" "&amp;E66&amp;" "&amp;F66&amp;" "&amp;G66&amp;" "&amp;H66)</f>
        <v/>
      </c>
      <c r="U66" s="216">
        <f>IF(AND('TRA CỨU TỔNG HỢP'!$B$3&lt;&gt;"",ISNUMBER(SEARCH('TRA CỨU TỔNG HỢP'!$B$3,T66))),MAX($U$3:U65)+1,"")</f>
        <v/>
      </c>
    </row>
    <row r="67" ht="15" customHeight="1" s="217">
      <c r="A67" s="347" t="inlineStr">
        <is>
          <t>CUMMINS</t>
        </is>
      </c>
      <c r="B67" s="348" t="inlineStr">
        <is>
          <t>HH080920</t>
        </is>
      </c>
      <c r="C67" s="349" t="inlineStr">
        <is>
          <t>Holset</t>
        </is>
      </c>
      <c r="D67" s="349" t="inlineStr">
        <is>
          <t>HE300WG/HE351W</t>
        </is>
      </c>
      <c r="E67" s="349" t="inlineStr">
        <is>
          <t>ISDe6.7</t>
        </is>
      </c>
      <c r="F67" s="350" t="inlineStr">
        <is>
          <t>3776568
3776569/3960478/A3960478
3960479/A3960479
3971920/2839319
4035253/4047757
4047758/4029159/4029160</t>
        </is>
      </c>
      <c r="G67" s="349" t="n"/>
      <c r="H67" s="351" t="inlineStr">
        <is>
          <t>TBS</t>
        </is>
      </c>
      <c r="I67" s="352" t="n"/>
      <c r="J67" s="352" t="n"/>
      <c r="K67" s="352" t="n"/>
      <c r="L67" s="352">
        <f>IF(K67="","",K67*1.1)</f>
        <v/>
      </c>
      <c r="M67" s="353" t="n">
        <v>78</v>
      </c>
      <c r="N67" s="353" t="n">
        <v>54</v>
      </c>
      <c r="O67" s="353" t="inlineStr">
        <is>
          <t>7/7</t>
        </is>
      </c>
      <c r="P67" s="353" t="n">
        <v>70</v>
      </c>
      <c r="Q67" s="353" t="n">
        <v>60</v>
      </c>
      <c r="R67" s="353" t="n">
        <v>12</v>
      </c>
      <c r="T67" s="346">
        <f>UPPER(A67&amp;" "&amp;B67&amp;" "&amp;D67&amp;" "&amp;E67&amp;" "&amp;F67&amp;" "&amp;G67&amp;" "&amp;H67)</f>
        <v/>
      </c>
      <c r="U67" s="216">
        <f>IF(AND('TRA CỨU TỔNG HỢP'!$B$3&lt;&gt;"",ISNUMBER(SEARCH('TRA CỨU TỔNG HỢP'!$B$3,T67))),MAX($U$3:U66)+1,"")</f>
        <v/>
      </c>
    </row>
    <row r="68" ht="15" customHeight="1" s="217">
      <c r="A68" s="340" t="inlineStr">
        <is>
          <t>CUMMINS</t>
        </is>
      </c>
      <c r="B68" s="341" t="inlineStr">
        <is>
          <t>HH072356</t>
        </is>
      </c>
      <c r="C68" s="340" t="inlineStr">
        <is>
          <t>Holset</t>
        </is>
      </c>
      <c r="D68" s="340" t="inlineStr">
        <is>
          <t>HX30W</t>
        </is>
      </c>
      <c r="E68" s="340" t="inlineStr">
        <is>
          <t>4BT/4B3.9</t>
        </is>
      </c>
      <c r="F68" s="342" t="inlineStr">
        <is>
          <t>3592121/3802906
3592122/3592123
3592124/3537751/3537753</t>
        </is>
      </c>
      <c r="G68" s="340" t="n"/>
      <c r="H68" s="343" t="inlineStr">
        <is>
          <t>SL</t>
        </is>
      </c>
      <c r="I68" s="344" t="n"/>
      <c r="J68" s="344" t="n"/>
      <c r="K68" s="344" t="n"/>
      <c r="L68" s="344">
        <f>IF(K68="","",K68*1.1)</f>
        <v/>
      </c>
      <c r="M68" s="345" t="n">
        <v>69</v>
      </c>
      <c r="N68" s="345" t="n">
        <v>40.2</v>
      </c>
      <c r="O68" s="345" t="inlineStr">
        <is>
          <t>6/6</t>
        </is>
      </c>
      <c r="P68" s="345" t="n">
        <v>65.40000000000001</v>
      </c>
      <c r="Q68" s="345" t="n">
        <v>52</v>
      </c>
      <c r="R68" s="345" t="n">
        <v>12</v>
      </c>
      <c r="T68" s="346">
        <f>UPPER(A68&amp;" "&amp;B68&amp;" "&amp;D68&amp;" "&amp;E68&amp;" "&amp;F68&amp;" "&amp;G68&amp;" "&amp;H68)</f>
        <v/>
      </c>
      <c r="U68" s="216">
        <f>IF(AND('TRA CỨU TỔNG HỢP'!$B$3&lt;&gt;"",ISNUMBER(SEARCH('TRA CỨU TỔNG HỢP'!$B$3,T68))),MAX($U$3:U67)+1,"")</f>
        <v/>
      </c>
    </row>
    <row r="69" ht="15" customHeight="1" s="217">
      <c r="A69" s="347" t="inlineStr">
        <is>
          <t>CUMMINS</t>
        </is>
      </c>
      <c r="B69" s="348" t="inlineStr">
        <is>
          <t>HH079072</t>
        </is>
      </c>
      <c r="C69" s="349" t="inlineStr">
        <is>
          <t>Holset</t>
        </is>
      </c>
      <c r="D69" s="349" t="inlineStr">
        <is>
          <t>HX30W</t>
        </is>
      </c>
      <c r="E69" s="349" t="inlineStr">
        <is>
          <t>4BT/4B3.9</t>
        </is>
      </c>
      <c r="F69" s="350" t="inlineStr">
        <is>
          <t>3592121/3802906
3592122/3592123
3592124/3537751/3537753</t>
        </is>
      </c>
      <c r="G69" s="349" t="n"/>
      <c r="H69" s="351" t="n"/>
      <c r="I69" s="352" t="n"/>
      <c r="J69" s="352" t="n"/>
      <c r="K69" s="352" t="n"/>
      <c r="L69" s="352">
        <f>IF(K69="","",K69*1.1)</f>
        <v/>
      </c>
      <c r="M69" s="353" t="n">
        <v>69</v>
      </c>
      <c r="N69" s="353" t="n">
        <v>40.2</v>
      </c>
      <c r="O69" s="353" t="inlineStr">
        <is>
          <t>6/6</t>
        </is>
      </c>
      <c r="P69" s="353" t="n">
        <v>65.40000000000001</v>
      </c>
      <c r="Q69" s="353" t="n">
        <v>52</v>
      </c>
      <c r="R69" s="353" t="n">
        <v>12</v>
      </c>
      <c r="T69" s="346">
        <f>UPPER(A69&amp;" "&amp;B69&amp;" "&amp;D69&amp;" "&amp;E69&amp;" "&amp;F69&amp;" "&amp;G69&amp;" "&amp;H69)</f>
        <v/>
      </c>
      <c r="U69" s="216">
        <f>IF(AND('TRA CỨU TỔNG HỢP'!$B$3&lt;&gt;"",ISNUMBER(SEARCH('TRA CỨU TỔNG HỢP'!$B$3,T69))),MAX($U$3:U68)+1,"")</f>
        <v/>
      </c>
    </row>
    <row r="70" ht="15" customHeight="1" s="217">
      <c r="A70" s="347" t="inlineStr">
        <is>
          <t>CUMMINS</t>
        </is>
      </c>
      <c r="B70" s="348" t="inlineStr">
        <is>
          <t>HH079970</t>
        </is>
      </c>
      <c r="C70" s="349" t="inlineStr">
        <is>
          <t>Holset</t>
        </is>
      </c>
      <c r="D70" s="349" t="inlineStr">
        <is>
          <t>HX30W</t>
        </is>
      </c>
      <c r="E70" s="349" t="inlineStr">
        <is>
          <t>4BT/4B3.9</t>
        </is>
      </c>
      <c r="F70" s="350" t="inlineStr">
        <is>
          <t>3592121/3802906
3592122/3592123
3592124/3537751/3537753</t>
        </is>
      </c>
      <c r="G70" s="349" t="n"/>
      <c r="H70" s="351" t="n"/>
      <c r="I70" s="352" t="n"/>
      <c r="J70" s="352" t="n"/>
      <c r="K70" s="352" t="n"/>
      <c r="L70" s="352">
        <f>IF(K70="","",K70*1.1)</f>
        <v/>
      </c>
      <c r="M70" s="353" t="n">
        <v>69</v>
      </c>
      <c r="N70" s="353" t="n">
        <v>40.2</v>
      </c>
      <c r="O70" s="353" t="inlineStr">
        <is>
          <t>6/6</t>
        </is>
      </c>
      <c r="P70" s="353" t="n">
        <v>65.40000000000001</v>
      </c>
      <c r="Q70" s="353" t="n">
        <v>52</v>
      </c>
      <c r="R70" s="353" t="n">
        <v>12</v>
      </c>
      <c r="T70" s="346">
        <f>UPPER(A70&amp;" "&amp;B70&amp;" "&amp;D70&amp;" "&amp;E70&amp;" "&amp;F70&amp;" "&amp;G70&amp;" "&amp;H70)</f>
        <v/>
      </c>
      <c r="U70" s="216">
        <f>IF(AND('TRA CỨU TỔNG HỢP'!$B$3&lt;&gt;"",ISNUMBER(SEARCH('TRA CỨU TỔNG HỢP'!$B$3,T70))),MAX($U$3:U69)+1,"")</f>
        <v/>
      </c>
    </row>
    <row r="71" ht="15" customHeight="1" s="217">
      <c r="A71" s="340" t="inlineStr">
        <is>
          <t>CUMMINS</t>
        </is>
      </c>
      <c r="B71" s="341" t="inlineStr">
        <is>
          <t>HH071943</t>
        </is>
      </c>
      <c r="C71" s="340" t="inlineStr">
        <is>
          <t>Holset</t>
        </is>
      </c>
      <c r="D71" s="340" t="inlineStr">
        <is>
          <t>HX30W</t>
        </is>
      </c>
      <c r="E71" s="340" t="inlineStr">
        <is>
          <t>4BT/4B3.9</t>
        </is>
      </c>
      <c r="F71" s="342" t="inlineStr">
        <is>
          <t>3592318/3592317/3598814</t>
        </is>
      </c>
      <c r="G71" s="340" t="inlineStr">
        <is>
          <t>CÓ H/A SL</t>
        </is>
      </c>
      <c r="H71" s="343" t="n"/>
      <c r="I71" s="344" t="n"/>
      <c r="J71" s="344" t="n"/>
      <c r="K71" s="344" t="n"/>
      <c r="L71" s="344">
        <f>IF(K71="","",K71*1.1)</f>
        <v/>
      </c>
      <c r="M71" s="345" t="n">
        <v>73</v>
      </c>
      <c r="N71" s="345" t="n">
        <v>44</v>
      </c>
      <c r="O71" s="345" t="inlineStr">
        <is>
          <t>6/6</t>
        </is>
      </c>
      <c r="P71" s="345" t="n">
        <v>65.40000000000001</v>
      </c>
      <c r="Q71" s="345" t="n">
        <v>52</v>
      </c>
      <c r="R71" s="345" t="n">
        <v>12</v>
      </c>
      <c r="T71" s="216">
        <f>UPPER(A71&amp;" "&amp;B71&amp;" "&amp;D71&amp;" "&amp;E71&amp;" "&amp;F71&amp;" "&amp;G71&amp;" "&amp;H71)</f>
        <v/>
      </c>
      <c r="U71" s="216">
        <f>IF(AND('TRA CỨU TỔNG HỢP'!$B$3&lt;&gt;"",ISNUMBER(SEARCH('TRA CỨU TỔNG HỢP'!$B$3,T71))),MAX($U$3:U70)+1,"")</f>
        <v/>
      </c>
    </row>
    <row r="72" ht="15" customHeight="1" s="217">
      <c r="A72" s="347" t="inlineStr">
        <is>
          <t>CUMMINS</t>
        </is>
      </c>
      <c r="B72" s="348" t="inlineStr">
        <is>
          <t>HH079971</t>
        </is>
      </c>
      <c r="C72" s="349" t="inlineStr">
        <is>
          <t>Holset</t>
        </is>
      </c>
      <c r="D72" s="349" t="inlineStr">
        <is>
          <t>HX30W</t>
        </is>
      </c>
      <c r="E72" s="349" t="inlineStr">
        <is>
          <t>4BT/4B3.9</t>
        </is>
      </c>
      <c r="F72" s="350" t="inlineStr">
        <is>
          <t>3592318/3592317/3598814</t>
        </is>
      </c>
      <c r="G72" s="349" t="inlineStr">
        <is>
          <t>CÓ H/A SL</t>
        </is>
      </c>
      <c r="H72" s="351" t="inlineStr">
        <is>
          <t>SL</t>
        </is>
      </c>
      <c r="I72" s="352" t="n"/>
      <c r="J72" s="352" t="n"/>
      <c r="K72" s="352" t="n"/>
      <c r="L72" s="352">
        <f>IF(K72="","",K72*1.1)</f>
        <v/>
      </c>
      <c r="M72" s="353" t="n">
        <v>73</v>
      </c>
      <c r="N72" s="353" t="n">
        <v>44</v>
      </c>
      <c r="O72" s="353" t="inlineStr">
        <is>
          <t>6/6</t>
        </is>
      </c>
      <c r="P72" s="353" t="n">
        <v>65.40000000000001</v>
      </c>
      <c r="Q72" s="353" t="n">
        <v>52</v>
      </c>
      <c r="R72" s="353" t="n">
        <v>12</v>
      </c>
      <c r="T72" s="216">
        <f>UPPER(A72&amp;" "&amp;B72&amp;" "&amp;D72&amp;" "&amp;E72&amp;" "&amp;F72&amp;" "&amp;G72&amp;" "&amp;H72)</f>
        <v/>
      </c>
      <c r="U72" s="216">
        <f>IF(AND('TRA CỨU TỔNG HỢP'!$B$3&lt;&gt;"",ISNUMBER(SEARCH('TRA CỨU TỔNG HỢP'!$B$3,T72))),MAX($U$3:U71)+1,"")</f>
        <v/>
      </c>
    </row>
    <row r="73" ht="15" customHeight="1" s="217">
      <c r="A73" s="354" t="inlineStr">
        <is>
          <t>CUMMINS</t>
        </is>
      </c>
      <c r="B73" s="355" t="inlineStr">
        <is>
          <t>HH077138</t>
        </is>
      </c>
      <c r="C73" s="354" t="inlineStr">
        <is>
          <t>Holset</t>
        </is>
      </c>
      <c r="D73" s="354" t="inlineStr">
        <is>
          <t>ISM11/HX55W</t>
        </is>
      </c>
      <c r="E73" s="354" t="n"/>
      <c r="F73" s="356" t="inlineStr">
        <is>
          <t>3592778/3592779/4046030
8C05-200-C66</t>
        </is>
      </c>
      <c r="G73" s="354" t="n"/>
      <c r="H73" s="357" t="inlineStr">
        <is>
          <t>JRONE</t>
        </is>
      </c>
      <c r="I73" s="358" t="n"/>
      <c r="J73" s="358" t="n"/>
      <c r="K73" s="358" t="n"/>
      <c r="L73" s="358">
        <f>IF(K73="","",K73*1.1)</f>
        <v/>
      </c>
      <c r="M73" s="359" t="n">
        <v>99</v>
      </c>
      <c r="N73" s="359" t="n">
        <v>65</v>
      </c>
      <c r="O73" s="359" t="inlineStr">
        <is>
          <t>7/7</t>
        </is>
      </c>
      <c r="P73" s="359" t="n">
        <v>86</v>
      </c>
      <c r="Q73" s="359" t="n">
        <v>77</v>
      </c>
      <c r="R73" s="359" t="n">
        <v>12</v>
      </c>
      <c r="T73" s="346">
        <f>UPPER(A73&amp;" "&amp;B73&amp;" "&amp;D73&amp;" "&amp;E73&amp;" "&amp;F73&amp;" "&amp;G73&amp;" "&amp;H73)</f>
        <v/>
      </c>
      <c r="U73" s="216">
        <f>IF(AND('TRA CỨU TỔNG HỢP'!$B$3&lt;&gt;"",ISNUMBER(SEARCH('TRA CỨU TỔNG HỢP'!$B$3,T73))),MAX($U$3:U72)+1,"")</f>
        <v/>
      </c>
    </row>
    <row r="74" ht="15" customHeight="1" s="217">
      <c r="A74" s="354" t="inlineStr">
        <is>
          <t>CUMMINS</t>
        </is>
      </c>
      <c r="B74" s="355" t="inlineStr">
        <is>
          <t>HH083053</t>
        </is>
      </c>
      <c r="C74" s="354" t="inlineStr">
        <is>
          <t>Holset</t>
        </is>
      </c>
      <c r="D74" s="354" t="inlineStr">
        <is>
          <t>HE200WG</t>
        </is>
      </c>
      <c r="E74" s="354" t="inlineStr">
        <is>
          <t>ISF3.8</t>
        </is>
      </c>
      <c r="F74" s="356" t="inlineStr">
        <is>
          <t>5324825/ 5455135</t>
        </is>
      </c>
      <c r="G74" s="354" t="n"/>
      <c r="H74" s="357" t="inlineStr">
        <is>
          <t>SL</t>
        </is>
      </c>
      <c r="I74" s="358" t="n"/>
      <c r="J74" s="358" t="n"/>
      <c r="K74" s="358" t="n"/>
      <c r="L74" s="358">
        <f>IF(K74="","",K74*1.1)</f>
        <v/>
      </c>
      <c r="M74" s="359" t="n">
        <v>55</v>
      </c>
      <c r="N74" s="359" t="n">
        <v>40.5</v>
      </c>
      <c r="O74" s="359" t="inlineStr">
        <is>
          <t>6/6</t>
        </is>
      </c>
      <c r="P74" s="359" t="n">
        <v>49</v>
      </c>
      <c r="Q74" s="359" t="n">
        <v>40</v>
      </c>
      <c r="R74" s="359" t="n">
        <v>11</v>
      </c>
      <c r="T74" s="216">
        <f>UPPER(A74&amp;" "&amp;B74&amp;" "&amp;D74&amp;" "&amp;E74&amp;" "&amp;F74&amp;" "&amp;G74&amp;" "&amp;H74)</f>
        <v/>
      </c>
      <c r="U74" s="216">
        <f>IF(AND('TRA CỨU TỔNG HỢP'!$B$3&lt;&gt;"",ISNUMBER(SEARCH('TRA CỨU TỔNG HỢP'!$B$3,T74))),MAX($U$3:U73)+1,"")</f>
        <v/>
      </c>
    </row>
    <row r="75" ht="15" customHeight="1" s="217">
      <c r="A75" s="340" t="inlineStr">
        <is>
          <t>CUMMINS</t>
        </is>
      </c>
      <c r="B75" s="341" t="inlineStr">
        <is>
          <t>HH079269</t>
        </is>
      </c>
      <c r="C75" s="340" t="inlineStr">
        <is>
          <t>Holset</t>
        </is>
      </c>
      <c r="D75" s="340" t="inlineStr">
        <is>
          <t>HE200WG</t>
        </is>
      </c>
      <c r="E75" s="340" t="inlineStr">
        <is>
          <t>ISF3.8</t>
        </is>
      </c>
      <c r="F75" s="342" t="inlineStr">
        <is>
          <t>3772741 | 3772742 | 2840684 | 2840685 | 3796165</t>
        </is>
      </c>
      <c r="G75" s="340" t="n"/>
      <c r="H75" s="343" t="inlineStr">
        <is>
          <t>VIDARIR</t>
        </is>
      </c>
      <c r="I75" s="344" t="n"/>
      <c r="J75" s="344" t="n"/>
      <c r="K75" s="344" t="n"/>
      <c r="L75" s="344">
        <f>IF(K75="","",K75*1.1)</f>
        <v/>
      </c>
      <c r="M75" s="345" t="n">
        <v>58</v>
      </c>
      <c r="N75" s="345" t="n">
        <v>41</v>
      </c>
      <c r="O75" s="345" t="inlineStr">
        <is>
          <t>6/6</t>
        </is>
      </c>
      <c r="P75" s="345" t="n">
        <v>49</v>
      </c>
      <c r="Q75" s="345" t="n">
        <v>44</v>
      </c>
      <c r="R75" s="345" t="n">
        <v>11</v>
      </c>
      <c r="T75" s="216">
        <f>UPPER(A75&amp;" "&amp;B75&amp;" "&amp;D75&amp;" "&amp;E75&amp;" "&amp;F75&amp;" "&amp;G75&amp;" "&amp;H75)</f>
        <v/>
      </c>
      <c r="U75" s="216">
        <f>IF(AND('TRA CỨU TỔNG HỢP'!$B$3&lt;&gt;"",ISNUMBER(SEARCH('TRA CỨU TỔNG HỢP'!$B$3,T75))),MAX($U$3:U74)+1,"")</f>
        <v/>
      </c>
    </row>
    <row r="76" ht="15" customHeight="1" s="217">
      <c r="A76" s="347" t="inlineStr">
        <is>
          <t>CUMMINS</t>
        </is>
      </c>
      <c r="B76" s="348" t="inlineStr">
        <is>
          <t>HH083505</t>
        </is>
      </c>
      <c r="C76" s="349" t="inlineStr">
        <is>
          <t>Holset</t>
        </is>
      </c>
      <c r="D76" s="349" t="inlineStr">
        <is>
          <t>HE200WG</t>
        </is>
      </c>
      <c r="E76" s="349" t="inlineStr">
        <is>
          <t>ISF3.8</t>
        </is>
      </c>
      <c r="F76" s="350" t="inlineStr">
        <is>
          <t>3772741 | 3772742 | 2840684 | 2840685 | 3796165</t>
        </is>
      </c>
      <c r="G76" s="349" t="n"/>
      <c r="H76" s="351" t="inlineStr">
        <is>
          <t>TBS</t>
        </is>
      </c>
      <c r="I76" s="352" t="n"/>
      <c r="J76" s="352" t="n"/>
      <c r="K76" s="352" t="n"/>
      <c r="L76" s="352">
        <f>IF(K76="","",K76*1.1)</f>
        <v/>
      </c>
      <c r="M76" s="353" t="n">
        <v>58</v>
      </c>
      <c r="N76" s="353" t="n">
        <v>41</v>
      </c>
      <c r="O76" s="353" t="inlineStr">
        <is>
          <t>6/6</t>
        </is>
      </c>
      <c r="P76" s="353" t="n">
        <v>49</v>
      </c>
      <c r="Q76" s="353" t="n">
        <v>44</v>
      </c>
      <c r="R76" s="353" t="n">
        <v>11</v>
      </c>
      <c r="T76" s="216">
        <f>UPPER(A76&amp;" "&amp;B76&amp;" "&amp;D76&amp;" "&amp;E76&amp;" "&amp;F76&amp;" "&amp;G76&amp;" "&amp;H76)</f>
        <v/>
      </c>
      <c r="U76" s="216">
        <f>IF(AND('TRA CỨU TỔNG HỢP'!$B$3&lt;&gt;"",ISNUMBER(SEARCH('TRA CỨU TỔNG HỢP'!$B$3,T76))),MAX($U$3:U75)+1,"")</f>
        <v/>
      </c>
    </row>
    <row r="77" ht="15" customHeight="1" s="217">
      <c r="A77" s="347" t="inlineStr">
        <is>
          <t>CUMMINS</t>
        </is>
      </c>
      <c r="B77" s="348" t="inlineStr">
        <is>
          <t>HH081616</t>
        </is>
      </c>
      <c r="C77" s="349" t="inlineStr">
        <is>
          <t>Holset</t>
        </is>
      </c>
      <c r="D77" s="349" t="inlineStr">
        <is>
          <t>HE200WG</t>
        </is>
      </c>
      <c r="E77" s="349" t="inlineStr">
        <is>
          <t>ISF3.8</t>
        </is>
      </c>
      <c r="F77" s="350" t="inlineStr">
        <is>
          <t>3772741 | 3772742 | 2840684 | 2840685 | 3796165</t>
        </is>
      </c>
      <c r="G77" s="349" t="n"/>
      <c r="H77" s="351" t="inlineStr">
        <is>
          <t>VIDARIR</t>
        </is>
      </c>
      <c r="I77" s="352" t="n"/>
      <c r="J77" s="352" t="n"/>
      <c r="K77" s="352" t="n"/>
      <c r="L77" s="352">
        <f>IF(K77="","",K77*1.1)</f>
        <v/>
      </c>
      <c r="M77" s="353" t="n">
        <v>58</v>
      </c>
      <c r="N77" s="353" t="n">
        <v>41</v>
      </c>
      <c r="O77" s="353" t="inlineStr">
        <is>
          <t>6/6</t>
        </is>
      </c>
      <c r="P77" s="353" t="n">
        <v>49</v>
      </c>
      <c r="Q77" s="353" t="n">
        <v>44</v>
      </c>
      <c r="R77" s="353" t="n">
        <v>11</v>
      </c>
      <c r="T77" s="216">
        <f>UPPER(A77&amp;" "&amp;B77&amp;" "&amp;D77&amp;" "&amp;E77&amp;" "&amp;F77&amp;" "&amp;G77&amp;" "&amp;H77)</f>
        <v/>
      </c>
      <c r="U77" s="216">
        <f>IF(AND('TRA CỨU TỔNG HỢP'!$B$3&lt;&gt;"",ISNUMBER(SEARCH('TRA CỨU TỔNG HỢP'!$B$3,T77))),MAX($U$3:U76)+1,"")</f>
        <v/>
      </c>
    </row>
    <row r="78" ht="15" customHeight="1" s="217">
      <c r="A78" s="347" t="inlineStr">
        <is>
          <t>CUMMINS</t>
        </is>
      </c>
      <c r="B78" s="348" t="inlineStr">
        <is>
          <t>HH083504</t>
        </is>
      </c>
      <c r="C78" s="349" t="inlineStr">
        <is>
          <t>Holset</t>
        </is>
      </c>
      <c r="D78" s="349" t="inlineStr">
        <is>
          <t>HE200WG</t>
        </is>
      </c>
      <c r="E78" s="349" t="inlineStr">
        <is>
          <t>ISF3.8</t>
        </is>
      </c>
      <c r="F78" s="350" t="inlineStr">
        <is>
          <t>3772741 | 3772742 | 2840684 | 2840685 | 3796165</t>
        </is>
      </c>
      <c r="G78" s="349" t="n"/>
      <c r="H78" s="351" t="inlineStr">
        <is>
          <t>TBS</t>
        </is>
      </c>
      <c r="I78" s="352" t="n"/>
      <c r="J78" s="352" t="n"/>
      <c r="K78" s="352" t="n"/>
      <c r="L78" s="352">
        <f>IF(K78="","",K78*1.1)</f>
        <v/>
      </c>
      <c r="M78" s="353" t="n">
        <v>58</v>
      </c>
      <c r="N78" s="353" t="n">
        <v>41</v>
      </c>
      <c r="O78" s="353" t="inlineStr">
        <is>
          <t>6/6</t>
        </is>
      </c>
      <c r="P78" s="353" t="n">
        <v>49</v>
      </c>
      <c r="Q78" s="353" t="n">
        <v>44</v>
      </c>
      <c r="R78" s="353" t="n">
        <v>11</v>
      </c>
      <c r="T78" s="216">
        <f>UPPER(A78&amp;" "&amp;B78&amp;" "&amp;D78&amp;" "&amp;E78&amp;" "&amp;F78&amp;" "&amp;G78&amp;" "&amp;H78)</f>
        <v/>
      </c>
      <c r="U78" s="216">
        <f>IF(AND('TRA CỨU TỔNG HỢP'!$B$3&lt;&gt;"",ISNUMBER(SEARCH('TRA CỨU TỔNG HỢP'!$B$3,T78))),MAX($U$3:U77)+1,"")</f>
        <v/>
      </c>
    </row>
    <row r="79" ht="15" customHeight="1" s="217">
      <c r="A79" s="354" t="inlineStr">
        <is>
          <t>CUMMINS</t>
        </is>
      </c>
      <c r="B79" s="355" t="inlineStr">
        <is>
          <t>HH083958</t>
        </is>
      </c>
      <c r="C79" s="354" t="inlineStr">
        <is>
          <t>Holset</t>
        </is>
      </c>
      <c r="D79" s="354" t="inlineStr">
        <is>
          <t>HE221W</t>
        </is>
      </c>
      <c r="E79" s="354" t="inlineStr">
        <is>
          <t>Turbo (Cummins) HE221W/ 8C02-200-J45 (GAZ/ ISF 3.8/ 3767997) - JRONE</t>
        </is>
      </c>
      <c r="F79" s="356" t="inlineStr">
        <is>
          <t>8C02-200-J45/ 3767997/3774193</t>
        </is>
      </c>
      <c r="G79" s="354" t="inlineStr">
        <is>
          <t>JRONE</t>
        </is>
      </c>
      <c r="H79" s="357" t="inlineStr">
        <is>
          <t>JRONE</t>
        </is>
      </c>
      <c r="I79" s="358" t="n"/>
      <c r="J79" s="358" t="n"/>
      <c r="K79" s="358" t="n"/>
      <c r="L79" s="358">
        <f>IF(K79="","",K79*1.1)</f>
        <v/>
      </c>
      <c r="M79" s="359" t="n">
        <v>56</v>
      </c>
      <c r="N79" s="359" t="n">
        <v>43</v>
      </c>
      <c r="O79" s="359" t="inlineStr">
        <is>
          <t>6/6</t>
        </is>
      </c>
      <c r="P79" s="359" t="n">
        <v>47.2</v>
      </c>
      <c r="Q79" s="359" t="n">
        <v>41.2</v>
      </c>
      <c r="R79" s="359" t="n">
        <v>11</v>
      </c>
      <c r="T79" s="216">
        <f>UPPER(A79&amp;" "&amp;B79&amp;" "&amp;D79&amp;" "&amp;E79&amp;" "&amp;F79&amp;" "&amp;G79&amp;" "&amp;H79)</f>
        <v/>
      </c>
      <c r="U79" s="216">
        <f>IF(AND('TRA CỨU TỔNG HỢP'!$B$3&lt;&gt;"",ISNUMBER(SEARCH('TRA CỨU TỔNG HỢP'!$B$3,T79))),MAX($U$3:U78)+1,"")</f>
        <v/>
      </c>
    </row>
    <row r="80" ht="15" customHeight="1" s="217">
      <c r="A80" s="354" t="inlineStr">
        <is>
          <t>CUMMINS</t>
        </is>
      </c>
      <c r="B80" s="355" t="inlineStr">
        <is>
          <t>HH080644</t>
        </is>
      </c>
      <c r="C80" s="354" t="inlineStr">
        <is>
          <t>Holset</t>
        </is>
      </c>
      <c r="D80" s="354" t="inlineStr">
        <is>
          <t>HX50W/ HE400WG</t>
        </is>
      </c>
      <c r="E80" s="354" t="n"/>
      <c r="F80" s="356" t="inlineStr">
        <is>
          <t>612600118895 3790063</t>
        </is>
      </c>
      <c r="G80" s="354" t="n"/>
      <c r="H80" s="357" t="inlineStr">
        <is>
          <t>VIDARIR</t>
        </is>
      </c>
      <c r="I80" s="358" t="n"/>
      <c r="J80" s="358" t="n"/>
      <c r="K80" s="358" t="n"/>
      <c r="L80" s="358">
        <f>IF(K80="","",K80*1.1)</f>
        <v/>
      </c>
      <c r="M80" s="359" t="n"/>
      <c r="N80" s="359" t="n"/>
      <c r="O80" s="359" t="n"/>
      <c r="P80" s="359" t="n"/>
      <c r="Q80" s="359" t="n"/>
      <c r="R80" s="359" t="n"/>
      <c r="T80" s="216">
        <f>UPPER(A80&amp;" "&amp;B80&amp;" "&amp;D80&amp;" "&amp;E80&amp;" "&amp;F80&amp;" "&amp;G80&amp;" "&amp;H80)</f>
        <v/>
      </c>
      <c r="U80" s="216">
        <f>IF(AND('TRA CỨU TỔNG HỢP'!$B$3&lt;&gt;"",ISNUMBER(SEARCH('TRA CỨU TỔNG HỢP'!$B$3,T80))),MAX($U$3:U79)+1,"")</f>
        <v/>
      </c>
    </row>
    <row r="81" ht="15" customHeight="1" s="217">
      <c r="A81" s="354" t="inlineStr">
        <is>
          <t>CUMMINS</t>
        </is>
      </c>
      <c r="B81" s="355" t="inlineStr">
        <is>
          <t>HH080923</t>
        </is>
      </c>
      <c r="C81" s="354" t="inlineStr">
        <is>
          <t>Garrett</t>
        </is>
      </c>
      <c r="D81" s="354" t="inlineStr">
        <is>
          <t>TBP417</t>
        </is>
      </c>
      <c r="E81" s="354" t="inlineStr">
        <is>
          <t>S6D108 WA400</t>
        </is>
      </c>
      <c r="F81" s="356" t="inlineStr">
        <is>
          <t>6222-81-8310</t>
        </is>
      </c>
      <c r="G81" s="354" t="n"/>
      <c r="H81" s="357" t="inlineStr">
        <is>
          <t>TBS</t>
        </is>
      </c>
      <c r="I81" s="358" t="n"/>
      <c r="J81" s="358" t="n"/>
      <c r="K81" s="358" t="n"/>
      <c r="L81" s="358">
        <f>IF(K81="","",K81*1.1)</f>
        <v/>
      </c>
      <c r="M81" s="359" t="n"/>
      <c r="N81" s="359" t="n"/>
      <c r="O81" s="359" t="n"/>
      <c r="P81" s="359" t="n"/>
      <c r="Q81" s="359" t="n"/>
      <c r="R81" s="359" t="n"/>
      <c r="T81" s="216">
        <f>UPPER(A81&amp;" "&amp;B81&amp;" "&amp;D81&amp;" "&amp;E81&amp;" "&amp;F81&amp;" "&amp;G81&amp;" "&amp;H81)</f>
        <v/>
      </c>
      <c r="U81" s="216">
        <f>IF(AND('TRA CỨU TỔNG HỢP'!$B$3&lt;&gt;"",ISNUMBER(SEARCH('TRA CỨU TỔNG HỢP'!$B$3,T81))),MAX($U$3:U80)+1,"")</f>
        <v/>
      </c>
    </row>
    <row r="82" ht="15" customHeight="1" s="217">
      <c r="A82" s="340" t="inlineStr">
        <is>
          <t>CUMMINS</t>
        </is>
      </c>
      <c r="B82" s="341" t="inlineStr">
        <is>
          <t>HH079359</t>
        </is>
      </c>
      <c r="C82" s="340" t="inlineStr">
        <is>
          <t>Holset</t>
        </is>
      </c>
      <c r="D82" s="340" t="inlineStr">
        <is>
          <t>HX80</t>
        </is>
      </c>
      <c r="E82" s="340" t="inlineStr">
        <is>
          <t>KTA19</t>
        </is>
      </c>
      <c r="F82" s="342" t="inlineStr">
        <is>
          <t>3594117/3594118/3594134</t>
        </is>
      </c>
      <c r="G82" s="340" t="n"/>
      <c r="H82" s="343" t="inlineStr">
        <is>
          <t>SL</t>
        </is>
      </c>
      <c r="I82" s="344" t="n"/>
      <c r="J82" s="344" t="n"/>
      <c r="K82" s="344" t="n"/>
      <c r="L82" s="344">
        <f>IF(K82="","",K82*1.1)</f>
        <v/>
      </c>
      <c r="M82" s="345" t="n">
        <v>141</v>
      </c>
      <c r="N82" s="345" t="n">
        <v>91.59999999999999</v>
      </c>
      <c r="O82" s="345" t="inlineStr">
        <is>
          <t>8/8</t>
        </is>
      </c>
      <c r="P82" s="345" t="n">
        <v>129</v>
      </c>
      <c r="Q82" s="345" t="n">
        <v>95.84999999999999</v>
      </c>
      <c r="R82" s="345" t="n">
        <v>11</v>
      </c>
      <c r="T82" s="216">
        <f>UPPER(A82&amp;" "&amp;B82&amp;" "&amp;D82&amp;" "&amp;E82&amp;" "&amp;F82&amp;" "&amp;G82&amp;" "&amp;H82)</f>
        <v/>
      </c>
      <c r="U82" s="216">
        <f>IF(AND('TRA CỨU TỔNG HỢP'!$B$3&lt;&gt;"",ISNUMBER(SEARCH('TRA CỨU TỔNG HỢP'!$B$3,T82))),MAX($U$3:U81)+1,"")</f>
        <v/>
      </c>
    </row>
    <row r="83" ht="15" customHeight="1" s="217">
      <c r="A83" s="347" t="inlineStr">
        <is>
          <t>CUMMINS</t>
        </is>
      </c>
      <c r="B83" s="348" t="inlineStr">
        <is>
          <t>HH077028</t>
        </is>
      </c>
      <c r="C83" s="349" t="inlineStr">
        <is>
          <t>Holset</t>
        </is>
      </c>
      <c r="D83" s="349" t="inlineStr">
        <is>
          <t>HX80</t>
        </is>
      </c>
      <c r="E83" s="349" t="inlineStr">
        <is>
          <t>KTA19</t>
        </is>
      </c>
      <c r="F83" s="350" t="inlineStr">
        <is>
          <t>3594117/3594118/3594134</t>
        </is>
      </c>
      <c r="G83" s="349" t="n"/>
      <c r="H83" s="351" t="inlineStr">
        <is>
          <t>SL</t>
        </is>
      </c>
      <c r="I83" s="352" t="n"/>
      <c r="J83" s="352" t="n"/>
      <c r="K83" s="352" t="n"/>
      <c r="L83" s="352">
        <f>IF(K83="","",K83*1.1)</f>
        <v/>
      </c>
      <c r="M83" s="353" t="n">
        <v>141</v>
      </c>
      <c r="N83" s="353" t="n">
        <v>91.59999999999999</v>
      </c>
      <c r="O83" s="353" t="inlineStr">
        <is>
          <t>8/8</t>
        </is>
      </c>
      <c r="P83" s="353" t="n">
        <v>129</v>
      </c>
      <c r="Q83" s="353" t="n">
        <v>95.84999999999999</v>
      </c>
      <c r="R83" s="353" t="n">
        <v>11</v>
      </c>
      <c r="T83" s="216">
        <f>UPPER(A83&amp;" "&amp;B83&amp;" "&amp;D83&amp;" "&amp;E83&amp;" "&amp;F83&amp;" "&amp;G83&amp;" "&amp;H83)</f>
        <v/>
      </c>
      <c r="U83" s="216">
        <f>IF(AND('TRA CỨU TỔNG HỢP'!$B$3&lt;&gt;"",ISNUMBER(SEARCH('TRA CỨU TỔNG HỢP'!$B$3,T83))),MAX($U$3:U82)+1,"")</f>
        <v/>
      </c>
    </row>
    <row r="84" ht="15" customHeight="1" s="217">
      <c r="A84" s="347" t="inlineStr">
        <is>
          <t>CUMMINS</t>
        </is>
      </c>
      <c r="B84" s="348" t="inlineStr">
        <is>
          <t>HH081916</t>
        </is>
      </c>
      <c r="C84" s="349" t="inlineStr">
        <is>
          <t>Holset</t>
        </is>
      </c>
      <c r="D84" s="349" t="inlineStr">
        <is>
          <t>HX80</t>
        </is>
      </c>
      <c r="E84" s="349" t="inlineStr">
        <is>
          <t>KTA19</t>
        </is>
      </c>
      <c r="F84" s="350" t="inlineStr">
        <is>
          <t>3594117/3594118/3594134</t>
        </is>
      </c>
      <c r="G84" s="349" t="n"/>
      <c r="H84" s="351" t="inlineStr">
        <is>
          <t>SL</t>
        </is>
      </c>
      <c r="I84" s="352" t="n"/>
      <c r="J84" s="352" t="n"/>
      <c r="K84" s="352" t="n"/>
      <c r="L84" s="352">
        <f>IF(K84="","",K84*1.1)</f>
        <v/>
      </c>
      <c r="M84" s="353" t="n">
        <v>141</v>
      </c>
      <c r="N84" s="353" t="n">
        <v>91.59999999999999</v>
      </c>
      <c r="O84" s="353" t="inlineStr">
        <is>
          <t>8/8</t>
        </is>
      </c>
      <c r="P84" s="353" t="n">
        <v>129</v>
      </c>
      <c r="Q84" s="353" t="n">
        <v>95.84999999999999</v>
      </c>
      <c r="R84" s="353" t="n">
        <v>11</v>
      </c>
      <c r="T84" s="216">
        <f>UPPER(A84&amp;" "&amp;B84&amp;" "&amp;D84&amp;" "&amp;E84&amp;" "&amp;F84&amp;" "&amp;G84&amp;" "&amp;H84)</f>
        <v/>
      </c>
      <c r="U84" s="216">
        <f>IF(AND('TRA CỨU TỔNG HỢP'!$B$3&lt;&gt;"",ISNUMBER(SEARCH('TRA CỨU TỔNG HỢP'!$B$3,T84))),MAX($U$3:U83)+1,"")</f>
        <v/>
      </c>
    </row>
    <row r="85" ht="15" customHeight="1" s="217">
      <c r="A85" s="354" t="inlineStr">
        <is>
          <t>CUMMINS</t>
        </is>
      </c>
      <c r="B85" s="355" t="inlineStr">
        <is>
          <t>HH081739</t>
        </is>
      </c>
      <c r="C85" s="354" t="inlineStr">
        <is>
          <t>Holset</t>
        </is>
      </c>
      <c r="D85" s="354" t="inlineStr">
        <is>
          <t>HX25W</t>
        </is>
      </c>
      <c r="E85" s="354" t="inlineStr">
        <is>
          <t>ISF3.8</t>
        </is>
      </c>
      <c r="F85" s="356" t="n">
        <v>3598723</v>
      </c>
      <c r="G85" s="354" t="n"/>
      <c r="H85" s="357" t="inlineStr">
        <is>
          <t>TBS</t>
        </is>
      </c>
      <c r="I85" s="358" t="n"/>
      <c r="J85" s="358" t="n"/>
      <c r="K85" s="358" t="n"/>
      <c r="L85" s="358">
        <f>IF(K85="","",K85*1.1)</f>
        <v/>
      </c>
      <c r="M85" s="359" t="n">
        <v>56</v>
      </c>
      <c r="N85" s="359" t="n">
        <v>38.4</v>
      </c>
      <c r="O85" s="359" t="inlineStr">
        <is>
          <t>6/6</t>
        </is>
      </c>
      <c r="P85" s="359" t="n">
        <v>52</v>
      </c>
      <c r="Q85" s="359" t="n">
        <v>45.6</v>
      </c>
      <c r="R85" s="359" t="n">
        <v>12</v>
      </c>
      <c r="T85" s="216">
        <f>UPPER(A85&amp;" "&amp;B85&amp;" "&amp;D85&amp;" "&amp;E85&amp;" "&amp;F85&amp;" "&amp;G85&amp;" "&amp;H85)</f>
        <v/>
      </c>
      <c r="U85" s="216">
        <f>IF(AND('TRA CỨU TỔNG HỢP'!$B$3&lt;&gt;"",ISNUMBER(SEARCH('TRA CỨU TỔNG HỢP'!$B$3,T85))),MAX($U$3:U84)+1,"")</f>
        <v/>
      </c>
    </row>
    <row r="86" ht="15" customHeight="1" s="217">
      <c r="A86" s="367" t="inlineStr">
        <is>
          <t>CUMMINS</t>
        </is>
      </c>
      <c r="B86" s="368" t="n"/>
      <c r="C86" s="367" t="inlineStr">
        <is>
          <t>Holset</t>
        </is>
      </c>
      <c r="D86" s="367" t="inlineStr">
        <is>
          <t>HX25W</t>
        </is>
      </c>
      <c r="E86" s="367" t="n"/>
      <c r="F86" s="369" t="inlineStr">
        <is>
          <t>3596065/3596067</t>
        </is>
      </c>
      <c r="G86" s="367" t="n"/>
      <c r="H86" s="370" t="n"/>
      <c r="I86" s="371" t="n"/>
      <c r="J86" s="371" t="n"/>
      <c r="K86" s="371" t="n"/>
      <c r="L86" s="371">
        <f>IF(K86="","",K86*1.1)</f>
        <v/>
      </c>
      <c r="M86" s="372" t="n">
        <v>56</v>
      </c>
      <c r="N86" s="372" t="n">
        <v>38.4</v>
      </c>
      <c r="O86" s="372" t="inlineStr">
        <is>
          <t>6/6</t>
        </is>
      </c>
      <c r="P86" s="372" t="n">
        <v>52</v>
      </c>
      <c r="Q86" s="372" t="n">
        <v>45.6</v>
      </c>
      <c r="R86" s="372" t="n">
        <v>12</v>
      </c>
      <c r="T86" s="216">
        <f>UPPER(A86&amp;" "&amp;B86&amp;" "&amp;D86&amp;" "&amp;E86&amp;" "&amp;F86&amp;" "&amp;G86&amp;" "&amp;H86)</f>
        <v/>
      </c>
      <c r="U86" s="216">
        <f>IF(AND('TRA CỨU TỔNG HỢP'!$B$3&lt;&gt;"",ISNUMBER(SEARCH('TRA CỨU TỔNG HỢP'!$B$3,T86))),MAX($U$3:U85)+1,"")</f>
        <v/>
      </c>
    </row>
    <row r="87" ht="15" customHeight="1" s="217">
      <c r="A87" s="340" t="inlineStr">
        <is>
          <t>CUMMINS</t>
        </is>
      </c>
      <c r="B87" s="341" t="inlineStr">
        <is>
          <t>HH075140</t>
        </is>
      </c>
      <c r="C87" s="340" t="inlineStr">
        <is>
          <t>Holset</t>
        </is>
      </c>
      <c r="D87" s="340" t="inlineStr">
        <is>
          <t>BHT3B</t>
        </is>
      </c>
      <c r="E87" s="340" t="inlineStr">
        <is>
          <t>NT855/N14</t>
        </is>
      </c>
      <c r="F87" s="342" t="inlineStr">
        <is>
          <t>3529032
3803108</t>
        </is>
      </c>
      <c r="G87" s="340" t="n"/>
      <c r="H87" s="343" t="inlineStr">
        <is>
          <t>SL</t>
        </is>
      </c>
      <c r="I87" s="344" t="n"/>
      <c r="J87" s="344" t="n"/>
      <c r="K87" s="344" t="n"/>
      <c r="L87" s="344">
        <f>IF(K87="","",K87*1.1)</f>
        <v/>
      </c>
      <c r="M87" s="345" t="n">
        <v>109</v>
      </c>
      <c r="N87" s="345" t="n">
        <v>74.5</v>
      </c>
      <c r="O87" s="345" t="inlineStr">
        <is>
          <t>8/8反</t>
        </is>
      </c>
      <c r="P87" s="345" t="n">
        <v>97</v>
      </c>
      <c r="Q87" s="345" t="n">
        <v>86.36</v>
      </c>
      <c r="R87" s="345" t="inlineStr">
        <is>
          <t>12反</t>
        </is>
      </c>
      <c r="T87" s="346">
        <f>UPPER(A87&amp;" "&amp;B87&amp;" "&amp;D87&amp;" "&amp;E87&amp;" "&amp;F87&amp;" "&amp;G87&amp;" "&amp;H87)</f>
        <v/>
      </c>
      <c r="U87" s="216">
        <f>IF(AND('TRA CỨU TỔNG HỢP'!$B$3&lt;&gt;"",ISNUMBER(SEARCH('TRA CỨU TỔNG HỢP'!$B$3,T87))),MAX($U$3:U86)+1,"")</f>
        <v/>
      </c>
    </row>
    <row r="88" ht="15" customHeight="1" s="217">
      <c r="A88" s="347" t="inlineStr">
        <is>
          <t>CUMMINS</t>
        </is>
      </c>
      <c r="B88" s="348" t="inlineStr">
        <is>
          <t>HH082883</t>
        </is>
      </c>
      <c r="C88" s="349" t="inlineStr">
        <is>
          <t>Holset</t>
        </is>
      </c>
      <c r="D88" s="349" t="inlineStr">
        <is>
          <t>BHT3B</t>
        </is>
      </c>
      <c r="E88" s="349" t="inlineStr">
        <is>
          <t>NT855/N14</t>
        </is>
      </c>
      <c r="F88" s="350" t="inlineStr">
        <is>
          <t>3529032
3803108</t>
        </is>
      </c>
      <c r="G88" s="349" t="n"/>
      <c r="H88" s="351" t="inlineStr">
        <is>
          <t>SL</t>
        </is>
      </c>
      <c r="I88" s="352" t="n"/>
      <c r="J88" s="352" t="n"/>
      <c r="K88" s="352" t="n"/>
      <c r="L88" s="352">
        <f>IF(K88="","",K88*1.1)</f>
        <v/>
      </c>
      <c r="M88" s="353" t="n">
        <v>109</v>
      </c>
      <c r="N88" s="353" t="n">
        <v>74.5</v>
      </c>
      <c r="O88" s="353" t="inlineStr">
        <is>
          <t>8/8反</t>
        </is>
      </c>
      <c r="P88" s="353" t="n">
        <v>97</v>
      </c>
      <c r="Q88" s="353" t="n">
        <v>86.36</v>
      </c>
      <c r="R88" s="353" t="inlineStr">
        <is>
          <t>12反</t>
        </is>
      </c>
      <c r="T88" s="346">
        <f>UPPER(A88&amp;" "&amp;B88&amp;" "&amp;D88&amp;" "&amp;E88&amp;" "&amp;F88&amp;" "&amp;G88&amp;" "&amp;H88)</f>
        <v/>
      </c>
      <c r="U88" s="216">
        <f>IF(AND('TRA CỨU TỔNG HỢP'!$B$3&lt;&gt;"",ISNUMBER(SEARCH('TRA CỨU TỔNG HỢP'!$B$3,T88))),MAX($U$3:U87)+1,"")</f>
        <v/>
      </c>
    </row>
    <row r="89" ht="15" customHeight="1" s="217">
      <c r="A89" s="340" t="inlineStr">
        <is>
          <t>CUMMINS</t>
        </is>
      </c>
      <c r="B89" s="341" t="inlineStr">
        <is>
          <t>HH078579</t>
        </is>
      </c>
      <c r="C89" s="340" t="inlineStr">
        <is>
          <t>Holset</t>
        </is>
      </c>
      <c r="D89" s="340" t="inlineStr">
        <is>
          <t>HX40W</t>
        </is>
      </c>
      <c r="E89" s="340" t="inlineStr">
        <is>
          <t>DL08</t>
        </is>
      </c>
      <c r="F89" s="342" t="inlineStr">
        <is>
          <t>4033345
4039318</t>
        </is>
      </c>
      <c r="G89" s="340" t="inlineStr">
        <is>
          <t>có h/a sl</t>
        </is>
      </c>
      <c r="H89" s="343" t="inlineStr">
        <is>
          <t>SL</t>
        </is>
      </c>
      <c r="I89" s="344" t="n"/>
      <c r="J89" s="344" t="n"/>
      <c r="K89" s="344" t="n"/>
      <c r="L89" s="344">
        <f>IF(K89="","",K89*1.1)</f>
        <v/>
      </c>
      <c r="M89" s="345" t="n">
        <v>86</v>
      </c>
      <c r="N89" s="345" t="n">
        <v>56</v>
      </c>
      <c r="O89" s="345" t="inlineStr">
        <is>
          <t>7/7</t>
        </is>
      </c>
      <c r="P89" s="345" t="n">
        <v>76</v>
      </c>
      <c r="Q89" s="345" t="n">
        <v>64</v>
      </c>
      <c r="R89" s="345" t="n">
        <v>12</v>
      </c>
      <c r="T89" s="346">
        <f>UPPER(A89&amp;" "&amp;B89&amp;" "&amp;D89&amp;" "&amp;E89&amp;" "&amp;F89&amp;" "&amp;G89&amp;" "&amp;H89)</f>
        <v/>
      </c>
      <c r="U89" s="216">
        <f>IF(AND('TRA CỨU TỔNG HỢP'!$B$3&lt;&gt;"",ISNUMBER(SEARCH('TRA CỨU TỔNG HỢP'!$B$3,T89))),MAX($U$3:U88)+1,"")</f>
        <v/>
      </c>
    </row>
    <row r="90" ht="15" customHeight="1" s="217">
      <c r="A90" s="347" t="inlineStr">
        <is>
          <t>CUMMINS</t>
        </is>
      </c>
      <c r="B90" s="348" t="inlineStr">
        <is>
          <t>HH080740</t>
        </is>
      </c>
      <c r="C90" s="349" t="inlineStr">
        <is>
          <t>Holset</t>
        </is>
      </c>
      <c r="D90" s="349" t="inlineStr">
        <is>
          <t>HX40W</t>
        </is>
      </c>
      <c r="E90" s="349" t="inlineStr">
        <is>
          <t>DL08</t>
        </is>
      </c>
      <c r="F90" s="350" t="inlineStr">
        <is>
          <t>4033345
4039318</t>
        </is>
      </c>
      <c r="G90" s="349" t="inlineStr">
        <is>
          <t>có h/a sl</t>
        </is>
      </c>
      <c r="H90" s="351" t="inlineStr">
        <is>
          <t>SL</t>
        </is>
      </c>
      <c r="I90" s="352" t="n"/>
      <c r="J90" s="352" t="n"/>
      <c r="K90" s="352" t="n"/>
      <c r="L90" s="352">
        <f>IF(K90="","",K90*1.1)</f>
        <v/>
      </c>
      <c r="M90" s="353" t="n">
        <v>86</v>
      </c>
      <c r="N90" s="353" t="n">
        <v>56</v>
      </c>
      <c r="O90" s="353" t="inlineStr">
        <is>
          <t>7/7</t>
        </is>
      </c>
      <c r="P90" s="353" t="n">
        <v>76</v>
      </c>
      <c r="Q90" s="353" t="n">
        <v>64</v>
      </c>
      <c r="R90" s="353" t="n">
        <v>12</v>
      </c>
      <c r="T90" s="346">
        <f>UPPER(A90&amp;" "&amp;B90&amp;" "&amp;D90&amp;" "&amp;E90&amp;" "&amp;F90&amp;" "&amp;G90&amp;" "&amp;H90)</f>
        <v/>
      </c>
      <c r="U90" s="216">
        <f>IF(AND('TRA CỨU TỔNG HỢP'!$B$3&lt;&gt;"",ISNUMBER(SEARCH('TRA CỨU TỔNG HỢP'!$B$3,T90))),MAX($U$3:U89)+1,"")</f>
        <v/>
      </c>
    </row>
    <row r="91" ht="15" customHeight="1" s="217">
      <c r="A91" s="340" t="inlineStr">
        <is>
          <t>CUMMINS</t>
        </is>
      </c>
      <c r="B91" s="341" t="inlineStr">
        <is>
          <t>HH077598</t>
        </is>
      </c>
      <c r="C91" s="340" t="inlineStr">
        <is>
          <t>BorgWarner</t>
        </is>
      </c>
      <c r="D91" s="340" t="inlineStr">
        <is>
          <t>S300G/HE400G</t>
        </is>
      </c>
      <c r="E91" s="340" t="n"/>
      <c r="F91" s="342" t="inlineStr">
        <is>
          <t>3787729
13809700027
3785076
45104111824590
45104111810690
8C04-200-M05</t>
        </is>
      </c>
      <c r="G91" s="340" t="n"/>
      <c r="H91" s="343" t="inlineStr">
        <is>
          <t>JRONE</t>
        </is>
      </c>
      <c r="I91" s="344" t="n"/>
      <c r="J91" s="344" t="n"/>
      <c r="K91" s="344" t="n"/>
      <c r="L91" s="344">
        <f>IF(K91="","",K91*1.1)</f>
        <v/>
      </c>
      <c r="M91" s="345" t="n">
        <v>93</v>
      </c>
      <c r="N91" s="345" t="n">
        <v>64</v>
      </c>
      <c r="O91" s="345" t="inlineStr">
        <is>
          <t>7/7</t>
        </is>
      </c>
      <c r="P91" s="345" t="n">
        <v>75.8</v>
      </c>
      <c r="Q91" s="345" t="n">
        <v>67</v>
      </c>
      <c r="R91" s="345" t="n">
        <v>12</v>
      </c>
      <c r="T91" s="346">
        <f>UPPER(A91&amp;" "&amp;B91&amp;" "&amp;D91&amp;" "&amp;E91&amp;" "&amp;F91&amp;" "&amp;G91&amp;" "&amp;H91)</f>
        <v/>
      </c>
      <c r="U91" s="216">
        <f>IF(AND('TRA CỨU TỔNG HỢP'!$B$3&lt;&gt;"",ISNUMBER(SEARCH('TRA CỨU TỔNG HỢP'!$B$3,T91))),MAX($U$3:U90)+1,"")</f>
        <v/>
      </c>
    </row>
    <row r="92" ht="15" customHeight="1" s="217">
      <c r="A92" s="347" t="inlineStr">
        <is>
          <t>CUMMINS</t>
        </is>
      </c>
      <c r="B92" s="348" t="inlineStr">
        <is>
          <t>HH077595</t>
        </is>
      </c>
      <c r="C92" s="349" t="inlineStr">
        <is>
          <t>BorgWarner</t>
        </is>
      </c>
      <c r="D92" s="349" t="inlineStr">
        <is>
          <t>S300G/HE400G</t>
        </is>
      </c>
      <c r="E92" s="349" t="n"/>
      <c r="F92" s="350" t="inlineStr">
        <is>
          <t>3787729
13809700027
3785076
45104111824590
45104111810690
8C04-200-M05</t>
        </is>
      </c>
      <c r="G92" s="349" t="n"/>
      <c r="H92" s="351" t="inlineStr">
        <is>
          <t>JRONE</t>
        </is>
      </c>
      <c r="I92" s="352" t="n"/>
      <c r="J92" s="352" t="n"/>
      <c r="K92" s="352" t="n"/>
      <c r="L92" s="352">
        <f>IF(K92="","",K92*1.1)</f>
        <v/>
      </c>
      <c r="M92" s="353" t="n">
        <v>93</v>
      </c>
      <c r="N92" s="353" t="n">
        <v>64</v>
      </c>
      <c r="O92" s="353" t="inlineStr">
        <is>
          <t>7/7</t>
        </is>
      </c>
      <c r="P92" s="353" t="n">
        <v>75.8</v>
      </c>
      <c r="Q92" s="353" t="n">
        <v>67</v>
      </c>
      <c r="R92" s="353" t="n">
        <v>12</v>
      </c>
      <c r="T92" s="346">
        <f>UPPER(A92&amp;" "&amp;B92&amp;" "&amp;D92&amp;" "&amp;E92&amp;" "&amp;F92&amp;" "&amp;G92&amp;" "&amp;H92)</f>
        <v/>
      </c>
      <c r="U92" s="216">
        <f>IF(AND('TRA CỨU TỔNG HỢP'!$B$3&lt;&gt;"",ISNUMBER(SEARCH('TRA CỨU TỔNG HỢP'!$B$3,T92))),MAX($U$3:U91)+1,"")</f>
        <v/>
      </c>
    </row>
    <row r="93" ht="15" customHeight="1" s="217">
      <c r="A93" s="354" t="inlineStr">
        <is>
          <t>CUMMINS</t>
        </is>
      </c>
      <c r="B93" s="355" t="inlineStr">
        <is>
          <t>HH080644</t>
        </is>
      </c>
      <c r="C93" s="354" t="inlineStr">
        <is>
          <t>Holset</t>
        </is>
      </c>
      <c r="D93" s="354" t="inlineStr">
        <is>
          <t>HX50W</t>
        </is>
      </c>
      <c r="E93" s="354" t="inlineStr">
        <is>
          <t>HE400WG</t>
        </is>
      </c>
      <c r="F93" s="356" t="inlineStr">
        <is>
          <t>3790063
612600118895</t>
        </is>
      </c>
      <c r="G93" s="354" t="n"/>
      <c r="H93" s="357" t="inlineStr">
        <is>
          <t>VIDARIR</t>
        </is>
      </c>
      <c r="I93" s="358" t="n"/>
      <c r="J93" s="358" t="n"/>
      <c r="K93" s="358" t="n"/>
      <c r="L93" s="358">
        <f>IF(K93="","",K93*1.1)</f>
        <v/>
      </c>
      <c r="M93" s="359" t="n"/>
      <c r="N93" s="359" t="n"/>
      <c r="O93" s="359" t="n"/>
      <c r="P93" s="359" t="n"/>
      <c r="Q93" s="359" t="n"/>
      <c r="R93" s="359" t="n"/>
      <c r="T93" s="346">
        <f>UPPER(A93&amp;" "&amp;B93&amp;" "&amp;D93&amp;" "&amp;E93&amp;" "&amp;F93&amp;" "&amp;G93&amp;" "&amp;H93)</f>
        <v/>
      </c>
      <c r="U93" s="216">
        <f>IF(AND('TRA CỨU TỔNG HỢP'!$B$3&lt;&gt;"",ISNUMBER(SEARCH('TRA CỨU TỔNG HỢP'!$B$3,T93))),MAX($U$3:U92)+1,"")</f>
        <v/>
      </c>
    </row>
    <row r="94" ht="15" customHeight="1" s="217">
      <c r="A94" s="354" t="inlineStr">
        <is>
          <t>CUMMINS</t>
        </is>
      </c>
      <c r="B94" s="355" t="inlineStr">
        <is>
          <t>HH081914</t>
        </is>
      </c>
      <c r="C94" s="354" t="inlineStr">
        <is>
          <t>Holset</t>
        </is>
      </c>
      <c r="D94" s="354" t="inlineStr">
        <is>
          <t>HX40W</t>
        </is>
      </c>
      <c r="E94" s="354" t="inlineStr">
        <is>
          <t>DE08-Tis</t>
        </is>
      </c>
      <c r="F94" s="356" t="inlineStr">
        <is>
          <t>4036244
65.09100-7095</t>
        </is>
      </c>
      <c r="G94" s="354" t="n"/>
      <c r="H94" s="357" t="inlineStr">
        <is>
          <t>VIDARIR</t>
        </is>
      </c>
      <c r="I94" s="358" t="n"/>
      <c r="J94" s="358" t="n"/>
      <c r="K94" s="358" t="n"/>
      <c r="L94" s="358">
        <f>IF(K94="","",K94*1.1)</f>
        <v/>
      </c>
      <c r="M94" s="359" t="n"/>
      <c r="N94" s="359" t="n"/>
      <c r="O94" s="359" t="n"/>
      <c r="P94" s="359" t="n"/>
      <c r="Q94" s="359" t="n"/>
      <c r="R94" s="359" t="n"/>
      <c r="T94" s="346">
        <f>UPPER(A94&amp;" "&amp;B94&amp;" "&amp;D94&amp;" "&amp;E94&amp;" "&amp;F94&amp;" "&amp;G94&amp;" "&amp;H94)</f>
        <v/>
      </c>
      <c r="U94" s="216">
        <f>IF(AND('TRA CỨU TỔNG HỢP'!$B$3&lt;&gt;"",ISNUMBER(SEARCH('TRA CỨU TỔNG HỢP'!$B$3,T94))),MAX($U$3:U93)+1,"")</f>
        <v/>
      </c>
    </row>
    <row r="95" ht="15" customHeight="1" s="217">
      <c r="A95" s="340" t="inlineStr">
        <is>
          <t>CUMMINS</t>
        </is>
      </c>
      <c r="B95" s="341" t="inlineStr">
        <is>
          <t>HH082792</t>
        </is>
      </c>
      <c r="C95" s="340" t="inlineStr">
        <is>
          <t>Holset</t>
        </is>
      </c>
      <c r="D95" s="340" t="inlineStr">
        <is>
          <t>HE551V/ CUMMINS ISX</t>
        </is>
      </c>
      <c r="E95" s="340" t="n"/>
      <c r="F95" s="342" t="n">
        <v>4036666</v>
      </c>
      <c r="G95" s="340" t="n"/>
      <c r="H95" s="343" t="inlineStr">
        <is>
          <t>SL</t>
        </is>
      </c>
      <c r="I95" s="344" t="n"/>
      <c r="J95" s="344" t="n"/>
      <c r="K95" s="344" t="n"/>
      <c r="L95" s="344">
        <f>IF(K95="","",K95*1.1)</f>
        <v/>
      </c>
      <c r="M95" s="345" t="n">
        <v>108.8</v>
      </c>
      <c r="N95" s="345" t="n">
        <v>71.8</v>
      </c>
      <c r="O95" s="345" t="inlineStr">
        <is>
          <t>8/8</t>
        </is>
      </c>
      <c r="P95" s="345" t="n">
        <v>85.8</v>
      </c>
      <c r="Q95" s="345" t="n">
        <v>75</v>
      </c>
      <c r="R95" s="345" t="n">
        <v>12</v>
      </c>
      <c r="T95" s="216">
        <f>UPPER(A95&amp;" "&amp;B95&amp;" "&amp;D95&amp;" "&amp;E95&amp;" "&amp;F95&amp;" "&amp;G95&amp;" "&amp;H95)</f>
        <v/>
      </c>
      <c r="U95" s="216">
        <f>IF(AND('TRA CỨU TỔNG HỢP'!$B$3&lt;&gt;"",ISNUMBER(SEARCH('TRA CỨU TỔNG HỢP'!$B$3,T95))),MAX($U$3:U94)+1,"")</f>
        <v/>
      </c>
    </row>
    <row r="96" ht="15" customHeight="1" s="217">
      <c r="A96" s="347" t="inlineStr">
        <is>
          <t>CUMMINS</t>
        </is>
      </c>
      <c r="B96" s="348" t="inlineStr">
        <is>
          <t>HH082366</t>
        </is>
      </c>
      <c r="C96" s="349" t="inlineStr">
        <is>
          <t>Holset</t>
        </is>
      </c>
      <c r="D96" s="349" t="inlineStr">
        <is>
          <t>HE551V/ CUMMINS ISX</t>
        </is>
      </c>
      <c r="E96" s="349" t="n"/>
      <c r="F96" s="350" t="n">
        <v>4036666</v>
      </c>
      <c r="G96" s="349" t="n"/>
      <c r="H96" s="351" t="inlineStr">
        <is>
          <t>SL</t>
        </is>
      </c>
      <c r="I96" s="352" t="n"/>
      <c r="J96" s="352" t="n"/>
      <c r="K96" s="352" t="n"/>
      <c r="L96" s="352">
        <f>IF(K96="","",K96*1.1)</f>
        <v/>
      </c>
      <c r="M96" s="353" t="n">
        <v>108.8</v>
      </c>
      <c r="N96" s="353" t="n">
        <v>71.8</v>
      </c>
      <c r="O96" s="353" t="inlineStr">
        <is>
          <t>8/8</t>
        </is>
      </c>
      <c r="P96" s="353" t="n">
        <v>85.8</v>
      </c>
      <c r="Q96" s="353" t="n">
        <v>75</v>
      </c>
      <c r="R96" s="353" t="n">
        <v>12</v>
      </c>
      <c r="T96" s="216">
        <f>UPPER(A96&amp;" "&amp;B96&amp;" "&amp;D96&amp;" "&amp;E96&amp;" "&amp;F96&amp;" "&amp;G96&amp;" "&amp;H96)</f>
        <v/>
      </c>
      <c r="U96" s="216">
        <f>IF(AND('TRA CỨU TỔNG HỢP'!$B$3&lt;&gt;"",ISNUMBER(SEARCH('TRA CỨU TỔNG HỢP'!$B$3,T96))),MAX($U$3:U95)+1,"")</f>
        <v/>
      </c>
    </row>
    <row r="97" ht="15" customHeight="1" s="217">
      <c r="A97" s="354" t="inlineStr">
        <is>
          <t>CUMMINS</t>
        </is>
      </c>
      <c r="B97" s="355" t="inlineStr">
        <is>
          <t>HH080918</t>
        </is>
      </c>
      <c r="C97" s="354" t="inlineStr">
        <is>
          <t>Holset</t>
        </is>
      </c>
      <c r="D97" s="354" t="inlineStr">
        <is>
          <t>HX40/ H1E</t>
        </is>
      </c>
      <c r="E97" s="354" t="n"/>
      <c r="F97" s="356" t="n">
        <v>4029153</v>
      </c>
      <c r="G97" s="354" t="n"/>
      <c r="H97" s="357" t="inlineStr">
        <is>
          <t>TBS</t>
        </is>
      </c>
      <c r="I97" s="358" t="n"/>
      <c r="J97" s="358" t="n"/>
      <c r="K97" s="358" t="n"/>
      <c r="L97" s="358">
        <f>IF(K97="","",K97*1.1)</f>
        <v/>
      </c>
      <c r="M97" s="359" t="n"/>
      <c r="N97" s="359" t="n"/>
      <c r="O97" s="359" t="n"/>
      <c r="P97" s="359" t="n"/>
      <c r="Q97" s="359" t="n"/>
      <c r="R97" s="359" t="n"/>
      <c r="T97" s="216">
        <f>UPPER(A97&amp;" "&amp;B97&amp;" "&amp;D97&amp;" "&amp;E97&amp;" "&amp;F97&amp;" "&amp;G97&amp;" "&amp;H97)</f>
        <v/>
      </c>
      <c r="U97" s="216">
        <f>IF(AND('TRA CỨU TỔNG HỢP'!$B$3&lt;&gt;"",ISNUMBER(SEARCH('TRA CỨU TỔNG HỢP'!$B$3,T97))),MAX($U$3:U96)+1,"")</f>
        <v/>
      </c>
    </row>
    <row r="98" ht="15" customHeight="1" s="217">
      <c r="A98" s="354" t="inlineStr">
        <is>
          <t>CUMMINS</t>
        </is>
      </c>
      <c r="B98" s="355" t="inlineStr">
        <is>
          <t>HH078578</t>
        </is>
      </c>
      <c r="C98" s="354" t="inlineStr">
        <is>
          <t>Holset</t>
        </is>
      </c>
      <c r="D98" s="354" t="inlineStr">
        <is>
          <t>HX40W</t>
        </is>
      </c>
      <c r="E98" s="354" t="inlineStr">
        <is>
          <t>DL08</t>
        </is>
      </c>
      <c r="F98" s="356" t="n">
        <v>4039319</v>
      </c>
      <c r="G98" s="354" t="inlineStr">
        <is>
          <t>có h/a sl</t>
        </is>
      </c>
      <c r="H98" s="357" t="inlineStr">
        <is>
          <t>SL</t>
        </is>
      </c>
      <c r="I98" s="358" t="n"/>
      <c r="J98" s="358" t="n"/>
      <c r="K98" s="358" t="n"/>
      <c r="L98" s="358">
        <f>IF(K98="","",K98*1.1)</f>
        <v/>
      </c>
      <c r="M98" s="359" t="n">
        <v>86</v>
      </c>
      <c r="N98" s="359" t="n">
        <v>56</v>
      </c>
      <c r="O98" s="359" t="inlineStr">
        <is>
          <t>7/7</t>
        </is>
      </c>
      <c r="P98" s="359" t="n">
        <v>76</v>
      </c>
      <c r="Q98" s="359" t="n">
        <v>64</v>
      </c>
      <c r="R98" s="359" t="n">
        <v>12</v>
      </c>
      <c r="T98" s="216">
        <f>UPPER(A98&amp;" "&amp;B98&amp;" "&amp;D98&amp;" "&amp;E98&amp;" "&amp;F98&amp;" "&amp;G98&amp;" "&amp;H98)</f>
        <v/>
      </c>
      <c r="U98" s="216">
        <f>IF(AND('TRA CỨU TỔNG HỢP'!$B$3&lt;&gt;"",ISNUMBER(SEARCH('TRA CỨU TỔNG HỢP'!$B$3,T98))),MAX($U$3:U97)+1,"")</f>
        <v/>
      </c>
    </row>
    <row r="99" ht="15" customHeight="1" s="217">
      <c r="A99" s="340" t="inlineStr">
        <is>
          <t>CUMMINS</t>
        </is>
      </c>
      <c r="B99" s="341" t="inlineStr">
        <is>
          <t>HH077027</t>
        </is>
      </c>
      <c r="C99" s="340" t="inlineStr">
        <is>
          <t>Holset</t>
        </is>
      </c>
      <c r="D99" s="340" t="inlineStr">
        <is>
          <t>HX55W</t>
        </is>
      </c>
      <c r="E99" s="340" t="inlineStr">
        <is>
          <t>ISM11</t>
        </is>
      </c>
      <c r="F99" s="342" t="n">
        <v>4024822</v>
      </c>
      <c r="G99" s="340" t="n"/>
      <c r="H99" s="343" t="inlineStr">
        <is>
          <t>SL</t>
        </is>
      </c>
      <c r="I99" s="344" t="n"/>
      <c r="J99" s="344" t="n"/>
      <c r="K99" s="344" t="n"/>
      <c r="L99" s="344">
        <f>IF(K99="","",K99*1.1)</f>
        <v/>
      </c>
      <c r="M99" s="345" t="n">
        <v>99</v>
      </c>
      <c r="N99" s="345" t="n">
        <v>65</v>
      </c>
      <c r="O99" s="345" t="inlineStr">
        <is>
          <t>7/7</t>
        </is>
      </c>
      <c r="P99" s="345" t="n">
        <v>86</v>
      </c>
      <c r="Q99" s="345" t="n">
        <v>77</v>
      </c>
      <c r="R99" s="345" t="n">
        <v>12</v>
      </c>
      <c r="T99" s="216">
        <f>UPPER(A99&amp;" "&amp;B99&amp;" "&amp;D99&amp;" "&amp;E99&amp;" "&amp;F99&amp;" "&amp;G99&amp;" "&amp;H99)</f>
        <v/>
      </c>
      <c r="U99" s="216">
        <f>IF(AND('TRA CỨU TỔNG HỢP'!$B$3&lt;&gt;"",ISNUMBER(SEARCH('TRA CỨU TỔNG HỢP'!$B$3,T99))),MAX($U$3:U98)+1,"")</f>
        <v/>
      </c>
    </row>
    <row r="100" ht="15" customHeight="1" s="217">
      <c r="A100" s="347" t="inlineStr">
        <is>
          <t>CUMMINS</t>
        </is>
      </c>
      <c r="B100" s="348" t="inlineStr">
        <is>
          <t>HH080330</t>
        </is>
      </c>
      <c r="C100" s="349" t="inlineStr">
        <is>
          <t>Holset</t>
        </is>
      </c>
      <c r="D100" s="349" t="inlineStr">
        <is>
          <t>HX55W</t>
        </is>
      </c>
      <c r="E100" s="349" t="inlineStr">
        <is>
          <t>ISM11</t>
        </is>
      </c>
      <c r="F100" s="350" t="n">
        <v>4024822</v>
      </c>
      <c r="G100" s="349" t="n"/>
      <c r="H100" s="351" t="inlineStr">
        <is>
          <t>SL</t>
        </is>
      </c>
      <c r="I100" s="352" t="n"/>
      <c r="J100" s="352" t="n"/>
      <c r="K100" s="352" t="n"/>
      <c r="L100" s="352">
        <f>IF(K100="","",K100*1.1)</f>
        <v/>
      </c>
      <c r="M100" s="353" t="n">
        <v>99</v>
      </c>
      <c r="N100" s="353" t="n">
        <v>65</v>
      </c>
      <c r="O100" s="353" t="inlineStr">
        <is>
          <t>7/7</t>
        </is>
      </c>
      <c r="P100" s="353" t="n">
        <v>86</v>
      </c>
      <c r="Q100" s="353" t="n">
        <v>77</v>
      </c>
      <c r="R100" s="353" t="n">
        <v>12</v>
      </c>
      <c r="T100" s="216">
        <f>UPPER(A100&amp;" "&amp;B100&amp;" "&amp;D100&amp;" "&amp;E100&amp;" "&amp;F100&amp;" "&amp;G100&amp;" "&amp;H100)</f>
        <v/>
      </c>
      <c r="U100" s="216">
        <f>IF(AND('TRA CỨU TỔNG HỢP'!$B$3&lt;&gt;"",ISNUMBER(SEARCH('TRA CỨU TỔNG HỢP'!$B$3,T100))),MAX($U$3:U99)+1,"")</f>
        <v/>
      </c>
    </row>
    <row r="101" ht="15" customHeight="1" s="217">
      <c r="A101" s="354" t="inlineStr">
        <is>
          <t>CUMMINS</t>
        </is>
      </c>
      <c r="B101" s="355" t="inlineStr">
        <is>
          <t>HH080317</t>
        </is>
      </c>
      <c r="C101" s="354" t="inlineStr">
        <is>
          <t>Garrett</t>
        </is>
      </c>
      <c r="D101" s="354" t="inlineStr">
        <is>
          <t>TBP4</t>
        </is>
      </c>
      <c r="E101" s="354" t="inlineStr">
        <is>
          <t>6BTA</t>
        </is>
      </c>
      <c r="F101" s="356" t="n">
        <v>3971920</v>
      </c>
      <c r="G101" s="354" t="n"/>
      <c r="H101" s="357" t="inlineStr">
        <is>
          <t>SL</t>
        </is>
      </c>
      <c r="I101" s="358" t="n"/>
      <c r="J101" s="358" t="n"/>
      <c r="K101" s="358" t="n"/>
      <c r="L101" s="358">
        <f>IF(K101="","",K101*1.1)</f>
        <v/>
      </c>
      <c r="M101" s="359" t="n">
        <v>78</v>
      </c>
      <c r="N101" s="359" t="n">
        <v>54</v>
      </c>
      <c r="O101" s="359" t="inlineStr">
        <is>
          <t>7/7</t>
        </is>
      </c>
      <c r="P101" s="359" t="n">
        <v>70</v>
      </c>
      <c r="Q101" s="359" t="n">
        <v>60</v>
      </c>
      <c r="R101" s="359" t="n">
        <v>12</v>
      </c>
      <c r="T101" s="216">
        <f>UPPER(A101&amp;" "&amp;B101&amp;" "&amp;D101&amp;" "&amp;E101&amp;" "&amp;F101&amp;" "&amp;G101&amp;" "&amp;H101)</f>
        <v/>
      </c>
      <c r="U101" s="216">
        <f>IF(AND('TRA CỨU TỔNG HỢP'!$B$3&lt;&gt;"",ISNUMBER(SEARCH('TRA CỨU TỔNG HỢP'!$B$3,T101))),MAX($U$3:U100)+1,"")</f>
        <v/>
      </c>
    </row>
    <row r="102" ht="15" customHeight="1" s="217">
      <c r="A102" s="354" t="inlineStr">
        <is>
          <t>CUMMINS</t>
        </is>
      </c>
      <c r="B102" s="355" t="inlineStr">
        <is>
          <t>HH081915</t>
        </is>
      </c>
      <c r="C102" s="354" t="inlineStr">
        <is>
          <t>Holset</t>
        </is>
      </c>
      <c r="D102" s="354" t="inlineStr">
        <is>
          <t>HX50 - HX40W</t>
        </is>
      </c>
      <c r="E102" s="354" t="inlineStr">
        <is>
          <t>WP10</t>
        </is>
      </c>
      <c r="F102" s="356" t="inlineStr">
        <is>
          <t>2839663
612601110966</t>
        </is>
      </c>
      <c r="G102" s="354" t="n"/>
      <c r="H102" s="357" t="inlineStr">
        <is>
          <t>VIDARIR</t>
        </is>
      </c>
      <c r="I102" s="358" t="n"/>
      <c r="J102" s="358" t="n"/>
      <c r="K102" s="358" t="n"/>
      <c r="L102" s="358">
        <f>IF(K102="","",K102*1.1)</f>
        <v/>
      </c>
      <c r="M102" s="359" t="n"/>
      <c r="N102" s="359" t="n"/>
      <c r="O102" s="359" t="n"/>
      <c r="P102" s="359" t="n"/>
      <c r="Q102" s="359" t="n"/>
      <c r="R102" s="359" t="n"/>
      <c r="T102" s="346">
        <f>UPPER(A102&amp;" "&amp;B102&amp;" "&amp;D102&amp;" "&amp;E102&amp;" "&amp;F102&amp;" "&amp;G102&amp;" "&amp;H102)</f>
        <v/>
      </c>
      <c r="U102" s="216">
        <f>IF(AND('TRA CỨU TỔNG HỢP'!$B$3&lt;&gt;"",ISNUMBER(SEARCH('TRA CỨU TỔNG HỢP'!$B$3,T102))),MAX($U$3:U101)+1,"")</f>
        <v/>
      </c>
    </row>
    <row r="103" ht="15" customHeight="1" s="217">
      <c r="A103" s="340" t="inlineStr">
        <is>
          <t>CUMMINS</t>
        </is>
      </c>
      <c r="B103" s="341" t="inlineStr">
        <is>
          <t>HH080312</t>
        </is>
      </c>
      <c r="C103" s="340" t="inlineStr">
        <is>
          <t>Holset</t>
        </is>
      </c>
      <c r="D103" s="340" t="inlineStr">
        <is>
          <t>HX50W</t>
        </is>
      </c>
      <c r="E103" s="340" t="inlineStr">
        <is>
          <t>GE12TIS /DE12</t>
        </is>
      </c>
      <c r="F103" s="342" t="inlineStr">
        <is>
          <t>4040662
65.09100-7070A
69091007070A</t>
        </is>
      </c>
      <c r="G103" s="340" t="n"/>
      <c r="H103" s="343" t="inlineStr">
        <is>
          <t>SL</t>
        </is>
      </c>
      <c r="I103" s="344" t="n"/>
      <c r="J103" s="344" t="n"/>
      <c r="K103" s="344" t="n"/>
      <c r="L103" s="344">
        <f>IF(K103="","",K103*1.1)</f>
        <v/>
      </c>
      <c r="M103" s="345" t="n">
        <v>94</v>
      </c>
      <c r="N103" s="345" t="n">
        <v>61.6</v>
      </c>
      <c r="O103" s="345" t="inlineStr">
        <is>
          <t>8/8</t>
        </is>
      </c>
      <c r="P103" s="345" t="n">
        <v>85.2</v>
      </c>
      <c r="Q103" s="345" t="n">
        <v>72</v>
      </c>
      <c r="R103" s="345" t="n">
        <v>12</v>
      </c>
      <c r="T103" s="346">
        <f>UPPER(A103&amp;" "&amp;B103&amp;" "&amp;D103&amp;" "&amp;E103&amp;" "&amp;F103&amp;" "&amp;G103&amp;" "&amp;H103)</f>
        <v/>
      </c>
      <c r="U103" s="216">
        <f>IF(AND('TRA CỨU TỔNG HỢP'!$B$3&lt;&gt;"",ISNUMBER(SEARCH('TRA CỨU TỔNG HỢP'!$B$3,T103))),MAX($U$3:U102)+1,"")</f>
        <v/>
      </c>
    </row>
    <row r="104" ht="15" customHeight="1" s="217">
      <c r="A104" s="347" t="inlineStr">
        <is>
          <t>CUMMINS</t>
        </is>
      </c>
      <c r="B104" s="348" t="inlineStr">
        <is>
          <t>HH080742</t>
        </is>
      </c>
      <c r="C104" s="349" t="inlineStr">
        <is>
          <t>Holset</t>
        </is>
      </c>
      <c r="D104" s="349" t="inlineStr">
        <is>
          <t>HX50W</t>
        </is>
      </c>
      <c r="E104" s="349" t="inlineStr">
        <is>
          <t>GE12TIS /DE12</t>
        </is>
      </c>
      <c r="F104" s="350" t="inlineStr">
        <is>
          <t>4040662
65.09100-7070A
69091007070A</t>
        </is>
      </c>
      <c r="G104" s="349" t="n"/>
      <c r="H104" s="351" t="inlineStr">
        <is>
          <t>SL</t>
        </is>
      </c>
      <c r="I104" s="352" t="n"/>
      <c r="J104" s="352" t="n"/>
      <c r="K104" s="352" t="n"/>
      <c r="L104" s="352">
        <f>IF(K104="","",K104*1.1)</f>
        <v/>
      </c>
      <c r="M104" s="353" t="n">
        <v>94</v>
      </c>
      <c r="N104" s="353" t="n">
        <v>61.6</v>
      </c>
      <c r="O104" s="353" t="inlineStr">
        <is>
          <t>8/8</t>
        </is>
      </c>
      <c r="P104" s="353" t="n">
        <v>85.2</v>
      </c>
      <c r="Q104" s="353" t="n">
        <v>72</v>
      </c>
      <c r="R104" s="353" t="n">
        <v>12</v>
      </c>
      <c r="T104" s="346">
        <f>UPPER(A104&amp;" "&amp;B104&amp;" "&amp;D104&amp;" "&amp;E104&amp;" "&amp;F104&amp;" "&amp;G104&amp;" "&amp;H104)</f>
        <v/>
      </c>
      <c r="U104" s="216">
        <f>IF(AND('TRA CỨU TỔNG HỢP'!$B$3&lt;&gt;"",ISNUMBER(SEARCH('TRA CỨU TỔNG HỢP'!$B$3,T104))),MAX($U$3:U103)+1,"")</f>
        <v/>
      </c>
    </row>
    <row r="105" ht="15" customHeight="1" s="217">
      <c r="A105" s="354" t="inlineStr">
        <is>
          <t>CUMMINS</t>
        </is>
      </c>
      <c r="B105" s="355" t="inlineStr">
        <is>
          <t>HH081912</t>
        </is>
      </c>
      <c r="C105" s="354" t="inlineStr">
        <is>
          <t>Holset</t>
        </is>
      </c>
      <c r="D105" s="354" t="inlineStr">
        <is>
          <t>HX50W</t>
        </is>
      </c>
      <c r="E105" s="354" t="inlineStr">
        <is>
          <t>WP10</t>
        </is>
      </c>
      <c r="F105" s="356" t="n">
        <v>4045951</v>
      </c>
      <c r="G105" s="354" t="n"/>
      <c r="H105" s="357" t="inlineStr">
        <is>
          <t>VIDARIR</t>
        </is>
      </c>
      <c r="I105" s="358" t="n"/>
      <c r="J105" s="358" t="n"/>
      <c r="K105" s="358" t="n"/>
      <c r="L105" s="358">
        <f>IF(K105="","",K105*1.1)</f>
        <v/>
      </c>
      <c r="M105" s="359" t="n"/>
      <c r="N105" s="359" t="n"/>
      <c r="O105" s="359" t="n"/>
      <c r="P105" s="359" t="n"/>
      <c r="Q105" s="359" t="n"/>
      <c r="R105" s="359" t="n"/>
      <c r="T105" s="216">
        <f>UPPER(A105&amp;" "&amp;B105&amp;" "&amp;D105&amp;" "&amp;E105&amp;" "&amp;F105&amp;" "&amp;G105&amp;" "&amp;H105)</f>
        <v/>
      </c>
      <c r="U105" s="216">
        <f>IF(AND('TRA CỨU TỔNG HỢP'!$B$3&lt;&gt;"",ISNUMBER(SEARCH('TRA CỨU TỔNG HỢP'!$B$3,T105))),MAX($U$3:U104)+1,"")</f>
        <v/>
      </c>
    </row>
    <row r="106" ht="15" customHeight="1" s="217">
      <c r="A106" s="340" t="inlineStr">
        <is>
          <t>CUMMINS</t>
        </is>
      </c>
      <c r="B106" s="341" t="inlineStr">
        <is>
          <t>HH078999</t>
        </is>
      </c>
      <c r="C106" s="340" t="inlineStr">
        <is>
          <t>Holset</t>
        </is>
      </c>
      <c r="D106" s="340" t="inlineStr">
        <is>
          <t>HX40W</t>
        </is>
      </c>
      <c r="E106" s="340" t="inlineStr">
        <is>
          <t>DV11</t>
        </is>
      </c>
      <c r="F106" s="342" t="inlineStr">
        <is>
          <t>4048072
61.09100-7209
65091007209</t>
        </is>
      </c>
      <c r="G106" s="340" t="n"/>
      <c r="H106" s="343" t="inlineStr">
        <is>
          <t>SL</t>
        </is>
      </c>
      <c r="I106" s="344" t="n"/>
      <c r="J106" s="344" t="n"/>
      <c r="K106" s="344" t="n"/>
      <c r="L106" s="344">
        <f>IF(K106="","",K106*1.1)</f>
        <v/>
      </c>
      <c r="M106" s="345" t="n">
        <v>99</v>
      </c>
      <c r="N106" s="345" t="n">
        <v>65</v>
      </c>
      <c r="O106" s="345" t="inlineStr">
        <is>
          <t>7/7</t>
        </is>
      </c>
      <c r="P106" s="345" t="n">
        <v>86</v>
      </c>
      <c r="Q106" s="345" t="n">
        <v>77</v>
      </c>
      <c r="R106" s="345" t="n">
        <v>12</v>
      </c>
      <c r="T106" s="346">
        <f>UPPER(A106&amp;" "&amp;B106&amp;" "&amp;D106&amp;" "&amp;E106&amp;" "&amp;F106&amp;" "&amp;G106&amp;" "&amp;H106)</f>
        <v/>
      </c>
      <c r="U106" s="216">
        <f>IF(AND('TRA CỨU TỔNG HỢP'!$B$3&lt;&gt;"",ISNUMBER(SEARCH('TRA CỨU TỔNG HỢP'!$B$3,T106))),MAX($U$3:U105)+1,"")</f>
        <v/>
      </c>
    </row>
    <row r="107" ht="15" customHeight="1" s="217">
      <c r="A107" s="347" t="inlineStr">
        <is>
          <t>CUMMINS</t>
        </is>
      </c>
      <c r="B107" s="348" t="inlineStr">
        <is>
          <t>HH080741</t>
        </is>
      </c>
      <c r="C107" s="349" t="inlineStr">
        <is>
          <t>Holset</t>
        </is>
      </c>
      <c r="D107" s="349" t="inlineStr">
        <is>
          <t>HX40W</t>
        </is>
      </c>
      <c r="E107" s="349" t="inlineStr">
        <is>
          <t>DV11</t>
        </is>
      </c>
      <c r="F107" s="350" t="inlineStr">
        <is>
          <t>4048072
61.09100-7209
65091007209</t>
        </is>
      </c>
      <c r="G107" s="349" t="n"/>
      <c r="H107" s="351" t="inlineStr">
        <is>
          <t>SL</t>
        </is>
      </c>
      <c r="I107" s="352" t="n"/>
      <c r="J107" s="352" t="n"/>
      <c r="K107" s="352" t="n"/>
      <c r="L107" s="352">
        <f>IF(K107="","",K107*1.1)</f>
        <v/>
      </c>
      <c r="M107" s="353" t="n">
        <v>99</v>
      </c>
      <c r="N107" s="353" t="n">
        <v>65</v>
      </c>
      <c r="O107" s="353" t="inlineStr">
        <is>
          <t>7/7</t>
        </is>
      </c>
      <c r="P107" s="353" t="n">
        <v>86</v>
      </c>
      <c r="Q107" s="353" t="n">
        <v>77</v>
      </c>
      <c r="R107" s="353" t="n">
        <v>12</v>
      </c>
      <c r="T107" s="346">
        <f>UPPER(A107&amp;" "&amp;B107&amp;" "&amp;D107&amp;" "&amp;E107&amp;" "&amp;F107&amp;" "&amp;G107&amp;" "&amp;H107)</f>
        <v/>
      </c>
      <c r="U107" s="216">
        <f>IF(AND('TRA CỨU TỔNG HỢP'!$B$3&lt;&gt;"",ISNUMBER(SEARCH('TRA CỨU TỔNG HỢP'!$B$3,T107))),MAX($U$3:U106)+1,"")</f>
        <v/>
      </c>
    </row>
    <row r="108" ht="15" customHeight="1" s="217">
      <c r="A108" s="354" t="inlineStr">
        <is>
          <t>CUMMINS</t>
        </is>
      </c>
      <c r="B108" s="355" t="inlineStr">
        <is>
          <t>HH081911</t>
        </is>
      </c>
      <c r="C108" s="354" t="inlineStr">
        <is>
          <t>Holset</t>
        </is>
      </c>
      <c r="D108" s="354" t="inlineStr">
        <is>
          <t>HX40W</t>
        </is>
      </c>
      <c r="E108" s="354" t="inlineStr">
        <is>
          <t>6CT/ C260</t>
        </is>
      </c>
      <c r="F108" s="356" t="inlineStr">
        <is>
          <t>4051184
4051323</t>
        </is>
      </c>
      <c r="G108" s="354" t="n"/>
      <c r="H108" s="357" t="inlineStr">
        <is>
          <t>VIDARIR</t>
        </is>
      </c>
      <c r="I108" s="358" t="n"/>
      <c r="J108" s="358" t="n"/>
      <c r="K108" s="358" t="n"/>
      <c r="L108" s="358">
        <f>IF(K108="","",K108*1.1)</f>
        <v/>
      </c>
      <c r="M108" s="359" t="n"/>
      <c r="N108" s="359" t="n"/>
      <c r="O108" s="359" t="n"/>
      <c r="P108" s="359" t="n"/>
      <c r="Q108" s="359" t="n"/>
      <c r="R108" s="359" t="n"/>
      <c r="T108" s="346">
        <f>UPPER(A108&amp;" "&amp;B108&amp;" "&amp;D108&amp;" "&amp;E108&amp;" "&amp;F108&amp;" "&amp;G108&amp;" "&amp;H108)</f>
        <v/>
      </c>
      <c r="U108" s="216">
        <f>IF(AND('TRA CỨU TỔNG HỢP'!$B$3&lt;&gt;"",ISNUMBER(SEARCH('TRA CỨU TỔNG HỢP'!$B$3,T108))),MAX($U$3:U107)+1,"")</f>
        <v/>
      </c>
    </row>
    <row r="109" ht="15" customHeight="1" s="217">
      <c r="A109" s="354" t="inlineStr">
        <is>
          <t>CUMMINS</t>
        </is>
      </c>
      <c r="B109" s="355" t="inlineStr">
        <is>
          <t>HH080921</t>
        </is>
      </c>
      <c r="C109" s="354" t="inlineStr">
        <is>
          <t>Holset</t>
        </is>
      </c>
      <c r="D109" s="354" t="inlineStr">
        <is>
          <t>HX55W</t>
        </is>
      </c>
      <c r="E109" s="354" t="inlineStr">
        <is>
          <t>M11/ QSM4 / QSM2</t>
        </is>
      </c>
      <c r="F109" s="356" t="inlineStr">
        <is>
          <t>4089862</t>
        </is>
      </c>
      <c r="G109" s="354" t="n"/>
      <c r="H109" s="357" t="inlineStr">
        <is>
          <t>TBS</t>
        </is>
      </c>
      <c r="I109" s="358" t="n"/>
      <c r="J109" s="358" t="n"/>
      <c r="K109" s="358" t="n"/>
      <c r="L109" s="358">
        <f>IF(K109="","",K109*1.1)</f>
        <v/>
      </c>
      <c r="M109" s="359" t="n"/>
      <c r="N109" s="359" t="n"/>
      <c r="O109" s="359" t="n"/>
      <c r="P109" s="359" t="n"/>
      <c r="Q109" s="359" t="n"/>
      <c r="R109" s="359" t="n"/>
      <c r="T109" s="216">
        <f>UPPER(A109&amp;" "&amp;B109&amp;" "&amp;D109&amp;" "&amp;E109&amp;" "&amp;F109&amp;" "&amp;G109&amp;" "&amp;H109)</f>
        <v/>
      </c>
      <c r="U109" s="216">
        <f>IF(AND('TRA CỨU TỔNG HỢP'!$B$3&lt;&gt;"",ISNUMBER(SEARCH('TRA CỨU TỔNG HỢP'!$B$3,T109))),MAX($U$3:U108)+1,"")</f>
        <v/>
      </c>
    </row>
    <row r="110" ht="15" customHeight="1" s="217">
      <c r="A110" s="354" t="inlineStr">
        <is>
          <t>CUMMINS</t>
        </is>
      </c>
      <c r="B110" s="355" t="inlineStr">
        <is>
          <t>HH081915</t>
        </is>
      </c>
      <c r="C110" s="354" t="inlineStr">
        <is>
          <t>Holset</t>
        </is>
      </c>
      <c r="D110" s="354" t="inlineStr">
        <is>
          <t>HX50W</t>
        </is>
      </c>
      <c r="E110" s="354" t="inlineStr">
        <is>
          <t>WP10</t>
        </is>
      </c>
      <c r="F110" s="356" t="inlineStr">
        <is>
          <t>2839663 612601110966</t>
        </is>
      </c>
      <c r="G110" s="354" t="n"/>
      <c r="H110" s="357" t="inlineStr">
        <is>
          <t>VIDARIR</t>
        </is>
      </c>
      <c r="I110" s="358" t="n"/>
      <c r="J110" s="358" t="n"/>
      <c r="K110" s="358" t="n"/>
      <c r="L110" s="358">
        <f>IF(K110="","",K110*1.1)</f>
        <v/>
      </c>
      <c r="M110" s="359" t="n"/>
      <c r="N110" s="359" t="n"/>
      <c r="O110" s="359" t="n"/>
      <c r="P110" s="359" t="n"/>
      <c r="Q110" s="359" t="n"/>
      <c r="R110" s="359" t="n"/>
      <c r="T110" s="216">
        <f>UPPER(A110&amp;" "&amp;B110&amp;" "&amp;D110&amp;" "&amp;E110&amp;" "&amp;F110&amp;" "&amp;G110&amp;" "&amp;H110)</f>
        <v/>
      </c>
      <c r="U110" s="216">
        <f>IF(AND('TRA CỨU TỔNG HỢP'!$B$3&lt;&gt;"",ISNUMBER(SEARCH('TRA CỨU TỔNG HỢP'!$B$3,T110))),MAX($U$3:U109)+1,"")</f>
        <v/>
      </c>
    </row>
    <row r="111" ht="15" customHeight="1" s="217">
      <c r="A111" s="340" t="inlineStr">
        <is>
          <t>CUMMINS</t>
        </is>
      </c>
      <c r="B111" s="341" t="inlineStr">
        <is>
          <t>HH083834</t>
        </is>
      </c>
      <c r="C111" s="340" t="inlineStr">
        <is>
          <t>Holset</t>
        </is>
      </c>
      <c r="D111" s="340" t="inlineStr">
        <is>
          <t>H1E</t>
        </is>
      </c>
      <c r="E111" s="340" t="inlineStr">
        <is>
          <t>6CTA</t>
        </is>
      </c>
      <c r="F111" s="342" t="inlineStr">
        <is>
          <t>3802303
3524034
3528777
316468
3535457</t>
        </is>
      </c>
      <c r="G111" s="340" t="inlineStr">
        <is>
          <t>xem hình ảnh ( phessio)</t>
        </is>
      </c>
      <c r="H111" s="343" t="inlineStr">
        <is>
          <t>EE</t>
        </is>
      </c>
      <c r="I111" s="344" t="n"/>
      <c r="J111" s="344" t="n"/>
      <c r="K111" s="344" t="n"/>
      <c r="L111" s="344">
        <f>IF(K111="","",K111*1.1)</f>
        <v/>
      </c>
      <c r="M111" s="345" t="n">
        <v>83</v>
      </c>
      <c r="N111" s="345" t="n">
        <v>54</v>
      </c>
      <c r="O111" s="345" t="inlineStr">
        <is>
          <t>8/8</t>
        </is>
      </c>
      <c r="P111" s="345" t="n">
        <v>76</v>
      </c>
      <c r="Q111" s="345" t="n">
        <v>66.7</v>
      </c>
      <c r="R111" s="345" t="n">
        <v>12</v>
      </c>
      <c r="T111" s="346">
        <f>UPPER(A111&amp;" "&amp;B111&amp;" "&amp;D111&amp;" "&amp;E111&amp;" "&amp;F111&amp;" "&amp;G111&amp;" "&amp;H111)</f>
        <v/>
      </c>
      <c r="U111" s="216">
        <f>IF(AND('TRA CỨU TỔNG HỢP'!$B$3&lt;&gt;"",ISNUMBER(SEARCH('TRA CỨU TỔNG HỢP'!$B$3,T111))),MAX($U$3:U110)+1,"")</f>
        <v/>
      </c>
    </row>
    <row r="112" ht="15" customHeight="1" s="217">
      <c r="A112" s="347" t="inlineStr">
        <is>
          <t>CUMMINS</t>
        </is>
      </c>
      <c r="B112" s="348" t="inlineStr">
        <is>
          <t>HH079271</t>
        </is>
      </c>
      <c r="C112" s="349" t="inlineStr">
        <is>
          <t>Holset</t>
        </is>
      </c>
      <c r="D112" s="349" t="inlineStr">
        <is>
          <t>H1E</t>
        </is>
      </c>
      <c r="E112" s="349" t="inlineStr">
        <is>
          <t>6CTA</t>
        </is>
      </c>
      <c r="F112" s="350" t="inlineStr">
        <is>
          <t>3802303
3524034
3528777
316468
3535457</t>
        </is>
      </c>
      <c r="G112" s="349" t="inlineStr">
        <is>
          <t>xem hình ảnh ( phessio)</t>
        </is>
      </c>
      <c r="H112" s="351" t="inlineStr">
        <is>
          <t>VIDARIR</t>
        </is>
      </c>
      <c r="I112" s="352" t="n"/>
      <c r="J112" s="352" t="n"/>
      <c r="K112" s="352" t="n"/>
      <c r="L112" s="352">
        <f>IF(K112="","",K112*1.1)</f>
        <v/>
      </c>
      <c r="M112" s="353" t="n">
        <v>83</v>
      </c>
      <c r="N112" s="353" t="n">
        <v>54</v>
      </c>
      <c r="O112" s="353" t="inlineStr">
        <is>
          <t>8/8</t>
        </is>
      </c>
      <c r="P112" s="353" t="n">
        <v>76</v>
      </c>
      <c r="Q112" s="353" t="n">
        <v>66.7</v>
      </c>
      <c r="R112" s="353" t="n">
        <v>12</v>
      </c>
      <c r="T112" s="346">
        <f>UPPER(A112&amp;" "&amp;B112&amp;" "&amp;D112&amp;" "&amp;E112&amp;" "&amp;F112&amp;" "&amp;G112&amp;" "&amp;H112)</f>
        <v/>
      </c>
      <c r="U112" s="216">
        <f>IF(AND('TRA CỨU TỔNG HỢP'!$B$3&lt;&gt;"",ISNUMBER(SEARCH('TRA CỨU TỔNG HỢP'!$B$3,T112))),MAX($U$3:U111)+1,"")</f>
        <v/>
      </c>
    </row>
    <row r="113" ht="15" customHeight="1" s="217">
      <c r="A113" s="347" t="inlineStr">
        <is>
          <t>CUMMINS</t>
        </is>
      </c>
      <c r="B113" s="348" t="inlineStr">
        <is>
          <t>HH081615</t>
        </is>
      </c>
      <c r="C113" s="349" t="inlineStr">
        <is>
          <t>Holset</t>
        </is>
      </c>
      <c r="D113" s="349" t="inlineStr">
        <is>
          <t>H1E</t>
        </is>
      </c>
      <c r="E113" s="349" t="inlineStr">
        <is>
          <t>6CTA</t>
        </is>
      </c>
      <c r="F113" s="350" t="inlineStr">
        <is>
          <t>3802303
3524034
3528777
316468
3535457</t>
        </is>
      </c>
      <c r="G113" s="349" t="inlineStr">
        <is>
          <t>xem hình ảnh ( phessio)</t>
        </is>
      </c>
      <c r="H113" s="351" t="inlineStr">
        <is>
          <t>VIDARIR</t>
        </is>
      </c>
      <c r="I113" s="352" t="n"/>
      <c r="J113" s="352" t="n"/>
      <c r="K113" s="352" t="n"/>
      <c r="L113" s="352">
        <f>IF(K113="","",K113*1.1)</f>
        <v/>
      </c>
      <c r="M113" s="353" t="n">
        <v>83</v>
      </c>
      <c r="N113" s="353" t="n">
        <v>54</v>
      </c>
      <c r="O113" s="353" t="inlineStr">
        <is>
          <t>8/8</t>
        </is>
      </c>
      <c r="P113" s="353" t="n">
        <v>76</v>
      </c>
      <c r="Q113" s="353" t="n">
        <v>66.7</v>
      </c>
      <c r="R113" s="353" t="n">
        <v>12</v>
      </c>
      <c r="T113" s="346">
        <f>UPPER(A113&amp;" "&amp;B113&amp;" "&amp;D113&amp;" "&amp;E113&amp;" "&amp;F113&amp;" "&amp;G113&amp;" "&amp;H113)</f>
        <v/>
      </c>
      <c r="U113" s="216">
        <f>IF(AND('TRA CỨU TỔNG HỢP'!$B$3&lt;&gt;"",ISNUMBER(SEARCH('TRA CỨU TỔNG HỢP'!$B$3,T113))),MAX($U$3:U112)+1,"")</f>
        <v/>
      </c>
    </row>
    <row r="114" ht="15" customHeight="1" s="217">
      <c r="A114" s="340" t="inlineStr">
        <is>
          <t>CUMMINS</t>
        </is>
      </c>
      <c r="B114" s="341" t="inlineStr">
        <is>
          <t>HH071950</t>
        </is>
      </c>
      <c r="C114" s="340" t="inlineStr">
        <is>
          <t>Holset</t>
        </is>
      </c>
      <c r="D114" s="340" t="inlineStr">
        <is>
          <t>HX55</t>
        </is>
      </c>
      <c r="E114" s="340" t="inlineStr">
        <is>
          <t>M11/ 6B5.9</t>
        </is>
      </c>
      <c r="F114" s="342" t="inlineStr">
        <is>
          <t>3800471
3800471RX
3803938</t>
        </is>
      </c>
      <c r="G114" s="340" t="n"/>
      <c r="H114" s="343" t="n"/>
      <c r="I114" s="344" t="n"/>
      <c r="J114" s="344" t="n"/>
      <c r="K114" s="344" t="n"/>
      <c r="L114" s="344">
        <f>IF(K114="","",K114*1.1)</f>
        <v/>
      </c>
      <c r="M114" s="345" t="n">
        <v>99</v>
      </c>
      <c r="N114" s="345" t="n">
        <v>65</v>
      </c>
      <c r="O114" s="345" t="inlineStr">
        <is>
          <t>7/7</t>
        </is>
      </c>
      <c r="P114" s="345" t="n">
        <v>86</v>
      </c>
      <c r="Q114" s="345" t="n">
        <v>77</v>
      </c>
      <c r="R114" s="345" t="n">
        <v>12</v>
      </c>
      <c r="T114" s="346">
        <f>UPPER(A114&amp;" "&amp;B114&amp;" "&amp;D114&amp;" "&amp;E114&amp;" "&amp;F114&amp;" "&amp;G114&amp;" "&amp;H114)</f>
        <v/>
      </c>
      <c r="U114" s="216">
        <f>IF(AND('TRA CỨU TỔNG HỢP'!$B$3&lt;&gt;"",ISNUMBER(SEARCH('TRA CỨU TỔNG HỢP'!$B$3,T114))),MAX($U$3:U113)+1,"")</f>
        <v/>
      </c>
    </row>
    <row r="115" ht="15" customHeight="1" s="217">
      <c r="A115" s="347" t="inlineStr">
        <is>
          <t>CUMMINS</t>
        </is>
      </c>
      <c r="B115" s="348" t="inlineStr">
        <is>
          <t>HH080326</t>
        </is>
      </c>
      <c r="C115" s="349" t="inlineStr">
        <is>
          <t>Holset</t>
        </is>
      </c>
      <c r="D115" s="349" t="inlineStr">
        <is>
          <t>HX55</t>
        </is>
      </c>
      <c r="E115" s="349" t="inlineStr">
        <is>
          <t>M11/ 6B5.9</t>
        </is>
      </c>
      <c r="F115" s="350" t="inlineStr">
        <is>
          <t>3800471
3800471RX
3803938</t>
        </is>
      </c>
      <c r="G115" s="349" t="n"/>
      <c r="H115" s="351" t="n"/>
      <c r="I115" s="352" t="n"/>
      <c r="J115" s="352" t="n"/>
      <c r="K115" s="352" t="n"/>
      <c r="L115" s="352">
        <f>IF(K115="","",K115*1.1)</f>
        <v/>
      </c>
      <c r="M115" s="353" t="n">
        <v>99</v>
      </c>
      <c r="N115" s="353" t="n">
        <v>65</v>
      </c>
      <c r="O115" s="353" t="inlineStr">
        <is>
          <t>7/7</t>
        </is>
      </c>
      <c r="P115" s="353" t="n">
        <v>86</v>
      </c>
      <c r="Q115" s="353" t="n">
        <v>77</v>
      </c>
      <c r="R115" s="353" t="n">
        <v>12</v>
      </c>
      <c r="T115" s="346">
        <f>UPPER(A115&amp;" "&amp;B115&amp;" "&amp;D115&amp;" "&amp;E115&amp;" "&amp;F115&amp;" "&amp;G115&amp;" "&amp;H115)</f>
        <v/>
      </c>
      <c r="U115" s="216">
        <f>IF(AND('TRA CỨU TỔNG HỢP'!$B$3&lt;&gt;"",ISNUMBER(SEARCH('TRA CỨU TỔNG HỢP'!$B$3,T115))),MAX($U$3:U114)+1,"")</f>
        <v/>
      </c>
    </row>
    <row r="116" ht="15" customHeight="1" s="217">
      <c r="A116" s="347" t="inlineStr">
        <is>
          <t>CUMMINS</t>
        </is>
      </c>
      <c r="B116" s="348" t="inlineStr">
        <is>
          <t>HH079685</t>
        </is>
      </c>
      <c r="C116" s="349" t="inlineStr">
        <is>
          <t>Holset</t>
        </is>
      </c>
      <c r="D116" s="349" t="inlineStr">
        <is>
          <t>HX55</t>
        </is>
      </c>
      <c r="E116" s="349" t="inlineStr">
        <is>
          <t>M11/ 6B5.9</t>
        </is>
      </c>
      <c r="F116" s="350" t="inlineStr">
        <is>
          <t>3800471
3800471RX
3803938</t>
        </is>
      </c>
      <c r="G116" s="349" t="n"/>
      <c r="H116" s="351" t="inlineStr">
        <is>
          <t>SL</t>
        </is>
      </c>
      <c r="I116" s="352" t="n"/>
      <c r="J116" s="352" t="n"/>
      <c r="K116" s="352" t="n"/>
      <c r="L116" s="352">
        <f>IF(K116="","",K116*1.1)</f>
        <v/>
      </c>
      <c r="M116" s="353" t="n">
        <v>99</v>
      </c>
      <c r="N116" s="353" t="n">
        <v>65</v>
      </c>
      <c r="O116" s="353" t="inlineStr">
        <is>
          <t>7/7</t>
        </is>
      </c>
      <c r="P116" s="353" t="n">
        <v>86</v>
      </c>
      <c r="Q116" s="353" t="n">
        <v>77</v>
      </c>
      <c r="R116" s="353" t="n">
        <v>12</v>
      </c>
      <c r="T116" s="346">
        <f>UPPER(A116&amp;" "&amp;B116&amp;" "&amp;D116&amp;" "&amp;E116&amp;" "&amp;F116&amp;" "&amp;G116&amp;" "&amp;H116)</f>
        <v/>
      </c>
      <c r="U116" s="216">
        <f>IF(AND('TRA CỨU TỔNG HỢP'!$B$3&lt;&gt;"",ISNUMBER(SEARCH('TRA CỨU TỔNG HỢP'!$B$3,T116))),MAX($U$3:U115)+1,"")</f>
        <v/>
      </c>
    </row>
    <row r="117" ht="15" customHeight="1" s="217">
      <c r="A117" s="354" t="inlineStr">
        <is>
          <t>CUMMINS</t>
        </is>
      </c>
      <c r="B117" s="355" t="inlineStr">
        <is>
          <t>HH080327</t>
        </is>
      </c>
      <c r="C117" s="354" t="inlineStr">
        <is>
          <t>Holset</t>
        </is>
      </c>
      <c r="D117" s="354" t="inlineStr">
        <is>
          <t>H2C</t>
        </is>
      </c>
      <c r="E117" s="354" t="inlineStr">
        <is>
          <t>L10</t>
        </is>
      </c>
      <c r="F117" s="356" t="n">
        <v>3519095</v>
      </c>
      <c r="G117" s="354" t="n"/>
      <c r="H117" s="357" t="inlineStr">
        <is>
          <t>SL</t>
        </is>
      </c>
      <c r="I117" s="358" t="n"/>
      <c r="J117" s="358" t="n"/>
      <c r="K117" s="358" t="n"/>
      <c r="L117" s="358">
        <f>IF(K117="","",K117*1.1)</f>
        <v/>
      </c>
      <c r="M117" s="359" t="n">
        <v>85.90000000000001</v>
      </c>
      <c r="N117" s="359" t="n">
        <v>59.8</v>
      </c>
      <c r="O117" s="359" t="inlineStr">
        <is>
          <t>8/8</t>
        </is>
      </c>
      <c r="P117" s="359" t="n">
        <v>85.8</v>
      </c>
      <c r="Q117" s="359" t="n">
        <v>72</v>
      </c>
      <c r="R117" s="359" t="n">
        <v>11</v>
      </c>
      <c r="T117" s="216">
        <f>UPPER(A117&amp;" "&amp;B117&amp;" "&amp;D117&amp;" "&amp;E117&amp;" "&amp;F117&amp;" "&amp;G117&amp;" "&amp;H117)</f>
        <v/>
      </c>
      <c r="U117" s="216">
        <f>IF(AND('TRA CỨU TỔNG HỢP'!$B$3&lt;&gt;"",ISNUMBER(SEARCH('TRA CỨU TỔNG HỢP'!$B$3,T117))),MAX($U$3:U116)+1,"")</f>
        <v/>
      </c>
    </row>
    <row r="118" ht="15" customHeight="1" s="217">
      <c r="A118" s="354" t="inlineStr">
        <is>
          <t>CUMMINS</t>
        </is>
      </c>
      <c r="B118" s="355" t="inlineStr">
        <is>
          <t>HH081062</t>
        </is>
      </c>
      <c r="C118" s="354" t="inlineStr">
        <is>
          <t>Holset</t>
        </is>
      </c>
      <c r="D118" s="354" t="inlineStr">
        <is>
          <t>NT855</t>
        </is>
      </c>
      <c r="E118" s="354" t="inlineStr">
        <is>
          <t>HT3B</t>
        </is>
      </c>
      <c r="F118" s="356" t="inlineStr">
        <is>
          <t>3522865
3522866</t>
        </is>
      </c>
      <c r="G118" s="354" t="n"/>
      <c r="H118" s="357" t="inlineStr">
        <is>
          <t>SL</t>
        </is>
      </c>
      <c r="I118" s="358" t="n"/>
      <c r="J118" s="358" t="n"/>
      <c r="K118" s="358" t="n"/>
      <c r="L118" s="358">
        <f>IF(K118="","",K118*1.1)</f>
        <v/>
      </c>
      <c r="M118" s="359" t="n"/>
      <c r="N118" s="359" t="n"/>
      <c r="O118" s="359" t="n"/>
      <c r="P118" s="359" t="n"/>
      <c r="Q118" s="359" t="n"/>
      <c r="R118" s="359" t="n"/>
      <c r="T118" s="346">
        <f>UPPER(A118&amp;" "&amp;B118&amp;" "&amp;D118&amp;" "&amp;E118&amp;" "&amp;F118&amp;" "&amp;G118&amp;" "&amp;H118)</f>
        <v/>
      </c>
      <c r="U118" s="216">
        <f>IF(AND('TRA CỨU TỔNG HỢP'!$B$3&lt;&gt;"",ISNUMBER(SEARCH('TRA CỨU TỔNG HỢP'!$B$3,T118))),MAX($U$3:U117)+1,"")</f>
        <v/>
      </c>
    </row>
    <row r="119" ht="15" customHeight="1" s="217">
      <c r="A119" s="340" t="inlineStr">
        <is>
          <t>CUMMINS</t>
        </is>
      </c>
      <c r="B119" s="341" t="inlineStr">
        <is>
          <t>HH077598</t>
        </is>
      </c>
      <c r="C119" s="340" t="inlineStr">
        <is>
          <t>Holset</t>
        </is>
      </c>
      <c r="D119" s="340" t="inlineStr">
        <is>
          <t>HE400G/ S300G</t>
        </is>
      </c>
      <c r="E119" s="340" t="n"/>
      <c r="F119" s="342" t="inlineStr">
        <is>
          <t>3787729/ 13809700027
8C04-200-M05</t>
        </is>
      </c>
      <c r="G119" s="340" t="n"/>
      <c r="H119" s="343" t="inlineStr">
        <is>
          <t>JRONE</t>
        </is>
      </c>
      <c r="I119" s="344" t="n"/>
      <c r="J119" s="344" t="n"/>
      <c r="K119" s="344" t="n"/>
      <c r="L119" s="344">
        <f>IF(K119="","",K119*1.1)</f>
        <v/>
      </c>
      <c r="M119" s="345" t="n">
        <v>93</v>
      </c>
      <c r="N119" s="345" t="n">
        <v>64</v>
      </c>
      <c r="O119" s="345" t="inlineStr">
        <is>
          <t>7/7</t>
        </is>
      </c>
      <c r="P119" s="345" t="n">
        <v>75.8</v>
      </c>
      <c r="Q119" s="345" t="n">
        <v>67</v>
      </c>
      <c r="R119" s="345" t="n">
        <v>12</v>
      </c>
      <c r="T119" s="346">
        <f>UPPER(A119&amp;" "&amp;B119&amp;" "&amp;D119&amp;" "&amp;E119&amp;" "&amp;F119&amp;" "&amp;G119&amp;" "&amp;H119)</f>
        <v/>
      </c>
      <c r="U119" s="216">
        <f>IF(AND('TRA CỨU TỔNG HỢP'!$B$3&lt;&gt;"",ISNUMBER(SEARCH('TRA CỨU TỔNG HỢP'!$B$3,T119))),MAX($U$3:U118)+1,"")</f>
        <v/>
      </c>
    </row>
    <row r="120" ht="15" customHeight="1" s="217">
      <c r="A120" s="347" t="inlineStr">
        <is>
          <t>CUMMINS</t>
        </is>
      </c>
      <c r="B120" s="348" t="inlineStr">
        <is>
          <t>HH077595</t>
        </is>
      </c>
      <c r="C120" s="349" t="inlineStr">
        <is>
          <t>Holset</t>
        </is>
      </c>
      <c r="D120" s="349" t="inlineStr">
        <is>
          <t>HE400G/ S300G</t>
        </is>
      </c>
      <c r="E120" s="349" t="n"/>
      <c r="F120" s="350" t="inlineStr">
        <is>
          <t>3787729/ 13809700027
8C04-200-M05</t>
        </is>
      </c>
      <c r="G120" s="349" t="n"/>
      <c r="H120" s="351" t="inlineStr">
        <is>
          <t>JRONE</t>
        </is>
      </c>
      <c r="I120" s="352" t="n"/>
      <c r="J120" s="352" t="n"/>
      <c r="K120" s="352" t="n"/>
      <c r="L120" s="352">
        <f>IF(K120="","",K120*1.1)</f>
        <v/>
      </c>
      <c r="M120" s="353" t="n">
        <v>93</v>
      </c>
      <c r="N120" s="353" t="n">
        <v>64</v>
      </c>
      <c r="O120" s="353" t="inlineStr">
        <is>
          <t>7/7</t>
        </is>
      </c>
      <c r="P120" s="353" t="n">
        <v>75.8</v>
      </c>
      <c r="Q120" s="353" t="n">
        <v>67</v>
      </c>
      <c r="R120" s="353" t="n">
        <v>12</v>
      </c>
      <c r="T120" s="346">
        <f>UPPER(A120&amp;" "&amp;B120&amp;" "&amp;D120&amp;" "&amp;E120&amp;" "&amp;F120&amp;" "&amp;G120&amp;" "&amp;H120)</f>
        <v/>
      </c>
      <c r="U120" s="216">
        <f>IF(AND('TRA CỨU TỔNG HỢP'!$B$3&lt;&gt;"",ISNUMBER(SEARCH('TRA CỨU TỔNG HỢP'!$B$3,T120))),MAX($U$3:U119)+1,"")</f>
        <v/>
      </c>
    </row>
    <row r="121" ht="15" customHeight="1" s="217">
      <c r="A121" s="379" t="inlineStr">
        <is>
          <t>CUMMINS</t>
        </is>
      </c>
      <c r="B121" s="380" t="n"/>
      <c r="C121" s="379" t="inlineStr">
        <is>
          <t>Holset</t>
        </is>
      </c>
      <c r="D121" s="379" t="inlineStr">
        <is>
          <t>HX55</t>
        </is>
      </c>
      <c r="E121" s="379" t="n"/>
      <c r="F121" s="381" t="inlineStr">
        <is>
          <t>4038613
4038616
3594236</t>
        </is>
      </c>
      <c r="G121" s="379" t="n"/>
      <c r="H121" s="382" t="n"/>
      <c r="I121" s="383" t="n"/>
      <c r="J121" s="383" t="n"/>
      <c r="K121" s="383" t="n"/>
      <c r="L121" s="383">
        <f>IF(K121="","",K121*1.1)</f>
        <v/>
      </c>
      <c r="M121" s="384" t="n"/>
      <c r="N121" s="384" t="n"/>
      <c r="O121" s="384" t="n"/>
      <c r="P121" s="384" t="n"/>
      <c r="Q121" s="384" t="n"/>
      <c r="R121" s="384" t="n"/>
      <c r="T121" s="346">
        <f>UPPER(A121&amp;" "&amp;B121&amp;" "&amp;D121&amp;" "&amp;E121&amp;" "&amp;F121&amp;" "&amp;G121&amp;" "&amp;H121)</f>
        <v/>
      </c>
      <c r="U121" s="216">
        <f>IF(AND('TRA CỨU TỔNG HỢP'!$B$3&lt;&gt;"",ISNUMBER(SEARCH('TRA CỨU TỔNG HỢP'!$B$3,T121))),MAX($U$3:U120)+1,"")</f>
        <v/>
      </c>
    </row>
    <row r="122" ht="15" customHeight="1" s="217">
      <c r="A122" s="354" t="inlineStr">
        <is>
          <t>CUMMINS</t>
        </is>
      </c>
      <c r="B122" s="355" t="inlineStr">
        <is>
          <t>HH079270</t>
        </is>
      </c>
      <c r="C122" s="354" t="inlineStr">
        <is>
          <t>Holset</t>
        </is>
      </c>
      <c r="D122" s="354" t="inlineStr">
        <is>
          <t>HE221W</t>
        </is>
      </c>
      <c r="E122" s="354" t="inlineStr">
        <is>
          <t>ISF3.8</t>
        </is>
      </c>
      <c r="F122" s="356" t="inlineStr">
        <is>
          <t>3774225
3777896
2836258
3794988
3794989
3774196
3768000
3789077
3767999
3774193
3796173</t>
        </is>
      </c>
      <c r="G122" s="354" t="n"/>
      <c r="H122" s="357" t="inlineStr">
        <is>
          <t>VIDARIR</t>
        </is>
      </c>
      <c r="I122" s="358" t="n"/>
      <c r="J122" s="358" t="n"/>
      <c r="K122" s="358" t="n"/>
      <c r="L122" s="358">
        <f>IF(K122="","",K122*1.1)</f>
        <v/>
      </c>
      <c r="M122" s="359" t="n">
        <v>56</v>
      </c>
      <c r="N122" s="359" t="n">
        <v>43</v>
      </c>
      <c r="O122" s="359" t="inlineStr">
        <is>
          <t>6/6</t>
        </is>
      </c>
      <c r="P122" s="359" t="n">
        <v>47.2</v>
      </c>
      <c r="Q122" s="359" t="n">
        <v>41.2</v>
      </c>
      <c r="R122" s="359" t="n">
        <v>11</v>
      </c>
      <c r="T122" s="346">
        <f>UPPER(A122&amp;" "&amp;B122&amp;" "&amp;D122&amp;" "&amp;E122&amp;" "&amp;F122&amp;" "&amp;G122&amp;" "&amp;H122)</f>
        <v/>
      </c>
      <c r="U122" s="216">
        <f>IF(AND('TRA CỨU TỔNG HỢP'!$B$3&lt;&gt;"",ISNUMBER(SEARCH('TRA CỨU TỔNG HỢP'!$B$3,T122))),MAX($U$3:U121)+1,"")</f>
        <v/>
      </c>
    </row>
    <row r="123" ht="15" customHeight="1" s="217">
      <c r="A123" s="354" t="inlineStr">
        <is>
          <t>CUMMINS</t>
        </is>
      </c>
      <c r="B123" s="355" t="inlineStr">
        <is>
          <t>HH080913</t>
        </is>
      </c>
      <c r="C123" s="354" t="inlineStr">
        <is>
          <t>Holset</t>
        </is>
      </c>
      <c r="D123" s="354" t="inlineStr">
        <is>
          <t>WH1C</t>
        </is>
      </c>
      <c r="E123" s="354" t="inlineStr">
        <is>
          <t>6BT</t>
        </is>
      </c>
      <c r="F123" s="356" t="inlineStr">
        <is>
          <t>4035199
4035202</t>
        </is>
      </c>
      <c r="G123" s="354" t="inlineStr">
        <is>
          <t>4035202 - VIDARIR DN-1105</t>
        </is>
      </c>
      <c r="H123" s="357" t="inlineStr">
        <is>
          <t>VIDARIR</t>
        </is>
      </c>
      <c r="I123" s="358" t="n"/>
      <c r="J123" s="358" t="n"/>
      <c r="K123" s="358" t="n"/>
      <c r="L123" s="358">
        <f>IF(K123="","",K123*1.1)</f>
        <v/>
      </c>
      <c r="M123" s="359" t="n"/>
      <c r="N123" s="359" t="n"/>
      <c r="O123" s="359" t="n"/>
      <c r="P123" s="359" t="n"/>
      <c r="Q123" s="359" t="n"/>
      <c r="R123" s="359" t="n"/>
      <c r="T123" s="346">
        <f>UPPER(A123&amp;" "&amp;B123&amp;" "&amp;D123&amp;" "&amp;E123&amp;" "&amp;F123&amp;" "&amp;G123&amp;" "&amp;H123)</f>
        <v/>
      </c>
      <c r="U123" s="216">
        <f>IF(AND('TRA CỨU TỔNG HỢP'!$B$3&lt;&gt;"",ISNUMBER(SEARCH('TRA CỨU TỔNG HỢP'!$B$3,T123))),MAX($U$3:U122)+1,"")</f>
        <v/>
      </c>
    </row>
    <row r="124" ht="15" customHeight="1" s="217">
      <c r="A124" s="354" t="inlineStr">
        <is>
          <t>CUMMINS</t>
        </is>
      </c>
      <c r="B124" s="355" t="inlineStr">
        <is>
          <t>HH080644</t>
        </is>
      </c>
      <c r="C124" s="354" t="inlineStr">
        <is>
          <t>Holset</t>
        </is>
      </c>
      <c r="D124" s="354" t="inlineStr">
        <is>
          <t>HX50W/ HE400WG</t>
        </is>
      </c>
      <c r="E124" s="354" t="n"/>
      <c r="F124" s="356" t="inlineStr">
        <is>
          <t>612600118895
 3790063</t>
        </is>
      </c>
      <c r="G124" s="354" t="inlineStr">
        <is>
          <t>Weichai Sino truck, 3790063 - VIDARIR</t>
        </is>
      </c>
      <c r="H124" s="357" t="inlineStr">
        <is>
          <t>VIDARIR</t>
        </is>
      </c>
      <c r="I124" s="358" t="n"/>
      <c r="J124" s="358" t="n"/>
      <c r="K124" s="358" t="n"/>
      <c r="L124" s="358">
        <f>IF(K124="","",K124*1.1)</f>
        <v/>
      </c>
      <c r="M124" s="359" t="n"/>
      <c r="N124" s="359" t="n"/>
      <c r="O124" s="359" t="n"/>
      <c r="P124" s="359" t="n"/>
      <c r="Q124" s="359" t="n"/>
      <c r="R124" s="359" t="n"/>
      <c r="T124" s="346">
        <f>UPPER(A124&amp;" "&amp;B124&amp;" "&amp;D124&amp;" "&amp;E124&amp;" "&amp;F124&amp;" "&amp;G124&amp;" "&amp;H124)</f>
        <v/>
      </c>
      <c r="U124" s="216">
        <f>IF(AND('TRA CỨU TỔNG HỢP'!$B$3&lt;&gt;"",ISNUMBER(SEARCH('TRA CỨU TỔNG HỢP'!$B$3,T124))),MAX($U$3:U123)+1,"")</f>
        <v/>
      </c>
    </row>
    <row r="125" ht="15" customHeight="1" s="217">
      <c r="A125" s="340" t="inlineStr">
        <is>
          <t>CUMMINS</t>
        </is>
      </c>
      <c r="B125" s="341" t="inlineStr">
        <is>
          <t>HH082517</t>
        </is>
      </c>
      <c r="C125" s="340" t="inlineStr">
        <is>
          <t>Holset</t>
        </is>
      </c>
      <c r="D125" s="340" t="inlineStr">
        <is>
          <t>HE221W</t>
        </is>
      </c>
      <c r="E125" s="340" t="inlineStr">
        <is>
          <t>S4D107/ ISDE 140/ 4.5</t>
        </is>
      </c>
      <c r="F125" s="342" t="inlineStr">
        <is>
          <t>3781989</t>
        </is>
      </c>
      <c r="G125" s="340" t="inlineStr">
        <is>
          <t>billet, CUMMINS ISDE 140</t>
        </is>
      </c>
      <c r="H125" s="343" t="inlineStr">
        <is>
          <t>SL</t>
        </is>
      </c>
      <c r="I125" s="344" t="n"/>
      <c r="J125" s="344" t="n"/>
      <c r="K125" s="344" t="n"/>
      <c r="L125" s="344">
        <f>IF(K125="","",K125*1.1)</f>
        <v/>
      </c>
      <c r="M125" s="345" t="n"/>
      <c r="N125" s="345" t="n"/>
      <c r="O125" s="345" t="n"/>
      <c r="P125" s="345" t="n"/>
      <c r="Q125" s="345" t="n"/>
      <c r="R125" s="345" t="n"/>
      <c r="T125" s="216">
        <f>UPPER(A125&amp;" "&amp;B125&amp;" "&amp;D125&amp;" "&amp;E125&amp;" "&amp;F125&amp;" "&amp;G125&amp;" "&amp;H125)</f>
        <v/>
      </c>
      <c r="U125" s="216">
        <f>IF(AND('TRA CỨU TỔNG HỢP'!$B$3&lt;&gt;"",ISNUMBER(SEARCH('TRA CỨU TỔNG HỢP'!$B$3,T125))),MAX($U$3:U124)+1,"")</f>
        <v/>
      </c>
    </row>
    <row r="126" ht="15" customHeight="1" s="217">
      <c r="A126" s="347" t="inlineStr">
        <is>
          <t>CUMMINS</t>
        </is>
      </c>
      <c r="B126" s="348" t="inlineStr">
        <is>
          <t>HH082673</t>
        </is>
      </c>
      <c r="C126" s="349" t="inlineStr">
        <is>
          <t>Holset</t>
        </is>
      </c>
      <c r="D126" s="349" t="inlineStr">
        <is>
          <t>HE221W</t>
        </is>
      </c>
      <c r="E126" s="349" t="inlineStr">
        <is>
          <t>S4D107/ ISDE 140/ 4.5</t>
        </is>
      </c>
      <c r="F126" s="350" t="inlineStr">
        <is>
          <t>3781989</t>
        </is>
      </c>
      <c r="G126" s="349" t="inlineStr">
        <is>
          <t>billet, CUMMINS ISDE 140</t>
        </is>
      </c>
      <c r="H126" s="351" t="inlineStr">
        <is>
          <t>SL</t>
        </is>
      </c>
      <c r="I126" s="352" t="n"/>
      <c r="J126" s="352" t="n"/>
      <c r="K126" s="352" t="n"/>
      <c r="L126" s="352">
        <f>IF(K126="","",K126*1.1)</f>
        <v/>
      </c>
      <c r="M126" s="353" t="n"/>
      <c r="N126" s="353" t="n"/>
      <c r="O126" s="353" t="n"/>
      <c r="P126" s="353" t="n"/>
      <c r="Q126" s="353" t="n"/>
      <c r="R126" s="353" t="n"/>
      <c r="T126" s="216">
        <f>UPPER(A126&amp;" "&amp;B126&amp;" "&amp;D126&amp;" "&amp;E126&amp;" "&amp;F126&amp;" "&amp;G126&amp;" "&amp;H126)</f>
        <v/>
      </c>
      <c r="U126" s="216">
        <f>IF(AND('TRA CỨU TỔNG HỢP'!$B$3&lt;&gt;"",ISNUMBER(SEARCH('TRA CỨU TỔNG HỢP'!$B$3,T126))),MAX($U$3:U125)+1,"")</f>
        <v/>
      </c>
    </row>
    <row r="127" ht="15" customHeight="1" s="217">
      <c r="A127" s="340" t="inlineStr">
        <is>
          <t>CUMMINS</t>
        </is>
      </c>
      <c r="B127" s="341" t="inlineStr">
        <is>
          <t>HH080315</t>
        </is>
      </c>
      <c r="C127" s="340" t="inlineStr">
        <is>
          <t>Holset</t>
        </is>
      </c>
      <c r="D127" s="340" t="inlineStr">
        <is>
          <t>HX55W</t>
        </is>
      </c>
      <c r="E127" s="340" t="inlineStr">
        <is>
          <t>CA6DM2/ FAW 350PS</t>
        </is>
      </c>
      <c r="F127" s="342" t="inlineStr">
        <is>
          <t>1118010BM01-074A</t>
        </is>
      </c>
      <c r="G127" s="340" t="n"/>
      <c r="H127" s="343" t="inlineStr">
        <is>
          <t>SL</t>
        </is>
      </c>
      <c r="I127" s="344" t="n"/>
      <c r="J127" s="344" t="n"/>
      <c r="K127" s="344" t="n"/>
      <c r="L127" s="344">
        <f>IF(K127="","",K127*1.1)</f>
        <v/>
      </c>
      <c r="M127" s="345" t="n">
        <v>99</v>
      </c>
      <c r="N127" s="345" t="n">
        <v>65</v>
      </c>
      <c r="O127" s="345" t="inlineStr">
        <is>
          <t>7/7</t>
        </is>
      </c>
      <c r="P127" s="345" t="n">
        <v>86</v>
      </c>
      <c r="Q127" s="345" t="n">
        <v>77</v>
      </c>
      <c r="R127" s="345" t="n">
        <v>12</v>
      </c>
      <c r="T127" s="216">
        <f>UPPER(A127&amp;" "&amp;B127&amp;" "&amp;D127&amp;" "&amp;E127&amp;" "&amp;F127&amp;" "&amp;G127&amp;" "&amp;H127)</f>
        <v/>
      </c>
      <c r="U127" s="216">
        <f>IF(AND('TRA CỨU TỔNG HỢP'!$B$3&lt;&gt;"",ISNUMBER(SEARCH('TRA CỨU TỔNG HỢP'!$B$3,T127))),MAX($U$3:U126)+1,"")</f>
        <v/>
      </c>
    </row>
    <row r="128" ht="15" customHeight="1" s="217">
      <c r="A128" s="347" t="inlineStr">
        <is>
          <t>CUMMINS</t>
        </is>
      </c>
      <c r="B128" s="348" t="inlineStr">
        <is>
          <t>HH080745</t>
        </is>
      </c>
      <c r="C128" s="349" t="inlineStr">
        <is>
          <t>Holset</t>
        </is>
      </c>
      <c r="D128" s="349" t="inlineStr">
        <is>
          <t>HX55W</t>
        </is>
      </c>
      <c r="E128" s="349" t="inlineStr">
        <is>
          <t>CA6DM2/ FAW 350PS</t>
        </is>
      </c>
      <c r="F128" s="350" t="inlineStr">
        <is>
          <t>1118010BM01-074A</t>
        </is>
      </c>
      <c r="G128" s="349" t="n"/>
      <c r="H128" s="351" t="inlineStr">
        <is>
          <t>SL</t>
        </is>
      </c>
      <c r="I128" s="352" t="n"/>
      <c r="J128" s="352" t="n"/>
      <c r="K128" s="352" t="n"/>
      <c r="L128" s="352">
        <f>IF(K128="","",K128*1.1)</f>
        <v/>
      </c>
      <c r="M128" s="353" t="n">
        <v>99</v>
      </c>
      <c r="N128" s="353" t="n">
        <v>65</v>
      </c>
      <c r="O128" s="353" t="inlineStr">
        <is>
          <t>7/7</t>
        </is>
      </c>
      <c r="P128" s="353" t="n">
        <v>86</v>
      </c>
      <c r="Q128" s="353" t="n">
        <v>77</v>
      </c>
      <c r="R128" s="353" t="n">
        <v>12</v>
      </c>
      <c r="T128" s="216">
        <f>UPPER(A128&amp;" "&amp;B128&amp;" "&amp;D128&amp;" "&amp;E128&amp;" "&amp;F128&amp;" "&amp;G128&amp;" "&amp;H128)</f>
        <v/>
      </c>
      <c r="U128" s="216">
        <f>IF(AND('TRA CỨU TỔNG HỢP'!$B$3&lt;&gt;"",ISNUMBER(SEARCH('TRA CỨU TỔNG HỢP'!$B$3,T128))),MAX($U$3:U127)+1,"")</f>
        <v/>
      </c>
    </row>
    <row r="129" ht="15" customHeight="1" s="217">
      <c r="A129" s="354" t="inlineStr">
        <is>
          <t>CUMMINS</t>
        </is>
      </c>
      <c r="B129" s="355" t="inlineStr">
        <is>
          <t>HH077138</t>
        </is>
      </c>
      <c r="C129" s="354" t="inlineStr">
        <is>
          <t>Holset</t>
        </is>
      </c>
      <c r="D129" s="354" t="inlineStr">
        <is>
          <t>HX55W</t>
        </is>
      </c>
      <c r="E129" s="354" t="inlineStr">
        <is>
          <t>ISM11</t>
        </is>
      </c>
      <c r="F129" s="356" t="inlineStr">
        <is>
          <t>3592778
3592779
4046030</t>
        </is>
      </c>
      <c r="G129" s="354" t="inlineStr">
        <is>
          <t>4046030 - JRONE 8C05-200-C66</t>
        </is>
      </c>
      <c r="H129" s="357" t="inlineStr">
        <is>
          <t>JRONE</t>
        </is>
      </c>
      <c r="I129" s="358" t="n"/>
      <c r="J129" s="358" t="n"/>
      <c r="K129" s="358" t="n"/>
      <c r="L129" s="358">
        <f>IF(K129="","",K129*1.1)</f>
        <v/>
      </c>
      <c r="M129" s="359" t="n">
        <v>99</v>
      </c>
      <c r="N129" s="359" t="n">
        <v>65</v>
      </c>
      <c r="O129" s="359" t="inlineStr">
        <is>
          <t>7/7</t>
        </is>
      </c>
      <c r="P129" s="359" t="n">
        <v>86</v>
      </c>
      <c r="Q129" s="359" t="n">
        <v>77</v>
      </c>
      <c r="R129" s="359" t="n">
        <v>12</v>
      </c>
      <c r="T129" s="346">
        <f>UPPER(A129&amp;" "&amp;B129&amp;" "&amp;D129&amp;" "&amp;E129&amp;" "&amp;F129&amp;" "&amp;G129&amp;" "&amp;H129)</f>
        <v/>
      </c>
      <c r="U129" s="216">
        <f>IF(AND('TRA CỨU TỔNG HỢP'!$B$3&lt;&gt;"",ISNUMBER(SEARCH('TRA CỨU TỔNG HỢP'!$B$3,T129))),MAX($U$3:U128)+1,"")</f>
        <v/>
      </c>
    </row>
    <row r="130" ht="15" customHeight="1" s="217">
      <c r="A130" s="354" t="inlineStr">
        <is>
          <t>CUMMINS</t>
        </is>
      </c>
      <c r="B130" s="355" t="inlineStr">
        <is>
          <t>HH083184</t>
        </is>
      </c>
      <c r="C130" s="354" t="inlineStr">
        <is>
          <t>Holset</t>
        </is>
      </c>
      <c r="D130" s="354" t="inlineStr">
        <is>
          <t>HX60W</t>
        </is>
      </c>
      <c r="E130" s="354" t="inlineStr">
        <is>
          <t>QSX15</t>
        </is>
      </c>
      <c r="F130" s="356" t="inlineStr">
        <is>
          <t>3598762</t>
        </is>
      </c>
      <c r="G130" s="354" t="inlineStr">
        <is>
          <t>CUMMINS</t>
        </is>
      </c>
      <c r="H130" s="357" t="inlineStr">
        <is>
          <t>MX</t>
        </is>
      </c>
      <c r="I130" s="358" t="n"/>
      <c r="J130" s="358" t="n"/>
      <c r="K130" s="358" t="n"/>
      <c r="L130" s="358">
        <f>IF(K130="","",K130*1.1)</f>
        <v/>
      </c>
      <c r="M130" s="359" t="n"/>
      <c r="N130" s="359" t="n"/>
      <c r="O130" s="359" t="n"/>
      <c r="P130" s="359" t="n"/>
      <c r="Q130" s="359" t="n"/>
      <c r="R130" s="359" t="n"/>
      <c r="T130" s="216">
        <f>UPPER(A130&amp;" "&amp;B130&amp;" "&amp;D130&amp;" "&amp;E130&amp;" "&amp;F130&amp;" "&amp;G130&amp;" "&amp;H130)</f>
        <v/>
      </c>
      <c r="U130" s="216">
        <f>IF(AND('TRA CỨU TỔNG HỢP'!$B$3&lt;&gt;"",ISNUMBER(SEARCH('TRA CỨU TỔNG HỢP'!$B$3,T130))),MAX($U$3:U129)+1,"")</f>
        <v/>
      </c>
    </row>
    <row r="131" ht="15" customHeight="1" s="217">
      <c r="A131" s="340" t="inlineStr">
        <is>
          <t>CUMMINS</t>
        </is>
      </c>
      <c r="B131" s="341" t="inlineStr">
        <is>
          <t>HH082877</t>
        </is>
      </c>
      <c r="C131" s="340" t="inlineStr">
        <is>
          <t>BorgWarner</t>
        </is>
      </c>
      <c r="D131" s="340" t="inlineStr">
        <is>
          <t>BV45</t>
        </is>
      </c>
      <c r="E131" s="340" t="inlineStr">
        <is>
          <t>ISF2.8</t>
        </is>
      </c>
      <c r="F131" s="342" t="inlineStr">
        <is>
          <t>1745-970-0001</t>
        </is>
      </c>
      <c r="G131" s="340" t="n"/>
      <c r="H131" s="343" t="inlineStr">
        <is>
          <t>SL</t>
        </is>
      </c>
      <c r="I131" s="344" t="n"/>
      <c r="J131" s="344" t="n"/>
      <c r="K131" s="344" t="n"/>
      <c r="L131" s="344">
        <f>IF(K131="","",K131*1.1)</f>
        <v/>
      </c>
      <c r="M131" s="345" t="n">
        <v>53</v>
      </c>
      <c r="N131" s="345" t="n">
        <v>40.3</v>
      </c>
      <c r="O131" s="345" t="inlineStr">
        <is>
          <t>6/6</t>
        </is>
      </c>
      <c r="P131" s="345" t="n">
        <v>45</v>
      </c>
      <c r="Q131" s="345" t="n">
        <v>42.3</v>
      </c>
      <c r="R131" s="345" t="n">
        <v>10</v>
      </c>
      <c r="T131" s="216">
        <f>UPPER(A131&amp;" "&amp;B131&amp;" "&amp;D131&amp;" "&amp;E131&amp;" "&amp;F131&amp;" "&amp;G131&amp;" "&amp;H131)</f>
        <v/>
      </c>
      <c r="U131" s="216">
        <f>IF(AND('TRA CỨU TỔNG HỢP'!$B$3&lt;&gt;"",ISNUMBER(SEARCH('TRA CỨU TỔNG HỢP'!$B$3,T131))),MAX($U$3:U130)+1,"")</f>
        <v/>
      </c>
    </row>
    <row r="132" ht="15" customHeight="1" s="217">
      <c r="A132" s="347" t="inlineStr">
        <is>
          <t>CUMMINS</t>
        </is>
      </c>
      <c r="B132" s="348" t="inlineStr">
        <is>
          <t>HH082878</t>
        </is>
      </c>
      <c r="C132" s="349" t="inlineStr">
        <is>
          <t>BorgWarner</t>
        </is>
      </c>
      <c r="D132" s="349" t="inlineStr">
        <is>
          <t>BV45</t>
        </is>
      </c>
      <c r="E132" s="349" t="inlineStr">
        <is>
          <t>ISF2.8</t>
        </is>
      </c>
      <c r="F132" s="350" t="inlineStr">
        <is>
          <t>1745-970-0001</t>
        </is>
      </c>
      <c r="G132" s="349" t="n"/>
      <c r="H132" s="351" t="inlineStr">
        <is>
          <t>SL</t>
        </is>
      </c>
      <c r="I132" s="352" t="n"/>
      <c r="J132" s="352" t="n"/>
      <c r="K132" s="352" t="n"/>
      <c r="L132" s="352">
        <f>IF(K132="","",K132*1.1)</f>
        <v/>
      </c>
      <c r="M132" s="353" t="n">
        <v>53</v>
      </c>
      <c r="N132" s="353" t="n">
        <v>40.3</v>
      </c>
      <c r="O132" s="353" t="inlineStr">
        <is>
          <t>6/6</t>
        </is>
      </c>
      <c r="P132" s="353" t="n">
        <v>45</v>
      </c>
      <c r="Q132" s="353" t="n">
        <v>42.3</v>
      </c>
      <c r="R132" s="353" t="n">
        <v>10</v>
      </c>
      <c r="T132" s="216">
        <f>UPPER(A132&amp;" "&amp;B132&amp;" "&amp;D132&amp;" "&amp;E132&amp;" "&amp;F132&amp;" "&amp;G132&amp;" "&amp;H132)</f>
        <v/>
      </c>
      <c r="U132" s="216">
        <f>IF(AND('TRA CỨU TỔNG HỢP'!$B$3&lt;&gt;"",ISNUMBER(SEARCH('TRA CỨU TỔNG HỢP'!$B$3,T132))),MAX($U$3:U131)+1,"")</f>
        <v/>
      </c>
    </row>
    <row r="133" ht="15" customHeight="1" s="217">
      <c r="A133" s="354" t="inlineStr">
        <is>
          <t>CUMMINS</t>
        </is>
      </c>
      <c r="B133" s="355" t="inlineStr">
        <is>
          <t>HH083054</t>
        </is>
      </c>
      <c r="C133" s="354" t="inlineStr">
        <is>
          <t>Holset</t>
        </is>
      </c>
      <c r="D133" s="354" t="inlineStr">
        <is>
          <t>HX27W</t>
        </is>
      </c>
      <c r="E133" s="354" t="inlineStr">
        <is>
          <t>ISF3.8</t>
        </is>
      </c>
      <c r="F133" s="356" t="inlineStr">
        <is>
          <t>3779951
2843674</t>
        </is>
      </c>
      <c r="G133" s="354" t="inlineStr">
        <is>
          <t>Cummins ISF3.8</t>
        </is>
      </c>
      <c r="H133" s="357" t="inlineStr">
        <is>
          <t>SL</t>
        </is>
      </c>
      <c r="I133" s="358" t="n"/>
      <c r="J133" s="358" t="n"/>
      <c r="K133" s="358" t="n"/>
      <c r="L133" s="358">
        <f>IF(K133="","",K133*1.1)</f>
        <v/>
      </c>
      <c r="M133" s="359" t="n">
        <v>56</v>
      </c>
      <c r="N133" s="359" t="n">
        <v>40.8</v>
      </c>
      <c r="O133" s="359" t="inlineStr">
        <is>
          <t>6/6</t>
        </is>
      </c>
      <c r="P133" s="359" t="n">
        <v>52</v>
      </c>
      <c r="Q133" s="359" t="n">
        <v>45.6</v>
      </c>
      <c r="R133" s="359" t="n">
        <v>12</v>
      </c>
      <c r="T133" s="346">
        <f>UPPER(A133&amp;" "&amp;B133&amp;" "&amp;D133&amp;" "&amp;E133&amp;" "&amp;F133&amp;" "&amp;G133&amp;" "&amp;H133)</f>
        <v/>
      </c>
      <c r="U133" s="216">
        <f>IF(AND('TRA CỨU TỔNG HỢP'!$B$3&lt;&gt;"",ISNUMBER(SEARCH('TRA CỨU TỔNG HỢP'!$B$3,T133))),MAX($U$3:U132)+1,"")</f>
        <v/>
      </c>
    </row>
    <row r="134" ht="15" customHeight="1" s="217">
      <c r="A134" s="340" t="inlineStr">
        <is>
          <t>CUMMINS</t>
        </is>
      </c>
      <c r="B134" s="341" t="inlineStr">
        <is>
          <t>HH081335</t>
        </is>
      </c>
      <c r="C134" s="340" t="inlineStr">
        <is>
          <t>Holset</t>
        </is>
      </c>
      <c r="D134" s="340" t="inlineStr">
        <is>
          <t>HX55W</t>
        </is>
      </c>
      <c r="E134" s="340" t="inlineStr">
        <is>
          <t>HOWO 420</t>
        </is>
      </c>
      <c r="F134" s="342" t="inlineStr">
        <is>
          <t>VG1246110020/ 3776422</t>
        </is>
      </c>
      <c r="G134" s="340" t="n"/>
      <c r="H134" s="343" t="inlineStr">
        <is>
          <t>VIDARIR</t>
        </is>
      </c>
      <c r="I134" s="344" t="n"/>
      <c r="J134" s="344" t="n"/>
      <c r="K134" s="344" t="n"/>
      <c r="L134" s="344">
        <f>IF(K134="","",K134*1.1)</f>
        <v/>
      </c>
      <c r="M134" s="345" t="n"/>
      <c r="N134" s="345" t="n"/>
      <c r="O134" s="345" t="n"/>
      <c r="P134" s="345" t="n"/>
      <c r="Q134" s="345" t="n"/>
      <c r="R134" s="345" t="n"/>
      <c r="T134" s="216">
        <f>UPPER(A134&amp;" "&amp;B134&amp;" "&amp;D134&amp;" "&amp;E134&amp;" "&amp;F134&amp;" "&amp;G134&amp;" "&amp;H134)</f>
        <v/>
      </c>
      <c r="U134" s="216">
        <f>IF(AND('TRA CỨU TỔNG HỢP'!$B$3&lt;&gt;"",ISNUMBER(SEARCH('TRA CỨU TỔNG HỢP'!$B$3,T134))),MAX($U$3:U133)+1,"")</f>
        <v/>
      </c>
    </row>
    <row r="135" ht="15" customHeight="1" s="217">
      <c r="A135" s="347" t="inlineStr">
        <is>
          <t>CUMMINS</t>
        </is>
      </c>
      <c r="B135" s="348" t="inlineStr">
        <is>
          <t>HH081336</t>
        </is>
      </c>
      <c r="C135" s="349" t="inlineStr">
        <is>
          <t>Holset</t>
        </is>
      </c>
      <c r="D135" s="349" t="inlineStr">
        <is>
          <t>HX55W</t>
        </is>
      </c>
      <c r="E135" s="349" t="inlineStr">
        <is>
          <t>HOWO 420</t>
        </is>
      </c>
      <c r="F135" s="350" t="inlineStr">
        <is>
          <t>VG1246110020/ 3776422</t>
        </is>
      </c>
      <c r="G135" s="349" t="n"/>
      <c r="H135" s="351" t="inlineStr">
        <is>
          <t>VIDARIR</t>
        </is>
      </c>
      <c r="I135" s="352" t="n"/>
      <c r="J135" s="352" t="n"/>
      <c r="K135" s="352" t="n"/>
      <c r="L135" s="352">
        <f>IF(K135="","",K135*1.1)</f>
        <v/>
      </c>
      <c r="M135" s="353" t="n"/>
      <c r="N135" s="353" t="n"/>
      <c r="O135" s="353" t="n"/>
      <c r="P135" s="353" t="n"/>
      <c r="Q135" s="353" t="n"/>
      <c r="R135" s="353" t="n"/>
      <c r="T135" s="216">
        <f>UPPER(A135&amp;" "&amp;B135&amp;" "&amp;D135&amp;" "&amp;E135&amp;" "&amp;F135&amp;" "&amp;G135&amp;" "&amp;H135)</f>
        <v/>
      </c>
      <c r="U135" s="216">
        <f>IF(AND('TRA CỨU TỔNG HỢP'!$B$3&lt;&gt;"",ISNUMBER(SEARCH('TRA CỨU TỔNG HỢP'!$B$3,T135))),MAX($U$3:U134)+1,"")</f>
        <v/>
      </c>
    </row>
    <row r="136" ht="15" customHeight="1" s="217">
      <c r="A136" s="340" t="inlineStr">
        <is>
          <t>CUMMINS</t>
        </is>
      </c>
      <c r="B136" s="341" t="inlineStr">
        <is>
          <t>HH079359</t>
        </is>
      </c>
      <c r="C136" s="340" t="inlineStr">
        <is>
          <t>Holset</t>
        </is>
      </c>
      <c r="D136" s="340" t="inlineStr">
        <is>
          <t>HX80</t>
        </is>
      </c>
      <c r="E136" s="340" t="inlineStr">
        <is>
          <t>KTA19</t>
        </is>
      </c>
      <c r="F136" s="342" t="inlineStr">
        <is>
          <t>3594118
3594134
3594117</t>
        </is>
      </c>
      <c r="G136" s="340" t="inlineStr">
        <is>
          <t>Cummins KTA19</t>
        </is>
      </c>
      <c r="H136" s="343" t="inlineStr">
        <is>
          <t>SL</t>
        </is>
      </c>
      <c r="I136" s="344" t="n"/>
      <c r="J136" s="344" t="n"/>
      <c r="K136" s="344" t="n"/>
      <c r="L136" s="344">
        <f>IF(K136="","",K136*1.1)</f>
        <v/>
      </c>
      <c r="M136" s="345" t="n">
        <v>141</v>
      </c>
      <c r="N136" s="345" t="n">
        <v>91.59999999999999</v>
      </c>
      <c r="O136" s="345" t="inlineStr">
        <is>
          <t>8/8</t>
        </is>
      </c>
      <c r="P136" s="345" t="n">
        <v>129</v>
      </c>
      <c r="Q136" s="345" t="n">
        <v>95.84999999999999</v>
      </c>
      <c r="R136" s="345" t="n">
        <v>11</v>
      </c>
      <c r="T136" s="346">
        <f>UPPER(A136&amp;" "&amp;B136&amp;" "&amp;D136&amp;" "&amp;E136&amp;" "&amp;F136&amp;" "&amp;G136&amp;" "&amp;H136)</f>
        <v/>
      </c>
      <c r="U136" s="216">
        <f>IF(AND('TRA CỨU TỔNG HỢP'!$B$3&lt;&gt;"",ISNUMBER(SEARCH('TRA CỨU TỔNG HỢP'!$B$3,T136))),MAX($U$3:U135)+1,"")</f>
        <v/>
      </c>
    </row>
    <row r="137" ht="15" customHeight="1" s="217">
      <c r="A137" s="347" t="inlineStr">
        <is>
          <t>CUMMINS</t>
        </is>
      </c>
      <c r="B137" s="348" t="inlineStr">
        <is>
          <t>HH077028</t>
        </is>
      </c>
      <c r="C137" s="349" t="inlineStr">
        <is>
          <t>Holset</t>
        </is>
      </c>
      <c r="D137" s="349" t="inlineStr">
        <is>
          <t>HX80</t>
        </is>
      </c>
      <c r="E137" s="349" t="inlineStr">
        <is>
          <t>KTA19</t>
        </is>
      </c>
      <c r="F137" s="350" t="inlineStr">
        <is>
          <t>3594118
3594134
3594117</t>
        </is>
      </c>
      <c r="G137" s="349" t="inlineStr">
        <is>
          <t>Cummins KTA19</t>
        </is>
      </c>
      <c r="H137" s="351" t="inlineStr">
        <is>
          <t>SL</t>
        </is>
      </c>
      <c r="I137" s="352" t="n"/>
      <c r="J137" s="352" t="n"/>
      <c r="K137" s="352" t="n"/>
      <c r="L137" s="352">
        <f>IF(K137="","",K137*1.1)</f>
        <v/>
      </c>
      <c r="M137" s="353" t="n">
        <v>141</v>
      </c>
      <c r="N137" s="353" t="n">
        <v>91.59999999999999</v>
      </c>
      <c r="O137" s="353" t="inlineStr">
        <is>
          <t>8/8</t>
        </is>
      </c>
      <c r="P137" s="353" t="n">
        <v>129</v>
      </c>
      <c r="Q137" s="353" t="n">
        <v>95.84999999999999</v>
      </c>
      <c r="R137" s="353" t="n">
        <v>11</v>
      </c>
      <c r="T137" s="346">
        <f>UPPER(A137&amp;" "&amp;B137&amp;" "&amp;D137&amp;" "&amp;E137&amp;" "&amp;F137&amp;" "&amp;G137&amp;" "&amp;H137)</f>
        <v/>
      </c>
      <c r="U137" s="216">
        <f>IF(AND('TRA CỨU TỔNG HỢP'!$B$3&lt;&gt;"",ISNUMBER(SEARCH('TRA CỨU TỔNG HỢP'!$B$3,T137))),MAX($U$3:U136)+1,"")</f>
        <v/>
      </c>
    </row>
    <row r="138" ht="15" customHeight="1" s="217">
      <c r="A138" s="347" t="inlineStr">
        <is>
          <t>CUMMINS</t>
        </is>
      </c>
      <c r="B138" s="348" t="inlineStr">
        <is>
          <t>HH081916</t>
        </is>
      </c>
      <c r="C138" s="349" t="inlineStr">
        <is>
          <t>Holset</t>
        </is>
      </c>
      <c r="D138" s="349" t="inlineStr">
        <is>
          <t>HX80</t>
        </is>
      </c>
      <c r="E138" s="349" t="inlineStr">
        <is>
          <t>KTA19</t>
        </is>
      </c>
      <c r="F138" s="350" t="inlineStr">
        <is>
          <t>3594118
3594134
3594117</t>
        </is>
      </c>
      <c r="G138" s="349" t="inlineStr">
        <is>
          <t>Cummins KTA19</t>
        </is>
      </c>
      <c r="H138" s="351" t="inlineStr">
        <is>
          <t>SL</t>
        </is>
      </c>
      <c r="I138" s="352" t="n"/>
      <c r="J138" s="352" t="n"/>
      <c r="K138" s="352" t="n"/>
      <c r="L138" s="352">
        <f>IF(K138="","",K138*1.1)</f>
        <v/>
      </c>
      <c r="M138" s="353" t="n">
        <v>141</v>
      </c>
      <c r="N138" s="353" t="n">
        <v>91.59999999999999</v>
      </c>
      <c r="O138" s="353" t="inlineStr">
        <is>
          <t>8/8</t>
        </is>
      </c>
      <c r="P138" s="353" t="n">
        <v>129</v>
      </c>
      <c r="Q138" s="353" t="n">
        <v>95.84999999999999</v>
      </c>
      <c r="R138" s="353" t="n">
        <v>11</v>
      </c>
      <c r="T138" s="346">
        <f>UPPER(A138&amp;" "&amp;B138&amp;" "&amp;D138&amp;" "&amp;E138&amp;" "&amp;F138&amp;" "&amp;G138&amp;" "&amp;H138)</f>
        <v/>
      </c>
      <c r="U138" s="216">
        <f>IF(AND('TRA CỨU TỔNG HỢP'!$B$3&lt;&gt;"",ISNUMBER(SEARCH('TRA CỨU TỔNG HỢP'!$B$3,T138))),MAX($U$3:U137)+1,"")</f>
        <v/>
      </c>
    </row>
    <row r="139" ht="15" customHeight="1" s="217">
      <c r="A139" s="379" t="inlineStr">
        <is>
          <t>CUMMINS</t>
        </is>
      </c>
      <c r="B139" s="380" t="n"/>
      <c r="C139" s="379" t="inlineStr">
        <is>
          <t>Holset</t>
        </is>
      </c>
      <c r="D139" s="379" t="inlineStr">
        <is>
          <t>HX25</t>
        </is>
      </c>
      <c r="E139" s="379" t="inlineStr">
        <is>
          <t>HX25W</t>
        </is>
      </c>
      <c r="F139" s="381" t="inlineStr">
        <is>
          <t>1000-020-153</t>
        </is>
      </c>
      <c r="G139" s="379" t="inlineStr">
        <is>
          <t>tnc là hx25</t>
        </is>
      </c>
      <c r="H139" s="382" t="n"/>
      <c r="I139" s="383" t="n"/>
      <c r="J139" s="383" t="n"/>
      <c r="K139" s="383" t="n"/>
      <c r="L139" s="383">
        <f>IF(K139="","",K139*1.1)</f>
        <v/>
      </c>
      <c r="M139" s="384" t="n"/>
      <c r="N139" s="384" t="n"/>
      <c r="O139" s="384" t="n"/>
      <c r="P139" s="384" t="n"/>
      <c r="Q139" s="384" t="n"/>
      <c r="R139" s="384" t="n"/>
      <c r="T139" s="216">
        <f>UPPER(A139&amp;" "&amp;B139&amp;" "&amp;D139&amp;" "&amp;E139&amp;" "&amp;F139&amp;" "&amp;G139&amp;" "&amp;H139)</f>
        <v/>
      </c>
      <c r="U139" s="216">
        <f>IF(AND('TRA CỨU TỔNG HỢP'!$B$3&lt;&gt;"",ISNUMBER(SEARCH('TRA CỨU TỔNG HỢP'!$B$3,T139))),MAX($U$3:U138)+1,"")</f>
        <v/>
      </c>
    </row>
    <row r="140" ht="19.5" customHeight="1" s="217">
      <c r="A140" s="378" t="inlineStr">
        <is>
          <t xml:space="preserve">  🏭  DETROIT   ·   2 loại turbo</t>
        </is>
      </c>
      <c r="U140" s="216">
        <f>IF(AND('TRA CỨU TỔNG HỢP'!$B$3&lt;&gt;"",ISNUMBER(SEARCH('TRA CỨU TỔNG HỢP'!$B$3,T140))),MAX($U$3:U139)+1,"")</f>
        <v/>
      </c>
    </row>
    <row r="141" ht="15" customHeight="1" s="217">
      <c r="A141" s="354" t="inlineStr">
        <is>
          <t>DETROIT</t>
        </is>
      </c>
      <c r="B141" s="355" t="inlineStr">
        <is>
          <t>HH077593</t>
        </is>
      </c>
      <c r="C141" s="354" t="inlineStr">
        <is>
          <t>Garrett</t>
        </is>
      </c>
      <c r="D141" s="354" t="inlineStr">
        <is>
          <t>GTA4502V</t>
        </is>
      </c>
      <c r="E141" s="354" t="inlineStr">
        <is>
          <t>DETROIT S60 14L</t>
        </is>
      </c>
      <c r="F141" s="356" t="inlineStr">
        <is>
          <t>758160-0007/758160-0009/0006
1000-010-579T</t>
        </is>
      </c>
      <c r="G141" s="354" t="n"/>
      <c r="H141" s="357" t="inlineStr">
        <is>
          <t>JRONE</t>
        </is>
      </c>
      <c r="I141" s="358" t="n"/>
      <c r="J141" s="358" t="n"/>
      <c r="K141" s="358" t="n"/>
      <c r="L141" s="358">
        <f>IF(K141="","",K141*1.1)</f>
        <v/>
      </c>
      <c r="M141" s="359" t="n"/>
      <c r="N141" s="359" t="n"/>
      <c r="O141" s="359" t="n"/>
      <c r="P141" s="359" t="n"/>
      <c r="Q141" s="359" t="n"/>
      <c r="R141" s="359" t="n"/>
      <c r="T141" s="346">
        <f>UPPER(A141&amp;" "&amp;B141&amp;" "&amp;D141&amp;" "&amp;E141&amp;" "&amp;F141&amp;" "&amp;G141&amp;" "&amp;H141)</f>
        <v/>
      </c>
      <c r="U141" s="216">
        <f>IF(AND('TRA CỨU TỔNG HỢP'!$B$3&lt;&gt;"",ISNUMBER(SEARCH('TRA CỨU TỔNG HỢP'!$B$3,T141))),MAX($U$3:U140)+1,"")</f>
        <v/>
      </c>
    </row>
    <row r="142" ht="15" customHeight="1" s="217">
      <c r="A142" s="354" t="inlineStr">
        <is>
          <t>DETROIT</t>
        </is>
      </c>
      <c r="B142" s="355" t="inlineStr">
        <is>
          <t>HH077424</t>
        </is>
      </c>
      <c r="C142" s="354" t="inlineStr">
        <is>
          <t>BorgWarner</t>
        </is>
      </c>
      <c r="D142" s="354" t="inlineStr">
        <is>
          <t>K31/ DETROIT S60</t>
        </is>
      </c>
      <c r="E142" s="354" t="n"/>
      <c r="F142" s="356" t="inlineStr">
        <is>
          <t>8B31-200-J32
172743</t>
        </is>
      </c>
      <c r="G142" s="354" t="n"/>
      <c r="H142" s="357" t="inlineStr">
        <is>
          <t>JRONE</t>
        </is>
      </c>
      <c r="I142" s="358" t="n"/>
      <c r="J142" s="358" t="n"/>
      <c r="K142" s="358" t="n"/>
      <c r="L142" s="358">
        <f>IF(K142="","",K142*1.1)</f>
        <v/>
      </c>
      <c r="M142" s="359" t="n"/>
      <c r="N142" s="359" t="n"/>
      <c r="O142" s="359" t="n"/>
      <c r="P142" s="359" t="n"/>
      <c r="Q142" s="359" t="n"/>
      <c r="R142" s="359" t="n"/>
      <c r="T142" s="346">
        <f>UPPER(A142&amp;" "&amp;B142&amp;" "&amp;D142&amp;" "&amp;E142&amp;" "&amp;F142&amp;" "&amp;G142&amp;" "&amp;H142)</f>
        <v/>
      </c>
      <c r="U142" s="216">
        <f>IF(AND('TRA CỨU TỔNG HỢP'!$B$3&lt;&gt;"",ISNUMBER(SEARCH('TRA CỨU TỔNG HỢP'!$B$3,T142))),MAX($U$3:U141)+1,"")</f>
        <v/>
      </c>
    </row>
    <row r="143" ht="19.5" customHeight="1" s="217">
      <c r="A143" s="378" t="inlineStr">
        <is>
          <t xml:space="preserve">  🏭  DEUTZ   ·   15 loại turbo</t>
        </is>
      </c>
      <c r="U143" s="216">
        <f>IF(AND('TRA CỨU TỔNG HỢP'!$B$3&lt;&gt;"",ISNUMBER(SEARCH('TRA CỨU TỔNG HỢP'!$B$3,T143))),MAX($U$3:U142)+1,"")</f>
        <v/>
      </c>
    </row>
    <row r="144" ht="15" customHeight="1" s="217">
      <c r="A144" s="354" t="inlineStr">
        <is>
          <t>DEUTZ</t>
        </is>
      </c>
      <c r="B144" s="355" t="inlineStr">
        <is>
          <t>HH078402</t>
        </is>
      </c>
      <c r="C144" s="354" t="inlineStr">
        <is>
          <t>BorgWarner</t>
        </is>
      </c>
      <c r="D144" s="354" t="inlineStr">
        <is>
          <t>S2B</t>
        </is>
      </c>
      <c r="E144" s="354" t="inlineStr">
        <is>
          <t>BF6M1013EC</t>
        </is>
      </c>
      <c r="F144" s="356" t="inlineStr">
        <is>
          <t>04204169KZ
316702/313931/313933/316721
316722/314075/316733
313932/316711/313934
316732/314819/316706
317378/315348/316716
04253832KZ/04204498KZ/04202972KZ
04207660KZ/04207864KZ/04204490KZ
4253832KZ/4204169KZ/4204490KZ
4204498KZ/04253832/4204498
4204169/4202972
4207660/4207864</t>
        </is>
      </c>
      <c r="G144" s="354" t="n"/>
      <c r="H144" s="357" t="inlineStr">
        <is>
          <t>SL</t>
        </is>
      </c>
      <c r="I144" s="358" t="n"/>
      <c r="J144" s="358" t="n"/>
      <c r="K144" s="358" t="n"/>
      <c r="L144" s="358">
        <f>IF(K144="","",K144*1.1)</f>
        <v/>
      </c>
      <c r="M144" s="359" t="n">
        <v>76.2</v>
      </c>
      <c r="N144" s="359" t="n">
        <v>52</v>
      </c>
      <c r="O144" s="359" t="inlineStr">
        <is>
          <t>7/7</t>
        </is>
      </c>
      <c r="P144" s="359" t="n">
        <v>74.40000000000001</v>
      </c>
      <c r="Q144" s="359" t="n">
        <v>64.59999999999999</v>
      </c>
      <c r="R144" s="359" t="n">
        <v>11</v>
      </c>
      <c r="T144" s="346">
        <f>UPPER(A144&amp;" "&amp;B144&amp;" "&amp;D144&amp;" "&amp;E144&amp;" "&amp;F144&amp;" "&amp;G144&amp;" "&amp;H144)</f>
        <v/>
      </c>
      <c r="U144" s="216">
        <f>IF(AND('TRA CỨU TỔNG HỢP'!$B$3&lt;&gt;"",ISNUMBER(SEARCH('TRA CỨU TỔNG HỢP'!$B$3,T144))),MAX($U$3:U143)+1,"")</f>
        <v/>
      </c>
    </row>
    <row r="145" ht="15" customHeight="1" s="217">
      <c r="A145" s="354" t="inlineStr">
        <is>
          <t>DEUTZ</t>
        </is>
      </c>
      <c r="B145" s="355" t="inlineStr">
        <is>
          <t>HH082043</t>
        </is>
      </c>
      <c r="C145" s="354" t="inlineStr">
        <is>
          <t>BorgWarner</t>
        </is>
      </c>
      <c r="D145" s="354" t="inlineStr">
        <is>
          <t>K04</t>
        </is>
      </c>
      <c r="E145" s="354" t="inlineStr">
        <is>
          <t>TCD2012L4-2V</t>
        </is>
      </c>
      <c r="F145" s="356" t="inlineStr">
        <is>
          <t>53049880087
53049700087/5304-970-0087/5304-988-0087
5304/988/0087/970|04299166/04298276
04299166KZ/04298276KZ
21092582/21075166/04298663</t>
        </is>
      </c>
      <c r="G145" s="354" t="n"/>
      <c r="H145" s="357" t="inlineStr">
        <is>
          <t>1831</t>
        </is>
      </c>
      <c r="I145" s="358" t="n"/>
      <c r="J145" s="358" t="n"/>
      <c r="K145" s="358" t="n"/>
      <c r="L145" s="358">
        <f>IF(K145="","",K145*1.1)</f>
        <v/>
      </c>
      <c r="M145" s="359" t="n"/>
      <c r="N145" s="359" t="n"/>
      <c r="O145" s="359" t="n"/>
      <c r="P145" s="359" t="n"/>
      <c r="Q145" s="359" t="n"/>
      <c r="R145" s="359" t="n"/>
      <c r="T145" s="346">
        <f>UPPER(A145&amp;" "&amp;B145&amp;" "&amp;D145&amp;" "&amp;E145&amp;" "&amp;F145&amp;" "&amp;G145&amp;" "&amp;H145)</f>
        <v/>
      </c>
      <c r="U145" s="216">
        <f>IF(AND('TRA CỨU TỔNG HỢP'!$B$3&lt;&gt;"",ISNUMBER(SEARCH('TRA CỨU TỔNG HỢP'!$B$3,T145))),MAX($U$3:U144)+1,"")</f>
        <v/>
      </c>
    </row>
    <row r="146" ht="15" customHeight="1" s="217">
      <c r="A146" s="340" t="inlineStr">
        <is>
          <t>DEUTZ</t>
        </is>
      </c>
      <c r="B146" s="341" t="inlineStr">
        <is>
          <t>HH070618</t>
        </is>
      </c>
      <c r="C146" s="340" t="inlineStr">
        <is>
          <t>Garrett</t>
        </is>
      </c>
      <c r="D146" s="340" t="inlineStr">
        <is>
          <t>TO4E55</t>
        </is>
      </c>
      <c r="E146" s="340" t="inlineStr">
        <is>
          <t>D1146</t>
        </is>
      </c>
      <c r="F146" s="342" t="inlineStr">
        <is>
          <t>466721-0012
65.09100-7087
7098</t>
        </is>
      </c>
      <c r="G146" s="340" t="n"/>
      <c r="H146" s="343" t="inlineStr">
        <is>
          <t>SL</t>
        </is>
      </c>
      <c r="I146" s="344" t="n"/>
      <c r="J146" s="344" t="n"/>
      <c r="K146" s="344" t="n"/>
      <c r="L146" s="344">
        <f>IF(K146="","",K146*1.1)</f>
        <v/>
      </c>
      <c r="M146" s="345" t="n">
        <v>76.09999999999999</v>
      </c>
      <c r="N146" s="345" t="n">
        <v>52.8</v>
      </c>
      <c r="O146" s="345" t="inlineStr">
        <is>
          <t>6/6</t>
        </is>
      </c>
      <c r="P146" s="345" t="n">
        <v>74.26000000000001</v>
      </c>
      <c r="Q146" s="345" t="n">
        <v>64.59999999999999</v>
      </c>
      <c r="R146" s="345" t="n">
        <v>11</v>
      </c>
      <c r="T146" s="346">
        <f>UPPER(A146&amp;" "&amp;B146&amp;" "&amp;D146&amp;" "&amp;E146&amp;" "&amp;F146&amp;" "&amp;G146&amp;" "&amp;H146)</f>
        <v/>
      </c>
      <c r="U146" s="216">
        <f>IF(AND('TRA CỨU TỔNG HỢP'!$B$3&lt;&gt;"",ISNUMBER(SEARCH('TRA CỨU TỔNG HỢP'!$B$3,T146))),MAX($U$3:U145)+1,"")</f>
        <v/>
      </c>
    </row>
    <row r="147" ht="15" customHeight="1" s="217">
      <c r="A147" s="347" t="inlineStr">
        <is>
          <t>DEUTZ</t>
        </is>
      </c>
      <c r="B147" s="348" t="inlineStr">
        <is>
          <t>HH079977</t>
        </is>
      </c>
      <c r="C147" s="349" t="inlineStr">
        <is>
          <t>Garrett</t>
        </is>
      </c>
      <c r="D147" s="349" t="inlineStr">
        <is>
          <t>TO4E55</t>
        </is>
      </c>
      <c r="E147" s="349" t="inlineStr">
        <is>
          <t>D1146</t>
        </is>
      </c>
      <c r="F147" s="350" t="inlineStr">
        <is>
          <t>466721-0012
65.09100-7087
7098</t>
        </is>
      </c>
      <c r="G147" s="349" t="n"/>
      <c r="H147" s="351" t="n"/>
      <c r="I147" s="352" t="n"/>
      <c r="J147" s="352" t="n"/>
      <c r="K147" s="352" t="n"/>
      <c r="L147" s="352">
        <f>IF(K147="","",K147*1.1)</f>
        <v/>
      </c>
      <c r="M147" s="353" t="n">
        <v>76.09999999999999</v>
      </c>
      <c r="N147" s="353" t="n">
        <v>52.8</v>
      </c>
      <c r="O147" s="353" t="inlineStr">
        <is>
          <t>6/6</t>
        </is>
      </c>
      <c r="P147" s="353" t="n">
        <v>74.26000000000001</v>
      </c>
      <c r="Q147" s="353" t="n">
        <v>64.59999999999999</v>
      </c>
      <c r="R147" s="353" t="n">
        <v>11</v>
      </c>
      <c r="T147" s="346">
        <f>UPPER(A147&amp;" "&amp;B147&amp;" "&amp;D147&amp;" "&amp;E147&amp;" "&amp;F147&amp;" "&amp;G147&amp;" "&amp;H147)</f>
        <v/>
      </c>
      <c r="U147" s="216">
        <f>IF(AND('TRA CỨU TỔNG HỢP'!$B$3&lt;&gt;"",ISNUMBER(SEARCH('TRA CỨU TỔNG HỢP'!$B$3,T147))),MAX($U$3:U146)+1,"")</f>
        <v/>
      </c>
    </row>
    <row r="148" ht="15" customHeight="1" s="217">
      <c r="A148" s="354" t="inlineStr">
        <is>
          <t>DEUTZ</t>
        </is>
      </c>
      <c r="B148" s="355" t="inlineStr">
        <is>
          <t>HH075587</t>
        </is>
      </c>
      <c r="C148" s="354" t="inlineStr">
        <is>
          <t>Garrett</t>
        </is>
      </c>
      <c r="D148" s="354" t="inlineStr">
        <is>
          <t>TO4E55</t>
        </is>
      </c>
      <c r="E148" s="354" t="inlineStr">
        <is>
          <t>D1146/DE08</t>
        </is>
      </c>
      <c r="F148" s="356" t="inlineStr">
        <is>
          <t>65.09100-7082
730505-0002
65.09100/65091007082/65091007137/730505-0001/730505-1/730505-5001S
8G04-100-H81</t>
        </is>
      </c>
      <c r="G148" s="354" t="n"/>
      <c r="H148" s="357" t="inlineStr">
        <is>
          <t>JRONE</t>
        </is>
      </c>
      <c r="I148" s="358" t="n"/>
      <c r="J148" s="358" t="n"/>
      <c r="K148" s="358" t="n"/>
      <c r="L148" s="358">
        <f>IF(K148="","",K148*1.1)</f>
        <v/>
      </c>
      <c r="M148" s="359" t="n">
        <v>76.09999999999999</v>
      </c>
      <c r="N148" s="359" t="n">
        <v>52.8</v>
      </c>
      <c r="O148" s="359" t="inlineStr">
        <is>
          <t>6/6</t>
        </is>
      </c>
      <c r="P148" s="359" t="n">
        <v>74.26000000000001</v>
      </c>
      <c r="Q148" s="359" t="n">
        <v>64.59999999999999</v>
      </c>
      <c r="R148" s="359" t="n">
        <v>11</v>
      </c>
      <c r="T148" s="346">
        <f>UPPER(A148&amp;" "&amp;B148&amp;" "&amp;D148&amp;" "&amp;E148&amp;" "&amp;F148&amp;" "&amp;G148&amp;" "&amp;H148)</f>
        <v/>
      </c>
      <c r="U148" s="216">
        <f>IF(AND('TRA CỨU TỔNG HỢP'!$B$3&lt;&gt;"",ISNUMBER(SEARCH('TRA CỨU TỔNG HỢP'!$B$3,T148))),MAX($U$3:U147)+1,"")</f>
        <v/>
      </c>
    </row>
    <row r="149" ht="15" customHeight="1" s="217">
      <c r="A149" s="354" t="inlineStr">
        <is>
          <t>DEUTZ</t>
        </is>
      </c>
      <c r="B149" s="355" t="inlineStr">
        <is>
          <t>HH081334</t>
        </is>
      </c>
      <c r="C149" s="354" t="inlineStr">
        <is>
          <t>BorgWarner</t>
        </is>
      </c>
      <c r="D149" s="354" t="inlineStr">
        <is>
          <t>S100/ BF4M2011</t>
        </is>
      </c>
      <c r="E149" s="354" t="n"/>
      <c r="F149" s="356" t="n">
        <v>319261</v>
      </c>
      <c r="G149" s="354" t="n"/>
      <c r="H149" s="357" t="inlineStr">
        <is>
          <t>VIDARIR</t>
        </is>
      </c>
      <c r="I149" s="358" t="n"/>
      <c r="J149" s="358" t="n"/>
      <c r="K149" s="358" t="n"/>
      <c r="L149" s="358">
        <f>IF(K149="","",K149*1.1)</f>
        <v/>
      </c>
      <c r="M149" s="359" t="n"/>
      <c r="N149" s="359" t="n"/>
      <c r="O149" s="359" t="n"/>
      <c r="P149" s="359" t="n"/>
      <c r="Q149" s="359" t="n"/>
      <c r="R149" s="359" t="n"/>
      <c r="T149" s="216">
        <f>UPPER(A149&amp;" "&amp;B149&amp;" "&amp;D149&amp;" "&amp;E149&amp;" "&amp;F149&amp;" "&amp;G149&amp;" "&amp;H149)</f>
        <v/>
      </c>
      <c r="U149" s="216">
        <f>IF(AND('TRA CỨU TỔNG HỢP'!$B$3&lt;&gt;"",ISNUMBER(SEARCH('TRA CỨU TỔNG HỢP'!$B$3,T149))),MAX($U$3:U148)+1,"")</f>
        <v/>
      </c>
    </row>
    <row r="150" ht="15" customHeight="1" s="217">
      <c r="A150" s="354" t="inlineStr">
        <is>
          <t>DEUTZ</t>
        </is>
      </c>
      <c r="B150" s="355" t="inlineStr">
        <is>
          <t>HH075394</t>
        </is>
      </c>
      <c r="C150" s="354" t="inlineStr">
        <is>
          <t>BorgWarner</t>
        </is>
      </c>
      <c r="D150" s="354" t="inlineStr">
        <is>
          <t>S200/ TAD720</t>
        </is>
      </c>
      <c r="E150" s="354" t="inlineStr">
        <is>
          <t>BF6M1013</t>
        </is>
      </c>
      <c r="F150" s="356" t="inlineStr">
        <is>
          <t>318729/318844
20500295/3802178/8S02-100-B57
4259487/03048634KZ/04259487KZ/3048634/4284837/04284837KZ/4282199/04259450KZ/4259501/04259501KZ/04282199KZ/4259315/04259315KZ/4259450/3048634/3802178/20500295/20470372/20500295/3802178 1200-980-0010/12009900010/12009700010/12009880010/318844/1200-988-0010/12009800010/1200-990-0010/1200-970-0010</t>
        </is>
      </c>
      <c r="G150" s="354" t="n"/>
      <c r="H150" s="357" t="inlineStr">
        <is>
          <t>JRONE</t>
        </is>
      </c>
      <c r="I150" s="358" t="n"/>
      <c r="J150" s="358" t="n"/>
      <c r="K150" s="358" t="n"/>
      <c r="L150" s="358">
        <f>IF(K150="","",K150*1.1)</f>
        <v/>
      </c>
      <c r="M150" s="359" t="n">
        <v>80.3</v>
      </c>
      <c r="N150" s="359" t="n">
        <v>52</v>
      </c>
      <c r="O150" s="359" t="inlineStr">
        <is>
          <t>7/7</t>
        </is>
      </c>
      <c r="P150" s="359" t="n">
        <v>74</v>
      </c>
      <c r="Q150" s="359" t="n">
        <v>64.09999999999999</v>
      </c>
      <c r="R150" s="359" t="n">
        <v>11</v>
      </c>
      <c r="T150" s="346">
        <f>UPPER(A150&amp;" "&amp;B150&amp;" "&amp;D150&amp;" "&amp;E150&amp;" "&amp;F150&amp;" "&amp;G150&amp;" "&amp;H150)</f>
        <v/>
      </c>
      <c r="U150" s="216">
        <f>IF(AND('TRA CỨU TỔNG HỢP'!$B$3&lt;&gt;"",ISNUMBER(SEARCH('TRA CỨU TỔNG HỢP'!$B$3,T150))),MAX($U$3:U149)+1,"")</f>
        <v/>
      </c>
    </row>
    <row r="151" ht="15" customHeight="1" s="217">
      <c r="A151" s="354" t="inlineStr">
        <is>
          <t>DEUTZ</t>
        </is>
      </c>
      <c r="B151" s="355" t="inlineStr">
        <is>
          <t>HH077149</t>
        </is>
      </c>
      <c r="C151" s="354" t="inlineStr">
        <is>
          <t>BorgWarner</t>
        </is>
      </c>
      <c r="D151" s="354" t="inlineStr">
        <is>
          <t>S200</t>
        </is>
      </c>
      <c r="E151" s="354" t="inlineStr">
        <is>
          <t>BF6M2012C/ D6D</t>
        </is>
      </c>
      <c r="F151" s="356" t="inlineStr">
        <is>
          <t>8S02-100-976
318706/20515585/3802132
04258679KZ/04258309KZ/04282637KZ/3050491/04282622KZ/4282637/4282622/4258679/4258309/03050491KZ/3050491/4282637/20515585/20492757/20492757/20515585 318680/318706/319303</t>
        </is>
      </c>
      <c r="G151" s="354" t="n"/>
      <c r="H151" s="357" t="inlineStr">
        <is>
          <t>JRONE</t>
        </is>
      </c>
      <c r="I151" s="358" t="n"/>
      <c r="J151" s="358" t="n"/>
      <c r="K151" s="358" t="n"/>
      <c r="L151" s="358">
        <f>IF(K151="","",K151*1.1)</f>
        <v/>
      </c>
      <c r="M151" s="359" t="n"/>
      <c r="N151" s="359" t="n"/>
      <c r="O151" s="359" t="n"/>
      <c r="P151" s="359" t="n"/>
      <c r="Q151" s="359" t="n"/>
      <c r="R151" s="359" t="n"/>
      <c r="T151" s="346">
        <f>UPPER(A151&amp;" "&amp;B151&amp;" "&amp;D151&amp;" "&amp;E151&amp;" "&amp;F151&amp;" "&amp;G151&amp;" "&amp;H151)</f>
        <v/>
      </c>
      <c r="U151" s="216">
        <f>IF(AND('TRA CỨU TỔNG HỢP'!$B$3&lt;&gt;"",ISNUMBER(SEARCH('TRA CỨU TỔNG HỢP'!$B$3,T151))),MAX($U$3:U150)+1,"")</f>
        <v/>
      </c>
    </row>
    <row r="152" ht="15" customHeight="1" s="217">
      <c r="A152" s="354" t="inlineStr">
        <is>
          <t>DEUTZ</t>
        </is>
      </c>
      <c r="B152" s="355" t="inlineStr">
        <is>
          <t>HH082796</t>
        </is>
      </c>
      <c r="C152" s="354" t="inlineStr">
        <is>
          <t>BorgWarner</t>
        </is>
      </c>
      <c r="D152" s="354" t="inlineStr">
        <is>
          <t>S200G</t>
        </is>
      </c>
      <c r="E152" s="354" t="inlineStr">
        <is>
          <t>TCD2012L6-2V</t>
        </is>
      </c>
      <c r="F152" s="356" t="inlineStr">
        <is>
          <t>1263-970-0000
04294368/20999737/04294368KZ
1263-710-0000</t>
        </is>
      </c>
      <c r="G152" s="354" t="n"/>
      <c r="H152" s="357" t="inlineStr">
        <is>
          <t>SL</t>
        </is>
      </c>
      <c r="I152" s="358" t="n"/>
      <c r="J152" s="358" t="n"/>
      <c r="K152" s="358" t="n"/>
      <c r="L152" s="358">
        <f>IF(K152="","",K152*1.1)</f>
        <v/>
      </c>
      <c r="M152" s="359" t="n">
        <v>73</v>
      </c>
      <c r="N152" s="359" t="n">
        <v>50.1</v>
      </c>
      <c r="O152" s="359" t="inlineStr">
        <is>
          <t>7/7</t>
        </is>
      </c>
      <c r="P152" s="359" t="n">
        <v>63.3</v>
      </c>
      <c r="Q152" s="359" t="n">
        <v>51.8</v>
      </c>
      <c r="R152" s="359" t="n">
        <v>10</v>
      </c>
      <c r="T152" s="346">
        <f>UPPER(A152&amp;" "&amp;B152&amp;" "&amp;D152&amp;" "&amp;E152&amp;" "&amp;F152&amp;" "&amp;G152&amp;" "&amp;H152)</f>
        <v/>
      </c>
      <c r="U152" s="216">
        <f>IF(AND('TRA CỨU TỔNG HỢP'!$B$3&lt;&gt;"",ISNUMBER(SEARCH('TRA CỨU TỔNG HỢP'!$B$3,T152))),MAX($U$3:U151)+1,"")</f>
        <v/>
      </c>
    </row>
    <row r="153" ht="15" customHeight="1" s="217">
      <c r="A153" s="354" t="inlineStr">
        <is>
          <t>DEUTZ</t>
        </is>
      </c>
      <c r="B153" s="355" t="inlineStr">
        <is>
          <t>HH081410</t>
        </is>
      </c>
      <c r="C153" s="354" t="inlineStr">
        <is>
          <t>BorgWarner</t>
        </is>
      </c>
      <c r="D153" s="354" t="inlineStr">
        <is>
          <t>S259</t>
        </is>
      </c>
      <c r="E153" s="354" t="inlineStr">
        <is>
          <t>BFM2012</t>
        </is>
      </c>
      <c r="F153" s="356" t="inlineStr">
        <is>
          <t>04195745KZ</t>
        </is>
      </c>
      <c r="G153" s="354" t="n"/>
      <c r="H153" s="357" t="inlineStr">
        <is>
          <t>EE</t>
        </is>
      </c>
      <c r="I153" s="358" t="n"/>
      <c r="J153" s="358" t="n"/>
      <c r="K153" s="358" t="n"/>
      <c r="L153" s="358">
        <f>IF(K153="","",K153*1.1)</f>
        <v/>
      </c>
      <c r="M153" s="359" t="n"/>
      <c r="N153" s="359" t="n"/>
      <c r="O153" s="359" t="n"/>
      <c r="P153" s="359" t="n"/>
      <c r="Q153" s="359" t="n"/>
      <c r="R153" s="359" t="n"/>
      <c r="T153" s="216">
        <f>UPPER(A153&amp;" "&amp;B153&amp;" "&amp;D153&amp;" "&amp;E153&amp;" "&amp;F153&amp;" "&amp;G153&amp;" "&amp;H153)</f>
        <v/>
      </c>
      <c r="U153" s="216">
        <f>IF(AND('TRA CỨU TỔNG HỢP'!$B$3&lt;&gt;"",ISNUMBER(SEARCH('TRA CỨU TỔNG HỢP'!$B$3,T153))),MAX($U$3:U152)+1,"")</f>
        <v/>
      </c>
    </row>
    <row r="154" ht="15" customHeight="1" s="217">
      <c r="A154" s="354" t="inlineStr">
        <is>
          <t>DEUTZ</t>
        </is>
      </c>
      <c r="B154" s="355" t="inlineStr">
        <is>
          <t>HH077136</t>
        </is>
      </c>
      <c r="C154" s="354" t="inlineStr">
        <is>
          <t>BorgWarner</t>
        </is>
      </c>
      <c r="D154" s="354" t="inlineStr">
        <is>
          <t>B1G-2471</t>
        </is>
      </c>
      <c r="E154" s="354" t="inlineStr">
        <is>
          <t>TCD2013L04 2V</t>
        </is>
      </c>
      <c r="F154" s="356" t="inlineStr">
        <is>
          <t>8B01-200-B43/1158-970-0000
1158-970-0002/0003/0008
298830/04298830KZ/04299152KZ/4299152/4294688/04294688KZ/04298284KZ/4298284/04294689KZ/4294689/4298278/04298278KZ/4297800/04297800KZ/4294260/04294260KZ/21179874/21092586</t>
        </is>
      </c>
      <c r="G154" s="354" t="n"/>
      <c r="H154" s="357" t="n"/>
      <c r="I154" s="358" t="n"/>
      <c r="J154" s="358" t="n"/>
      <c r="K154" s="358" t="n"/>
      <c r="L154" s="358">
        <f>IF(K154="","",K154*1.1)</f>
        <v/>
      </c>
      <c r="M154" s="359" t="n"/>
      <c r="N154" s="359" t="n"/>
      <c r="O154" s="359" t="n"/>
      <c r="P154" s="359" t="n"/>
      <c r="Q154" s="359" t="n"/>
      <c r="R154" s="359" t="n"/>
      <c r="T154" s="346">
        <f>UPPER(A154&amp;" "&amp;B154&amp;" "&amp;D154&amp;" "&amp;E154&amp;" "&amp;F154&amp;" "&amp;G154&amp;" "&amp;H154)</f>
        <v/>
      </c>
      <c r="U154" s="216">
        <f>IF(AND('TRA CỨU TỔNG HỢP'!$B$3&lt;&gt;"",ISNUMBER(SEARCH('TRA CỨU TỔNG HỢP'!$B$3,T154))),MAX($U$3:U153)+1,"")</f>
        <v/>
      </c>
    </row>
    <row r="155" ht="15" customHeight="1" s="217">
      <c r="A155" s="354" t="inlineStr">
        <is>
          <t>DEUTZ</t>
        </is>
      </c>
      <c r="B155" s="355" t="inlineStr">
        <is>
          <t>HH073999</t>
        </is>
      </c>
      <c r="C155" s="354" t="inlineStr">
        <is>
          <t>BorgWarner</t>
        </is>
      </c>
      <c r="D155" s="354" t="inlineStr">
        <is>
          <t>K27</t>
        </is>
      </c>
      <c r="E155" s="354" t="inlineStr">
        <is>
          <t>BF6L913</t>
        </is>
      </c>
      <c r="F155" s="356" t="inlineStr">
        <is>
          <t>53279706441/5327-988-6072/53279806441/53279806072/5327-988-6440/310769/5327-988-6070/53279906440/53279906070/53279766441/53279886070/1946 36/53279806440/5327-980-6070/5327-970-6070/313769/5327-970-6440/53279886441/5327-990-6440/5327-990-6072/5327-980-6440/5327970 6441/53279706440/5327-988-6441/53279706072/169145/5327-990-6441/53279746441/5327-990-6070/53279906441/53279886440/5327-980-60 72/5327-970-6441/53279706070/5327-980-6441/313050/53279886072/5327-970-6072/53279906072/53279806070/466646-0005/466646-12/4653 66-0016/465366-5017S/465366-2/465366-13/465366-8/465366-1/465366-17/465366-0018/465366-3/466646-0012/465366-18/465366-5/46536 6-0004/466646-5/465366-12/465366-0010/465366-0017/466646-2/465366-0008/465366-0013/465366-4/465366-10/465366-0011/466646-1/46 5366-6/465366-11/466646-14/465366-0007/465366-0012/465366-0006/465366-0003/465366-16/465366-0015/466646-0014/466646-0002/4653 66-7/465366-0001/465366-9/465366-0005/465366-15/465366-5007S/465366-5013S/465366-0002/466646-0001/465366-0009/3580266/4033167H/3520966599/352096429980/A352096429980/A3520964299/352096439980/A3520 96439980/A3520964399/352096489980/A352096629980/A3520966299/A35209653 99/352096629980/A3520966399/352096659980/352096639980/A352096639980/ 352096669980/A352096669980/A352096659980/A3520966599/A352096679980/A3 520966799/A3520966699/352096679980/A352096499980/352096499980/A35209 64899/A352096489980/A3520965099/A352096509980/352096509980/A352096499 9/352096529980/A3520965199/A352096519980/352096519980/A352096539980/3 52096539980/A3520965299/A352096529980/A3660960199/366096029980/A36609 6029980/A3660960299/A366096009980/A3660960099/366096019980/A36609601 9980/A366096049980/A3660960499/366096069980/A366096069980/36609603998 0/A366096039980/A3660960399/366096049980/A3520968299/A352096829980/A 352096839980/352096839980/A352096689980/352096689980/352096829980/A35 20966899/A352096859980/352096859980/366096009980/A3520968599/3520968 49980/A3520968399/A3520968499/A352096849980/366096159980/A36609615998 0/A366096149980/A3660961499/A3660961399/366096149980/A3660961699/3660 96139980/A366096139980/A3660963699/A366096199980/A3660961899/A3660961 999/A366096189980/366096199980/A366096169980/366096189980/A366096159 9/366096169980/366096099980/A3660960899/A366096089980/366096089980/A3 660960799/A366096079980/366096079980/A3660960699/A3660961299/A366096 129980/366096129980/A3660961099/A366096109980/366096109980/A366096099 9/A366096099980/A3760960699/A376096009980/376096009980/376096039980/ A3760960099/A3760960399/A376096039980/A376096069980/376096069980/A366 0962799/366096289980/A366096289980/A3660962899/366096309980/A36609630 9980/A3660963099/366096369980/366096229980/A366096229980/A3660962299/ 366096269980/A366096269980/A3660962699/366096279980/A366096279980/36 60964199/3660960899/3520965299/3520965399/3520966899/3660961399/37609 60099/3760960399/3660960299/3660960999/3660961099/3660960799/3660961699/3660961499/3660961299/3660961899/3660961999/3660962799/3660963099 /3660963699/3660960699/3520968399/3520968299/3760960699/3520964999/3520968599/3520968499/3520964899/3520964399/3520965099/3520966399/3520 966299/3520966699/3520966799/3660961599/3660960099/3660960199/3660960399/3660960499/3660962699/3660962899/3660962299/3520964299/3520965199</t>
        </is>
      </c>
      <c r="G155" s="354" t="n"/>
      <c r="H155" s="357" t="inlineStr">
        <is>
          <t>SL</t>
        </is>
      </c>
      <c r="I155" s="358" t="n"/>
      <c r="J155" s="358" t="n"/>
      <c r="K155" s="358" t="n"/>
      <c r="L155" s="358">
        <f>IF(K155="","",K155*1.1)</f>
        <v/>
      </c>
      <c r="M155" s="359" t="n">
        <v>74</v>
      </c>
      <c r="N155" s="359" t="n">
        <v>47.3</v>
      </c>
      <c r="O155" s="359" t="inlineStr">
        <is>
          <t>7/7</t>
        </is>
      </c>
      <c r="P155" s="359" t="n">
        <v>70</v>
      </c>
      <c r="Q155" s="359" t="n">
        <v>63</v>
      </c>
      <c r="R155" s="359" t="inlineStr">
        <is>
          <t>12</t>
        </is>
      </c>
      <c r="T155" s="216">
        <f>UPPER(A155&amp;" "&amp;B155&amp;" "&amp;D155&amp;" "&amp;E155&amp;" "&amp;F155&amp;" "&amp;G155&amp;" "&amp;H155)</f>
        <v/>
      </c>
      <c r="U155" s="216">
        <f>IF(AND('TRA CỨU TỔNG HỢP'!$B$3&lt;&gt;"",ISNUMBER(SEARCH('TRA CỨU TỔNG HỢP'!$B$3,T155))),MAX($U$3:U154)+1,"")</f>
        <v/>
      </c>
    </row>
    <row r="156" ht="15" customHeight="1" s="217">
      <c r="A156" s="367" t="inlineStr">
        <is>
          <t>DEUTZ</t>
        </is>
      </c>
      <c r="B156" s="368" t="n"/>
      <c r="C156" s="367" t="inlineStr">
        <is>
          <t>BorgWarner</t>
        </is>
      </c>
      <c r="D156" s="367" t="inlineStr">
        <is>
          <t>S100</t>
        </is>
      </c>
      <c r="E156" s="367" t="inlineStr">
        <is>
          <t>Hamm 3410/ BF4M2012C</t>
        </is>
      </c>
      <c r="F156" s="369" t="inlineStr">
        <is>
          <t>04258199KZ</t>
        </is>
      </c>
      <c r="G156" s="367" t="n"/>
      <c r="H156" s="370" t="n"/>
      <c r="I156" s="371" t="n"/>
      <c r="J156" s="371" t="n"/>
      <c r="K156" s="371" t="n"/>
      <c r="L156" s="371">
        <f>IF(K156="","",K156*1.1)</f>
        <v/>
      </c>
      <c r="M156" s="372" t="n">
        <v>53</v>
      </c>
      <c r="N156" s="372" t="n">
        <v>35.7</v>
      </c>
      <c r="O156" s="372" t="inlineStr">
        <is>
          <t>6/6</t>
        </is>
      </c>
      <c r="P156" s="372" t="n">
        <v>53</v>
      </c>
      <c r="Q156" s="372" t="n">
        <v>45.7</v>
      </c>
      <c r="R156" s="372" t="n">
        <v>9</v>
      </c>
      <c r="T156" s="216">
        <f>UPPER(A156&amp;" "&amp;B156&amp;" "&amp;D156&amp;" "&amp;E156&amp;" "&amp;F156&amp;" "&amp;G156&amp;" "&amp;H156)</f>
        <v/>
      </c>
      <c r="U156" s="216">
        <f>IF(AND('TRA CỨU TỔNG HỢP'!$B$3&lt;&gt;"",ISNUMBER(SEARCH('TRA CỨU TỔNG HỢP'!$B$3,T156))),MAX($U$3:U155)+1,"")</f>
        <v/>
      </c>
    </row>
    <row r="157" ht="15" customHeight="1" s="217">
      <c r="A157" s="354" t="inlineStr">
        <is>
          <t>DEUTZ</t>
        </is>
      </c>
      <c r="B157" s="355" t="inlineStr">
        <is>
          <t>HH078401</t>
        </is>
      </c>
      <c r="C157" s="354" t="inlineStr">
        <is>
          <t>BorgWarner</t>
        </is>
      </c>
      <c r="D157" s="354" t="inlineStr">
        <is>
          <t>S2A</t>
        </is>
      </c>
      <c r="E157" s="354" t="inlineStr">
        <is>
          <t>BF4M1013</t>
        </is>
      </c>
      <c r="F157" s="356" t="inlineStr">
        <is>
          <t>04204837KZ</t>
        </is>
      </c>
      <c r="G157" s="354" t="n"/>
      <c r="H157" s="357" t="inlineStr">
        <is>
          <t>SL</t>
        </is>
      </c>
      <c r="I157" s="358" t="n"/>
      <c r="J157" s="358" t="n"/>
      <c r="K157" s="358" t="n"/>
      <c r="L157" s="358">
        <f>IF(K157="","",K157*1.1)</f>
        <v/>
      </c>
      <c r="M157" s="359" t="n">
        <v>61</v>
      </c>
      <c r="N157" s="359" t="n">
        <v>40.7</v>
      </c>
      <c r="O157" s="359" t="inlineStr">
        <is>
          <t>7/7</t>
        </is>
      </c>
      <c r="P157" s="359" t="n">
        <v>61</v>
      </c>
      <c r="Q157" s="359" t="n">
        <v>53</v>
      </c>
      <c r="R157" s="359" t="n">
        <v>10</v>
      </c>
      <c r="T157" s="216">
        <f>UPPER(A157&amp;" "&amp;B157&amp;" "&amp;D157&amp;" "&amp;E157&amp;" "&amp;F157&amp;" "&amp;G157&amp;" "&amp;H157)</f>
        <v/>
      </c>
      <c r="U157" s="216">
        <f>IF(AND('TRA CỨU TỔNG HỢP'!$B$3&lt;&gt;"",ISNUMBER(SEARCH('TRA CỨU TỔNG HỢP'!$B$3,T157))),MAX($U$3:U156)+1,"")</f>
        <v/>
      </c>
    </row>
    <row r="158" ht="15" customHeight="1" s="217">
      <c r="A158" s="340" t="inlineStr">
        <is>
          <t>DEUTZ</t>
        </is>
      </c>
      <c r="B158" s="341" t="inlineStr">
        <is>
          <t>HH077154</t>
        </is>
      </c>
      <c r="C158" s="340" t="inlineStr">
        <is>
          <t>BorgWarner</t>
        </is>
      </c>
      <c r="D158" s="340" t="inlineStr">
        <is>
          <t>S200G</t>
        </is>
      </c>
      <c r="E158" s="340" t="inlineStr">
        <is>
          <t>TCD2013L6/D7E</t>
        </is>
      </c>
      <c r="F158" s="342" t="inlineStr">
        <is>
          <t>04294676
1270-970-0013
8S02-200-L43</t>
        </is>
      </c>
      <c r="G158" s="340" t="n"/>
      <c r="H158" s="343" t="inlineStr">
        <is>
          <t>JRONE</t>
        </is>
      </c>
      <c r="I158" s="344" t="n"/>
      <c r="J158" s="344" t="n"/>
      <c r="K158" s="344" t="n"/>
      <c r="L158" s="344">
        <f>IF(K158="","",K158*1.1)</f>
        <v/>
      </c>
      <c r="M158" s="345" t="n"/>
      <c r="N158" s="345" t="n"/>
      <c r="O158" s="345" t="n"/>
      <c r="P158" s="345" t="n"/>
      <c r="Q158" s="345" t="n"/>
      <c r="R158" s="345" t="n"/>
      <c r="T158" s="346">
        <f>UPPER(A158&amp;" "&amp;B158&amp;" "&amp;D158&amp;" "&amp;E158&amp;" "&amp;F158&amp;" "&amp;G158&amp;" "&amp;H158)</f>
        <v/>
      </c>
      <c r="U158" s="216">
        <f>IF(AND('TRA CỨU TỔNG HỢP'!$B$3&lt;&gt;"",ISNUMBER(SEARCH('TRA CỨU TỔNG HỢP'!$B$3,T158))),MAX($U$3:U157)+1,"")</f>
        <v/>
      </c>
    </row>
    <row r="159" ht="15" customHeight="1" s="217">
      <c r="A159" s="347" t="inlineStr">
        <is>
          <t>DEUTZ</t>
        </is>
      </c>
      <c r="B159" s="348" t="inlineStr">
        <is>
          <t>HH080648</t>
        </is>
      </c>
      <c r="C159" s="349" t="inlineStr">
        <is>
          <t>BorgWarner</t>
        </is>
      </c>
      <c r="D159" s="349" t="inlineStr">
        <is>
          <t>S200G</t>
        </is>
      </c>
      <c r="E159" s="349" t="inlineStr">
        <is>
          <t>TCD2013L6/D7E</t>
        </is>
      </c>
      <c r="F159" s="350" t="inlineStr">
        <is>
          <t>04294676
1270-970-0013
8S02-200-L43</t>
        </is>
      </c>
      <c r="G159" s="349" t="n"/>
      <c r="H159" s="351" t="inlineStr">
        <is>
          <t>FIRE</t>
        </is>
      </c>
      <c r="I159" s="352" t="n"/>
      <c r="J159" s="352" t="n"/>
      <c r="K159" s="352" t="n"/>
      <c r="L159" s="352">
        <f>IF(K159="","",K159*1.1)</f>
        <v/>
      </c>
      <c r="M159" s="353" t="n"/>
      <c r="N159" s="353" t="n"/>
      <c r="O159" s="353" t="n"/>
      <c r="P159" s="353" t="n"/>
      <c r="Q159" s="353" t="n"/>
      <c r="R159" s="353" t="n"/>
      <c r="T159" s="346">
        <f>UPPER(A159&amp;" "&amp;B159&amp;" "&amp;D159&amp;" "&amp;E159&amp;" "&amp;F159&amp;" "&amp;G159&amp;" "&amp;H159)</f>
        <v/>
      </c>
      <c r="U159" s="216">
        <f>IF(AND('TRA CỨU TỔNG HỢP'!$B$3&lt;&gt;"",ISNUMBER(SEARCH('TRA CỨU TỔNG HỢP'!$B$3,T159))),MAX($U$3:U158)+1,"")</f>
        <v/>
      </c>
    </row>
    <row r="160" ht="15" customHeight="1" s="217">
      <c r="A160" s="354" t="inlineStr">
        <is>
          <t>DEUTZ</t>
        </is>
      </c>
      <c r="B160" s="355" t="inlineStr">
        <is>
          <t>HH077153</t>
        </is>
      </c>
      <c r="C160" s="354" t="inlineStr">
        <is>
          <t>BorgWarner</t>
        </is>
      </c>
      <c r="D160" s="354" t="inlineStr">
        <is>
          <t>S200G</t>
        </is>
      </c>
      <c r="E160" s="354" t="inlineStr">
        <is>
          <t>TCD2012L6 / D6E</t>
        </is>
      </c>
      <c r="F160" s="356" t="inlineStr">
        <is>
          <t>8S02-200-H79
5620-197-0023
20873313</t>
        </is>
      </c>
      <c r="G160" s="354" t="n"/>
      <c r="H160" s="357" t="n"/>
      <c r="I160" s="358" t="n"/>
      <c r="J160" s="358" t="n"/>
      <c r="K160" s="358" t="n"/>
      <c r="L160" s="358">
        <f>IF(K160="","",K160*1.1)</f>
        <v/>
      </c>
      <c r="M160" s="359" t="n"/>
      <c r="N160" s="359" t="n"/>
      <c r="O160" s="359" t="n"/>
      <c r="P160" s="359" t="n"/>
      <c r="Q160" s="359" t="n"/>
      <c r="R160" s="359" t="n"/>
      <c r="T160" s="346">
        <f>UPPER(A160&amp;" "&amp;B160&amp;" "&amp;D160&amp;" "&amp;E160&amp;" "&amp;F160&amp;" "&amp;G160&amp;" "&amp;H160)</f>
        <v/>
      </c>
      <c r="U160" s="216">
        <f>IF(AND('TRA CỨU TỔNG HỢP'!$B$3&lt;&gt;"",ISNUMBER(SEARCH('TRA CỨU TỔNG HỢP'!$B$3,T160))),MAX($U$3:U159)+1,"")</f>
        <v/>
      </c>
    </row>
    <row r="161" ht="19.5" customHeight="1" s="217">
      <c r="A161" s="378" t="inlineStr">
        <is>
          <t xml:space="preserve">  🏭  DOOSAN   ·   8 loại turbo</t>
        </is>
      </c>
      <c r="U161" s="216">
        <f>IF(AND('TRA CỨU TỔNG HỢP'!$B$3&lt;&gt;"",ISNUMBER(SEARCH('TRA CỨU TỔNG HỢP'!$B$3,T161))),MAX($U$3:U160)+1,"")</f>
        <v/>
      </c>
    </row>
    <row r="162" ht="15" customHeight="1" s="217">
      <c r="A162" s="340" t="inlineStr">
        <is>
          <t>DOOSAN</t>
        </is>
      </c>
      <c r="B162" s="341" t="inlineStr">
        <is>
          <t>HH072674</t>
        </is>
      </c>
      <c r="C162" s="340" t="inlineStr">
        <is>
          <t>Garrett</t>
        </is>
      </c>
      <c r="D162" s="340" t="inlineStr">
        <is>
          <t>TA45</t>
        </is>
      </c>
      <c r="E162" s="340" t="inlineStr">
        <is>
          <t>D2366</t>
        </is>
      </c>
      <c r="F162" s="342" t="inlineStr">
        <is>
          <t>710223-0001
65091007050
(65.09100-7050)
441398-0172</t>
        </is>
      </c>
      <c r="G162" s="340" t="n"/>
      <c r="H162" s="343" t="inlineStr">
        <is>
          <t>SL</t>
        </is>
      </c>
      <c r="I162" s="344" t="n"/>
      <c r="J162" s="344" t="n"/>
      <c r="K162" s="344" t="n"/>
      <c r="L162" s="344">
        <f>IF(K162="","",K162*1.1)</f>
        <v/>
      </c>
      <c r="M162" s="345" t="n"/>
      <c r="N162" s="345" t="n"/>
      <c r="O162" s="345" t="n"/>
      <c r="P162" s="345" t="n"/>
      <c r="Q162" s="345" t="n"/>
      <c r="R162" s="345" t="n"/>
      <c r="T162" s="346">
        <f>UPPER(A162&amp;" "&amp;B162&amp;" "&amp;D162&amp;" "&amp;E162&amp;" "&amp;F162&amp;" "&amp;G162&amp;" "&amp;H162)</f>
        <v/>
      </c>
      <c r="U162" s="216">
        <f>IF(AND('TRA CỨU TỔNG HỢP'!$B$3&lt;&gt;"",ISNUMBER(SEARCH('TRA CỨU TỔNG HỢP'!$B$3,T162))),MAX($U$3:U161)+1,"")</f>
        <v/>
      </c>
    </row>
    <row r="163" ht="15" customHeight="1" s="217">
      <c r="A163" s="347" t="inlineStr">
        <is>
          <t>DOOSAN</t>
        </is>
      </c>
      <c r="B163" s="348" t="inlineStr">
        <is>
          <t>HH077905</t>
        </is>
      </c>
      <c r="C163" s="349" t="inlineStr">
        <is>
          <t>Garrett</t>
        </is>
      </c>
      <c r="D163" s="349" t="inlineStr">
        <is>
          <t>TA45</t>
        </is>
      </c>
      <c r="E163" s="349" t="inlineStr">
        <is>
          <t>D2366</t>
        </is>
      </c>
      <c r="F163" s="350" t="inlineStr">
        <is>
          <t>710223-0001
65091007050
(65.09100-7050)
441398-0172</t>
        </is>
      </c>
      <c r="G163" s="349" t="n"/>
      <c r="H163" s="351" t="inlineStr">
        <is>
          <t>SL</t>
        </is>
      </c>
      <c r="I163" s="352" t="n"/>
      <c r="J163" s="352" t="n"/>
      <c r="K163" s="352" t="n"/>
      <c r="L163" s="352">
        <f>IF(K163="","",K163*1.1)</f>
        <v/>
      </c>
      <c r="M163" s="353" t="n"/>
      <c r="N163" s="353" t="n"/>
      <c r="O163" s="353" t="n"/>
      <c r="P163" s="353" t="n"/>
      <c r="Q163" s="353" t="n"/>
      <c r="R163" s="353" t="n"/>
      <c r="T163" s="346">
        <f>UPPER(A163&amp;" "&amp;B163&amp;" "&amp;D163&amp;" "&amp;E163&amp;" "&amp;F163&amp;" "&amp;G163&amp;" "&amp;H163)</f>
        <v/>
      </c>
      <c r="U163" s="216">
        <f>IF(AND('TRA CỨU TỔNG HỢP'!$B$3&lt;&gt;"",ISNUMBER(SEARCH('TRA CỨU TỔNG HỢP'!$B$3,T163))),MAX($U$3:U162)+1,"")</f>
        <v/>
      </c>
    </row>
    <row r="164" ht="15" customHeight="1" s="217">
      <c r="A164" s="340" t="inlineStr">
        <is>
          <t>DOOSAN</t>
        </is>
      </c>
      <c r="B164" s="341" t="inlineStr">
        <is>
          <t>HH082687</t>
        </is>
      </c>
      <c r="C164" s="340" t="inlineStr">
        <is>
          <t>BorgWarner</t>
        </is>
      </c>
      <c r="D164" s="340" t="inlineStr">
        <is>
          <t>K27</t>
        </is>
      </c>
      <c r="E164" s="340" t="inlineStr">
        <is>
          <t>D2848/ DV15</t>
        </is>
      </c>
      <c r="F164" s="342" t="inlineStr">
        <is>
          <t>5327-970-6502</t>
        </is>
      </c>
      <c r="G164" s="340" t="n"/>
      <c r="H164" s="343" t="inlineStr">
        <is>
          <t>SL</t>
        </is>
      </c>
      <c r="I164" s="344" t="n"/>
      <c r="J164" s="344" t="n"/>
      <c r="K164" s="344" t="n"/>
      <c r="L164" s="344">
        <f>IF(K164="","",K164*1.1)</f>
        <v/>
      </c>
      <c r="M164" s="345" t="n"/>
      <c r="N164" s="345" t="n"/>
      <c r="O164" s="345" t="n"/>
      <c r="P164" s="345" t="n"/>
      <c r="Q164" s="345" t="n"/>
      <c r="R164" s="345" t="n"/>
      <c r="T164" s="216">
        <f>UPPER(A164&amp;" "&amp;B164&amp;" "&amp;D164&amp;" "&amp;E164&amp;" "&amp;F164&amp;" "&amp;G164&amp;" "&amp;H164)</f>
        <v/>
      </c>
      <c r="U164" s="216">
        <f>IF(AND('TRA CỨU TỔNG HỢP'!$B$3&lt;&gt;"",ISNUMBER(SEARCH('TRA CỨU TỔNG HỢP'!$B$3,T164))),MAX($U$3:U163)+1,"")</f>
        <v/>
      </c>
    </row>
    <row r="165" ht="15" customHeight="1" s="217">
      <c r="A165" s="347" t="inlineStr">
        <is>
          <t>DOOSAN</t>
        </is>
      </c>
      <c r="B165" s="348" t="inlineStr">
        <is>
          <t>HH082686</t>
        </is>
      </c>
      <c r="C165" s="349" t="inlineStr">
        <is>
          <t>BorgWarner</t>
        </is>
      </c>
      <c r="D165" s="349" t="inlineStr">
        <is>
          <t>K27</t>
        </is>
      </c>
      <c r="E165" s="349" t="inlineStr">
        <is>
          <t>D2848/ DV15</t>
        </is>
      </c>
      <c r="F165" s="350" t="inlineStr">
        <is>
          <t>5327-970-6502</t>
        </is>
      </c>
      <c r="G165" s="349" t="n"/>
      <c r="H165" s="351" t="inlineStr">
        <is>
          <t>SL</t>
        </is>
      </c>
      <c r="I165" s="352" t="n"/>
      <c r="J165" s="352" t="n"/>
      <c r="K165" s="352" t="n"/>
      <c r="L165" s="352">
        <f>IF(K165="","",K165*1.1)</f>
        <v/>
      </c>
      <c r="M165" s="353" t="n"/>
      <c r="N165" s="353" t="n"/>
      <c r="O165" s="353" t="n"/>
      <c r="P165" s="353" t="n"/>
      <c r="Q165" s="353" t="n"/>
      <c r="R165" s="353" t="n"/>
      <c r="T165" s="216">
        <f>UPPER(A165&amp;" "&amp;B165&amp;" "&amp;D165&amp;" "&amp;E165&amp;" "&amp;F165&amp;" "&amp;G165&amp;" "&amp;H165)</f>
        <v/>
      </c>
      <c r="U165" s="216">
        <f>IF(AND('TRA CỨU TỔNG HỢP'!$B$3&lt;&gt;"",ISNUMBER(SEARCH('TRA CỨU TỔNG HỢP'!$B$3,T165))),MAX($U$3:U164)+1,"")</f>
        <v/>
      </c>
    </row>
    <row r="166" ht="15" customHeight="1" s="217">
      <c r="A166" s="354" t="inlineStr">
        <is>
          <t>DOOSAN</t>
        </is>
      </c>
      <c r="B166" s="355" t="inlineStr">
        <is>
          <t>HH0636</t>
        </is>
      </c>
      <c r="C166" s="354" t="inlineStr">
        <is>
          <t>Garrett</t>
        </is>
      </c>
      <c r="D166" s="354" t="inlineStr">
        <is>
          <t>TV48</t>
        </is>
      </c>
      <c r="E166" s="354" t="n"/>
      <c r="F166" s="356" t="inlineStr">
        <is>
          <t>65-09100-7206</t>
        </is>
      </c>
      <c r="G166" s="354" t="inlineStr">
        <is>
          <t>Máy phát điện Doosan</t>
        </is>
      </c>
      <c r="H166" s="357" t="inlineStr">
        <is>
          <t>FIRE</t>
        </is>
      </c>
      <c r="I166" s="358" t="n"/>
      <c r="J166" s="358" t="n"/>
      <c r="K166" s="358" t="n"/>
      <c r="L166" s="358">
        <f>IF(K166="","",K166*1.1)</f>
        <v/>
      </c>
      <c r="M166" s="359" t="n"/>
      <c r="N166" s="359" t="n"/>
      <c r="O166" s="359" t="n"/>
      <c r="P166" s="359" t="n"/>
      <c r="Q166" s="359" t="n"/>
      <c r="R166" s="359" t="n"/>
      <c r="T166" s="216">
        <f>UPPER(A166&amp;" "&amp;B166&amp;" "&amp;D166&amp;" "&amp;E166&amp;" "&amp;F166&amp;" "&amp;G166&amp;" "&amp;H166)</f>
        <v/>
      </c>
      <c r="U166" s="216">
        <f>IF(AND('TRA CỨU TỔNG HỢP'!$B$3&lt;&gt;"",ISNUMBER(SEARCH('TRA CỨU TỔNG HỢP'!$B$3,T166))),MAX($U$3:U165)+1,"")</f>
        <v/>
      </c>
    </row>
    <row r="167" ht="15" customHeight="1" s="217">
      <c r="A167" s="340" t="inlineStr">
        <is>
          <t>DOOSAN</t>
        </is>
      </c>
      <c r="B167" s="341" t="inlineStr">
        <is>
          <t>HH075711</t>
        </is>
      </c>
      <c r="C167" s="340" t="inlineStr">
        <is>
          <t>Garrett</t>
        </is>
      </c>
      <c r="D167" s="340" t="inlineStr">
        <is>
          <t>GT42</t>
        </is>
      </c>
      <c r="E167" s="340" t="inlineStr">
        <is>
          <t xml:space="preserve">DE12TIS/D2366-DHI </t>
        </is>
      </c>
      <c r="F167" s="342" t="inlineStr">
        <is>
          <t>701139-0001
65091007119
65091007196
434251-0024</t>
        </is>
      </c>
      <c r="G167" s="340" t="n"/>
      <c r="H167" s="343" t="inlineStr">
        <is>
          <t>SL</t>
        </is>
      </c>
      <c r="I167" s="344" t="n"/>
      <c r="J167" s="344" t="n"/>
      <c r="K167" s="344" t="n"/>
      <c r="L167" s="344">
        <f>IF(K167="","",K167*1.1)</f>
        <v/>
      </c>
      <c r="M167" s="345" t="n">
        <v>88</v>
      </c>
      <c r="N167" s="345" t="n">
        <v>60.8</v>
      </c>
      <c r="O167" s="345" t="inlineStr">
        <is>
          <t>6/6</t>
        </is>
      </c>
      <c r="P167" s="345" t="n">
        <v>82</v>
      </c>
      <c r="Q167" s="345" t="n">
        <v>72.40000000000001</v>
      </c>
      <c r="R167" s="345" t="n">
        <v>10</v>
      </c>
      <c r="T167" s="346">
        <f>UPPER(A167&amp;" "&amp;B167&amp;" "&amp;D167&amp;" "&amp;E167&amp;" "&amp;F167&amp;" "&amp;G167&amp;" "&amp;H167)</f>
        <v/>
      </c>
      <c r="U167" s="216">
        <f>IF(AND('TRA CỨU TỔNG HỢP'!$B$3&lt;&gt;"",ISNUMBER(SEARCH('TRA CỨU TỔNG HỢP'!$B$3,T167))),MAX($U$3:U166)+1,"")</f>
        <v/>
      </c>
    </row>
    <row r="168" ht="15" customHeight="1" s="217">
      <c r="A168" s="347" t="inlineStr">
        <is>
          <t>DOOSAN</t>
        </is>
      </c>
      <c r="B168" s="348" t="inlineStr">
        <is>
          <t>HH082879</t>
        </is>
      </c>
      <c r="C168" s="349" t="inlineStr">
        <is>
          <t>Garrett</t>
        </is>
      </c>
      <c r="D168" s="349" t="inlineStr">
        <is>
          <t>GT42</t>
        </is>
      </c>
      <c r="E168" s="349" t="inlineStr">
        <is>
          <t xml:space="preserve">DE12TIS/D2366-DHI </t>
        </is>
      </c>
      <c r="F168" s="350" t="inlineStr">
        <is>
          <t>701139-0001
65091007119
65091007196
434251-0024</t>
        </is>
      </c>
      <c r="G168" s="349" t="n"/>
      <c r="H168" s="351" t="inlineStr">
        <is>
          <t>SL</t>
        </is>
      </c>
      <c r="I168" s="352" t="n"/>
      <c r="J168" s="352" t="n"/>
      <c r="K168" s="352" t="n"/>
      <c r="L168" s="352">
        <f>IF(K168="","",K168*1.1)</f>
        <v/>
      </c>
      <c r="M168" s="353" t="n">
        <v>88</v>
      </c>
      <c r="N168" s="353" t="n">
        <v>60.8</v>
      </c>
      <c r="O168" s="353" t="inlineStr">
        <is>
          <t>6/6</t>
        </is>
      </c>
      <c r="P168" s="353" t="n">
        <v>82</v>
      </c>
      <c r="Q168" s="353" t="n">
        <v>72.40000000000001</v>
      </c>
      <c r="R168" s="353" t="n">
        <v>10</v>
      </c>
      <c r="T168" s="346">
        <f>UPPER(A168&amp;" "&amp;B168&amp;" "&amp;D168&amp;" "&amp;E168&amp;" "&amp;F168&amp;" "&amp;G168&amp;" "&amp;H168)</f>
        <v/>
      </c>
      <c r="U168" s="216">
        <f>IF(AND('TRA CỨU TỔNG HỢP'!$B$3&lt;&gt;"",ISNUMBER(SEARCH('TRA CỨU TỔNG HỢP'!$B$3,T168))),MAX($U$3:U167)+1,"")</f>
        <v/>
      </c>
    </row>
    <row r="169" ht="15" customHeight="1" s="217">
      <c r="A169" s="347" t="inlineStr">
        <is>
          <t>DOOSAN</t>
        </is>
      </c>
      <c r="B169" s="348" t="inlineStr">
        <is>
          <t>HH078208</t>
        </is>
      </c>
      <c r="C169" s="349" t="inlineStr">
        <is>
          <t>Garrett</t>
        </is>
      </c>
      <c r="D169" s="349" t="inlineStr">
        <is>
          <t>GT42</t>
        </is>
      </c>
      <c r="E169" s="349" t="inlineStr">
        <is>
          <t xml:space="preserve">DE12TIS/D2366-DHI </t>
        </is>
      </c>
      <c r="F169" s="350" t="inlineStr">
        <is>
          <t>701139-0001
65091007119
65091007196
434251-0024</t>
        </is>
      </c>
      <c r="G169" s="349" t="n"/>
      <c r="H169" s="351" t="inlineStr">
        <is>
          <t>SL</t>
        </is>
      </c>
      <c r="I169" s="352" t="n"/>
      <c r="J169" s="352" t="n"/>
      <c r="K169" s="352" t="n"/>
      <c r="L169" s="352">
        <f>IF(K169="","",K169*1.1)</f>
        <v/>
      </c>
      <c r="M169" s="353" t="n">
        <v>88</v>
      </c>
      <c r="N169" s="353" t="n">
        <v>60.8</v>
      </c>
      <c r="O169" s="353" t="inlineStr">
        <is>
          <t>6/6</t>
        </is>
      </c>
      <c r="P169" s="353" t="n">
        <v>82</v>
      </c>
      <c r="Q169" s="353" t="n">
        <v>72.40000000000001</v>
      </c>
      <c r="R169" s="353" t="n">
        <v>10</v>
      </c>
      <c r="T169" s="346">
        <f>UPPER(A169&amp;" "&amp;B169&amp;" "&amp;D169&amp;" "&amp;E169&amp;" "&amp;F169&amp;" "&amp;G169&amp;" "&amp;H169)</f>
        <v/>
      </c>
      <c r="U169" s="216">
        <f>IF(AND('TRA CỨU TỔNG HỢP'!$B$3&lt;&gt;"",ISNUMBER(SEARCH('TRA CỨU TỔNG HỢP'!$B$3,T169))),MAX($U$3:U168)+1,"")</f>
        <v/>
      </c>
    </row>
    <row r="170" ht="15" customHeight="1" s="217">
      <c r="A170" s="367" t="inlineStr">
        <is>
          <t>DOOSAN</t>
        </is>
      </c>
      <c r="B170" s="368" t="n"/>
      <c r="C170" s="367" t="inlineStr">
        <is>
          <t>Garrett</t>
        </is>
      </c>
      <c r="D170" s="367" t="inlineStr">
        <is>
          <t>TV48</t>
        </is>
      </c>
      <c r="E170" s="367" t="n"/>
      <c r="F170" s="369" t="inlineStr">
        <is>
          <t>65.09100-7206</t>
        </is>
      </c>
      <c r="G170" s="367" t="n"/>
      <c r="H170" s="370" t="n"/>
      <c r="I170" s="371" t="n"/>
      <c r="J170" s="371" t="n"/>
      <c r="K170" s="371" t="n"/>
      <c r="L170" s="371">
        <f>IF(K170="","",K170*1.1)</f>
        <v/>
      </c>
      <c r="M170" s="372" t="n"/>
      <c r="N170" s="372" t="n"/>
      <c r="O170" s="372" t="n"/>
      <c r="P170" s="372" t="n"/>
      <c r="Q170" s="372" t="n"/>
      <c r="R170" s="372" t="n"/>
      <c r="T170" s="216">
        <f>UPPER(A170&amp;" "&amp;B170&amp;" "&amp;D170&amp;" "&amp;E170&amp;" "&amp;F170&amp;" "&amp;G170&amp;" "&amp;H170)</f>
        <v/>
      </c>
      <c r="U170" s="216">
        <f>IF(AND('TRA CỨU TỔNG HỢP'!$B$3&lt;&gt;"",ISNUMBER(SEARCH('TRA CỨU TỔNG HỢP'!$B$3,T170))),MAX($U$3:U169)+1,"")</f>
        <v/>
      </c>
    </row>
    <row r="171" ht="15" customHeight="1" s="217">
      <c r="A171" s="354" t="inlineStr">
        <is>
          <t>DOOSAN</t>
        </is>
      </c>
      <c r="B171" s="355" t="inlineStr">
        <is>
          <t>HH00531</t>
        </is>
      </c>
      <c r="C171" s="354" t="inlineStr">
        <is>
          <t>Holset</t>
        </is>
      </c>
      <c r="D171" s="354" t="inlineStr">
        <is>
          <t>HX35</t>
        </is>
      </c>
      <c r="E171" s="354" t="inlineStr">
        <is>
          <t>DB58T</t>
        </is>
      </c>
      <c r="F171" s="356" t="inlineStr">
        <is>
          <t>3539679
/4035455/4033596H/3593185/3591461/3539678 /4033596/65.09100-7060/65091007060/65.09100-7093/65091007093/65091007197/65.09100-7197/65091007040/65.09100-7040</t>
        </is>
      </c>
      <c r="G171" s="354" t="inlineStr">
        <is>
          <t xml:space="preserve">CÓ H/A jrone </t>
        </is>
      </c>
      <c r="H171" s="357" t="inlineStr">
        <is>
          <t>SL</t>
        </is>
      </c>
      <c r="I171" s="358" t="n"/>
      <c r="J171" s="358" t="n"/>
      <c r="K171" s="358" t="n"/>
      <c r="L171" s="358">
        <f>IF(K171="","",K171*1.1)</f>
        <v/>
      </c>
      <c r="M171" s="359" t="n">
        <v>83</v>
      </c>
      <c r="N171" s="359" t="n">
        <v>52</v>
      </c>
      <c r="O171" s="359" t="inlineStr">
        <is>
          <t>8/8</t>
        </is>
      </c>
      <c r="P171" s="359" t="n">
        <v>70</v>
      </c>
      <c r="Q171" s="359" t="n">
        <v>60</v>
      </c>
      <c r="R171" s="359" t="n">
        <v>12</v>
      </c>
      <c r="T171" s="346">
        <f>UPPER(A171&amp;" "&amp;B171&amp;" "&amp;D171&amp;" "&amp;E171&amp;" "&amp;F171&amp;" "&amp;G171&amp;" "&amp;H171)</f>
        <v/>
      </c>
      <c r="U171" s="216">
        <f>IF(AND('TRA CỨU TỔNG HỢP'!$B$3&lt;&gt;"",ISNUMBER(SEARCH('TRA CỨU TỔNG HỢP'!$B$3,T171))),MAX($U$3:U170)+1,"")</f>
        <v/>
      </c>
    </row>
    <row r="172" ht="15" customHeight="1" s="217">
      <c r="A172" s="367" t="inlineStr">
        <is>
          <t>DOOSAN</t>
        </is>
      </c>
      <c r="B172" s="368" t="n"/>
      <c r="C172" s="367" t="inlineStr">
        <is>
          <t>IHI</t>
        </is>
      </c>
      <c r="D172" s="367" t="inlineStr">
        <is>
          <t>RHF4</t>
        </is>
      </c>
      <c r="E172" s="367" t="inlineStr">
        <is>
          <t>4JB1</t>
        </is>
      </c>
      <c r="F172" s="369" t="inlineStr">
        <is>
          <t>VA420081
VB420081
F41CAD-S0081G/F41CAD-S0081B
0104-890-012/2389349
238-9349|2390230
2825179/3082308
3170981/3240237
4429826/135756180
13575-6180/135.756.180
1357561801/1357561802/634220</t>
        </is>
      </c>
      <c r="G172" s="367" t="n"/>
      <c r="H172" s="370" t="n"/>
      <c r="I172" s="371" t="n"/>
      <c r="J172" s="371" t="n"/>
      <c r="K172" s="371" t="n"/>
      <c r="L172" s="371">
        <f>IF(K172="","",K172*1.1)</f>
        <v/>
      </c>
      <c r="M172" s="372" t="n">
        <v>46</v>
      </c>
      <c r="N172" s="372" t="n">
        <v>31.1</v>
      </c>
      <c r="O172" s="372" t="inlineStr">
        <is>
          <t>5/5</t>
        </is>
      </c>
      <c r="P172" s="372" t="n">
        <v>46.5</v>
      </c>
      <c r="Q172" s="372" t="n">
        <v>35.4</v>
      </c>
      <c r="R172" s="372" t="n">
        <v>9</v>
      </c>
      <c r="T172" s="346">
        <f>UPPER(A172&amp;" "&amp;B172&amp;" "&amp;D172&amp;" "&amp;E172&amp;" "&amp;F172&amp;" "&amp;G172&amp;" "&amp;H172)</f>
        <v/>
      </c>
      <c r="U172" s="216">
        <f>IF(AND('TRA CỨU TỔNG HỢP'!$B$3&lt;&gt;"",ISNUMBER(SEARCH('TRA CỨU TỔNG HỢP'!$B$3,T172))),MAX($U$3:U171)+1,"")</f>
        <v/>
      </c>
    </row>
    <row r="173" ht="15" customHeight="1" s="217">
      <c r="A173" s="379" t="inlineStr">
        <is>
          <t>DOOSAN</t>
        </is>
      </c>
      <c r="B173" s="380" t="n"/>
      <c r="C173" s="379" t="inlineStr">
        <is>
          <t>Garrett</t>
        </is>
      </c>
      <c r="D173" s="379" t="inlineStr">
        <is>
          <t>TBL4 T04E55</t>
        </is>
      </c>
      <c r="E173" s="379" t="inlineStr">
        <is>
          <t>DE08</t>
        </is>
      </c>
      <c r="F173" s="381" t="inlineStr">
        <is>
          <t>730505-0001</t>
        </is>
      </c>
      <c r="G173" s="379" t="n"/>
      <c r="H173" s="382" t="n"/>
      <c r="I173" s="383" t="n"/>
      <c r="J173" s="383" t="n"/>
      <c r="K173" s="383" t="n"/>
      <c r="L173" s="383">
        <f>IF(K173="","",K173*1.1)</f>
        <v/>
      </c>
      <c r="M173" s="384" t="n">
        <v>76.09999999999999</v>
      </c>
      <c r="N173" s="384" t="n">
        <v>52.8</v>
      </c>
      <c r="O173" s="384" t="inlineStr">
        <is>
          <t>6/6</t>
        </is>
      </c>
      <c r="P173" s="384" t="n">
        <v>74.26000000000001</v>
      </c>
      <c r="Q173" s="384" t="n">
        <v>64.59999999999999</v>
      </c>
      <c r="R173" s="384" t="n">
        <v>11</v>
      </c>
      <c r="T173" s="216">
        <f>UPPER(A173&amp;" "&amp;B173&amp;" "&amp;D173&amp;" "&amp;E173&amp;" "&amp;F173&amp;" "&amp;G173&amp;" "&amp;H173)</f>
        <v/>
      </c>
      <c r="U173" s="216">
        <f>IF(AND('TRA CỨU TỔNG HỢP'!$B$3&lt;&gt;"",ISNUMBER(SEARCH('TRA CỨU TỔNG HỢP'!$B$3,T173))),MAX($U$3:U172)+1,"")</f>
        <v/>
      </c>
    </row>
    <row r="174" ht="19.5" customHeight="1" s="217">
      <c r="A174" s="378" t="inlineStr">
        <is>
          <t xml:space="preserve">  🏭  FAW   ·   1 loại turbo</t>
        </is>
      </c>
      <c r="U174" s="216">
        <f>IF(AND('TRA CỨU TỔNG HỢP'!$B$3&lt;&gt;"",ISNUMBER(SEARCH('TRA CỨU TỔNG HỢP'!$B$3,T174))),MAX($U$3:U173)+1,"")</f>
        <v/>
      </c>
    </row>
    <row r="175" ht="15" customHeight="1" s="217">
      <c r="A175" s="379" t="inlineStr">
        <is>
          <t>FAW</t>
        </is>
      </c>
      <c r="B175" s="380" t="n"/>
      <c r="C175" s="379" t="inlineStr">
        <is>
          <t>Garrett</t>
        </is>
      </c>
      <c r="D175" s="379" t="inlineStr">
        <is>
          <t>TBP4</t>
        </is>
      </c>
      <c r="E175" s="379" t="inlineStr">
        <is>
          <t>CA6113BKZ</t>
        </is>
      </c>
      <c r="F175" s="381" t="inlineStr">
        <is>
          <t>111801OS-BKZ</t>
        </is>
      </c>
      <c r="G175" s="385" t="inlineStr">
        <is>
          <t>111801OS-BKZ (tháo nắp cổ gang ra để bán sang 720669-5002
có hình ảnh châu phú</t>
        </is>
      </c>
      <c r="H175" s="382" t="n"/>
      <c r="I175" s="383" t="n"/>
      <c r="J175" s="383" t="n"/>
      <c r="K175" s="383" t="n"/>
      <c r="L175" s="383">
        <f>IF(K175="","",K175*1.1)</f>
        <v/>
      </c>
      <c r="M175" s="384" t="n"/>
      <c r="N175" s="384" t="n"/>
      <c r="O175" s="384" t="n"/>
      <c r="P175" s="384" t="n"/>
      <c r="Q175" s="384" t="n"/>
      <c r="R175" s="384" t="n"/>
      <c r="T175" s="346">
        <f>UPPER(A175&amp;" "&amp;B175&amp;" "&amp;D175&amp;" "&amp;E175&amp;" "&amp;F175&amp;" "&amp;G175&amp;" "&amp;H175)</f>
        <v/>
      </c>
      <c r="U175" s="216">
        <f>IF(AND('TRA CỨU TỔNG HỢP'!$B$3&lt;&gt;"",ISNUMBER(SEARCH('TRA CỨU TỔNG HỢP'!$B$3,T175))),MAX($U$3:U174)+1,"")</f>
        <v/>
      </c>
    </row>
    <row r="176" ht="19.5" customHeight="1" s="217">
      <c r="A176" s="378" t="inlineStr">
        <is>
          <t xml:space="preserve">  🏭  FORD   ·   15 loại turbo</t>
        </is>
      </c>
      <c r="U176" s="216">
        <f>IF(AND('TRA CỨU TỔNG HỢP'!$B$3&lt;&gt;"",ISNUMBER(SEARCH('TRA CỨU TỔNG HỢP'!$B$3,T176))),MAX($U$3:U175)+1,"")</f>
        <v/>
      </c>
    </row>
    <row r="177" ht="15" customHeight="1" s="217">
      <c r="A177" s="340" t="inlineStr">
        <is>
          <t>FORD</t>
        </is>
      </c>
      <c r="B177" s="341" t="inlineStr">
        <is>
          <t>HH079548</t>
        </is>
      </c>
      <c r="C177" s="340" t="inlineStr">
        <is>
          <t>Garrett</t>
        </is>
      </c>
      <c r="D177" s="340" t="inlineStr">
        <is>
          <t>GTD2056VZK</t>
        </is>
      </c>
      <c r="E177" s="340" t="inlineStr">
        <is>
          <t>2.2 Duratorq TDCi</t>
        </is>
      </c>
      <c r="F177" s="342"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7" s="340" t="n"/>
      <c r="H177" s="343" t="inlineStr">
        <is>
          <t>SL</t>
        </is>
      </c>
      <c r="I177" s="344" t="n"/>
      <c r="J177" s="344" t="n"/>
      <c r="K177" s="344" t="n"/>
      <c r="L177" s="344">
        <f>IF(K177="","",K177*1.1)</f>
        <v/>
      </c>
      <c r="M177" s="345" t="n">
        <v>57.9</v>
      </c>
      <c r="N177" s="345" t="n">
        <v>38</v>
      </c>
      <c r="O177" s="345" t="inlineStr">
        <is>
          <t>9</t>
        </is>
      </c>
      <c r="P177" s="345" t="n">
        <v>47</v>
      </c>
      <c r="Q177" s="345" t="n">
        <v>43</v>
      </c>
      <c r="R177" s="345" t="n">
        <v>9</v>
      </c>
      <c r="T177" s="216">
        <f>UPPER(A177&amp;" "&amp;B177&amp;" "&amp;D177&amp;" "&amp;E177&amp;" "&amp;F177&amp;" "&amp;G177&amp;" "&amp;H177)</f>
        <v/>
      </c>
      <c r="U177" s="216">
        <f>IF(AND('TRA CỨU TỔNG HỢP'!$B$3&lt;&gt;"",ISNUMBER(SEARCH('TRA CỨU TỔNG HỢP'!$B$3,T177))),MAX($U$3:U176)+1,"")</f>
        <v/>
      </c>
    </row>
    <row r="178" ht="15" customHeight="1" s="217">
      <c r="A178" s="347" t="inlineStr">
        <is>
          <t>FORD</t>
        </is>
      </c>
      <c r="B178" s="348" t="inlineStr">
        <is>
          <t>HH080492</t>
        </is>
      </c>
      <c r="C178" s="349" t="inlineStr">
        <is>
          <t>Garrett</t>
        </is>
      </c>
      <c r="D178" s="349" t="inlineStr">
        <is>
          <t>GTD2056VZK</t>
        </is>
      </c>
      <c r="E178" s="349" t="inlineStr">
        <is>
          <t>2.2 Duratorq TDCi</t>
        </is>
      </c>
      <c r="F178" s="350"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8" s="349" t="n"/>
      <c r="H178" s="351" t="inlineStr">
        <is>
          <t>SL</t>
        </is>
      </c>
      <c r="I178" s="352" t="n"/>
      <c r="J178" s="352" t="n"/>
      <c r="K178" s="352" t="n"/>
      <c r="L178" s="352">
        <f>IF(K178="","",K178*1.1)</f>
        <v/>
      </c>
      <c r="M178" s="353" t="n">
        <v>57.9</v>
      </c>
      <c r="N178" s="353" t="n">
        <v>38</v>
      </c>
      <c r="O178" s="353" t="inlineStr">
        <is>
          <t>9</t>
        </is>
      </c>
      <c r="P178" s="353" t="n">
        <v>47</v>
      </c>
      <c r="Q178" s="353" t="n">
        <v>43</v>
      </c>
      <c r="R178" s="353" t="n">
        <v>9</v>
      </c>
      <c r="T178" s="216">
        <f>UPPER(A178&amp;" "&amp;B178&amp;" "&amp;D178&amp;" "&amp;E178&amp;" "&amp;F178&amp;" "&amp;G178&amp;" "&amp;H178)</f>
        <v/>
      </c>
      <c r="U178" s="216">
        <f>IF(AND('TRA CỨU TỔNG HỢP'!$B$3&lt;&gt;"",ISNUMBER(SEARCH('TRA CỨU TỔNG HỢP'!$B$3,T178))),MAX($U$3:U177)+1,"")</f>
        <v/>
      </c>
    </row>
    <row r="179" ht="15" customHeight="1" s="217">
      <c r="A179" s="347" t="inlineStr">
        <is>
          <t>FORD</t>
        </is>
      </c>
      <c r="B179" s="348" t="inlineStr">
        <is>
          <t>HH082047</t>
        </is>
      </c>
      <c r="C179" s="349" t="inlineStr">
        <is>
          <t>Garrett</t>
        </is>
      </c>
      <c r="D179" s="349" t="inlineStr">
        <is>
          <t>GTD2056VZK</t>
        </is>
      </c>
      <c r="E179" s="349" t="inlineStr">
        <is>
          <t>2.2 Duratorq TDCi</t>
        </is>
      </c>
      <c r="F179" s="350" t="inlineStr">
        <is>
          <t>822182-0009/22182-0013/822182-5013S/822182-4/889939-5001W/889939-0001/822182-5010S/822182-5008S/822182-0008/822182-0004/889939-1/822182-8/822182-0010/822182-10/822182-5004S/822182-13/FB3Q-6K682DC/FB3Q-6K682-DE/FB3Q6K682DF/FB3Q-6K682-DF/2213393/FB3Q6K682DE/FB3Q6K682DC/2002583/FB3Q-6K682-DB/FB3Q-6K682-DD/FB3Q6K682DB/FB3Q6K682DD/1886559/1945797/2420479/1894011</t>
        </is>
      </c>
      <c r="G179" s="349" t="n"/>
      <c r="H179" s="351" t="inlineStr">
        <is>
          <t>1599X</t>
        </is>
      </c>
      <c r="I179" s="352" t="n"/>
      <c r="J179" s="352" t="n"/>
      <c r="K179" s="352" t="n"/>
      <c r="L179" s="352">
        <f>IF(K179="","",K179*1.1)</f>
        <v/>
      </c>
      <c r="M179" s="353" t="n">
        <v>57.9</v>
      </c>
      <c r="N179" s="353" t="n">
        <v>38</v>
      </c>
      <c r="O179" s="353" t="inlineStr">
        <is>
          <t>9</t>
        </is>
      </c>
      <c r="P179" s="353" t="n">
        <v>47</v>
      </c>
      <c r="Q179" s="353" t="n">
        <v>43</v>
      </c>
      <c r="R179" s="353" t="n">
        <v>9</v>
      </c>
      <c r="T179" s="216">
        <f>UPPER(A179&amp;" "&amp;B179&amp;" "&amp;D179&amp;" "&amp;E179&amp;" "&amp;F179&amp;" "&amp;G179&amp;" "&amp;H179)</f>
        <v/>
      </c>
      <c r="U179" s="216">
        <f>IF(AND('TRA CỨU TỔNG HỢP'!$B$3&lt;&gt;"",ISNUMBER(SEARCH('TRA CỨU TỔNG HỢP'!$B$3,T179))),MAX($U$3:U178)+1,"")</f>
        <v/>
      </c>
    </row>
    <row r="180" ht="15" customHeight="1" s="217">
      <c r="A180" s="340" t="inlineStr">
        <is>
          <t>FORD</t>
        </is>
      </c>
      <c r="B180" s="341" t="inlineStr">
        <is>
          <t>HH082678</t>
        </is>
      </c>
      <c r="C180" s="340" t="inlineStr">
        <is>
          <t>Garrett</t>
        </is>
      </c>
      <c r="D180" s="340" t="inlineStr">
        <is>
          <t>GTD1449VKZ/GTD1449V</t>
        </is>
      </c>
      <c r="E180" s="340" t="inlineStr">
        <is>
          <t>2.2 Duratorq TDCi</t>
        </is>
      </c>
      <c r="F180" s="342" t="inlineStr">
        <is>
          <t>FB3Q6K682AB/FB3Q-6K682-AB/831157-0003
831157-0002/889938-0001
831157-5002S/889938-0001/831157-0006/889938-5001W/831157-0002/831157-5004S/831157-6/889938-1/831157-4/831157-5006S/831157-2/831157-0004/FB3Q6K682AC/1894010/FB3Q6K682AD/FB3Q-6K682-AD/2213392/FB3Q-6K682-AC/FB3Q-6K682-AB/FB3Q6K682AB/1886560/2420469</t>
        </is>
      </c>
      <c r="G180" s="340" t="n"/>
      <c r="H180" s="343" t="inlineStr">
        <is>
          <t>SL</t>
        </is>
      </c>
      <c r="I180" s="344" t="n"/>
      <c r="J180" s="344" t="n"/>
      <c r="K180" s="344" t="n"/>
      <c r="L180" s="344">
        <f>IF(K180="","",K180*1.1)</f>
        <v/>
      </c>
      <c r="M180" s="345" t="n">
        <v>50.85</v>
      </c>
      <c r="N180" s="345" t="n">
        <v>33.9</v>
      </c>
      <c r="O180" s="345" t="n">
        <v>8</v>
      </c>
      <c r="P180" s="345" t="n">
        <v>39</v>
      </c>
      <c r="Q180" s="345" t="n">
        <v>35.8</v>
      </c>
      <c r="R180" s="345" t="n">
        <v>9</v>
      </c>
      <c r="T180" s="346">
        <f>UPPER(A180&amp;" "&amp;B180&amp;" "&amp;D180&amp;" "&amp;E180&amp;" "&amp;F180&amp;" "&amp;G180&amp;" "&amp;H180)</f>
        <v/>
      </c>
      <c r="U180" s="216">
        <f>IF(AND('TRA CỨU TỔNG HỢP'!$B$3&lt;&gt;"",ISNUMBER(SEARCH('TRA CỨU TỔNG HỢP'!$B$3,T180))),MAX($U$3:U179)+1,"")</f>
        <v/>
      </c>
    </row>
    <row r="181" ht="15" customHeight="1" s="217">
      <c r="A181" s="347" t="inlineStr">
        <is>
          <t>FORD</t>
        </is>
      </c>
      <c r="B181" s="348" t="inlineStr">
        <is>
          <t>HH082084</t>
        </is>
      </c>
      <c r="C181" s="349" t="inlineStr">
        <is>
          <t>Garrett</t>
        </is>
      </c>
      <c r="D181" s="349" t="inlineStr">
        <is>
          <t>GTD1449VKZ/GTD1449V</t>
        </is>
      </c>
      <c r="E181" s="349" t="inlineStr">
        <is>
          <t>2.2 Duratorq TDCi</t>
        </is>
      </c>
      <c r="F181" s="350" t="inlineStr">
        <is>
          <t>FB3Q6K682AB/FB3Q-6K682-AB/831157-0003
831157-0002/889938-0001
831157-5002S/889938-0001/831157-0006/889938-5001W/831157-0002/831157-5004S/831157-6/889938-1/831157-4/831157-5006S/831157-2/831157-0004/FB3Q6K682AC/1894010/FB3Q6K682AD/FB3Q-6K682-AD/2213392/FB3Q-6K682-AC/FB3Q-6K682-AB/FB3Q6K682AB/1886560/2420469</t>
        </is>
      </c>
      <c r="G181" s="349" t="n"/>
      <c r="H181" s="351" t="inlineStr">
        <is>
          <t>SL</t>
        </is>
      </c>
      <c r="I181" s="352" t="n"/>
      <c r="J181" s="352" t="n"/>
      <c r="K181" s="352" t="n"/>
      <c r="L181" s="352">
        <f>IF(K181="","",K181*1.1)</f>
        <v/>
      </c>
      <c r="M181" s="353" t="n">
        <v>50.85</v>
      </c>
      <c r="N181" s="353" t="n">
        <v>33.9</v>
      </c>
      <c r="O181" s="353" t="n">
        <v>8</v>
      </c>
      <c r="P181" s="353" t="n">
        <v>39</v>
      </c>
      <c r="Q181" s="353" t="n">
        <v>35.8</v>
      </c>
      <c r="R181" s="353" t="n">
        <v>9</v>
      </c>
      <c r="T181" s="346">
        <f>UPPER(A181&amp;" "&amp;B181&amp;" "&amp;D181&amp;" "&amp;E181&amp;" "&amp;F181&amp;" "&amp;G181&amp;" "&amp;H181)</f>
        <v/>
      </c>
      <c r="U181" s="216">
        <f>IF(AND('TRA CỨU TỔNG HỢP'!$B$3&lt;&gt;"",ISNUMBER(SEARCH('TRA CỨU TỔNG HỢP'!$B$3,T181))),MAX($U$3:U180)+1,"")</f>
        <v/>
      </c>
    </row>
    <row r="182" ht="15" customHeight="1" s="217">
      <c r="A182" s="340" t="inlineStr">
        <is>
          <t>FORD</t>
        </is>
      </c>
      <c r="B182" s="341" t="inlineStr">
        <is>
          <t>HH080731</t>
        </is>
      </c>
      <c r="C182" s="340" t="inlineStr">
        <is>
          <t>Garrett</t>
        </is>
      </c>
      <c r="D182" s="340" t="inlineStr">
        <is>
          <t>GTB1749VK</t>
        </is>
      </c>
      <c r="E182" s="340" t="inlineStr">
        <is>
          <t>FORD 2.2</t>
        </is>
      </c>
      <c r="F182" s="342"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2" s="340" t="n"/>
      <c r="H182" s="343" t="inlineStr">
        <is>
          <t>SL</t>
        </is>
      </c>
      <c r="I182" s="344" t="n"/>
      <c r="J182" s="344" t="n"/>
      <c r="K182" s="344" t="n"/>
      <c r="L182" s="344">
        <f>IF(K182="","",K182*1.1)</f>
        <v/>
      </c>
      <c r="M182" s="345" t="n">
        <v>49</v>
      </c>
      <c r="N182" s="345" t="n">
        <v>34.6</v>
      </c>
      <c r="O182" s="345" t="inlineStr">
        <is>
          <t>6/6</t>
        </is>
      </c>
      <c r="P182" s="345" t="n">
        <v>43</v>
      </c>
      <c r="Q182" s="345" t="n">
        <v>38</v>
      </c>
      <c r="R182" s="345" t="n">
        <v>9</v>
      </c>
      <c r="T182" s="216">
        <f>UPPER(A182&amp;" "&amp;B182&amp;" "&amp;D182&amp;" "&amp;E182&amp;" "&amp;F182&amp;" "&amp;G182&amp;" "&amp;H182)</f>
        <v/>
      </c>
      <c r="U182" s="216">
        <f>IF(AND('TRA CỨU TỔNG HỢP'!$B$3&lt;&gt;"",ISNUMBER(SEARCH('TRA CỨU TỔNG HỢP'!$B$3,T182))),MAX($U$3:U181)+1,"")</f>
        <v/>
      </c>
    </row>
    <row r="183" ht="15" customHeight="1" s="217">
      <c r="A183" s="347" t="inlineStr">
        <is>
          <t>FORD</t>
        </is>
      </c>
      <c r="B183" s="348" t="inlineStr">
        <is>
          <t>HH0625</t>
        </is>
      </c>
      <c r="C183" s="349" t="inlineStr">
        <is>
          <t>Garrett</t>
        </is>
      </c>
      <c r="D183" s="349" t="inlineStr">
        <is>
          <t>GTB1749VK</t>
        </is>
      </c>
      <c r="E183" s="349" t="inlineStr">
        <is>
          <t>FORD 2.2</t>
        </is>
      </c>
      <c r="F183"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3" s="349" t="n"/>
      <c r="H183" s="351" t="inlineStr">
        <is>
          <t>SL</t>
        </is>
      </c>
      <c r="I183" s="352" t="n"/>
      <c r="J183" s="352" t="n"/>
      <c r="K183" s="352" t="n"/>
      <c r="L183" s="352">
        <f>IF(K183="","",K183*1.1)</f>
        <v/>
      </c>
      <c r="M183" s="353" t="n">
        <v>49</v>
      </c>
      <c r="N183" s="353" t="n">
        <v>34.6</v>
      </c>
      <c r="O183" s="353" t="inlineStr">
        <is>
          <t>6/6</t>
        </is>
      </c>
      <c r="P183" s="353" t="n">
        <v>43</v>
      </c>
      <c r="Q183" s="353" t="n">
        <v>38</v>
      </c>
      <c r="R183" s="353" t="n">
        <v>9</v>
      </c>
      <c r="T183" s="216">
        <f>UPPER(A183&amp;" "&amp;B183&amp;" "&amp;D183&amp;" "&amp;E183&amp;" "&amp;F183&amp;" "&amp;G183&amp;" "&amp;H183)</f>
        <v/>
      </c>
      <c r="U183" s="216">
        <f>IF(AND('TRA CỨU TỔNG HỢP'!$B$3&lt;&gt;"",ISNUMBER(SEARCH('TRA CỨU TỔNG HỢP'!$B$3,T183))),MAX($U$3:U182)+1,"")</f>
        <v/>
      </c>
    </row>
    <row r="184" ht="15" customHeight="1" s="217">
      <c r="A184" s="347" t="inlineStr">
        <is>
          <t>FORD</t>
        </is>
      </c>
      <c r="B184" s="348" t="inlineStr">
        <is>
          <t>HH082803</t>
        </is>
      </c>
      <c r="C184" s="349" t="inlineStr">
        <is>
          <t>Garrett</t>
        </is>
      </c>
      <c r="D184" s="349" t="inlineStr">
        <is>
          <t>GTB1749VK</t>
        </is>
      </c>
      <c r="E184" s="349" t="inlineStr">
        <is>
          <t>FORD 2.2</t>
        </is>
      </c>
      <c r="F184"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4" s="349" t="n"/>
      <c r="H184" s="351" t="inlineStr">
        <is>
          <t>0272</t>
        </is>
      </c>
      <c r="I184" s="352" t="n"/>
      <c r="J184" s="352" t="n"/>
      <c r="K184" s="352" t="n"/>
      <c r="L184" s="352">
        <f>IF(K184="","",K184*1.1)</f>
        <v/>
      </c>
      <c r="M184" s="353" t="n">
        <v>49</v>
      </c>
      <c r="N184" s="353" t="n">
        <v>34.6</v>
      </c>
      <c r="O184" s="353" t="inlineStr">
        <is>
          <t>6/6</t>
        </is>
      </c>
      <c r="P184" s="353" t="n">
        <v>43</v>
      </c>
      <c r="Q184" s="353" t="n">
        <v>38</v>
      </c>
      <c r="R184" s="353" t="n">
        <v>9</v>
      </c>
      <c r="T184" s="216">
        <f>UPPER(A184&amp;" "&amp;B184&amp;" "&amp;D184&amp;" "&amp;E184&amp;" "&amp;F184&amp;" "&amp;G184&amp;" "&amp;H184)</f>
        <v/>
      </c>
      <c r="U184" s="216">
        <f>IF(AND('TRA CỨU TỔNG HỢP'!$B$3&lt;&gt;"",ISNUMBER(SEARCH('TRA CỨU TỔNG HỢP'!$B$3,T184))),MAX($U$3:U183)+1,"")</f>
        <v/>
      </c>
    </row>
    <row r="185" ht="15" customHeight="1" s="217">
      <c r="A185" s="347" t="inlineStr">
        <is>
          <t>FORD</t>
        </is>
      </c>
      <c r="B185" s="348" t="inlineStr">
        <is>
          <t>HH083797</t>
        </is>
      </c>
      <c r="C185" s="349" t="inlineStr">
        <is>
          <t>Garrett</t>
        </is>
      </c>
      <c r="D185" s="349" t="inlineStr">
        <is>
          <t>GTB1749VK</t>
        </is>
      </c>
      <c r="E185" s="349" t="inlineStr">
        <is>
          <t>FORD 2.2</t>
        </is>
      </c>
      <c r="F185"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5" s="349" t="n"/>
      <c r="H185" s="351" t="inlineStr">
        <is>
          <t>SL</t>
        </is>
      </c>
      <c r="I185" s="352" t="n"/>
      <c r="J185" s="352" t="n"/>
      <c r="K185" s="352" t="n"/>
      <c r="L185" s="352">
        <f>IF(K185="","",K185*1.1)</f>
        <v/>
      </c>
      <c r="M185" s="353" t="n">
        <v>49</v>
      </c>
      <c r="N185" s="353" t="n">
        <v>34.6</v>
      </c>
      <c r="O185" s="353" t="inlineStr">
        <is>
          <t>6/6</t>
        </is>
      </c>
      <c r="P185" s="353" t="n">
        <v>43</v>
      </c>
      <c r="Q185" s="353" t="n">
        <v>38</v>
      </c>
      <c r="R185" s="353" t="n">
        <v>9</v>
      </c>
      <c r="T185" s="216">
        <f>UPPER(A185&amp;" "&amp;B185&amp;" "&amp;D185&amp;" "&amp;E185&amp;" "&amp;F185&amp;" "&amp;G185&amp;" "&amp;H185)</f>
        <v/>
      </c>
      <c r="U185" s="216">
        <f>IF(AND('TRA CỨU TỔNG HỢP'!$B$3&lt;&gt;"",ISNUMBER(SEARCH('TRA CỨU TỔNG HỢP'!$B$3,T185))),MAX($U$3:U184)+1,"")</f>
        <v/>
      </c>
    </row>
    <row r="186" ht="15" customHeight="1" s="217">
      <c r="A186" s="347" t="inlineStr">
        <is>
          <t>FORD</t>
        </is>
      </c>
      <c r="B186" s="348" t="inlineStr">
        <is>
          <t>HH082677</t>
        </is>
      </c>
      <c r="C186" s="349" t="inlineStr">
        <is>
          <t>Garrett</t>
        </is>
      </c>
      <c r="D186" s="349" t="inlineStr">
        <is>
          <t>GTB1749VK</t>
        </is>
      </c>
      <c r="E186" s="349" t="inlineStr">
        <is>
          <t>FORD 2.2</t>
        </is>
      </c>
      <c r="F186" s="350" t="inlineStr">
        <is>
          <t>BK3Q6K682DA/BK3Q6K682CB/787556-0015 | 787556-15 |787556-5015S | 787556-0016 | 787556-16 787556-5016S | 787556-0017 | 787556-17 787556-5017S | 787556-0022 | 787556-22 |787556-5022S | 854800-0001 | 854800-1 |854800-5001S | 854800-5001W | BK3Q-6K682-CB | RM-BK3Q-6K682-CB |RMBK3Q6K682CB | BK3Q-6K682-CC |BK3Q6K682CC | BK3Q-6K682-DA BK3Q6K682DA | BK3Q-6K682-HA | BK3Q6K682HA | BK3Q-6K682-PB | BK3Q6K682PB | BK3Q-6K682-PC BK3Q6K682PC | 1717628 | 1719695 | 1730759 1760759 | 1863278 | 1899517 | 2175582</t>
        </is>
      </c>
      <c r="G186" s="349" t="n"/>
      <c r="H186" s="351" t="inlineStr">
        <is>
          <t>SL</t>
        </is>
      </c>
      <c r="I186" s="352" t="n"/>
      <c r="J186" s="352" t="n"/>
      <c r="K186" s="352" t="n"/>
      <c r="L186" s="352">
        <f>IF(K186="","",K186*1.1)</f>
        <v/>
      </c>
      <c r="M186" s="353" t="n">
        <v>49</v>
      </c>
      <c r="N186" s="353" t="n">
        <v>34.6</v>
      </c>
      <c r="O186" s="353" t="inlineStr">
        <is>
          <t>6/6</t>
        </is>
      </c>
      <c r="P186" s="353" t="n">
        <v>43</v>
      </c>
      <c r="Q186" s="353" t="n">
        <v>38</v>
      </c>
      <c r="R186" s="353" t="n">
        <v>9</v>
      </c>
      <c r="T186" s="216">
        <f>UPPER(A186&amp;" "&amp;B186&amp;" "&amp;D186&amp;" "&amp;E186&amp;" "&amp;F186&amp;" "&amp;G186&amp;" "&amp;H186)</f>
        <v/>
      </c>
      <c r="U186" s="216">
        <f>IF(AND('TRA CỨU TỔNG HỢP'!$B$3&lt;&gt;"",ISNUMBER(SEARCH('TRA CỨU TỔNG HỢP'!$B$3,T186))),MAX($U$3:U185)+1,"")</f>
        <v/>
      </c>
    </row>
    <row r="187" ht="15" customHeight="1" s="217">
      <c r="A187" s="340" t="inlineStr">
        <is>
          <t>FORD</t>
        </is>
      </c>
      <c r="B187" s="341" t="inlineStr">
        <is>
          <t>HH078869</t>
        </is>
      </c>
      <c r="C187" s="340" t="inlineStr">
        <is>
          <t>Garrett</t>
        </is>
      </c>
      <c r="D187" s="340" t="inlineStr">
        <is>
          <t>GTB2256VK</t>
        </is>
      </c>
      <c r="E187" s="340" t="inlineStr">
        <is>
          <t>P5AT</t>
        </is>
      </c>
      <c r="F187" s="342" t="inlineStr">
        <is>
          <t>BK3Q6K682AB/812971-0002
BK3Q-6K682-AB/BK3Q-6K682-AC
BK3Q-6K682-RB/BK3Q-6K682-RC
812971/798166-5007S/812971-0002 | 812971-0006 | 812971-2 | 812971-6 | 812971-5002S | 812971-5006S | 798166-0007 | 798166-7 | 798166-5007S | BK3Q6K682AB | BK3Q6K682AC | BK3Q6K682RC | BK3Q-6K682-AB | BK3Q-6K682-AC | BK3Q-6K682-RC | B5254T3</t>
        </is>
      </c>
      <c r="G187" s="340" t="n"/>
      <c r="H187" s="343" t="inlineStr">
        <is>
          <t>SL</t>
        </is>
      </c>
      <c r="I187" s="344" t="n"/>
      <c r="J187" s="344" t="n"/>
      <c r="K187" s="344" t="n"/>
      <c r="L187" s="344">
        <f>IF(K187="","",K187*1.1)</f>
        <v/>
      </c>
      <c r="M187" s="345" t="n">
        <v>56</v>
      </c>
      <c r="N187" s="345" t="n">
        <v>39.6</v>
      </c>
      <c r="O187" s="345" t="inlineStr">
        <is>
          <t>6/6</t>
        </is>
      </c>
      <c r="P187" s="345" t="n">
        <v>50</v>
      </c>
      <c r="Q187" s="345" t="n">
        <v>43</v>
      </c>
      <c r="R187" s="345" t="n">
        <v>9</v>
      </c>
      <c r="T187" s="346">
        <f>UPPER(A187&amp;" "&amp;B187&amp;" "&amp;D187&amp;" "&amp;E187&amp;" "&amp;F187&amp;" "&amp;G187&amp;" "&amp;H187)</f>
        <v/>
      </c>
      <c r="U187" s="216">
        <f>IF(AND('TRA CỨU TỔNG HỢP'!$B$3&lt;&gt;"",ISNUMBER(SEARCH('TRA CỨU TỔNG HỢP'!$B$3,T187))),MAX($U$3:U186)+1,"")</f>
        <v/>
      </c>
    </row>
    <row r="188" ht="15" customHeight="1" s="217">
      <c r="A188" s="347" t="inlineStr">
        <is>
          <t>FORD</t>
        </is>
      </c>
      <c r="B188" s="348" t="inlineStr">
        <is>
          <t>HH078870</t>
        </is>
      </c>
      <c r="C188" s="349" t="inlineStr">
        <is>
          <t>Garrett</t>
        </is>
      </c>
      <c r="D188" s="349" t="inlineStr">
        <is>
          <t>GTB2256VK</t>
        </is>
      </c>
      <c r="E188" s="349" t="inlineStr">
        <is>
          <t>P5AT</t>
        </is>
      </c>
      <c r="F188" s="350" t="inlineStr">
        <is>
          <t>BK3Q6K682AB/812971-0002
BK3Q-6K682-AB/BK3Q-6K682-AC
BK3Q-6K682-RB/BK3Q-6K682-RC
812971/798166-5007S/812971-0002 | 812971-0006 | 812971-2 | 812971-6 | 812971-5002S | 812971-5006S | 798166-0007 | 798166-7 | 798166-5007S | BK3Q6K682AB | BK3Q6K682AC | BK3Q6K682RC | BK3Q-6K682-AB | BK3Q-6K682-AC | BK3Q-6K682-RC | B5254T3</t>
        </is>
      </c>
      <c r="G188" s="349" t="n"/>
      <c r="H188" s="351" t="inlineStr">
        <is>
          <t>SL</t>
        </is>
      </c>
      <c r="I188" s="352" t="n"/>
      <c r="J188" s="352" t="n"/>
      <c r="K188" s="352" t="n"/>
      <c r="L188" s="352">
        <f>IF(K188="","",K188*1.1)</f>
        <v/>
      </c>
      <c r="M188" s="353" t="n">
        <v>56</v>
      </c>
      <c r="N188" s="353" t="n">
        <v>39.6</v>
      </c>
      <c r="O188" s="353" t="inlineStr">
        <is>
          <t>6/6</t>
        </is>
      </c>
      <c r="P188" s="353" t="n">
        <v>50</v>
      </c>
      <c r="Q188" s="353" t="n">
        <v>43</v>
      </c>
      <c r="R188" s="353" t="n">
        <v>9</v>
      </c>
      <c r="T188" s="346">
        <f>UPPER(A188&amp;" "&amp;B188&amp;" "&amp;D188&amp;" "&amp;E188&amp;" "&amp;F188&amp;" "&amp;G188&amp;" "&amp;H188)</f>
        <v/>
      </c>
      <c r="U188" s="216">
        <f>IF(AND('TRA CỨU TỔNG HỢP'!$B$3&lt;&gt;"",ISNUMBER(SEARCH('TRA CỨU TỔNG HỢP'!$B$3,T188))),MAX($U$3:U187)+1,"")</f>
        <v/>
      </c>
    </row>
    <row r="189" ht="15" customHeight="1" s="217">
      <c r="A189" s="379" t="inlineStr">
        <is>
          <t>FORD</t>
        </is>
      </c>
      <c r="B189" s="380" t="n"/>
      <c r="C189" s="379" t="inlineStr">
        <is>
          <t>IHI</t>
        </is>
      </c>
      <c r="D189" s="379" t="inlineStr">
        <is>
          <t>RHV4/VJ38</t>
        </is>
      </c>
      <c r="E189" s="379" t="inlineStr">
        <is>
          <t>WL/16V</t>
        </is>
      </c>
      <c r="F189" s="381" t="inlineStr">
        <is>
          <t>WE01-13-700D/4943873
VJ380703 | VAD20011 | VBD20011 | VCD20011 | VDD20011 | VED20011 | VFD20011 | VGD20011 | VHD20011 | VID20011 | VJD20011 | VAD20021 | VBD20021 | VCD20021 | VDD20021 | VED20021 | VFD20021 | VGD20021 | VHD20021 | VID20021 | 03051M | 1355080 | 4573957 | 4945478 | WE01 | WE0113700D | WE0113700F | 3M359G438AA | 3M359G438AB | 3M359G438AC | 3M35-9G438-AA | 3M35-9G438-AB | 3M35-9G438-AC/6M34 9G438 AC</t>
        </is>
      </c>
      <c r="G189" s="379" t="inlineStr">
        <is>
          <t>check vin hoặc mã màu đỏ</t>
        </is>
      </c>
      <c r="H189" s="382" t="n"/>
      <c r="I189" s="383" t="n"/>
      <c r="J189" s="383" t="n"/>
      <c r="K189" s="383" t="n"/>
      <c r="L189" s="383">
        <f>IF(K189="","",K189*1.1)</f>
        <v/>
      </c>
      <c r="M189" s="384" t="n"/>
      <c r="N189" s="384" t="n"/>
      <c r="O189" s="384" t="n"/>
      <c r="P189" s="384" t="n"/>
      <c r="Q189" s="384" t="n"/>
      <c r="R189" s="384" t="n"/>
      <c r="T189" s="346">
        <f>UPPER(A189&amp;" "&amp;B189&amp;" "&amp;D189&amp;" "&amp;E189&amp;" "&amp;F189&amp;" "&amp;G189&amp;" "&amp;H189)</f>
        <v/>
      </c>
      <c r="U189" s="216">
        <f>IF(AND('TRA CỨU TỔNG HỢP'!$B$3&lt;&gt;"",ISNUMBER(SEARCH('TRA CỨU TỔNG HỢP'!$B$3,T189))),MAX($U$3:U188)+1,"")</f>
        <v/>
      </c>
    </row>
    <row r="190" ht="15" customHeight="1" s="217">
      <c r="A190" s="367" t="inlineStr">
        <is>
          <t>FORD</t>
        </is>
      </c>
      <c r="B190" s="368" t="n"/>
      <c r="C190" s="367" t="inlineStr">
        <is>
          <t>Mitsubishi</t>
        </is>
      </c>
      <c r="D190" s="367" t="inlineStr">
        <is>
          <t>TD03L4</t>
        </is>
      </c>
      <c r="E190" s="367" t="n"/>
      <c r="F190" s="369" t="inlineStr">
        <is>
          <t>BK3Q6K682NC/8M03-200-D11
BK3Q-6K682-NA/BK3Q6K682NB
49131-06320/49131-06300
49131-06340/BK3Q-6K682-NC
2030487/BK3Q6K682NA/ 49131-06300 | 49131-06320 | 49131-06340 | 2030487 | 1206120236 | BK3Q-6K682-NA | BK3Q-6K682-NB | BK3Q-6K682-NC</t>
        </is>
      </c>
      <c r="G190" s="367" t="n"/>
      <c r="H190" s="370" t="n"/>
      <c r="I190" s="371" t="n"/>
      <c r="J190" s="371" t="n"/>
      <c r="K190" s="371" t="n"/>
      <c r="L190" s="371">
        <f>IF(K190="","",K190*1.1)</f>
        <v/>
      </c>
      <c r="M190" s="372" t="n">
        <v>44</v>
      </c>
      <c r="N190" s="372" t="n">
        <v>35.1</v>
      </c>
      <c r="O190" s="372" t="inlineStr">
        <is>
          <t>6/6</t>
        </is>
      </c>
      <c r="P190" s="372" t="n">
        <v>40.2</v>
      </c>
      <c r="Q190" s="372" t="n">
        <v>35.1</v>
      </c>
      <c r="R190" s="372" t="n">
        <v>11</v>
      </c>
      <c r="T190" s="346">
        <f>UPPER(A190&amp;" "&amp;B190&amp;" "&amp;D190&amp;" "&amp;E190&amp;" "&amp;F190&amp;" "&amp;G190&amp;" "&amp;H190)</f>
        <v/>
      </c>
      <c r="U190" s="216">
        <f>IF(AND('TRA CỨU TỔNG HỢP'!$B$3&lt;&gt;"",ISNUMBER(SEARCH('TRA CỨU TỔNG HỢP'!$B$3,T190))),MAX($U$3:U189)+1,"")</f>
        <v/>
      </c>
    </row>
    <row r="191" ht="15" customHeight="1" s="217">
      <c r="A191" s="340" t="inlineStr">
        <is>
          <t>FORD</t>
        </is>
      </c>
      <c r="B191" s="341" t="inlineStr">
        <is>
          <t>HH083830</t>
        </is>
      </c>
      <c r="C191" s="340" t="inlineStr">
        <is>
          <t>BorgWarner</t>
        </is>
      </c>
      <c r="D191" s="340" t="inlineStr">
        <is>
          <t>BW027-1/</t>
        </is>
      </c>
      <c r="E191" s="340" t="n"/>
      <c r="F191" s="342" t="inlineStr">
        <is>
          <t>JB3Q-96438-AA/1853-970-0058/25082006-066
mã đang check theo gemini ( JB3Q-9G438-AA/JB3Z6K682F/JB3Z6K682B/JB3Z6K682D)</t>
        </is>
      </c>
      <c r="G191" s="340" t="inlineStr">
        <is>
          <t>turbo kép trong ford ranger 2,3 ( turbo bi) có hàng E&amp;E</t>
        </is>
      </c>
      <c r="H191" s="343" t="n"/>
      <c r="I191" s="344" t="n"/>
      <c r="J191" s="344" t="n"/>
      <c r="K191" s="344" t="n"/>
      <c r="L191" s="344">
        <f>IF(K191="","",K191*1.1)</f>
        <v/>
      </c>
      <c r="M191" s="345" t="n"/>
      <c r="N191" s="345" t="n"/>
      <c r="O191" s="345" t="n"/>
      <c r="P191" s="345" t="n"/>
      <c r="Q191" s="345" t="n"/>
      <c r="R191" s="345" t="n"/>
      <c r="T191" s="346">
        <f>UPPER(A191&amp;" "&amp;B191&amp;" "&amp;D191&amp;" "&amp;E191&amp;" "&amp;F191&amp;" "&amp;G191&amp;" "&amp;H191)</f>
        <v/>
      </c>
      <c r="U191" s="216">
        <f>IF(AND('TRA CỨU TỔNG HỢP'!$B$3&lt;&gt;"",ISNUMBER(SEARCH('TRA CỨU TỔNG HỢP'!$B$3,T191))),MAX($U$3:U190)+1,"")</f>
        <v/>
      </c>
    </row>
    <row r="192" ht="15" customHeight="1" s="217">
      <c r="A192" s="347" t="inlineStr">
        <is>
          <t>FORD</t>
        </is>
      </c>
      <c r="B192" s="348" t="inlineStr">
        <is>
          <t>HH083831</t>
        </is>
      </c>
      <c r="C192" s="349" t="inlineStr">
        <is>
          <t>BorgWarner</t>
        </is>
      </c>
      <c r="D192" s="349" t="inlineStr">
        <is>
          <t>BW027-1/</t>
        </is>
      </c>
      <c r="E192" s="349" t="n"/>
      <c r="F192" s="350" t="inlineStr">
        <is>
          <t>JB3Q-96438-AA/1853-970-0058/25082006-066
mã đang check theo gemini ( JB3Q-9G438-AA/JB3Z6K682F/JB3Z6K682B/JB3Z6K682D)</t>
        </is>
      </c>
      <c r="G192" s="349" t="inlineStr">
        <is>
          <t>turbo kép trong ford ranger 2,3 ( turbo bi) có hàng E&amp;E</t>
        </is>
      </c>
      <c r="H192" s="351" t="n"/>
      <c r="I192" s="352" t="n"/>
      <c r="J192" s="352" t="n"/>
      <c r="K192" s="352" t="n"/>
      <c r="L192" s="352">
        <f>IF(K192="","",K192*1.1)</f>
        <v/>
      </c>
      <c r="M192" s="353" t="n"/>
      <c r="N192" s="353" t="n"/>
      <c r="O192" s="353" t="n"/>
      <c r="P192" s="353" t="n"/>
      <c r="Q192" s="353" t="n"/>
      <c r="R192" s="353" t="n"/>
      <c r="T192" s="346">
        <f>UPPER(A192&amp;" "&amp;B192&amp;" "&amp;D192&amp;" "&amp;E192&amp;" "&amp;F192&amp;" "&amp;G192&amp;" "&amp;H192)</f>
        <v/>
      </c>
      <c r="U192" s="216">
        <f>IF(AND('TRA CỨU TỔNG HỢP'!$B$3&lt;&gt;"",ISNUMBER(SEARCH('TRA CỨU TỔNG HỢP'!$B$3,T192))),MAX($U$3:U191)+1,"")</f>
        <v/>
      </c>
    </row>
    <row r="193" ht="15" customHeight="1" s="217">
      <c r="A193" s="347" t="inlineStr">
        <is>
          <t>FORD</t>
        </is>
      </c>
      <c r="B193" s="348" t="inlineStr">
        <is>
          <t>HH083832</t>
        </is>
      </c>
      <c r="C193" s="349" t="inlineStr">
        <is>
          <t>BorgWarner</t>
        </is>
      </c>
      <c r="D193" s="349" t="inlineStr">
        <is>
          <t>BW027-1/</t>
        </is>
      </c>
      <c r="E193" s="349" t="n"/>
      <c r="F193" s="350" t="inlineStr">
        <is>
          <t>JB3Q-96438-AA/1853-970-0058/25082006-066
mã đang check theo gemini ( JB3Q-9G438-AA/JB3Z6K682F/JB3Z6K682B/JB3Z6K682D)</t>
        </is>
      </c>
      <c r="G193" s="349" t="inlineStr">
        <is>
          <t>turbo kép trong ford ranger 2,3 ( turbo bi) có hàng E&amp;E</t>
        </is>
      </c>
      <c r="H193" s="351" t="n"/>
      <c r="I193" s="352" t="n"/>
      <c r="J193" s="352" t="n"/>
      <c r="K193" s="352" t="n"/>
      <c r="L193" s="352">
        <f>IF(K193="","",K193*1.1)</f>
        <v/>
      </c>
      <c r="M193" s="353" t="n"/>
      <c r="N193" s="353" t="n"/>
      <c r="O193" s="353" t="n"/>
      <c r="P193" s="353" t="n"/>
      <c r="Q193" s="353" t="n"/>
      <c r="R193" s="353" t="n"/>
      <c r="T193" s="346">
        <f>UPPER(A193&amp;" "&amp;B193&amp;" "&amp;D193&amp;" "&amp;E193&amp;" "&amp;F193&amp;" "&amp;G193&amp;" "&amp;H193)</f>
        <v/>
      </c>
      <c r="U193" s="216">
        <f>IF(AND('TRA CỨU TỔNG HỢP'!$B$3&lt;&gt;"",ISNUMBER(SEARCH('TRA CỨU TỔNG HỢP'!$B$3,T193))),MAX($U$3:U192)+1,"")</f>
        <v/>
      </c>
    </row>
    <row r="194" ht="15" customHeight="1" s="217">
      <c r="A194" s="347" t="inlineStr">
        <is>
          <t>FORD</t>
        </is>
      </c>
      <c r="B194" s="348" t="inlineStr">
        <is>
          <t>HH083833</t>
        </is>
      </c>
      <c r="C194" s="349" t="inlineStr">
        <is>
          <t>BorgWarner</t>
        </is>
      </c>
      <c r="D194" s="349" t="inlineStr">
        <is>
          <t>BW027-1/</t>
        </is>
      </c>
      <c r="E194" s="349" t="n"/>
      <c r="F194" s="350" t="inlineStr">
        <is>
          <t>JB3Q-96438-AA/1853-970-0058/25082006-066
mã đang check theo gemini ( JB3Q-9G438-AA/JB3Z6K682F/JB3Z6K682B/JB3Z6K682D)</t>
        </is>
      </c>
      <c r="G194" s="349" t="inlineStr">
        <is>
          <t>turbo kép trong ford ranger 2,3 ( turbo bi) có hàng E&amp;E</t>
        </is>
      </c>
      <c r="H194" s="351" t="n"/>
      <c r="I194" s="352" t="n"/>
      <c r="J194" s="352" t="n"/>
      <c r="K194" s="352" t="n"/>
      <c r="L194" s="352">
        <f>IF(K194="","",K194*1.1)</f>
        <v/>
      </c>
      <c r="M194" s="353" t="n"/>
      <c r="N194" s="353" t="n"/>
      <c r="O194" s="353" t="n"/>
      <c r="P194" s="353" t="n"/>
      <c r="Q194" s="353" t="n"/>
      <c r="R194" s="353" t="n"/>
      <c r="T194" s="346">
        <f>UPPER(A194&amp;" "&amp;B194&amp;" "&amp;D194&amp;" "&amp;E194&amp;" "&amp;F194&amp;" "&amp;G194&amp;" "&amp;H194)</f>
        <v/>
      </c>
      <c r="U194" s="216">
        <f>IF(AND('TRA CỨU TỔNG HỢP'!$B$3&lt;&gt;"",ISNUMBER(SEARCH('TRA CỨU TỔNG HỢP'!$B$3,T194))),MAX($U$3:U193)+1,"")</f>
        <v/>
      </c>
    </row>
    <row r="195" ht="15" customHeight="1" s="217">
      <c r="A195" s="340" t="inlineStr">
        <is>
          <t>FORD</t>
        </is>
      </c>
      <c r="B195" s="341" t="inlineStr">
        <is>
          <t>HH083830</t>
        </is>
      </c>
      <c r="C195" s="340" t="inlineStr">
        <is>
          <t>BorgWarner</t>
        </is>
      </c>
      <c r="D195" s="340" t="inlineStr">
        <is>
          <t>BW027-2/B03G-RS2</t>
        </is>
      </c>
      <c r="E195" s="340" t="n"/>
      <c r="F195" s="342" t="inlineStr">
        <is>
          <t>JB3Q-96438-AA/1635-970-0030/B03G-RS2
mã đang check theo gemini ( JB3Q-9G438-AA/JB3Z6K682F/JB3Z6K682B/JB3Z6K682D)</t>
        </is>
      </c>
      <c r="G195" s="340" t="inlineStr">
        <is>
          <t>turbo kép trong ford ranger 2,4 ( turbo bi) có hàng E&amp;E</t>
        </is>
      </c>
      <c r="H195" s="343" t="n"/>
      <c r="I195" s="344" t="n"/>
      <c r="J195" s="344" t="n"/>
      <c r="K195" s="344" t="n"/>
      <c r="L195" s="344">
        <f>IF(K195="","",K195*1.1)</f>
        <v/>
      </c>
      <c r="M195" s="345" t="n"/>
      <c r="N195" s="345" t="n"/>
      <c r="O195" s="345" t="n"/>
      <c r="P195" s="345" t="n"/>
      <c r="Q195" s="345" t="n"/>
      <c r="R195" s="345" t="n"/>
      <c r="T195" s="346">
        <f>UPPER(A195&amp;" "&amp;B195&amp;" "&amp;D195&amp;" "&amp;E195&amp;" "&amp;F195&amp;" "&amp;G195&amp;" "&amp;H195)</f>
        <v/>
      </c>
      <c r="U195" s="216">
        <f>IF(AND('TRA CỨU TỔNG HỢP'!$B$3&lt;&gt;"",ISNUMBER(SEARCH('TRA CỨU TỔNG HỢP'!$B$3,T195))),MAX($U$3:U194)+1,"")</f>
        <v/>
      </c>
    </row>
    <row r="196" ht="15" customHeight="1" s="217">
      <c r="A196" s="347" t="inlineStr">
        <is>
          <t>FORD</t>
        </is>
      </c>
      <c r="B196" s="348" t="inlineStr">
        <is>
          <t>HH083831</t>
        </is>
      </c>
      <c r="C196" s="349" t="inlineStr">
        <is>
          <t>BorgWarner</t>
        </is>
      </c>
      <c r="D196" s="349" t="inlineStr">
        <is>
          <t>BW027-2/B03G-RS2</t>
        </is>
      </c>
      <c r="E196" s="349" t="n"/>
      <c r="F196" s="350" t="inlineStr">
        <is>
          <t>JB3Q-96438-AA/1635-970-0030/B03G-RS2
mã đang check theo gemini ( JB3Q-9G438-AA/JB3Z6K682F/JB3Z6K682B/JB3Z6K682D)</t>
        </is>
      </c>
      <c r="G196" s="349" t="inlineStr">
        <is>
          <t>turbo kép trong ford ranger 2,4 ( turbo bi) có hàng E&amp;E</t>
        </is>
      </c>
      <c r="H196" s="351" t="n"/>
      <c r="I196" s="352" t="n"/>
      <c r="J196" s="352" t="n"/>
      <c r="K196" s="352" t="n"/>
      <c r="L196" s="352">
        <f>IF(K196="","",K196*1.1)</f>
        <v/>
      </c>
      <c r="M196" s="353" t="n"/>
      <c r="N196" s="353" t="n"/>
      <c r="O196" s="353" t="n"/>
      <c r="P196" s="353" t="n"/>
      <c r="Q196" s="353" t="n"/>
      <c r="R196" s="353" t="n"/>
      <c r="T196" s="346">
        <f>UPPER(A196&amp;" "&amp;B196&amp;" "&amp;D196&amp;" "&amp;E196&amp;" "&amp;F196&amp;" "&amp;G196&amp;" "&amp;H196)</f>
        <v/>
      </c>
      <c r="U196" s="216">
        <f>IF(AND('TRA CỨU TỔNG HỢP'!$B$3&lt;&gt;"",ISNUMBER(SEARCH('TRA CỨU TỔNG HỢP'!$B$3,T196))),MAX($U$3:U195)+1,"")</f>
        <v/>
      </c>
    </row>
    <row r="197" ht="15" customHeight="1" s="217">
      <c r="A197" s="347" t="inlineStr">
        <is>
          <t>FORD</t>
        </is>
      </c>
      <c r="B197" s="348" t="inlineStr">
        <is>
          <t>HH083832</t>
        </is>
      </c>
      <c r="C197" s="349" t="inlineStr">
        <is>
          <t>BorgWarner</t>
        </is>
      </c>
      <c r="D197" s="349" t="inlineStr">
        <is>
          <t>BW027-2/B03G-RS2</t>
        </is>
      </c>
      <c r="E197" s="349" t="n"/>
      <c r="F197" s="350" t="inlineStr">
        <is>
          <t>JB3Q-96438-AA/1635-970-0030/B03G-RS2
mã đang check theo gemini ( JB3Q-9G438-AA/JB3Z6K682F/JB3Z6K682B/JB3Z6K682D)</t>
        </is>
      </c>
      <c r="G197" s="349" t="inlineStr">
        <is>
          <t>turbo kép trong ford ranger 2,4 ( turbo bi) có hàng E&amp;E</t>
        </is>
      </c>
      <c r="H197" s="351" t="n"/>
      <c r="I197" s="352" t="n"/>
      <c r="J197" s="352" t="n"/>
      <c r="K197" s="352" t="n"/>
      <c r="L197" s="352">
        <f>IF(K197="","",K197*1.1)</f>
        <v/>
      </c>
      <c r="M197" s="353" t="n"/>
      <c r="N197" s="353" t="n"/>
      <c r="O197" s="353" t="n"/>
      <c r="P197" s="353" t="n"/>
      <c r="Q197" s="353" t="n"/>
      <c r="R197" s="353" t="n"/>
      <c r="T197" s="346">
        <f>UPPER(A197&amp;" "&amp;B197&amp;" "&amp;D197&amp;" "&amp;E197&amp;" "&amp;F197&amp;" "&amp;G197&amp;" "&amp;H197)</f>
        <v/>
      </c>
      <c r="U197" s="216">
        <f>IF(AND('TRA CỨU TỔNG HỢP'!$B$3&lt;&gt;"",ISNUMBER(SEARCH('TRA CỨU TỔNG HỢP'!$B$3,T197))),MAX($U$3:U196)+1,"")</f>
        <v/>
      </c>
    </row>
    <row r="198" ht="15" customHeight="1" s="217">
      <c r="A198" s="347" t="inlineStr">
        <is>
          <t>FORD</t>
        </is>
      </c>
      <c r="B198" s="348" t="inlineStr">
        <is>
          <t>HH083833</t>
        </is>
      </c>
      <c r="C198" s="349" t="inlineStr">
        <is>
          <t>BorgWarner</t>
        </is>
      </c>
      <c r="D198" s="349" t="inlineStr">
        <is>
          <t>BW027-2/B03G-RS2</t>
        </is>
      </c>
      <c r="E198" s="349" t="n"/>
      <c r="F198" s="350" t="inlineStr">
        <is>
          <t>JB3Q-96438-AA/1635-970-0030/B03G-RS2
mã đang check theo gemini ( JB3Q-9G438-AA/JB3Z6K682F/JB3Z6K682B/JB3Z6K682D)</t>
        </is>
      </c>
      <c r="G198" s="349" t="inlineStr">
        <is>
          <t>turbo kép trong ford ranger 2,4 ( turbo bi) có hàng E&amp;E</t>
        </is>
      </c>
      <c r="H198" s="351" t="n"/>
      <c r="I198" s="352" t="n"/>
      <c r="J198" s="352" t="n"/>
      <c r="K198" s="352" t="n"/>
      <c r="L198" s="352">
        <f>IF(K198="","",K198*1.1)</f>
        <v/>
      </c>
      <c r="M198" s="353" t="n"/>
      <c r="N198" s="353" t="n"/>
      <c r="O198" s="353" t="n"/>
      <c r="P198" s="353" t="n"/>
      <c r="Q198" s="353" t="n"/>
      <c r="R198" s="353" t="n"/>
      <c r="T198" s="346">
        <f>UPPER(A198&amp;" "&amp;B198&amp;" "&amp;D198&amp;" "&amp;E198&amp;" "&amp;F198&amp;" "&amp;G198&amp;" "&amp;H198)</f>
        <v/>
      </c>
      <c r="U198" s="216">
        <f>IF(AND('TRA CỨU TỔNG HỢP'!$B$3&lt;&gt;"",ISNUMBER(SEARCH('TRA CỨU TỔNG HỢP'!$B$3,T198))),MAX($U$3:U197)+1,"")</f>
        <v/>
      </c>
    </row>
    <row r="199" ht="15" customHeight="1" s="217">
      <c r="A199" s="379" t="inlineStr">
        <is>
          <t>FORD</t>
        </is>
      </c>
      <c r="B199" s="380" t="n"/>
      <c r="C199" s="379" t="n"/>
      <c r="D199" s="379" t="n"/>
      <c r="E199" s="379" t="inlineStr">
        <is>
          <t>P5AT</t>
        </is>
      </c>
      <c r="F199" s="381" t="inlineStr">
        <is>
          <t>FB30-6K682-DF</t>
        </is>
      </c>
      <c r="G199" s="379" t="inlineStr">
        <is>
          <t>chưa nhập</t>
        </is>
      </c>
      <c r="H199" s="382" t="n"/>
      <c r="I199" s="383" t="n"/>
      <c r="J199" s="383" t="n"/>
      <c r="K199" s="383" t="n"/>
      <c r="L199" s="383">
        <f>IF(K199="","",K199*1.1)</f>
        <v/>
      </c>
      <c r="M199" s="384" t="n"/>
      <c r="N199" s="384" t="n"/>
      <c r="O199" s="384" t="n"/>
      <c r="P199" s="384" t="n"/>
      <c r="Q199" s="384" t="n"/>
      <c r="R199" s="384" t="n"/>
      <c r="T199" s="216">
        <f>UPPER(A199&amp;" "&amp;B199&amp;" "&amp;D199&amp;" "&amp;E199&amp;" "&amp;F199&amp;" "&amp;G199&amp;" "&amp;H199)</f>
        <v/>
      </c>
      <c r="U199" s="216">
        <f>IF(AND('TRA CỨU TỔNG HỢP'!$B$3&lt;&gt;"",ISNUMBER(SEARCH('TRA CỨU TỔNG HỢP'!$B$3,T199))),MAX($U$3:U198)+1,"")</f>
        <v/>
      </c>
    </row>
    <row r="200" ht="15" customHeight="1" s="217">
      <c r="A200" s="340" t="inlineStr">
        <is>
          <t>FORD</t>
        </is>
      </c>
      <c r="B200" s="341" t="inlineStr">
        <is>
          <t>HH077906</t>
        </is>
      </c>
      <c r="C200" s="340" t="inlineStr">
        <is>
          <t>IHI</t>
        </is>
      </c>
      <c r="D200" s="340" t="inlineStr">
        <is>
          <t>RHF5/VJ33</t>
        </is>
      </c>
      <c r="E200" s="340" t="inlineStr">
        <is>
          <t>VJ26/ WL84/WL85</t>
        </is>
      </c>
      <c r="F200" s="342"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0" s="340" t="n"/>
      <c r="H200" s="343" t="inlineStr">
        <is>
          <t>SL</t>
        </is>
      </c>
      <c r="I200" s="344" t="n"/>
      <c r="J200" s="344" t="n"/>
      <c r="K200" s="344" t="n"/>
      <c r="L200" s="344">
        <f>IF(K200="","",K200*1.1)</f>
        <v/>
      </c>
      <c r="M200" s="345" t="n">
        <v>52.5</v>
      </c>
      <c r="N200" s="345" t="n">
        <v>36.1</v>
      </c>
      <c r="O200" s="345" t="inlineStr">
        <is>
          <t>10</t>
        </is>
      </c>
      <c r="P200" s="345" t="n">
        <v>44.3</v>
      </c>
      <c r="Q200" s="345" t="n">
        <v>39.8</v>
      </c>
      <c r="R200" s="345" t="n">
        <v>8</v>
      </c>
      <c r="T200" s="346">
        <f>UPPER(A200&amp;" "&amp;B200&amp;" "&amp;D200&amp;" "&amp;E200&amp;" "&amp;F200&amp;" "&amp;G200&amp;" "&amp;H200)</f>
        <v/>
      </c>
      <c r="U200" s="216">
        <f>IF(AND('TRA CỨU TỔNG HỢP'!$B$3&lt;&gt;"",ISNUMBER(SEARCH('TRA CỨU TỔNG HỢP'!$B$3,T200))),MAX($U$3:U199)+1,"")</f>
        <v/>
      </c>
    </row>
    <row r="201" ht="15" customHeight="1" s="217">
      <c r="A201" s="347" t="inlineStr">
        <is>
          <t>FORD</t>
        </is>
      </c>
      <c r="B201" s="348" t="inlineStr">
        <is>
          <t>HH081325</t>
        </is>
      </c>
      <c r="C201" s="349" t="inlineStr">
        <is>
          <t>IHI</t>
        </is>
      </c>
      <c r="D201" s="349" t="inlineStr">
        <is>
          <t>RHF5/VJ33</t>
        </is>
      </c>
      <c r="E201" s="349" t="inlineStr">
        <is>
          <t>VJ26/ WL84/WL85</t>
        </is>
      </c>
      <c r="F201" s="350"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1" s="349" t="n"/>
      <c r="H201" s="351" t="inlineStr">
        <is>
          <t>SL</t>
        </is>
      </c>
      <c r="I201" s="352" t="n"/>
      <c r="J201" s="352" t="n"/>
      <c r="K201" s="352" t="n"/>
      <c r="L201" s="352">
        <f>IF(K201="","",K201*1.1)</f>
        <v/>
      </c>
      <c r="M201" s="353" t="n">
        <v>52.5</v>
      </c>
      <c r="N201" s="353" t="n">
        <v>36.1</v>
      </c>
      <c r="O201" s="353" t="inlineStr">
        <is>
          <t>10</t>
        </is>
      </c>
      <c r="P201" s="353" t="n">
        <v>44.3</v>
      </c>
      <c r="Q201" s="353" t="n">
        <v>39.8</v>
      </c>
      <c r="R201" s="353" t="n">
        <v>8</v>
      </c>
      <c r="T201" s="346">
        <f>UPPER(A201&amp;" "&amp;B201&amp;" "&amp;D201&amp;" "&amp;E201&amp;" "&amp;F201&amp;" "&amp;G201&amp;" "&amp;H201)</f>
        <v/>
      </c>
      <c r="U201" s="216">
        <f>IF(AND('TRA CỨU TỔNG HỢP'!$B$3&lt;&gt;"",ISNUMBER(SEARCH('TRA CỨU TỔNG HỢP'!$B$3,T201))),MAX($U$3:U200)+1,"")</f>
        <v/>
      </c>
    </row>
    <row r="202" ht="15" customHeight="1" s="217">
      <c r="A202" s="347" t="inlineStr">
        <is>
          <t>FORD</t>
        </is>
      </c>
      <c r="B202" s="348" t="inlineStr">
        <is>
          <t>HH078001</t>
        </is>
      </c>
      <c r="C202" s="349" t="inlineStr">
        <is>
          <t>IHI</t>
        </is>
      </c>
      <c r="D202" s="349" t="inlineStr">
        <is>
          <t>RHF5/VJ33</t>
        </is>
      </c>
      <c r="E202" s="349" t="inlineStr">
        <is>
          <t>VJ26/ WL84/WL85</t>
        </is>
      </c>
      <c r="F202" s="350" t="inlineStr">
        <is>
          <t>VA430013
8I05-200-580/VB430012/VC430089/VA430090
8971228843/XN349G348AB/VB430013 | VC430013 | VD430013 | VE430013 | VF430013 | S0013B | F51CAT-S0089B | 8971228843
 VA430089 | VB430089 | VC430089 | VD430089 | VI430089 | VA430090 | VB430090 | VC430090 | VD430090 | VE430090 | VF430090 | F51CADS0013G | F51CAD-S0013G | 3608377 | 3892427 | 4155051 | MF7J13700D | MS7J13700D | WL1113700/3M35-9G438-AB | 3M35-9G438-AC | 4573957 | 4945478</t>
        </is>
      </c>
      <c r="G202" s="349" t="n"/>
      <c r="H202" s="351" t="inlineStr">
        <is>
          <t>JRONE</t>
        </is>
      </c>
      <c r="I202" s="352" t="n"/>
      <c r="J202" s="352" t="n"/>
      <c r="K202" s="352" t="n"/>
      <c r="L202" s="352">
        <f>IF(K202="","",K202*1.1)</f>
        <v/>
      </c>
      <c r="M202" s="353" t="n">
        <v>52.5</v>
      </c>
      <c r="N202" s="353" t="n">
        <v>36.1</v>
      </c>
      <c r="O202" s="353" t="inlineStr">
        <is>
          <t>10</t>
        </is>
      </c>
      <c r="P202" s="353" t="n">
        <v>44.3</v>
      </c>
      <c r="Q202" s="353" t="n">
        <v>39.8</v>
      </c>
      <c r="R202" s="353" t="n">
        <v>8</v>
      </c>
      <c r="T202" s="346">
        <f>UPPER(A202&amp;" "&amp;B202&amp;" "&amp;D202&amp;" "&amp;E202&amp;" "&amp;F202&amp;" "&amp;G202&amp;" "&amp;H202)</f>
        <v/>
      </c>
      <c r="U202" s="216">
        <f>IF(AND('TRA CỨU TỔNG HỢP'!$B$3&lt;&gt;"",ISNUMBER(SEARCH('TRA CỨU TỔNG HỢP'!$B$3,T202))),MAX($U$3:U201)+1,"")</f>
        <v/>
      </c>
    </row>
    <row r="203" ht="15" customHeight="1" s="217">
      <c r="A203" s="379" t="inlineStr">
        <is>
          <t>FORD</t>
        </is>
      </c>
      <c r="B203" s="380" t="n"/>
      <c r="C203" s="379" t="n"/>
      <c r="D203" s="379" t="n"/>
      <c r="E203" s="379" t="inlineStr">
        <is>
          <t>Transit 2.2</t>
        </is>
      </c>
      <c r="F203" s="381" t="inlineStr">
        <is>
          <t>LC1Q6K682AA</t>
        </is>
      </c>
      <c r="G203" s="379" t="n"/>
      <c r="H203" s="382" t="n"/>
      <c r="I203" s="383" t="n"/>
      <c r="J203" s="383" t="n"/>
      <c r="K203" s="383" t="n"/>
      <c r="L203" s="383">
        <f>IF(K203="","",K203*1.1)</f>
        <v/>
      </c>
      <c r="M203" s="384" t="n"/>
      <c r="N203" s="384" t="n"/>
      <c r="O203" s="384" t="n"/>
      <c r="P203" s="384" t="n"/>
      <c r="Q203" s="384" t="n"/>
      <c r="R203" s="384" t="n"/>
      <c r="T203" s="216">
        <f>UPPER(A203&amp;" "&amp;B203&amp;" "&amp;D203&amp;" "&amp;E203&amp;" "&amp;F203&amp;" "&amp;G203&amp;" "&amp;H203)</f>
        <v/>
      </c>
      <c r="U203" s="216">
        <f>IF(AND('TRA CỨU TỔNG HỢP'!$B$3&lt;&gt;"",ISNUMBER(SEARCH('TRA CỨU TỔNG HỢP'!$B$3,T203))),MAX($U$3:U202)+1,"")</f>
        <v/>
      </c>
    </row>
    <row r="204" ht="15" customHeight="1" s="217">
      <c r="A204" s="340" t="inlineStr">
        <is>
          <t>FORD</t>
        </is>
      </c>
      <c r="B204" s="341" t="inlineStr">
        <is>
          <t>HH081409</t>
        </is>
      </c>
      <c r="C204" s="340" t="inlineStr">
        <is>
          <t>Garrett</t>
        </is>
      </c>
      <c r="D204" s="340" t="inlineStr">
        <is>
          <t>GTD1444VZ</t>
        </is>
      </c>
      <c r="E204" s="340" t="n"/>
      <c r="F204" s="342" t="inlineStr">
        <is>
          <t>GK2Q6K682BB/GK2Q6K682BA
GK3Q6K682AB/GK26K682BA
2022277/2011903/2303089
838417-0002/838417-0001
838417-0003</t>
        </is>
      </c>
      <c r="G204" s="340" t="n"/>
      <c r="H204" s="343" t="inlineStr">
        <is>
          <t>SL</t>
        </is>
      </c>
      <c r="I204" s="344" t="n"/>
      <c r="J204" s="344" t="n"/>
      <c r="K204" s="344" t="n"/>
      <c r="L204" s="344">
        <f>IF(K204="","",K204*1.1)</f>
        <v/>
      </c>
      <c r="M204" s="345" t="n">
        <v>45.5</v>
      </c>
      <c r="N204" s="345" t="n">
        <v>33.2</v>
      </c>
      <c r="O204" s="345" t="inlineStr">
        <is>
          <t>8</t>
        </is>
      </c>
      <c r="P204" s="345" t="n">
        <v>39</v>
      </c>
      <c r="Q204" s="345" t="n">
        <v>35.8</v>
      </c>
      <c r="R204" s="345" t="n">
        <v>9</v>
      </c>
      <c r="T204" s="346">
        <f>UPPER(A204&amp;" "&amp;B204&amp;" "&amp;D204&amp;" "&amp;E204&amp;" "&amp;F204&amp;" "&amp;G204&amp;" "&amp;H204)</f>
        <v/>
      </c>
      <c r="U204" s="216">
        <f>IF(AND('TRA CỨU TỔNG HỢP'!$B$3&lt;&gt;"",ISNUMBER(SEARCH('TRA CỨU TỔNG HỢP'!$B$3,T204))),MAX($U$3:U203)+1,"")</f>
        <v/>
      </c>
    </row>
    <row r="205" ht="15" customHeight="1" s="217">
      <c r="A205" s="347" t="inlineStr">
        <is>
          <t>FORD</t>
        </is>
      </c>
      <c r="B205" s="348" t="inlineStr">
        <is>
          <t>HH081330</t>
        </is>
      </c>
      <c r="C205" s="349" t="inlineStr">
        <is>
          <t>Garrett</t>
        </is>
      </c>
      <c r="D205" s="349" t="inlineStr">
        <is>
          <t>GTD1444VZ</t>
        </is>
      </c>
      <c r="E205" s="349" t="n"/>
      <c r="F205" s="350" t="inlineStr">
        <is>
          <t>GK2Q6K682BB/GK2Q6K682BA
GK3Q6K682AB/GK26K682BA
2022277/2011903/2303089
838417-0002/838417-0001
838417-0003</t>
        </is>
      </c>
      <c r="G205" s="349" t="n"/>
      <c r="H205" s="351" t="inlineStr">
        <is>
          <t>SL</t>
        </is>
      </c>
      <c r="I205" s="352" t="n"/>
      <c r="J205" s="352" t="n"/>
      <c r="K205" s="352" t="n"/>
      <c r="L205" s="352">
        <f>IF(K205="","",K205*1.1)</f>
        <v/>
      </c>
      <c r="M205" s="353" t="n">
        <v>45.5</v>
      </c>
      <c r="N205" s="353" t="n">
        <v>33.2</v>
      </c>
      <c r="O205" s="353" t="inlineStr">
        <is>
          <t>8</t>
        </is>
      </c>
      <c r="P205" s="353" t="n">
        <v>39</v>
      </c>
      <c r="Q205" s="353" t="n">
        <v>35.8</v>
      </c>
      <c r="R205" s="353" t="n">
        <v>9</v>
      </c>
      <c r="T205" s="346">
        <f>UPPER(A205&amp;" "&amp;B205&amp;" "&amp;D205&amp;" "&amp;E205&amp;" "&amp;F205&amp;" "&amp;G205&amp;" "&amp;H205)</f>
        <v/>
      </c>
      <c r="U205" s="216">
        <f>IF(AND('TRA CỨU TỔNG HỢP'!$B$3&lt;&gt;"",ISNUMBER(SEARCH('TRA CỨU TỔNG HỢP'!$B$3,T205))),MAX($U$3:U204)+1,"")</f>
        <v/>
      </c>
    </row>
    <row r="206" ht="15" customHeight="1" s="217">
      <c r="A206" s="354" t="inlineStr">
        <is>
          <t>FORD</t>
        </is>
      </c>
      <c r="B206" s="355" t="inlineStr">
        <is>
          <t>HH082081</t>
        </is>
      </c>
      <c r="C206" s="354" t="inlineStr">
        <is>
          <t>Mitsubishi</t>
        </is>
      </c>
      <c r="D206" s="354" t="inlineStr">
        <is>
          <t>TD03L4</t>
        </is>
      </c>
      <c r="E206" s="354" t="inlineStr">
        <is>
          <t>Transit 2.4</t>
        </is>
      </c>
      <c r="F206" s="356" t="inlineStr">
        <is>
          <t>49131-05400 | 49131-05401 | 49131-05402 | 49131-05403 | 49131-05452 | 49S31-05400 | 49S31-05402 | 49S31-05403 | 1372799 | 1406162 | 1449608 | 1567328 | 6C1Q6K682DC | 6C1Q6K682DD | 6C1Q6K682DE | 6C1Q6K682DF | 6C1Q-6K682-DC | 6C1Q-6K682-DD | 6C1Q-6K682-DE | 6C1Q-6K682-DF</t>
        </is>
      </c>
      <c r="G206" s="354" t="n"/>
      <c r="H206" s="357" t="inlineStr">
        <is>
          <t>SL</t>
        </is>
      </c>
      <c r="I206" s="358" t="n"/>
      <c r="J206" s="358" t="n"/>
      <c r="K206" s="358" t="n"/>
      <c r="L206" s="358">
        <f>IF(K206="","",K206*1.1)</f>
        <v/>
      </c>
      <c r="M206" s="359" t="n">
        <v>44</v>
      </c>
      <c r="N206" s="359" t="n">
        <v>35.1</v>
      </c>
      <c r="O206" s="359" t="inlineStr">
        <is>
          <t>6/6</t>
        </is>
      </c>
      <c r="P206" s="359" t="n">
        <v>40.2</v>
      </c>
      <c r="Q206" s="359" t="n">
        <v>35.1</v>
      </c>
      <c r="R206" s="359" t="n">
        <v>11</v>
      </c>
      <c r="T206" s="216">
        <f>UPPER(A206&amp;" "&amp;B206&amp;" "&amp;D206&amp;" "&amp;E206&amp;" "&amp;F206&amp;" "&amp;G206&amp;" "&amp;H206)</f>
        <v/>
      </c>
      <c r="U206" s="216">
        <f>IF(AND('TRA CỨU TỔNG HỢP'!$B$3&lt;&gt;"",ISNUMBER(SEARCH('TRA CỨU TỔNG HỢP'!$B$3,T206))),MAX($U$3:U205)+1,"")</f>
        <v/>
      </c>
    </row>
    <row r="207" ht="15" customHeight="1" s="217">
      <c r="A207" s="354" t="inlineStr">
        <is>
          <t>FORD</t>
        </is>
      </c>
      <c r="B207" s="355" t="inlineStr">
        <is>
          <t>HH077148</t>
        </is>
      </c>
      <c r="C207" s="354" t="inlineStr">
        <is>
          <t>Mitsubishi</t>
        </is>
      </c>
      <c r="D207" s="354" t="inlineStr">
        <is>
          <t>TF035HM-12T-4</t>
        </is>
      </c>
      <c r="E207" s="354" t="inlineStr">
        <is>
          <t>Transit 2.4</t>
        </is>
      </c>
      <c r="F207" s="356" t="inlineStr">
        <is>
          <t>49135-06015
8M35-20M-025
3C1Q-6K682-EB
3C1Q6K682EB
3C1Q-6K682-EA
3C1Q6K682EA
49135-06000
06017
06035
06037
49S35-06015</t>
        </is>
      </c>
      <c r="G207" s="354" t="n"/>
      <c r="H207" s="357" t="inlineStr">
        <is>
          <t>JRONE</t>
        </is>
      </c>
      <c r="I207" s="358" t="n"/>
      <c r="J207" s="358" t="n"/>
      <c r="K207" s="358" t="n"/>
      <c r="L207" s="358">
        <f>IF(K207="","",K207*1.1)</f>
        <v/>
      </c>
      <c r="M207" s="359" t="n">
        <v>49</v>
      </c>
      <c r="N207" s="359" t="n">
        <v>34.4</v>
      </c>
      <c r="O207" s="359" t="inlineStr">
        <is>
          <t>6/6</t>
        </is>
      </c>
      <c r="P207" s="359" t="n">
        <v>44.4</v>
      </c>
      <c r="Q207" s="359" t="n">
        <v>37.6</v>
      </c>
      <c r="R207" s="359" t="inlineStr">
        <is>
          <t>9</t>
        </is>
      </c>
      <c r="T207" s="346">
        <f>UPPER(A207&amp;" "&amp;B207&amp;" "&amp;D207&amp;" "&amp;E207&amp;" "&amp;F207&amp;" "&amp;G207&amp;" "&amp;H207)</f>
        <v/>
      </c>
      <c r="U207" s="216">
        <f>IF(AND('TRA CỨU TỔNG HỢP'!$B$3&lt;&gt;"",ISNUMBER(SEARCH('TRA CỨU TỔNG HỢP'!$B$3,T207))),MAX($U$3:U206)+1,"")</f>
        <v/>
      </c>
    </row>
    <row r="208" ht="15" customHeight="1" s="217">
      <c r="A208" s="354" t="inlineStr">
        <is>
          <t>FORD</t>
        </is>
      </c>
      <c r="B208" s="355" t="inlineStr">
        <is>
          <t>HH082358</t>
        </is>
      </c>
      <c r="C208" s="354" t="inlineStr">
        <is>
          <t>Garrett</t>
        </is>
      </c>
      <c r="D208" s="354" t="inlineStr">
        <is>
          <t>GT2052V</t>
        </is>
      </c>
      <c r="E208" s="354" t="inlineStr">
        <is>
          <t>Transit</t>
        </is>
      </c>
      <c r="F208" s="356" t="inlineStr">
        <is>
          <t>752610-0015/752610-0009 | 752610-0010 | 752610-0012 | 752610-0013 | 752610-0025 | 752610-0026 | 752610-0029 | 
752610-0032 | 752610-9 | 752610-10 | 752610-12 | 752610-13 | 752610-15 | 752610-25 | 752610-26 | 752610-29 | 752610-32 | 752610-5009S | 752610-5010S | 752610-5012S | 752610-5013S | 752610-5015S | 752610-5025S | 752610-5026S | 752610-5029S | 752610-5032S | 6C1Q6K682EE | 6C1Q6K682EF | 6C1Q6K682EG | 6C1Q6K682EH | 6C1Q6K682EJ | 6C1Q6K682E | 6C1Q6K682EL | 6C1Q6K682EM | 6C1Q6K682EN | 6C1Q6K682FA | 6C1Q-6K682-EE | 6C1Q-6K682-EF | 6C1Q-6K682-EG | 6C1Q-6K682-EH | 6C1Q-6K682-EJ | 6C1Q-6K682-EK | 6C1Q-6K682-EL | 6C1Q-6K682-EM | 6C1Q-6K682-EN | 6C1Q-6K682-FA | RM6C1Q6K682EN | YC1Q6K682AE | YC1Q6K682BF | YC1Q6K682DA | 3C1Q6K682FA | 1020183 | 1219310 | 1355059 | 1355066 | 1430766 | 1435057 | 1445932 | 1456075 | 1477185 | 1497698 | 1521490 | 1569638 | 1669557 | 1670472 | 1686389 | LR004821 | LR006869 | LR008203 | LR012858 | LR018396 | LR018497 | LR021013 | LR042752 | LR010138/1000-010-168-0001</t>
        </is>
      </c>
      <c r="G208" s="354" t="n"/>
      <c r="H208" s="357" t="inlineStr">
        <is>
          <t>SL</t>
        </is>
      </c>
      <c r="I208" s="358" t="n"/>
      <c r="J208" s="358" t="n"/>
      <c r="K208" s="358" t="n"/>
      <c r="L208" s="358">
        <f>IF(K208="","",K208*1.1)</f>
        <v/>
      </c>
      <c r="M208" s="359" t="n">
        <v>52</v>
      </c>
      <c r="N208" s="359" t="n">
        <v>34.9</v>
      </c>
      <c r="O208" s="359" t="inlineStr">
        <is>
          <t>5/5</t>
        </is>
      </c>
      <c r="P208" s="359" t="n">
        <v>46.9</v>
      </c>
      <c r="Q208" s="359" t="n">
        <v>40.3</v>
      </c>
      <c r="R208" s="359" t="inlineStr">
        <is>
          <t>9</t>
        </is>
      </c>
      <c r="T208" s="346">
        <f>UPPER(A208&amp;" "&amp;B208&amp;" "&amp;D208&amp;" "&amp;E208&amp;" "&amp;F208&amp;" "&amp;G208&amp;" "&amp;H208)</f>
        <v/>
      </c>
      <c r="U208" s="216">
        <f>IF(AND('TRA CỨU TỔNG HỢP'!$B$3&lt;&gt;"",ISNUMBER(SEARCH('TRA CỨU TỔNG HỢP'!$B$3,T208))),MAX($U$3:U207)+1,"")</f>
        <v/>
      </c>
    </row>
    <row r="209" ht="19.5" customHeight="1" s="217">
      <c r="A209" s="378" t="inlineStr">
        <is>
          <t xml:space="preserve">  🏭  FOTON   ·   3 loại turbo</t>
        </is>
      </c>
      <c r="U209" s="216">
        <f>IF(AND('TRA CỨU TỔNG HỢP'!$B$3&lt;&gt;"",ISNUMBER(SEARCH('TRA CỨU TỔNG HỢP'!$B$3,T209))),MAX($U$3:U208)+1,"")</f>
        <v/>
      </c>
    </row>
    <row r="210" ht="15" customHeight="1" s="217">
      <c r="A210" s="354" t="inlineStr">
        <is>
          <t>FOTON</t>
        </is>
      </c>
      <c r="B210" s="355" t="inlineStr">
        <is>
          <t>HH079175</t>
        </is>
      </c>
      <c r="C210" s="354" t="inlineStr">
        <is>
          <t>Garrett</t>
        </is>
      </c>
      <c r="D210" s="354" t="inlineStr">
        <is>
          <t>TB28</t>
        </is>
      </c>
      <c r="E210" s="354" t="inlineStr">
        <is>
          <t>CY4108</t>
        </is>
      </c>
      <c r="F210" s="356" t="inlineStr">
        <is>
          <t>711229-0003
711229-3/711229-5003S
839309-0001/839309-1/839309-5001S</t>
        </is>
      </c>
      <c r="G210" s="354" t="n"/>
      <c r="H210" s="357" t="inlineStr">
        <is>
          <t>TBS</t>
        </is>
      </c>
      <c r="I210" s="358" t="n"/>
      <c r="J210" s="358" t="n"/>
      <c r="K210" s="358" t="n"/>
      <c r="L210" s="358">
        <f>IF(K210="","",K210*1.1)</f>
        <v/>
      </c>
      <c r="M210" s="359" t="n"/>
      <c r="N210" s="359" t="n"/>
      <c r="O210" s="359" t="n"/>
      <c r="P210" s="359" t="n"/>
      <c r="Q210" s="359" t="n"/>
      <c r="R210" s="359" t="n"/>
      <c r="T210" s="346">
        <f>UPPER(A210&amp;" "&amp;B210&amp;" "&amp;D210&amp;" "&amp;E210&amp;" "&amp;F210&amp;" "&amp;G210&amp;" "&amp;H210)</f>
        <v/>
      </c>
      <c r="U210" s="216">
        <f>IF(AND('TRA CỨU TỔNG HỢP'!$B$3&lt;&gt;"",ISNUMBER(SEARCH('TRA CỨU TỔNG HỢP'!$B$3,T210))),MAX($U$3:U209)+1,"")</f>
        <v/>
      </c>
    </row>
    <row r="211" ht="15" customHeight="1" s="217">
      <c r="A211" s="354" t="inlineStr">
        <is>
          <t>FOTON</t>
        </is>
      </c>
      <c r="B211" s="355" t="inlineStr">
        <is>
          <t>HH080910</t>
        </is>
      </c>
      <c r="C211" s="354" t="inlineStr">
        <is>
          <t>Mitsubishi</t>
        </is>
      </c>
      <c r="D211" s="354" t="inlineStr">
        <is>
          <t>TD07S</t>
        </is>
      </c>
      <c r="E211" s="354" t="inlineStr">
        <is>
          <t>D6114</t>
        </is>
      </c>
      <c r="F211" s="356" t="inlineStr">
        <is>
          <t>49187-02710</t>
        </is>
      </c>
      <c r="G211" s="354" t="n"/>
      <c r="H211" s="357" t="inlineStr">
        <is>
          <t>VIDARIR</t>
        </is>
      </c>
      <c r="I211" s="358" t="n"/>
      <c r="J211" s="358" t="n"/>
      <c r="K211" s="358" t="n"/>
      <c r="L211" s="358">
        <f>IF(K211="","",K211*1.1)</f>
        <v/>
      </c>
      <c r="M211" s="359" t="n"/>
      <c r="N211" s="359" t="n"/>
      <c r="O211" s="359" t="n"/>
      <c r="P211" s="359" t="n"/>
      <c r="Q211" s="359" t="n"/>
      <c r="R211" s="359" t="n"/>
      <c r="T211" s="216">
        <f>UPPER(A211&amp;" "&amp;B211&amp;" "&amp;D211&amp;" "&amp;E211&amp;" "&amp;F211&amp;" "&amp;G211&amp;" "&amp;H211)</f>
        <v/>
      </c>
      <c r="U211" s="216">
        <f>IF(AND('TRA CỨU TỔNG HỢP'!$B$3&lt;&gt;"",ISNUMBER(SEARCH('TRA CỨU TỔNG HỢP'!$B$3,T211))),MAX($U$3:U210)+1,"")</f>
        <v/>
      </c>
    </row>
    <row r="212" ht="15" customHeight="1" s="217">
      <c r="A212" s="354" t="inlineStr">
        <is>
          <t>FOTON</t>
        </is>
      </c>
      <c r="B212" s="355" t="inlineStr">
        <is>
          <t>HH080316</t>
        </is>
      </c>
      <c r="C212" s="354" t="inlineStr">
        <is>
          <t>BorgWarner</t>
        </is>
      </c>
      <c r="D212" s="354" t="inlineStr">
        <is>
          <t>SJ60F</t>
        </is>
      </c>
      <c r="E212" s="354" t="n"/>
      <c r="F212" s="356" t="inlineStr">
        <is>
          <t>T74801002</t>
        </is>
      </c>
      <c r="G212" s="354" t="n"/>
      <c r="H212" s="357" t="inlineStr">
        <is>
          <t>SL</t>
        </is>
      </c>
      <c r="I212" s="358" t="n"/>
      <c r="J212" s="358" t="n"/>
      <c r="K212" s="358" t="n"/>
      <c r="L212" s="358">
        <f>IF(K212="","",K212*1.1)</f>
        <v/>
      </c>
      <c r="M212" s="359" t="n">
        <v>60</v>
      </c>
      <c r="N212" s="359" t="n">
        <v>39.1</v>
      </c>
      <c r="O212" s="359" t="inlineStr">
        <is>
          <t>6/6</t>
        </is>
      </c>
      <c r="P212" s="359" t="n">
        <v>57.9</v>
      </c>
      <c r="Q212" s="359" t="n">
        <v>47</v>
      </c>
      <c r="R212" s="359" t="n">
        <v>11</v>
      </c>
      <c r="T212" s="216">
        <f>UPPER(A212&amp;" "&amp;B212&amp;" "&amp;D212&amp;" "&amp;E212&amp;" "&amp;F212&amp;" "&amp;G212&amp;" "&amp;H212)</f>
        <v/>
      </c>
      <c r="U212" s="216">
        <f>IF(AND('TRA CỨU TỔNG HỢP'!$B$3&lt;&gt;"",ISNUMBER(SEARCH('TRA CỨU TỔNG HỢP'!$B$3,T212))),MAX($U$3:U211)+1,"")</f>
        <v/>
      </c>
    </row>
    <row r="213" ht="19.5" customHeight="1" s="217">
      <c r="A213" s="378" t="inlineStr">
        <is>
          <t xml:space="preserve">  🏭  HINO   ·   12 loại turbo</t>
        </is>
      </c>
      <c r="U213" s="216">
        <f>IF(AND('TRA CỨU TỔNG HỢP'!$B$3&lt;&gt;"",ISNUMBER(SEARCH('TRA CỨU TỔNG HỢP'!$B$3,T213))),MAX($U$3:U212)+1,"")</f>
        <v/>
      </c>
    </row>
    <row r="214" ht="15" customHeight="1" s="217">
      <c r="A214" s="354" t="inlineStr">
        <is>
          <t>HINO</t>
        </is>
      </c>
      <c r="B214" s="355" t="inlineStr">
        <is>
          <t>HH080316</t>
        </is>
      </c>
      <c r="C214" s="354" t="inlineStr">
        <is>
          <t>Garrett</t>
        </is>
      </c>
      <c r="D214" s="354" t="inlineStr">
        <is>
          <t>GT2259LS</t>
        </is>
      </c>
      <c r="E214" s="366" t="inlineStr">
        <is>
          <t>N04C 
W04D</t>
        </is>
      </c>
      <c r="F214" s="356" t="inlineStr">
        <is>
          <t>T74801002</t>
        </is>
      </c>
      <c r="G214" s="354" t="n"/>
      <c r="H214" s="357" t="inlineStr">
        <is>
          <t>SL</t>
        </is>
      </c>
      <c r="I214" s="358" t="n"/>
      <c r="J214" s="358" t="n"/>
      <c r="K214" s="358" t="n"/>
      <c r="L214" s="358">
        <f>IF(K214="","",K214*1.1)</f>
        <v/>
      </c>
      <c r="M214" s="359" t="n">
        <v>60</v>
      </c>
      <c r="N214" s="359" t="n">
        <v>39.1</v>
      </c>
      <c r="O214" s="359" t="inlineStr">
        <is>
          <t>6/6</t>
        </is>
      </c>
      <c r="P214" s="359" t="n">
        <v>57.9</v>
      </c>
      <c r="Q214" s="359" t="n">
        <v>47</v>
      </c>
      <c r="R214" s="359" t="n">
        <v>11</v>
      </c>
      <c r="T214" s="346">
        <f>UPPER(A214&amp;" "&amp;B214&amp;" "&amp;D214&amp;" "&amp;E214&amp;" "&amp;F214&amp;" "&amp;G214&amp;" "&amp;H214)</f>
        <v/>
      </c>
      <c r="U214" s="216">
        <f>IF(AND('TRA CỨU TỔNG HỢP'!$B$3&lt;&gt;"",ISNUMBER(SEARCH('TRA CỨU TỔNG HỢP'!$B$3,T214))),MAX($U$3:U213)+1,"")</f>
        <v/>
      </c>
    </row>
    <row r="215" ht="15" customHeight="1" s="217">
      <c r="A215" s="340" t="inlineStr">
        <is>
          <t>HINO</t>
        </is>
      </c>
      <c r="B215" s="341" t="inlineStr">
        <is>
          <t>HH079068</t>
        </is>
      </c>
      <c r="C215" s="340" t="inlineStr">
        <is>
          <t>Garrett</t>
        </is>
      </c>
      <c r="D215" s="340" t="inlineStr">
        <is>
          <t>GT2259LS</t>
        </is>
      </c>
      <c r="E215" s="340" t="inlineStr">
        <is>
          <t>N04C/W04D</t>
        </is>
      </c>
      <c r="F215" s="342" t="inlineStr">
        <is>
          <t>17201-E0080</t>
        </is>
      </c>
      <c r="G215" s="340" t="n"/>
      <c r="H215" s="343" t="inlineStr">
        <is>
          <t>SL</t>
        </is>
      </c>
      <c r="I215" s="344" t="n"/>
      <c r="J215" s="344" t="n"/>
      <c r="K215" s="344" t="n"/>
      <c r="L215" s="344">
        <f>IF(K215="","",K215*1.1)</f>
        <v/>
      </c>
      <c r="M215" s="345" t="n">
        <v>59.4</v>
      </c>
      <c r="N215" s="345" t="n">
        <v>41.96</v>
      </c>
      <c r="O215" s="345" t="inlineStr">
        <is>
          <t>6/6</t>
        </is>
      </c>
      <c r="P215" s="345" t="n">
        <v>50.5</v>
      </c>
      <c r="Q215" s="345" t="n">
        <v>42.8</v>
      </c>
      <c r="R215" s="345" t="inlineStr">
        <is>
          <t>9</t>
        </is>
      </c>
      <c r="T215" s="216">
        <f>UPPER(A215&amp;" "&amp;B215&amp;" "&amp;D215&amp;" "&amp;E215&amp;" "&amp;F215&amp;" "&amp;G215&amp;" "&amp;H215)</f>
        <v/>
      </c>
      <c r="U215" s="216">
        <f>IF(AND('TRA CỨU TỔNG HỢP'!$B$3&lt;&gt;"",ISNUMBER(SEARCH('TRA CỨU TỔNG HỢP'!$B$3,T215))),MAX($U$3:U214)+1,"")</f>
        <v/>
      </c>
    </row>
    <row r="216" ht="15" customHeight="1" s="217">
      <c r="A216" s="347" t="inlineStr">
        <is>
          <t>HINO</t>
        </is>
      </c>
      <c r="B216" s="348" t="inlineStr">
        <is>
          <t>HH080736</t>
        </is>
      </c>
      <c r="C216" s="349" t="inlineStr">
        <is>
          <t>Garrett</t>
        </is>
      </c>
      <c r="D216" s="349" t="inlineStr">
        <is>
          <t>GT2259LS</t>
        </is>
      </c>
      <c r="E216" s="349" t="inlineStr">
        <is>
          <t>N04C/W04D</t>
        </is>
      </c>
      <c r="F216" s="350" t="inlineStr">
        <is>
          <t>17201-E0080</t>
        </is>
      </c>
      <c r="G216" s="349" t="n"/>
      <c r="H216" s="351" t="inlineStr">
        <is>
          <t>SL</t>
        </is>
      </c>
      <c r="I216" s="352" t="n"/>
      <c r="J216" s="352" t="n"/>
      <c r="K216" s="352" t="n"/>
      <c r="L216" s="352">
        <f>IF(K216="","",K216*1.1)</f>
        <v/>
      </c>
      <c r="M216" s="353" t="n">
        <v>59.4</v>
      </c>
      <c r="N216" s="353" t="n">
        <v>41.96</v>
      </c>
      <c r="O216" s="353" t="inlineStr">
        <is>
          <t>6/6</t>
        </is>
      </c>
      <c r="P216" s="353" t="n">
        <v>50.5</v>
      </c>
      <c r="Q216" s="353" t="n">
        <v>42.8</v>
      </c>
      <c r="R216" s="353" t="inlineStr">
        <is>
          <t>9</t>
        </is>
      </c>
      <c r="T216" s="216">
        <f>UPPER(A216&amp;" "&amp;B216&amp;" "&amp;D216&amp;" "&amp;E216&amp;" "&amp;F216&amp;" "&amp;G216&amp;" "&amp;H216)</f>
        <v/>
      </c>
      <c r="U216" s="216">
        <f>IF(AND('TRA CỨU TỔNG HỢP'!$B$3&lt;&gt;"",ISNUMBER(SEARCH('TRA CỨU TỔNG HỢP'!$B$3,T216))),MAX($U$3:U215)+1,"")</f>
        <v/>
      </c>
    </row>
    <row r="217" ht="15" customHeight="1" s="217">
      <c r="A217" s="354" t="inlineStr">
        <is>
          <t>HINO</t>
        </is>
      </c>
      <c r="B217" s="355" t="inlineStr">
        <is>
          <t>HH082797</t>
        </is>
      </c>
      <c r="C217" s="354" t="inlineStr">
        <is>
          <t>IHI</t>
        </is>
      </c>
      <c r="D217" s="354" t="inlineStr">
        <is>
          <t>RHC61A</t>
        </is>
      </c>
      <c r="E217" s="354" t="inlineStr">
        <is>
          <t>W04CT</t>
        </is>
      </c>
      <c r="F217" s="356" t="inlineStr">
        <is>
          <t>24100-2940A
24100-1541</t>
        </is>
      </c>
      <c r="G217" s="354" t="n"/>
      <c r="H217" s="357" t="inlineStr">
        <is>
          <t>SL</t>
        </is>
      </c>
      <c r="I217" s="358" t="n"/>
      <c r="J217" s="358" t="n"/>
      <c r="K217" s="358" t="n"/>
      <c r="L217" s="358">
        <f>IF(K217="","",K217*1.1)</f>
        <v/>
      </c>
      <c r="M217" s="359" t="n">
        <v>65</v>
      </c>
      <c r="N217" s="359" t="n">
        <v>41.6</v>
      </c>
      <c r="O217" s="359" t="inlineStr">
        <is>
          <t>5/5</t>
        </is>
      </c>
      <c r="P217" s="359" t="n">
        <v>62</v>
      </c>
      <c r="Q217" s="359" t="n">
        <v>48.6</v>
      </c>
      <c r="R217" s="359" t="inlineStr">
        <is>
          <t>11</t>
        </is>
      </c>
      <c r="T217" s="346">
        <f>UPPER(A217&amp;" "&amp;B217&amp;" "&amp;D217&amp;" "&amp;E217&amp;" "&amp;F217&amp;" "&amp;G217&amp;" "&amp;H217)</f>
        <v/>
      </c>
      <c r="U217" s="216">
        <f>IF(AND('TRA CỨU TỔNG HỢP'!$B$3&lt;&gt;"",ISNUMBER(SEARCH('TRA CỨU TỔNG HỢP'!$B$3,T217))),MAX($U$3:U216)+1,"")</f>
        <v/>
      </c>
    </row>
    <row r="218" ht="15" customHeight="1" s="217">
      <c r="A218" s="340" t="inlineStr">
        <is>
          <t>HINO</t>
        </is>
      </c>
      <c r="B218" s="341" t="inlineStr">
        <is>
          <t>HH072354</t>
        </is>
      </c>
      <c r="C218" s="340" t="inlineStr">
        <is>
          <t>Garrett</t>
        </is>
      </c>
      <c r="D218" s="340" t="inlineStr">
        <is>
          <t>GT2556L</t>
        </is>
      </c>
      <c r="E218" s="340" t="inlineStr">
        <is>
          <t>W04D</t>
        </is>
      </c>
      <c r="F218" s="342" t="inlineStr">
        <is>
          <t>17201-E0680
786363-0004/786363-4 | 786363-5004S 7863630004/7863634/7863635004S 7863635004/17201E0680A/17201-E0680A</t>
        </is>
      </c>
      <c r="G218" s="340" t="n"/>
      <c r="H218" s="343" t="inlineStr">
        <is>
          <t>SL</t>
        </is>
      </c>
      <c r="I218" s="344" t="n"/>
      <c r="J218" s="344" t="n"/>
      <c r="K218" s="344" t="n"/>
      <c r="L218" s="344">
        <f>IF(K218="","",K218*1.1)</f>
        <v/>
      </c>
      <c r="M218" s="345" t="n">
        <v>59.4</v>
      </c>
      <c r="N218" s="345" t="n">
        <v>41.96</v>
      </c>
      <c r="O218" s="345" t="inlineStr">
        <is>
          <t>6/6</t>
        </is>
      </c>
      <c r="P218" s="345" t="n">
        <v>53.9</v>
      </c>
      <c r="Q218" s="345" t="n">
        <v>45.7</v>
      </c>
      <c r="R218" s="345" t="n">
        <v>9</v>
      </c>
      <c r="T218" s="346">
        <f>UPPER(A218&amp;" "&amp;B218&amp;" "&amp;D218&amp;" "&amp;E218&amp;" "&amp;F218&amp;" "&amp;G218&amp;" "&amp;H218)</f>
        <v/>
      </c>
      <c r="U218" s="216">
        <f>IF(AND('TRA CỨU TỔNG HỢP'!$B$3&lt;&gt;"",ISNUMBER(SEARCH('TRA CỨU TỔNG HỢP'!$B$3,T218))),MAX($U$3:U217)+1,"")</f>
        <v/>
      </c>
    </row>
    <row r="219" ht="15" customHeight="1" s="217">
      <c r="A219" s="347" t="inlineStr">
        <is>
          <t>HINO</t>
        </is>
      </c>
      <c r="B219" s="348" t="inlineStr">
        <is>
          <t>HH080024</t>
        </is>
      </c>
      <c r="C219" s="349" t="inlineStr">
        <is>
          <t>Garrett</t>
        </is>
      </c>
      <c r="D219" s="349" t="inlineStr">
        <is>
          <t>GT2556L</t>
        </is>
      </c>
      <c r="E219" s="349" t="inlineStr">
        <is>
          <t>W04D</t>
        </is>
      </c>
      <c r="F219" s="350" t="inlineStr">
        <is>
          <t>17201-E0680
786363-0004/786363-4 | 786363-5004S 7863630004/7863634/7863635004S 7863635004/17201E0680A/17201-E0680A</t>
        </is>
      </c>
      <c r="G219" s="349" t="n"/>
      <c r="H219" s="351" t="inlineStr">
        <is>
          <t>SL</t>
        </is>
      </c>
      <c r="I219" s="352" t="n"/>
      <c r="J219" s="352" t="n"/>
      <c r="K219" s="352" t="n"/>
      <c r="L219" s="352">
        <f>IF(K219="","",K219*1.1)</f>
        <v/>
      </c>
      <c r="M219" s="353" t="n">
        <v>59.4</v>
      </c>
      <c r="N219" s="353" t="n">
        <v>41.96</v>
      </c>
      <c r="O219" s="353" t="inlineStr">
        <is>
          <t>6/6</t>
        </is>
      </c>
      <c r="P219" s="353" t="n">
        <v>53.9</v>
      </c>
      <c r="Q219" s="353" t="n">
        <v>45.7</v>
      </c>
      <c r="R219" s="353" t="n">
        <v>9</v>
      </c>
      <c r="T219" s="346">
        <f>UPPER(A219&amp;" "&amp;B219&amp;" "&amp;D219&amp;" "&amp;E219&amp;" "&amp;F219&amp;" "&amp;G219&amp;" "&amp;H219)</f>
        <v/>
      </c>
      <c r="U219" s="216">
        <f>IF(AND('TRA CỨU TỔNG HỢP'!$B$3&lt;&gt;"",ISNUMBER(SEARCH('TRA CỨU TỔNG HỢP'!$B$3,T219))),MAX($U$3:U218)+1,"")</f>
        <v/>
      </c>
    </row>
    <row r="220" ht="15" customHeight="1" s="217">
      <c r="A220" s="340" t="inlineStr">
        <is>
          <t>HINO</t>
        </is>
      </c>
      <c r="B220" s="341" t="inlineStr">
        <is>
          <t>HH075531</t>
        </is>
      </c>
      <c r="C220" s="340" t="inlineStr">
        <is>
          <t>IHI</t>
        </is>
      </c>
      <c r="D220" s="340" t="inlineStr">
        <is>
          <t>RHC6 /RHC62W</t>
        </is>
      </c>
      <c r="E220" s="340" t="inlineStr">
        <is>
          <t>H07C-T</t>
        </is>
      </c>
      <c r="F220" s="342" t="inlineStr">
        <is>
          <t>24100-2201A/241002203A
24100-2204A/VA240039/VC240039
VD240039/VG240039/VH240039</t>
        </is>
      </c>
      <c r="G220" s="340" t="n"/>
      <c r="H220" s="343" t="inlineStr">
        <is>
          <t>SL</t>
        </is>
      </c>
      <c r="I220" s="344" t="n"/>
      <c r="J220" s="344" t="n"/>
      <c r="K220" s="344" t="n"/>
      <c r="L220" s="344">
        <f>IF(K220="","",K220*1.1)</f>
        <v/>
      </c>
      <c r="M220" s="345" t="n"/>
      <c r="N220" s="345" t="n"/>
      <c r="O220" s="345" t="n"/>
      <c r="P220" s="345" t="n"/>
      <c r="Q220" s="345" t="n"/>
      <c r="R220" s="345" t="n"/>
      <c r="T220" s="346">
        <f>UPPER(A220&amp;" "&amp;B220&amp;" "&amp;D220&amp;" "&amp;E220&amp;" "&amp;F220&amp;" "&amp;G220&amp;" "&amp;H220)</f>
        <v/>
      </c>
      <c r="U220" s="216">
        <f>IF(AND('TRA CỨU TỔNG HỢP'!$B$3&lt;&gt;"",ISNUMBER(SEARCH('TRA CỨU TỔNG HỢP'!$B$3,T220))),MAX($U$3:U219)+1,"")</f>
        <v/>
      </c>
    </row>
    <row r="221" ht="15" customHeight="1" s="217">
      <c r="A221" s="347" t="inlineStr">
        <is>
          <t>HINO</t>
        </is>
      </c>
      <c r="B221" s="348" t="inlineStr">
        <is>
          <t>HH078576</t>
        </is>
      </c>
      <c r="C221" s="349" t="inlineStr">
        <is>
          <t>IHI</t>
        </is>
      </c>
      <c r="D221" s="349" t="inlineStr">
        <is>
          <t>RHC6 /RHC62W</t>
        </is>
      </c>
      <c r="E221" s="349" t="inlineStr">
        <is>
          <t>H07C-T</t>
        </is>
      </c>
      <c r="F221" s="350" t="inlineStr">
        <is>
          <t>24100-2201A/241002203A
24100-2204A/VA240039/VC240039
VD240039/VG240039/VH240039</t>
        </is>
      </c>
      <c r="G221" s="349" t="n"/>
      <c r="H221" s="351" t="inlineStr">
        <is>
          <t>SL</t>
        </is>
      </c>
      <c r="I221" s="352" t="n"/>
      <c r="J221" s="352" t="n"/>
      <c r="K221" s="352" t="n"/>
      <c r="L221" s="352">
        <f>IF(K221="","",K221*1.1)</f>
        <v/>
      </c>
      <c r="M221" s="353" t="n"/>
      <c r="N221" s="353" t="n"/>
      <c r="O221" s="353" t="n"/>
      <c r="P221" s="353" t="n"/>
      <c r="Q221" s="353" t="n"/>
      <c r="R221" s="353" t="n"/>
      <c r="T221" s="346">
        <f>UPPER(A221&amp;" "&amp;B221&amp;" "&amp;D221&amp;" "&amp;E221&amp;" "&amp;F221&amp;" "&amp;G221&amp;" "&amp;H221)</f>
        <v/>
      </c>
      <c r="U221" s="216">
        <f>IF(AND('TRA CỨU TỔNG HỢP'!$B$3&lt;&gt;"",ISNUMBER(SEARCH('TRA CỨU TỔNG HỢP'!$B$3,T221))),MAX($U$3:U220)+1,"")</f>
        <v/>
      </c>
    </row>
    <row r="222" ht="15" customHeight="1" s="217">
      <c r="A222" s="354" t="inlineStr">
        <is>
          <t>HINO</t>
        </is>
      </c>
      <c r="B222" s="355" t="inlineStr">
        <is>
          <t>HH078433</t>
        </is>
      </c>
      <c r="C222" s="354" t="inlineStr">
        <is>
          <t>Holset</t>
        </is>
      </c>
      <c r="D222" s="354" t="inlineStr">
        <is>
          <t>WH2D</t>
        </is>
      </c>
      <c r="E222" s="354" t="inlineStr">
        <is>
          <t>K13C</t>
        </is>
      </c>
      <c r="F222" s="356" t="inlineStr">
        <is>
          <t>3533263
3533261
262
24100-2920B/24100-2920A/2920C</t>
        </is>
      </c>
      <c r="G222" s="354" t="n"/>
      <c r="H222" s="357" t="inlineStr">
        <is>
          <t>VIDARIR</t>
        </is>
      </c>
      <c r="I222" s="358" t="n"/>
      <c r="J222" s="358" t="n"/>
      <c r="K222" s="358" t="n"/>
      <c r="L222" s="358">
        <f>IF(K222="","",K222*1.1)</f>
        <v/>
      </c>
      <c r="M222" s="359" t="n"/>
      <c r="N222" s="359" t="n"/>
      <c r="O222" s="359" t="n"/>
      <c r="P222" s="359" t="n"/>
      <c r="Q222" s="359" t="n"/>
      <c r="R222" s="359" t="n"/>
      <c r="T222" s="346">
        <f>UPPER(A222&amp;" "&amp;B222&amp;" "&amp;D222&amp;" "&amp;E222&amp;" "&amp;F222&amp;" "&amp;G222&amp;" "&amp;H222)</f>
        <v/>
      </c>
      <c r="U222" s="216">
        <f>IF(AND('TRA CỨU TỔNG HỢP'!$B$3&lt;&gt;"",ISNUMBER(SEARCH('TRA CỨU TỔNG HỢP'!$B$3,T222))),MAX($U$3:U221)+1,"")</f>
        <v/>
      </c>
    </row>
    <row r="223" ht="15" customHeight="1" s="217">
      <c r="A223" s="354" t="inlineStr">
        <is>
          <t>HINO</t>
        </is>
      </c>
      <c r="B223" s="355" t="inlineStr">
        <is>
          <t>HH081333</t>
        </is>
      </c>
      <c r="C223" s="354" t="inlineStr">
        <is>
          <t>IHI</t>
        </is>
      </c>
      <c r="D223" s="354" t="inlineStr">
        <is>
          <t>RHE8</t>
        </is>
      </c>
      <c r="E223" s="354" t="inlineStr">
        <is>
          <t>K13C</t>
        </is>
      </c>
      <c r="F223" s="356" t="inlineStr">
        <is>
          <t>24100-3131</t>
        </is>
      </c>
      <c r="G223" s="354" t="n"/>
      <c r="H223" s="357" t="inlineStr">
        <is>
          <t>VIDARIR</t>
        </is>
      </c>
      <c r="I223" s="358" t="n"/>
      <c r="J223" s="358" t="n"/>
      <c r="K223" s="358" t="n"/>
      <c r="L223" s="358">
        <f>IF(K223="","",K223*1.1)</f>
        <v/>
      </c>
      <c r="M223" s="359" t="n"/>
      <c r="N223" s="359" t="n"/>
      <c r="O223" s="359" t="n"/>
      <c r="P223" s="359" t="n"/>
      <c r="Q223" s="359" t="n"/>
      <c r="R223" s="359" t="n"/>
      <c r="T223" s="216">
        <f>UPPER(A223&amp;" "&amp;B223&amp;" "&amp;D223&amp;" "&amp;E223&amp;" "&amp;F223&amp;" "&amp;G223&amp;" "&amp;H223)</f>
        <v/>
      </c>
      <c r="U223" s="216">
        <f>IF(AND('TRA CỨU TỔNG HỢP'!$B$3&lt;&gt;"",ISNUMBER(SEARCH('TRA CỨU TỔNG HỢP'!$B$3,T223))),MAX($U$3:U222)+1,"")</f>
        <v/>
      </c>
    </row>
    <row r="224" ht="15" customHeight="1" s="217">
      <c r="A224" s="340" t="inlineStr">
        <is>
          <t>HINO</t>
        </is>
      </c>
      <c r="B224" s="341" t="inlineStr">
        <is>
          <t>HH078434</t>
        </is>
      </c>
      <c r="C224" s="340" t="inlineStr">
        <is>
          <t>IHI</t>
        </is>
      </c>
      <c r="D224" s="340" t="inlineStr">
        <is>
          <t>RHG6</t>
        </is>
      </c>
      <c r="E224" s="340" t="inlineStr">
        <is>
          <t>P11C</t>
        </is>
      </c>
      <c r="F224" s="342" t="inlineStr">
        <is>
          <t>17201-E0220
S1760-E0121</t>
        </is>
      </c>
      <c r="G224" s="340" t="n"/>
      <c r="H224" s="343" t="inlineStr">
        <is>
          <t>VIDARIR</t>
        </is>
      </c>
      <c r="I224" s="344" t="n"/>
      <c r="J224" s="344" t="n"/>
      <c r="K224" s="344" t="n"/>
      <c r="L224" s="344">
        <f>IF(K224="","",K224*1.1)</f>
        <v/>
      </c>
      <c r="M224" s="345" t="n"/>
      <c r="N224" s="345" t="n"/>
      <c r="O224" s="345" t="n"/>
      <c r="P224" s="345" t="n"/>
      <c r="Q224" s="345" t="n"/>
      <c r="R224" s="345" t="n"/>
      <c r="T224" s="346">
        <f>UPPER(A224&amp;" "&amp;B224&amp;" "&amp;D224&amp;" "&amp;E224&amp;" "&amp;F224&amp;" "&amp;G224&amp;" "&amp;H224)</f>
        <v/>
      </c>
      <c r="U224" s="216">
        <f>IF(AND('TRA CỨU TỔNG HỢP'!$B$3&lt;&gt;"",ISNUMBER(SEARCH('TRA CỨU TỔNG HỢP'!$B$3,T224))),MAX($U$3:U223)+1,"")</f>
        <v/>
      </c>
    </row>
    <row r="225" ht="15" customHeight="1" s="217">
      <c r="A225" s="347" t="inlineStr">
        <is>
          <t>HINO</t>
        </is>
      </c>
      <c r="B225" s="348" t="inlineStr">
        <is>
          <t>HH080640</t>
        </is>
      </c>
      <c r="C225" s="349" t="inlineStr">
        <is>
          <t>IHI</t>
        </is>
      </c>
      <c r="D225" s="349" t="inlineStr">
        <is>
          <t>RHG6</t>
        </is>
      </c>
      <c r="E225" s="349" t="inlineStr">
        <is>
          <t>P11C</t>
        </is>
      </c>
      <c r="F225" s="350" t="inlineStr">
        <is>
          <t>17201-E0220
S1760-E0121</t>
        </is>
      </c>
      <c r="G225" s="349" t="n"/>
      <c r="H225" s="351" t="inlineStr">
        <is>
          <t>VIDARIR</t>
        </is>
      </c>
      <c r="I225" s="352" t="n"/>
      <c r="J225" s="352" t="n"/>
      <c r="K225" s="352" t="n"/>
      <c r="L225" s="352">
        <f>IF(K225="","",K225*1.1)</f>
        <v/>
      </c>
      <c r="M225" s="353" t="n"/>
      <c r="N225" s="353" t="n"/>
      <c r="O225" s="353" t="n"/>
      <c r="P225" s="353" t="n"/>
      <c r="Q225" s="353" t="n"/>
      <c r="R225" s="353" t="n"/>
      <c r="T225" s="346">
        <f>UPPER(A225&amp;" "&amp;B225&amp;" "&amp;D225&amp;" "&amp;E225&amp;" "&amp;F225&amp;" "&amp;G225&amp;" "&amp;H225)</f>
        <v/>
      </c>
      <c r="U225" s="216">
        <f>IF(AND('TRA CỨU TỔNG HỢP'!$B$3&lt;&gt;"",ISNUMBER(SEARCH('TRA CỨU TỔNG HỢP'!$B$3,T225))),MAX($U$3:U224)+1,"")</f>
        <v/>
      </c>
    </row>
    <row r="226" ht="15" customHeight="1" s="217">
      <c r="A226" s="354" t="inlineStr">
        <is>
          <t>HINO</t>
        </is>
      </c>
      <c r="B226" s="355" t="inlineStr">
        <is>
          <t>HH080912</t>
        </is>
      </c>
      <c r="C226" s="354" t="inlineStr">
        <is>
          <t>IHI</t>
        </is>
      </c>
      <c r="D226" s="354" t="inlineStr">
        <is>
          <t>RHE7</t>
        </is>
      </c>
      <c r="E226" s="354" t="inlineStr">
        <is>
          <t>P11C</t>
        </is>
      </c>
      <c r="F226" s="356" t="inlineStr">
        <is>
          <t>24100-2751B</t>
        </is>
      </c>
      <c r="G226" s="354" t="n"/>
      <c r="H226" s="357" t="inlineStr">
        <is>
          <t>VIDARIR</t>
        </is>
      </c>
      <c r="I226" s="358" t="n"/>
      <c r="J226" s="358" t="n"/>
      <c r="K226" s="358" t="n"/>
      <c r="L226" s="358">
        <f>IF(K226="","",K226*1.1)</f>
        <v/>
      </c>
      <c r="M226" s="359" t="n"/>
      <c r="N226" s="359" t="n"/>
      <c r="O226" s="359" t="n"/>
      <c r="P226" s="359" t="n"/>
      <c r="Q226" s="359" t="n"/>
      <c r="R226" s="359" t="n"/>
      <c r="T226" s="216">
        <f>UPPER(A226&amp;" "&amp;B226&amp;" "&amp;D226&amp;" "&amp;E226&amp;" "&amp;F226&amp;" "&amp;G226&amp;" "&amp;H226)</f>
        <v/>
      </c>
      <c r="U226" s="216">
        <f>IF(AND('TRA CỨU TỔNG HỢP'!$B$3&lt;&gt;"",ISNUMBER(SEARCH('TRA CỨU TỔNG HỢP'!$B$3,T226))),MAX($U$3:U225)+1,"")</f>
        <v/>
      </c>
    </row>
    <row r="227" ht="15" customHeight="1" s="217">
      <c r="A227" s="379" t="inlineStr">
        <is>
          <t>HINO</t>
        </is>
      </c>
      <c r="B227" s="380" t="n"/>
      <c r="C227" s="379" t="inlineStr">
        <is>
          <t>IHI</t>
        </is>
      </c>
      <c r="D227" s="379" t="inlineStr">
        <is>
          <t>RHG7</t>
        </is>
      </c>
      <c r="E227" s="379" t="inlineStr">
        <is>
          <t>P11C</t>
        </is>
      </c>
      <c r="F227" s="381" t="inlineStr">
        <is>
          <t>24100-4011 17201-E0480</t>
        </is>
      </c>
      <c r="G227" s="379" t="n"/>
      <c r="H227" s="382" t="n"/>
      <c r="I227" s="383" t="n"/>
      <c r="J227" s="383" t="n"/>
      <c r="K227" s="383" t="n"/>
      <c r="L227" s="383">
        <f>IF(K227="","",K227*1.1)</f>
        <v/>
      </c>
      <c r="M227" s="384" t="n"/>
      <c r="N227" s="384" t="n"/>
      <c r="O227" s="384" t="n"/>
      <c r="P227" s="384" t="n"/>
      <c r="Q227" s="384" t="n"/>
      <c r="R227" s="384" t="n"/>
      <c r="T227" s="216">
        <f>UPPER(A227&amp;" "&amp;B227&amp;" "&amp;D227&amp;" "&amp;E227&amp;" "&amp;F227&amp;" "&amp;G227&amp;" "&amp;H227)</f>
        <v/>
      </c>
      <c r="U227" s="216">
        <f>IF(AND('TRA CỨU TỔNG HỢP'!$B$3&lt;&gt;"",ISNUMBER(SEARCH('TRA CỨU TỔNG HỢP'!$B$3,T227))),MAX($U$3:U226)+1,"")</f>
        <v/>
      </c>
    </row>
    <row r="228" ht="15" customHeight="1" s="217">
      <c r="A228" s="354" t="inlineStr">
        <is>
          <t>HINO</t>
        </is>
      </c>
      <c r="B228" s="355" t="inlineStr">
        <is>
          <t>HH082125</t>
        </is>
      </c>
      <c r="C228" s="354" t="inlineStr">
        <is>
          <t>Garrett</t>
        </is>
      </c>
      <c r="D228" s="354" t="inlineStr">
        <is>
          <t>GTB3578KLNRV</t>
        </is>
      </c>
      <c r="E228" s="354" t="n"/>
      <c r="F228" s="356" t="inlineStr">
        <is>
          <t>17201-E0E61</t>
        </is>
      </c>
      <c r="G228" s="354" t="n"/>
      <c r="H228" s="357" t="n"/>
      <c r="I228" s="358" t="n"/>
      <c r="J228" s="358" t="n"/>
      <c r="K228" s="358" t="n"/>
      <c r="L228" s="358">
        <f>IF(K228="","",K228*1.1)</f>
        <v/>
      </c>
      <c r="M228" s="359" t="n"/>
      <c r="N228" s="359" t="n"/>
      <c r="O228" s="359" t="n"/>
      <c r="P228" s="359" t="n"/>
      <c r="Q228" s="359" t="n"/>
      <c r="R228" s="359" t="n"/>
      <c r="T228" s="216">
        <f>UPPER(A228&amp;" "&amp;B228&amp;" "&amp;D228&amp;" "&amp;E228&amp;" "&amp;F228&amp;" "&amp;G228&amp;" "&amp;H228)</f>
        <v/>
      </c>
      <c r="U228" s="216">
        <f>IF(AND('TRA CỨU TỔNG HỢP'!$B$3&lt;&gt;"",ISNUMBER(SEARCH('TRA CỨU TỔNG HỢP'!$B$3,T228))),MAX($U$3:U227)+1,"")</f>
        <v/>
      </c>
    </row>
    <row r="229" ht="15" customHeight="1" s="217">
      <c r="A229" s="340" t="inlineStr">
        <is>
          <t>HINO</t>
        </is>
      </c>
      <c r="B229" s="341" t="inlineStr">
        <is>
          <t>HH084193</t>
        </is>
      </c>
      <c r="C229" s="340" t="inlineStr">
        <is>
          <t>Garrett</t>
        </is>
      </c>
      <c r="D229" s="340" t="inlineStr">
        <is>
          <t>GT3271S</t>
        </is>
      </c>
      <c r="E229" s="340" t="inlineStr">
        <is>
          <t>J05C</t>
        </is>
      </c>
      <c r="F229" s="342" t="inlineStr">
        <is>
          <t>704409-0001
704409-0002/0007
24100-3400/3530/3781
4370/8G32-200-745
24100-3530/24100-3781
17201-E0330/700291-0001</t>
        </is>
      </c>
      <c r="G229" s="340" t="n"/>
      <c r="H229" s="343" t="inlineStr">
        <is>
          <t>EE</t>
        </is>
      </c>
      <c r="I229" s="344" t="n"/>
      <c r="J229" s="344" t="n"/>
      <c r="K229" s="344" t="n"/>
      <c r="L229" s="344">
        <f>IF(K229="","",K229*1.1)</f>
        <v/>
      </c>
      <c r="M229" s="345" t="n">
        <v>71</v>
      </c>
      <c r="N229" s="345" t="n">
        <v>51.1</v>
      </c>
      <c r="O229" s="345" t="inlineStr">
        <is>
          <t>6/6</t>
        </is>
      </c>
      <c r="P229" s="345" t="n">
        <v>61.3</v>
      </c>
      <c r="Q229" s="345" t="n">
        <v>52.1</v>
      </c>
      <c r="R229" s="345" t="n">
        <v>10</v>
      </c>
      <c r="T229" s="346">
        <f>UPPER(A229&amp;" "&amp;B229&amp;" "&amp;D229&amp;" "&amp;E229&amp;" "&amp;F229&amp;" "&amp;G229&amp;" "&amp;H229)</f>
        <v/>
      </c>
      <c r="U229" s="216">
        <f>IF(AND('TRA CỨU TỔNG HỢP'!$B$3&lt;&gt;"",ISNUMBER(SEARCH('TRA CỨU TỔNG HỢP'!$B$3,T229))),MAX($U$3:U228)+1,"")</f>
        <v/>
      </c>
    </row>
    <row r="230" ht="15" customHeight="1" s="217">
      <c r="A230" s="347" t="inlineStr">
        <is>
          <t>HINO</t>
        </is>
      </c>
      <c r="B230" s="348" t="inlineStr">
        <is>
          <t>HH082688</t>
        </is>
      </c>
      <c r="C230" s="349" t="inlineStr">
        <is>
          <t>Garrett</t>
        </is>
      </c>
      <c r="D230" s="349" t="inlineStr">
        <is>
          <t>GT3271S</t>
        </is>
      </c>
      <c r="E230" s="349" t="inlineStr">
        <is>
          <t>J05C</t>
        </is>
      </c>
      <c r="F230" s="350" t="inlineStr">
        <is>
          <t>704409-0001
704409-0002/0007
24100-3400/3530/3781
4370/8G32-200-745
24100-3530/24100-3781
17201-E0330/700291-0001</t>
        </is>
      </c>
      <c r="G230" s="349" t="n"/>
      <c r="H230" s="351" t="inlineStr">
        <is>
          <t>SL</t>
        </is>
      </c>
      <c r="I230" s="352" t="n"/>
      <c r="J230" s="352" t="n"/>
      <c r="K230" s="352" t="n"/>
      <c r="L230" s="352">
        <f>IF(K230="","",K230*1.1)</f>
        <v/>
      </c>
      <c r="M230" s="353" t="n">
        <v>71</v>
      </c>
      <c r="N230" s="353" t="n">
        <v>51.1</v>
      </c>
      <c r="O230" s="353" t="inlineStr">
        <is>
          <t>6/6</t>
        </is>
      </c>
      <c r="P230" s="353" t="n">
        <v>61.3</v>
      </c>
      <c r="Q230" s="353" t="n">
        <v>52.1</v>
      </c>
      <c r="R230" s="353" t="n">
        <v>10</v>
      </c>
      <c r="T230" s="346">
        <f>UPPER(A230&amp;" "&amp;B230&amp;" "&amp;D230&amp;" "&amp;E230&amp;" "&amp;F230&amp;" "&amp;G230&amp;" "&amp;H230)</f>
        <v/>
      </c>
      <c r="U230" s="216">
        <f>IF(AND('TRA CỨU TỔNG HỢP'!$B$3&lt;&gt;"",ISNUMBER(SEARCH('TRA CỨU TỔNG HỢP'!$B$3,T230))),MAX($U$3:U229)+1,"")</f>
        <v/>
      </c>
    </row>
    <row r="231" ht="15" customHeight="1" s="217">
      <c r="A231" s="340" t="inlineStr">
        <is>
          <t>HINO</t>
        </is>
      </c>
      <c r="B231" s="341" t="inlineStr">
        <is>
          <t>HH075111</t>
        </is>
      </c>
      <c r="C231" s="340" t="inlineStr">
        <is>
          <t>Garrett</t>
        </is>
      </c>
      <c r="D231" s="340" t="inlineStr">
        <is>
          <t>GT3576</t>
        </is>
      </c>
      <c r="E231" s="340" t="inlineStr">
        <is>
          <t>J08C</t>
        </is>
      </c>
      <c r="F231" s="342" t="inlineStr">
        <is>
          <t>24100-3251C
8G35-200-161
 479016-0002</t>
        </is>
      </c>
      <c r="G231" s="340" t="n"/>
      <c r="H231" s="343" t="inlineStr">
        <is>
          <t>JRONE</t>
        </is>
      </c>
      <c r="I231" s="344" t="n"/>
      <c r="J231" s="344" t="n"/>
      <c r="K231" s="344" t="n"/>
      <c r="L231" s="344">
        <f>IF(K231="","",K231*1.1)</f>
        <v/>
      </c>
      <c r="M231" s="345" t="n">
        <v>76.2</v>
      </c>
      <c r="N231" s="345" t="n">
        <v>57</v>
      </c>
      <c r="O231" s="345" t="inlineStr">
        <is>
          <t>6/6</t>
        </is>
      </c>
      <c r="P231" s="345" t="n">
        <v>68</v>
      </c>
      <c r="Q231" s="345" t="n">
        <v>60</v>
      </c>
      <c r="R231" s="345" t="n">
        <v>10</v>
      </c>
      <c r="T231" s="346">
        <f>UPPER(A231&amp;" "&amp;B231&amp;" "&amp;D231&amp;" "&amp;E231&amp;" "&amp;F231&amp;" "&amp;G231&amp;" "&amp;H231)</f>
        <v/>
      </c>
      <c r="U231" s="216">
        <f>IF(AND('TRA CỨU TỔNG HỢP'!$B$3&lt;&gt;"",ISNUMBER(SEARCH('TRA CỨU TỔNG HỢP'!$B$3,T231))),MAX($U$3:U230)+1,"")</f>
        <v/>
      </c>
    </row>
    <row r="232" ht="15" customHeight="1" s="217">
      <c r="A232" s="347" t="inlineStr">
        <is>
          <t>HINO</t>
        </is>
      </c>
      <c r="B232" s="348" t="inlineStr">
        <is>
          <t>HH081731</t>
        </is>
      </c>
      <c r="C232" s="349" t="inlineStr">
        <is>
          <t>Garrett</t>
        </is>
      </c>
      <c r="D232" s="349" t="inlineStr">
        <is>
          <t>GT3576</t>
        </is>
      </c>
      <c r="E232" s="349" t="inlineStr">
        <is>
          <t>J08C</t>
        </is>
      </c>
      <c r="F232" s="350" t="inlineStr">
        <is>
          <t>24100-3251C
8G35-200-161
 479016-0002</t>
        </is>
      </c>
      <c r="G232" s="349" t="n"/>
      <c r="H232" s="351" t="inlineStr">
        <is>
          <t>TBS</t>
        </is>
      </c>
      <c r="I232" s="352" t="n"/>
      <c r="J232" s="352" t="n"/>
      <c r="K232" s="352" t="n"/>
      <c r="L232" s="352">
        <f>IF(K232="","",K232*1.1)</f>
        <v/>
      </c>
      <c r="M232" s="353" t="n">
        <v>76.2</v>
      </c>
      <c r="N232" s="353" t="n">
        <v>57</v>
      </c>
      <c r="O232" s="353" t="inlineStr">
        <is>
          <t>6/6</t>
        </is>
      </c>
      <c r="P232" s="353" t="n">
        <v>68</v>
      </c>
      <c r="Q232" s="353" t="n">
        <v>60</v>
      </c>
      <c r="R232" s="353" t="n">
        <v>10</v>
      </c>
      <c r="T232" s="346">
        <f>UPPER(A232&amp;" "&amp;B232&amp;" "&amp;D232&amp;" "&amp;E232&amp;" "&amp;F232&amp;" "&amp;G232&amp;" "&amp;H232)</f>
        <v/>
      </c>
      <c r="U232" s="216">
        <f>IF(AND('TRA CỨU TỔNG HỢP'!$B$3&lt;&gt;"",ISNUMBER(SEARCH('TRA CỨU TỔNG HỢP'!$B$3,T232))),MAX($U$3:U231)+1,"")</f>
        <v/>
      </c>
    </row>
    <row r="233" ht="15" customHeight="1" s="217">
      <c r="A233" s="347" t="inlineStr">
        <is>
          <t>HINO</t>
        </is>
      </c>
      <c r="B233" s="348" t="inlineStr">
        <is>
          <t>HH080288</t>
        </is>
      </c>
      <c r="C233" s="349" t="inlineStr">
        <is>
          <t>Garrett</t>
        </is>
      </c>
      <c r="D233" s="349" t="inlineStr">
        <is>
          <t>GT3576</t>
        </is>
      </c>
      <c r="E233" s="349" t="inlineStr">
        <is>
          <t>J08C</t>
        </is>
      </c>
      <c r="F233" s="350" t="inlineStr">
        <is>
          <t>24100-3251C
8G35-200-161
 479016-0002</t>
        </is>
      </c>
      <c r="G233" s="349" t="n"/>
      <c r="H233" s="351" t="inlineStr">
        <is>
          <t>SL</t>
        </is>
      </c>
      <c r="I233" s="352" t="n"/>
      <c r="J233" s="352" t="n"/>
      <c r="K233" s="352" t="n"/>
      <c r="L233" s="352">
        <f>IF(K233="","",K233*1.1)</f>
        <v/>
      </c>
      <c r="M233" s="353" t="n">
        <v>76.2</v>
      </c>
      <c r="N233" s="353" t="n">
        <v>57</v>
      </c>
      <c r="O233" s="353" t="inlineStr">
        <is>
          <t>6/6</t>
        </is>
      </c>
      <c r="P233" s="353" t="n">
        <v>68</v>
      </c>
      <c r="Q233" s="353" t="n">
        <v>60</v>
      </c>
      <c r="R233" s="353" t="n">
        <v>10</v>
      </c>
      <c r="T233" s="346">
        <f>UPPER(A233&amp;" "&amp;B233&amp;" "&amp;D233&amp;" "&amp;E233&amp;" "&amp;F233&amp;" "&amp;G233&amp;" "&amp;H233)</f>
        <v/>
      </c>
      <c r="U233" s="216">
        <f>IF(AND('TRA CỨU TỔNG HỢP'!$B$3&lt;&gt;"",ISNUMBER(SEARCH('TRA CỨU TỔNG HỢP'!$B$3,T233))),MAX($U$3:U232)+1,"")</f>
        <v/>
      </c>
    </row>
    <row r="234" ht="19.5" customHeight="1" s="217">
      <c r="A234" s="378" t="inlineStr">
        <is>
          <t xml:space="preserve">  🏭  HITACHI   ·   31 loại turbo</t>
        </is>
      </c>
      <c r="U234" s="216">
        <f>IF(AND('TRA CỨU TỔNG HỢP'!$B$3&lt;&gt;"",ISNUMBER(SEARCH('TRA CỨU TỔNG HỢP'!$B$3,T234))),MAX($U$3:U233)+1,"")</f>
        <v/>
      </c>
    </row>
    <row r="235" ht="15" customHeight="1" s="217">
      <c r="A235" s="354" t="inlineStr">
        <is>
          <t>HITACHI</t>
        </is>
      </c>
      <c r="B235" s="355" t="inlineStr">
        <is>
          <t>HH077140</t>
        </is>
      </c>
      <c r="C235" s="354" t="inlineStr">
        <is>
          <t>IHI</t>
        </is>
      </c>
      <c r="D235" s="354" t="inlineStr">
        <is>
          <t>RHF3</t>
        </is>
      </c>
      <c r="E235" s="354" t="inlineStr">
        <is>
          <t>4LE2</t>
        </is>
      </c>
      <c r="F235" s="356" t="inlineStr">
        <is>
          <t>8980928220
8I03-100-L62
VB410146/VA410146/VC410146/VD410146/VI8980928220/VI8980928220R/CIGF/F31CNDS0146G/VA410146/F31CNDS0146B</t>
        </is>
      </c>
      <c r="G235" s="354" t="n"/>
      <c r="H235" s="357" t="inlineStr">
        <is>
          <t>JRONE</t>
        </is>
      </c>
      <c r="I235" s="358" t="n"/>
      <c r="J235" s="358" t="n"/>
      <c r="K235" s="358" t="n"/>
      <c r="L235" s="358">
        <f>IF(K235="","",K235*1.1)</f>
        <v/>
      </c>
      <c r="M235" s="359" t="n"/>
      <c r="N235" s="359" t="n"/>
      <c r="O235" s="359" t="n"/>
      <c r="P235" s="359" t="n"/>
      <c r="Q235" s="359" t="n"/>
      <c r="R235" s="359" t="n"/>
      <c r="T235" s="346">
        <f>UPPER(A235&amp;" "&amp;B235&amp;" "&amp;D235&amp;" "&amp;E235&amp;" "&amp;F235&amp;" "&amp;G235&amp;" "&amp;H235)</f>
        <v/>
      </c>
      <c r="U235" s="216">
        <f>IF(AND('TRA CỨU TỔNG HỢP'!$B$3&lt;&gt;"",ISNUMBER(SEARCH('TRA CỨU TỔNG HỢP'!$B$3,T235))),MAX($U$3:U234)+1,"")</f>
        <v/>
      </c>
    </row>
    <row r="236" ht="15" customHeight="1" s="217">
      <c r="A236" s="354" t="inlineStr">
        <is>
          <t>HITACHI</t>
        </is>
      </c>
      <c r="B236" s="355" t="inlineStr">
        <is>
          <t>HH075388</t>
        </is>
      </c>
      <c r="C236" s="354" t="inlineStr">
        <is>
          <t>IHI</t>
        </is>
      </c>
      <c r="D236" s="354" t="inlineStr">
        <is>
          <t>RHF5</t>
        </is>
      </c>
      <c r="E236" s="354" t="inlineStr">
        <is>
          <t>4JJ1-T</t>
        </is>
      </c>
      <c r="F236" s="356" t="inlineStr">
        <is>
          <t>8981851941
8I05-100-L63
VA430101/VB430101/VC430101/VD430101
8981851941/8980198930/8981851940</t>
        </is>
      </c>
      <c r="G236" s="354" t="n"/>
      <c r="H236" s="357" t="inlineStr">
        <is>
          <t>JRONE</t>
        </is>
      </c>
      <c r="I236" s="358" t="n"/>
      <c r="J236" s="358" t="n"/>
      <c r="K236" s="358" t="n"/>
      <c r="L236" s="358">
        <f>IF(K236="","",K236*1.1)</f>
        <v/>
      </c>
      <c r="M236" s="359" t="n"/>
      <c r="N236" s="359" t="n"/>
      <c r="O236" s="359" t="n"/>
      <c r="P236" s="359" t="n"/>
      <c r="Q236" s="359" t="n"/>
      <c r="R236" s="359" t="n"/>
      <c r="T236" s="346">
        <f>UPPER(A236&amp;" "&amp;B236&amp;" "&amp;D236&amp;" "&amp;E236&amp;" "&amp;F236&amp;" "&amp;G236&amp;" "&amp;H236)</f>
        <v/>
      </c>
      <c r="U236" s="216">
        <f>IF(AND('TRA CỨU TỔNG HỢP'!$B$3&lt;&gt;"",ISNUMBER(SEARCH('TRA CỨU TỔNG HỢP'!$B$3,T236))),MAX($U$3:U235)+1,"")</f>
        <v/>
      </c>
    </row>
    <row r="237" ht="15" customHeight="1" s="217">
      <c r="A237" s="340" t="inlineStr">
        <is>
          <t>HITACHI</t>
        </is>
      </c>
      <c r="B237" s="341" t="inlineStr">
        <is>
          <t>HH080253</t>
        </is>
      </c>
      <c r="C237" s="340" t="inlineStr">
        <is>
          <t>IHI</t>
        </is>
      </c>
      <c r="D237" s="340" t="inlineStr">
        <is>
          <t>RHF5</t>
        </is>
      </c>
      <c r="E237" s="340" t="inlineStr">
        <is>
          <t>4JJ1-T</t>
        </is>
      </c>
      <c r="F237" s="342" t="inlineStr">
        <is>
          <t>8980976860
8980976861
8980540111</t>
        </is>
      </c>
      <c r="G237" s="340" t="inlineStr">
        <is>
          <t>có H/A VIDARIR</t>
        </is>
      </c>
      <c r="H237" s="343" t="inlineStr">
        <is>
          <t>VIDARIR</t>
        </is>
      </c>
      <c r="I237" s="344" t="n"/>
      <c r="J237" s="344" t="n"/>
      <c r="K237" s="344" t="n"/>
      <c r="L237" s="344">
        <f>IF(K237="","",K237*1.1)</f>
        <v/>
      </c>
      <c r="M237" s="345" t="n">
        <v>52.5</v>
      </c>
      <c r="N237" s="345" t="n">
        <v>39.3</v>
      </c>
      <c r="O237" s="345" t="inlineStr">
        <is>
          <t>6/6</t>
        </is>
      </c>
      <c r="P237" s="345" t="n">
        <v>44.3</v>
      </c>
      <c r="Q237" s="345" t="n">
        <v>36.2</v>
      </c>
      <c r="R237" s="345" t="n">
        <v>8</v>
      </c>
      <c r="T237" s="346">
        <f>UPPER(A237&amp;" "&amp;B237&amp;" "&amp;D237&amp;" "&amp;E237&amp;" "&amp;F237&amp;" "&amp;G237&amp;" "&amp;H237)</f>
        <v/>
      </c>
      <c r="U237" s="216">
        <f>IF(AND('TRA CỨU TỔNG HỢP'!$B$3&lt;&gt;"",ISNUMBER(SEARCH('TRA CỨU TỔNG HỢP'!$B$3,T237))),MAX($U$3:U236)+1,"")</f>
        <v/>
      </c>
    </row>
    <row r="238" ht="15" customHeight="1" s="217">
      <c r="A238" s="347" t="inlineStr">
        <is>
          <t>HITACHI</t>
        </is>
      </c>
      <c r="B238" s="348" t="inlineStr">
        <is>
          <t>HH080917</t>
        </is>
      </c>
      <c r="C238" s="349" t="inlineStr">
        <is>
          <t>IHI</t>
        </is>
      </c>
      <c r="D238" s="349" t="inlineStr">
        <is>
          <t>RHF5</t>
        </is>
      </c>
      <c r="E238" s="349" t="inlineStr">
        <is>
          <t>4JJ1-T</t>
        </is>
      </c>
      <c r="F238" s="350" t="inlineStr">
        <is>
          <t>8980976860
8980976861
8980540111</t>
        </is>
      </c>
      <c r="G238" s="349" t="inlineStr">
        <is>
          <t>có H/A VIDARIR</t>
        </is>
      </c>
      <c r="H238" s="351" t="inlineStr">
        <is>
          <t>TBS</t>
        </is>
      </c>
      <c r="I238" s="352" t="n"/>
      <c r="J238" s="352" t="n"/>
      <c r="K238" s="352" t="n"/>
      <c r="L238" s="352">
        <f>IF(K238="","",K238*1.1)</f>
        <v/>
      </c>
      <c r="M238" s="353" t="n">
        <v>52.5</v>
      </c>
      <c r="N238" s="353" t="n">
        <v>39.3</v>
      </c>
      <c r="O238" s="353" t="inlineStr">
        <is>
          <t>6/6</t>
        </is>
      </c>
      <c r="P238" s="353" t="n">
        <v>44.3</v>
      </c>
      <c r="Q238" s="353" t="n">
        <v>36.2</v>
      </c>
      <c r="R238" s="353" t="n">
        <v>8</v>
      </c>
      <c r="T238" s="346">
        <f>UPPER(A238&amp;" "&amp;B238&amp;" "&amp;D238&amp;" "&amp;E238&amp;" "&amp;F238&amp;" "&amp;G238&amp;" "&amp;H238)</f>
        <v/>
      </c>
      <c r="U238" s="216">
        <f>IF(AND('TRA CỨU TỔNG HỢP'!$B$3&lt;&gt;"",ISNUMBER(SEARCH('TRA CỨU TỔNG HỢP'!$B$3,T238))),MAX($U$3:U237)+1,"")</f>
        <v/>
      </c>
    </row>
    <row r="239" ht="15" customHeight="1" s="217">
      <c r="A239" s="354" t="inlineStr">
        <is>
          <t>HITACHI</t>
        </is>
      </c>
      <c r="B239" s="355" t="inlineStr">
        <is>
          <t>HH075391</t>
        </is>
      </c>
      <c r="C239" s="354" t="inlineStr">
        <is>
          <t>Mitsubishi</t>
        </is>
      </c>
      <c r="D239" s="354" t="inlineStr">
        <is>
          <t>TD04HL-15T</t>
        </is>
      </c>
      <c r="E239" s="354" t="inlineStr">
        <is>
          <t>4BG1/ 4BD1</t>
        </is>
      </c>
      <c r="F239" s="356" t="inlineStr">
        <is>
          <t>8M04-100-H35/49189-00580
49189-00570/08130/02320
897223-4280/49S89-00580
897222-1720/ME080904/897222-1720</t>
        </is>
      </c>
      <c r="G239" s="354" t="inlineStr">
        <is>
          <t>8M04-100-H35 sò gió lớn hơn 49189-00501 xíu có thể ráp lẫn ,ráp lẫn khác nhau chút chiều quay</t>
        </is>
      </c>
      <c r="H239" s="357" t="inlineStr">
        <is>
          <t>JRONE</t>
        </is>
      </c>
      <c r="I239" s="358" t="n"/>
      <c r="J239" s="358" t="n"/>
      <c r="K239" s="358" t="n"/>
      <c r="L239" s="358">
        <f>IF(K239="","",K239*1.1)</f>
        <v/>
      </c>
      <c r="M239" s="359" t="n">
        <v>56</v>
      </c>
      <c r="N239" s="359" t="n">
        <v>43.2</v>
      </c>
      <c r="O239" s="359" t="inlineStr">
        <is>
          <t>6/6</t>
        </is>
      </c>
      <c r="P239" s="359" t="n">
        <v>52</v>
      </c>
      <c r="Q239" s="359" t="n">
        <v>45.6</v>
      </c>
      <c r="R239" s="359" t="n">
        <v>12</v>
      </c>
      <c r="T239" s="346">
        <f>UPPER(A239&amp;" "&amp;B239&amp;" "&amp;D239&amp;" "&amp;E239&amp;" "&amp;F239&amp;" "&amp;G239&amp;" "&amp;H239)</f>
        <v/>
      </c>
      <c r="U239" s="216">
        <f>IF(AND('TRA CỨU TỔNG HỢP'!$B$3&lt;&gt;"",ISNUMBER(SEARCH('TRA CỨU TỔNG HỢP'!$B$3,T239))),MAX($U$3:U238)+1,"")</f>
        <v/>
      </c>
    </row>
    <row r="240" ht="15" customHeight="1" s="217">
      <c r="A240" s="340" t="inlineStr">
        <is>
          <t>HITACHI</t>
        </is>
      </c>
      <c r="B240" s="341" t="inlineStr">
        <is>
          <t>HH082683</t>
        </is>
      </c>
      <c r="C240" s="340" t="inlineStr">
        <is>
          <t>Mitsubishi</t>
        </is>
      </c>
      <c r="D240" s="340" t="inlineStr">
        <is>
          <t>TD04HL-15G</t>
        </is>
      </c>
      <c r="E240" s="340" t="inlineStr">
        <is>
          <t>4BG1/ 4BD1</t>
        </is>
      </c>
      <c r="F240" s="342" t="inlineStr">
        <is>
          <t>49189-00511
49189-00530 49189-00540
8970114741
8971159720
960817125/49189-00550 / 4918900540 | 4918900550 | 4918900511
8-97115-972-0 | 8-97011-474-1 | 8971159720 | 8970114741 | 960817125 | 5I-7585 | 5I-7952 | 5I7585 | 5I7952</t>
        </is>
      </c>
      <c r="G240" s="340" t="n"/>
      <c r="H240" s="343" t="inlineStr">
        <is>
          <t>SL</t>
        </is>
      </c>
      <c r="I240" s="344" t="n"/>
      <c r="J240" s="344" t="n"/>
      <c r="K240" s="344" t="n"/>
      <c r="L240" s="344">
        <f>IF(K240="","",K240*1.1)</f>
        <v/>
      </c>
      <c r="M240" s="345" t="n">
        <v>56</v>
      </c>
      <c r="N240" s="345" t="n">
        <v>43</v>
      </c>
      <c r="O240" s="345" t="inlineStr">
        <is>
          <t>6/6</t>
        </is>
      </c>
      <c r="P240" s="345" t="n">
        <v>52</v>
      </c>
      <c r="Q240" s="345" t="n">
        <v>45.6</v>
      </c>
      <c r="R240" s="345" t="n">
        <v>12</v>
      </c>
      <c r="T240" s="346">
        <f>UPPER(A240&amp;" "&amp;B240&amp;" "&amp;D240&amp;" "&amp;E240&amp;" "&amp;F240&amp;" "&amp;G240&amp;" "&amp;H240)</f>
        <v/>
      </c>
      <c r="U240" s="216">
        <f>IF(AND('TRA CỨU TỔNG HỢP'!$B$3&lt;&gt;"",ISNUMBER(SEARCH('TRA CỨU TỔNG HỢP'!$B$3,T240))),MAX($U$3:U239)+1,"")</f>
        <v/>
      </c>
    </row>
    <row r="241" ht="15" customHeight="1" s="217">
      <c r="A241" s="347" t="inlineStr">
        <is>
          <t>HITACHI</t>
        </is>
      </c>
      <c r="B241" s="348" t="inlineStr">
        <is>
          <t>HH083253</t>
        </is>
      </c>
      <c r="C241" s="349" t="inlineStr">
        <is>
          <t>Mitsubishi</t>
        </is>
      </c>
      <c r="D241" s="349" t="inlineStr">
        <is>
          <t>TD04HL-15G</t>
        </is>
      </c>
      <c r="E241" s="349" t="inlineStr">
        <is>
          <t>4BG1/ 4BD1</t>
        </is>
      </c>
      <c r="F241" s="350" t="inlineStr">
        <is>
          <t>49189-00511
49189-00530 49189-00540
8970114741
8971159720
960817125/49189-00550 / 4918900540 | 4918900550 | 4918900511
8-97115-972-0 | 8-97011-474-1 | 8971159720 | 8970114741 | 960817125 | 5I-7585 | 5I-7952 | 5I7585 | 5I7952</t>
        </is>
      </c>
      <c r="G241" s="349" t="n"/>
      <c r="H241" s="351" t="inlineStr">
        <is>
          <t>SL</t>
        </is>
      </c>
      <c r="I241" s="352" t="n"/>
      <c r="J241" s="352" t="n"/>
      <c r="K241" s="352" t="n"/>
      <c r="L241" s="352">
        <f>IF(K241="","",K241*1.1)</f>
        <v/>
      </c>
      <c r="M241" s="353" t="n">
        <v>56</v>
      </c>
      <c r="N241" s="353" t="n">
        <v>43</v>
      </c>
      <c r="O241" s="353" t="inlineStr">
        <is>
          <t>6/6</t>
        </is>
      </c>
      <c r="P241" s="353" t="n">
        <v>52</v>
      </c>
      <c r="Q241" s="353" t="n">
        <v>45.6</v>
      </c>
      <c r="R241" s="353" t="n">
        <v>12</v>
      </c>
      <c r="T241" s="346">
        <f>UPPER(A241&amp;" "&amp;B241&amp;" "&amp;D241&amp;" "&amp;E241&amp;" "&amp;F241&amp;" "&amp;G241&amp;" "&amp;H241)</f>
        <v/>
      </c>
      <c r="U241" s="216">
        <f>IF(AND('TRA CỨU TỔNG HỢP'!$B$3&lt;&gt;"",ISNUMBER(SEARCH('TRA CỨU TỔNG HỢP'!$B$3,T241))),MAX($U$3:U240)+1,"")</f>
        <v/>
      </c>
    </row>
    <row r="242" ht="15" customHeight="1" s="217">
      <c r="A242" s="340" t="inlineStr">
        <is>
          <t>HITACHI</t>
        </is>
      </c>
      <c r="B242" s="341" t="inlineStr">
        <is>
          <t>HH083318</t>
        </is>
      </c>
      <c r="C242" s="340" t="inlineStr">
        <is>
          <t>Mitsubishi</t>
        </is>
      </c>
      <c r="D242" s="340" t="inlineStr">
        <is>
          <t>TD04H-15G</t>
        </is>
      </c>
      <c r="E242" s="340" t="inlineStr">
        <is>
          <t>4BD1/4BG1</t>
        </is>
      </c>
      <c r="F242" s="342" t="inlineStr">
        <is>
          <t>49189-00501
8943675161</t>
        </is>
      </c>
      <c r="G242" s="340" t="n"/>
      <c r="H242" s="343" t="inlineStr">
        <is>
          <t>SL</t>
        </is>
      </c>
      <c r="I242" s="344" t="n"/>
      <c r="J242" s="344" t="n"/>
      <c r="K242" s="344" t="n"/>
      <c r="L242" s="344">
        <f>IF(K242="","",K242*1.1)</f>
        <v/>
      </c>
      <c r="M242" s="345" t="n">
        <v>56</v>
      </c>
      <c r="N242" s="345" t="n">
        <v>43</v>
      </c>
      <c r="O242" s="345" t="inlineStr">
        <is>
          <t>6/6</t>
        </is>
      </c>
      <c r="P242" s="345" t="n">
        <v>52</v>
      </c>
      <c r="Q242" s="345" t="n">
        <v>45.6</v>
      </c>
      <c r="R242" s="345" t="n">
        <v>12</v>
      </c>
      <c r="T242" s="346">
        <f>UPPER(A242&amp;" "&amp;B242&amp;" "&amp;D242&amp;" "&amp;E242&amp;" "&amp;F242&amp;" "&amp;G242&amp;" "&amp;H242)</f>
        <v/>
      </c>
      <c r="U242" s="216">
        <f>IF(AND('TRA CỨU TỔNG HỢP'!$B$3&lt;&gt;"",ISNUMBER(SEARCH('TRA CỨU TỔNG HỢP'!$B$3,T242))),MAX($U$3:U241)+1,"")</f>
        <v/>
      </c>
    </row>
    <row r="243" ht="15" customHeight="1" s="217">
      <c r="A243" s="347" t="inlineStr">
        <is>
          <t>HITACHI</t>
        </is>
      </c>
      <c r="B243" s="348" t="inlineStr">
        <is>
          <t>HH080011</t>
        </is>
      </c>
      <c r="C243" s="349" t="inlineStr">
        <is>
          <t>Mitsubishi</t>
        </is>
      </c>
      <c r="D243" s="349" t="inlineStr">
        <is>
          <t>TD04H-15G</t>
        </is>
      </c>
      <c r="E243" s="349" t="inlineStr">
        <is>
          <t>4BD1/4BG1</t>
        </is>
      </c>
      <c r="F243" s="350" t="inlineStr">
        <is>
          <t>49189-00501
8943675161</t>
        </is>
      </c>
      <c r="G243" s="349" t="n"/>
      <c r="H243" s="351" t="inlineStr">
        <is>
          <t>SL</t>
        </is>
      </c>
      <c r="I243" s="352" t="n"/>
      <c r="J243" s="352" t="n"/>
      <c r="K243" s="352" t="n"/>
      <c r="L243" s="352">
        <f>IF(K243="","",K243*1.1)</f>
        <v/>
      </c>
      <c r="M243" s="353" t="n">
        <v>56</v>
      </c>
      <c r="N243" s="353" t="n">
        <v>43</v>
      </c>
      <c r="O243" s="353" t="inlineStr">
        <is>
          <t>6/6</t>
        </is>
      </c>
      <c r="P243" s="353" t="n">
        <v>52</v>
      </c>
      <c r="Q243" s="353" t="n">
        <v>45.6</v>
      </c>
      <c r="R243" s="353" t="n">
        <v>12</v>
      </c>
      <c r="T243" s="346">
        <f>UPPER(A243&amp;" "&amp;B243&amp;" "&amp;D243&amp;" "&amp;E243&amp;" "&amp;F243&amp;" "&amp;G243&amp;" "&amp;H243)</f>
        <v/>
      </c>
      <c r="U243" s="216">
        <f>IF(AND('TRA CỨU TỔNG HỢP'!$B$3&lt;&gt;"",ISNUMBER(SEARCH('TRA CỨU TỔNG HỢP'!$B$3,T243))),MAX($U$3:U242)+1,"")</f>
        <v/>
      </c>
    </row>
    <row r="244" ht="15" customHeight="1" s="217">
      <c r="A244" s="347" t="inlineStr">
        <is>
          <t>HITACHI</t>
        </is>
      </c>
      <c r="B244" s="348" t="inlineStr">
        <is>
          <t>HH070624</t>
        </is>
      </c>
      <c r="C244" s="349" t="inlineStr">
        <is>
          <t>Mitsubishi</t>
        </is>
      </c>
      <c r="D244" s="349" t="inlineStr">
        <is>
          <t>TD04H-15G</t>
        </is>
      </c>
      <c r="E244" s="349" t="inlineStr">
        <is>
          <t>4BD1/4BG1</t>
        </is>
      </c>
      <c r="F244" s="350" t="inlineStr">
        <is>
          <t>49189-00501
8943675161</t>
        </is>
      </c>
      <c r="G244" s="349" t="n"/>
      <c r="H244" s="351" t="inlineStr">
        <is>
          <t>SL</t>
        </is>
      </c>
      <c r="I244" s="352" t="n"/>
      <c r="J244" s="352" t="n"/>
      <c r="K244" s="352" t="n"/>
      <c r="L244" s="352">
        <f>IF(K244="","",K244*1.1)</f>
        <v/>
      </c>
      <c r="M244" s="353" t="n">
        <v>56</v>
      </c>
      <c r="N244" s="353" t="n">
        <v>43</v>
      </c>
      <c r="O244" s="353" t="inlineStr">
        <is>
          <t>6/6</t>
        </is>
      </c>
      <c r="P244" s="353" t="n">
        <v>52</v>
      </c>
      <c r="Q244" s="353" t="n">
        <v>45.6</v>
      </c>
      <c r="R244" s="353" t="n">
        <v>12</v>
      </c>
      <c r="T244" s="346">
        <f>UPPER(A244&amp;" "&amp;B244&amp;" "&amp;D244&amp;" "&amp;E244&amp;" "&amp;F244&amp;" "&amp;G244&amp;" "&amp;H244)</f>
        <v/>
      </c>
      <c r="U244" s="216">
        <f>IF(AND('TRA CỨU TỔNG HỢP'!$B$3&lt;&gt;"",ISNUMBER(SEARCH('TRA CỨU TỔNG HỢP'!$B$3,T244))),MAX($U$3:U243)+1,"")</f>
        <v/>
      </c>
    </row>
    <row r="245" ht="15" customHeight="1" s="217">
      <c r="A245" s="379" t="inlineStr">
        <is>
          <t>HITACHI</t>
        </is>
      </c>
      <c r="B245" s="380" t="n"/>
      <c r="C245" s="379" t="inlineStr">
        <is>
          <t>IHI</t>
        </is>
      </c>
      <c r="D245" s="379" t="inlineStr">
        <is>
          <t>RHG7V</t>
        </is>
      </c>
      <c r="E245" s="379" t="inlineStr">
        <is>
          <t>6UZ1</t>
        </is>
      </c>
      <c r="F245" s="381" t="inlineStr">
        <is>
          <t>8983698700
14400-4634</t>
        </is>
      </c>
      <c r="G245" s="379" t="inlineStr">
        <is>
          <t>chưa nhập ,có hình ảnh chính hãng</t>
        </is>
      </c>
      <c r="H245" s="382" t="n"/>
      <c r="I245" s="383" t="n"/>
      <c r="J245" s="383" t="n"/>
      <c r="K245" s="383" t="n"/>
      <c r="L245" s="383">
        <f>IF(K245="","",K245*1.1)</f>
        <v/>
      </c>
      <c r="M245" s="384" t="n"/>
      <c r="N245" s="384" t="n"/>
      <c r="O245" s="384" t="n"/>
      <c r="P245" s="384" t="n"/>
      <c r="Q245" s="384" t="n"/>
      <c r="R245" s="384" t="n"/>
      <c r="T245" s="346">
        <f>UPPER(A245&amp;" "&amp;B245&amp;" "&amp;D245&amp;" "&amp;E245&amp;" "&amp;F245&amp;" "&amp;G245&amp;" "&amp;H245)</f>
        <v/>
      </c>
      <c r="U245" s="216">
        <f>IF(AND('TRA CỨU TỔNG HỢP'!$B$3&lt;&gt;"",ISNUMBER(SEARCH('TRA CỨU TỔNG HỢP'!$B$3,T245))),MAX($U$3:U244)+1,"")</f>
        <v/>
      </c>
    </row>
    <row r="246" ht="15" customHeight="1" s="217">
      <c r="A246" s="367" t="inlineStr">
        <is>
          <t>HITACHI</t>
        </is>
      </c>
      <c r="B246" s="368" t="n"/>
      <c r="C246" s="367" t="inlineStr">
        <is>
          <t>Garrett</t>
        </is>
      </c>
      <c r="D246" s="367" t="inlineStr">
        <is>
          <t>TA5131</t>
        </is>
      </c>
      <c r="E246" s="367" t="inlineStr">
        <is>
          <t>6RB1</t>
        </is>
      </c>
      <c r="F246" s="369" t="inlineStr">
        <is>
          <t>466569-5001S</t>
        </is>
      </c>
      <c r="G246" s="367" t="n"/>
      <c r="H246" s="370" t="n"/>
      <c r="I246" s="371" t="n"/>
      <c r="J246" s="371" t="n"/>
      <c r="K246" s="371" t="n"/>
      <c r="L246" s="371">
        <f>IF(K246="","",K246*1.1)</f>
        <v/>
      </c>
      <c r="M246" s="372" t="n"/>
      <c r="N246" s="372" t="n"/>
      <c r="O246" s="372" t="n"/>
      <c r="P246" s="372" t="n"/>
      <c r="Q246" s="372" t="n"/>
      <c r="R246" s="372" t="n"/>
      <c r="T246" s="216">
        <f>UPPER(A246&amp;" "&amp;B246&amp;" "&amp;D246&amp;" "&amp;E246&amp;" "&amp;F246&amp;" "&amp;G246&amp;" "&amp;H246)</f>
        <v/>
      </c>
      <c r="U246" s="216">
        <f>IF(AND('TRA CỨU TỔNG HỢP'!$B$3&lt;&gt;"",ISNUMBER(SEARCH('TRA CỨU TỔNG HỢP'!$B$3,T246))),MAX($U$3:U245)+1,"")</f>
        <v/>
      </c>
    </row>
    <row r="247" ht="15" customHeight="1" s="217">
      <c r="A247" s="354" t="inlineStr">
        <is>
          <t>HITACHI</t>
        </is>
      </c>
      <c r="B247" s="355" t="inlineStr">
        <is>
          <t>HH078440</t>
        </is>
      </c>
      <c r="C247" s="354" t="inlineStr">
        <is>
          <t>Mitsubishi</t>
        </is>
      </c>
      <c r="D247" s="354" t="inlineStr">
        <is>
          <t>TD08H</t>
        </is>
      </c>
      <c r="E247" s="354" t="inlineStr">
        <is>
          <t>6WG1</t>
        </is>
      </c>
      <c r="F247" s="356" t="inlineStr">
        <is>
          <t>49188-01832</t>
        </is>
      </c>
      <c r="G247" s="354" t="n"/>
      <c r="H247" s="357" t="inlineStr">
        <is>
          <t>VIDARIR</t>
        </is>
      </c>
      <c r="I247" s="358" t="n"/>
      <c r="J247" s="358" t="n"/>
      <c r="K247" s="358" t="n"/>
      <c r="L247" s="358">
        <f>IF(K247="","",K247*1.1)</f>
        <v/>
      </c>
      <c r="M247" s="359" t="n"/>
      <c r="N247" s="359" t="n"/>
      <c r="O247" s="359" t="n"/>
      <c r="P247" s="359" t="n"/>
      <c r="Q247" s="359" t="n"/>
      <c r="R247" s="359" t="n"/>
      <c r="T247" s="216">
        <f>UPPER(A247&amp;" "&amp;B247&amp;" "&amp;D247&amp;" "&amp;E247&amp;" "&amp;F247&amp;" "&amp;G247&amp;" "&amp;H247)</f>
        <v/>
      </c>
      <c r="U247" s="216">
        <f>IF(AND('TRA CỨU TỔNG HỢP'!$B$3&lt;&gt;"",ISNUMBER(SEARCH('TRA CỨU TỔNG HỢP'!$B$3,T247))),MAX($U$3:U246)+1,"")</f>
        <v/>
      </c>
    </row>
    <row r="248" ht="15" customHeight="1" s="217">
      <c r="A248" s="354" t="inlineStr">
        <is>
          <t>HITACHI</t>
        </is>
      </c>
      <c r="B248" s="355" t="inlineStr">
        <is>
          <t>HH078446</t>
        </is>
      </c>
      <c r="C248" s="354" t="inlineStr">
        <is>
          <t>Mitsubishi</t>
        </is>
      </c>
      <c r="D248" s="354" t="inlineStr">
        <is>
          <t>TD08H</t>
        </is>
      </c>
      <c r="E248" s="354" t="inlineStr">
        <is>
          <t>6WF1/6WG1</t>
        </is>
      </c>
      <c r="F248" s="356" t="inlineStr">
        <is>
          <t>49188-01811/49188-01813/114400-3742, 1-14400374-2, 1144003742, 114400-3743, 1-14400374-3, 1144003743</t>
        </is>
      </c>
      <c r="G248" s="354" t="n"/>
      <c r="H248" s="357" t="inlineStr">
        <is>
          <t>VIDARIR</t>
        </is>
      </c>
      <c r="I248" s="358" t="n"/>
      <c r="J248" s="358" t="n"/>
      <c r="K248" s="358" t="n"/>
      <c r="L248" s="358">
        <f>IF(K248="","",K248*1.1)</f>
        <v/>
      </c>
      <c r="M248" s="359" t="n"/>
      <c r="N248" s="359" t="n"/>
      <c r="O248" s="359" t="n"/>
      <c r="P248" s="359" t="n"/>
      <c r="Q248" s="359" t="n"/>
      <c r="R248" s="359" t="n"/>
      <c r="T248" s="216">
        <f>UPPER(A248&amp;" "&amp;B248&amp;" "&amp;D248&amp;" "&amp;E248&amp;" "&amp;F248&amp;" "&amp;G248&amp;" "&amp;H248)</f>
        <v/>
      </c>
      <c r="U248" s="216">
        <f>IF(AND('TRA CỨU TỔNG HỢP'!$B$3&lt;&gt;"",ISNUMBER(SEARCH('TRA CỨU TỔNG HỢP'!$B$3,T248))),MAX($U$3:U247)+1,"")</f>
        <v/>
      </c>
    </row>
    <row r="249" ht="15" customHeight="1" s="217">
      <c r="A249" s="340" t="inlineStr">
        <is>
          <t>HITACHI</t>
        </is>
      </c>
      <c r="B249" s="341" t="inlineStr">
        <is>
          <t>HH071472</t>
        </is>
      </c>
      <c r="C249" s="340" t="inlineStr">
        <is>
          <t>IHI</t>
        </is>
      </c>
      <c r="D249" s="340" t="inlineStr">
        <is>
          <t>RHF55</t>
        </is>
      </c>
      <c r="E249" s="340" t="inlineStr">
        <is>
          <t>4HK1</t>
        </is>
      </c>
      <c r="F249" s="342" t="inlineStr">
        <is>
          <t>VB440031/897362-8390
8984851941/8984851940
8980302170/8I05-100-920/8973628390</t>
        </is>
      </c>
      <c r="G249" s="340" t="n"/>
      <c r="H249" s="343" t="inlineStr">
        <is>
          <t>SL</t>
        </is>
      </c>
      <c r="I249" s="344" t="n"/>
      <c r="J249" s="344" t="n"/>
      <c r="K249" s="344" t="n"/>
      <c r="L249" s="344">
        <f>IF(K249="","",K249*1.1)</f>
        <v/>
      </c>
      <c r="M249" s="345" t="n">
        <v>60</v>
      </c>
      <c r="N249" s="345" t="n">
        <v>42.9</v>
      </c>
      <c r="O249" s="345" t="inlineStr">
        <is>
          <t>6/6</t>
        </is>
      </c>
      <c r="P249" s="345" t="n">
        <v>57.5</v>
      </c>
      <c r="Q249" s="345" t="n">
        <v>51</v>
      </c>
      <c r="R249" s="345" t="n">
        <v>11</v>
      </c>
      <c r="T249" s="346">
        <f>UPPER(A249&amp;" "&amp;B249&amp;" "&amp;D249&amp;" "&amp;E249&amp;" "&amp;F249&amp;" "&amp;G249&amp;" "&amp;H249)</f>
        <v/>
      </c>
      <c r="U249" s="216">
        <f>IF(AND('TRA CỨU TỔNG HỢP'!$B$3&lt;&gt;"",ISNUMBER(SEARCH('TRA CỨU TỔNG HỢP'!$B$3,T249))),MAX($U$3:U248)+1,"")</f>
        <v/>
      </c>
    </row>
    <row r="250" ht="15" customHeight="1" s="217">
      <c r="A250" s="347" t="inlineStr">
        <is>
          <t>HITACHI</t>
        </is>
      </c>
      <c r="B250" s="348" t="inlineStr">
        <is>
          <t>HH082055</t>
        </is>
      </c>
      <c r="C250" s="349" t="inlineStr">
        <is>
          <t>IHI</t>
        </is>
      </c>
      <c r="D250" s="349" t="inlineStr">
        <is>
          <t>RHF55</t>
        </is>
      </c>
      <c r="E250" s="349" t="inlineStr">
        <is>
          <t>4HK1</t>
        </is>
      </c>
      <c r="F250" s="350" t="inlineStr">
        <is>
          <t>VB440031/897362-8390
8984851941/8984851940
8980302170/8I05-100-920/8973628390</t>
        </is>
      </c>
      <c r="G250" s="349" t="n"/>
      <c r="H250" s="351" t="inlineStr">
        <is>
          <t>TBS</t>
        </is>
      </c>
      <c r="I250" s="352" t="n"/>
      <c r="J250" s="352" t="n"/>
      <c r="K250" s="352" t="n"/>
      <c r="L250" s="352">
        <f>IF(K250="","",K250*1.1)</f>
        <v/>
      </c>
      <c r="M250" s="353" t="n">
        <v>60</v>
      </c>
      <c r="N250" s="353" t="n">
        <v>42.9</v>
      </c>
      <c r="O250" s="353" t="inlineStr">
        <is>
          <t>6/6</t>
        </is>
      </c>
      <c r="P250" s="353" t="n">
        <v>57.5</v>
      </c>
      <c r="Q250" s="353" t="n">
        <v>51</v>
      </c>
      <c r="R250" s="353" t="n">
        <v>11</v>
      </c>
      <c r="T250" s="346">
        <f>UPPER(A250&amp;" "&amp;B250&amp;" "&amp;D250&amp;" "&amp;E250&amp;" "&amp;F250&amp;" "&amp;G250&amp;" "&amp;H250)</f>
        <v/>
      </c>
      <c r="U250" s="216">
        <f>IF(AND('TRA CỨU TỔNG HỢP'!$B$3&lt;&gt;"",ISNUMBER(SEARCH('TRA CỨU TỔNG HỢP'!$B$3,T250))),MAX($U$3:U249)+1,"")</f>
        <v/>
      </c>
    </row>
    <row r="251" ht="15" customHeight="1" s="217">
      <c r="A251" s="347" t="inlineStr">
        <is>
          <t>HITACHI</t>
        </is>
      </c>
      <c r="B251" s="348" t="inlineStr">
        <is>
          <t>HH080025</t>
        </is>
      </c>
      <c r="C251" s="349" t="inlineStr">
        <is>
          <t>IHI</t>
        </is>
      </c>
      <c r="D251" s="349" t="inlineStr">
        <is>
          <t>RHF55</t>
        </is>
      </c>
      <c r="E251" s="349" t="inlineStr">
        <is>
          <t>4HK1</t>
        </is>
      </c>
      <c r="F251" s="350" t="inlineStr">
        <is>
          <t>VB440031/897362-8390
8984851941/8984851940
8980302170/8I05-100-920/8973628390</t>
        </is>
      </c>
      <c r="G251" s="349" t="n"/>
      <c r="H251" s="351" t="n"/>
      <c r="I251" s="352" t="n"/>
      <c r="J251" s="352" t="n"/>
      <c r="K251" s="352" t="n"/>
      <c r="L251" s="352">
        <f>IF(K251="","",K251*1.1)</f>
        <v/>
      </c>
      <c r="M251" s="353" t="n">
        <v>60</v>
      </c>
      <c r="N251" s="353" t="n">
        <v>42.9</v>
      </c>
      <c r="O251" s="353" t="inlineStr">
        <is>
          <t>6/6</t>
        </is>
      </c>
      <c r="P251" s="353" t="n">
        <v>57.5</v>
      </c>
      <c r="Q251" s="353" t="n">
        <v>51</v>
      </c>
      <c r="R251" s="353" t="n">
        <v>11</v>
      </c>
      <c r="T251" s="346">
        <f>UPPER(A251&amp;" "&amp;B251&amp;" "&amp;D251&amp;" "&amp;E251&amp;" "&amp;F251&amp;" "&amp;G251&amp;" "&amp;H251)</f>
        <v/>
      </c>
      <c r="U251" s="216">
        <f>IF(AND('TRA CỨU TỔNG HỢP'!$B$3&lt;&gt;"",ISNUMBER(SEARCH('TRA CỨU TỔNG HỢP'!$B$3,T251))),MAX($U$3:U250)+1,"")</f>
        <v/>
      </c>
    </row>
    <row r="252" ht="15" customHeight="1" s="217">
      <c r="A252" s="347" t="inlineStr">
        <is>
          <t>HITACHI</t>
        </is>
      </c>
      <c r="B252" s="348" t="inlineStr">
        <is>
          <t>HH075387</t>
        </is>
      </c>
      <c r="C252" s="349" t="inlineStr">
        <is>
          <t>IHI</t>
        </is>
      </c>
      <c r="D252" s="349" t="inlineStr">
        <is>
          <t>RHF55</t>
        </is>
      </c>
      <c r="E252" s="349" t="inlineStr">
        <is>
          <t>4HK1</t>
        </is>
      </c>
      <c r="F252" s="350" t="inlineStr">
        <is>
          <t>VB440031/897362-8390
8984851941/8984851940
8980302170/8I05-100-920/8973628390</t>
        </is>
      </c>
      <c r="G252" s="349" t="n"/>
      <c r="H252" s="351" t="inlineStr">
        <is>
          <t>JRONE</t>
        </is>
      </c>
      <c r="I252" s="352" t="n"/>
      <c r="J252" s="352" t="n"/>
      <c r="K252" s="352" t="n"/>
      <c r="L252" s="352">
        <f>IF(K252="","",K252*1.1)</f>
        <v/>
      </c>
      <c r="M252" s="353" t="n">
        <v>60</v>
      </c>
      <c r="N252" s="353" t="n">
        <v>42.9</v>
      </c>
      <c r="O252" s="353" t="inlineStr">
        <is>
          <t>6/6</t>
        </is>
      </c>
      <c r="P252" s="353" t="n">
        <v>57.5</v>
      </c>
      <c r="Q252" s="353" t="n">
        <v>51</v>
      </c>
      <c r="R252" s="353" t="n">
        <v>11</v>
      </c>
      <c r="T252" s="346">
        <f>UPPER(A252&amp;" "&amp;B252&amp;" "&amp;D252&amp;" "&amp;E252&amp;" "&amp;F252&amp;" "&amp;G252&amp;" "&amp;H252)</f>
        <v/>
      </c>
      <c r="U252" s="216">
        <f>IF(AND('TRA CỨU TỔNG HỢP'!$B$3&lt;&gt;"",ISNUMBER(SEARCH('TRA CỨU TỔNG HỢP'!$B$3,T252))),MAX($U$3:U251)+1,"")</f>
        <v/>
      </c>
    </row>
    <row r="253" ht="15" customHeight="1" s="217">
      <c r="A253" s="354" t="inlineStr">
        <is>
          <t>HITACHI</t>
        </is>
      </c>
      <c r="B253" s="355" t="inlineStr">
        <is>
          <t>HH077422</t>
        </is>
      </c>
      <c r="C253" s="354" t="inlineStr">
        <is>
          <t>Mitsubishi</t>
        </is>
      </c>
      <c r="D253" s="354" t="inlineStr">
        <is>
          <t>TF08</t>
        </is>
      </c>
      <c r="E253" s="354" t="inlineStr">
        <is>
          <t>6SD1</t>
        </is>
      </c>
      <c r="F253" s="356" t="inlineStr">
        <is>
          <t>49134-00020</t>
        </is>
      </c>
      <c r="G253" s="354" t="n"/>
      <c r="H253" s="357" t="inlineStr">
        <is>
          <t>MX</t>
        </is>
      </c>
      <c r="I253" s="358" t="n"/>
      <c r="J253" s="358" t="n"/>
      <c r="K253" s="358" t="n"/>
      <c r="L253" s="358">
        <f>IF(K253="","",K253*1.1)</f>
        <v/>
      </c>
      <c r="M253" s="359" t="n"/>
      <c r="N253" s="359" t="n"/>
      <c r="O253" s="359" t="n"/>
      <c r="P253" s="359" t="n"/>
      <c r="Q253" s="359" t="n"/>
      <c r="R253" s="359" t="n"/>
      <c r="T253" s="216">
        <f>UPPER(A253&amp;" "&amp;B253&amp;" "&amp;D253&amp;" "&amp;E253&amp;" "&amp;F253&amp;" "&amp;G253&amp;" "&amp;H253)</f>
        <v/>
      </c>
      <c r="U253" s="216">
        <f>IF(AND('TRA CỨU TỔNG HỢP'!$B$3&lt;&gt;"",ISNUMBER(SEARCH('TRA CỨU TỔNG HỢP'!$B$3,T253))),MAX($U$3:U252)+1,"")</f>
        <v/>
      </c>
    </row>
    <row r="254" ht="15" customHeight="1" s="217">
      <c r="A254" s="340" t="inlineStr">
        <is>
          <t>HITACHI</t>
        </is>
      </c>
      <c r="B254" s="341" t="inlineStr">
        <is>
          <t>HH075279</t>
        </is>
      </c>
      <c r="C254" s="340" t="inlineStr">
        <is>
          <t>IHI</t>
        </is>
      </c>
      <c r="D254" s="340" t="inlineStr">
        <is>
          <t>RHF5</t>
        </is>
      </c>
      <c r="E254" s="340" t="inlineStr">
        <is>
          <t>4JG2</t>
        </is>
      </c>
      <c r="F254" s="342" t="n">
        <v>8971297081</v>
      </c>
      <c r="G254" s="340" t="n"/>
      <c r="H254" s="343" t="inlineStr">
        <is>
          <t>SL</t>
        </is>
      </c>
      <c r="I254" s="344" t="n"/>
      <c r="J254" s="344" t="n"/>
      <c r="K254" s="344" t="n"/>
      <c r="L254" s="344">
        <f>IF(K254="","",K254*1.1)</f>
        <v/>
      </c>
      <c r="M254" s="345" t="n">
        <v>48</v>
      </c>
      <c r="N254" s="345" t="n">
        <v>37.2</v>
      </c>
      <c r="O254" s="345" t="inlineStr">
        <is>
          <t>6/6</t>
        </is>
      </c>
      <c r="P254" s="345" t="n">
        <v>44.4</v>
      </c>
      <c r="Q254" s="345" t="n">
        <v>37.6</v>
      </c>
      <c r="R254" s="345" t="n">
        <v>8</v>
      </c>
      <c r="T254" s="216">
        <f>UPPER(A254&amp;" "&amp;B254&amp;" "&amp;D254&amp;" "&amp;E254&amp;" "&amp;F254&amp;" "&amp;G254&amp;" "&amp;H254)</f>
        <v/>
      </c>
      <c r="U254" s="216">
        <f>IF(AND('TRA CỨU TỔNG HỢP'!$B$3&lt;&gt;"",ISNUMBER(SEARCH('TRA CỨU TỔNG HỢP'!$B$3,T254))),MAX($U$3:U253)+1,"")</f>
        <v/>
      </c>
    </row>
    <row r="255" ht="15" customHeight="1" s="217">
      <c r="A255" s="347" t="inlineStr">
        <is>
          <t>HITACHI</t>
        </is>
      </c>
      <c r="B255" s="348" t="inlineStr">
        <is>
          <t>HH080006</t>
        </is>
      </c>
      <c r="C255" s="349" t="inlineStr">
        <is>
          <t>IHI</t>
        </is>
      </c>
      <c r="D255" s="349" t="inlineStr">
        <is>
          <t>RHF5</t>
        </is>
      </c>
      <c r="E255" s="349" t="inlineStr">
        <is>
          <t>4JG2</t>
        </is>
      </c>
      <c r="F255" s="350" t="n">
        <v>8971297081</v>
      </c>
      <c r="G255" s="349" t="n"/>
      <c r="H255" s="351" t="inlineStr">
        <is>
          <t>SL</t>
        </is>
      </c>
      <c r="I255" s="352" t="n"/>
      <c r="J255" s="352" t="n"/>
      <c r="K255" s="352" t="n"/>
      <c r="L255" s="352">
        <f>IF(K255="","",K255*1.1)</f>
        <v/>
      </c>
      <c r="M255" s="353" t="n">
        <v>48</v>
      </c>
      <c r="N255" s="353" t="n">
        <v>37.2</v>
      </c>
      <c r="O255" s="353" t="inlineStr">
        <is>
          <t>6/6</t>
        </is>
      </c>
      <c r="P255" s="353" t="n">
        <v>44.4</v>
      </c>
      <c r="Q255" s="353" t="n">
        <v>37.6</v>
      </c>
      <c r="R255" s="353" t="n">
        <v>8</v>
      </c>
      <c r="T255" s="216">
        <f>UPPER(A255&amp;" "&amp;B255&amp;" "&amp;D255&amp;" "&amp;E255&amp;" "&amp;F255&amp;" "&amp;G255&amp;" "&amp;H255)</f>
        <v/>
      </c>
      <c r="U255" s="216">
        <f>IF(AND('TRA CỨU TỔNG HỢP'!$B$3&lt;&gt;"",ISNUMBER(SEARCH('TRA CỨU TỔNG HỢP'!$B$3,T255))),MAX($U$3:U254)+1,"")</f>
        <v/>
      </c>
    </row>
    <row r="256" ht="15" customHeight="1" s="217">
      <c r="A256" s="340" t="inlineStr">
        <is>
          <t>HITACHI</t>
        </is>
      </c>
      <c r="B256" s="341" t="inlineStr">
        <is>
          <t>HH079069</t>
        </is>
      </c>
      <c r="C256" s="340" t="inlineStr">
        <is>
          <t>IHI</t>
        </is>
      </c>
      <c r="D256" s="340" t="inlineStr">
        <is>
          <t>RHB5</t>
        </is>
      </c>
      <c r="E256" s="340" t="inlineStr">
        <is>
          <t>4JG2</t>
        </is>
      </c>
      <c r="F256" s="342" t="inlineStr">
        <is>
          <t>8970385180/VI95 VA180027 VD180027 VE180027
8970385181</t>
        </is>
      </c>
      <c r="G256" s="340" t="n"/>
      <c r="H256" s="343" t="inlineStr">
        <is>
          <t>SL</t>
        </is>
      </c>
      <c r="I256" s="344" t="n"/>
      <c r="J256" s="344" t="n"/>
      <c r="K256" s="344" t="n"/>
      <c r="L256" s="344">
        <f>IF(K256="","",K256*1.1)</f>
        <v/>
      </c>
      <c r="M256" s="345" t="n">
        <v>52.5</v>
      </c>
      <c r="N256" s="345" t="n">
        <v>38.6</v>
      </c>
      <c r="O256" s="345" t="inlineStr">
        <is>
          <t>5/5</t>
        </is>
      </c>
      <c r="P256" s="345" t="n">
        <v>52.5</v>
      </c>
      <c r="Q256" s="345" t="n">
        <v>44</v>
      </c>
      <c r="R256" s="345" t="n">
        <v>12</v>
      </c>
      <c r="T256" s="346">
        <f>UPPER(A256&amp;" "&amp;B256&amp;" "&amp;D256&amp;" "&amp;E256&amp;" "&amp;F256&amp;" "&amp;G256&amp;" "&amp;H256)</f>
        <v/>
      </c>
      <c r="U256" s="216">
        <f>IF(AND('TRA CỨU TỔNG HỢP'!$B$3&lt;&gt;"",ISNUMBER(SEARCH('TRA CỨU TỔNG HỢP'!$B$3,T256))),MAX($U$3:U255)+1,"")</f>
        <v/>
      </c>
    </row>
    <row r="257" ht="15" customHeight="1" s="217">
      <c r="A257" s="347" t="inlineStr">
        <is>
          <t>HITACHI</t>
        </is>
      </c>
      <c r="B257" s="348" t="inlineStr">
        <is>
          <t>HH080738</t>
        </is>
      </c>
      <c r="C257" s="349" t="inlineStr">
        <is>
          <t>IHI</t>
        </is>
      </c>
      <c r="D257" s="349" t="inlineStr">
        <is>
          <t>RHB5</t>
        </is>
      </c>
      <c r="E257" s="349" t="inlineStr">
        <is>
          <t>4JG2</t>
        </is>
      </c>
      <c r="F257" s="350" t="inlineStr">
        <is>
          <t>8970385180/VI95 VA180027 VD180027 VE180027
8970385181</t>
        </is>
      </c>
      <c r="G257" s="349" t="n"/>
      <c r="H257" s="351" t="inlineStr">
        <is>
          <t>SL</t>
        </is>
      </c>
      <c r="I257" s="352" t="n"/>
      <c r="J257" s="352" t="n"/>
      <c r="K257" s="352" t="n"/>
      <c r="L257" s="352">
        <f>IF(K257="","",K257*1.1)</f>
        <v/>
      </c>
      <c r="M257" s="353" t="n">
        <v>52.5</v>
      </c>
      <c r="N257" s="353" t="n">
        <v>38.6</v>
      </c>
      <c r="O257" s="353" t="inlineStr">
        <is>
          <t>5/5</t>
        </is>
      </c>
      <c r="P257" s="353" t="n">
        <v>52.5</v>
      </c>
      <c r="Q257" s="353" t="n">
        <v>44</v>
      </c>
      <c r="R257" s="353" t="n">
        <v>12</v>
      </c>
      <c r="T257" s="346">
        <f>UPPER(A257&amp;" "&amp;B257&amp;" "&amp;D257&amp;" "&amp;E257&amp;" "&amp;F257&amp;" "&amp;G257&amp;" "&amp;H257)</f>
        <v/>
      </c>
      <c r="U257" s="216">
        <f>IF(AND('TRA CỨU TỔNG HỢP'!$B$3&lt;&gt;"",ISNUMBER(SEARCH('TRA CỨU TỔNG HỢP'!$B$3,T257))),MAX($U$3:U256)+1,"")</f>
        <v/>
      </c>
    </row>
    <row r="258" ht="15" customHeight="1" s="217">
      <c r="A258" s="367" t="inlineStr">
        <is>
          <t>HITACHI</t>
        </is>
      </c>
      <c r="B258" s="368" t="n"/>
      <c r="C258" s="367" t="inlineStr">
        <is>
          <t>Garrett</t>
        </is>
      </c>
      <c r="D258" s="367" t="inlineStr">
        <is>
          <t>TA5131/TA5136</t>
        </is>
      </c>
      <c r="E258" s="367" t="inlineStr">
        <is>
          <t>6RB1</t>
        </is>
      </c>
      <c r="F258" s="369" t="inlineStr">
        <is>
          <t>466569-5001S
114400-3400
114400-3360</t>
        </is>
      </c>
      <c r="G258" s="367" t="n"/>
      <c r="H258" s="370" t="n"/>
      <c r="I258" s="371" t="n"/>
      <c r="J258" s="371" t="n"/>
      <c r="K258" s="371" t="n"/>
      <c r="L258" s="371">
        <f>IF(K258="","",K258*1.1)</f>
        <v/>
      </c>
      <c r="M258" s="372" t="n"/>
      <c r="N258" s="372" t="n"/>
      <c r="O258" s="372" t="n"/>
      <c r="P258" s="372" t="n"/>
      <c r="Q258" s="372" t="n"/>
      <c r="R258" s="372" t="n"/>
      <c r="T258" s="346">
        <f>UPPER(A258&amp;" "&amp;B258&amp;" "&amp;D258&amp;" "&amp;E258&amp;" "&amp;F258&amp;" "&amp;G258&amp;" "&amp;H258)</f>
        <v/>
      </c>
      <c r="U258" s="216">
        <f>IF(AND('TRA CỨU TỔNG HỢP'!$B$3&lt;&gt;"",ISNUMBER(SEARCH('TRA CỨU TỔNG HỢP'!$B$3,T258))),MAX($U$3:U257)+1,"")</f>
        <v/>
      </c>
    </row>
    <row r="259" ht="15" customHeight="1" s="217">
      <c r="A259" s="354" t="inlineStr">
        <is>
          <t>HITACHI</t>
        </is>
      </c>
      <c r="B259" s="355" t="inlineStr">
        <is>
          <t>HH078003</t>
        </is>
      </c>
      <c r="C259" s="354" t="inlineStr">
        <is>
          <t>IHI</t>
        </is>
      </c>
      <c r="D259" s="354" t="inlineStr">
        <is>
          <t>RHC6</t>
        </is>
      </c>
      <c r="E259" s="354" t="inlineStr">
        <is>
          <t>H07C-T</t>
        </is>
      </c>
      <c r="F259" s="356" t="inlineStr">
        <is>
          <t>24100-2780A
8I06-200-C63</t>
        </is>
      </c>
      <c r="G259" s="366" t="inlineStr">
        <is>
          <t>( quay sò gió để lắp 
 RHC6/ H06C-T/ EX220-5)
dây điều tốc ngắn lên bảo bảy xoay hộ /có HA</t>
        </is>
      </c>
      <c r="H259" s="357" t="inlineStr">
        <is>
          <t>JRONE</t>
        </is>
      </c>
      <c r="I259" s="358" t="n"/>
      <c r="J259" s="358" t="n"/>
      <c r="K259" s="358" t="n"/>
      <c r="L259" s="358">
        <f>IF(K259="","",K259*1.1)</f>
        <v/>
      </c>
      <c r="M259" s="359" t="n"/>
      <c r="N259" s="359" t="n"/>
      <c r="O259" s="359" t="n"/>
      <c r="P259" s="359" t="n"/>
      <c r="Q259" s="359" t="n"/>
      <c r="R259" s="359" t="n"/>
      <c r="T259" s="346">
        <f>UPPER(A259&amp;" "&amp;B259&amp;" "&amp;D259&amp;" "&amp;E259&amp;" "&amp;F259&amp;" "&amp;G259&amp;" "&amp;H259)</f>
        <v/>
      </c>
      <c r="U259" s="216">
        <f>IF(AND('TRA CỨU TỔNG HỢP'!$B$3&lt;&gt;"",ISNUMBER(SEARCH('TRA CỨU TỔNG HỢP'!$B$3,T259))),MAX($U$3:U258)+1,"")</f>
        <v/>
      </c>
    </row>
    <row r="260" ht="15" customHeight="1" s="217">
      <c r="A260" s="340" t="inlineStr">
        <is>
          <t>HITACHI</t>
        </is>
      </c>
      <c r="B260" s="341" t="inlineStr">
        <is>
          <t>HH070622</t>
        </is>
      </c>
      <c r="C260" s="340" t="inlineStr">
        <is>
          <t>IHI</t>
        </is>
      </c>
      <c r="D260" s="340" t="inlineStr">
        <is>
          <t>RHG6</t>
        </is>
      </c>
      <c r="E260" s="340" t="inlineStr">
        <is>
          <t>6BG1</t>
        </is>
      </c>
      <c r="F260" s="342" t="inlineStr">
        <is>
          <t>114400-3770
8I06-100-H31</t>
        </is>
      </c>
      <c r="G260" s="340" t="inlineStr">
        <is>
          <t>nắp lẫn  (114400-3890) khác chiều quay .có hình ảnh</t>
        </is>
      </c>
      <c r="H260" s="343" t="inlineStr">
        <is>
          <t>SL</t>
        </is>
      </c>
      <c r="I260" s="344" t="n"/>
      <c r="J260" s="344" t="n"/>
      <c r="K260" s="344" t="n"/>
      <c r="L260" s="344">
        <f>IF(K260="","",K260*1.1)</f>
        <v/>
      </c>
      <c r="M260" s="345" t="n">
        <v>75</v>
      </c>
      <c r="N260" s="345" t="n">
        <v>53</v>
      </c>
      <c r="O260" s="345" t="inlineStr">
        <is>
          <t>6/6</t>
        </is>
      </c>
      <c r="P260" s="345" t="n">
        <v>69.3</v>
      </c>
      <c r="Q260" s="345" t="n">
        <v>64</v>
      </c>
      <c r="R260" s="345" t="inlineStr">
        <is>
          <t>11</t>
        </is>
      </c>
      <c r="T260" s="346">
        <f>UPPER(A260&amp;" "&amp;B260&amp;" "&amp;D260&amp;" "&amp;E260&amp;" "&amp;F260&amp;" "&amp;G260&amp;" "&amp;H260)</f>
        <v/>
      </c>
      <c r="U260" s="216">
        <f>IF(AND('TRA CỨU TỔNG HỢP'!$B$3&lt;&gt;"",ISNUMBER(SEARCH('TRA CỨU TỔNG HỢP'!$B$3,T260))),MAX($U$3:U259)+1,"")</f>
        <v/>
      </c>
    </row>
    <row r="261" ht="15" customHeight="1" s="217">
      <c r="A261" s="347" t="inlineStr">
        <is>
          <t>HITACHI</t>
        </is>
      </c>
      <c r="B261" s="348" t="inlineStr">
        <is>
          <t>HH075112</t>
        </is>
      </c>
      <c r="C261" s="349" t="inlineStr">
        <is>
          <t>IHI</t>
        </is>
      </c>
      <c r="D261" s="349" t="inlineStr">
        <is>
          <t>RHG6</t>
        </is>
      </c>
      <c r="E261" s="349" t="inlineStr">
        <is>
          <t>6BG1</t>
        </is>
      </c>
      <c r="F261" s="350" t="inlineStr">
        <is>
          <t>114400-3770
8I06-100-H31</t>
        </is>
      </c>
      <c r="G261" s="349" t="inlineStr">
        <is>
          <t>nắp lẫn  (114400-3890) khác chiều quay .có hình ảnh</t>
        </is>
      </c>
      <c r="H261" s="351" t="inlineStr">
        <is>
          <t>JRONE</t>
        </is>
      </c>
      <c r="I261" s="352" t="n"/>
      <c r="J261" s="352" t="n"/>
      <c r="K261" s="352" t="n"/>
      <c r="L261" s="352">
        <f>IF(K261="","",K261*1.1)</f>
        <v/>
      </c>
      <c r="M261" s="353" t="n">
        <v>75</v>
      </c>
      <c r="N261" s="353" t="n">
        <v>53</v>
      </c>
      <c r="O261" s="353" t="inlineStr">
        <is>
          <t>6/6</t>
        </is>
      </c>
      <c r="P261" s="353" t="n">
        <v>69.3</v>
      </c>
      <c r="Q261" s="353" t="n">
        <v>64</v>
      </c>
      <c r="R261" s="353" t="inlineStr">
        <is>
          <t>11</t>
        </is>
      </c>
      <c r="T261" s="346">
        <f>UPPER(A261&amp;" "&amp;B261&amp;" "&amp;D261&amp;" "&amp;E261&amp;" "&amp;F261&amp;" "&amp;G261&amp;" "&amp;H261)</f>
        <v/>
      </c>
      <c r="U261" s="216">
        <f>IF(AND('TRA CỨU TỔNG HỢP'!$B$3&lt;&gt;"",ISNUMBER(SEARCH('TRA CỨU TỔNG HỢP'!$B$3,T261))),MAX($U$3:U260)+1,"")</f>
        <v/>
      </c>
    </row>
    <row r="262" ht="15" customHeight="1" s="217">
      <c r="A262" s="354" t="inlineStr">
        <is>
          <t>HITACHI</t>
        </is>
      </c>
      <c r="B262" s="355" t="inlineStr">
        <is>
          <t>HH075039</t>
        </is>
      </c>
      <c r="C262" s="354" t="inlineStr">
        <is>
          <t>IHI</t>
        </is>
      </c>
      <c r="D262" s="354" t="inlineStr">
        <is>
          <t>RHG6</t>
        </is>
      </c>
      <c r="E262" s="354" t="inlineStr">
        <is>
          <t>6HK1</t>
        </is>
      </c>
      <c r="F262" s="356" t="inlineStr">
        <is>
          <t>114400-3900
CIDB-VA570033
8I06-100-E92</t>
        </is>
      </c>
      <c r="G262" s="354" t="n"/>
      <c r="H262" s="357" t="inlineStr">
        <is>
          <t>JRONE</t>
        </is>
      </c>
      <c r="I262" s="358" t="n"/>
      <c r="J262" s="358" t="n"/>
      <c r="K262" s="358" t="n"/>
      <c r="L262" s="358">
        <f>IF(K262="","",K262*1.1)</f>
        <v/>
      </c>
      <c r="M262" s="359" t="n">
        <v>75.40000000000001</v>
      </c>
      <c r="N262" s="359" t="n">
        <v>53</v>
      </c>
      <c r="O262" s="359" t="inlineStr">
        <is>
          <t>6/6</t>
        </is>
      </c>
      <c r="P262" s="359" t="n">
        <v>68.40000000000001</v>
      </c>
      <c r="Q262" s="359" t="n">
        <v>62</v>
      </c>
      <c r="R262" s="359" t="n">
        <v>11</v>
      </c>
      <c r="T262" s="346">
        <f>UPPER(A262&amp;" "&amp;B262&amp;" "&amp;D262&amp;" "&amp;E262&amp;" "&amp;F262&amp;" "&amp;G262&amp;" "&amp;H262)</f>
        <v/>
      </c>
      <c r="U262" s="216">
        <f>IF(AND('TRA CỨU TỔNG HỢP'!$B$3&lt;&gt;"",ISNUMBER(SEARCH('TRA CỨU TỔNG HỢP'!$B$3,T262))),MAX($U$3:U261)+1,"")</f>
        <v/>
      </c>
    </row>
    <row r="263" ht="15" customHeight="1" s="217">
      <c r="A263" s="354" t="inlineStr">
        <is>
          <t>HITACHI</t>
        </is>
      </c>
      <c r="B263" s="355" t="inlineStr">
        <is>
          <t>HH078835</t>
        </is>
      </c>
      <c r="C263" s="354" t="inlineStr">
        <is>
          <t>IHI</t>
        </is>
      </c>
      <c r="D263" s="354" t="inlineStr">
        <is>
          <t>RHE6</t>
        </is>
      </c>
      <c r="E263" s="354" t="inlineStr">
        <is>
          <t>6BG1</t>
        </is>
      </c>
      <c r="F263" s="356" t="inlineStr">
        <is>
          <t>114400-3332/114400-3350/114400332 114400331 6T611</t>
        </is>
      </c>
      <c r="G263" s="354" t="inlineStr">
        <is>
          <t xml:space="preserve"> máy nhập châu âu </t>
        </is>
      </c>
      <c r="H263" s="357" t="inlineStr">
        <is>
          <t>MX</t>
        </is>
      </c>
      <c r="I263" s="358" t="n"/>
      <c r="J263" s="358" t="n"/>
      <c r="K263" s="358" t="n"/>
      <c r="L263" s="358">
        <f>IF(K263="","",K263*1.1)</f>
        <v/>
      </c>
      <c r="M263" s="359" t="n"/>
      <c r="N263" s="359" t="n"/>
      <c r="O263" s="359" t="n"/>
      <c r="P263" s="359" t="n"/>
      <c r="Q263" s="359" t="n"/>
      <c r="R263" s="359" t="n"/>
      <c r="T263" s="216">
        <f>UPPER(A263&amp;" "&amp;B263&amp;" "&amp;D263&amp;" "&amp;E263&amp;" "&amp;F263&amp;" "&amp;G263&amp;" "&amp;H263)</f>
        <v/>
      </c>
      <c r="U263" s="216">
        <f>IF(AND('TRA CỨU TỔNG HỢP'!$B$3&lt;&gt;"",ISNUMBER(SEARCH('TRA CỨU TỔNG HỢP'!$B$3,T263))),MAX($U$3:U262)+1,"")</f>
        <v/>
      </c>
    </row>
    <row r="264" ht="15" customHeight="1" s="217">
      <c r="A264" s="354" t="inlineStr">
        <is>
          <t>HITACHI</t>
        </is>
      </c>
      <c r="B264" s="355" t="inlineStr">
        <is>
          <t>HH074023</t>
        </is>
      </c>
      <c r="C264" s="354" t="inlineStr">
        <is>
          <t>IHI</t>
        </is>
      </c>
      <c r="D264" s="354" t="inlineStr">
        <is>
          <t>RHG6</t>
        </is>
      </c>
      <c r="E264" s="354" t="inlineStr">
        <is>
          <t>6HK1</t>
        </is>
      </c>
      <c r="F264" s="356" t="inlineStr">
        <is>
          <t>114400-4380/114400-4420
8I06-100-E93/114400-4050</t>
        </is>
      </c>
      <c r="G264" s="354" t="n"/>
      <c r="H264" s="357" t="inlineStr">
        <is>
          <t>JRONE</t>
        </is>
      </c>
      <c r="I264" s="358" t="n"/>
      <c r="J264" s="358" t="n"/>
      <c r="K264" s="358" t="n"/>
      <c r="L264" s="358">
        <f>IF(K264="","",K264*1.1)</f>
        <v/>
      </c>
      <c r="M264" s="359" t="n">
        <v>75</v>
      </c>
      <c r="N264" s="359" t="n">
        <v>50.5</v>
      </c>
      <c r="O264" s="359" t="inlineStr">
        <is>
          <t>6/6</t>
        </is>
      </c>
      <c r="P264" s="359" t="n">
        <v>64.8</v>
      </c>
      <c r="Q264" s="359" t="n">
        <v>53</v>
      </c>
      <c r="R264" s="359" t="n">
        <v>11</v>
      </c>
      <c r="T264" s="346">
        <f>UPPER(A264&amp;" "&amp;B264&amp;" "&amp;D264&amp;" "&amp;E264&amp;" "&amp;F264&amp;" "&amp;G264&amp;" "&amp;H264)</f>
        <v/>
      </c>
      <c r="U264" s="216">
        <f>IF(AND('TRA CỨU TỔNG HỢP'!$B$3&lt;&gt;"",ISNUMBER(SEARCH('TRA CỨU TỔNG HỢP'!$B$3,T264))),MAX($U$3:U263)+1,"")</f>
        <v/>
      </c>
    </row>
    <row r="265" ht="15" customHeight="1" s="217">
      <c r="A265" s="340" t="inlineStr">
        <is>
          <t>HITACHI</t>
        </is>
      </c>
      <c r="B265" s="341" t="inlineStr">
        <is>
          <t>HH076952</t>
        </is>
      </c>
      <c r="C265" s="340" t="inlineStr">
        <is>
          <t>IHI</t>
        </is>
      </c>
      <c r="D265" s="340" t="inlineStr">
        <is>
          <t>RHE6</t>
        </is>
      </c>
      <c r="E265" s="340" t="inlineStr">
        <is>
          <t>6BG1</t>
        </is>
      </c>
      <c r="F265" s="342" t="inlineStr">
        <is>
          <t>114400-3320/VA720015 CIBC
114400332/114400331</t>
        </is>
      </c>
      <c r="G265" s="340" t="n"/>
      <c r="H265" s="343" t="inlineStr">
        <is>
          <t>SL</t>
        </is>
      </c>
      <c r="I265" s="344" t="n"/>
      <c r="J265" s="344" t="n"/>
      <c r="K265" s="344" t="n"/>
      <c r="L265" s="344">
        <f>IF(K265="","",K265*1.1)</f>
        <v/>
      </c>
      <c r="M265" s="345" t="n">
        <v>70</v>
      </c>
      <c r="N265" s="345" t="n">
        <v>52.4</v>
      </c>
      <c r="O265" s="345" t="inlineStr">
        <is>
          <t>6/6</t>
        </is>
      </c>
      <c r="P265" s="345" t="n">
        <v>63.15</v>
      </c>
      <c r="Q265" s="345" t="n">
        <v>61.6</v>
      </c>
      <c r="R265" s="345" t="inlineStr">
        <is>
          <t>11</t>
        </is>
      </c>
      <c r="T265" s="346">
        <f>UPPER(A265&amp;" "&amp;B265&amp;" "&amp;D265&amp;" "&amp;E265&amp;" "&amp;F265&amp;" "&amp;G265&amp;" "&amp;H265)</f>
        <v/>
      </c>
      <c r="U265" s="216">
        <f>IF(AND('TRA CỨU TỔNG HỢP'!$B$3&lt;&gt;"",ISNUMBER(SEARCH('TRA CỨU TỔNG HỢP'!$B$3,T265))),MAX($U$3:U264)+1,"")</f>
        <v/>
      </c>
    </row>
    <row r="266" ht="15" customHeight="1" s="217">
      <c r="A266" s="347" t="inlineStr">
        <is>
          <t>HITACHI</t>
        </is>
      </c>
      <c r="B266" s="348" t="inlineStr">
        <is>
          <t>HH080322</t>
        </is>
      </c>
      <c r="C266" s="349" t="inlineStr">
        <is>
          <t>IHI</t>
        </is>
      </c>
      <c r="D266" s="349" t="inlineStr">
        <is>
          <t>RHE6</t>
        </is>
      </c>
      <c r="E266" s="349" t="inlineStr">
        <is>
          <t>6BG1</t>
        </is>
      </c>
      <c r="F266" s="350" t="inlineStr">
        <is>
          <t>114400-3320/VA720015 CIBC
114400332/114400331</t>
        </is>
      </c>
      <c r="G266" s="349" t="n"/>
      <c r="H266" s="351" t="inlineStr">
        <is>
          <t>SL</t>
        </is>
      </c>
      <c r="I266" s="352" t="n"/>
      <c r="J266" s="352" t="n"/>
      <c r="K266" s="352" t="n"/>
      <c r="L266" s="352">
        <f>IF(K266="","",K266*1.1)</f>
        <v/>
      </c>
      <c r="M266" s="353" t="n">
        <v>70</v>
      </c>
      <c r="N266" s="353" t="n">
        <v>52.4</v>
      </c>
      <c r="O266" s="353" t="inlineStr">
        <is>
          <t>6/6</t>
        </is>
      </c>
      <c r="P266" s="353" t="n">
        <v>63.15</v>
      </c>
      <c r="Q266" s="353" t="n">
        <v>61.6</v>
      </c>
      <c r="R266" s="353" t="inlineStr">
        <is>
          <t>11</t>
        </is>
      </c>
      <c r="T266" s="346">
        <f>UPPER(A266&amp;" "&amp;B266&amp;" "&amp;D266&amp;" "&amp;E266&amp;" "&amp;F266&amp;" "&amp;G266&amp;" "&amp;H266)</f>
        <v/>
      </c>
      <c r="U266" s="216">
        <f>IF(AND('TRA CỨU TỔNG HỢP'!$B$3&lt;&gt;"",ISNUMBER(SEARCH('TRA CỨU TỔNG HỢP'!$B$3,T266))),MAX($U$3:U265)+1,"")</f>
        <v/>
      </c>
    </row>
    <row r="267" ht="15" customHeight="1" s="217">
      <c r="A267" s="354" t="inlineStr">
        <is>
          <t>HITACHI</t>
        </is>
      </c>
      <c r="B267" s="355" t="inlineStr">
        <is>
          <t>HH070607</t>
        </is>
      </c>
      <c r="C267" s="354" t="inlineStr">
        <is>
          <t>IHI</t>
        </is>
      </c>
      <c r="D267" s="354" t="inlineStr">
        <is>
          <t>RHC7</t>
        </is>
      </c>
      <c r="E267" s="354" t="inlineStr">
        <is>
          <t>6SD1</t>
        </is>
      </c>
      <c r="F267" s="356" t="inlineStr">
        <is>
          <t>114400-3140
/A290021 VB290021
7T546</t>
        </is>
      </c>
      <c r="G267" s="354" t="n"/>
      <c r="H267" s="357" t="inlineStr">
        <is>
          <t>SL</t>
        </is>
      </c>
      <c r="I267" s="358" t="n"/>
      <c r="J267" s="358" t="n"/>
      <c r="K267" s="358" t="n"/>
      <c r="L267" s="358">
        <f>IF(K267="","",K267*1.1)</f>
        <v/>
      </c>
      <c r="M267" s="359" t="n">
        <v>77.59999999999999</v>
      </c>
      <c r="N267" s="359" t="n">
        <v>59</v>
      </c>
      <c r="O267" s="359" t="inlineStr">
        <is>
          <t>6/6</t>
        </is>
      </c>
      <c r="P267" s="359" t="n">
        <v>74</v>
      </c>
      <c r="Q267" s="359" t="n">
        <v>67</v>
      </c>
      <c r="R267" s="359" t="n">
        <v>11</v>
      </c>
      <c r="T267" s="346">
        <f>UPPER(A267&amp;" "&amp;B267&amp;" "&amp;D267&amp;" "&amp;E267&amp;" "&amp;F267&amp;" "&amp;G267&amp;" "&amp;H267)</f>
        <v/>
      </c>
      <c r="U267" s="216">
        <f>IF(AND('TRA CỨU TỔNG HỢP'!$B$3&lt;&gt;"",ISNUMBER(SEARCH('TRA CỨU TỔNG HỢP'!$B$3,T267))),MAX($U$3:U266)+1,"")</f>
        <v/>
      </c>
    </row>
    <row r="268" ht="15" customHeight="1" s="217">
      <c r="A268" s="354" t="inlineStr">
        <is>
          <t>HITACHI</t>
        </is>
      </c>
      <c r="B268" s="355" t="inlineStr">
        <is>
          <t>HH079552</t>
        </is>
      </c>
      <c r="C268" s="354" t="inlineStr">
        <is>
          <t>IHI</t>
        </is>
      </c>
      <c r="D268" s="354" t="inlineStr">
        <is>
          <t>RHG9</t>
        </is>
      </c>
      <c r="E268" s="354" t="inlineStr">
        <is>
          <t>6WF1</t>
        </is>
      </c>
      <c r="F268" s="356" t="inlineStr">
        <is>
          <t>114400-4011/1144004011</t>
        </is>
      </c>
      <c r="G268" s="354" t="n"/>
      <c r="H268" s="357" t="inlineStr">
        <is>
          <t>DN-1197</t>
        </is>
      </c>
      <c r="I268" s="358" t="n"/>
      <c r="J268" s="358" t="n"/>
      <c r="K268" s="358" t="n"/>
      <c r="L268" s="358">
        <f>IF(K268="","",K268*1.1)</f>
        <v/>
      </c>
      <c r="M268" s="359" t="n"/>
      <c r="N268" s="359" t="n"/>
      <c r="O268" s="359" t="n"/>
      <c r="P268" s="359" t="n"/>
      <c r="Q268" s="359" t="n"/>
      <c r="R268" s="359" t="n"/>
      <c r="T268" s="216">
        <f>UPPER(A268&amp;" "&amp;B268&amp;" "&amp;D268&amp;" "&amp;E268&amp;" "&amp;F268&amp;" "&amp;G268&amp;" "&amp;H268)</f>
        <v/>
      </c>
      <c r="U268" s="216">
        <f>IF(AND('TRA CỨU TỔNG HỢP'!$B$3&lt;&gt;"",ISNUMBER(SEARCH('TRA CỨU TỔNG HỢP'!$B$3,T268))),MAX($U$3:U267)+1,"")</f>
        <v/>
      </c>
    </row>
    <row r="269" ht="15" customHeight="1" s="217">
      <c r="A269" s="340" t="inlineStr">
        <is>
          <t>HITACHI</t>
        </is>
      </c>
      <c r="B269" s="341" t="inlineStr">
        <is>
          <t>HH070605</t>
        </is>
      </c>
      <c r="C269" s="340" t="inlineStr">
        <is>
          <t>IHI</t>
        </is>
      </c>
      <c r="D269" s="340" t="inlineStr">
        <is>
          <t>RHC6/TB4154</t>
        </is>
      </c>
      <c r="E269" s="340" t="inlineStr">
        <is>
          <t>6BG1</t>
        </is>
      </c>
      <c r="F269" s="342" t="inlineStr">
        <is>
          <t>114400-2720
VA240044/716236-0001 
VA240044/02800132
1144002720</t>
        </is>
      </c>
      <c r="G269" s="340" t="n"/>
      <c r="H269" s="343" t="inlineStr">
        <is>
          <t>SL</t>
        </is>
      </c>
      <c r="I269" s="344" t="n"/>
      <c r="J269" s="344" t="n"/>
      <c r="K269" s="344" t="n"/>
      <c r="L269" s="344">
        <f>IF(K269="","",K269*1.1)</f>
        <v/>
      </c>
      <c r="M269" s="345" t="n">
        <v>70</v>
      </c>
      <c r="N269" s="345" t="n">
        <v>55.3</v>
      </c>
      <c r="O269" s="345" t="inlineStr">
        <is>
          <t>8/8</t>
        </is>
      </c>
      <c r="P269" s="345" t="n">
        <v>74.2</v>
      </c>
      <c r="Q269" s="345" t="n">
        <v>64.5</v>
      </c>
      <c r="R269" s="345" t="n">
        <v>11</v>
      </c>
      <c r="T269" s="346">
        <f>UPPER(A269&amp;" "&amp;B269&amp;" "&amp;D269&amp;" "&amp;E269&amp;" "&amp;F269&amp;" "&amp;G269&amp;" "&amp;H269)</f>
        <v/>
      </c>
      <c r="U269" s="216">
        <f>IF(AND('TRA CỨU TỔNG HỢP'!$B$3&lt;&gt;"",ISNUMBER(SEARCH('TRA CỨU TỔNG HỢP'!$B$3,T269))),MAX($U$3:U268)+1,"")</f>
        <v/>
      </c>
    </row>
    <row r="270" ht="15" customHeight="1" s="217">
      <c r="A270" s="347" t="inlineStr">
        <is>
          <t>HITACHI</t>
        </is>
      </c>
      <c r="B270" s="348" t="inlineStr">
        <is>
          <t>HH080734</t>
        </is>
      </c>
      <c r="C270" s="349" t="inlineStr">
        <is>
          <t>IHI</t>
        </is>
      </c>
      <c r="D270" s="349" t="inlineStr">
        <is>
          <t>RHC6/TB4154</t>
        </is>
      </c>
      <c r="E270" s="349" t="inlineStr">
        <is>
          <t>6BG1</t>
        </is>
      </c>
      <c r="F270" s="350" t="inlineStr">
        <is>
          <t>114400-2720
VA240044/716236-0001 
VA240044/02800132
1144002720</t>
        </is>
      </c>
      <c r="G270" s="349" t="n"/>
      <c r="H270" s="351" t="inlineStr">
        <is>
          <t>SL</t>
        </is>
      </c>
      <c r="I270" s="352" t="n"/>
      <c r="J270" s="352" t="n"/>
      <c r="K270" s="352" t="n"/>
      <c r="L270" s="352">
        <f>IF(K270="","",K270*1.1)</f>
        <v/>
      </c>
      <c r="M270" s="353" t="n">
        <v>70</v>
      </c>
      <c r="N270" s="353" t="n">
        <v>55.3</v>
      </c>
      <c r="O270" s="353" t="inlineStr">
        <is>
          <t>8/8</t>
        </is>
      </c>
      <c r="P270" s="353" t="n">
        <v>74.2</v>
      </c>
      <c r="Q270" s="353" t="n">
        <v>64.5</v>
      </c>
      <c r="R270" s="353" t="n">
        <v>11</v>
      </c>
      <c r="T270" s="346">
        <f>UPPER(A270&amp;" "&amp;B270&amp;" "&amp;D270&amp;" "&amp;E270&amp;" "&amp;F270&amp;" "&amp;G270&amp;" "&amp;H270)</f>
        <v/>
      </c>
      <c r="U270" s="216">
        <f>IF(AND('TRA CỨU TỔNG HỢP'!$B$3&lt;&gt;"",ISNUMBER(SEARCH('TRA CỨU TỔNG HỢP'!$B$3,T270))),MAX($U$3:U269)+1,"")</f>
        <v/>
      </c>
    </row>
    <row r="271" ht="15" customHeight="1" s="217">
      <c r="A271" s="354" t="inlineStr">
        <is>
          <t>HITACHI</t>
        </is>
      </c>
      <c r="B271" s="355" t="inlineStr">
        <is>
          <t>HH079981</t>
        </is>
      </c>
      <c r="C271" s="354" t="inlineStr">
        <is>
          <t>IHI</t>
        </is>
      </c>
      <c r="D271" s="354" t="inlineStr">
        <is>
          <t>RHC7</t>
        </is>
      </c>
      <c r="E271" s="354" t="inlineStr">
        <is>
          <t>6BD1</t>
        </is>
      </c>
      <c r="F271" s="356" t="inlineStr">
        <is>
          <t>114400-2100</t>
        </is>
      </c>
      <c r="G271" s="354" t="n"/>
      <c r="H271" s="357" t="inlineStr">
        <is>
          <t>SL</t>
        </is>
      </c>
      <c r="I271" s="358" t="n"/>
      <c r="J271" s="358" t="n"/>
      <c r="K271" s="358" t="n"/>
      <c r="L271" s="358">
        <f>IF(K271="","",K271*1.1)</f>
        <v/>
      </c>
      <c r="M271" s="359" t="n">
        <v>76</v>
      </c>
      <c r="N271" s="359" t="n">
        <v>54</v>
      </c>
      <c r="O271" s="359" t="inlineStr">
        <is>
          <t>5/5</t>
        </is>
      </c>
      <c r="P271" s="359" t="n">
        <v>74.09999999999999</v>
      </c>
      <c r="Q271" s="359" t="n">
        <v>64.09999999999999</v>
      </c>
      <c r="R271" s="359" t="inlineStr">
        <is>
          <t>11</t>
        </is>
      </c>
      <c r="T271" s="216">
        <f>UPPER(A271&amp;" "&amp;B271&amp;" "&amp;D271&amp;" "&amp;E271&amp;" "&amp;F271&amp;" "&amp;G271&amp;" "&amp;H271)</f>
        <v/>
      </c>
      <c r="U271" s="216">
        <f>IF(AND('TRA CỨU TỔNG HỢP'!$B$3&lt;&gt;"",ISNUMBER(SEARCH('TRA CỨU TỔNG HỢP'!$B$3,T271))),MAX($U$3:U270)+1,"")</f>
        <v/>
      </c>
    </row>
    <row r="272" ht="15" customHeight="1" s="217">
      <c r="A272" s="340" t="inlineStr">
        <is>
          <t>HITACHI</t>
        </is>
      </c>
      <c r="B272" s="341" t="inlineStr">
        <is>
          <t>HH078435</t>
        </is>
      </c>
      <c r="C272" s="340" t="inlineStr">
        <is>
          <t>IHI</t>
        </is>
      </c>
      <c r="D272" s="340" t="inlineStr">
        <is>
          <t>RHC92</t>
        </is>
      </c>
      <c r="E272" s="340" t="inlineStr">
        <is>
          <t>6WG1</t>
        </is>
      </c>
      <c r="F272" s="342" t="inlineStr">
        <is>
          <t>114400-3830
1-14400383-0</t>
        </is>
      </c>
      <c r="G272" s="340" t="n"/>
      <c r="H272" s="343" t="inlineStr">
        <is>
          <t>VIDARIR</t>
        </is>
      </c>
      <c r="I272" s="344" t="n"/>
      <c r="J272" s="344" t="n"/>
      <c r="K272" s="344" t="n"/>
      <c r="L272" s="344">
        <f>IF(K272="","",K272*1.1)</f>
        <v/>
      </c>
      <c r="M272" s="345" t="n"/>
      <c r="N272" s="345" t="n">
        <v>74.5</v>
      </c>
      <c r="O272" s="345" t="inlineStr">
        <is>
          <t>6/6</t>
        </is>
      </c>
      <c r="P272" s="345" t="n"/>
      <c r="Q272" s="345" t="n">
        <v>84</v>
      </c>
      <c r="R272" s="345" t="n">
        <v>11</v>
      </c>
      <c r="T272" s="346">
        <f>UPPER(A272&amp;" "&amp;B272&amp;" "&amp;D272&amp;" "&amp;E272&amp;" "&amp;F272&amp;" "&amp;G272&amp;" "&amp;H272)</f>
        <v/>
      </c>
      <c r="U272" s="216">
        <f>IF(AND('TRA CỨU TỔNG HỢP'!$B$3&lt;&gt;"",ISNUMBER(SEARCH('TRA CỨU TỔNG HỢP'!$B$3,T272))),MAX($U$3:U271)+1,"")</f>
        <v/>
      </c>
    </row>
    <row r="273" ht="15" customHeight="1" s="217">
      <c r="A273" s="347" t="inlineStr">
        <is>
          <t>HITACHI</t>
        </is>
      </c>
      <c r="B273" s="348" t="inlineStr">
        <is>
          <t>HH078719</t>
        </is>
      </c>
      <c r="C273" s="349" t="inlineStr">
        <is>
          <t>IHI</t>
        </is>
      </c>
      <c r="D273" s="349" t="inlineStr">
        <is>
          <t>RHC92</t>
        </is>
      </c>
      <c r="E273" s="349" t="inlineStr">
        <is>
          <t>6WG1</t>
        </is>
      </c>
      <c r="F273" s="350" t="inlineStr">
        <is>
          <t>114400-3830
1-14400383-0</t>
        </is>
      </c>
      <c r="G273" s="349" t="n"/>
      <c r="H273" s="351" t="inlineStr">
        <is>
          <t>VIDARIR</t>
        </is>
      </c>
      <c r="I273" s="352" t="n"/>
      <c r="J273" s="352" t="n"/>
      <c r="K273" s="352" t="n"/>
      <c r="L273" s="352">
        <f>IF(K273="","",K273*1.1)</f>
        <v/>
      </c>
      <c r="M273" s="353" t="n"/>
      <c r="N273" s="353" t="n">
        <v>74.5</v>
      </c>
      <c r="O273" s="353" t="inlineStr">
        <is>
          <t>6/6</t>
        </is>
      </c>
      <c r="P273" s="353" t="n"/>
      <c r="Q273" s="353" t="n">
        <v>84</v>
      </c>
      <c r="R273" s="353" t="n">
        <v>11</v>
      </c>
      <c r="T273" s="346">
        <f>UPPER(A273&amp;" "&amp;B273&amp;" "&amp;D273&amp;" "&amp;E273&amp;" "&amp;F273&amp;" "&amp;G273&amp;" "&amp;H273)</f>
        <v/>
      </c>
      <c r="U273" s="216">
        <f>IF(AND('TRA CỨU TỔNG HỢP'!$B$3&lt;&gt;"",ISNUMBER(SEARCH('TRA CỨU TỔNG HỢP'!$B$3,T273))),MAX($U$3:U272)+1,"")</f>
        <v/>
      </c>
    </row>
    <row r="274" ht="15" customHeight="1" s="217">
      <c r="A274" s="347" t="inlineStr">
        <is>
          <t>HITACHI</t>
        </is>
      </c>
      <c r="B274" s="348" t="inlineStr">
        <is>
          <t>HH075732</t>
        </is>
      </c>
      <c r="C274" s="349" t="inlineStr">
        <is>
          <t>IHI</t>
        </is>
      </c>
      <c r="D274" s="349" t="inlineStr">
        <is>
          <t>RHC92</t>
        </is>
      </c>
      <c r="E274" s="349" t="inlineStr">
        <is>
          <t>6WG1</t>
        </is>
      </c>
      <c r="F274" s="350" t="inlineStr">
        <is>
          <t>114400-3830
1-14400383-0</t>
        </is>
      </c>
      <c r="G274" s="349" t="n"/>
      <c r="H274" s="351" t="inlineStr">
        <is>
          <t>ISUZU</t>
        </is>
      </c>
      <c r="I274" s="352" t="n"/>
      <c r="J274" s="352" t="n"/>
      <c r="K274" s="352" t="n"/>
      <c r="L274" s="352">
        <f>IF(K274="","",K274*1.1)</f>
        <v/>
      </c>
      <c r="M274" s="353" t="n"/>
      <c r="N274" s="353" t="n">
        <v>74.5</v>
      </c>
      <c r="O274" s="353" t="inlineStr">
        <is>
          <t>6/6</t>
        </is>
      </c>
      <c r="P274" s="353" t="n"/>
      <c r="Q274" s="353" t="n">
        <v>84</v>
      </c>
      <c r="R274" s="353" t="n">
        <v>11</v>
      </c>
      <c r="T274" s="346">
        <f>UPPER(A274&amp;" "&amp;B274&amp;" "&amp;D274&amp;" "&amp;E274&amp;" "&amp;F274&amp;" "&amp;G274&amp;" "&amp;H274)</f>
        <v/>
      </c>
      <c r="U274" s="216">
        <f>IF(AND('TRA CỨU TỔNG HỢP'!$B$3&lt;&gt;"",ISNUMBER(SEARCH('TRA CỨU TỔNG HỢP'!$B$3,T274))),MAX($U$3:U273)+1,"")</f>
        <v/>
      </c>
    </row>
    <row r="275" ht="15" customHeight="1" s="217">
      <c r="A275" s="354" t="inlineStr">
        <is>
          <t>HITACHI</t>
        </is>
      </c>
      <c r="B275" s="355" t="inlineStr">
        <is>
          <t>HH078718</t>
        </is>
      </c>
      <c r="C275" s="354" t="n"/>
      <c r="D275" s="354" t="n"/>
      <c r="E275" s="354" t="inlineStr">
        <is>
          <t>6HK1</t>
        </is>
      </c>
      <c r="F275" s="356" t="inlineStr">
        <is>
          <t>114400-0820</t>
        </is>
      </c>
      <c r="G275" s="354" t="inlineStr">
        <is>
          <t>có H/A VIDARIR</t>
        </is>
      </c>
      <c r="H275" s="357" t="inlineStr">
        <is>
          <t>VIDARIR</t>
        </is>
      </c>
      <c r="I275" s="358" t="n"/>
      <c r="J275" s="358" t="n"/>
      <c r="K275" s="358" t="n"/>
      <c r="L275" s="358">
        <f>IF(K275="","",K275*1.1)</f>
        <v/>
      </c>
      <c r="M275" s="359" t="n"/>
      <c r="N275" s="359" t="n"/>
      <c r="O275" s="359" t="n"/>
      <c r="P275" s="359" t="n"/>
      <c r="Q275" s="359" t="n"/>
      <c r="R275" s="359" t="n"/>
      <c r="T275" s="216">
        <f>UPPER(A275&amp;" "&amp;B275&amp;" "&amp;D275&amp;" "&amp;E275&amp;" "&amp;F275&amp;" "&amp;G275&amp;" "&amp;H275)</f>
        <v/>
      </c>
      <c r="U275" s="216">
        <f>IF(AND('TRA CỨU TỔNG HỢP'!$B$3&lt;&gt;"",ISNUMBER(SEARCH('TRA CỨU TỔNG HỢP'!$B$3,T275))),MAX($U$3:U274)+1,"")</f>
        <v/>
      </c>
    </row>
    <row r="276" ht="15" customHeight="1" s="217">
      <c r="A276" s="367" t="inlineStr">
        <is>
          <t>HITACHI</t>
        </is>
      </c>
      <c r="B276" s="368" t="n"/>
      <c r="C276" s="367" t="inlineStr">
        <is>
          <t>IHI</t>
        </is>
      </c>
      <c r="D276" s="367" t="inlineStr">
        <is>
          <t>RHC7</t>
        </is>
      </c>
      <c r="E276" s="367" t="inlineStr">
        <is>
          <t>H06CT /H06CTI</t>
        </is>
      </c>
      <c r="F276" s="369" t="inlineStr">
        <is>
          <t>24100-1870B/CX35/VA250029/VA250027/NH170049</t>
        </is>
      </c>
      <c r="G276" s="367" t="n"/>
      <c r="H276" s="370" t="n"/>
      <c r="I276" s="371" t="n"/>
      <c r="J276" s="371" t="n"/>
      <c r="K276" s="371" t="n"/>
      <c r="L276" s="371">
        <f>IF(K276="","",K276*1.1)</f>
        <v/>
      </c>
      <c r="M276" s="372" t="n"/>
      <c r="N276" s="372" t="n"/>
      <c r="O276" s="372" t="n"/>
      <c r="P276" s="372" t="n"/>
      <c r="Q276" s="372" t="n"/>
      <c r="R276" s="372" t="n"/>
      <c r="T276" s="216">
        <f>UPPER(A276&amp;" "&amp;B276&amp;" "&amp;D276&amp;" "&amp;E276&amp;" "&amp;F276&amp;" "&amp;G276&amp;" "&amp;H276)</f>
        <v/>
      </c>
      <c r="U276" s="216">
        <f>IF(AND('TRA CỨU TỔNG HỢP'!$B$3&lt;&gt;"",ISNUMBER(SEARCH('TRA CỨU TỔNG HỢP'!$B$3,T276))),MAX($U$3:U275)+1,"")</f>
        <v/>
      </c>
    </row>
    <row r="277" ht="15" customHeight="1" s="217">
      <c r="A277" s="379" t="inlineStr">
        <is>
          <t>HITACHI</t>
        </is>
      </c>
      <c r="B277" s="380" t="n"/>
      <c r="C277" s="379" t="inlineStr">
        <is>
          <t>Mitsubishi</t>
        </is>
      </c>
      <c r="D277" s="379" t="inlineStr">
        <is>
          <t>TD08</t>
        </is>
      </c>
      <c r="E277" s="379" t="inlineStr">
        <is>
          <t>6WG1</t>
        </is>
      </c>
      <c r="F277" s="381" t="inlineStr">
        <is>
          <t>1-87618329-0</t>
        </is>
      </c>
      <c r="G277" s="379" t="n"/>
      <c r="H277" s="382" t="n"/>
      <c r="I277" s="383" t="n"/>
      <c r="J277" s="383" t="n"/>
      <c r="K277" s="383" t="n"/>
      <c r="L277" s="383">
        <f>IF(K277="","",K277*1.1)</f>
        <v/>
      </c>
      <c r="M277" s="384" t="n"/>
      <c r="N277" s="384" t="n"/>
      <c r="O277" s="384" t="n"/>
      <c r="P277" s="384" t="n"/>
      <c r="Q277" s="384" t="n"/>
      <c r="R277" s="384" t="n"/>
      <c r="T277" s="216">
        <f>UPPER(A277&amp;" "&amp;B277&amp;" "&amp;D277&amp;" "&amp;E277&amp;" "&amp;F277&amp;" "&amp;G277&amp;" "&amp;H277)</f>
        <v/>
      </c>
      <c r="U277" s="216">
        <f>IF(AND('TRA CỨU TỔNG HỢP'!$B$3&lt;&gt;"",ISNUMBER(SEARCH('TRA CỨU TỔNG HỢP'!$B$3,T277))),MAX($U$3:U276)+1,"")</f>
        <v/>
      </c>
    </row>
    <row r="278" ht="15" customHeight="1" s="217">
      <c r="A278" s="354" t="inlineStr">
        <is>
          <t>HITACHI</t>
        </is>
      </c>
      <c r="B278" s="355" t="inlineStr">
        <is>
          <t>HH070608</t>
        </is>
      </c>
      <c r="C278" s="354" t="inlineStr">
        <is>
          <t>Garrett</t>
        </is>
      </c>
      <c r="D278" s="354" t="inlineStr">
        <is>
          <t>TA5108</t>
        </is>
      </c>
      <c r="E278" s="354" t="inlineStr">
        <is>
          <t>6RB1</t>
        </is>
      </c>
      <c r="F278" s="356" t="inlineStr">
        <is>
          <t>114400-2080/466860-0005</t>
        </is>
      </c>
      <c r="G278" s="354" t="n"/>
      <c r="H278" s="357" t="inlineStr">
        <is>
          <t>SL</t>
        </is>
      </c>
      <c r="I278" s="358" t="n"/>
      <c r="J278" s="358" t="n"/>
      <c r="K278" s="358" t="n"/>
      <c r="L278" s="358">
        <f>IF(K278="","",K278*1.1)</f>
        <v/>
      </c>
      <c r="M278" s="359" t="n">
        <v>91</v>
      </c>
      <c r="N278" s="359" t="n">
        <v>64.2</v>
      </c>
      <c r="O278" s="359" t="inlineStr">
        <is>
          <t>6/6</t>
        </is>
      </c>
      <c r="P278" s="359" t="n">
        <v>88.40000000000001</v>
      </c>
      <c r="Q278" s="359" t="n">
        <v>77.2</v>
      </c>
      <c r="R278" s="359" t="n">
        <v>11</v>
      </c>
      <c r="T278" s="216">
        <f>UPPER(A278&amp;" "&amp;B278&amp;" "&amp;D278&amp;" "&amp;E278&amp;" "&amp;F278&amp;" "&amp;G278&amp;" "&amp;H278)</f>
        <v/>
      </c>
      <c r="U278" s="216">
        <f>IF(AND('TRA CỨU TỔNG HỢP'!$B$3&lt;&gt;"",ISNUMBER(SEARCH('TRA CỨU TỔNG HỢP'!$B$3,T278))),MAX($U$3:U277)+1,"")</f>
        <v/>
      </c>
    </row>
    <row r="279" ht="15" customHeight="1" s="217">
      <c r="A279" s="379" t="inlineStr">
        <is>
          <t>HITACHI</t>
        </is>
      </c>
      <c r="B279" s="380" t="n"/>
      <c r="C279" s="379" t="inlineStr">
        <is>
          <t>IHI</t>
        </is>
      </c>
      <c r="D279" s="379" t="inlineStr">
        <is>
          <t>RHC7</t>
        </is>
      </c>
      <c r="E279" s="379" t="inlineStr">
        <is>
          <t>EP100</t>
        </is>
      </c>
      <c r="F279" s="381" t="inlineStr">
        <is>
          <t>24100-1440/VC250019/VA250019 
24100-1440B</t>
        </is>
      </c>
      <c r="G279" s="379" t="n"/>
      <c r="H279" s="382" t="n"/>
      <c r="I279" s="383" t="n"/>
      <c r="J279" s="383" t="n"/>
      <c r="K279" s="383" t="n"/>
      <c r="L279" s="383">
        <f>IF(K279="","",K279*1.1)</f>
        <v/>
      </c>
      <c r="M279" s="384" t="n">
        <v>77.59999999999999</v>
      </c>
      <c r="N279" s="384" t="n">
        <v>59</v>
      </c>
      <c r="O279" s="384" t="inlineStr">
        <is>
          <t>6/6</t>
        </is>
      </c>
      <c r="P279" s="384" t="n">
        <v>74</v>
      </c>
      <c r="Q279" s="384" t="n">
        <v>67</v>
      </c>
      <c r="R279" s="384" t="n">
        <v>11</v>
      </c>
      <c r="T279" s="346">
        <f>UPPER(A279&amp;" "&amp;B279&amp;" "&amp;D279&amp;" "&amp;E279&amp;" "&amp;F279&amp;" "&amp;G279&amp;" "&amp;H279)</f>
        <v/>
      </c>
      <c r="U279" s="216">
        <f>IF(AND('TRA CỨU TỔNG HỢP'!$B$3&lt;&gt;"",ISNUMBER(SEARCH('TRA CỨU TỔNG HỢP'!$B$3,T279))),MAX($U$3:U278)+1,"")</f>
        <v/>
      </c>
    </row>
    <row r="280" ht="19.5" customHeight="1" s="217">
      <c r="A280" s="378" t="inlineStr">
        <is>
          <t xml:space="preserve">  🏭  HOWO   ·   7 loại turbo</t>
        </is>
      </c>
      <c r="U280" s="216">
        <f>IF(AND('TRA CỨU TỔNG HỢP'!$B$3&lt;&gt;"",ISNUMBER(SEARCH('TRA CỨU TỔNG HỢP'!$B$3,T280))),MAX($U$3:U279)+1,"")</f>
        <v/>
      </c>
    </row>
    <row r="281" ht="15" customHeight="1" s="217">
      <c r="A281" s="354" t="inlineStr">
        <is>
          <t>HOWO</t>
        </is>
      </c>
      <c r="B281" s="355" t="inlineStr">
        <is>
          <t>HH080911</t>
        </is>
      </c>
      <c r="C281" s="354" t="inlineStr">
        <is>
          <t>Garrett</t>
        </is>
      </c>
      <c r="D281" s="354" t="inlineStr">
        <is>
          <t>GTA42</t>
        </is>
      </c>
      <c r="E281" s="354" t="inlineStr">
        <is>
          <t>WP12</t>
        </is>
      </c>
      <c r="F281" s="356" t="inlineStr">
        <is>
          <t>612630110597
800992-0003</t>
        </is>
      </c>
      <c r="G281" s="354" t="n"/>
      <c r="H281" s="357" t="inlineStr">
        <is>
          <t>VIDARIR</t>
        </is>
      </c>
      <c r="I281" s="358" t="n"/>
      <c r="J281" s="358" t="n"/>
      <c r="K281" s="358" t="n"/>
      <c r="L281" s="358">
        <f>IF(K281="","",K281*1.1)</f>
        <v/>
      </c>
      <c r="M281" s="359" t="n"/>
      <c r="N281" s="359" t="n"/>
      <c r="O281" s="359" t="n"/>
      <c r="P281" s="359" t="n"/>
      <c r="Q281" s="359" t="n"/>
      <c r="R281" s="359" t="n"/>
      <c r="T281" s="346">
        <f>UPPER(A281&amp;" "&amp;B281&amp;" "&amp;D281&amp;" "&amp;E281&amp;" "&amp;F281&amp;" "&amp;G281&amp;" "&amp;H281)</f>
        <v/>
      </c>
      <c r="U281" s="216">
        <f>IF(AND('TRA CỨU TỔNG HỢP'!$B$3&lt;&gt;"",ISNUMBER(SEARCH('TRA CỨU TỔNG HỢP'!$B$3,T281))),MAX($U$3:U280)+1,"")</f>
        <v/>
      </c>
    </row>
    <row r="282" ht="15" customHeight="1" s="217">
      <c r="A282" s="340" t="inlineStr">
        <is>
          <t>HOWO</t>
        </is>
      </c>
      <c r="B282" s="341" t="inlineStr">
        <is>
          <t>HH079181</t>
        </is>
      </c>
      <c r="C282" s="340" t="inlineStr">
        <is>
          <t>Holset</t>
        </is>
      </c>
      <c r="D282" s="340" t="inlineStr">
        <is>
          <t>HX50W</t>
        </is>
      </c>
      <c r="E282" s="340" t="inlineStr">
        <is>
          <t>WD615</t>
        </is>
      </c>
      <c r="F282" s="342" t="inlineStr">
        <is>
          <t>4051391
HG1540119037/HG1540119036/VG1095110097
VG1034110071/VG1034110061/VG1095110074
VG1095110073/VG1560118228/VG1560118229</t>
        </is>
      </c>
      <c r="G282" s="340" t="n"/>
      <c r="H282" s="343" t="inlineStr">
        <is>
          <t>SL</t>
        </is>
      </c>
      <c r="I282" s="344" t="n"/>
      <c r="J282" s="344" t="n"/>
      <c r="K282" s="344" t="n"/>
      <c r="L282" s="344">
        <f>IF(K282="","",K282*1.1)</f>
        <v/>
      </c>
      <c r="M282" s="345" t="n">
        <v>99</v>
      </c>
      <c r="N282" s="345" t="n">
        <v>63</v>
      </c>
      <c r="O282" s="345" t="inlineStr">
        <is>
          <t>7/7</t>
        </is>
      </c>
      <c r="P282" s="345" t="n">
        <v>86</v>
      </c>
      <c r="Q282" s="345" t="n">
        <v>72</v>
      </c>
      <c r="R282" s="345" t="n">
        <v>12</v>
      </c>
      <c r="T282" s="346">
        <f>UPPER(A282&amp;" "&amp;B282&amp;" "&amp;D282&amp;" "&amp;E282&amp;" "&amp;F282&amp;" "&amp;G282&amp;" "&amp;H282)</f>
        <v/>
      </c>
      <c r="U282" s="216">
        <f>IF(AND('TRA CỨU TỔNG HỢP'!$B$3&lt;&gt;"",ISNUMBER(SEARCH('TRA CỨU TỔNG HỢP'!$B$3,T282))),MAX($U$3:U281)+1,"")</f>
        <v/>
      </c>
    </row>
    <row r="283" ht="15" customHeight="1" s="217">
      <c r="A283" s="347" t="inlineStr">
        <is>
          <t>HOWO</t>
        </is>
      </c>
      <c r="B283" s="348" t="inlineStr">
        <is>
          <t>HH080321</t>
        </is>
      </c>
      <c r="C283" s="349" t="inlineStr">
        <is>
          <t>Holset</t>
        </is>
      </c>
      <c r="D283" s="349" t="inlineStr">
        <is>
          <t>HX50W</t>
        </is>
      </c>
      <c r="E283" s="349" t="inlineStr">
        <is>
          <t>WD615</t>
        </is>
      </c>
      <c r="F283" s="350" t="inlineStr">
        <is>
          <t>4051391
HG1540119037/HG1540119036/VG1095110097
VG1034110071/VG1034110061/VG1095110074
VG1095110073/VG1560118228/VG1560118229</t>
        </is>
      </c>
      <c r="G283" s="349" t="n"/>
      <c r="H283" s="351" t="inlineStr">
        <is>
          <t>SL</t>
        </is>
      </c>
      <c r="I283" s="352" t="n"/>
      <c r="J283" s="352" t="n"/>
      <c r="K283" s="352" t="n"/>
      <c r="L283" s="352">
        <f>IF(K283="","",K283*1.1)</f>
        <v/>
      </c>
      <c r="M283" s="353" t="n">
        <v>99</v>
      </c>
      <c r="N283" s="353" t="n">
        <v>63</v>
      </c>
      <c r="O283" s="353" t="inlineStr">
        <is>
          <t>7/7</t>
        </is>
      </c>
      <c r="P283" s="353" t="n">
        <v>86</v>
      </c>
      <c r="Q283" s="353" t="n">
        <v>72</v>
      </c>
      <c r="R283" s="353" t="n">
        <v>12</v>
      </c>
      <c r="T283" s="346">
        <f>UPPER(A283&amp;" "&amp;B283&amp;" "&amp;D283&amp;" "&amp;E283&amp;" "&amp;F283&amp;" "&amp;G283&amp;" "&amp;H283)</f>
        <v/>
      </c>
      <c r="U283" s="216">
        <f>IF(AND('TRA CỨU TỔNG HỢP'!$B$3&lt;&gt;"",ISNUMBER(SEARCH('TRA CỨU TỔNG HỢP'!$B$3,T283))),MAX($U$3:U282)+1,"")</f>
        <v/>
      </c>
    </row>
    <row r="284" ht="15" customHeight="1" s="217">
      <c r="A284" s="354" t="inlineStr">
        <is>
          <t>HOWO</t>
        </is>
      </c>
      <c r="B284" s="355" t="inlineStr">
        <is>
          <t>HH083044</t>
        </is>
      </c>
      <c r="C284" s="354" t="inlineStr">
        <is>
          <t>Garrett</t>
        </is>
      </c>
      <c r="D284" s="354" t="inlineStr">
        <is>
          <t>GT42/GT4288</t>
        </is>
      </c>
      <c r="E284" s="354" t="inlineStr">
        <is>
          <t>WD615</t>
        </is>
      </c>
      <c r="F284" s="356" t="inlineStr">
        <is>
          <t>723117-0004/723117-4
723117-5004S/61560116227
615600116227/434251-0071</t>
        </is>
      </c>
      <c r="G284" s="354" t="n"/>
      <c r="H284" s="357" t="inlineStr">
        <is>
          <t>SL</t>
        </is>
      </c>
      <c r="I284" s="358" t="n"/>
      <c r="J284" s="358" t="n"/>
      <c r="K284" s="358" t="n"/>
      <c r="L284" s="358">
        <f>IF(K284="","",K284*1.1)</f>
        <v/>
      </c>
      <c r="M284" s="359" t="n"/>
      <c r="N284" s="359" t="n"/>
      <c r="O284" s="359" t="n"/>
      <c r="P284" s="359" t="n"/>
      <c r="Q284" s="359" t="n"/>
      <c r="R284" s="359" t="n"/>
      <c r="T284" s="346">
        <f>UPPER(A284&amp;" "&amp;B284&amp;" "&amp;D284&amp;" "&amp;E284&amp;" "&amp;F284&amp;" "&amp;G284&amp;" "&amp;H284)</f>
        <v/>
      </c>
      <c r="U284" s="216">
        <f>IF(AND('TRA CỨU TỔNG HỢP'!$B$3&lt;&gt;"",ISNUMBER(SEARCH('TRA CỨU TỔNG HỢP'!$B$3,T284))),MAX($U$3:U283)+1,"")</f>
        <v/>
      </c>
    </row>
    <row r="285" ht="15" customHeight="1" s="217">
      <c r="A285" s="354" t="inlineStr">
        <is>
          <t>HOWO</t>
        </is>
      </c>
      <c r="B285" s="355" t="inlineStr">
        <is>
          <t>HH080919</t>
        </is>
      </c>
      <c r="C285" s="354" t="inlineStr">
        <is>
          <t>BorgWarner</t>
        </is>
      </c>
      <c r="D285" s="354" t="inlineStr">
        <is>
          <t>J90S-2C</t>
        </is>
      </c>
      <c r="E285" s="354" t="inlineStr">
        <is>
          <t>WD615/ WD10</t>
        </is>
      </c>
      <c r="F285" s="356" t="inlineStr">
        <is>
          <t>612601110973
61560113227</t>
        </is>
      </c>
      <c r="G285" s="354" t="n"/>
      <c r="H285" s="357" t="inlineStr">
        <is>
          <t>TBS</t>
        </is>
      </c>
      <c r="I285" s="358" t="n"/>
      <c r="J285" s="358" t="n"/>
      <c r="K285" s="358" t="n"/>
      <c r="L285" s="358">
        <f>IF(K285="","",K285*1.1)</f>
        <v/>
      </c>
      <c r="M285" s="359" t="n"/>
      <c r="N285" s="359" t="n"/>
      <c r="O285" s="359" t="n"/>
      <c r="P285" s="359" t="n"/>
      <c r="Q285" s="359" t="n"/>
      <c r="R285" s="359" t="n"/>
      <c r="T285" s="346">
        <f>UPPER(A285&amp;" "&amp;B285&amp;" "&amp;D285&amp;" "&amp;E285&amp;" "&amp;F285&amp;" "&amp;G285&amp;" "&amp;H285)</f>
        <v/>
      </c>
      <c r="U285" s="216">
        <f>IF(AND('TRA CỨU TỔNG HỢP'!$B$3&lt;&gt;"",ISNUMBER(SEARCH('TRA CỨU TỔNG HỢP'!$B$3,T285))),MAX($U$3:U284)+1,"")</f>
        <v/>
      </c>
    </row>
    <row r="286" ht="15" customHeight="1" s="217">
      <c r="A286" s="340" t="inlineStr">
        <is>
          <t>HOWO</t>
        </is>
      </c>
      <c r="B286" s="341" t="inlineStr">
        <is>
          <t>HH079180</t>
        </is>
      </c>
      <c r="C286" s="340" t="inlineStr">
        <is>
          <t>Holset</t>
        </is>
      </c>
      <c r="D286" s="340" t="inlineStr">
        <is>
          <t>HX50</t>
        </is>
      </c>
      <c r="E286" s="340" t="inlineStr">
        <is>
          <t>WD615</t>
        </is>
      </c>
      <c r="F286" s="342" t="inlineStr">
        <is>
          <t>4049426
VG1560118227</t>
        </is>
      </c>
      <c r="G286" s="340" t="n"/>
      <c r="H286" s="343" t="inlineStr">
        <is>
          <t>SL</t>
        </is>
      </c>
      <c r="I286" s="344" t="n"/>
      <c r="J286" s="344" t="n"/>
      <c r="K286" s="344" t="n"/>
      <c r="L286" s="344">
        <f>IF(K286="","",K286*1.1)</f>
        <v/>
      </c>
      <c r="M286" s="345" t="n">
        <v>99</v>
      </c>
      <c r="N286" s="345" t="n">
        <v>63</v>
      </c>
      <c r="O286" s="345" t="inlineStr">
        <is>
          <t>7/7</t>
        </is>
      </c>
      <c r="P286" s="345" t="n">
        <v>86</v>
      </c>
      <c r="Q286" s="345" t="n">
        <v>72</v>
      </c>
      <c r="R286" s="345" t="n">
        <v>12</v>
      </c>
      <c r="T286" s="346">
        <f>UPPER(A286&amp;" "&amp;B286&amp;" "&amp;D286&amp;" "&amp;E286&amp;" "&amp;F286&amp;" "&amp;G286&amp;" "&amp;H286)</f>
        <v/>
      </c>
      <c r="U286" s="216">
        <f>IF(AND('TRA CỨU TỔNG HỢP'!$B$3&lt;&gt;"",ISNUMBER(SEARCH('TRA CỨU TỔNG HỢP'!$B$3,T286))),MAX($U$3:U285)+1,"")</f>
        <v/>
      </c>
    </row>
    <row r="287" ht="15" customHeight="1" s="217">
      <c r="A287" s="347" t="inlineStr">
        <is>
          <t>HOWO</t>
        </is>
      </c>
      <c r="B287" s="348" t="inlineStr">
        <is>
          <t>HH080320</t>
        </is>
      </c>
      <c r="C287" s="349" t="inlineStr">
        <is>
          <t>Holset</t>
        </is>
      </c>
      <c r="D287" s="349" t="inlineStr">
        <is>
          <t>HX50</t>
        </is>
      </c>
      <c r="E287" s="349" t="inlineStr">
        <is>
          <t>WD615</t>
        </is>
      </c>
      <c r="F287" s="350" t="inlineStr">
        <is>
          <t>4049426
VG1560118227</t>
        </is>
      </c>
      <c r="G287" s="349" t="n"/>
      <c r="H287" s="351" t="inlineStr">
        <is>
          <t>SL</t>
        </is>
      </c>
      <c r="I287" s="352" t="n"/>
      <c r="J287" s="352" t="n"/>
      <c r="K287" s="352" t="n"/>
      <c r="L287" s="352">
        <f>IF(K287="","",K287*1.1)</f>
        <v/>
      </c>
      <c r="M287" s="353" t="n">
        <v>99</v>
      </c>
      <c r="N287" s="353" t="n">
        <v>63</v>
      </c>
      <c r="O287" s="353" t="inlineStr">
        <is>
          <t>7/7</t>
        </is>
      </c>
      <c r="P287" s="353" t="n">
        <v>86</v>
      </c>
      <c r="Q287" s="353" t="n">
        <v>72</v>
      </c>
      <c r="R287" s="353" t="n">
        <v>12</v>
      </c>
      <c r="T287" s="346">
        <f>UPPER(A287&amp;" "&amp;B287&amp;" "&amp;D287&amp;" "&amp;E287&amp;" "&amp;F287&amp;" "&amp;G287&amp;" "&amp;H287)</f>
        <v/>
      </c>
      <c r="U287" s="216">
        <f>IF(AND('TRA CỨU TỔNG HỢP'!$B$3&lt;&gt;"",ISNUMBER(SEARCH('TRA CỨU TỔNG HỢP'!$B$3,T287))),MAX($U$3:U286)+1,"")</f>
        <v/>
      </c>
    </row>
    <row r="288" ht="15" customHeight="1" s="217">
      <c r="A288" s="340" t="inlineStr">
        <is>
          <t>HOWO</t>
        </is>
      </c>
      <c r="B288" s="341" t="inlineStr">
        <is>
          <t>HH083689</t>
        </is>
      </c>
      <c r="C288" s="340" t="inlineStr">
        <is>
          <t>BorgWarner</t>
        </is>
      </c>
      <c r="D288" s="340" t="inlineStr">
        <is>
          <t>K29</t>
        </is>
      </c>
      <c r="E288" s="340" t="inlineStr">
        <is>
          <t>WD616</t>
        </is>
      </c>
      <c r="F288" s="342" t="inlineStr">
        <is>
          <t>612601111081</t>
        </is>
      </c>
      <c r="G288" s="340" t="n"/>
      <c r="H288" s="343" t="inlineStr">
        <is>
          <t>VIDARIR</t>
        </is>
      </c>
      <c r="I288" s="344" t="n"/>
      <c r="J288" s="344" t="n"/>
      <c r="K288" s="344" t="n"/>
      <c r="L288" s="344">
        <f>IF(K288="","",K288*1.1)</f>
        <v/>
      </c>
      <c r="M288" s="345" t="n"/>
      <c r="N288" s="345" t="n"/>
      <c r="O288" s="345" t="n"/>
      <c r="P288" s="345" t="n"/>
      <c r="Q288" s="345" t="n"/>
      <c r="R288" s="345" t="n"/>
      <c r="T288" s="216">
        <f>UPPER(A288&amp;" "&amp;B288&amp;" "&amp;D288&amp;" "&amp;E288&amp;" "&amp;F288&amp;" "&amp;G288&amp;" "&amp;H288)</f>
        <v/>
      </c>
      <c r="U288" s="216">
        <f>IF(AND('TRA CỨU TỔNG HỢP'!$B$3&lt;&gt;"",ISNUMBER(SEARCH('TRA CỨU TỔNG HỢP'!$B$3,T288))),MAX($U$3:U287)+1,"")</f>
        <v/>
      </c>
    </row>
    <row r="289" ht="15" customHeight="1" s="217">
      <c r="A289" s="347" t="inlineStr">
        <is>
          <t>HOWO</t>
        </is>
      </c>
      <c r="B289" s="348" t="inlineStr">
        <is>
          <t>HH00709</t>
        </is>
      </c>
      <c r="C289" s="349" t="inlineStr">
        <is>
          <t>BorgWarner</t>
        </is>
      </c>
      <c r="D289" s="349" t="inlineStr">
        <is>
          <t>K29</t>
        </is>
      </c>
      <c r="E289" s="349" t="inlineStr">
        <is>
          <t>WD616</t>
        </is>
      </c>
      <c r="F289" s="350" t="inlineStr">
        <is>
          <t>612601111081</t>
        </is>
      </c>
      <c r="G289" s="349" t="n"/>
      <c r="H289" s="351" t="inlineStr">
        <is>
          <t>MX</t>
        </is>
      </c>
      <c r="I289" s="352" t="n"/>
      <c r="J289" s="352" t="n"/>
      <c r="K289" s="352" t="n"/>
      <c r="L289" s="352">
        <f>IF(K289="","",K289*1.1)</f>
        <v/>
      </c>
      <c r="M289" s="353" t="n"/>
      <c r="N289" s="353" t="n"/>
      <c r="O289" s="353" t="n"/>
      <c r="P289" s="353" t="n"/>
      <c r="Q289" s="353" t="n"/>
      <c r="R289" s="353" t="n"/>
      <c r="T289" s="216">
        <f>UPPER(A289&amp;" "&amp;B289&amp;" "&amp;D289&amp;" "&amp;E289&amp;" "&amp;F289&amp;" "&amp;G289&amp;" "&amp;H289)</f>
        <v/>
      </c>
      <c r="U289" s="216">
        <f>IF(AND('TRA CỨU TỔNG HỢP'!$B$3&lt;&gt;"",ISNUMBER(SEARCH('TRA CỨU TỔNG HỢP'!$B$3,T289))),MAX($U$3:U288)+1,"")</f>
        <v/>
      </c>
    </row>
    <row r="290" ht="15" customHeight="1" s="217">
      <c r="A290" s="354" t="inlineStr">
        <is>
          <t>HOWO</t>
        </is>
      </c>
      <c r="B290" s="355" t="inlineStr">
        <is>
          <t>HH082658</t>
        </is>
      </c>
      <c r="C290" s="354" t="inlineStr">
        <is>
          <t>BorgWarner</t>
        </is>
      </c>
      <c r="D290" s="354" t="inlineStr">
        <is>
          <t>J80S</t>
        </is>
      </c>
      <c r="E290" s="354" t="inlineStr">
        <is>
          <t>WD615</t>
        </is>
      </c>
      <c r="F290" s="356" t="inlineStr">
        <is>
          <t>612601110433</t>
        </is>
      </c>
      <c r="G290" s="354" t="n"/>
      <c r="H290" s="357" t="inlineStr">
        <is>
          <t>MX</t>
        </is>
      </c>
      <c r="I290" s="358" t="n"/>
      <c r="J290" s="358" t="n"/>
      <c r="K290" s="358" t="n"/>
      <c r="L290" s="358">
        <f>IF(K290="","",K290*1.1)</f>
        <v/>
      </c>
      <c r="M290" s="359" t="n"/>
      <c r="N290" s="359" t="n"/>
      <c r="O290" s="359" t="n"/>
      <c r="P290" s="359" t="n"/>
      <c r="Q290" s="359" t="n"/>
      <c r="R290" s="359" t="n"/>
      <c r="T290" s="216">
        <f>UPPER(A290&amp;" "&amp;B290&amp;" "&amp;D290&amp;" "&amp;E290&amp;" "&amp;F290&amp;" "&amp;G290&amp;" "&amp;H290)</f>
        <v/>
      </c>
      <c r="U290" s="216">
        <f>IF(AND('TRA CỨU TỔNG HỢP'!$B$3&lt;&gt;"",ISNUMBER(SEARCH('TRA CỨU TỔNG HỢP'!$B$3,T290))),MAX($U$3:U289)+1,"")</f>
        <v/>
      </c>
    </row>
    <row r="291" ht="19.5" customHeight="1" s="217">
      <c r="A291" s="378" t="inlineStr">
        <is>
          <t xml:space="preserve">  🏭  HYUNDAI   ·   68 loại turbo</t>
        </is>
      </c>
      <c r="U291" s="216">
        <f>IF(AND('TRA CỨU TỔNG HỢP'!$B$3&lt;&gt;"",ISNUMBER(SEARCH('TRA CỨU TỔNG HỢP'!$B$3,T291))),MAX($U$3:U290)+1,"")</f>
        <v/>
      </c>
    </row>
    <row r="292" ht="15" customHeight="1" s="217">
      <c r="A292" s="354" t="inlineStr">
        <is>
          <t>HYUNDAI</t>
        </is>
      </c>
      <c r="B292" s="355" t="inlineStr">
        <is>
          <t>HH083396</t>
        </is>
      </c>
      <c r="C292" s="354" t="inlineStr">
        <is>
          <t>Garrett</t>
        </is>
      </c>
      <c r="D292" s="354" t="inlineStr">
        <is>
          <t>GTB1752VLK</t>
        </is>
      </c>
      <c r="E292" s="354" t="inlineStr">
        <is>
          <t>2.2 CRDI</t>
        </is>
      </c>
      <c r="F292" s="356" t="inlineStr">
        <is>
          <t>28231-2F100
780502-0001
282312F100</t>
        </is>
      </c>
      <c r="G292" s="354" t="n"/>
      <c r="H292" s="357" t="inlineStr">
        <is>
          <t>EE</t>
        </is>
      </c>
      <c r="I292" s="358" t="n"/>
      <c r="J292" s="358" t="n"/>
      <c r="K292" s="358" t="n"/>
      <c r="L292" s="358">
        <f>IF(K292="","",K292*1.1)</f>
        <v/>
      </c>
      <c r="M292" s="359" t="n">
        <v>52.4</v>
      </c>
      <c r="N292" s="359" t="n">
        <v>38.6</v>
      </c>
      <c r="O292" s="359" t="inlineStr">
        <is>
          <t>9</t>
        </is>
      </c>
      <c r="P292" s="359" t="n">
        <v>43</v>
      </c>
      <c r="Q292" s="359" t="n">
        <v>39.6</v>
      </c>
      <c r="R292" s="359" t="n">
        <v>9</v>
      </c>
      <c r="T292" s="346">
        <f>UPPER(A292&amp;" "&amp;B292&amp;" "&amp;D292&amp;" "&amp;E292&amp;" "&amp;F292&amp;" "&amp;G292&amp;" "&amp;H292)</f>
        <v/>
      </c>
      <c r="U292" s="216">
        <f>IF(AND('TRA CỨU TỔNG HỢP'!$B$3&lt;&gt;"",ISNUMBER(SEARCH('TRA CỨU TỔNG HỢP'!$B$3,T292))),MAX($U$3:U291)+1,"")</f>
        <v/>
      </c>
    </row>
    <row r="293" ht="15" customHeight="1" s="217">
      <c r="A293" s="340" t="inlineStr">
        <is>
          <t>HYUNDAI</t>
        </is>
      </c>
      <c r="B293" s="341" t="inlineStr">
        <is>
          <t>HH077665</t>
        </is>
      </c>
      <c r="C293" s="340" t="inlineStr">
        <is>
          <t>Mitsubishi</t>
        </is>
      </c>
      <c r="D293" s="340" t="inlineStr">
        <is>
          <t>TF035</t>
        </is>
      </c>
      <c r="E293" s="340" t="inlineStr">
        <is>
          <t>D4BH</t>
        </is>
      </c>
      <c r="F293" s="342" t="inlineStr">
        <is>
          <t>28200-42650
49135-04300</t>
        </is>
      </c>
      <c r="G293" s="340" t="n"/>
      <c r="H293" s="343" t="inlineStr">
        <is>
          <t>SL</t>
        </is>
      </c>
      <c r="I293" s="344" t="n"/>
      <c r="J293" s="344" t="n"/>
      <c r="K293" s="344" t="n"/>
      <c r="L293" s="344">
        <f>IF(K293="","",K293*1.1)</f>
        <v/>
      </c>
      <c r="M293" s="345" t="n">
        <v>49</v>
      </c>
      <c r="N293" s="345" t="n">
        <v>35.5</v>
      </c>
      <c r="O293" s="345" t="inlineStr">
        <is>
          <t>6/6</t>
        </is>
      </c>
      <c r="P293" s="345" t="n">
        <v>43.1</v>
      </c>
      <c r="Q293" s="345" t="n">
        <v>36</v>
      </c>
      <c r="R293" s="345" t="n">
        <v>11</v>
      </c>
      <c r="T293" s="346">
        <f>UPPER(A293&amp;" "&amp;B293&amp;" "&amp;D293&amp;" "&amp;E293&amp;" "&amp;F293&amp;" "&amp;G293&amp;" "&amp;H293)</f>
        <v/>
      </c>
      <c r="U293" s="216">
        <f>IF(AND('TRA CỨU TỔNG HỢP'!$B$3&lt;&gt;"",ISNUMBER(SEARCH('TRA CỨU TỔNG HỢP'!$B$3,T293))),MAX($U$3:U292)+1,"")</f>
        <v/>
      </c>
    </row>
    <row r="294" ht="15" customHeight="1" s="217">
      <c r="A294" s="347" t="inlineStr">
        <is>
          <t>HYUNDAI</t>
        </is>
      </c>
      <c r="B294" s="348" t="inlineStr">
        <is>
          <t>HH080021</t>
        </is>
      </c>
      <c r="C294" s="349" t="inlineStr">
        <is>
          <t>Mitsubishi</t>
        </is>
      </c>
      <c r="D294" s="349" t="inlineStr">
        <is>
          <t>TF035</t>
        </is>
      </c>
      <c r="E294" s="349" t="inlineStr">
        <is>
          <t>D4BH</t>
        </is>
      </c>
      <c r="F294" s="350" t="inlineStr">
        <is>
          <t>28200-42650
49135-04300</t>
        </is>
      </c>
      <c r="G294" s="349" t="n"/>
      <c r="H294" s="351" t="inlineStr">
        <is>
          <t>SL</t>
        </is>
      </c>
      <c r="I294" s="352" t="n"/>
      <c r="J294" s="352" t="n"/>
      <c r="K294" s="352" t="n"/>
      <c r="L294" s="352">
        <f>IF(K294="","",K294*1.1)</f>
        <v/>
      </c>
      <c r="M294" s="353" t="n">
        <v>49</v>
      </c>
      <c r="N294" s="353" t="n">
        <v>35.5</v>
      </c>
      <c r="O294" s="353" t="inlineStr">
        <is>
          <t>6/6</t>
        </is>
      </c>
      <c r="P294" s="353" t="n">
        <v>43.1</v>
      </c>
      <c r="Q294" s="353" t="n">
        <v>36</v>
      </c>
      <c r="R294" s="353" t="n">
        <v>11</v>
      </c>
      <c r="T294" s="346">
        <f>UPPER(A294&amp;" "&amp;B294&amp;" "&amp;D294&amp;" "&amp;E294&amp;" "&amp;F294&amp;" "&amp;G294&amp;" "&amp;H294)</f>
        <v/>
      </c>
      <c r="U294" s="216">
        <f>IF(AND('TRA CỨU TỔNG HỢP'!$B$3&lt;&gt;"",ISNUMBER(SEARCH('TRA CỨU TỔNG HỢP'!$B$3,T294))),MAX($U$3:U293)+1,"")</f>
        <v/>
      </c>
    </row>
    <row r="295" ht="15" customHeight="1" s="217">
      <c r="A295" s="354" t="inlineStr">
        <is>
          <t>HYUNDAI</t>
        </is>
      </c>
      <c r="B295" s="355" t="inlineStr">
        <is>
          <t>HH078720</t>
        </is>
      </c>
      <c r="C295" s="354" t="inlineStr">
        <is>
          <t>Garrett</t>
        </is>
      </c>
      <c r="D295" s="354" t="inlineStr">
        <is>
          <t>GT1749S</t>
        </is>
      </c>
      <c r="E295" s="354" t="inlineStr">
        <is>
          <t>D4BH</t>
        </is>
      </c>
      <c r="F295" s="356" t="inlineStr">
        <is>
          <t>28200-42600
715843-5001S
715843-1</t>
        </is>
      </c>
      <c r="G295" s="354" t="n"/>
      <c r="H295" s="357" t="inlineStr">
        <is>
          <t>VIDARIR</t>
        </is>
      </c>
      <c r="I295" s="358" t="n"/>
      <c r="J295" s="358" t="n"/>
      <c r="K295" s="358" t="n"/>
      <c r="L295" s="358">
        <f>IF(K295="","",K295*1.1)</f>
        <v/>
      </c>
      <c r="M295" s="359" t="n">
        <v>49</v>
      </c>
      <c r="N295" s="359" t="n">
        <v>34.6</v>
      </c>
      <c r="O295" s="359" t="inlineStr">
        <is>
          <t>6/6</t>
        </is>
      </c>
      <c r="P295" s="359" t="n">
        <v>44</v>
      </c>
      <c r="Q295" s="359" t="n">
        <v>37.3</v>
      </c>
      <c r="R295" s="359" t="inlineStr">
        <is>
          <t>12</t>
        </is>
      </c>
      <c r="T295" s="346">
        <f>UPPER(A295&amp;" "&amp;B295&amp;" "&amp;D295&amp;" "&amp;E295&amp;" "&amp;F295&amp;" "&amp;G295&amp;" "&amp;H295)</f>
        <v/>
      </c>
      <c r="U295" s="216">
        <f>IF(AND('TRA CỨU TỔNG HỢP'!$B$3&lt;&gt;"",ISNUMBER(SEARCH('TRA CỨU TỔNG HỢP'!$B$3,T295))),MAX($U$3:U294)+1,"")</f>
        <v/>
      </c>
    </row>
    <row r="296" ht="15" customHeight="1" s="217">
      <c r="A296" s="340" t="inlineStr">
        <is>
          <t>HYUNDAI</t>
        </is>
      </c>
      <c r="B296" s="341" t="inlineStr">
        <is>
          <t>HH079780</t>
        </is>
      </c>
      <c r="C296" s="340" t="inlineStr">
        <is>
          <t>Garrett</t>
        </is>
      </c>
      <c r="D296" s="340" t="inlineStr">
        <is>
          <t>GT1749S</t>
        </is>
      </c>
      <c r="E296" s="340" t="inlineStr">
        <is>
          <t>D4CB</t>
        </is>
      </c>
      <c r="F296" s="342" t="inlineStr">
        <is>
          <t>28200-42560
28200-4A200</t>
        </is>
      </c>
      <c r="G296" s="340" t="inlineStr">
        <is>
          <t>ruột dung chung</t>
        </is>
      </c>
      <c r="H296" s="343" t="inlineStr">
        <is>
          <t>SL</t>
        </is>
      </c>
      <c r="I296" s="344" t="n"/>
      <c r="J296" s="344" t="n"/>
      <c r="K296" s="344" t="n"/>
      <c r="L296" s="344">
        <f>IF(K296="","",K296*1.1)</f>
        <v/>
      </c>
      <c r="M296" s="345" t="n">
        <v>49</v>
      </c>
      <c r="N296" s="345" t="n">
        <v>36.3</v>
      </c>
      <c r="O296" s="345" t="inlineStr">
        <is>
          <t>6/6</t>
        </is>
      </c>
      <c r="P296" s="345" t="n">
        <v>44</v>
      </c>
      <c r="Q296" s="345" t="n">
        <v>37.3</v>
      </c>
      <c r="R296" s="345" t="inlineStr">
        <is>
          <t>12</t>
        </is>
      </c>
      <c r="T296" s="346">
        <f>UPPER(A296&amp;" "&amp;B296&amp;" "&amp;D296&amp;" "&amp;E296&amp;" "&amp;F296&amp;" "&amp;G296&amp;" "&amp;H296)</f>
        <v/>
      </c>
      <c r="U296" s="216">
        <f>IF(AND('TRA CỨU TỔNG HỢP'!$B$3&lt;&gt;"",ISNUMBER(SEARCH('TRA CỨU TỔNG HỢP'!$B$3,T296))),MAX($U$3:U295)+1,"")</f>
        <v/>
      </c>
    </row>
    <row r="297" ht="15" customHeight="1" s="217">
      <c r="A297" s="347" t="inlineStr">
        <is>
          <t>HYUNDAI</t>
        </is>
      </c>
      <c r="B297" s="348" t="inlineStr">
        <is>
          <t>HH080729</t>
        </is>
      </c>
      <c r="C297" s="349" t="inlineStr">
        <is>
          <t>Garrett</t>
        </is>
      </c>
      <c r="D297" s="349" t="inlineStr">
        <is>
          <t>GT1749S</t>
        </is>
      </c>
      <c r="E297" s="349" t="inlineStr">
        <is>
          <t>D4CB</t>
        </is>
      </c>
      <c r="F297" s="350" t="inlineStr">
        <is>
          <t>28200-42560
28200-4A200</t>
        </is>
      </c>
      <c r="G297" s="349" t="inlineStr">
        <is>
          <t>ruột dung chung</t>
        </is>
      </c>
      <c r="H297" s="351" t="inlineStr">
        <is>
          <t>SL</t>
        </is>
      </c>
      <c r="I297" s="352" t="n"/>
      <c r="J297" s="352" t="n"/>
      <c r="K297" s="352" t="n"/>
      <c r="L297" s="352">
        <f>IF(K297="","",K297*1.1)</f>
        <v/>
      </c>
      <c r="M297" s="353" t="n">
        <v>49</v>
      </c>
      <c r="N297" s="353" t="n">
        <v>36.3</v>
      </c>
      <c r="O297" s="353" t="inlineStr">
        <is>
          <t>6/6</t>
        </is>
      </c>
      <c r="P297" s="353" t="n">
        <v>44</v>
      </c>
      <c r="Q297" s="353" t="n">
        <v>37.3</v>
      </c>
      <c r="R297" s="353" t="inlineStr">
        <is>
          <t>12</t>
        </is>
      </c>
      <c r="T297" s="346">
        <f>UPPER(A297&amp;" "&amp;B297&amp;" "&amp;D297&amp;" "&amp;E297&amp;" "&amp;F297&amp;" "&amp;G297&amp;" "&amp;H297)</f>
        <v/>
      </c>
      <c r="U297" s="216">
        <f>IF(AND('TRA CỨU TỔNG HỢP'!$B$3&lt;&gt;"",ISNUMBER(SEARCH('TRA CỨU TỔNG HỢP'!$B$3,T297))),MAX($U$3:U296)+1,"")</f>
        <v/>
      </c>
    </row>
    <row r="298" ht="15" customHeight="1" s="217">
      <c r="A298" s="347" t="inlineStr">
        <is>
          <t>HYUNDAI</t>
        </is>
      </c>
      <c r="B298" s="348" t="inlineStr">
        <is>
          <t>HH074614</t>
        </is>
      </c>
      <c r="C298" s="349" t="inlineStr">
        <is>
          <t>Garrett</t>
        </is>
      </c>
      <c r="D298" s="349" t="inlineStr">
        <is>
          <t>GT1749S</t>
        </is>
      </c>
      <c r="E298" s="349" t="inlineStr">
        <is>
          <t>D4CB</t>
        </is>
      </c>
      <c r="F298" s="350" t="inlineStr">
        <is>
          <t>28200-42560
28200-4A200</t>
        </is>
      </c>
      <c r="G298" s="349" t="inlineStr">
        <is>
          <t>ruột dung chung</t>
        </is>
      </c>
      <c r="H298" s="351" t="inlineStr">
        <is>
          <t>SL</t>
        </is>
      </c>
      <c r="I298" s="352" t="n"/>
      <c r="J298" s="352" t="n"/>
      <c r="K298" s="352" t="n"/>
      <c r="L298" s="352">
        <f>IF(K298="","",K298*1.1)</f>
        <v/>
      </c>
      <c r="M298" s="353" t="n">
        <v>49</v>
      </c>
      <c r="N298" s="353" t="n">
        <v>36.3</v>
      </c>
      <c r="O298" s="353" t="inlineStr">
        <is>
          <t>6/6</t>
        </is>
      </c>
      <c r="P298" s="353" t="n">
        <v>44</v>
      </c>
      <c r="Q298" s="353" t="n">
        <v>37.3</v>
      </c>
      <c r="R298" s="353" t="inlineStr">
        <is>
          <t>12</t>
        </is>
      </c>
      <c r="T298" s="346">
        <f>UPPER(A298&amp;" "&amp;B298&amp;" "&amp;D298&amp;" "&amp;E298&amp;" "&amp;F298&amp;" "&amp;G298&amp;" "&amp;H298)</f>
        <v/>
      </c>
      <c r="U298" s="216">
        <f>IF(AND('TRA CỨU TỔNG HỢP'!$B$3&lt;&gt;"",ISNUMBER(SEARCH('TRA CỨU TỔNG HỢP'!$B$3,T298))),MAX($U$3:U297)+1,"")</f>
        <v/>
      </c>
    </row>
    <row r="299" ht="15" customHeight="1" s="217">
      <c r="A299" s="347" t="inlineStr">
        <is>
          <t>HYUNDAI</t>
        </is>
      </c>
      <c r="B299" s="348" t="inlineStr">
        <is>
          <t>HH079991</t>
        </is>
      </c>
      <c r="C299" s="349" t="inlineStr">
        <is>
          <t>Garrett</t>
        </is>
      </c>
      <c r="D299" s="349" t="inlineStr">
        <is>
          <t>GT1749S</t>
        </is>
      </c>
      <c r="E299" s="349" t="inlineStr">
        <is>
          <t>D4CB</t>
        </is>
      </c>
      <c r="F299" s="350" t="inlineStr">
        <is>
          <t>28200-42560
28200-4A200</t>
        </is>
      </c>
      <c r="G299" s="349" t="inlineStr">
        <is>
          <t>ruột dung chung</t>
        </is>
      </c>
      <c r="H299" s="351" t="inlineStr">
        <is>
          <t>SL</t>
        </is>
      </c>
      <c r="I299" s="352" t="n"/>
      <c r="J299" s="352" t="n"/>
      <c r="K299" s="352" t="n"/>
      <c r="L299" s="352">
        <f>IF(K299="","",K299*1.1)</f>
        <v/>
      </c>
      <c r="M299" s="353" t="n">
        <v>49</v>
      </c>
      <c r="N299" s="353" t="n">
        <v>36.3</v>
      </c>
      <c r="O299" s="353" t="inlineStr">
        <is>
          <t>6/6</t>
        </is>
      </c>
      <c r="P299" s="353" t="n">
        <v>44</v>
      </c>
      <c r="Q299" s="353" t="n">
        <v>37.3</v>
      </c>
      <c r="R299" s="353" t="inlineStr">
        <is>
          <t>12</t>
        </is>
      </c>
      <c r="T299" s="346">
        <f>UPPER(A299&amp;" "&amp;B299&amp;" "&amp;D299&amp;" "&amp;E299&amp;" "&amp;F299&amp;" "&amp;G299&amp;" "&amp;H299)</f>
        <v/>
      </c>
      <c r="U299" s="216">
        <f>IF(AND('TRA CỨU TỔNG HỢP'!$B$3&lt;&gt;"",ISNUMBER(SEARCH('TRA CỨU TỔNG HỢP'!$B$3,T299))),MAX($U$3:U298)+1,"")</f>
        <v/>
      </c>
    </row>
    <row r="300" ht="15" customHeight="1" s="217">
      <c r="A300" s="340" t="inlineStr">
        <is>
          <t>HYUNDAI</t>
        </is>
      </c>
      <c r="B300" s="341" t="inlineStr">
        <is>
          <t>HH078437</t>
        </is>
      </c>
      <c r="C300" s="340" t="inlineStr">
        <is>
          <t>Mitsubishi</t>
        </is>
      </c>
      <c r="D300" s="340" t="inlineStr">
        <is>
          <t>TF08L-28M</t>
        </is>
      </c>
      <c r="E300" s="340" t="inlineStr">
        <is>
          <t>D6CB/ D6CC</t>
        </is>
      </c>
      <c r="F300" s="342" t="inlineStr">
        <is>
          <t>28200-84601</t>
        </is>
      </c>
      <c r="G300" s="340" t="inlineStr">
        <is>
          <t>nhìn cổ gió xoay xíu dùng chung</t>
        </is>
      </c>
      <c r="H300" s="343" t="inlineStr">
        <is>
          <t>VIDARIR</t>
        </is>
      </c>
      <c r="I300" s="344" t="n"/>
      <c r="J300" s="344" t="n"/>
      <c r="K300" s="344" t="n"/>
      <c r="L300" s="344">
        <f>IF(K300="","",K300*1.1)</f>
        <v/>
      </c>
      <c r="M300" s="345" t="n"/>
      <c r="N300" s="345" t="n"/>
      <c r="O300" s="345" t="n"/>
      <c r="P300" s="345" t="n"/>
      <c r="Q300" s="345" t="n"/>
      <c r="R300" s="345" t="n"/>
      <c r="T300" s="216">
        <f>UPPER(A300&amp;" "&amp;B300&amp;" "&amp;D300&amp;" "&amp;E300&amp;" "&amp;F300&amp;" "&amp;G300&amp;" "&amp;H300)</f>
        <v/>
      </c>
      <c r="U300" s="216">
        <f>IF(AND('TRA CỨU TỔNG HỢP'!$B$3&lt;&gt;"",ISNUMBER(SEARCH('TRA CỨU TỔNG HỢP'!$B$3,T300))),MAX($U$3:U299)+1,"")</f>
        <v/>
      </c>
    </row>
    <row r="301" ht="15" customHeight="1" s="217">
      <c r="A301" s="347" t="inlineStr">
        <is>
          <t>HYUNDAI</t>
        </is>
      </c>
      <c r="B301" s="348" t="inlineStr">
        <is>
          <t>HH080915</t>
        </is>
      </c>
      <c r="C301" s="349" t="inlineStr">
        <is>
          <t>Mitsubishi</t>
        </is>
      </c>
      <c r="D301" s="349" t="inlineStr">
        <is>
          <t>TF08L-28M</t>
        </is>
      </c>
      <c r="E301" s="349" t="inlineStr">
        <is>
          <t>D6CB/ D6CC</t>
        </is>
      </c>
      <c r="F301" s="350" t="inlineStr">
        <is>
          <t>28200-84601</t>
        </is>
      </c>
      <c r="G301" s="349" t="inlineStr">
        <is>
          <t>nhìn cổ gió xoay xíu dùng chung</t>
        </is>
      </c>
      <c r="H301" s="351" t="inlineStr">
        <is>
          <t>VIDARIR</t>
        </is>
      </c>
      <c r="I301" s="352" t="n"/>
      <c r="J301" s="352" t="n"/>
      <c r="K301" s="352" t="n"/>
      <c r="L301" s="352">
        <f>IF(K301="","",K301*1.1)</f>
        <v/>
      </c>
      <c r="M301" s="353" t="n"/>
      <c r="N301" s="353" t="n"/>
      <c r="O301" s="353" t="n"/>
      <c r="P301" s="353" t="n"/>
      <c r="Q301" s="353" t="n"/>
      <c r="R301" s="353" t="n"/>
      <c r="T301" s="216">
        <f>UPPER(A301&amp;" "&amp;B301&amp;" "&amp;D301&amp;" "&amp;E301&amp;" "&amp;F301&amp;" "&amp;G301&amp;" "&amp;H301)</f>
        <v/>
      </c>
      <c r="U301" s="216">
        <f>IF(AND('TRA CỨU TỔNG HỢP'!$B$3&lt;&gt;"",ISNUMBER(SEARCH('TRA CỨU TỔNG HỢP'!$B$3,T301))),MAX($U$3:U300)+1,"")</f>
        <v/>
      </c>
    </row>
    <row r="302" ht="15" customHeight="1" s="217">
      <c r="A302" s="354" t="inlineStr">
        <is>
          <t>HYUNDAI</t>
        </is>
      </c>
      <c r="B302" s="355" t="inlineStr">
        <is>
          <t>HH078438</t>
        </is>
      </c>
      <c r="C302" s="354" t="inlineStr">
        <is>
          <t>Mitsubishi</t>
        </is>
      </c>
      <c r="D302" s="354" t="inlineStr">
        <is>
          <t>TF08L-28M</t>
        </is>
      </c>
      <c r="E302" s="354" t="inlineStr">
        <is>
          <t>D6CB/ D6CA</t>
        </is>
      </c>
      <c r="F302" s="356" t="inlineStr">
        <is>
          <t>28200-84401
49134-00230</t>
        </is>
      </c>
      <c r="G302" s="354" t="n"/>
      <c r="H302" s="357" t="inlineStr">
        <is>
          <t>VIDARIR</t>
        </is>
      </c>
      <c r="I302" s="358" t="n"/>
      <c r="J302" s="358" t="n"/>
      <c r="K302" s="358" t="n"/>
      <c r="L302" s="358">
        <f>IF(K302="","",K302*1.1)</f>
        <v/>
      </c>
      <c r="M302" s="359" t="n"/>
      <c r="N302" s="359" t="n"/>
      <c r="O302" s="359" t="n"/>
      <c r="P302" s="359" t="n"/>
      <c r="Q302" s="359" t="n"/>
      <c r="R302" s="359" t="n"/>
      <c r="T302" s="346">
        <f>UPPER(A302&amp;" "&amp;B302&amp;" "&amp;D302&amp;" "&amp;E302&amp;" "&amp;F302&amp;" "&amp;G302&amp;" "&amp;H302)</f>
        <v/>
      </c>
      <c r="U302" s="216">
        <f>IF(AND('TRA CỨU TỔNG HỢP'!$B$3&lt;&gt;"",ISNUMBER(SEARCH('TRA CỨU TỔNG HỢP'!$B$3,T302))),MAX($U$3:U301)+1,"")</f>
        <v/>
      </c>
    </row>
    <row r="303" ht="15" customHeight="1" s="217">
      <c r="A303" s="354" t="inlineStr">
        <is>
          <t>HYUNDAI</t>
        </is>
      </c>
      <c r="B303" s="355" t="inlineStr">
        <is>
          <t>HH083649</t>
        </is>
      </c>
      <c r="C303" s="354" t="inlineStr">
        <is>
          <t>Garrett</t>
        </is>
      </c>
      <c r="D303" s="354" t="inlineStr">
        <is>
          <t>D6CD</t>
        </is>
      </c>
      <c r="E303" s="354" t="n"/>
      <c r="F303" s="356" t="inlineStr">
        <is>
          <t>28200-84713</t>
        </is>
      </c>
      <c r="G303" s="354" t="n"/>
      <c r="H303" s="357" t="inlineStr">
        <is>
          <t>SL</t>
        </is>
      </c>
      <c r="I303" s="358" t="n"/>
      <c r="J303" s="358" t="n"/>
      <c r="K303" s="358" t="n"/>
      <c r="L303" s="358">
        <f>IF(K303="","",K303*1.1)</f>
        <v/>
      </c>
      <c r="M303" s="359" t="n">
        <v>88.3</v>
      </c>
      <c r="N303" s="359" t="n">
        <v>61</v>
      </c>
      <c r="O303" s="359" t="inlineStr">
        <is>
          <t>7/7</t>
        </is>
      </c>
      <c r="P303" s="359" t="n">
        <v>73.2</v>
      </c>
      <c r="Q303" s="359" t="n">
        <v>68.40000000000001</v>
      </c>
      <c r="R303" s="359" t="n">
        <v>10</v>
      </c>
      <c r="T303" s="216">
        <f>UPPER(A303&amp;" "&amp;B303&amp;" "&amp;D303&amp;" "&amp;E303&amp;" "&amp;F303&amp;" "&amp;G303&amp;" "&amp;H303)</f>
        <v/>
      </c>
      <c r="U303" s="216">
        <f>IF(AND('TRA CỨU TỔNG HỢP'!$B$3&lt;&gt;"",ISNUMBER(SEARCH('TRA CỨU TỔNG HỢP'!$B$3,T303))),MAX($U$3:U302)+1,"")</f>
        <v/>
      </c>
    </row>
    <row r="304" ht="15" customHeight="1" s="217">
      <c r="A304" s="367" t="inlineStr">
        <is>
          <t>HYUNDAI</t>
        </is>
      </c>
      <c r="B304" s="368" t="n"/>
      <c r="C304" s="367" t="inlineStr">
        <is>
          <t>Mitsubishi</t>
        </is>
      </c>
      <c r="D304" s="367" t="inlineStr">
        <is>
          <t>TD08F</t>
        </is>
      </c>
      <c r="E304" s="367" t="inlineStr">
        <is>
          <t>D6CC</t>
        </is>
      </c>
      <c r="F304" s="369" t="inlineStr">
        <is>
          <t>28200-84801
28210-52302)
(mã trên thùng</t>
        </is>
      </c>
      <c r="G304" s="367" t="n"/>
      <c r="H304" s="370" t="n"/>
      <c r="I304" s="371" t="n"/>
      <c r="J304" s="371" t="n"/>
      <c r="K304" s="371" t="n"/>
      <c r="L304" s="371">
        <f>IF(K304="","",K304*1.1)</f>
        <v/>
      </c>
      <c r="M304" s="372" t="n"/>
      <c r="N304" s="372" t="n"/>
      <c r="O304" s="372" t="n"/>
      <c r="P304" s="372" t="n"/>
      <c r="Q304" s="372" t="n"/>
      <c r="R304" s="372" t="n"/>
      <c r="T304" s="346">
        <f>UPPER(A304&amp;" "&amp;B304&amp;" "&amp;D304&amp;" "&amp;E304&amp;" "&amp;F304&amp;" "&amp;G304&amp;" "&amp;H304)</f>
        <v/>
      </c>
      <c r="U304" s="216">
        <f>IF(AND('TRA CỨU TỔNG HỢP'!$B$3&lt;&gt;"",ISNUMBER(SEARCH('TRA CỨU TỔNG HỢP'!$B$3,T304))),MAX($U$3:U303)+1,"")</f>
        <v/>
      </c>
    </row>
    <row r="305" ht="15" customHeight="1" s="217">
      <c r="A305" s="354" t="inlineStr">
        <is>
          <t>HYUNDAI</t>
        </is>
      </c>
      <c r="B305" s="355" t="inlineStr">
        <is>
          <t>HH080022</t>
        </is>
      </c>
      <c r="C305" s="354" t="inlineStr">
        <is>
          <t>Mitsubishi</t>
        </is>
      </c>
      <c r="D305" s="354" t="inlineStr">
        <is>
          <t>TF08L</t>
        </is>
      </c>
      <c r="E305" s="354" t="n"/>
      <c r="F305" s="356" t="inlineStr">
        <is>
          <t>28200-85000
49134-00414</t>
        </is>
      </c>
      <c r="G305" s="354" t="n"/>
      <c r="H305" s="357" t="inlineStr">
        <is>
          <t>SL</t>
        </is>
      </c>
      <c r="I305" s="358" t="n"/>
      <c r="J305" s="358" t="n"/>
      <c r="K305" s="358" t="n"/>
      <c r="L305" s="358">
        <f>IF(K305="","",K305*1.1)</f>
        <v/>
      </c>
      <c r="M305" s="359" t="n">
        <v>92</v>
      </c>
      <c r="N305" s="359" t="n">
        <v>61.5</v>
      </c>
      <c r="O305" s="359" t="inlineStr">
        <is>
          <t>7/7</t>
        </is>
      </c>
      <c r="P305" s="359" t="n">
        <v>84.8</v>
      </c>
      <c r="Q305" s="359" t="n">
        <v>74.59999999999999</v>
      </c>
      <c r="R305" s="359" t="n">
        <v>12</v>
      </c>
      <c r="T305" s="346">
        <f>UPPER(A305&amp;" "&amp;B305&amp;" "&amp;D305&amp;" "&amp;E305&amp;" "&amp;F305&amp;" "&amp;G305&amp;" "&amp;H305)</f>
        <v/>
      </c>
      <c r="U305" s="216">
        <f>IF(AND('TRA CỨU TỔNG HỢP'!$B$3&lt;&gt;"",ISNUMBER(SEARCH('TRA CỨU TỔNG HỢP'!$B$3,T305))),MAX($U$3:U304)+1,"")</f>
        <v/>
      </c>
    </row>
    <row r="306" ht="15" customHeight="1" s="217">
      <c r="A306" s="340" t="inlineStr">
        <is>
          <t>HYUNDAI</t>
        </is>
      </c>
      <c r="B306" s="341" t="inlineStr">
        <is>
          <t>HH01037</t>
        </is>
      </c>
      <c r="C306" s="340" t="inlineStr">
        <is>
          <t>Garrett</t>
        </is>
      </c>
      <c r="D306" s="340" t="inlineStr">
        <is>
          <t>GTD1749</t>
        </is>
      </c>
      <c r="E306" s="340" t="inlineStr">
        <is>
          <t>D4CC</t>
        </is>
      </c>
      <c r="F306" s="342" t="inlineStr">
        <is>
          <t>28211-4C001
835406-0012</t>
        </is>
      </c>
      <c r="G306" s="340" t="n"/>
      <c r="H306" s="343" t="inlineStr">
        <is>
          <t>SL</t>
        </is>
      </c>
      <c r="I306" s="344" t="n"/>
      <c r="J306" s="344" t="n"/>
      <c r="K306" s="344" t="n"/>
      <c r="L306" s="344">
        <f>IF(K306="","",K306*1.1)</f>
        <v/>
      </c>
      <c r="M306" s="345" t="n"/>
      <c r="N306" s="345" t="n"/>
      <c r="O306" s="345" t="n"/>
      <c r="P306" s="345" t="n"/>
      <c r="Q306" s="345" t="n"/>
      <c r="R306" s="345" t="n"/>
      <c r="T306" s="346">
        <f>UPPER(A306&amp;" "&amp;B306&amp;" "&amp;D306&amp;" "&amp;E306&amp;" "&amp;F306&amp;" "&amp;G306&amp;" "&amp;H306)</f>
        <v/>
      </c>
      <c r="U306" s="216">
        <f>IF(AND('TRA CỨU TỔNG HỢP'!$B$3&lt;&gt;"",ISNUMBER(SEARCH('TRA CỨU TỔNG HỢP'!$B$3,T306))),MAX($U$3:U305)+1,"")</f>
        <v/>
      </c>
    </row>
    <row r="307" ht="15" customHeight="1" s="217">
      <c r="A307" s="347" t="inlineStr">
        <is>
          <t>HYUNDAI</t>
        </is>
      </c>
      <c r="B307" s="348" t="inlineStr">
        <is>
          <t>HH083510</t>
        </is>
      </c>
      <c r="C307" s="349" t="inlineStr">
        <is>
          <t>Garrett</t>
        </is>
      </c>
      <c r="D307" s="349" t="inlineStr">
        <is>
          <t>GTD1749</t>
        </is>
      </c>
      <c r="E307" s="349" t="inlineStr">
        <is>
          <t>D4CC</t>
        </is>
      </c>
      <c r="F307" s="350" t="inlineStr">
        <is>
          <t>28211-4C001
835406-0012</t>
        </is>
      </c>
      <c r="G307" s="349" t="n"/>
      <c r="H307" s="351" t="inlineStr">
        <is>
          <t>SL</t>
        </is>
      </c>
      <c r="I307" s="352" t="n"/>
      <c r="J307" s="352" t="n"/>
      <c r="K307" s="352" t="n"/>
      <c r="L307" s="352">
        <f>IF(K307="","",K307*1.1)</f>
        <v/>
      </c>
      <c r="M307" s="353" t="n"/>
      <c r="N307" s="353" t="n"/>
      <c r="O307" s="353" t="n"/>
      <c r="P307" s="353" t="n"/>
      <c r="Q307" s="353" t="n"/>
      <c r="R307" s="353" t="n"/>
      <c r="T307" s="346">
        <f>UPPER(A307&amp;" "&amp;B307&amp;" "&amp;D307&amp;" "&amp;E307&amp;" "&amp;F307&amp;" "&amp;G307&amp;" "&amp;H307)</f>
        <v/>
      </c>
      <c r="U307" s="216">
        <f>IF(AND('TRA CỨU TỔNG HỢP'!$B$3&lt;&gt;"",ISNUMBER(SEARCH('TRA CỨU TỔNG HỢP'!$B$3,T307))),MAX($U$3:U306)+1,"")</f>
        <v/>
      </c>
    </row>
    <row r="308" ht="15" customHeight="1" s="217">
      <c r="A308" s="347" t="inlineStr">
        <is>
          <t>HYUNDAI</t>
        </is>
      </c>
      <c r="B308" s="348" t="inlineStr">
        <is>
          <t>HH083650</t>
        </is>
      </c>
      <c r="C308" s="349" t="inlineStr">
        <is>
          <t>Garrett</t>
        </is>
      </c>
      <c r="D308" s="349" t="inlineStr">
        <is>
          <t>GTD1749</t>
        </is>
      </c>
      <c r="E308" s="349" t="inlineStr">
        <is>
          <t>D4CC</t>
        </is>
      </c>
      <c r="F308" s="350" t="inlineStr">
        <is>
          <t>28211-4C001
835406-0012</t>
        </is>
      </c>
      <c r="G308" s="349" t="n"/>
      <c r="H308" s="351" t="inlineStr">
        <is>
          <t>SL</t>
        </is>
      </c>
      <c r="I308" s="352" t="n"/>
      <c r="J308" s="352" t="n"/>
      <c r="K308" s="352" t="n"/>
      <c r="L308" s="352">
        <f>IF(K308="","",K308*1.1)</f>
        <v/>
      </c>
      <c r="M308" s="353" t="n"/>
      <c r="N308" s="353" t="n"/>
      <c r="O308" s="353" t="n"/>
      <c r="P308" s="353" t="n"/>
      <c r="Q308" s="353" t="n"/>
      <c r="R308" s="353" t="n"/>
      <c r="T308" s="346">
        <f>UPPER(A308&amp;" "&amp;B308&amp;" "&amp;D308&amp;" "&amp;E308&amp;" "&amp;F308&amp;" "&amp;G308&amp;" "&amp;H308)</f>
        <v/>
      </c>
      <c r="U308" s="216">
        <f>IF(AND('TRA CỨU TỔNG HỢP'!$B$3&lt;&gt;"",ISNUMBER(SEARCH('TRA CỨU TỔNG HỢP'!$B$3,T308))),MAX($U$3:U307)+1,"")</f>
        <v/>
      </c>
    </row>
    <row r="309" ht="15" customHeight="1" s="217">
      <c r="A309" s="347" t="inlineStr">
        <is>
          <t>HYUNDAI</t>
        </is>
      </c>
      <c r="B309" s="348" t="inlineStr">
        <is>
          <t>HH082148</t>
        </is>
      </c>
      <c r="C309" s="349" t="inlineStr">
        <is>
          <t>Garrett</t>
        </is>
      </c>
      <c r="D309" s="349" t="inlineStr">
        <is>
          <t>GTD1749</t>
        </is>
      </c>
      <c r="E309" s="349" t="inlineStr">
        <is>
          <t>D4CC</t>
        </is>
      </c>
      <c r="F309" s="350" t="inlineStr">
        <is>
          <t>28211-4C001
835406-0012</t>
        </is>
      </c>
      <c r="G309" s="349" t="n"/>
      <c r="H309" s="351" t="inlineStr">
        <is>
          <t>FIRE</t>
        </is>
      </c>
      <c r="I309" s="352" t="n"/>
      <c r="J309" s="352" t="n"/>
      <c r="K309" s="352" t="n"/>
      <c r="L309" s="352">
        <f>IF(K309="","",K309*1.1)</f>
        <v/>
      </c>
      <c r="M309" s="353" t="n"/>
      <c r="N309" s="353" t="n"/>
      <c r="O309" s="353" t="n"/>
      <c r="P309" s="353" t="n"/>
      <c r="Q309" s="353" t="n"/>
      <c r="R309" s="353" t="n"/>
      <c r="T309" s="346">
        <f>UPPER(A309&amp;" "&amp;B309&amp;" "&amp;D309&amp;" "&amp;E309&amp;" "&amp;F309&amp;" "&amp;G309&amp;" "&amp;H309)</f>
        <v/>
      </c>
      <c r="U309" s="216">
        <f>IF(AND('TRA CỨU TỔNG HỢP'!$B$3&lt;&gt;"",ISNUMBER(SEARCH('TRA CỨU TỔNG HỢP'!$B$3,T309))),MAX($U$3:U308)+1,"")</f>
        <v/>
      </c>
    </row>
    <row r="310" ht="15" customHeight="1" s="217">
      <c r="A310" s="347" t="inlineStr">
        <is>
          <t>HYUNDAI</t>
        </is>
      </c>
      <c r="B310" s="348" t="inlineStr">
        <is>
          <t>HH083836</t>
        </is>
      </c>
      <c r="C310" s="349" t="inlineStr">
        <is>
          <t>Garrett</t>
        </is>
      </c>
      <c r="D310" s="349" t="inlineStr">
        <is>
          <t>GTD1749</t>
        </is>
      </c>
      <c r="E310" s="349" t="inlineStr">
        <is>
          <t>D4CC</t>
        </is>
      </c>
      <c r="F310" s="350" t="inlineStr">
        <is>
          <t>28211-4C001
835406-0012</t>
        </is>
      </c>
      <c r="G310" s="349" t="n"/>
      <c r="H310" s="351" t="inlineStr">
        <is>
          <t>EE</t>
        </is>
      </c>
      <c r="I310" s="352" t="n"/>
      <c r="J310" s="352" t="n"/>
      <c r="K310" s="352" t="n"/>
      <c r="L310" s="352">
        <f>IF(K310="","",K310*1.1)</f>
        <v/>
      </c>
      <c r="M310" s="353" t="n"/>
      <c r="N310" s="353" t="n"/>
      <c r="O310" s="353" t="n"/>
      <c r="P310" s="353" t="n"/>
      <c r="Q310" s="353" t="n"/>
      <c r="R310" s="353" t="n"/>
      <c r="T310" s="346">
        <f>UPPER(A310&amp;" "&amp;B310&amp;" "&amp;D310&amp;" "&amp;E310&amp;" "&amp;F310&amp;" "&amp;G310&amp;" "&amp;H310)</f>
        <v/>
      </c>
      <c r="U310" s="216">
        <f>IF(AND('TRA CỨU TỔNG HỢP'!$B$3&lt;&gt;"",ISNUMBER(SEARCH('TRA CỨU TỔNG HỢP'!$B$3,T310))),MAX($U$3:U309)+1,"")</f>
        <v/>
      </c>
    </row>
    <row r="311" ht="15" customHeight="1" s="217">
      <c r="A311" s="340" t="inlineStr">
        <is>
          <t>HYUNDAI</t>
        </is>
      </c>
      <c r="B311" s="341" t="inlineStr">
        <is>
          <t>HH0367</t>
        </is>
      </c>
      <c r="C311" s="340" t="inlineStr">
        <is>
          <t>Mitsubishi</t>
        </is>
      </c>
      <c r="D311" s="340" t="inlineStr">
        <is>
          <t>TE06H-20</t>
        </is>
      </c>
      <c r="E311" s="340" t="inlineStr">
        <is>
          <t>D6GA</t>
        </is>
      </c>
      <c r="F311" s="342" t="inlineStr">
        <is>
          <t>28210-52003
2821052003/49185-04601
28210-52000/49185-04606</t>
        </is>
      </c>
      <c r="G311" s="340" t="n"/>
      <c r="H311" s="343" t="inlineStr">
        <is>
          <t>FIRE</t>
        </is>
      </c>
      <c r="I311" s="344" t="n"/>
      <c r="J311" s="344" t="n"/>
      <c r="K311" s="344" t="n"/>
      <c r="L311" s="344">
        <f>IF(K311="","",K311*1.1)</f>
        <v/>
      </c>
      <c r="M311" s="345" t="n">
        <v>78</v>
      </c>
      <c r="N311" s="345" t="n">
        <v>51.4</v>
      </c>
      <c r="O311" s="345" t="inlineStr">
        <is>
          <t>7/7</t>
        </is>
      </c>
      <c r="P311" s="345" t="n">
        <v>67</v>
      </c>
      <c r="Q311" s="345" t="n">
        <v>58.8</v>
      </c>
      <c r="R311" s="345" t="n">
        <v>11</v>
      </c>
      <c r="T311" s="346">
        <f>UPPER(A311&amp;" "&amp;B311&amp;" "&amp;D311&amp;" "&amp;E311&amp;" "&amp;F311&amp;" "&amp;G311&amp;" "&amp;H311)</f>
        <v/>
      </c>
      <c r="U311" s="216">
        <f>IF(AND('TRA CỨU TỔNG HỢP'!$B$3&lt;&gt;"",ISNUMBER(SEARCH('TRA CỨU TỔNG HỢP'!$B$3,T311))),MAX($U$3:U310)+1,"")</f>
        <v/>
      </c>
    </row>
    <row r="312" ht="15" customHeight="1" s="217">
      <c r="A312" s="347" t="inlineStr">
        <is>
          <t>HYUNDAI</t>
        </is>
      </c>
      <c r="B312" s="348" t="inlineStr">
        <is>
          <t>HH077025</t>
        </is>
      </c>
      <c r="C312" s="349" t="inlineStr">
        <is>
          <t>Mitsubishi</t>
        </is>
      </c>
      <c r="D312" s="349" t="inlineStr">
        <is>
          <t>TE06H-20</t>
        </is>
      </c>
      <c r="E312" s="349" t="inlineStr">
        <is>
          <t>D6GA</t>
        </is>
      </c>
      <c r="F312" s="350" t="inlineStr">
        <is>
          <t>28210-52003
2821052003/49185-04601
28210-52000/49185-04606</t>
        </is>
      </c>
      <c r="G312" s="349" t="n"/>
      <c r="H312" s="351" t="inlineStr">
        <is>
          <t>SL</t>
        </is>
      </c>
      <c r="I312" s="352" t="n"/>
      <c r="J312" s="352" t="n"/>
      <c r="K312" s="352" t="n"/>
      <c r="L312" s="352">
        <f>IF(K312="","",K312*1.1)</f>
        <v/>
      </c>
      <c r="M312" s="353" t="n">
        <v>78</v>
      </c>
      <c r="N312" s="353" t="n">
        <v>51.4</v>
      </c>
      <c r="O312" s="353" t="inlineStr">
        <is>
          <t>7/7</t>
        </is>
      </c>
      <c r="P312" s="353" t="n">
        <v>67</v>
      </c>
      <c r="Q312" s="353" t="n">
        <v>58.8</v>
      </c>
      <c r="R312" s="353" t="n">
        <v>11</v>
      </c>
      <c r="T312" s="346">
        <f>UPPER(A312&amp;" "&amp;B312&amp;" "&amp;D312&amp;" "&amp;E312&amp;" "&amp;F312&amp;" "&amp;G312&amp;" "&amp;H312)</f>
        <v/>
      </c>
      <c r="U312" s="216">
        <f>IF(AND('TRA CỨU TỔNG HỢP'!$B$3&lt;&gt;"",ISNUMBER(SEARCH('TRA CỨU TỔNG HỢP'!$B$3,T312))),MAX($U$3:U311)+1,"")</f>
        <v/>
      </c>
    </row>
    <row r="313" ht="15" customHeight="1" s="217">
      <c r="A313" s="340" t="inlineStr">
        <is>
          <t>HYUNDAI</t>
        </is>
      </c>
      <c r="B313" s="341" t="inlineStr">
        <is>
          <t>HH083055</t>
        </is>
      </c>
      <c r="C313" s="340" t="inlineStr">
        <is>
          <t>Mitsubishi</t>
        </is>
      </c>
      <c r="D313" s="340" t="inlineStr">
        <is>
          <t>TD04</t>
        </is>
      </c>
      <c r="E313" s="340" t="inlineStr">
        <is>
          <t>D4GA</t>
        </is>
      </c>
      <c r="F313" s="342" t="inlineStr">
        <is>
          <t>28210-48000
49189-07701/49189-07720
49491-22801/28210-48001</t>
        </is>
      </c>
      <c r="G313" s="340" t="n"/>
      <c r="H313" s="343" t="inlineStr">
        <is>
          <t>SL</t>
        </is>
      </c>
      <c r="I313" s="344" t="n"/>
      <c r="J313" s="344" t="n"/>
      <c r="K313" s="344" t="n"/>
      <c r="L313" s="344">
        <f>IF(K313="","",K313*1.1)</f>
        <v/>
      </c>
      <c r="M313" s="345" t="n">
        <v>56</v>
      </c>
      <c r="N313" s="345" t="n">
        <v>40.8</v>
      </c>
      <c r="O313" s="345" t="inlineStr">
        <is>
          <t>7/7</t>
        </is>
      </c>
      <c r="P313" s="345" t="n">
        <v>52</v>
      </c>
      <c r="Q313" s="345" t="n">
        <v>45.6</v>
      </c>
      <c r="R313" s="345" t="n">
        <v>12</v>
      </c>
      <c r="T313" s="346">
        <f>UPPER(A313&amp;" "&amp;B313&amp;" "&amp;D313&amp;" "&amp;E313&amp;" "&amp;F313&amp;" "&amp;G313&amp;" "&amp;H313)</f>
        <v/>
      </c>
      <c r="U313" s="216">
        <f>IF(AND('TRA CỨU TỔNG HỢP'!$B$3&lt;&gt;"",ISNUMBER(SEARCH('TRA CỨU TỔNG HỢP'!$B$3,T313))),MAX($U$3:U312)+1,"")</f>
        <v/>
      </c>
    </row>
    <row r="314" ht="15" customHeight="1" s="217">
      <c r="A314" s="347" t="inlineStr">
        <is>
          <t>HYUNDAI</t>
        </is>
      </c>
      <c r="B314" s="348" t="inlineStr">
        <is>
          <t>HH077026</t>
        </is>
      </c>
      <c r="C314" s="349" t="inlineStr">
        <is>
          <t>Mitsubishi</t>
        </is>
      </c>
      <c r="D314" s="349" t="inlineStr">
        <is>
          <t>TD04</t>
        </is>
      </c>
      <c r="E314" s="349" t="inlineStr">
        <is>
          <t>D4GA</t>
        </is>
      </c>
      <c r="F314" s="350" t="inlineStr">
        <is>
          <t>28210-48000
49189-07701/49189-07720
49491-22801/28210-48001</t>
        </is>
      </c>
      <c r="G314" s="349" t="n"/>
      <c r="H314" s="351" t="inlineStr">
        <is>
          <t>SL</t>
        </is>
      </c>
      <c r="I314" s="352" t="n"/>
      <c r="J314" s="352" t="n"/>
      <c r="K314" s="352" t="n"/>
      <c r="L314" s="352">
        <f>IF(K314="","",K314*1.1)</f>
        <v/>
      </c>
      <c r="M314" s="353" t="n">
        <v>56</v>
      </c>
      <c r="N314" s="353" t="n">
        <v>40.8</v>
      </c>
      <c r="O314" s="353" t="inlineStr">
        <is>
          <t>7/7</t>
        </is>
      </c>
      <c r="P314" s="353" t="n">
        <v>52</v>
      </c>
      <c r="Q314" s="353" t="n">
        <v>45.6</v>
      </c>
      <c r="R314" s="353" t="n">
        <v>12</v>
      </c>
      <c r="T314" s="346">
        <f>UPPER(A314&amp;" "&amp;B314&amp;" "&amp;D314&amp;" "&amp;E314&amp;" "&amp;F314&amp;" "&amp;G314&amp;" "&amp;H314)</f>
        <v/>
      </c>
      <c r="U314" s="216">
        <f>IF(AND('TRA CỨU TỔNG HỢP'!$B$3&lt;&gt;"",ISNUMBER(SEARCH('TRA CỨU TỔNG HỢP'!$B$3,T314))),MAX($U$3:U313)+1,"")</f>
        <v/>
      </c>
    </row>
    <row r="315" ht="15" customHeight="1" s="217">
      <c r="A315" s="340" t="inlineStr">
        <is>
          <t>HYUNDAI</t>
        </is>
      </c>
      <c r="B315" s="341" t="inlineStr">
        <is>
          <t>HH071945</t>
        </is>
      </c>
      <c r="C315" s="340" t="inlineStr">
        <is>
          <t>Garrett</t>
        </is>
      </c>
      <c r="D315" s="340" t="inlineStr">
        <is>
          <t>GT1749S</t>
        </is>
      </c>
      <c r="E315" s="340" t="inlineStr">
        <is>
          <t>4D56T</t>
        </is>
      </c>
      <c r="F315" s="342" t="inlineStr">
        <is>
          <t>28200-42700
715924
28200-42610/28200-43160</t>
        </is>
      </c>
      <c r="G315" s="340" t="n"/>
      <c r="H315" s="343" t="n"/>
      <c r="I315" s="344" t="n"/>
      <c r="J315" s="344" t="n"/>
      <c r="K315" s="344" t="n"/>
      <c r="L315" s="344">
        <f>IF(K315="","",K315*1.1)</f>
        <v/>
      </c>
      <c r="M315" s="345" t="n">
        <v>49</v>
      </c>
      <c r="N315" s="345" t="n">
        <v>34.6</v>
      </c>
      <c r="O315" s="345" t="inlineStr">
        <is>
          <t>6/6</t>
        </is>
      </c>
      <c r="P315" s="345" t="n">
        <v>44</v>
      </c>
      <c r="Q315" s="345" t="n">
        <v>37.3</v>
      </c>
      <c r="R315" s="345" t="inlineStr">
        <is>
          <t>12</t>
        </is>
      </c>
      <c r="T315" s="346">
        <f>UPPER(A315&amp;" "&amp;B315&amp;" "&amp;D315&amp;" "&amp;E315&amp;" "&amp;F315&amp;" "&amp;G315&amp;" "&amp;H315)</f>
        <v/>
      </c>
      <c r="U315" s="216">
        <f>IF(AND('TRA CỨU TỔNG HỢP'!$B$3&lt;&gt;"",ISNUMBER(SEARCH('TRA CỨU TỔNG HỢP'!$B$3,T315))),MAX($U$3:U314)+1,"")</f>
        <v/>
      </c>
    </row>
    <row r="316" ht="15" customHeight="1" s="217">
      <c r="A316" s="347" t="inlineStr">
        <is>
          <t>HYUNDAI</t>
        </is>
      </c>
      <c r="B316" s="348" t="inlineStr">
        <is>
          <t>HH080003</t>
        </is>
      </c>
      <c r="C316" s="349" t="inlineStr">
        <is>
          <t>Garrett</t>
        </is>
      </c>
      <c r="D316" s="349" t="inlineStr">
        <is>
          <t>GT1749S</t>
        </is>
      </c>
      <c r="E316" s="349" t="inlineStr">
        <is>
          <t>4D56T</t>
        </is>
      </c>
      <c r="F316" s="350" t="inlineStr">
        <is>
          <t>28200-42700
715924
28200-42610/28200-43160</t>
        </is>
      </c>
      <c r="G316" s="349" t="n"/>
      <c r="H316" s="351" t="inlineStr">
        <is>
          <t>SL</t>
        </is>
      </c>
      <c r="I316" s="352" t="n"/>
      <c r="J316" s="352" t="n"/>
      <c r="K316" s="352" t="n"/>
      <c r="L316" s="352">
        <f>IF(K316="","",K316*1.1)</f>
        <v/>
      </c>
      <c r="M316" s="353" t="n">
        <v>49</v>
      </c>
      <c r="N316" s="353" t="n">
        <v>34.6</v>
      </c>
      <c r="O316" s="353" t="inlineStr">
        <is>
          <t>6/6</t>
        </is>
      </c>
      <c r="P316" s="353" t="n">
        <v>44</v>
      </c>
      <c r="Q316" s="353" t="n">
        <v>37.3</v>
      </c>
      <c r="R316" s="353" t="inlineStr">
        <is>
          <t>12</t>
        </is>
      </c>
      <c r="T316" s="346">
        <f>UPPER(A316&amp;" "&amp;B316&amp;" "&amp;D316&amp;" "&amp;E316&amp;" "&amp;F316&amp;" "&amp;G316&amp;" "&amp;H316)</f>
        <v/>
      </c>
      <c r="U316" s="216">
        <f>IF(AND('TRA CỨU TỔNG HỢP'!$B$3&lt;&gt;"",ISNUMBER(SEARCH('TRA CỨU TỔNG HỢP'!$B$3,T316))),MAX($U$3:U315)+1,"")</f>
        <v/>
      </c>
    </row>
    <row r="317" ht="15" customHeight="1" s="217">
      <c r="A317" s="354" t="inlineStr">
        <is>
          <t>HYUNDAI</t>
        </is>
      </c>
      <c r="B317" s="355" t="inlineStr">
        <is>
          <t>HH083398</t>
        </is>
      </c>
      <c r="C317" s="354" t="inlineStr">
        <is>
          <t>Garrett</t>
        </is>
      </c>
      <c r="D317" s="354" t="inlineStr">
        <is>
          <t>GTB1244VZ</t>
        </is>
      </c>
      <c r="E317" s="354" t="n"/>
      <c r="F317" s="356" t="inlineStr">
        <is>
          <t>28201-2A850</t>
        </is>
      </c>
      <c r="G317" s="354" t="n"/>
      <c r="H317" s="357" t="inlineStr">
        <is>
          <t>EE</t>
        </is>
      </c>
      <c r="I317" s="358" t="n"/>
      <c r="J317" s="358" t="n"/>
      <c r="K317" s="358" t="n"/>
      <c r="L317" s="358">
        <f>IF(K317="","",K317*1.1)</f>
        <v/>
      </c>
      <c r="M317" s="359" t="n">
        <v>44</v>
      </c>
      <c r="N317" s="359" t="n">
        <v>31.1</v>
      </c>
      <c r="O317" s="359" t="inlineStr">
        <is>
          <t>6/6</t>
        </is>
      </c>
      <c r="P317" s="359" t="n">
        <v>35.6</v>
      </c>
      <c r="Q317" s="359" t="n">
        <v>32.5</v>
      </c>
      <c r="R317" s="359" t="n">
        <v>9</v>
      </c>
      <c r="T317" s="216">
        <f>UPPER(A317&amp;" "&amp;B317&amp;" "&amp;D317&amp;" "&amp;E317&amp;" "&amp;F317&amp;" "&amp;G317&amp;" "&amp;H317)</f>
        <v/>
      </c>
      <c r="U317" s="216">
        <f>IF(AND('TRA CỨU TỔNG HỢP'!$B$3&lt;&gt;"",ISNUMBER(SEARCH('TRA CỨU TỔNG HỢP'!$B$3,T317))),MAX($U$3:U316)+1,"")</f>
        <v/>
      </c>
    </row>
    <row r="318" ht="15" customHeight="1" s="217">
      <c r="A318" s="340" t="inlineStr">
        <is>
          <t>HYUNDAI</t>
        </is>
      </c>
      <c r="B318" s="341" t="inlineStr">
        <is>
          <t>HH079941</t>
        </is>
      </c>
      <c r="C318" s="340" t="inlineStr">
        <is>
          <t>IHI</t>
        </is>
      </c>
      <c r="D318" s="340" t="inlineStr">
        <is>
          <t>RHF5</t>
        </is>
      </c>
      <c r="E318" s="340" t="inlineStr">
        <is>
          <t>Kia J3</t>
        </is>
      </c>
      <c r="F318" s="342" t="inlineStr">
        <is>
          <t>28201-4X610/28201-4X600</t>
        </is>
      </c>
      <c r="G318" s="340" t="inlineStr">
        <is>
          <t>chú ý coi cổ gió ở trên</t>
        </is>
      </c>
      <c r="H318" s="343" t="inlineStr">
        <is>
          <t>VIDARIR</t>
        </is>
      </c>
      <c r="I318" s="344" t="n"/>
      <c r="J318" s="344" t="n"/>
      <c r="K318" s="344" t="n"/>
      <c r="L318" s="344">
        <f>IF(K318="","",K318*1.1)</f>
        <v/>
      </c>
      <c r="M318" s="345" t="n">
        <v>52.5</v>
      </c>
      <c r="N318" s="345" t="n">
        <v>39.2</v>
      </c>
      <c r="O318" s="345" t="inlineStr">
        <is>
          <t>6/6</t>
        </is>
      </c>
      <c r="P318" s="345" t="n">
        <v>44.4</v>
      </c>
      <c r="Q318" s="345" t="n">
        <v>37.6</v>
      </c>
      <c r="R318" s="345" t="n">
        <v>8</v>
      </c>
      <c r="T318" s="216">
        <f>UPPER(A318&amp;" "&amp;B318&amp;" "&amp;D318&amp;" "&amp;E318&amp;" "&amp;F318&amp;" "&amp;G318&amp;" "&amp;H318)</f>
        <v/>
      </c>
      <c r="U318" s="216">
        <f>IF(AND('TRA CỨU TỔNG HỢP'!$B$3&lt;&gt;"",ISNUMBER(SEARCH('TRA CỨU TỔNG HỢP'!$B$3,T318))),MAX($U$3:U317)+1,"")</f>
        <v/>
      </c>
    </row>
    <row r="319" ht="15" customHeight="1" s="217">
      <c r="A319" s="347" t="inlineStr">
        <is>
          <t>HYUNDAI</t>
        </is>
      </c>
      <c r="B319" s="348" t="inlineStr">
        <is>
          <t>HH077663</t>
        </is>
      </c>
      <c r="C319" s="349" t="inlineStr">
        <is>
          <t>IHI</t>
        </is>
      </c>
      <c r="D319" s="349" t="inlineStr">
        <is>
          <t>RHF5</t>
        </is>
      </c>
      <c r="E319" s="349" t="inlineStr">
        <is>
          <t>Kia J3</t>
        </is>
      </c>
      <c r="F319" s="350" t="inlineStr">
        <is>
          <t>28201-4X610/28201-4X600</t>
        </is>
      </c>
      <c r="G319" s="349" t="inlineStr">
        <is>
          <t>chú ý coi cổ gió ở trên</t>
        </is>
      </c>
      <c r="H319" s="351" t="inlineStr">
        <is>
          <t>SL</t>
        </is>
      </c>
      <c r="I319" s="352" t="n"/>
      <c r="J319" s="352" t="n"/>
      <c r="K319" s="352" t="n"/>
      <c r="L319" s="352">
        <f>IF(K319="","",K319*1.1)</f>
        <v/>
      </c>
      <c r="M319" s="353" t="n">
        <v>52.5</v>
      </c>
      <c r="N319" s="353" t="n">
        <v>39.2</v>
      </c>
      <c r="O319" s="353" t="inlineStr">
        <is>
          <t>6/6</t>
        </is>
      </c>
      <c r="P319" s="353" t="n">
        <v>44.4</v>
      </c>
      <c r="Q319" s="353" t="n">
        <v>37.6</v>
      </c>
      <c r="R319" s="353" t="n">
        <v>8</v>
      </c>
      <c r="T319" s="216">
        <f>UPPER(A319&amp;" "&amp;B319&amp;" "&amp;D319&amp;" "&amp;E319&amp;" "&amp;F319&amp;" "&amp;G319&amp;" "&amp;H319)</f>
        <v/>
      </c>
      <c r="U319" s="216">
        <f>IF(AND('TRA CỨU TỔNG HỢP'!$B$3&lt;&gt;"",ISNUMBER(SEARCH('TRA CỨU TỔNG HỢP'!$B$3,T319))),MAX($U$3:U318)+1,"")</f>
        <v/>
      </c>
    </row>
    <row r="320" ht="15" customHeight="1" s="217">
      <c r="A320" s="340" t="inlineStr">
        <is>
          <t>HYUNDAI</t>
        </is>
      </c>
      <c r="B320" s="341" t="inlineStr">
        <is>
          <t>HH071944</t>
        </is>
      </c>
      <c r="C320" s="340" t="inlineStr">
        <is>
          <t>Garrett</t>
        </is>
      </c>
      <c r="D320" s="340" t="inlineStr">
        <is>
          <t>GT1749S</t>
        </is>
      </c>
      <c r="E320" s="340" t="inlineStr">
        <is>
          <t>D4AE</t>
        </is>
      </c>
      <c r="F320" s="342" t="inlineStr">
        <is>
          <t>28230-41401
28230-41402
28230-41411
28230-41412</t>
        </is>
      </c>
      <c r="G320" s="340" t="n"/>
      <c r="H320" s="343" t="n"/>
      <c r="I320" s="344" t="n"/>
      <c r="J320" s="344" t="n"/>
      <c r="K320" s="344" t="n"/>
      <c r="L320" s="344">
        <f>IF(K320="","",K320*1.1)</f>
        <v/>
      </c>
      <c r="M320" s="345" t="n">
        <v>49</v>
      </c>
      <c r="N320" s="345" t="n">
        <v>38</v>
      </c>
      <c r="O320" s="345" t="inlineStr">
        <is>
          <t>6/6</t>
        </is>
      </c>
      <c r="P320" s="345" t="n">
        <v>44.4</v>
      </c>
      <c r="Q320" s="345" t="n">
        <v>37.6</v>
      </c>
      <c r="R320" s="345" t="inlineStr">
        <is>
          <t>9</t>
        </is>
      </c>
      <c r="T320" s="346">
        <f>UPPER(A320&amp;" "&amp;B320&amp;" "&amp;D320&amp;" "&amp;E320&amp;" "&amp;F320&amp;" "&amp;G320&amp;" "&amp;H320)</f>
        <v/>
      </c>
      <c r="U320" s="216">
        <f>IF(AND('TRA CỨU TỔNG HỢP'!$B$3&lt;&gt;"",ISNUMBER(SEARCH('TRA CỨU TỔNG HỢP'!$B$3,T320))),MAX($U$3:U319)+1,"")</f>
        <v/>
      </c>
    </row>
    <row r="321" ht="15" customHeight="1" s="217">
      <c r="A321" s="347" t="inlineStr">
        <is>
          <t>HYUNDAI</t>
        </is>
      </c>
      <c r="B321" s="348" t="inlineStr">
        <is>
          <t>HH079990</t>
        </is>
      </c>
      <c r="C321" s="349" t="inlineStr">
        <is>
          <t>Garrett</t>
        </is>
      </c>
      <c r="D321" s="349" t="inlineStr">
        <is>
          <t>GT1749S</t>
        </is>
      </c>
      <c r="E321" s="349" t="inlineStr">
        <is>
          <t>D4AE</t>
        </is>
      </c>
      <c r="F321" s="350" t="inlineStr">
        <is>
          <t>28230-41401
28230-41402
28230-41411
28230-41412</t>
        </is>
      </c>
      <c r="G321" s="349" t="n"/>
      <c r="H321" s="351" t="inlineStr">
        <is>
          <t>SL</t>
        </is>
      </c>
      <c r="I321" s="352" t="n"/>
      <c r="J321" s="352" t="n"/>
      <c r="K321" s="352" t="n"/>
      <c r="L321" s="352">
        <f>IF(K321="","",K321*1.1)</f>
        <v/>
      </c>
      <c r="M321" s="353" t="n">
        <v>49</v>
      </c>
      <c r="N321" s="353" t="n">
        <v>38</v>
      </c>
      <c r="O321" s="353" t="inlineStr">
        <is>
          <t>6/6</t>
        </is>
      </c>
      <c r="P321" s="353" t="n">
        <v>44.4</v>
      </c>
      <c r="Q321" s="353" t="n">
        <v>37.6</v>
      </c>
      <c r="R321" s="353" t="inlineStr">
        <is>
          <t>9</t>
        </is>
      </c>
      <c r="T321" s="346">
        <f>UPPER(A321&amp;" "&amp;B321&amp;" "&amp;D321&amp;" "&amp;E321&amp;" "&amp;F321&amp;" "&amp;G321&amp;" "&amp;H321)</f>
        <v/>
      </c>
      <c r="U321" s="216">
        <f>IF(AND('TRA CỨU TỔNG HỢP'!$B$3&lt;&gt;"",ISNUMBER(SEARCH('TRA CỨU TỔNG HỢP'!$B$3,T321))),MAX($U$3:U320)+1,"")</f>
        <v/>
      </c>
    </row>
    <row r="322" ht="15" customHeight="1" s="217">
      <c r="A322" s="367" t="inlineStr">
        <is>
          <t>HYUNDAI</t>
        </is>
      </c>
      <c r="B322" s="368" t="n"/>
      <c r="C322" s="367" t="n"/>
      <c r="D322" s="367" t="n"/>
      <c r="E322" s="367" t="n"/>
      <c r="F322" s="369" t="inlineStr">
        <is>
          <t>28201-2A400</t>
        </is>
      </c>
      <c r="G322" s="367" t="n"/>
      <c r="H322" s="370" t="n"/>
      <c r="I322" s="371" t="n"/>
      <c r="J322" s="371" t="n"/>
      <c r="K322" s="371" t="n"/>
      <c r="L322" s="371">
        <f>IF(K322="","",K322*1.1)</f>
        <v/>
      </c>
      <c r="M322" s="372" t="n">
        <v>44</v>
      </c>
      <c r="N322" s="372" t="n">
        <v>31</v>
      </c>
      <c r="O322" s="372" t="inlineStr">
        <is>
          <t>6/6</t>
        </is>
      </c>
      <c r="P322" s="372" t="n">
        <v>38.9</v>
      </c>
      <c r="Q322" s="372" t="n">
        <v>33</v>
      </c>
      <c r="R322" s="372" t="inlineStr">
        <is>
          <t>11</t>
        </is>
      </c>
      <c r="T322" s="216">
        <f>UPPER(A322&amp;" "&amp;B322&amp;" "&amp;D322&amp;" "&amp;E322&amp;" "&amp;F322&amp;" "&amp;G322&amp;" "&amp;H322)</f>
        <v/>
      </c>
      <c r="U322" s="216">
        <f>IF(AND('TRA CỨU TỔNG HỢP'!$B$3&lt;&gt;"",ISNUMBER(SEARCH('TRA CỨU TỔNG HỢP'!$B$3,T322))),MAX($U$3:U321)+1,"")</f>
        <v/>
      </c>
    </row>
    <row r="323" ht="15" customHeight="1" s="217">
      <c r="A323" s="354" t="inlineStr">
        <is>
          <t>HYUNDAI</t>
        </is>
      </c>
      <c r="B323" s="355" t="inlineStr">
        <is>
          <t>HH074748</t>
        </is>
      </c>
      <c r="C323" s="354" t="inlineStr">
        <is>
          <t>Garrett</t>
        </is>
      </c>
      <c r="D323" s="354" t="inlineStr">
        <is>
          <t>GT1752S</t>
        </is>
      </c>
      <c r="E323" s="354" t="inlineStr">
        <is>
          <t>D4CB</t>
        </is>
      </c>
      <c r="F323" s="356" t="inlineStr">
        <is>
          <t>28200-4A350
732340
28200-4A361
282004A350
732340-0001</t>
        </is>
      </c>
      <c r="G323" s="354" t="n"/>
      <c r="H323" s="357" t="inlineStr">
        <is>
          <t>SL</t>
        </is>
      </c>
      <c r="I323" s="358" t="n"/>
      <c r="J323" s="358" t="n"/>
      <c r="K323" s="358" t="n"/>
      <c r="L323" s="358">
        <f>IF(K323="","",K323*1.1)</f>
        <v/>
      </c>
      <c r="M323" s="359" t="n"/>
      <c r="N323" s="359" t="n"/>
      <c r="O323" s="359" t="n"/>
      <c r="P323" s="359" t="n"/>
      <c r="Q323" s="359" t="n"/>
      <c r="R323" s="359" t="n"/>
      <c r="T323" s="346">
        <f>UPPER(A323&amp;" "&amp;B323&amp;" "&amp;D323&amp;" "&amp;E323&amp;" "&amp;F323&amp;" "&amp;G323&amp;" "&amp;H323)</f>
        <v/>
      </c>
      <c r="U323" s="216">
        <f>IF(AND('TRA CỨU TỔNG HỢP'!$B$3&lt;&gt;"",ISNUMBER(SEARCH('TRA CỨU TỔNG HỢP'!$B$3,T323))),MAX($U$3:U322)+1,"")</f>
        <v/>
      </c>
    </row>
    <row r="324" ht="15" customHeight="1" s="217">
      <c r="A324" s="340" t="inlineStr">
        <is>
          <t>HYUNDAI</t>
        </is>
      </c>
      <c r="B324" s="341" t="inlineStr">
        <is>
          <t>HH079488</t>
        </is>
      </c>
      <c r="C324" s="340" t="inlineStr">
        <is>
          <t>Garrett</t>
        </is>
      </c>
      <c r="D324" s="340" t="inlineStr">
        <is>
          <t>GTB1649V/ Hyudai Kia D4EA</t>
        </is>
      </c>
      <c r="E324" s="340" t="n"/>
      <c r="F324" s="342" t="inlineStr">
        <is>
          <t>757886-0004
28231-27450</t>
        </is>
      </c>
      <c r="G324" s="340" t="n"/>
      <c r="H324" s="343" t="inlineStr">
        <is>
          <t>SL</t>
        </is>
      </c>
      <c r="I324" s="344" t="n"/>
      <c r="J324" s="344" t="n"/>
      <c r="K324" s="344" t="n"/>
      <c r="L324" s="344">
        <f>IF(K324="","",K324*1.1)</f>
        <v/>
      </c>
      <c r="M324" s="345" t="n">
        <v>49</v>
      </c>
      <c r="N324" s="345" t="n">
        <v>36.3</v>
      </c>
      <c r="O324" s="345" t="inlineStr">
        <is>
          <t>6/6</t>
        </is>
      </c>
      <c r="P324" s="345" t="n">
        <v>40.9</v>
      </c>
      <c r="Q324" s="345" t="n">
        <v>34.7</v>
      </c>
      <c r="R324" s="345" t="inlineStr">
        <is>
          <t>9</t>
        </is>
      </c>
      <c r="T324" s="346">
        <f>UPPER(A324&amp;" "&amp;B324&amp;" "&amp;D324&amp;" "&amp;E324&amp;" "&amp;F324&amp;" "&amp;G324&amp;" "&amp;H324)</f>
        <v/>
      </c>
      <c r="U324" s="216">
        <f>IF(AND('TRA CỨU TỔNG HỢP'!$B$3&lt;&gt;"",ISNUMBER(SEARCH('TRA CỨU TỔNG HỢP'!$B$3,T324))),MAX($U$3:U323)+1,"")</f>
        <v/>
      </c>
    </row>
    <row r="325" ht="15" customHeight="1" s="217">
      <c r="A325" s="347" t="inlineStr">
        <is>
          <t>HYUNDAI</t>
        </is>
      </c>
      <c r="B325" s="348" t="inlineStr">
        <is>
          <t>HH083410</t>
        </is>
      </c>
      <c r="C325" s="349" t="inlineStr">
        <is>
          <t>Garrett</t>
        </is>
      </c>
      <c r="D325" s="349" t="inlineStr">
        <is>
          <t>GTB1649V/ Hyudai Kia D4EA</t>
        </is>
      </c>
      <c r="E325" s="349" t="n"/>
      <c r="F325" s="350" t="inlineStr">
        <is>
          <t>757886-0004
28231-27450</t>
        </is>
      </c>
      <c r="G325" s="349" t="n"/>
      <c r="H325" s="351" t="inlineStr">
        <is>
          <t>SL</t>
        </is>
      </c>
      <c r="I325" s="352" t="n"/>
      <c r="J325" s="352" t="n"/>
      <c r="K325" s="352" t="n"/>
      <c r="L325" s="352">
        <f>IF(K325="","",K325*1.1)</f>
        <v/>
      </c>
      <c r="M325" s="353" t="n">
        <v>49</v>
      </c>
      <c r="N325" s="353" t="n">
        <v>36.3</v>
      </c>
      <c r="O325" s="353" t="inlineStr">
        <is>
          <t>6/6</t>
        </is>
      </c>
      <c r="P325" s="353" t="n">
        <v>40.9</v>
      </c>
      <c r="Q325" s="353" t="n">
        <v>34.7</v>
      </c>
      <c r="R325" s="353" t="inlineStr">
        <is>
          <t>9</t>
        </is>
      </c>
      <c r="T325" s="346">
        <f>UPPER(A325&amp;" "&amp;B325&amp;" "&amp;D325&amp;" "&amp;E325&amp;" "&amp;F325&amp;" "&amp;G325&amp;" "&amp;H325)</f>
        <v/>
      </c>
      <c r="U325" s="216">
        <f>IF(AND('TRA CỨU TỔNG HỢP'!$B$3&lt;&gt;"",ISNUMBER(SEARCH('TRA CỨU TỔNG HỢP'!$B$3,T325))),MAX($U$3:U324)+1,"")</f>
        <v/>
      </c>
    </row>
    <row r="326" ht="15" customHeight="1" s="217">
      <c r="A326" s="340" t="inlineStr">
        <is>
          <t>HYUNDAI</t>
        </is>
      </c>
      <c r="B326" s="341" t="inlineStr">
        <is>
          <t>HH075103</t>
        </is>
      </c>
      <c r="C326" s="340" t="inlineStr">
        <is>
          <t>BorgWarner</t>
        </is>
      </c>
      <c r="D326" s="340" t="inlineStr">
        <is>
          <t>BV43</t>
        </is>
      </c>
      <c r="E326" s="340" t="inlineStr">
        <is>
          <t>D4CB</t>
        </is>
      </c>
      <c r="F326" s="342" t="inlineStr">
        <is>
          <t>53039880127 | 53039700127 | 53039710127 | 53039880145 | 53039700145 | 5303 988 0127 | 5303 970 0127 | 5303 971 0127 | 5303 988 0145 | 5303 970 0145 | 5303-988-0127 | 5303-970-0127 | 5303-971-0127 | 5303-988-0145 | 5303-970-0145 | 282004A480 | 28200-4A480</t>
        </is>
      </c>
      <c r="G326" s="340" t="n"/>
      <c r="H326" s="343" t="inlineStr">
        <is>
          <t>SL</t>
        </is>
      </c>
      <c r="I326" s="344" t="n"/>
      <c r="J326" s="344" t="n"/>
      <c r="K326" s="344" t="n"/>
      <c r="L326" s="344">
        <f>IF(K326="","",K326*1.1)</f>
        <v/>
      </c>
      <c r="M326" s="345" t="n">
        <v>53.89</v>
      </c>
      <c r="N326" s="345" t="n">
        <v>37.8</v>
      </c>
      <c r="O326" s="345" t="inlineStr">
        <is>
          <t>6/6</t>
        </is>
      </c>
      <c r="P326" s="345" t="n">
        <v>43</v>
      </c>
      <c r="Q326" s="345" t="n">
        <v>38.2</v>
      </c>
      <c r="R326" s="345" t="inlineStr">
        <is>
          <t>9</t>
        </is>
      </c>
      <c r="T326" s="216">
        <f>UPPER(A326&amp;" "&amp;B326&amp;" "&amp;D326&amp;" "&amp;E326&amp;" "&amp;F326&amp;" "&amp;G326&amp;" "&amp;H326)</f>
        <v/>
      </c>
      <c r="U326" s="216">
        <f>IF(AND('TRA CỨU TỔNG HỢP'!$B$3&lt;&gt;"",ISNUMBER(SEARCH('TRA CỨU TỔNG HỢP'!$B$3,T326))),MAX($U$3:U325)+1,"")</f>
        <v/>
      </c>
    </row>
    <row r="327" ht="15" customHeight="1" s="217">
      <c r="A327" s="347" t="inlineStr">
        <is>
          <t>HYUNDAI</t>
        </is>
      </c>
      <c r="B327" s="348" t="inlineStr">
        <is>
          <t>HH080015</t>
        </is>
      </c>
      <c r="C327" s="349" t="inlineStr">
        <is>
          <t>BorgWarner</t>
        </is>
      </c>
      <c r="D327" s="349" t="inlineStr">
        <is>
          <t>BV43</t>
        </is>
      </c>
      <c r="E327" s="349" t="inlineStr">
        <is>
          <t>D4CB</t>
        </is>
      </c>
      <c r="F327" s="350" t="inlineStr">
        <is>
          <t>53039880127 | 53039700127 | 53039710127 | 53039880145 | 53039700145 | 5303 988 0127 | 5303 970 0127 | 5303 971 0127 | 5303 988 0145 | 5303 970 0145 | 5303-988-0127 | 5303-970-0127 | 5303-971-0127 | 5303-988-0145 | 5303-970-0145 | 282004A480 | 28200-4A480</t>
        </is>
      </c>
      <c r="G327" s="349" t="n"/>
      <c r="H327" s="351" t="inlineStr">
        <is>
          <t>SL</t>
        </is>
      </c>
      <c r="I327" s="352" t="n"/>
      <c r="J327" s="352" t="n"/>
      <c r="K327" s="352" t="n"/>
      <c r="L327" s="352">
        <f>IF(K327="","",K327*1.1)</f>
        <v/>
      </c>
      <c r="M327" s="353" t="n">
        <v>53.89</v>
      </c>
      <c r="N327" s="353" t="n">
        <v>37.8</v>
      </c>
      <c r="O327" s="353" t="inlineStr">
        <is>
          <t>6/6</t>
        </is>
      </c>
      <c r="P327" s="353" t="n">
        <v>43</v>
      </c>
      <c r="Q327" s="353" t="n">
        <v>38.2</v>
      </c>
      <c r="R327" s="353" t="inlineStr">
        <is>
          <t>9</t>
        </is>
      </c>
      <c r="T327" s="216">
        <f>UPPER(A327&amp;" "&amp;B327&amp;" "&amp;D327&amp;" "&amp;E327&amp;" "&amp;F327&amp;" "&amp;G327&amp;" "&amp;H327)</f>
        <v/>
      </c>
      <c r="U327" s="216">
        <f>IF(AND('TRA CỨU TỔNG HỢP'!$B$3&lt;&gt;"",ISNUMBER(SEARCH('TRA CỨU TỔNG HỢP'!$B$3,T327))),MAX($U$3:U326)+1,"")</f>
        <v/>
      </c>
    </row>
    <row r="328" ht="15" customHeight="1" s="217">
      <c r="A328" s="354" t="inlineStr">
        <is>
          <t>HYUNDAI</t>
        </is>
      </c>
      <c r="B328" s="355" t="inlineStr">
        <is>
          <t>HH083046</t>
        </is>
      </c>
      <c r="C328" s="354" t="inlineStr">
        <is>
          <t>Garrett</t>
        </is>
      </c>
      <c r="D328" s="354" t="inlineStr">
        <is>
          <t>GT1749S</t>
        </is>
      </c>
      <c r="E328" s="354" t="inlineStr">
        <is>
          <t>D4CB</t>
        </is>
      </c>
      <c r="F328" s="356" t="inlineStr">
        <is>
          <t>28200-4A500</t>
        </is>
      </c>
      <c r="G328" s="354" t="n"/>
      <c r="H328" s="357" t="inlineStr">
        <is>
          <t>SL</t>
        </is>
      </c>
      <c r="I328" s="358" t="n"/>
      <c r="J328" s="358" t="n"/>
      <c r="K328" s="358" t="n"/>
      <c r="L328" s="358">
        <f>IF(K328="","",K328*1.1)</f>
        <v/>
      </c>
      <c r="M328" s="359" t="n">
        <v>49</v>
      </c>
      <c r="N328" s="359" t="n">
        <v>37.8</v>
      </c>
      <c r="O328" s="359" t="inlineStr">
        <is>
          <t>6/6</t>
        </is>
      </c>
      <c r="P328" s="359" t="n">
        <v>41.2</v>
      </c>
      <c r="Q328" s="359" t="n">
        <v>35</v>
      </c>
      <c r="R328" s="359" t="inlineStr">
        <is>
          <t>9</t>
        </is>
      </c>
      <c r="T328" s="216">
        <f>UPPER(A328&amp;" "&amp;B328&amp;" "&amp;D328&amp;" "&amp;E328&amp;" "&amp;F328&amp;" "&amp;G328&amp;" "&amp;H328)</f>
        <v/>
      </c>
      <c r="U328" s="216">
        <f>IF(AND('TRA CỨU TỔNG HỢP'!$B$3&lt;&gt;"",ISNUMBER(SEARCH('TRA CỨU TỔNG HỢP'!$B$3,T328))),MAX($U$3:U327)+1,"")</f>
        <v/>
      </c>
    </row>
    <row r="329" ht="15" customHeight="1" s="217">
      <c r="A329" s="354" t="inlineStr">
        <is>
          <t>HYUNDAI</t>
        </is>
      </c>
      <c r="B329" s="355" t="inlineStr">
        <is>
          <t>HH079985</t>
        </is>
      </c>
      <c r="C329" s="354" t="inlineStr">
        <is>
          <t>Garrett</t>
        </is>
      </c>
      <c r="D329" s="354" t="inlineStr">
        <is>
          <t>GT1749S</t>
        </is>
      </c>
      <c r="E329" s="354" t="inlineStr">
        <is>
          <t>4D56T</t>
        </is>
      </c>
      <c r="F329" s="356" t="inlineStr">
        <is>
          <t>28200-4B151
28200-4B160/1328579
3C1Q6K682EA
700273
700273-5002S/700273-5001S
700273-0002/700273-0001
282004B160/282004B151</t>
        </is>
      </c>
      <c r="G329" s="354" t="n"/>
      <c r="H329" s="357" t="inlineStr">
        <is>
          <t>SL</t>
        </is>
      </c>
      <c r="I329" s="358" t="n"/>
      <c r="J329" s="358" t="n"/>
      <c r="K329" s="358" t="n"/>
      <c r="L329" s="358">
        <f>IF(K329="","",K329*1.1)</f>
        <v/>
      </c>
      <c r="M329" s="359" t="n">
        <v>49</v>
      </c>
      <c r="N329" s="359" t="n">
        <v>34.4</v>
      </c>
      <c r="O329" s="359" t="inlineStr">
        <is>
          <t>6/6</t>
        </is>
      </c>
      <c r="P329" s="359" t="n">
        <v>44.4</v>
      </c>
      <c r="Q329" s="359" t="n">
        <v>37.6</v>
      </c>
      <c r="R329" s="359" t="inlineStr">
        <is>
          <t>9</t>
        </is>
      </c>
      <c r="T329" s="346">
        <f>UPPER(A329&amp;" "&amp;B329&amp;" "&amp;D329&amp;" "&amp;E329&amp;" "&amp;F329&amp;" "&amp;G329&amp;" "&amp;H329)</f>
        <v/>
      </c>
      <c r="U329" s="216">
        <f>IF(AND('TRA CỨU TỔNG HỢP'!$B$3&lt;&gt;"",ISNUMBER(SEARCH('TRA CỨU TỔNG HỢP'!$B$3,T329))),MAX($U$3:U328)+1,"")</f>
        <v/>
      </c>
    </row>
    <row r="330" ht="15" customHeight="1" s="217">
      <c r="A330" s="340" t="inlineStr">
        <is>
          <t>HYUNDAI</t>
        </is>
      </c>
      <c r="B330" s="341" t="inlineStr">
        <is>
          <t>HH083400</t>
        </is>
      </c>
      <c r="C330" s="340" t="inlineStr">
        <is>
          <t>IHI</t>
        </is>
      </c>
      <c r="D330" s="340" t="inlineStr">
        <is>
          <t>RHF5</t>
        </is>
      </c>
      <c r="E330" s="340" t="n"/>
      <c r="F330" s="342" t="inlineStr">
        <is>
          <t>28200-4X400/ 4X700
28201-4X701
28201-4X710</t>
        </is>
      </c>
      <c r="G330" s="340" t="n"/>
      <c r="H330" s="343" t="inlineStr">
        <is>
          <t>EE</t>
        </is>
      </c>
      <c r="I330" s="344" t="n"/>
      <c r="J330" s="344" t="n"/>
      <c r="K330" s="344" t="n"/>
      <c r="L330" s="344">
        <f>IF(K330="","",K330*1.1)</f>
        <v/>
      </c>
      <c r="M330" s="345" t="n">
        <v>52.5</v>
      </c>
      <c r="N330" s="345" t="n">
        <v>39.2</v>
      </c>
      <c r="O330" s="345" t="inlineStr">
        <is>
          <t>6/6</t>
        </is>
      </c>
      <c r="P330" s="345" t="n">
        <v>44.4</v>
      </c>
      <c r="Q330" s="345" t="n">
        <v>37.6</v>
      </c>
      <c r="R330" s="345" t="n">
        <v>8</v>
      </c>
      <c r="T330" s="346">
        <f>UPPER(A330&amp;" "&amp;B330&amp;" "&amp;D330&amp;" "&amp;E330&amp;" "&amp;F330&amp;" "&amp;G330&amp;" "&amp;H330)</f>
        <v/>
      </c>
      <c r="U330" s="216">
        <f>IF(AND('TRA CỨU TỔNG HỢP'!$B$3&lt;&gt;"",ISNUMBER(SEARCH('TRA CỨU TỔNG HỢP'!$B$3,T330))),MAX($U$3:U329)+1,"")</f>
        <v/>
      </c>
    </row>
    <row r="331" ht="15" customHeight="1" s="217">
      <c r="A331" s="347" t="inlineStr">
        <is>
          <t>HYUNDAI</t>
        </is>
      </c>
      <c r="B331" s="348" t="inlineStr">
        <is>
          <t>HH083408</t>
        </is>
      </c>
      <c r="C331" s="349" t="inlineStr">
        <is>
          <t>IHI</t>
        </is>
      </c>
      <c r="D331" s="349" t="inlineStr">
        <is>
          <t>RHF5</t>
        </is>
      </c>
      <c r="E331" s="349" t="n"/>
      <c r="F331" s="350" t="inlineStr">
        <is>
          <t>28200-4X400/ 4X700
28201-4X701
28201-4X710</t>
        </is>
      </c>
      <c r="G331" s="349" t="n"/>
      <c r="H331" s="351" t="inlineStr">
        <is>
          <t>SL</t>
        </is>
      </c>
      <c r="I331" s="352" t="n"/>
      <c r="J331" s="352" t="n"/>
      <c r="K331" s="352" t="n"/>
      <c r="L331" s="352">
        <f>IF(K331="","",K331*1.1)</f>
        <v/>
      </c>
      <c r="M331" s="353" t="n">
        <v>52.5</v>
      </c>
      <c r="N331" s="353" t="n">
        <v>39.2</v>
      </c>
      <c r="O331" s="353" t="inlineStr">
        <is>
          <t>6/6</t>
        </is>
      </c>
      <c r="P331" s="353" t="n">
        <v>44.4</v>
      </c>
      <c r="Q331" s="353" t="n">
        <v>37.6</v>
      </c>
      <c r="R331" s="353" t="n">
        <v>8</v>
      </c>
      <c r="T331" s="346">
        <f>UPPER(A331&amp;" "&amp;B331&amp;" "&amp;D331&amp;" "&amp;E331&amp;" "&amp;F331&amp;" "&amp;G331&amp;" "&amp;H331)</f>
        <v/>
      </c>
      <c r="U331" s="216">
        <f>IF(AND('TRA CỨU TỔNG HỢP'!$B$3&lt;&gt;"",ISNUMBER(SEARCH('TRA CỨU TỔNG HỢP'!$B$3,T331))),MAX($U$3:U330)+1,"")</f>
        <v/>
      </c>
    </row>
    <row r="332" ht="15" customHeight="1" s="217">
      <c r="A332" s="347" t="inlineStr">
        <is>
          <t>HYUNDAI</t>
        </is>
      </c>
      <c r="B332" s="348" t="inlineStr">
        <is>
          <t>HH083409</t>
        </is>
      </c>
      <c r="C332" s="349" t="inlineStr">
        <is>
          <t>IHI</t>
        </is>
      </c>
      <c r="D332" s="349" t="inlineStr">
        <is>
          <t>RHF5</t>
        </is>
      </c>
      <c r="E332" s="349" t="n"/>
      <c r="F332" s="350" t="inlineStr">
        <is>
          <t>28200-4X400/ 4X700
28201-4X701
28201-4X710</t>
        </is>
      </c>
      <c r="G332" s="349" t="n"/>
      <c r="H332" s="351" t="inlineStr">
        <is>
          <t>SL</t>
        </is>
      </c>
      <c r="I332" s="352" t="n"/>
      <c r="J332" s="352" t="n"/>
      <c r="K332" s="352" t="n"/>
      <c r="L332" s="352">
        <f>IF(K332="","",K332*1.1)</f>
        <v/>
      </c>
      <c r="M332" s="353" t="n">
        <v>52.5</v>
      </c>
      <c r="N332" s="353" t="n">
        <v>39.2</v>
      </c>
      <c r="O332" s="353" t="inlineStr">
        <is>
          <t>6/6</t>
        </is>
      </c>
      <c r="P332" s="353" t="n">
        <v>44.4</v>
      </c>
      <c r="Q332" s="353" t="n">
        <v>37.6</v>
      </c>
      <c r="R332" s="353" t="n">
        <v>8</v>
      </c>
      <c r="T332" s="346">
        <f>UPPER(A332&amp;" "&amp;B332&amp;" "&amp;D332&amp;" "&amp;E332&amp;" "&amp;F332&amp;" "&amp;G332&amp;" "&amp;H332)</f>
        <v/>
      </c>
      <c r="U332" s="216">
        <f>IF(AND('TRA CỨU TỔNG HỢP'!$B$3&lt;&gt;"",ISNUMBER(SEARCH('TRA CỨU TỔNG HỢP'!$B$3,T332))),MAX($U$3:U331)+1,"")</f>
        <v/>
      </c>
    </row>
    <row r="333" ht="15" customHeight="1" s="217">
      <c r="A333" s="340" t="inlineStr">
        <is>
          <t>HYUNDAI</t>
        </is>
      </c>
      <c r="B333" s="341" t="inlineStr">
        <is>
          <t>HH077289</t>
        </is>
      </c>
      <c r="C333" s="340" t="inlineStr">
        <is>
          <t>Garrett</t>
        </is>
      </c>
      <c r="D333" s="340" t="inlineStr">
        <is>
          <t>GT1749S</t>
        </is>
      </c>
      <c r="E333" s="340" t="inlineStr">
        <is>
          <t>D4CB</t>
        </is>
      </c>
      <c r="F333" s="342" t="inlineStr">
        <is>
          <t>28200-4A380</t>
        </is>
      </c>
      <c r="G333" s="340" t="n"/>
      <c r="H333" s="343" t="inlineStr">
        <is>
          <t>SL</t>
        </is>
      </c>
      <c r="I333" s="344" t="n"/>
      <c r="J333" s="344" t="n"/>
      <c r="K333" s="344" t="n"/>
      <c r="L333" s="344">
        <f>IF(K333="","",K333*1.1)</f>
        <v/>
      </c>
      <c r="M333" s="345" t="n">
        <v>49</v>
      </c>
      <c r="N333" s="345" t="n">
        <v>37.8</v>
      </c>
      <c r="O333" s="345" t="inlineStr">
        <is>
          <t>6/6</t>
        </is>
      </c>
      <c r="P333" s="345" t="n">
        <v>41.2</v>
      </c>
      <c r="Q333" s="345" t="n">
        <v>35</v>
      </c>
      <c r="R333" s="345" t="inlineStr">
        <is>
          <t>9</t>
        </is>
      </c>
      <c r="T333" s="216">
        <f>UPPER(A333&amp;" "&amp;B333&amp;" "&amp;D333&amp;" "&amp;E333&amp;" "&amp;F333&amp;" "&amp;G333&amp;" "&amp;H333)</f>
        <v/>
      </c>
      <c r="U333" s="216">
        <f>IF(AND('TRA CỨU TỔNG HỢP'!$B$3&lt;&gt;"",ISNUMBER(SEARCH('TRA CỨU TỔNG HỢP'!$B$3,T333))),MAX($U$3:U332)+1,"")</f>
        <v/>
      </c>
    </row>
    <row r="334" ht="15" customHeight="1" s="217">
      <c r="A334" s="347" t="inlineStr">
        <is>
          <t>HYUNDAI</t>
        </is>
      </c>
      <c r="B334" s="348" t="inlineStr">
        <is>
          <t>HH080004</t>
        </is>
      </c>
      <c r="C334" s="349" t="inlineStr">
        <is>
          <t>Garrett</t>
        </is>
      </c>
      <c r="D334" s="349" t="inlineStr">
        <is>
          <t>GT1749S</t>
        </is>
      </c>
      <c r="E334" s="349" t="inlineStr">
        <is>
          <t>D4CB</t>
        </is>
      </c>
      <c r="F334" s="350" t="inlineStr">
        <is>
          <t>28200-4A380</t>
        </is>
      </c>
      <c r="G334" s="349" t="n"/>
      <c r="H334" s="351" t="inlineStr">
        <is>
          <t>SL</t>
        </is>
      </c>
      <c r="I334" s="352" t="n"/>
      <c r="J334" s="352" t="n"/>
      <c r="K334" s="352" t="n"/>
      <c r="L334" s="352">
        <f>IF(K334="","",K334*1.1)</f>
        <v/>
      </c>
      <c r="M334" s="353" t="n">
        <v>49</v>
      </c>
      <c r="N334" s="353" t="n">
        <v>37.8</v>
      </c>
      <c r="O334" s="353" t="inlineStr">
        <is>
          <t>6/6</t>
        </is>
      </c>
      <c r="P334" s="353" t="n">
        <v>41.2</v>
      </c>
      <c r="Q334" s="353" t="n">
        <v>35</v>
      </c>
      <c r="R334" s="353" t="inlineStr">
        <is>
          <t>9</t>
        </is>
      </c>
      <c r="T334" s="216">
        <f>UPPER(A334&amp;" "&amp;B334&amp;" "&amp;D334&amp;" "&amp;E334&amp;" "&amp;F334&amp;" "&amp;G334&amp;" "&amp;H334)</f>
        <v/>
      </c>
      <c r="U334" s="216">
        <f>IF(AND('TRA CỨU TỔNG HỢP'!$B$3&lt;&gt;"",ISNUMBER(SEARCH('TRA CỨU TỔNG HỢP'!$B$3,T334))),MAX($U$3:U333)+1,"")</f>
        <v/>
      </c>
    </row>
    <row r="335" ht="15" customHeight="1" s="217">
      <c r="A335" s="340" t="inlineStr">
        <is>
          <t>HYUNDAI</t>
        </is>
      </c>
      <c r="B335" s="341" t="inlineStr">
        <is>
          <t>HH072313</t>
        </is>
      </c>
      <c r="C335" s="340" t="inlineStr">
        <is>
          <t>Mitsubishi</t>
        </is>
      </c>
      <c r="D335" s="340" t="inlineStr">
        <is>
          <t>TD04</t>
        </is>
      </c>
      <c r="E335" s="340" t="inlineStr">
        <is>
          <t>4D56T/ 4D56/ D4BH</t>
        </is>
      </c>
      <c r="F335" s="342" t="inlineStr">
        <is>
          <t>28200-4A210
28200-4A201</t>
        </is>
      </c>
      <c r="G335" s="340" t="inlineStr">
        <is>
          <t>ruột dung chung</t>
        </is>
      </c>
      <c r="H335" s="343" t="inlineStr">
        <is>
          <t>SL</t>
        </is>
      </c>
      <c r="I335" s="344" t="n"/>
      <c r="J335" s="344" t="n"/>
      <c r="K335" s="344" t="n"/>
      <c r="L335" s="344">
        <f>IF(K335="","",K335*1.1)</f>
        <v/>
      </c>
      <c r="M335" s="345" t="n">
        <v>49</v>
      </c>
      <c r="N335" s="345" t="n">
        <v>37.8</v>
      </c>
      <c r="O335" s="345" t="inlineStr">
        <is>
          <t>6/6</t>
        </is>
      </c>
      <c r="P335" s="345" t="n">
        <v>43.1</v>
      </c>
      <c r="Q335" s="345" t="n">
        <v>36</v>
      </c>
      <c r="R335" s="345" t="n">
        <v>11</v>
      </c>
      <c r="T335" s="346">
        <f>UPPER(A335&amp;" "&amp;B335&amp;" "&amp;D335&amp;" "&amp;E335&amp;" "&amp;F335&amp;" "&amp;G335&amp;" "&amp;H335)</f>
        <v/>
      </c>
      <c r="U335" s="216">
        <f>IF(AND('TRA CỨU TỔNG HỢP'!$B$3&lt;&gt;"",ISNUMBER(SEARCH('TRA CỨU TỔNG HỢP'!$B$3,T335))),MAX($U$3:U334)+1,"")</f>
        <v/>
      </c>
    </row>
    <row r="336" ht="15" customHeight="1" s="217">
      <c r="A336" s="347" t="inlineStr">
        <is>
          <t>HYUNDAI</t>
        </is>
      </c>
      <c r="B336" s="348" t="inlineStr">
        <is>
          <t>HH079067</t>
        </is>
      </c>
      <c r="C336" s="349" t="inlineStr">
        <is>
          <t>Mitsubishi</t>
        </is>
      </c>
      <c r="D336" s="349" t="inlineStr">
        <is>
          <t>TD04</t>
        </is>
      </c>
      <c r="E336" s="349" t="inlineStr">
        <is>
          <t>4D56T/ 4D56/ D4BH</t>
        </is>
      </c>
      <c r="F336" s="350" t="inlineStr">
        <is>
          <t>28200-4A210
28200-4A201</t>
        </is>
      </c>
      <c r="G336" s="349" t="inlineStr">
        <is>
          <t>ruột dung chung</t>
        </is>
      </c>
      <c r="H336" s="351" t="inlineStr">
        <is>
          <t>SL</t>
        </is>
      </c>
      <c r="I336" s="352" t="n"/>
      <c r="J336" s="352" t="n"/>
      <c r="K336" s="352" t="n"/>
      <c r="L336" s="352">
        <f>IF(K336="","",K336*1.1)</f>
        <v/>
      </c>
      <c r="M336" s="353" t="n">
        <v>49</v>
      </c>
      <c r="N336" s="353" t="n">
        <v>37.8</v>
      </c>
      <c r="O336" s="353" t="inlineStr">
        <is>
          <t>6/6</t>
        </is>
      </c>
      <c r="P336" s="353" t="n">
        <v>43.1</v>
      </c>
      <c r="Q336" s="353" t="n">
        <v>36</v>
      </c>
      <c r="R336" s="353" t="n">
        <v>11</v>
      </c>
      <c r="T336" s="346">
        <f>UPPER(A336&amp;" "&amp;B336&amp;" "&amp;D336&amp;" "&amp;E336&amp;" "&amp;F336&amp;" "&amp;G336&amp;" "&amp;H336)</f>
        <v/>
      </c>
      <c r="U336" s="216">
        <f>IF(AND('TRA CỨU TỔNG HỢP'!$B$3&lt;&gt;"",ISNUMBER(SEARCH('TRA CỨU TỔNG HỢP'!$B$3,T336))),MAX($U$3:U335)+1,"")</f>
        <v/>
      </c>
    </row>
    <row r="337" ht="15" customHeight="1" s="217">
      <c r="A337" s="340" t="inlineStr">
        <is>
          <t>HYUNDAI</t>
        </is>
      </c>
      <c r="B337" s="341" t="inlineStr">
        <is>
          <t>HH079780</t>
        </is>
      </c>
      <c r="C337" s="340" t="inlineStr">
        <is>
          <t>Mitsubishi</t>
        </is>
      </c>
      <c r="D337" s="340" t="inlineStr">
        <is>
          <t>TF035HM-12T</t>
        </is>
      </c>
      <c r="E337" s="340" t="inlineStr">
        <is>
          <t>D4BH / 4D56</t>
        </is>
      </c>
      <c r="F337" s="342" t="inlineStr">
        <is>
          <t>28200-4A200
28200-42540
MD194845
MR355225</t>
        </is>
      </c>
      <c r="G337" s="340" t="n"/>
      <c r="H337" s="343" t="inlineStr">
        <is>
          <t>SL</t>
        </is>
      </c>
      <c r="I337" s="344" t="n"/>
      <c r="J337" s="344" t="n"/>
      <c r="K337" s="344" t="n"/>
      <c r="L337" s="344">
        <f>IF(K337="","",K337*1.1)</f>
        <v/>
      </c>
      <c r="M337" s="345" t="n">
        <v>49</v>
      </c>
      <c r="N337" s="345" t="n">
        <v>37.8</v>
      </c>
      <c r="O337" s="345" t="inlineStr">
        <is>
          <t>6/6</t>
        </is>
      </c>
      <c r="P337" s="345" t="n">
        <v>43.1</v>
      </c>
      <c r="Q337" s="345" t="n">
        <v>36</v>
      </c>
      <c r="R337" s="345" t="n">
        <v>11</v>
      </c>
      <c r="T337" s="346">
        <f>UPPER(A337&amp;" "&amp;B337&amp;" "&amp;D337&amp;" "&amp;E337&amp;" "&amp;F337&amp;" "&amp;G337&amp;" "&amp;H337)</f>
        <v/>
      </c>
      <c r="U337" s="216">
        <f>IF(AND('TRA CỨU TỔNG HỢP'!$B$3&lt;&gt;"",ISNUMBER(SEARCH('TRA CỨU TỔNG HỢP'!$B$3,T337))),MAX($U$3:U336)+1,"")</f>
        <v/>
      </c>
    </row>
    <row r="338" ht="15" customHeight="1" s="217">
      <c r="A338" s="347" t="inlineStr">
        <is>
          <t>HYUNDAI</t>
        </is>
      </c>
      <c r="B338" s="348" t="inlineStr">
        <is>
          <t>HH080729</t>
        </is>
      </c>
      <c r="C338" s="349" t="inlineStr">
        <is>
          <t>Mitsubishi</t>
        </is>
      </c>
      <c r="D338" s="349" t="inlineStr">
        <is>
          <t>TF035HM-12T</t>
        </is>
      </c>
      <c r="E338" s="349" t="inlineStr">
        <is>
          <t>D4BH / 4D56</t>
        </is>
      </c>
      <c r="F338" s="350" t="inlineStr">
        <is>
          <t>28200-4A200
28200-42540
MD194845
MR355225</t>
        </is>
      </c>
      <c r="G338" s="349" t="n"/>
      <c r="H338" s="351" t="inlineStr">
        <is>
          <t>SL</t>
        </is>
      </c>
      <c r="I338" s="352" t="n"/>
      <c r="J338" s="352" t="n"/>
      <c r="K338" s="352" t="n"/>
      <c r="L338" s="352">
        <f>IF(K338="","",K338*1.1)</f>
        <v/>
      </c>
      <c r="M338" s="353" t="n">
        <v>49</v>
      </c>
      <c r="N338" s="353" t="n">
        <v>37.8</v>
      </c>
      <c r="O338" s="353" t="inlineStr">
        <is>
          <t>6/6</t>
        </is>
      </c>
      <c r="P338" s="353" t="n">
        <v>43.1</v>
      </c>
      <c r="Q338" s="353" t="n">
        <v>36</v>
      </c>
      <c r="R338" s="353" t="n">
        <v>11</v>
      </c>
      <c r="T338" s="346">
        <f>UPPER(A338&amp;" "&amp;B338&amp;" "&amp;D338&amp;" "&amp;E338&amp;" "&amp;F338&amp;" "&amp;G338&amp;" "&amp;H338)</f>
        <v/>
      </c>
      <c r="U338" s="216">
        <f>IF(AND('TRA CỨU TỔNG HỢP'!$B$3&lt;&gt;"",ISNUMBER(SEARCH('TRA CỨU TỔNG HỢP'!$B$3,T338))),MAX($U$3:U337)+1,"")</f>
        <v/>
      </c>
    </row>
    <row r="339" ht="15" customHeight="1" s="217">
      <c r="A339" s="340" t="inlineStr">
        <is>
          <t>HYUNDAI</t>
        </is>
      </c>
      <c r="B339" s="341" t="inlineStr">
        <is>
          <t>HH084183</t>
        </is>
      </c>
      <c r="C339" s="340" t="inlineStr">
        <is>
          <t>Mitsubishi</t>
        </is>
      </c>
      <c r="D339" s="340" t="inlineStr">
        <is>
          <t>TF035HM</t>
        </is>
      </c>
      <c r="E339" s="340" t="n"/>
      <c r="F339" s="342" t="inlineStr">
        <is>
          <t>28200-4X650/49135-04361</t>
        </is>
      </c>
      <c r="G339" s="340" t="n"/>
      <c r="H339" s="343" t="inlineStr">
        <is>
          <t>SL</t>
        </is>
      </c>
      <c r="I339" s="344" t="n"/>
      <c r="J339" s="344" t="n"/>
      <c r="K339" s="344" t="n"/>
      <c r="L339" s="344">
        <f>IF(K339="","",K339*1.1)</f>
        <v/>
      </c>
      <c r="M339" s="345" t="n">
        <v>51</v>
      </c>
      <c r="N339" s="345" t="n">
        <v>38.3</v>
      </c>
      <c r="O339" s="345" t="inlineStr">
        <is>
          <t>6/6</t>
        </is>
      </c>
      <c r="P339" s="345" t="n">
        <v>43.1</v>
      </c>
      <c r="Q339" s="345" t="n">
        <v>36</v>
      </c>
      <c r="R339" s="345" t="n">
        <v>11</v>
      </c>
      <c r="T339" s="216">
        <f>UPPER(A339&amp;" "&amp;B339&amp;" "&amp;D339&amp;" "&amp;E339&amp;" "&amp;F339&amp;" "&amp;G339&amp;" "&amp;H339)</f>
        <v/>
      </c>
      <c r="U339" s="216">
        <f>IF(AND('TRA CỨU TỔNG HỢP'!$B$3&lt;&gt;"",ISNUMBER(SEARCH('TRA CỨU TỔNG HỢP'!$B$3,T339))),MAX($U$3:U338)+1,"")</f>
        <v/>
      </c>
    </row>
    <row r="340" ht="15" customHeight="1" s="217">
      <c r="A340" s="347" t="inlineStr">
        <is>
          <t>HYUNDAI</t>
        </is>
      </c>
      <c r="B340" s="348" t="inlineStr">
        <is>
          <t>HH082363</t>
        </is>
      </c>
      <c r="C340" s="349" t="inlineStr">
        <is>
          <t>Mitsubishi</t>
        </is>
      </c>
      <c r="D340" s="349" t="inlineStr">
        <is>
          <t>TF035HM</t>
        </is>
      </c>
      <c r="E340" s="349" t="n"/>
      <c r="F340" s="350" t="inlineStr">
        <is>
          <t>28200-4X650/49135-04361</t>
        </is>
      </c>
      <c r="G340" s="349" t="n"/>
      <c r="H340" s="351" t="inlineStr">
        <is>
          <t>SL</t>
        </is>
      </c>
      <c r="I340" s="352" t="n"/>
      <c r="J340" s="352" t="n"/>
      <c r="K340" s="352" t="n"/>
      <c r="L340" s="352">
        <f>IF(K340="","",K340*1.1)</f>
        <v/>
      </c>
      <c r="M340" s="353" t="n">
        <v>51</v>
      </c>
      <c r="N340" s="353" t="n">
        <v>38.3</v>
      </c>
      <c r="O340" s="353" t="inlineStr">
        <is>
          <t>6/6</t>
        </is>
      </c>
      <c r="P340" s="353" t="n">
        <v>43.1</v>
      </c>
      <c r="Q340" s="353" t="n">
        <v>36</v>
      </c>
      <c r="R340" s="353" t="n">
        <v>11</v>
      </c>
      <c r="T340" s="216">
        <f>UPPER(A340&amp;" "&amp;B340&amp;" "&amp;D340&amp;" "&amp;E340&amp;" "&amp;F340&amp;" "&amp;G340&amp;" "&amp;H340)</f>
        <v/>
      </c>
      <c r="U340" s="216">
        <f>IF(AND('TRA CỨU TỔNG HỢP'!$B$3&lt;&gt;"",ISNUMBER(SEARCH('TRA CỨU TỔNG HỢP'!$B$3,T340))),MAX($U$3:U339)+1,"")</f>
        <v/>
      </c>
    </row>
    <row r="341" ht="15" customHeight="1" s="217">
      <c r="A341" s="379" t="inlineStr">
        <is>
          <t>HYUNDAI</t>
        </is>
      </c>
      <c r="B341" s="380" t="n"/>
      <c r="C341" s="379" t="inlineStr">
        <is>
          <t>Mitsubishi</t>
        </is>
      </c>
      <c r="D341" s="379" t="inlineStr">
        <is>
          <t>TF035H/GT1749S</t>
        </is>
      </c>
      <c r="E341" s="379" t="inlineStr">
        <is>
          <t>D4BH</t>
        </is>
      </c>
      <c r="F341" s="381" t="inlineStr">
        <is>
          <t>28200-42800
28200-42810
49135-04350 | 49497-66101 | 4913504350 | 4949766101 | 2820042800</t>
        </is>
      </c>
      <c r="G341" s="379" t="n"/>
      <c r="H341" s="382" t="n"/>
      <c r="I341" s="383" t="n"/>
      <c r="J341" s="383" t="n"/>
      <c r="K341" s="383" t="n"/>
      <c r="L341" s="383">
        <f>IF(K341="","",K341*1.1)</f>
        <v/>
      </c>
      <c r="M341" s="384" t="n">
        <v>49</v>
      </c>
      <c r="N341" s="384" t="n">
        <v>35.5</v>
      </c>
      <c r="O341" s="384" t="inlineStr">
        <is>
          <t>6/6</t>
        </is>
      </c>
      <c r="P341" s="384" t="n">
        <v>42.7</v>
      </c>
      <c r="Q341" s="384" t="n">
        <v>36</v>
      </c>
      <c r="R341" s="384" t="n">
        <v>11</v>
      </c>
      <c r="T341" s="346">
        <f>UPPER(A341&amp;" "&amp;B341&amp;" "&amp;D341&amp;" "&amp;E341&amp;" "&amp;F341&amp;" "&amp;G341&amp;" "&amp;H341)</f>
        <v/>
      </c>
      <c r="U341" s="216">
        <f>IF(AND('TRA CỨU TỔNG HỢP'!$B$3&lt;&gt;"",ISNUMBER(SEARCH('TRA CỨU TỔNG HỢP'!$B$3,T341))),MAX($U$3:U340)+1,"")</f>
        <v/>
      </c>
    </row>
    <row r="342" ht="15" customHeight="1" s="217">
      <c r="A342" s="354" t="n"/>
      <c r="B342" s="355" t="inlineStr">
        <is>
          <t>HH00715</t>
        </is>
      </c>
      <c r="C342" s="354" t="n"/>
      <c r="D342" s="354" t="inlineStr">
        <is>
          <t>GT1544S</t>
        </is>
      </c>
      <c r="E342" s="354" t="inlineStr">
        <is>
          <t>S4Q</t>
        </is>
      </c>
      <c r="F342" s="356" t="inlineStr">
        <is>
          <t>758096-0001</t>
        </is>
      </c>
      <c r="G342" s="354" t="inlineStr">
        <is>
          <t xml:space="preserve">mới nhập </t>
        </is>
      </c>
      <c r="H342" s="357" t="inlineStr">
        <is>
          <t>SL</t>
        </is>
      </c>
      <c r="I342" s="358" t="n"/>
      <c r="J342" s="358" t="n"/>
      <c r="K342" s="358" t="n"/>
      <c r="L342" s="358">
        <f>IF(K342="","",K342*1.1)</f>
        <v/>
      </c>
      <c r="M342" s="359" t="n"/>
      <c r="N342" s="359" t="n"/>
      <c r="O342" s="359" t="n"/>
      <c r="P342" s="359" t="n"/>
      <c r="Q342" s="359" t="n"/>
      <c r="R342" s="359" t="n"/>
      <c r="T342" s="216">
        <f>UPPER(A342&amp;" "&amp;B342&amp;" "&amp;D342&amp;" "&amp;E342&amp;" "&amp;F342&amp;" "&amp;G342&amp;" "&amp;H342)</f>
        <v/>
      </c>
      <c r="U342" s="216">
        <f>IF(AND('TRA CỨU TỔNG HỢP'!$B$3&lt;&gt;"",ISNUMBER(SEARCH('TRA CỨU TỔNG HỢP'!$B$3,T342))),MAX($U$3:U341)+1,"")</f>
        <v/>
      </c>
    </row>
    <row r="343" ht="15" customHeight="1" s="217">
      <c r="A343" s="379" t="inlineStr">
        <is>
          <t>HYUNDAI</t>
        </is>
      </c>
      <c r="B343" s="380" t="n"/>
      <c r="C343" s="379" t="inlineStr">
        <is>
          <t>IHI</t>
        </is>
      </c>
      <c r="D343" s="379" t="inlineStr">
        <is>
          <t>RHF5-2B</t>
        </is>
      </c>
      <c r="E343" s="379" t="n"/>
      <c r="F343" s="381" t="inlineStr">
        <is>
          <t>28200-4X700</t>
        </is>
      </c>
      <c r="G343" s="379" t="n"/>
      <c r="H343" s="382" t="n"/>
      <c r="I343" s="383" t="n"/>
      <c r="J343" s="383" t="n"/>
      <c r="K343" s="383" t="n"/>
      <c r="L343" s="383">
        <f>IF(K343="","",K343*1.1)</f>
        <v/>
      </c>
      <c r="M343" s="384" t="n"/>
      <c r="N343" s="384" t="n"/>
      <c r="O343" s="384" t="n"/>
      <c r="P343" s="384" t="n"/>
      <c r="Q343" s="384" t="n"/>
      <c r="R343" s="384" t="n"/>
      <c r="T343" s="216">
        <f>UPPER(A343&amp;" "&amp;B343&amp;" "&amp;D343&amp;" "&amp;E343&amp;" "&amp;F343&amp;" "&amp;G343&amp;" "&amp;H343)</f>
        <v/>
      </c>
      <c r="U343" s="216">
        <f>IF(AND('TRA CỨU TỔNG HỢP'!$B$3&lt;&gt;"",ISNUMBER(SEARCH('TRA CỨU TỔNG HỢP'!$B$3,T343))),MAX($U$3:U342)+1,"")</f>
        <v/>
      </c>
    </row>
    <row r="344" ht="15" customHeight="1" s="217">
      <c r="A344" s="354" t="inlineStr">
        <is>
          <t>HYUNDAI</t>
        </is>
      </c>
      <c r="B344" s="355" t="inlineStr">
        <is>
          <t>HH081340</t>
        </is>
      </c>
      <c r="C344" s="354" t="inlineStr">
        <is>
          <t>Mitsubishi</t>
        </is>
      </c>
      <c r="D344" s="354" t="inlineStr">
        <is>
          <t>TF08L-28M-18</t>
        </is>
      </c>
      <c r="E344" s="354" t="inlineStr">
        <is>
          <t>D6AC</t>
        </is>
      </c>
      <c r="F344" s="356" t="inlineStr">
        <is>
          <t>28200-83401</t>
        </is>
      </c>
      <c r="G344" s="354" t="n"/>
      <c r="H344" s="357" t="inlineStr">
        <is>
          <t>FIRE</t>
        </is>
      </c>
      <c r="I344" s="358" t="n"/>
      <c r="J344" s="358" t="n"/>
      <c r="K344" s="358" t="n"/>
      <c r="L344" s="358">
        <f>IF(K344="","",K344*1.1)</f>
        <v/>
      </c>
      <c r="M344" s="359" t="n"/>
      <c r="N344" s="359" t="n"/>
      <c r="O344" s="359" t="n"/>
      <c r="P344" s="359" t="n"/>
      <c r="Q344" s="359" t="n"/>
      <c r="R344" s="359" t="n"/>
      <c r="T344" s="216">
        <f>UPPER(A344&amp;" "&amp;B344&amp;" "&amp;D344&amp;" "&amp;E344&amp;" "&amp;F344&amp;" "&amp;G344&amp;" "&amp;H344)</f>
        <v/>
      </c>
      <c r="U344" s="216">
        <f>IF(AND('TRA CỨU TỔNG HỢP'!$B$3&lt;&gt;"",ISNUMBER(SEARCH('TRA CỨU TỔNG HỢP'!$B$3,T344))),MAX($U$3:U343)+1,"")</f>
        <v/>
      </c>
    </row>
    <row r="345" ht="15" customHeight="1" s="217">
      <c r="A345" s="354" t="inlineStr">
        <is>
          <t>HYUNDAI</t>
        </is>
      </c>
      <c r="B345" s="355" t="inlineStr">
        <is>
          <t>HH082149</t>
        </is>
      </c>
      <c r="C345" s="354" t="inlineStr">
        <is>
          <t>Mitsubishi</t>
        </is>
      </c>
      <c r="D345" s="354" t="inlineStr">
        <is>
          <t>TD08L-26M-8</t>
        </is>
      </c>
      <c r="E345" s="354" t="inlineStr">
        <is>
          <t>D6AC</t>
        </is>
      </c>
      <c r="F345" s="356" t="inlineStr">
        <is>
          <t>28200-838102</t>
        </is>
      </c>
      <c r="G345" s="354" t="n"/>
      <c r="H345" s="357" t="inlineStr">
        <is>
          <t>FIRE</t>
        </is>
      </c>
      <c r="I345" s="358" t="n"/>
      <c r="J345" s="358" t="n"/>
      <c r="K345" s="358" t="n"/>
      <c r="L345" s="358">
        <f>IF(K345="","",K345*1.1)</f>
        <v/>
      </c>
      <c r="M345" s="359" t="n"/>
      <c r="N345" s="359" t="n"/>
      <c r="O345" s="359" t="n"/>
      <c r="P345" s="359" t="n"/>
      <c r="Q345" s="359" t="n"/>
      <c r="R345" s="359" t="n"/>
      <c r="T345" s="216">
        <f>UPPER(A345&amp;" "&amp;B345&amp;" "&amp;D345&amp;" "&amp;E345&amp;" "&amp;F345&amp;" "&amp;G345&amp;" "&amp;H345)</f>
        <v/>
      </c>
      <c r="U345" s="216">
        <f>IF(AND('TRA CỨU TỔNG HỢP'!$B$3&lt;&gt;"",ISNUMBER(SEARCH('TRA CỨU TỔNG HỢP'!$B$3,T345))),MAX($U$3:U344)+1,"")</f>
        <v/>
      </c>
    </row>
    <row r="346" ht="15" customHeight="1" s="217">
      <c r="A346" s="340" t="inlineStr">
        <is>
          <t>HYUNDAI</t>
        </is>
      </c>
      <c r="B346" s="341" t="inlineStr">
        <is>
          <t>HH078436</t>
        </is>
      </c>
      <c r="C346" s="340" t="inlineStr">
        <is>
          <t>Mitsubishi</t>
        </is>
      </c>
      <c r="D346" s="340" t="inlineStr">
        <is>
          <t>TD08H-28M</t>
        </is>
      </c>
      <c r="E346" s="340" t="inlineStr">
        <is>
          <t>6D22T/ D6AB</t>
        </is>
      </c>
      <c r="F346" s="342" t="inlineStr">
        <is>
          <t>28200-83901
49188-03020</t>
        </is>
      </c>
      <c r="G346" s="340" t="n"/>
      <c r="H346" s="343" t="inlineStr">
        <is>
          <t>VIDARIR</t>
        </is>
      </c>
      <c r="I346" s="344" t="n"/>
      <c r="J346" s="344" t="n"/>
      <c r="K346" s="344" t="n"/>
      <c r="L346" s="344">
        <f>IF(K346="","",K346*1.1)</f>
        <v/>
      </c>
      <c r="M346" s="345" t="n">
        <v>92</v>
      </c>
      <c r="N346" s="345" t="n">
        <v>66.8</v>
      </c>
      <c r="O346" s="345" t="inlineStr">
        <is>
          <t>7/7</t>
        </is>
      </c>
      <c r="P346" s="345" t="n">
        <v>90</v>
      </c>
      <c r="Q346" s="345" t="n">
        <v>79</v>
      </c>
      <c r="R346" s="345" t="n">
        <v>12</v>
      </c>
      <c r="T346" s="346">
        <f>UPPER(A346&amp;" "&amp;B346&amp;" "&amp;D346&amp;" "&amp;E346&amp;" "&amp;F346&amp;" "&amp;G346&amp;" "&amp;H346)</f>
        <v/>
      </c>
      <c r="U346" s="216">
        <f>IF(AND('TRA CỨU TỔNG HỢP'!$B$3&lt;&gt;"",ISNUMBER(SEARCH('TRA CỨU TỔNG HỢP'!$B$3,T346))),MAX($U$3:U345)+1,"")</f>
        <v/>
      </c>
    </row>
    <row r="347" ht="15" customHeight="1" s="217">
      <c r="A347" s="347" t="inlineStr">
        <is>
          <t>HYUNDAI</t>
        </is>
      </c>
      <c r="B347" s="348" t="inlineStr">
        <is>
          <t>HH077024</t>
        </is>
      </c>
      <c r="C347" s="349" t="inlineStr">
        <is>
          <t>Mitsubishi</t>
        </is>
      </c>
      <c r="D347" s="349" t="inlineStr">
        <is>
          <t>TD08H-28M</t>
        </is>
      </c>
      <c r="E347" s="349" t="inlineStr">
        <is>
          <t>6D22T/ D6AB</t>
        </is>
      </c>
      <c r="F347" s="350" t="inlineStr">
        <is>
          <t>28200-83901
49188-03020</t>
        </is>
      </c>
      <c r="G347" s="349" t="n"/>
      <c r="H347" s="351" t="inlineStr">
        <is>
          <t>SL</t>
        </is>
      </c>
      <c r="I347" s="352" t="n"/>
      <c r="J347" s="352" t="n"/>
      <c r="K347" s="352" t="n"/>
      <c r="L347" s="352">
        <f>IF(K347="","",K347*1.1)</f>
        <v/>
      </c>
      <c r="M347" s="353" t="n">
        <v>92</v>
      </c>
      <c r="N347" s="353" t="n">
        <v>66.8</v>
      </c>
      <c r="O347" s="353" t="inlineStr">
        <is>
          <t>7/7</t>
        </is>
      </c>
      <c r="P347" s="353" t="n">
        <v>90</v>
      </c>
      <c r="Q347" s="353" t="n">
        <v>79</v>
      </c>
      <c r="R347" s="353" t="n">
        <v>12</v>
      </c>
      <c r="T347" s="346">
        <f>UPPER(A347&amp;" "&amp;B347&amp;" "&amp;D347&amp;" "&amp;E347&amp;" "&amp;F347&amp;" "&amp;G347&amp;" "&amp;H347)</f>
        <v/>
      </c>
      <c r="U347" s="216">
        <f>IF(AND('TRA CỨU TỔNG HỢP'!$B$3&lt;&gt;"",ISNUMBER(SEARCH('TRA CỨU TỔNG HỢP'!$B$3,T347))),MAX($U$3:U346)+1,"")</f>
        <v/>
      </c>
    </row>
    <row r="348" ht="15" customHeight="1" s="217">
      <c r="A348" s="347" t="inlineStr">
        <is>
          <t>HYUNDAI</t>
        </is>
      </c>
      <c r="B348" s="348" t="inlineStr">
        <is>
          <t>HH080018</t>
        </is>
      </c>
      <c r="C348" s="349" t="inlineStr">
        <is>
          <t>Mitsubishi</t>
        </is>
      </c>
      <c r="D348" s="349" t="inlineStr">
        <is>
          <t>TD08H-28M</t>
        </is>
      </c>
      <c r="E348" s="349" t="inlineStr">
        <is>
          <t>6D22T/ D6AB</t>
        </is>
      </c>
      <c r="F348" s="350" t="inlineStr">
        <is>
          <t>28200-83901
49188-03020</t>
        </is>
      </c>
      <c r="G348" s="349" t="n"/>
      <c r="H348" s="351" t="inlineStr">
        <is>
          <t>SL</t>
        </is>
      </c>
      <c r="I348" s="352" t="n"/>
      <c r="J348" s="352" t="n"/>
      <c r="K348" s="352" t="n"/>
      <c r="L348" s="352">
        <f>IF(K348="","",K348*1.1)</f>
        <v/>
      </c>
      <c r="M348" s="353" t="n">
        <v>92</v>
      </c>
      <c r="N348" s="353" t="n">
        <v>66.8</v>
      </c>
      <c r="O348" s="353" t="inlineStr">
        <is>
          <t>7/7</t>
        </is>
      </c>
      <c r="P348" s="353" t="n">
        <v>90</v>
      </c>
      <c r="Q348" s="353" t="n">
        <v>79</v>
      </c>
      <c r="R348" s="353" t="n">
        <v>12</v>
      </c>
      <c r="T348" s="346">
        <f>UPPER(A348&amp;" "&amp;B348&amp;" "&amp;D348&amp;" "&amp;E348&amp;" "&amp;F348&amp;" "&amp;G348&amp;" "&amp;H348)</f>
        <v/>
      </c>
      <c r="U348" s="216">
        <f>IF(AND('TRA CỨU TỔNG HỢP'!$B$3&lt;&gt;"",ISNUMBER(SEARCH('TRA CỨU TỔNG HỢP'!$B$3,T348))),MAX($U$3:U347)+1,"")</f>
        <v/>
      </c>
    </row>
    <row r="349" ht="15" customHeight="1" s="217">
      <c r="A349" s="379" t="inlineStr">
        <is>
          <t>HYUNDAI</t>
        </is>
      </c>
      <c r="B349" s="380" t="n"/>
      <c r="C349" s="379" t="inlineStr">
        <is>
          <t>Garrett</t>
        </is>
      </c>
      <c r="D349" s="379" t="inlineStr">
        <is>
          <t>GT1544V</t>
        </is>
      </c>
      <c r="E349" s="379" t="n"/>
      <c r="F349" s="381" t="inlineStr">
        <is>
          <t>740611-0002/28201-2A400
740611-5002W/740611-5002S</t>
        </is>
      </c>
      <c r="G349" s="379" t="n"/>
      <c r="H349" s="382" t="n"/>
      <c r="I349" s="383" t="n"/>
      <c r="J349" s="383" t="n"/>
      <c r="K349" s="383" t="n"/>
      <c r="L349" s="383">
        <f>IF(K349="","",K349*1.1)</f>
        <v/>
      </c>
      <c r="M349" s="384" t="n">
        <v>44</v>
      </c>
      <c r="N349" s="384" t="n">
        <v>31</v>
      </c>
      <c r="O349" s="384" t="inlineStr">
        <is>
          <t>6/6</t>
        </is>
      </c>
      <c r="P349" s="384" t="n">
        <v>38.9</v>
      </c>
      <c r="Q349" s="384" t="n">
        <v>33</v>
      </c>
      <c r="R349" s="384" t="inlineStr">
        <is>
          <t>11</t>
        </is>
      </c>
      <c r="T349" s="346">
        <f>UPPER(A349&amp;" "&amp;B349&amp;" "&amp;D349&amp;" "&amp;E349&amp;" "&amp;F349&amp;" "&amp;G349&amp;" "&amp;H349)</f>
        <v/>
      </c>
      <c r="U349" s="216">
        <f>IF(AND('TRA CỨU TỔNG HỢP'!$B$3&lt;&gt;"",ISNUMBER(SEARCH('TRA CỨU TỔNG HỢP'!$B$3,T349))),MAX($U$3:U348)+1,"")</f>
        <v/>
      </c>
    </row>
    <row r="350" ht="15" customHeight="1" s="217">
      <c r="A350" s="354" t="inlineStr">
        <is>
          <t>HYUNDAI</t>
        </is>
      </c>
      <c r="B350" s="355" t="inlineStr">
        <is>
          <t>HH079968</t>
        </is>
      </c>
      <c r="C350" s="354" t="inlineStr">
        <is>
          <t>Mitsubishi</t>
        </is>
      </c>
      <c r="D350" s="354" t="inlineStr">
        <is>
          <t>TF08L-28</t>
        </is>
      </c>
      <c r="E350" s="354" t="inlineStr">
        <is>
          <t>6D24T/D6CA</t>
        </is>
      </c>
      <c r="F350" s="356" t="inlineStr">
        <is>
          <t>28200-84000/49134-00240/49174-22600</t>
        </is>
      </c>
      <c r="G350" s="354" t="n"/>
      <c r="H350" s="357" t="inlineStr">
        <is>
          <t>SL</t>
        </is>
      </c>
      <c r="I350" s="358" t="n"/>
      <c r="J350" s="358" t="n"/>
      <c r="K350" s="358" t="n"/>
      <c r="L350" s="358">
        <f>IF(K350="","",K350*1.1)</f>
        <v/>
      </c>
      <c r="M350" s="359" t="n">
        <v>92</v>
      </c>
      <c r="N350" s="359" t="n">
        <v>66.8</v>
      </c>
      <c r="O350" s="359" t="inlineStr">
        <is>
          <t>7/7</t>
        </is>
      </c>
      <c r="P350" s="359" t="n">
        <v>85</v>
      </c>
      <c r="Q350" s="359" t="n">
        <v>74.5</v>
      </c>
      <c r="R350" s="359" t="n">
        <v>12</v>
      </c>
      <c r="T350" s="216">
        <f>UPPER(A350&amp;" "&amp;B350&amp;" "&amp;D350&amp;" "&amp;E350&amp;" "&amp;F350&amp;" "&amp;G350&amp;" "&amp;H350)</f>
        <v/>
      </c>
      <c r="U350" s="216">
        <f>IF(AND('TRA CỨU TỔNG HỢP'!$B$3&lt;&gt;"",ISNUMBER(SEARCH('TRA CỨU TỔNG HỢP'!$B$3,T350))),MAX($U$3:U349)+1,"")</f>
        <v/>
      </c>
    </row>
    <row r="351" ht="15" customHeight="1" s="217">
      <c r="A351" s="340" t="inlineStr">
        <is>
          <t>HYUNDAI</t>
        </is>
      </c>
      <c r="B351" s="341" t="inlineStr">
        <is>
          <t>HH079000</t>
        </is>
      </c>
      <c r="C351" s="340" t="inlineStr">
        <is>
          <t>Garrett</t>
        </is>
      </c>
      <c r="D351" s="340" t="inlineStr">
        <is>
          <t>GT1749S</t>
        </is>
      </c>
      <c r="E351" s="340" t="inlineStr">
        <is>
          <t>D4AE</t>
        </is>
      </c>
      <c r="F351" s="342" t="inlineStr">
        <is>
          <t>28230-41422
28230-41421/471037-5002S
471037-0002/471037-0001</t>
        </is>
      </c>
      <c r="G351" s="340" t="n"/>
      <c r="H351" s="343" t="inlineStr">
        <is>
          <t>SL</t>
        </is>
      </c>
      <c r="I351" s="344" t="n"/>
      <c r="J351" s="344" t="n"/>
      <c r="K351" s="344" t="n"/>
      <c r="L351" s="344">
        <f>IF(K351="","",K351*1.1)</f>
        <v/>
      </c>
      <c r="M351" s="345" t="n">
        <v>49</v>
      </c>
      <c r="N351" s="345" t="n">
        <v>37.6</v>
      </c>
      <c r="O351" s="345" t="inlineStr">
        <is>
          <t>6/6</t>
        </is>
      </c>
      <c r="P351" s="345" t="n">
        <v>44.4</v>
      </c>
      <c r="Q351" s="345" t="n">
        <v>37.6</v>
      </c>
      <c r="R351" s="345" t="inlineStr">
        <is>
          <t>9</t>
        </is>
      </c>
      <c r="T351" s="346">
        <f>UPPER(A351&amp;" "&amp;B351&amp;" "&amp;D351&amp;" "&amp;E351&amp;" "&amp;F351&amp;" "&amp;G351&amp;" "&amp;H351)</f>
        <v/>
      </c>
      <c r="U351" s="216">
        <f>IF(AND('TRA CỨU TỔNG HỢP'!$B$3&lt;&gt;"",ISNUMBER(SEARCH('TRA CỨU TỔNG HỢP'!$B$3,T351))),MAX($U$3:U350)+1,"")</f>
        <v/>
      </c>
    </row>
    <row r="352" ht="15" customHeight="1" s="217">
      <c r="A352" s="347" t="inlineStr">
        <is>
          <t>HYUNDAI</t>
        </is>
      </c>
      <c r="B352" s="348" t="inlineStr">
        <is>
          <t>HH081965</t>
        </is>
      </c>
      <c r="C352" s="349" t="inlineStr">
        <is>
          <t>Garrett</t>
        </is>
      </c>
      <c r="D352" s="349" t="inlineStr">
        <is>
          <t>GT1749S</t>
        </is>
      </c>
      <c r="E352" s="349" t="inlineStr">
        <is>
          <t>D4AE</t>
        </is>
      </c>
      <c r="F352" s="350" t="inlineStr">
        <is>
          <t>28230-41422
28230-41421/471037-5002S
471037-0002/471037-0001</t>
        </is>
      </c>
      <c r="G352" s="349" t="n"/>
      <c r="H352" s="351" t="inlineStr">
        <is>
          <t>SL</t>
        </is>
      </c>
      <c r="I352" s="352" t="n"/>
      <c r="J352" s="352" t="n"/>
      <c r="K352" s="352" t="n"/>
      <c r="L352" s="352">
        <f>IF(K352="","",K352*1.1)</f>
        <v/>
      </c>
      <c r="M352" s="353" t="n">
        <v>49</v>
      </c>
      <c r="N352" s="353" t="n">
        <v>37.6</v>
      </c>
      <c r="O352" s="353" t="inlineStr">
        <is>
          <t>6/6</t>
        </is>
      </c>
      <c r="P352" s="353" t="n">
        <v>44.4</v>
      </c>
      <c r="Q352" s="353" t="n">
        <v>37.6</v>
      </c>
      <c r="R352" s="353" t="inlineStr">
        <is>
          <t>9</t>
        </is>
      </c>
      <c r="T352" s="346">
        <f>UPPER(A352&amp;" "&amp;B352&amp;" "&amp;D352&amp;" "&amp;E352&amp;" "&amp;F352&amp;" "&amp;G352&amp;" "&amp;H352)</f>
        <v/>
      </c>
      <c r="U352" s="216">
        <f>IF(AND('TRA CỨU TỔNG HỢP'!$B$3&lt;&gt;"",ISNUMBER(SEARCH('TRA CỨU TỔNG HỢP'!$B$3,T352))),MAX($U$3:U351)+1,"")</f>
        <v/>
      </c>
    </row>
    <row r="353" ht="15" customHeight="1" s="217">
      <c r="A353" s="354" t="inlineStr">
        <is>
          <t>HYUNDAI</t>
        </is>
      </c>
      <c r="B353" s="355" t="inlineStr">
        <is>
          <t>HH083047</t>
        </is>
      </c>
      <c r="C353" s="354" t="inlineStr">
        <is>
          <t>Garrett</t>
        </is>
      </c>
      <c r="D353" s="354" t="inlineStr">
        <is>
          <t>GT1752S</t>
        </is>
      </c>
      <c r="E353" s="354" t="inlineStr">
        <is>
          <t>D4CB</t>
        </is>
      </c>
      <c r="F353" s="356" t="inlineStr">
        <is>
          <t>28200-4A101
282004A101
733952-0001
733952-5001S
733952
1</t>
        </is>
      </c>
      <c r="G353" s="354" t="n"/>
      <c r="H353" s="357" t="inlineStr">
        <is>
          <t>SL</t>
        </is>
      </c>
      <c r="I353" s="358" t="n"/>
      <c r="J353" s="358" t="n"/>
      <c r="K353" s="358" t="n"/>
      <c r="L353" s="358">
        <f>IF(K353="","",K353*1.1)</f>
        <v/>
      </c>
      <c r="M353" s="359" t="n">
        <v>52</v>
      </c>
      <c r="N353" s="359" t="n">
        <v>38.6</v>
      </c>
      <c r="O353" s="359" t="inlineStr">
        <is>
          <t>6/6</t>
        </is>
      </c>
      <c r="P353" s="359" t="n">
        <v>44.4</v>
      </c>
      <c r="Q353" s="359" t="n">
        <v>38.3</v>
      </c>
      <c r="R353" s="359" t="inlineStr">
        <is>
          <t>9</t>
        </is>
      </c>
      <c r="T353" s="346">
        <f>UPPER(A353&amp;" "&amp;B353&amp;" "&amp;D353&amp;" "&amp;E353&amp;" "&amp;F353&amp;" "&amp;G353&amp;" "&amp;H353)</f>
        <v/>
      </c>
      <c r="U353" s="216">
        <f>IF(AND('TRA CỨU TỔNG HỢP'!$B$3&lt;&gt;"",ISNUMBER(SEARCH('TRA CỨU TỔNG HỢP'!$B$3,T353))),MAX($U$3:U352)+1,"")</f>
        <v/>
      </c>
    </row>
    <row r="354" ht="15" customHeight="1" s="217">
      <c r="A354" s="340" t="inlineStr">
        <is>
          <t>HYUNDAI</t>
        </is>
      </c>
      <c r="B354" s="341" t="inlineStr">
        <is>
          <t>HH079000</t>
        </is>
      </c>
      <c r="C354" s="340" t="inlineStr">
        <is>
          <t>Garrett</t>
        </is>
      </c>
      <c r="D354" s="340" t="inlineStr">
        <is>
          <t>GT1752</t>
        </is>
      </c>
      <c r="E354" s="340" t="inlineStr">
        <is>
          <t>D4CB</t>
        </is>
      </c>
      <c r="F354" s="342" t="inlineStr">
        <is>
          <t>28200-4A001/28200-4A101/28230-41422
41421/710060-0001/710060-5001S/433352-0032</t>
        </is>
      </c>
      <c r="G354" s="340" t="n"/>
      <c r="H354" s="343" t="inlineStr">
        <is>
          <t>SL</t>
        </is>
      </c>
      <c r="I354" s="344" t="n"/>
      <c r="J354" s="344" t="n"/>
      <c r="K354" s="344" t="n"/>
      <c r="L354" s="344">
        <f>IF(K354="","",K354*1.1)</f>
        <v/>
      </c>
      <c r="M354" s="345" t="n">
        <v>52</v>
      </c>
      <c r="N354" s="345" t="n">
        <v>38.4</v>
      </c>
      <c r="O354" s="345" t="inlineStr">
        <is>
          <t>6/6</t>
        </is>
      </c>
      <c r="P354" s="345" t="n">
        <v>43</v>
      </c>
      <c r="Q354" s="345" t="n">
        <v>37.5</v>
      </c>
      <c r="R354" s="345" t="inlineStr">
        <is>
          <t>9</t>
        </is>
      </c>
      <c r="T354" s="346">
        <f>UPPER(A354&amp;" "&amp;B354&amp;" "&amp;D354&amp;" "&amp;E354&amp;" "&amp;F354&amp;" "&amp;G354&amp;" "&amp;H354)</f>
        <v/>
      </c>
      <c r="U354" s="216">
        <f>IF(AND('TRA CỨU TỔNG HỢP'!$B$3&lt;&gt;"",ISNUMBER(SEARCH('TRA CỨU TỔNG HỢP'!$B$3,T354))),MAX($U$3:U353)+1,"")</f>
        <v/>
      </c>
    </row>
    <row r="355" ht="15" customHeight="1" s="217">
      <c r="A355" s="347" t="inlineStr">
        <is>
          <t>HYUNDAI</t>
        </is>
      </c>
      <c r="B355" s="348" t="inlineStr">
        <is>
          <t>HH081965</t>
        </is>
      </c>
      <c r="C355" s="349" t="inlineStr">
        <is>
          <t>Garrett</t>
        </is>
      </c>
      <c r="D355" s="349" t="inlineStr">
        <is>
          <t>GT1752</t>
        </is>
      </c>
      <c r="E355" s="349" t="inlineStr">
        <is>
          <t>D4CB</t>
        </is>
      </c>
      <c r="F355" s="350" t="inlineStr">
        <is>
          <t>28200-4A001/28200-4A101/28230-41422
41421/710060-0001/710060-5001S/433352-0032</t>
        </is>
      </c>
      <c r="G355" s="349" t="n"/>
      <c r="H355" s="351" t="inlineStr">
        <is>
          <t>SL</t>
        </is>
      </c>
      <c r="I355" s="352" t="n"/>
      <c r="J355" s="352" t="n"/>
      <c r="K355" s="352" t="n"/>
      <c r="L355" s="352">
        <f>IF(K355="","",K355*1.1)</f>
        <v/>
      </c>
      <c r="M355" s="353" t="n">
        <v>52</v>
      </c>
      <c r="N355" s="353" t="n">
        <v>38.4</v>
      </c>
      <c r="O355" s="353" t="inlineStr">
        <is>
          <t>6/6</t>
        </is>
      </c>
      <c r="P355" s="353" t="n">
        <v>43</v>
      </c>
      <c r="Q355" s="353" t="n">
        <v>37.5</v>
      </c>
      <c r="R355" s="353" t="inlineStr">
        <is>
          <t>9</t>
        </is>
      </c>
      <c r="T355" s="346">
        <f>UPPER(A355&amp;" "&amp;B355&amp;" "&amp;D355&amp;" "&amp;E355&amp;" "&amp;F355&amp;" "&amp;G355&amp;" "&amp;H355)</f>
        <v/>
      </c>
      <c r="U355" s="216">
        <f>IF(AND('TRA CỨU TỔNG HỢP'!$B$3&lt;&gt;"",ISNUMBER(SEARCH('TRA CỨU TỔNG HỢP'!$B$3,T355))),MAX($U$3:U354)+1,"")</f>
        <v/>
      </c>
    </row>
    <row r="356" ht="15" customHeight="1" s="217">
      <c r="A356" s="347" t="inlineStr">
        <is>
          <t>HYUNDAI</t>
        </is>
      </c>
      <c r="B356" s="348" t="inlineStr">
        <is>
          <t>HH083047</t>
        </is>
      </c>
      <c r="C356" s="349" t="inlineStr">
        <is>
          <t>Garrett</t>
        </is>
      </c>
      <c r="D356" s="349" t="inlineStr">
        <is>
          <t>GT1752</t>
        </is>
      </c>
      <c r="E356" s="349" t="inlineStr">
        <is>
          <t>D4CB</t>
        </is>
      </c>
      <c r="F356" s="350" t="inlineStr">
        <is>
          <t>28200-4A001/28200-4A101/28230-41422
41421/710060-0001/710060-5001S/433352-0032</t>
        </is>
      </c>
      <c r="G356" s="349" t="n"/>
      <c r="H356" s="351" t="inlineStr">
        <is>
          <t>SL</t>
        </is>
      </c>
      <c r="I356" s="352" t="n"/>
      <c r="J356" s="352" t="n"/>
      <c r="K356" s="352" t="n"/>
      <c r="L356" s="352">
        <f>IF(K356="","",K356*1.1)</f>
        <v/>
      </c>
      <c r="M356" s="353" t="n">
        <v>52</v>
      </c>
      <c r="N356" s="353" t="n">
        <v>38.4</v>
      </c>
      <c r="O356" s="353" t="inlineStr">
        <is>
          <t>6/6</t>
        </is>
      </c>
      <c r="P356" s="353" t="n">
        <v>43</v>
      </c>
      <c r="Q356" s="353" t="n">
        <v>37.5</v>
      </c>
      <c r="R356" s="353" t="inlineStr">
        <is>
          <t>9</t>
        </is>
      </c>
      <c r="T356" s="346">
        <f>UPPER(A356&amp;" "&amp;B356&amp;" "&amp;D356&amp;" "&amp;E356&amp;" "&amp;F356&amp;" "&amp;G356&amp;" "&amp;H356)</f>
        <v/>
      </c>
      <c r="U356" s="216">
        <f>IF(AND('TRA CỨU TỔNG HỢP'!$B$3&lt;&gt;"",ISNUMBER(SEARCH('TRA CỨU TỔNG HỢP'!$B$3,T356))),MAX($U$3:U355)+1,"")</f>
        <v/>
      </c>
    </row>
    <row r="357" ht="15" customHeight="1" s="217">
      <c r="A357" s="347" t="inlineStr">
        <is>
          <t>HYUNDAI</t>
        </is>
      </c>
      <c r="B357" s="348" t="inlineStr">
        <is>
          <t>HH076623</t>
        </is>
      </c>
      <c r="C357" s="349" t="inlineStr">
        <is>
          <t>Garrett</t>
        </is>
      </c>
      <c r="D357" s="349" t="inlineStr">
        <is>
          <t>GT1752</t>
        </is>
      </c>
      <c r="E357" s="349" t="inlineStr">
        <is>
          <t>D4CB</t>
        </is>
      </c>
      <c r="F357" s="350" t="inlineStr">
        <is>
          <t>28200-4A001/28200-4A101/28230-41422
41421/710060-0001/710060-5001S/433352-0032</t>
        </is>
      </c>
      <c r="G357" s="349" t="n"/>
      <c r="H357" s="351" t="inlineStr">
        <is>
          <t>SL</t>
        </is>
      </c>
      <c r="I357" s="352" t="n"/>
      <c r="J357" s="352" t="n"/>
      <c r="K357" s="352" t="n"/>
      <c r="L357" s="352">
        <f>IF(K357="","",K357*1.1)</f>
        <v/>
      </c>
      <c r="M357" s="353" t="n">
        <v>52</v>
      </c>
      <c r="N357" s="353" t="n">
        <v>38.4</v>
      </c>
      <c r="O357" s="353" t="inlineStr">
        <is>
          <t>6/6</t>
        </is>
      </c>
      <c r="P357" s="353" t="n">
        <v>43</v>
      </c>
      <c r="Q357" s="353" t="n">
        <v>37.5</v>
      </c>
      <c r="R357" s="353" t="inlineStr">
        <is>
          <t>9</t>
        </is>
      </c>
      <c r="T357" s="346">
        <f>UPPER(A357&amp;" "&amp;B357&amp;" "&amp;D357&amp;" "&amp;E357&amp;" "&amp;F357&amp;" "&amp;G357&amp;" "&amp;H357)</f>
        <v/>
      </c>
      <c r="U357" s="216">
        <f>IF(AND('TRA CỨU TỔNG HỢP'!$B$3&lt;&gt;"",ISNUMBER(SEARCH('TRA CỨU TỔNG HỢP'!$B$3,T357))),MAX($U$3:U356)+1,"")</f>
        <v/>
      </c>
    </row>
    <row r="358" ht="15" customHeight="1" s="217">
      <c r="A358" s="347" t="inlineStr">
        <is>
          <t>HYUNDAI</t>
        </is>
      </c>
      <c r="B358" s="348" t="inlineStr">
        <is>
          <t>HH079992</t>
        </is>
      </c>
      <c r="C358" s="349" t="inlineStr">
        <is>
          <t>Garrett</t>
        </is>
      </c>
      <c r="D358" s="349" t="inlineStr">
        <is>
          <t>GT1752</t>
        </is>
      </c>
      <c r="E358" s="349" t="inlineStr">
        <is>
          <t>D4CB</t>
        </is>
      </c>
      <c r="F358" s="350" t="inlineStr">
        <is>
          <t>28200-4A001/28200-4A101/28230-41422
41421/710060-0001/710060-5001S/433352-0032</t>
        </is>
      </c>
      <c r="G358" s="349" t="n"/>
      <c r="H358" s="351" t="inlineStr">
        <is>
          <t>SL</t>
        </is>
      </c>
      <c r="I358" s="352" t="n"/>
      <c r="J358" s="352" t="n"/>
      <c r="K358" s="352" t="n"/>
      <c r="L358" s="352">
        <f>IF(K358="","",K358*1.1)</f>
        <v/>
      </c>
      <c r="M358" s="353" t="n">
        <v>52</v>
      </c>
      <c r="N358" s="353" t="n">
        <v>38.4</v>
      </c>
      <c r="O358" s="353" t="inlineStr">
        <is>
          <t>6/6</t>
        </is>
      </c>
      <c r="P358" s="353" t="n">
        <v>43</v>
      </c>
      <c r="Q358" s="353" t="n">
        <v>37.5</v>
      </c>
      <c r="R358" s="353" t="inlineStr">
        <is>
          <t>9</t>
        </is>
      </c>
      <c r="T358" s="346">
        <f>UPPER(A358&amp;" "&amp;B358&amp;" "&amp;D358&amp;" "&amp;E358&amp;" "&amp;F358&amp;" "&amp;G358&amp;" "&amp;H358)</f>
        <v/>
      </c>
      <c r="U358" s="216">
        <f>IF(AND('TRA CỨU TỔNG HỢP'!$B$3&lt;&gt;"",ISNUMBER(SEARCH('TRA CỨU TỔNG HỢP'!$B$3,T358))),MAX($U$3:U357)+1,"")</f>
        <v/>
      </c>
    </row>
    <row r="359" ht="15" customHeight="1" s="217">
      <c r="A359" s="379" t="inlineStr">
        <is>
          <t>HYUNDAI</t>
        </is>
      </c>
      <c r="B359" s="380" t="n"/>
      <c r="C359" s="379" t="inlineStr">
        <is>
          <t>Garrett</t>
        </is>
      </c>
      <c r="D359" s="379" t="inlineStr">
        <is>
          <t>D6CB/D6HA</t>
        </is>
      </c>
      <c r="E359" s="379" t="n"/>
      <c r="F359" s="381" t="inlineStr">
        <is>
          <t>28200-82700</t>
        </is>
      </c>
      <c r="G359" s="379" t="n"/>
      <c r="H359" s="382" t="n"/>
      <c r="I359" s="383" t="n"/>
      <c r="J359" s="383" t="n"/>
      <c r="K359" s="383" t="n"/>
      <c r="L359" s="383">
        <f>IF(K359="","",K359*1.1)</f>
        <v/>
      </c>
      <c r="M359" s="384" t="n"/>
      <c r="N359" s="384" t="n"/>
      <c r="O359" s="384" t="n"/>
      <c r="P359" s="384" t="n"/>
      <c r="Q359" s="384" t="n"/>
      <c r="R359" s="384" t="n"/>
      <c r="T359" s="216">
        <f>UPPER(A359&amp;" "&amp;B359&amp;" "&amp;D359&amp;" "&amp;E359&amp;" "&amp;F359&amp;" "&amp;G359&amp;" "&amp;H359)</f>
        <v/>
      </c>
      <c r="U359" s="216">
        <f>IF(AND('TRA CỨU TỔNG HỢP'!$B$3&lt;&gt;"",ISNUMBER(SEARCH('TRA CỨU TỔNG HỢP'!$B$3,T359))),MAX($U$3:U358)+1,"")</f>
        <v/>
      </c>
    </row>
    <row r="360" ht="15" customHeight="1" s="217">
      <c r="A360" s="354" t="inlineStr">
        <is>
          <t>HYUNDAI</t>
        </is>
      </c>
      <c r="B360" s="355" t="inlineStr">
        <is>
          <t>HH081638</t>
        </is>
      </c>
      <c r="C360" s="354" t="inlineStr">
        <is>
          <t>Mitsubishi</t>
        </is>
      </c>
      <c r="D360" s="354" t="inlineStr">
        <is>
          <t>TF08L-28M-22</t>
        </is>
      </c>
      <c r="E360" s="354" t="inlineStr">
        <is>
          <t>6D24 TI</t>
        </is>
      </c>
      <c r="F360" s="356" t="inlineStr">
        <is>
          <t>28200-84011</t>
        </is>
      </c>
      <c r="G360" s="354" t="n"/>
      <c r="H360" s="357" t="inlineStr">
        <is>
          <t>FIRE</t>
        </is>
      </c>
      <c r="I360" s="358" t="n"/>
      <c r="J360" s="358" t="n"/>
      <c r="K360" s="358" t="n"/>
      <c r="L360" s="358">
        <f>IF(K360="","",K360*1.1)</f>
        <v/>
      </c>
      <c r="M360" s="359" t="n"/>
      <c r="N360" s="359" t="n"/>
      <c r="O360" s="359" t="n"/>
      <c r="P360" s="359" t="n"/>
      <c r="Q360" s="359" t="n"/>
      <c r="R360" s="359" t="n"/>
      <c r="T360" s="216">
        <f>UPPER(A360&amp;" "&amp;B360&amp;" "&amp;D360&amp;" "&amp;E360&amp;" "&amp;F360&amp;" "&amp;G360&amp;" "&amp;H360)</f>
        <v/>
      </c>
      <c r="U360" s="216">
        <f>IF(AND('TRA CỨU TỔNG HỢP'!$B$3&lt;&gt;"",ISNUMBER(SEARCH('TRA CỨU TỔNG HỢP'!$B$3,T360))),MAX($U$3:U359)+1,"")</f>
        <v/>
      </c>
    </row>
    <row r="361" ht="15" customHeight="1" s="217">
      <c r="A361" s="354" t="inlineStr">
        <is>
          <t>HYUNDAI</t>
        </is>
      </c>
      <c r="B361" s="355" t="inlineStr">
        <is>
          <t>HH083052</t>
        </is>
      </c>
      <c r="C361" s="354" t="inlineStr">
        <is>
          <t>BorgWarner</t>
        </is>
      </c>
      <c r="D361" s="354" t="inlineStr">
        <is>
          <t>BV43</t>
        </is>
      </c>
      <c r="E361" s="354" t="inlineStr">
        <is>
          <t>D4CB/ 2.5</t>
        </is>
      </c>
      <c r="F361" s="356" t="inlineStr">
        <is>
          <t>28200-4A421</t>
        </is>
      </c>
      <c r="G361" s="354" t="n"/>
      <c r="H361" s="357" t="inlineStr">
        <is>
          <t>SL</t>
        </is>
      </c>
      <c r="I361" s="358" t="n"/>
      <c r="J361" s="358" t="n"/>
      <c r="K361" s="358" t="n"/>
      <c r="L361" s="358">
        <f>IF(K361="","",K361*1.1)</f>
        <v/>
      </c>
      <c r="M361" s="359" t="n">
        <v>53.89</v>
      </c>
      <c r="N361" s="359" t="n">
        <v>37.8</v>
      </c>
      <c r="O361" s="359" t="inlineStr">
        <is>
          <t>6/6</t>
        </is>
      </c>
      <c r="P361" s="359" t="n">
        <v>43</v>
      </c>
      <c r="Q361" s="359" t="n">
        <v>38.2</v>
      </c>
      <c r="R361" s="359" t="inlineStr">
        <is>
          <t>9</t>
        </is>
      </c>
      <c r="T361" s="216">
        <f>UPPER(A361&amp;" "&amp;B361&amp;" "&amp;D361&amp;" "&amp;E361&amp;" "&amp;F361&amp;" "&amp;G361&amp;" "&amp;H361)</f>
        <v/>
      </c>
      <c r="U361" s="216">
        <f>IF(AND('TRA CỨU TỔNG HỢP'!$B$3&lt;&gt;"",ISNUMBER(SEARCH('TRA CỨU TỔNG HỢP'!$B$3,T361))),MAX($U$3:U360)+1,"")</f>
        <v/>
      </c>
    </row>
    <row r="362" ht="15" customHeight="1" s="217">
      <c r="A362" s="340" t="inlineStr">
        <is>
          <t>HYUNDAI</t>
        </is>
      </c>
      <c r="B362" s="341" t="inlineStr">
        <is>
          <t>HH081246</t>
        </is>
      </c>
      <c r="C362" s="340" t="inlineStr">
        <is>
          <t>BorgWarner</t>
        </is>
      </c>
      <c r="D362" s="340" t="inlineStr">
        <is>
          <t>BV43</t>
        </is>
      </c>
      <c r="E362" s="340" t="n"/>
      <c r="F362" s="342" t="inlineStr">
        <is>
          <t>28230-4A701</t>
        </is>
      </c>
      <c r="G362" s="340" t="n"/>
      <c r="H362" s="343" t="inlineStr">
        <is>
          <t>SL</t>
        </is>
      </c>
      <c r="I362" s="344" t="n"/>
      <c r="J362" s="344" t="n"/>
      <c r="K362" s="344" t="n"/>
      <c r="L362" s="344">
        <f>IF(K362="","",K362*1.1)</f>
        <v/>
      </c>
      <c r="M362" s="345" t="n">
        <v>52.8</v>
      </c>
      <c r="N362" s="345" t="n">
        <v>36.7</v>
      </c>
      <c r="O362" s="345" t="inlineStr">
        <is>
          <t>6/6</t>
        </is>
      </c>
      <c r="P362" s="345" t="n">
        <v>42.5</v>
      </c>
      <c r="Q362" s="345" t="n">
        <v>37.8</v>
      </c>
      <c r="R362" s="345" t="n">
        <v>9</v>
      </c>
      <c r="T362" s="216">
        <f>UPPER(A362&amp;" "&amp;B362&amp;" "&amp;D362&amp;" "&amp;E362&amp;" "&amp;F362&amp;" "&amp;G362&amp;" "&amp;H362)</f>
        <v/>
      </c>
      <c r="U362" s="216">
        <f>IF(AND('TRA CỨU TỔNG HỢP'!$B$3&lt;&gt;"",ISNUMBER(SEARCH('TRA CỨU TỔNG HỢP'!$B$3,T362))),MAX($U$3:U361)+1,"")</f>
        <v/>
      </c>
    </row>
    <row r="363" ht="15" customHeight="1" s="217">
      <c r="A363" s="347" t="inlineStr">
        <is>
          <t>HYUNDAI</t>
        </is>
      </c>
      <c r="B363" s="348" t="inlineStr">
        <is>
          <t>HH081539</t>
        </is>
      </c>
      <c r="C363" s="349" t="inlineStr">
        <is>
          <t>BorgWarner</t>
        </is>
      </c>
      <c r="D363" s="349" t="inlineStr">
        <is>
          <t>BV43</t>
        </is>
      </c>
      <c r="E363" s="349" t="n"/>
      <c r="F363" s="350" t="inlineStr">
        <is>
          <t>28230-4A701</t>
        </is>
      </c>
      <c r="G363" s="349" t="n"/>
      <c r="H363" s="351" t="inlineStr">
        <is>
          <t>SL</t>
        </is>
      </c>
      <c r="I363" s="352" t="n"/>
      <c r="J363" s="352" t="n"/>
      <c r="K363" s="352" t="n"/>
      <c r="L363" s="352">
        <f>IF(K363="","",K363*1.1)</f>
        <v/>
      </c>
      <c r="M363" s="353" t="n">
        <v>52.8</v>
      </c>
      <c r="N363" s="353" t="n">
        <v>36.7</v>
      </c>
      <c r="O363" s="353" t="inlineStr">
        <is>
          <t>6/6</t>
        </is>
      </c>
      <c r="P363" s="353" t="n">
        <v>42.5</v>
      </c>
      <c r="Q363" s="353" t="n">
        <v>37.8</v>
      </c>
      <c r="R363" s="353" t="n">
        <v>9</v>
      </c>
      <c r="T363" s="216">
        <f>UPPER(A363&amp;" "&amp;B363&amp;" "&amp;D363&amp;" "&amp;E363&amp;" "&amp;F363&amp;" "&amp;G363&amp;" "&amp;H363)</f>
        <v/>
      </c>
      <c r="U363" s="216">
        <f>IF(AND('TRA CỨU TỔNG HỢP'!$B$3&lt;&gt;"",ISNUMBER(SEARCH('TRA CỨU TỔNG HỢP'!$B$3,T363))),MAX($U$3:U362)+1,"")</f>
        <v/>
      </c>
    </row>
    <row r="364" ht="15" customHeight="1" s="217">
      <c r="A364" s="354" t="inlineStr">
        <is>
          <t>HYUNDAI</t>
        </is>
      </c>
      <c r="B364" s="355" t="inlineStr">
        <is>
          <t>HH073983</t>
        </is>
      </c>
      <c r="C364" s="354" t="inlineStr">
        <is>
          <t>Mitsubishi</t>
        </is>
      </c>
      <c r="D364" s="354" t="inlineStr">
        <is>
          <t>TD025M</t>
        </is>
      </c>
      <c r="E364" s="354" t="n"/>
      <c r="F364" s="356" t="inlineStr">
        <is>
          <t>28231-27000
49173-02412
49173-02401</t>
        </is>
      </c>
      <c r="G364" s="354" t="n"/>
      <c r="H364" s="357" t="inlineStr">
        <is>
          <t>EE</t>
        </is>
      </c>
      <c r="I364" s="358" t="n"/>
      <c r="J364" s="358" t="n"/>
      <c r="K364" s="358" t="n"/>
      <c r="L364" s="358">
        <f>IF(K364="","",K364*1.1)</f>
        <v/>
      </c>
      <c r="M364" s="359" t="n">
        <v>44</v>
      </c>
      <c r="N364" s="359" t="n">
        <v>34</v>
      </c>
      <c r="O364" s="359" t="inlineStr">
        <is>
          <t>6/6</t>
        </is>
      </c>
      <c r="P364" s="359" t="n">
        <v>36.8</v>
      </c>
      <c r="Q364" s="359" t="n">
        <v>31.5</v>
      </c>
      <c r="R364" s="359" t="inlineStr">
        <is>
          <t>12</t>
        </is>
      </c>
      <c r="T364" s="346">
        <f>UPPER(A364&amp;" "&amp;B364&amp;" "&amp;D364&amp;" "&amp;E364&amp;" "&amp;F364&amp;" "&amp;G364&amp;" "&amp;H364)</f>
        <v/>
      </c>
      <c r="U364" s="216">
        <f>IF(AND('TRA CỨU TỔNG HỢP'!$B$3&lt;&gt;"",ISNUMBER(SEARCH('TRA CỨU TỔNG HỢP'!$B$3,T364))),MAX($U$3:U363)+1,"")</f>
        <v/>
      </c>
    </row>
    <row r="365" ht="15" customHeight="1" s="217">
      <c r="A365" s="340" t="inlineStr">
        <is>
          <t>HYUNDAI</t>
        </is>
      </c>
      <c r="B365" s="341" t="inlineStr">
        <is>
          <t>HH079550</t>
        </is>
      </c>
      <c r="C365" s="340" t="inlineStr">
        <is>
          <t>Mitsubishi</t>
        </is>
      </c>
      <c r="D365" s="340" t="inlineStr">
        <is>
          <t>TF035</t>
        </is>
      </c>
      <c r="E365" s="340" t="inlineStr">
        <is>
          <t>D4EB 2.2</t>
        </is>
      </c>
      <c r="F365" s="342" t="inlineStr">
        <is>
          <t>28231-27800
49135-07100
49135-07300/07301/07302</t>
        </is>
      </c>
      <c r="G365" s="340" t="n"/>
      <c r="H365" s="343" t="inlineStr">
        <is>
          <t>SL</t>
        </is>
      </c>
      <c r="I365" s="344" t="n"/>
      <c r="J365" s="344" t="n"/>
      <c r="K365" s="344" t="n"/>
      <c r="L365" s="344">
        <f>IF(K365="","",K365*1.1)</f>
        <v/>
      </c>
      <c r="M365" s="345" t="n">
        <v>51</v>
      </c>
      <c r="N365" s="345" t="n">
        <v>36.4</v>
      </c>
      <c r="O365" s="345" t="inlineStr">
        <is>
          <t>6/6</t>
        </is>
      </c>
      <c r="P365" s="345" t="n">
        <v>43.2</v>
      </c>
      <c r="Q365" s="345" t="n">
        <v>37.7</v>
      </c>
      <c r="R365" s="345" t="n">
        <v>11</v>
      </c>
      <c r="T365" s="346">
        <f>UPPER(A365&amp;" "&amp;B365&amp;" "&amp;D365&amp;" "&amp;E365&amp;" "&amp;F365&amp;" "&amp;G365&amp;" "&amp;H365)</f>
        <v/>
      </c>
      <c r="U365" s="216">
        <f>IF(AND('TRA CỨU TỔNG HỢP'!$B$3&lt;&gt;"",ISNUMBER(SEARCH('TRA CỨU TỔNG HỢP'!$B$3,T365))),MAX($U$3:U364)+1,"")</f>
        <v/>
      </c>
    </row>
    <row r="366" ht="15" customHeight="1" s="217">
      <c r="A366" s="347" t="inlineStr">
        <is>
          <t>HYUNDAI</t>
        </is>
      </c>
      <c r="B366" s="348" t="inlineStr">
        <is>
          <t>HH080339</t>
        </is>
      </c>
      <c r="C366" s="349" t="inlineStr">
        <is>
          <t>Mitsubishi</t>
        </is>
      </c>
      <c r="D366" s="349" t="inlineStr">
        <is>
          <t>TF035</t>
        </is>
      </c>
      <c r="E366" s="349" t="inlineStr">
        <is>
          <t>D4EB 2.2</t>
        </is>
      </c>
      <c r="F366" s="350" t="inlineStr">
        <is>
          <t>28231-27800
49135-07100
49135-07300/07301/07302</t>
        </is>
      </c>
      <c r="G366" s="349" t="n"/>
      <c r="H366" s="351" t="inlineStr">
        <is>
          <t>SL</t>
        </is>
      </c>
      <c r="I366" s="352" t="n"/>
      <c r="J366" s="352" t="n"/>
      <c r="K366" s="352" t="n"/>
      <c r="L366" s="352">
        <f>IF(K366="","",K366*1.1)</f>
        <v/>
      </c>
      <c r="M366" s="353" t="n">
        <v>51</v>
      </c>
      <c r="N366" s="353" t="n">
        <v>36.4</v>
      </c>
      <c r="O366" s="353" t="inlineStr">
        <is>
          <t>6/6</t>
        </is>
      </c>
      <c r="P366" s="353" t="n">
        <v>43.2</v>
      </c>
      <c r="Q366" s="353" t="n">
        <v>37.7</v>
      </c>
      <c r="R366" s="353" t="n">
        <v>11</v>
      </c>
      <c r="T366" s="346">
        <f>UPPER(A366&amp;" "&amp;B366&amp;" "&amp;D366&amp;" "&amp;E366&amp;" "&amp;F366&amp;" "&amp;G366&amp;" "&amp;H366)</f>
        <v/>
      </c>
      <c r="U366" s="216">
        <f>IF(AND('TRA CỨU TỔNG HỢP'!$B$3&lt;&gt;"",ISNUMBER(SEARCH('TRA CỨU TỔNG HỢP'!$B$3,T366))),MAX($U$3:U365)+1,"")</f>
        <v/>
      </c>
    </row>
    <row r="367" ht="15" customHeight="1" s="217">
      <c r="A367" s="354" t="inlineStr">
        <is>
          <t>HYUNDAI</t>
        </is>
      </c>
      <c r="B367" s="355" t="inlineStr">
        <is>
          <t>HH080329</t>
        </is>
      </c>
      <c r="C367" s="354" t="inlineStr">
        <is>
          <t>Garrett</t>
        </is>
      </c>
      <c r="D367" s="354" t="inlineStr">
        <is>
          <t>GT1749V</t>
        </is>
      </c>
      <c r="E367" s="354" t="inlineStr">
        <is>
          <t>D4EA</t>
        </is>
      </c>
      <c r="F367" s="356" t="inlineStr">
        <is>
          <t>28231-27900</t>
        </is>
      </c>
      <c r="G367" s="354" t="n"/>
      <c r="H367" s="357" t="inlineStr">
        <is>
          <t>SL</t>
        </is>
      </c>
      <c r="I367" s="358" t="n"/>
      <c r="J367" s="358" t="n"/>
      <c r="K367" s="358" t="n"/>
      <c r="L367" s="358">
        <f>IF(K367="","",K367*1.1)</f>
        <v/>
      </c>
      <c r="M367" s="359" t="n">
        <v>49</v>
      </c>
      <c r="N367" s="359" t="n">
        <v>34.6</v>
      </c>
      <c r="O367" s="359" t="inlineStr">
        <is>
          <t>6/6</t>
        </is>
      </c>
      <c r="P367" s="359" t="n">
        <v>43</v>
      </c>
      <c r="Q367" s="359" t="n">
        <v>36</v>
      </c>
      <c r="R367" s="359" t="inlineStr">
        <is>
          <t>9</t>
        </is>
      </c>
      <c r="T367" s="216">
        <f>UPPER(A367&amp;" "&amp;B367&amp;" "&amp;D367&amp;" "&amp;E367&amp;" "&amp;F367&amp;" "&amp;G367&amp;" "&amp;H367)</f>
        <v/>
      </c>
      <c r="U367" s="216">
        <f>IF(AND('TRA CỨU TỔNG HỢP'!$B$3&lt;&gt;"",ISNUMBER(SEARCH('TRA CỨU TỔNG HỢP'!$B$3,T367))),MAX($U$3:U366)+1,"")</f>
        <v/>
      </c>
    </row>
    <row r="368" ht="15" customHeight="1" s="217">
      <c r="A368" s="340" t="inlineStr">
        <is>
          <t>HYUNDAI</t>
        </is>
      </c>
      <c r="B368" s="341" t="inlineStr">
        <is>
          <t>HH083502</t>
        </is>
      </c>
      <c r="C368" s="340" t="inlineStr">
        <is>
          <t>Garrett</t>
        </is>
      </c>
      <c r="D368" s="340" t="inlineStr">
        <is>
          <t>GTB1752VK</t>
        </is>
      </c>
      <c r="E368" s="340" t="inlineStr">
        <is>
          <t>D4HA</t>
        </is>
      </c>
      <c r="F368" s="342" t="inlineStr">
        <is>
          <t>28231-2F001/282312F001/28231-2F000
784114-0002/784114-5003S</t>
        </is>
      </c>
      <c r="G368" s="340" t="inlineStr">
        <is>
          <t>282352F200 ( mã dù điện )</t>
        </is>
      </c>
      <c r="H368" s="343" t="inlineStr">
        <is>
          <t>TBS</t>
        </is>
      </c>
      <c r="I368" s="344" t="n"/>
      <c r="J368" s="344" t="n"/>
      <c r="K368" s="344" t="n"/>
      <c r="L368" s="344">
        <f>IF(K368="","",K368*1.1)</f>
        <v/>
      </c>
      <c r="M368" s="345" t="n">
        <v>52.4</v>
      </c>
      <c r="N368" s="345" t="n">
        <v>36.8</v>
      </c>
      <c r="O368" s="345" t="n">
        <v>9</v>
      </c>
      <c r="P368" s="345" t="n">
        <v>43</v>
      </c>
      <c r="Q368" s="345" t="n">
        <v>38</v>
      </c>
      <c r="R368" s="345" t="inlineStr">
        <is>
          <t>9</t>
        </is>
      </c>
      <c r="T368" s="346">
        <f>UPPER(A368&amp;" "&amp;B368&amp;" "&amp;D368&amp;" "&amp;E368&amp;" "&amp;F368&amp;" "&amp;G368&amp;" "&amp;H368)</f>
        <v/>
      </c>
      <c r="U368" s="216">
        <f>IF(AND('TRA CỨU TỔNG HỢP'!$B$3&lt;&gt;"",ISNUMBER(SEARCH('TRA CỨU TỔNG HỢP'!$B$3,T368))),MAX($U$3:U367)+1,"")</f>
        <v/>
      </c>
    </row>
    <row r="369" ht="15" customHeight="1" s="217">
      <c r="A369" s="347" t="inlineStr">
        <is>
          <t>HYUNDAI</t>
        </is>
      </c>
      <c r="B369" s="348" t="inlineStr">
        <is>
          <t>HH083397</t>
        </is>
      </c>
      <c r="C369" s="349" t="inlineStr">
        <is>
          <t>Garrett</t>
        </is>
      </c>
      <c r="D369" s="349" t="inlineStr">
        <is>
          <t>GTB1752VK</t>
        </is>
      </c>
      <c r="E369" s="349" t="inlineStr">
        <is>
          <t>D4HA</t>
        </is>
      </c>
      <c r="F369" s="350" t="inlineStr">
        <is>
          <t>28231-2F001/282312F001/28231-2F000
784114-0002/784114-5003S</t>
        </is>
      </c>
      <c r="G369" s="349" t="inlineStr">
        <is>
          <t>282352F200 ( mã dù điện )</t>
        </is>
      </c>
      <c r="H369" s="351" t="inlineStr">
        <is>
          <t>EE</t>
        </is>
      </c>
      <c r="I369" s="352" t="n"/>
      <c r="J369" s="352" t="n"/>
      <c r="K369" s="352" t="n"/>
      <c r="L369" s="352">
        <f>IF(K369="","",K369*1.1)</f>
        <v/>
      </c>
      <c r="M369" s="353" t="n">
        <v>52.4</v>
      </c>
      <c r="N369" s="353" t="n">
        <v>36.8</v>
      </c>
      <c r="O369" s="353" t="n">
        <v>9</v>
      </c>
      <c r="P369" s="353" t="n">
        <v>43</v>
      </c>
      <c r="Q369" s="353" t="n">
        <v>38</v>
      </c>
      <c r="R369" s="353" t="inlineStr">
        <is>
          <t>9</t>
        </is>
      </c>
      <c r="T369" s="346">
        <f>UPPER(A369&amp;" "&amp;B369&amp;" "&amp;D369&amp;" "&amp;E369&amp;" "&amp;F369&amp;" "&amp;G369&amp;" "&amp;H369)</f>
        <v/>
      </c>
      <c r="U369" s="216">
        <f>IF(AND('TRA CỨU TỔNG HỢP'!$B$3&lt;&gt;"",ISNUMBER(SEARCH('TRA CỨU TỔNG HỢP'!$B$3,T369))),MAX($U$3:U368)+1,"")</f>
        <v/>
      </c>
    </row>
    <row r="370" ht="15" customHeight="1" s="217">
      <c r="A370" s="347" t="inlineStr">
        <is>
          <t>HYUNDAI</t>
        </is>
      </c>
      <c r="B370" s="348" t="inlineStr">
        <is>
          <t>HH083311</t>
        </is>
      </c>
      <c r="C370" s="349" t="inlineStr">
        <is>
          <t>Garrett</t>
        </is>
      </c>
      <c r="D370" s="349" t="inlineStr">
        <is>
          <t>GTB1752VK</t>
        </is>
      </c>
      <c r="E370" s="349" t="inlineStr">
        <is>
          <t>D4HA</t>
        </is>
      </c>
      <c r="F370" s="350" t="inlineStr">
        <is>
          <t>28231-2F001/282312F001/28231-2F000
784114-0002/784114-5003S</t>
        </is>
      </c>
      <c r="G370" s="349" t="inlineStr">
        <is>
          <t>282352F200 ( mã dù điện )</t>
        </is>
      </c>
      <c r="H370" s="351" t="inlineStr">
        <is>
          <t>SL</t>
        </is>
      </c>
      <c r="I370" s="352" t="n"/>
      <c r="J370" s="352" t="n"/>
      <c r="K370" s="352" t="n"/>
      <c r="L370" s="352">
        <f>IF(K370="","",K370*1.1)</f>
        <v/>
      </c>
      <c r="M370" s="353" t="n">
        <v>52.4</v>
      </c>
      <c r="N370" s="353" t="n">
        <v>36.8</v>
      </c>
      <c r="O370" s="353" t="n">
        <v>9</v>
      </c>
      <c r="P370" s="353" t="n">
        <v>43</v>
      </c>
      <c r="Q370" s="353" t="n">
        <v>38</v>
      </c>
      <c r="R370" s="353" t="inlineStr">
        <is>
          <t>9</t>
        </is>
      </c>
      <c r="T370" s="346">
        <f>UPPER(A370&amp;" "&amp;B370&amp;" "&amp;D370&amp;" "&amp;E370&amp;" "&amp;F370&amp;" "&amp;G370&amp;" "&amp;H370)</f>
        <v/>
      </c>
      <c r="U370" s="216">
        <f>IF(AND('TRA CỨU TỔNG HỢP'!$B$3&lt;&gt;"",ISNUMBER(SEARCH('TRA CỨU TỔNG HỢP'!$B$3,T370))),MAX($U$3:U369)+1,"")</f>
        <v/>
      </c>
    </row>
    <row r="371" ht="15" customHeight="1" s="217">
      <c r="A371" s="340" t="inlineStr">
        <is>
          <t>HYUNDAI</t>
        </is>
      </c>
      <c r="B371" s="341" t="inlineStr">
        <is>
          <t>HH079170</t>
        </is>
      </c>
      <c r="C371" s="340" t="inlineStr">
        <is>
          <t>Garrett</t>
        </is>
      </c>
      <c r="D371" s="340" t="inlineStr">
        <is>
          <t>GT3271</t>
        </is>
      </c>
      <c r="E371" s="340" t="inlineStr">
        <is>
          <t>D6DA</t>
        </is>
      </c>
      <c r="F371" s="342" t="inlineStr">
        <is>
          <t xml:space="preserve">28230-8Y000
28230-8Y010
716677-5001S/716677-0001 | 716677-1 | 716677-5001 |  282308Y000 | 716677-0002 | 716677-2 | 716677-5002S | 716677-5002 | </t>
        </is>
      </c>
      <c r="G371" s="340" t="n"/>
      <c r="H371" s="343" t="inlineStr">
        <is>
          <t>3273</t>
        </is>
      </c>
      <c r="I371" s="344" t="n"/>
      <c r="J371" s="344" t="n"/>
      <c r="K371" s="344" t="n"/>
      <c r="L371" s="344">
        <f>IF(K371="","",K371*1.1)</f>
        <v/>
      </c>
      <c r="M371" s="345" t="n">
        <v>71</v>
      </c>
      <c r="N371" s="345" t="n">
        <v>51.2</v>
      </c>
      <c r="O371" s="345" t="inlineStr">
        <is>
          <t>6/6</t>
        </is>
      </c>
      <c r="P371" s="345" t="n">
        <v>64.40000000000001</v>
      </c>
      <c r="Q371" s="345" t="n">
        <v>54.6</v>
      </c>
      <c r="R371" s="345" t="n">
        <v>10</v>
      </c>
      <c r="T371" s="346">
        <f>UPPER(A371&amp;" "&amp;B371&amp;" "&amp;D371&amp;" "&amp;E371&amp;" "&amp;F371&amp;" "&amp;G371&amp;" "&amp;H371)</f>
        <v/>
      </c>
      <c r="U371" s="216">
        <f>IF(AND('TRA CỨU TỔNG HỢP'!$B$3&lt;&gt;"",ISNUMBER(SEARCH('TRA CỨU TỔNG HỢP'!$B$3,T371))),MAX($U$3:U370)+1,"")</f>
        <v/>
      </c>
    </row>
    <row r="372" ht="15" customHeight="1" s="217">
      <c r="A372" s="347" t="inlineStr">
        <is>
          <t>HYUNDAI</t>
        </is>
      </c>
      <c r="B372" s="348" t="inlineStr">
        <is>
          <t>HH078866</t>
        </is>
      </c>
      <c r="C372" s="349" t="inlineStr">
        <is>
          <t>Garrett</t>
        </is>
      </c>
      <c r="D372" s="349" t="inlineStr">
        <is>
          <t>GT3271</t>
        </is>
      </c>
      <c r="E372" s="349" t="inlineStr">
        <is>
          <t>D6DA</t>
        </is>
      </c>
      <c r="F372" s="350" t="inlineStr">
        <is>
          <t xml:space="preserve">28230-8Y000
28230-8Y010
716677-5001S/716677-0001 | 716677-1 | 716677-5001 |  282308Y000 | 716677-0002 | 716677-2 | 716677-5002S | 716677-5002 | </t>
        </is>
      </c>
      <c r="G372" s="349" t="n"/>
      <c r="H372" s="351" t="inlineStr">
        <is>
          <t>SL</t>
        </is>
      </c>
      <c r="I372" s="352" t="n"/>
      <c r="J372" s="352" t="n"/>
      <c r="K372" s="352" t="n"/>
      <c r="L372" s="352">
        <f>IF(K372="","",K372*1.1)</f>
        <v/>
      </c>
      <c r="M372" s="353" t="n">
        <v>71</v>
      </c>
      <c r="N372" s="353" t="n">
        <v>51.2</v>
      </c>
      <c r="O372" s="353" t="inlineStr">
        <is>
          <t>6/6</t>
        </is>
      </c>
      <c r="P372" s="353" t="n">
        <v>64.40000000000001</v>
      </c>
      <c r="Q372" s="353" t="n">
        <v>54.6</v>
      </c>
      <c r="R372" s="353" t="n">
        <v>10</v>
      </c>
      <c r="T372" s="346">
        <f>UPPER(A372&amp;" "&amp;B372&amp;" "&amp;D372&amp;" "&amp;E372&amp;" "&amp;F372&amp;" "&amp;G372&amp;" "&amp;H372)</f>
        <v/>
      </c>
      <c r="U372" s="216">
        <f>IF(AND('TRA CỨU TỔNG HỢP'!$B$3&lt;&gt;"",ISNUMBER(SEARCH('TRA CỨU TỔNG HỢP'!$B$3,T372))),MAX($U$3:U371)+1,"")</f>
        <v/>
      </c>
    </row>
    <row r="373" ht="15" customHeight="1" s="217">
      <c r="A373" s="347" t="inlineStr">
        <is>
          <t>HYUNDAI</t>
        </is>
      </c>
      <c r="B373" s="348" t="inlineStr">
        <is>
          <t>HH081585</t>
        </is>
      </c>
      <c r="C373" s="349" t="inlineStr">
        <is>
          <t>Garrett</t>
        </is>
      </c>
      <c r="D373" s="349" t="inlineStr">
        <is>
          <t>GT3271</t>
        </is>
      </c>
      <c r="E373" s="349" t="inlineStr">
        <is>
          <t>D6DA</t>
        </is>
      </c>
      <c r="F373" s="350" t="inlineStr">
        <is>
          <t xml:space="preserve">28230-8Y000
28230-8Y010
716677-5001S/716677-0001 | 716677-1 | 716677-5001 |  282308Y000 | 716677-0002 | 716677-2 | 716677-5002S | 716677-5002 | </t>
        </is>
      </c>
      <c r="G373" s="349" t="n"/>
      <c r="H373" s="351" t="inlineStr">
        <is>
          <t>SL</t>
        </is>
      </c>
      <c r="I373" s="352" t="n"/>
      <c r="J373" s="352" t="n"/>
      <c r="K373" s="352" t="n"/>
      <c r="L373" s="352">
        <f>IF(K373="","",K373*1.1)</f>
        <v/>
      </c>
      <c r="M373" s="353" t="n">
        <v>71</v>
      </c>
      <c r="N373" s="353" t="n">
        <v>51.2</v>
      </c>
      <c r="O373" s="353" t="inlineStr">
        <is>
          <t>6/6</t>
        </is>
      </c>
      <c r="P373" s="353" t="n">
        <v>64.40000000000001</v>
      </c>
      <c r="Q373" s="353" t="n">
        <v>54.6</v>
      </c>
      <c r="R373" s="353" t="n">
        <v>10</v>
      </c>
      <c r="T373" s="346">
        <f>UPPER(A373&amp;" "&amp;B373&amp;" "&amp;D373&amp;" "&amp;E373&amp;" "&amp;F373&amp;" "&amp;G373&amp;" "&amp;H373)</f>
        <v/>
      </c>
      <c r="U373" s="216">
        <f>IF(AND('TRA CỨU TỔNG HỢP'!$B$3&lt;&gt;"",ISNUMBER(SEARCH('TRA CỨU TỔNG HỢP'!$B$3,T373))),MAX($U$3:U372)+1,"")</f>
        <v/>
      </c>
    </row>
    <row r="374" ht="15" customHeight="1" s="217">
      <c r="A374" s="354" t="inlineStr">
        <is>
          <t>HYUNDAI</t>
        </is>
      </c>
      <c r="B374" s="355" t="inlineStr">
        <is>
          <t>HH082235</t>
        </is>
      </c>
      <c r="C374" s="354" t="inlineStr">
        <is>
          <t>Garrett</t>
        </is>
      </c>
      <c r="D374" s="354" t="inlineStr">
        <is>
          <t>TBP4</t>
        </is>
      </c>
      <c r="E374" s="354" t="inlineStr">
        <is>
          <t>D6DB</t>
        </is>
      </c>
      <c r="F374" s="356" t="inlineStr">
        <is>
          <t>28230-87000</t>
        </is>
      </c>
      <c r="G374" s="354" t="n"/>
      <c r="H374" s="357" t="inlineStr">
        <is>
          <t>SL</t>
        </is>
      </c>
      <c r="I374" s="358" t="n"/>
      <c r="J374" s="358" t="n"/>
      <c r="K374" s="358" t="n"/>
      <c r="L374" s="358">
        <f>IF(K374="","",K374*1.1)</f>
        <v/>
      </c>
      <c r="M374" s="359" t="n">
        <v>82</v>
      </c>
      <c r="N374" s="359" t="n">
        <v>52.6</v>
      </c>
      <c r="O374" s="359" t="inlineStr">
        <is>
          <t>6/6</t>
        </is>
      </c>
      <c r="P374" s="359" t="n">
        <v>74.2</v>
      </c>
      <c r="Q374" s="359" t="n">
        <v>58.5</v>
      </c>
      <c r="R374" s="359" t="n">
        <v>11</v>
      </c>
      <c r="T374" s="216">
        <f>UPPER(A374&amp;" "&amp;B374&amp;" "&amp;D374&amp;" "&amp;E374&amp;" "&amp;F374&amp;" "&amp;G374&amp;" "&amp;H374)</f>
        <v/>
      </c>
      <c r="U374" s="216">
        <f>IF(AND('TRA CỨU TỔNG HỢP'!$B$3&lt;&gt;"",ISNUMBER(SEARCH('TRA CỨU TỔNG HỢP'!$B$3,T374))),MAX($U$3:U373)+1,"")</f>
        <v/>
      </c>
    </row>
    <row r="375" ht="15" customHeight="1" s="217">
      <c r="A375" s="379" t="inlineStr">
        <is>
          <t>HYUNDAI</t>
        </is>
      </c>
      <c r="B375" s="380" t="n"/>
      <c r="C375" s="379" t="inlineStr">
        <is>
          <t>Mitsubishi</t>
        </is>
      </c>
      <c r="D375" s="379" t="inlineStr">
        <is>
          <t>TD05H-12G</t>
        </is>
      </c>
      <c r="E375" s="379" t="inlineStr">
        <is>
          <t>4D34T/D4DD</t>
        </is>
      </c>
      <c r="F375" s="381" t="inlineStr">
        <is>
          <t>28230-45500</t>
        </is>
      </c>
      <c r="G375" s="379" t="n"/>
      <c r="H375" s="382" t="n"/>
      <c r="I375" s="383" t="n"/>
      <c r="J375" s="383" t="n"/>
      <c r="K375" s="383" t="n"/>
      <c r="L375" s="383">
        <f>IF(K375="","",K375*1.1)</f>
        <v/>
      </c>
      <c r="M375" s="384" t="n">
        <v>60</v>
      </c>
      <c r="N375" s="384" t="n">
        <v>42.5</v>
      </c>
      <c r="O375" s="384" t="inlineStr">
        <is>
          <t>6/6</t>
        </is>
      </c>
      <c r="P375" s="384" t="n">
        <v>56</v>
      </c>
      <c r="Q375" s="384" t="n">
        <v>49</v>
      </c>
      <c r="R375" s="384" t="n">
        <v>12</v>
      </c>
      <c r="T375" s="216">
        <f>UPPER(A375&amp;" "&amp;B375&amp;" "&amp;D375&amp;" "&amp;E375&amp;" "&amp;F375&amp;" "&amp;G375&amp;" "&amp;H375)</f>
        <v/>
      </c>
      <c r="U375" s="216">
        <f>IF(AND('TRA CỨU TỔNG HỢP'!$B$3&lt;&gt;"",ISNUMBER(SEARCH('TRA CỨU TỔNG HỢP'!$B$3,T375))),MAX($U$3:U374)+1,"")</f>
        <v/>
      </c>
    </row>
    <row r="376" ht="15" customHeight="1" s="217">
      <c r="A376" s="340" t="inlineStr">
        <is>
          <t>HYUNDAI</t>
        </is>
      </c>
      <c r="B376" s="341" t="inlineStr">
        <is>
          <t>HH071946</t>
        </is>
      </c>
      <c r="C376" s="340" t="inlineStr">
        <is>
          <t>Mitsubishi</t>
        </is>
      </c>
      <c r="D376" s="340" t="inlineStr">
        <is>
          <t>TD05H-14G</t>
        </is>
      </c>
      <c r="E376" s="340" t="inlineStr">
        <is>
          <t>4D34T/D4DA/D4DB</t>
        </is>
      </c>
      <c r="F376" s="342" t="inlineStr">
        <is>
          <t>28230-45100/28230-45500
49178-03123/-03122
03123/02190/02123/02150
02155/02170/02325
02340/02345/02385/02386
-02391/01700/49378-01710
49178-02130/02135/4-02136/02315
49178-02335/49178-02336/49178-02386/ME014881, 49178-02385,49178023886</t>
        </is>
      </c>
      <c r="G376" s="340" t="n"/>
      <c r="H376" s="343" t="inlineStr">
        <is>
          <t>SL</t>
        </is>
      </c>
      <c r="I376" s="344" t="n"/>
      <c r="J376" s="344" t="n"/>
      <c r="K376" s="344" t="n"/>
      <c r="L376" s="344">
        <f>IF(K376="","",K376*1.1)</f>
        <v/>
      </c>
      <c r="M376" s="345" t="n">
        <v>60</v>
      </c>
      <c r="N376" s="345" t="n">
        <v>44.5</v>
      </c>
      <c r="O376" s="345" t="inlineStr">
        <is>
          <t>6/6</t>
        </is>
      </c>
      <c r="P376" s="345" t="n">
        <v>56</v>
      </c>
      <c r="Q376" s="345" t="n">
        <v>49</v>
      </c>
      <c r="R376" s="345" t="n">
        <v>12</v>
      </c>
      <c r="T376" s="346">
        <f>UPPER(A376&amp;" "&amp;B376&amp;" "&amp;D376&amp;" "&amp;E376&amp;" "&amp;F376&amp;" "&amp;G376&amp;" "&amp;H376)</f>
        <v/>
      </c>
      <c r="U376" s="216">
        <f>IF(AND('TRA CỨU TỔNG HỢP'!$B$3&lt;&gt;"",ISNUMBER(SEARCH('TRA CỨU TỔNG HỢP'!$B$3,T376))),MAX($U$3:U375)+1,"")</f>
        <v/>
      </c>
    </row>
    <row r="377" ht="15" customHeight="1" s="217">
      <c r="A377" s="347" t="inlineStr">
        <is>
          <t>HYUNDAI</t>
        </is>
      </c>
      <c r="B377" s="348" t="inlineStr">
        <is>
          <t>HH079683</t>
        </is>
      </c>
      <c r="C377" s="349" t="inlineStr">
        <is>
          <t>Mitsubishi</t>
        </is>
      </c>
      <c r="D377" s="349" t="inlineStr">
        <is>
          <t>TD05H-14G</t>
        </is>
      </c>
      <c r="E377" s="349" t="inlineStr">
        <is>
          <t>4D34T/D4DA/D4DB</t>
        </is>
      </c>
      <c r="F377" s="350" t="inlineStr">
        <is>
          <t>28230-45100/28230-45500
49178-03123/-03122
03123/02190/02123/02150
02155/02170/02325
02340/02345/02385/02386
-02391/01700/49378-01710
49178-02130/02135/4-02136/02315
49178-02335/49178-02336/49178-02386/ME014881, 49178-02385,49178023886</t>
        </is>
      </c>
      <c r="G377" s="349" t="n"/>
      <c r="H377" s="351" t="inlineStr">
        <is>
          <t>SL</t>
        </is>
      </c>
      <c r="I377" s="352" t="n"/>
      <c r="J377" s="352" t="n"/>
      <c r="K377" s="352" t="n"/>
      <c r="L377" s="352">
        <f>IF(K377="","",K377*1.1)</f>
        <v/>
      </c>
      <c r="M377" s="353" t="n">
        <v>60</v>
      </c>
      <c r="N377" s="353" t="n">
        <v>44.5</v>
      </c>
      <c r="O377" s="353" t="inlineStr">
        <is>
          <t>6/6</t>
        </is>
      </c>
      <c r="P377" s="353" t="n">
        <v>56</v>
      </c>
      <c r="Q377" s="353" t="n">
        <v>49</v>
      </c>
      <c r="R377" s="353" t="n">
        <v>12</v>
      </c>
      <c r="T377" s="346">
        <f>UPPER(A377&amp;" "&amp;B377&amp;" "&amp;D377&amp;" "&amp;E377&amp;" "&amp;F377&amp;" "&amp;G377&amp;" "&amp;H377)</f>
        <v/>
      </c>
      <c r="U377" s="216">
        <f>IF(AND('TRA CỨU TỔNG HỢP'!$B$3&lt;&gt;"",ISNUMBER(SEARCH('TRA CỨU TỔNG HỢP'!$B$3,T377))),MAX($U$3:U376)+1,"")</f>
        <v/>
      </c>
    </row>
    <row r="378" ht="15" customHeight="1" s="217">
      <c r="A378" s="347" t="inlineStr">
        <is>
          <t>HYUNDAI</t>
        </is>
      </c>
      <c r="B378" s="348" t="inlineStr">
        <is>
          <t>HH079994</t>
        </is>
      </c>
      <c r="C378" s="349" t="inlineStr">
        <is>
          <t>Mitsubishi</t>
        </is>
      </c>
      <c r="D378" s="349" t="inlineStr">
        <is>
          <t>TD05H-14G</t>
        </is>
      </c>
      <c r="E378" s="349" t="inlineStr">
        <is>
          <t>4D34T/D4DA/D4DB</t>
        </is>
      </c>
      <c r="F378" s="350" t="inlineStr">
        <is>
          <t>28230-45100/28230-45500
49178-03123/-03122
03123/02190/02123/02150
02155/02170/02325
02340/02345/02385/02386
-02391/01700/49378-01710
49178-02130/02135/4-02136/02315
49178-02335/49178-02336/49178-02386/ME014881, 49178-02385,49178023886</t>
        </is>
      </c>
      <c r="G378" s="349" t="n"/>
      <c r="H378" s="351" t="inlineStr">
        <is>
          <t>SL</t>
        </is>
      </c>
      <c r="I378" s="352" t="n"/>
      <c r="J378" s="352" t="n"/>
      <c r="K378" s="352" t="n"/>
      <c r="L378" s="352">
        <f>IF(K378="","",K378*1.1)</f>
        <v/>
      </c>
      <c r="M378" s="353" t="n">
        <v>60</v>
      </c>
      <c r="N378" s="353" t="n">
        <v>44.5</v>
      </c>
      <c r="O378" s="353" t="inlineStr">
        <is>
          <t>6/6</t>
        </is>
      </c>
      <c r="P378" s="353" t="n">
        <v>56</v>
      </c>
      <c r="Q378" s="353" t="n">
        <v>49</v>
      </c>
      <c r="R378" s="353" t="n">
        <v>12</v>
      </c>
      <c r="T378" s="346">
        <f>UPPER(A378&amp;" "&amp;B378&amp;" "&amp;D378&amp;" "&amp;E378&amp;" "&amp;F378&amp;" "&amp;G378&amp;" "&amp;H378)</f>
        <v/>
      </c>
      <c r="U378" s="216">
        <f>IF(AND('TRA CỨU TỔNG HỢP'!$B$3&lt;&gt;"",ISNUMBER(SEARCH('TRA CỨU TỔNG HỢP'!$B$3,T378))),MAX($U$3:U377)+1,"")</f>
        <v/>
      </c>
    </row>
    <row r="379" ht="15" customHeight="1" s="217">
      <c r="A379" s="354" t="inlineStr">
        <is>
          <t>HYUNDAI</t>
        </is>
      </c>
      <c r="B379" s="355" t="inlineStr">
        <is>
          <t>HH083875</t>
        </is>
      </c>
      <c r="C379" s="354" t="inlineStr">
        <is>
          <t>Mitsubishi</t>
        </is>
      </c>
      <c r="D379" s="354" t="inlineStr">
        <is>
          <t>TD05H-14G-6</t>
        </is>
      </c>
      <c r="E379" s="354" t="inlineStr">
        <is>
          <t>D4DA/ D4DD/4D34T4 | D4DA | 4D34TI</t>
        </is>
      </c>
      <c r="F379" s="356" t="inlineStr">
        <is>
          <t>28230-45000/49178-03140 | 4917803140 | 49178-03128 | 4917803128 | 49178-03122 | 4917803122 | 2823045000</t>
        </is>
      </c>
      <c r="G379" s="354" t="n"/>
      <c r="H379" s="357" t="inlineStr">
        <is>
          <t>TBS</t>
        </is>
      </c>
      <c r="I379" s="358" t="n"/>
      <c r="J379" s="358" t="n"/>
      <c r="K379" s="358" t="n"/>
      <c r="L379" s="358">
        <f>IF(K379="","",K379*1.1)</f>
        <v/>
      </c>
      <c r="M379" s="359" t="n">
        <v>60</v>
      </c>
      <c r="N379" s="359" t="n">
        <v>44.5</v>
      </c>
      <c r="O379" s="359" t="inlineStr">
        <is>
          <t>6/6</t>
        </is>
      </c>
      <c r="P379" s="359" t="n">
        <v>56</v>
      </c>
      <c r="Q379" s="359" t="n">
        <v>49</v>
      </c>
      <c r="R379" s="359" t="n">
        <v>12</v>
      </c>
      <c r="T379" s="216">
        <f>UPPER(A379&amp;" "&amp;B379&amp;" "&amp;D379&amp;" "&amp;E379&amp;" "&amp;F379&amp;" "&amp;G379&amp;" "&amp;H379)</f>
        <v/>
      </c>
      <c r="U379" s="216">
        <f>IF(AND('TRA CỨU TỔNG HỢP'!$B$3&lt;&gt;"",ISNUMBER(SEARCH('TRA CỨU TỔNG HỢP'!$B$3,T379))),MAX($U$3:U378)+1,"")</f>
        <v/>
      </c>
    </row>
    <row r="380" ht="15" customHeight="1" s="217">
      <c r="A380" s="354" t="inlineStr">
        <is>
          <t>HYUNDAI</t>
        </is>
      </c>
      <c r="B380" s="355" t="inlineStr">
        <is>
          <t>HH083396</t>
        </is>
      </c>
      <c r="C380" s="354" t="inlineStr">
        <is>
          <t>Garrett</t>
        </is>
      </c>
      <c r="D380" s="354" t="inlineStr">
        <is>
          <t>GTB1752VLK</t>
        </is>
      </c>
      <c r="E380" s="354" t="n"/>
      <c r="F380" s="356" t="inlineStr">
        <is>
          <t>28231-2F100
780502-5001S
282312F100</t>
        </is>
      </c>
      <c r="G380" s="354" t="n"/>
      <c r="H380" s="357" t="inlineStr">
        <is>
          <t>EE</t>
        </is>
      </c>
      <c r="I380" s="358" t="n"/>
      <c r="J380" s="358" t="n"/>
      <c r="K380" s="358" t="n"/>
      <c r="L380" s="358">
        <f>IF(K380="","",K380*1.1)</f>
        <v/>
      </c>
      <c r="M380" s="359" t="n">
        <v>52.4</v>
      </c>
      <c r="N380" s="359" t="n">
        <v>38.6</v>
      </c>
      <c r="O380" s="359" t="inlineStr">
        <is>
          <t>9</t>
        </is>
      </c>
      <c r="P380" s="359" t="n">
        <v>43</v>
      </c>
      <c r="Q380" s="359" t="n">
        <v>39.6</v>
      </c>
      <c r="R380" s="359" t="n">
        <v>9</v>
      </c>
      <c r="T380" s="346">
        <f>UPPER(A380&amp;" "&amp;B380&amp;" "&amp;D380&amp;" "&amp;E380&amp;" "&amp;F380&amp;" "&amp;G380&amp;" "&amp;H380)</f>
        <v/>
      </c>
      <c r="U380" s="216">
        <f>IF(AND('TRA CỨU TỔNG HỢP'!$B$3&lt;&gt;"",ISNUMBER(SEARCH('TRA CỨU TỔNG HỢP'!$B$3,T380))),MAX($U$3:U379)+1,"")</f>
        <v/>
      </c>
    </row>
    <row r="381" ht="15" customHeight="1" s="217">
      <c r="A381" s="379" t="inlineStr">
        <is>
          <t>HYUNDAI</t>
        </is>
      </c>
      <c r="B381" s="380" t="n"/>
      <c r="C381" s="379" t="inlineStr">
        <is>
          <t>BorgWarner</t>
        </is>
      </c>
      <c r="D381" s="379" t="inlineStr">
        <is>
          <t>BV43</t>
        </is>
      </c>
      <c r="E381" s="379" t="inlineStr">
        <is>
          <t>D4HB 2.2L</t>
        </is>
      </c>
      <c r="F381" s="381" t="inlineStr">
        <is>
          <t>28231-2F650
53039880430
5303-970-0430</t>
        </is>
      </c>
      <c r="G381" s="379" t="n"/>
      <c r="H381" s="382" t="n"/>
      <c r="I381" s="383" t="n"/>
      <c r="J381" s="383" t="n"/>
      <c r="K381" s="383" t="n"/>
      <c r="L381" s="383">
        <f>IF(K381="","",K381*1.1)</f>
        <v/>
      </c>
      <c r="M381" s="384" t="n">
        <v>53</v>
      </c>
      <c r="N381" s="384" t="n">
        <v>37.9</v>
      </c>
      <c r="O381" s="384" t="inlineStr">
        <is>
          <t>6/6</t>
        </is>
      </c>
      <c r="P381" s="384" t="n">
        <v>42.5</v>
      </c>
      <c r="Q381" s="384" t="n">
        <v>39.1</v>
      </c>
      <c r="R381" s="384" t="n">
        <v>9</v>
      </c>
      <c r="T381" s="346">
        <f>UPPER(A381&amp;" "&amp;B381&amp;" "&amp;D381&amp;" "&amp;E381&amp;" "&amp;F381&amp;" "&amp;G381&amp;" "&amp;H381)</f>
        <v/>
      </c>
      <c r="U381" s="216">
        <f>IF(AND('TRA CỨU TỔNG HỢP'!$B$3&lt;&gt;"",ISNUMBER(SEARCH('TRA CỨU TỔNG HỢP'!$B$3,T381))),MAX($U$3:U380)+1,"")</f>
        <v/>
      </c>
    </row>
    <row r="382" ht="15" customHeight="1" s="217">
      <c r="A382" s="354" t="inlineStr">
        <is>
          <t>HYUNDAI</t>
        </is>
      </c>
      <c r="B382" s="355" t="inlineStr">
        <is>
          <t>HH082143</t>
        </is>
      </c>
      <c r="C382" s="354" t="inlineStr">
        <is>
          <t>IHI</t>
        </is>
      </c>
      <c r="D382" s="354" t="inlineStr">
        <is>
          <t>RHF5</t>
        </is>
      </c>
      <c r="E382" s="354" t="n"/>
      <c r="F382" s="356" t="inlineStr">
        <is>
          <t>28200-4X300/VR12A VR15 VA430036 KHF5-1A
OK55113700/OK59A13700</t>
        </is>
      </c>
      <c r="G382" s="354" t="n"/>
      <c r="H382" s="357" t="inlineStr">
        <is>
          <t>SL</t>
        </is>
      </c>
      <c r="I382" s="358" t="n"/>
      <c r="J382" s="358" t="n"/>
      <c r="K382" s="358" t="n"/>
      <c r="L382" s="358">
        <f>IF(K382="","",K382*1.1)</f>
        <v/>
      </c>
      <c r="M382" s="359" t="n">
        <v>52.5</v>
      </c>
      <c r="N382" s="359" t="n">
        <v>39.2</v>
      </c>
      <c r="O382" s="359" t="inlineStr">
        <is>
          <t>6/6</t>
        </is>
      </c>
      <c r="P382" s="359" t="n">
        <v>44.4</v>
      </c>
      <c r="Q382" s="359" t="n">
        <v>37.6</v>
      </c>
      <c r="R382" s="359" t="n">
        <v>8</v>
      </c>
      <c r="T382" s="346">
        <f>UPPER(A382&amp;" "&amp;B382&amp;" "&amp;D382&amp;" "&amp;E382&amp;" "&amp;F382&amp;" "&amp;G382&amp;" "&amp;H382)</f>
        <v/>
      </c>
      <c r="U382" s="216">
        <f>IF(AND('TRA CỨU TỔNG HỢP'!$B$3&lt;&gt;"",ISNUMBER(SEARCH('TRA CỨU TỔNG HỢP'!$B$3,T382))),MAX($U$3:U381)+1,"")</f>
        <v/>
      </c>
    </row>
    <row r="383" ht="15" customHeight="1" s="217">
      <c r="A383" s="340" t="inlineStr">
        <is>
          <t>HYUNDAI</t>
        </is>
      </c>
      <c r="B383" s="341" t="inlineStr">
        <is>
          <t>HH083835</t>
        </is>
      </c>
      <c r="C383" s="340" t="inlineStr">
        <is>
          <t>Garrett</t>
        </is>
      </c>
      <c r="D383" s="340" t="inlineStr">
        <is>
          <t>GTB1449V</t>
        </is>
      </c>
      <c r="E383" s="340" t="inlineStr">
        <is>
          <t>D4CB</t>
        </is>
      </c>
      <c r="F383" s="342" t="inlineStr">
        <is>
          <t>28231-4A600
28231-4A610
823665-0001
282314A600
282314A610
823665-0009</t>
        </is>
      </c>
      <c r="G383" s="340" t="n"/>
      <c r="H383" s="343" t="inlineStr">
        <is>
          <t>EE</t>
        </is>
      </c>
      <c r="I383" s="344" t="n"/>
      <c r="J383" s="344" t="n"/>
      <c r="K383" s="344" t="n"/>
      <c r="L383" s="344">
        <f>IF(K383="","",K383*1.1)</f>
        <v/>
      </c>
      <c r="M383" s="345" t="n"/>
      <c r="N383" s="345" t="n"/>
      <c r="O383" s="345" t="n"/>
      <c r="P383" s="345" t="n"/>
      <c r="Q383" s="345" t="n"/>
      <c r="R383" s="345" t="n"/>
      <c r="T383" s="346">
        <f>UPPER(A383&amp;" "&amp;B383&amp;" "&amp;D383&amp;" "&amp;E383&amp;" "&amp;F383&amp;" "&amp;G383&amp;" "&amp;H383)</f>
        <v/>
      </c>
      <c r="U383" s="216">
        <f>IF(AND('TRA CỨU TỔNG HỢP'!$B$3&lt;&gt;"",ISNUMBER(SEARCH('TRA CỨU TỔNG HỢP'!$B$3,T383))),MAX($U$3:U382)+1,"")</f>
        <v/>
      </c>
    </row>
    <row r="384" ht="15" customHeight="1" s="217">
      <c r="A384" s="347" t="inlineStr">
        <is>
          <t>HYUNDAI</t>
        </is>
      </c>
      <c r="B384" s="348" t="inlineStr">
        <is>
          <t>HH079179</t>
        </is>
      </c>
      <c r="C384" s="349" t="inlineStr">
        <is>
          <t>Garrett</t>
        </is>
      </c>
      <c r="D384" s="349" t="inlineStr">
        <is>
          <t>GTB1449V</t>
        </is>
      </c>
      <c r="E384" s="349" t="inlineStr">
        <is>
          <t>D4CB</t>
        </is>
      </c>
      <c r="F384" s="350" t="inlineStr">
        <is>
          <t>28231-4A600
28231-4A610
823665-0001
282314A600
282314A610
823665-0009</t>
        </is>
      </c>
      <c r="G384" s="349" t="n"/>
      <c r="H384" s="351" t="n"/>
      <c r="I384" s="352" t="n"/>
      <c r="J384" s="352" t="n"/>
      <c r="K384" s="352" t="n"/>
      <c r="L384" s="352">
        <f>IF(K384="","",K384*1.1)</f>
        <v/>
      </c>
      <c r="M384" s="353" t="n"/>
      <c r="N384" s="353" t="n"/>
      <c r="O384" s="353" t="n"/>
      <c r="P384" s="353" t="n"/>
      <c r="Q384" s="353" t="n"/>
      <c r="R384" s="353" t="n"/>
      <c r="T384" s="346">
        <f>UPPER(A384&amp;" "&amp;B384&amp;" "&amp;D384&amp;" "&amp;E384&amp;" "&amp;F384&amp;" "&amp;G384&amp;" "&amp;H384)</f>
        <v/>
      </c>
      <c r="U384" s="216">
        <f>IF(AND('TRA CỨU TỔNG HỢP'!$B$3&lt;&gt;"",ISNUMBER(SEARCH('TRA CỨU TỔNG HỢP'!$B$3,T384))),MAX($U$3:U383)+1,"")</f>
        <v/>
      </c>
    </row>
    <row r="385" ht="15" customHeight="1" s="217">
      <c r="A385" s="340" t="inlineStr">
        <is>
          <t>HYUNDAI</t>
        </is>
      </c>
      <c r="B385" s="341" t="inlineStr">
        <is>
          <t>HH079360</t>
        </is>
      </c>
      <c r="C385" s="340" t="inlineStr">
        <is>
          <t>Garrett</t>
        </is>
      </c>
      <c r="D385" s="340" t="inlineStr">
        <is>
          <t>GT1749S</t>
        </is>
      </c>
      <c r="E385" s="340" t="inlineStr">
        <is>
          <t>D4AL</t>
        </is>
      </c>
      <c r="F385" s="342" t="inlineStr">
        <is>
          <t>28230-41730</t>
        </is>
      </c>
      <c r="G385" s="340" t="n"/>
      <c r="H385" s="343" t="inlineStr">
        <is>
          <t>SL</t>
        </is>
      </c>
      <c r="I385" s="344" t="n"/>
      <c r="J385" s="344" t="n"/>
      <c r="K385" s="344" t="n"/>
      <c r="L385" s="344">
        <f>IF(K385="","",K385*1.1)</f>
        <v/>
      </c>
      <c r="M385" s="345" t="n">
        <v>49</v>
      </c>
      <c r="N385" s="345" t="n">
        <v>38</v>
      </c>
      <c r="O385" s="345" t="inlineStr">
        <is>
          <t>6/6</t>
        </is>
      </c>
      <c r="P385" s="345" t="n">
        <v>44.4</v>
      </c>
      <c r="Q385" s="345" t="n">
        <v>37.6</v>
      </c>
      <c r="R385" s="345" t="inlineStr">
        <is>
          <t>9</t>
        </is>
      </c>
      <c r="T385" s="216">
        <f>UPPER(A385&amp;" "&amp;B385&amp;" "&amp;D385&amp;" "&amp;E385&amp;" "&amp;F385&amp;" "&amp;G385&amp;" "&amp;H385)</f>
        <v/>
      </c>
      <c r="U385" s="216">
        <f>IF(AND('TRA CỨU TỔNG HỢP'!$B$3&lt;&gt;"",ISNUMBER(SEARCH('TRA CỨU TỔNG HỢP'!$B$3,T385))),MAX($U$3:U384)+1,"")</f>
        <v/>
      </c>
    </row>
    <row r="386" ht="15" customHeight="1" s="217">
      <c r="A386" s="347" t="inlineStr">
        <is>
          <t>HYUNDAI</t>
        </is>
      </c>
      <c r="B386" s="348" t="inlineStr">
        <is>
          <t>HH074828</t>
        </is>
      </c>
      <c r="C386" s="349" t="inlineStr">
        <is>
          <t>Garrett</t>
        </is>
      </c>
      <c r="D386" s="349" t="inlineStr">
        <is>
          <t>GT1749S</t>
        </is>
      </c>
      <c r="E386" s="349" t="inlineStr">
        <is>
          <t>D4AL</t>
        </is>
      </c>
      <c r="F386" s="350" t="inlineStr">
        <is>
          <t>28230-41730</t>
        </is>
      </c>
      <c r="G386" s="349" t="n"/>
      <c r="H386" s="351" t="inlineStr">
        <is>
          <t>JRONE</t>
        </is>
      </c>
      <c r="I386" s="352" t="n"/>
      <c r="J386" s="352" t="n"/>
      <c r="K386" s="352" t="n"/>
      <c r="L386" s="352">
        <f>IF(K386="","",K386*1.1)</f>
        <v/>
      </c>
      <c r="M386" s="353" t="n">
        <v>49</v>
      </c>
      <c r="N386" s="353" t="n">
        <v>38</v>
      </c>
      <c r="O386" s="353" t="inlineStr">
        <is>
          <t>6/6</t>
        </is>
      </c>
      <c r="P386" s="353" t="n">
        <v>44.4</v>
      </c>
      <c r="Q386" s="353" t="n">
        <v>37.6</v>
      </c>
      <c r="R386" s="353" t="inlineStr">
        <is>
          <t>9</t>
        </is>
      </c>
      <c r="T386" s="216">
        <f>UPPER(A386&amp;" "&amp;B386&amp;" "&amp;D386&amp;" "&amp;E386&amp;" "&amp;F386&amp;" "&amp;G386&amp;" "&amp;H386)</f>
        <v/>
      </c>
      <c r="U386" s="216">
        <f>IF(AND('TRA CỨU TỔNG HỢP'!$B$3&lt;&gt;"",ISNUMBER(SEARCH('TRA CỨU TỔNG HỢP'!$B$3,T386))),MAX($U$3:U385)+1,"")</f>
        <v/>
      </c>
    </row>
    <row r="387" ht="15" customHeight="1" s="217">
      <c r="A387" s="347" t="inlineStr">
        <is>
          <t>HYUNDAI</t>
        </is>
      </c>
      <c r="B387" s="348" t="inlineStr">
        <is>
          <t>HH079967</t>
        </is>
      </c>
      <c r="C387" s="349" t="inlineStr">
        <is>
          <t>Garrett</t>
        </is>
      </c>
      <c r="D387" s="349" t="inlineStr">
        <is>
          <t>GT1749S</t>
        </is>
      </c>
      <c r="E387" s="349" t="inlineStr">
        <is>
          <t>D4AL</t>
        </is>
      </c>
      <c r="F387" s="350" t="inlineStr">
        <is>
          <t>28230-41730</t>
        </is>
      </c>
      <c r="G387" s="349" t="n"/>
      <c r="H387" s="351" t="inlineStr">
        <is>
          <t>SL</t>
        </is>
      </c>
      <c r="I387" s="352" t="n"/>
      <c r="J387" s="352" t="n"/>
      <c r="K387" s="352" t="n"/>
      <c r="L387" s="352">
        <f>IF(K387="","",K387*1.1)</f>
        <v/>
      </c>
      <c r="M387" s="353" t="n">
        <v>49</v>
      </c>
      <c r="N387" s="353" t="n">
        <v>38</v>
      </c>
      <c r="O387" s="353" t="inlineStr">
        <is>
          <t>6/6</t>
        </is>
      </c>
      <c r="P387" s="353" t="n">
        <v>44.4</v>
      </c>
      <c r="Q387" s="353" t="n">
        <v>37.6</v>
      </c>
      <c r="R387" s="353" t="inlineStr">
        <is>
          <t>9</t>
        </is>
      </c>
      <c r="T387" s="216">
        <f>UPPER(A387&amp;" "&amp;B387&amp;" "&amp;D387&amp;" "&amp;E387&amp;" "&amp;F387&amp;" "&amp;G387&amp;" "&amp;H387)</f>
        <v/>
      </c>
      <c r="U387" s="216">
        <f>IF(AND('TRA CỨU TỔNG HỢP'!$B$3&lt;&gt;"",ISNUMBER(SEARCH('TRA CỨU TỔNG HỢP'!$B$3,T387))),MAX($U$3:U386)+1,"")</f>
        <v/>
      </c>
    </row>
    <row r="388" ht="15" customHeight="1" s="217">
      <c r="A388" s="340" t="inlineStr">
        <is>
          <t>HYUNDAI</t>
        </is>
      </c>
      <c r="B388" s="341" t="inlineStr">
        <is>
          <t>HH078404</t>
        </is>
      </c>
      <c r="C388" s="340" t="inlineStr">
        <is>
          <t>Mitsubishi</t>
        </is>
      </c>
      <c r="D388" s="340" t="inlineStr">
        <is>
          <t>TD03L4</t>
        </is>
      </c>
      <c r="E388" s="340" t="inlineStr">
        <is>
          <t>D4CB</t>
        </is>
      </c>
      <c r="F388" s="342" t="inlineStr">
        <is>
          <t>28231-4A800/28231-4A850
28231-4A780/49590-45607
90130-01040/49131-03600
90120-01080/8M03-200-707</t>
        </is>
      </c>
      <c r="G388" s="340" t="n"/>
      <c r="H388" s="343" t="inlineStr">
        <is>
          <t>SL</t>
        </is>
      </c>
      <c r="I388" s="344" t="n"/>
      <c r="J388" s="344" t="n"/>
      <c r="K388" s="344" t="n"/>
      <c r="L388" s="344">
        <f>IF(K388="","",K388*1.1)</f>
        <v/>
      </c>
      <c r="M388" s="345" t="n">
        <v>46</v>
      </c>
      <c r="N388" s="345" t="n">
        <v>35.6</v>
      </c>
      <c r="O388" s="345" t="inlineStr">
        <is>
          <t>6/6</t>
        </is>
      </c>
      <c r="P388" s="345" t="n">
        <v>40.2</v>
      </c>
      <c r="Q388" s="345" t="n">
        <v>35.1</v>
      </c>
      <c r="R388" s="345" t="n">
        <v>11</v>
      </c>
      <c r="T388" s="346">
        <f>UPPER(A388&amp;" "&amp;B388&amp;" "&amp;D388&amp;" "&amp;E388&amp;" "&amp;F388&amp;" "&amp;G388&amp;" "&amp;H388)</f>
        <v/>
      </c>
      <c r="U388" s="216">
        <f>IF(AND('TRA CỨU TỔNG HỢP'!$B$3&lt;&gt;"",ISNUMBER(SEARCH('TRA CỨU TỔNG HỢP'!$B$3,T388))),MAX($U$3:U387)+1,"")</f>
        <v/>
      </c>
    </row>
    <row r="389" ht="15" customHeight="1" s="217">
      <c r="A389" s="347" t="inlineStr">
        <is>
          <t>HYUNDAI</t>
        </is>
      </c>
      <c r="B389" s="348" t="inlineStr">
        <is>
          <t>HH075721</t>
        </is>
      </c>
      <c r="C389" s="349" t="inlineStr">
        <is>
          <t>Mitsubishi</t>
        </is>
      </c>
      <c r="D389" s="349" t="inlineStr">
        <is>
          <t>TD03L4</t>
        </is>
      </c>
      <c r="E389" s="349" t="inlineStr">
        <is>
          <t>D4CB</t>
        </is>
      </c>
      <c r="F389" s="350" t="inlineStr">
        <is>
          <t>28231-4A800/28231-4A850
28231-4A780/49590-45607
90130-01040/49131-03600
90120-01080/8M03-200-707</t>
        </is>
      </c>
      <c r="G389" s="349" t="n"/>
      <c r="H389" s="351" t="inlineStr">
        <is>
          <t>JRONE</t>
        </is>
      </c>
      <c r="I389" s="352" t="n"/>
      <c r="J389" s="352" t="n"/>
      <c r="K389" s="352" t="n"/>
      <c r="L389" s="352">
        <f>IF(K389="","",K389*1.1)</f>
        <v/>
      </c>
      <c r="M389" s="353" t="n">
        <v>46</v>
      </c>
      <c r="N389" s="353" t="n">
        <v>35.6</v>
      </c>
      <c r="O389" s="353" t="inlineStr">
        <is>
          <t>6/6</t>
        </is>
      </c>
      <c r="P389" s="353" t="n">
        <v>40.2</v>
      </c>
      <c r="Q389" s="353" t="n">
        <v>35.1</v>
      </c>
      <c r="R389" s="353" t="n">
        <v>11</v>
      </c>
      <c r="T389" s="346">
        <f>UPPER(A389&amp;" "&amp;B389&amp;" "&amp;D389&amp;" "&amp;E389&amp;" "&amp;F389&amp;" "&amp;G389&amp;" "&amp;H389)</f>
        <v/>
      </c>
      <c r="U389" s="216">
        <f>IF(AND('TRA CỨU TỔNG HỢP'!$B$3&lt;&gt;"",ISNUMBER(SEARCH('TRA CỨU TỔNG HỢP'!$B$3,T389))),MAX($U$3:U388)+1,"")</f>
        <v/>
      </c>
    </row>
    <row r="390" ht="15" customHeight="1" s="217">
      <c r="A390" s="347" t="inlineStr">
        <is>
          <t>HYUNDAI</t>
        </is>
      </c>
      <c r="B390" s="348" t="inlineStr">
        <is>
          <t>HH079355</t>
        </is>
      </c>
      <c r="C390" s="349" t="inlineStr">
        <is>
          <t>Mitsubishi</t>
        </is>
      </c>
      <c r="D390" s="349" t="inlineStr">
        <is>
          <t>TD03L4</t>
        </is>
      </c>
      <c r="E390" s="349" t="inlineStr">
        <is>
          <t>D4CB</t>
        </is>
      </c>
      <c r="F390" s="350" t="inlineStr">
        <is>
          <t>28231-4A800/28231-4A850
28231-4A780/49590-45607
90130-01040/49131-03600
90120-01080/8M03-200-707</t>
        </is>
      </c>
      <c r="G390" s="349" t="n"/>
      <c r="H390" s="351" t="inlineStr">
        <is>
          <t>SL</t>
        </is>
      </c>
      <c r="I390" s="352" t="n"/>
      <c r="J390" s="352" t="n"/>
      <c r="K390" s="352" t="n"/>
      <c r="L390" s="352">
        <f>IF(K390="","",K390*1.1)</f>
        <v/>
      </c>
      <c r="M390" s="353" t="n">
        <v>46</v>
      </c>
      <c r="N390" s="353" t="n">
        <v>35.6</v>
      </c>
      <c r="O390" s="353" t="inlineStr">
        <is>
          <t>6/6</t>
        </is>
      </c>
      <c r="P390" s="353" t="n">
        <v>40.2</v>
      </c>
      <c r="Q390" s="353" t="n">
        <v>35.1</v>
      </c>
      <c r="R390" s="353" t="n">
        <v>11</v>
      </c>
      <c r="T390" s="346">
        <f>UPPER(A390&amp;" "&amp;B390&amp;" "&amp;D390&amp;" "&amp;E390&amp;" "&amp;F390&amp;" "&amp;G390&amp;" "&amp;H390)</f>
        <v/>
      </c>
      <c r="U390" s="216">
        <f>IF(AND('TRA CỨU TỔNG HỢP'!$B$3&lt;&gt;"",ISNUMBER(SEARCH('TRA CỨU TỔNG HỢP'!$B$3,T390))),MAX($U$3:U389)+1,"")</f>
        <v/>
      </c>
    </row>
    <row r="391" ht="15" customHeight="1" s="217">
      <c r="A391" s="347" t="inlineStr">
        <is>
          <t>HYUNDAI</t>
        </is>
      </c>
      <c r="B391" s="348" t="inlineStr">
        <is>
          <t>HH078867</t>
        </is>
      </c>
      <c r="C391" s="349" t="inlineStr">
        <is>
          <t>Mitsubishi</t>
        </is>
      </c>
      <c r="D391" s="349" t="inlineStr">
        <is>
          <t>TD03L4</t>
        </is>
      </c>
      <c r="E391" s="349" t="inlineStr">
        <is>
          <t>D4CB</t>
        </is>
      </c>
      <c r="F391" s="350" t="inlineStr">
        <is>
          <t>28231-4A800/28231-4A850
28231-4A780/49590-45607
90130-01040/49131-03600
90120-01080/8M03-200-707</t>
        </is>
      </c>
      <c r="G391" s="349" t="n"/>
      <c r="H391" s="351" t="inlineStr">
        <is>
          <t>SL</t>
        </is>
      </c>
      <c r="I391" s="352" t="n"/>
      <c r="J391" s="352" t="n"/>
      <c r="K391" s="352" t="n"/>
      <c r="L391" s="352">
        <f>IF(K391="","",K391*1.1)</f>
        <v/>
      </c>
      <c r="M391" s="353" t="n">
        <v>46</v>
      </c>
      <c r="N391" s="353" t="n">
        <v>35.6</v>
      </c>
      <c r="O391" s="353" t="inlineStr">
        <is>
          <t>6/6</t>
        </is>
      </c>
      <c r="P391" s="353" t="n">
        <v>40.2</v>
      </c>
      <c r="Q391" s="353" t="n">
        <v>35.1</v>
      </c>
      <c r="R391" s="353" t="n">
        <v>11</v>
      </c>
      <c r="T391" s="346">
        <f>UPPER(A391&amp;" "&amp;B391&amp;" "&amp;D391&amp;" "&amp;E391&amp;" "&amp;F391&amp;" "&amp;G391&amp;" "&amp;H391)</f>
        <v/>
      </c>
      <c r="U391" s="216">
        <f>IF(AND('TRA CỨU TỔNG HỢP'!$B$3&lt;&gt;"",ISNUMBER(SEARCH('TRA CỨU TỔNG HỢP'!$B$3,T391))),MAX($U$3:U390)+1,"")</f>
        <v/>
      </c>
    </row>
    <row r="392" ht="15" customHeight="1" s="217">
      <c r="A392" s="347" t="inlineStr">
        <is>
          <t>HYUNDAI</t>
        </is>
      </c>
      <c r="B392" s="348" t="inlineStr">
        <is>
          <t>HH082880</t>
        </is>
      </c>
      <c r="C392" s="349" t="inlineStr">
        <is>
          <t>Mitsubishi</t>
        </is>
      </c>
      <c r="D392" s="349" t="inlineStr">
        <is>
          <t>TD03L4</t>
        </is>
      </c>
      <c r="E392" s="349" t="inlineStr">
        <is>
          <t>D4CB</t>
        </is>
      </c>
      <c r="F392" s="350" t="inlineStr">
        <is>
          <t>28231-4A800/28231-4A850
28231-4A780/49590-45607
90130-01040/49131-03600
90120-01080/8M03-200-707</t>
        </is>
      </c>
      <c r="G392" s="349" t="n"/>
      <c r="H392" s="351" t="inlineStr">
        <is>
          <t>SL</t>
        </is>
      </c>
      <c r="I392" s="352" t="n"/>
      <c r="J392" s="352" t="n"/>
      <c r="K392" s="352" t="n"/>
      <c r="L392" s="352">
        <f>IF(K392="","",K392*1.1)</f>
        <v/>
      </c>
      <c r="M392" s="353" t="n">
        <v>46</v>
      </c>
      <c r="N392" s="353" t="n">
        <v>35.6</v>
      </c>
      <c r="O392" s="353" t="inlineStr">
        <is>
          <t>6/6</t>
        </is>
      </c>
      <c r="P392" s="353" t="n">
        <v>40.2</v>
      </c>
      <c r="Q392" s="353" t="n">
        <v>35.1</v>
      </c>
      <c r="R392" s="353" t="n">
        <v>11</v>
      </c>
      <c r="T392" s="346">
        <f>UPPER(A392&amp;" "&amp;B392&amp;" "&amp;D392&amp;" "&amp;E392&amp;" "&amp;F392&amp;" "&amp;G392&amp;" "&amp;H392)</f>
        <v/>
      </c>
      <c r="U392" s="216">
        <f>IF(AND('TRA CỨU TỔNG HỢP'!$B$3&lt;&gt;"",ISNUMBER(SEARCH('TRA CỨU TỔNG HỢP'!$B$3,T392))),MAX($U$3:U391)+1,"")</f>
        <v/>
      </c>
    </row>
    <row r="393" ht="15" customHeight="1" s="217">
      <c r="A393" s="347" t="inlineStr">
        <is>
          <t>HYUNDAI</t>
        </is>
      </c>
      <c r="B393" s="348" t="inlineStr">
        <is>
          <t>HH080494</t>
        </is>
      </c>
      <c r="C393" s="349" t="inlineStr">
        <is>
          <t>Mitsubishi</t>
        </is>
      </c>
      <c r="D393" s="349" t="inlineStr">
        <is>
          <t>TD03L4</t>
        </is>
      </c>
      <c r="E393" s="349" t="inlineStr">
        <is>
          <t>D4CB</t>
        </is>
      </c>
      <c r="F393" s="350" t="inlineStr">
        <is>
          <t>28231-4A800/28231-4A850
28231-4A780/49590-45607
90130-01040/49131-03600
90120-01080/8M03-200-707</t>
        </is>
      </c>
      <c r="G393" s="349" t="n"/>
      <c r="H393" s="351" t="inlineStr">
        <is>
          <t>SL</t>
        </is>
      </c>
      <c r="I393" s="352" t="n"/>
      <c r="J393" s="352" t="n"/>
      <c r="K393" s="352" t="n"/>
      <c r="L393" s="352">
        <f>IF(K393="","",K393*1.1)</f>
        <v/>
      </c>
      <c r="M393" s="353" t="n">
        <v>46</v>
      </c>
      <c r="N393" s="353" t="n">
        <v>35.6</v>
      </c>
      <c r="O393" s="353" t="inlineStr">
        <is>
          <t>6/6</t>
        </is>
      </c>
      <c r="P393" s="353" t="n">
        <v>40.2</v>
      </c>
      <c r="Q393" s="353" t="n">
        <v>35.1</v>
      </c>
      <c r="R393" s="353" t="n">
        <v>11</v>
      </c>
      <c r="T393" s="346">
        <f>UPPER(A393&amp;" "&amp;B393&amp;" "&amp;D393&amp;" "&amp;E393&amp;" "&amp;F393&amp;" "&amp;G393&amp;" "&amp;H393)</f>
        <v/>
      </c>
      <c r="U393" s="216">
        <f>IF(AND('TRA CỨU TỔNG HỢP'!$B$3&lt;&gt;"",ISNUMBER(SEARCH('TRA CỨU TỔNG HỢP'!$B$3,T393))),MAX($U$3:U392)+1,"")</f>
        <v/>
      </c>
    </row>
    <row r="394" ht="15" customHeight="1" s="217">
      <c r="A394" s="347" t="inlineStr">
        <is>
          <t>HYUNDAI</t>
        </is>
      </c>
      <c r="B394" s="348" t="inlineStr">
        <is>
          <t>HH078868</t>
        </is>
      </c>
      <c r="C394" s="349" t="inlineStr">
        <is>
          <t>Mitsubishi</t>
        </is>
      </c>
      <c r="D394" s="349" t="inlineStr">
        <is>
          <t>TD03L4</t>
        </is>
      </c>
      <c r="E394" s="349" t="inlineStr">
        <is>
          <t>D4CB</t>
        </is>
      </c>
      <c r="F394" s="350" t="inlineStr">
        <is>
          <t>28231-4A800/28231-4A850
28231-4A780/49590-45607
90130-01040/49131-03600
90120-01080/8M03-200-707</t>
        </is>
      </c>
      <c r="G394" s="349" t="n"/>
      <c r="H394" s="351" t="inlineStr">
        <is>
          <t>SL</t>
        </is>
      </c>
      <c r="I394" s="352" t="n"/>
      <c r="J394" s="352" t="n"/>
      <c r="K394" s="352" t="n"/>
      <c r="L394" s="352">
        <f>IF(K394="","",K394*1.1)</f>
        <v/>
      </c>
      <c r="M394" s="353" t="n">
        <v>46</v>
      </c>
      <c r="N394" s="353" t="n">
        <v>35.6</v>
      </c>
      <c r="O394" s="353" t="inlineStr">
        <is>
          <t>6/6</t>
        </is>
      </c>
      <c r="P394" s="353" t="n">
        <v>40.2</v>
      </c>
      <c r="Q394" s="353" t="n">
        <v>35.1</v>
      </c>
      <c r="R394" s="353" t="n">
        <v>11</v>
      </c>
      <c r="T394" s="346">
        <f>UPPER(A394&amp;" "&amp;B394&amp;" "&amp;D394&amp;" "&amp;E394&amp;" "&amp;F394&amp;" "&amp;G394&amp;" "&amp;H394)</f>
        <v/>
      </c>
      <c r="U394" s="216">
        <f>IF(AND('TRA CỨU TỔNG HỢP'!$B$3&lt;&gt;"",ISNUMBER(SEARCH('TRA CỨU TỔNG HỢP'!$B$3,T394))),MAX($U$3:U393)+1,"")</f>
        <v/>
      </c>
    </row>
    <row r="395" ht="15" customHeight="1" s="217">
      <c r="A395" s="340" t="inlineStr">
        <is>
          <t>HYUNDAI</t>
        </is>
      </c>
      <c r="B395" s="341" t="inlineStr">
        <is>
          <t>HH075427</t>
        </is>
      </c>
      <c r="C395" s="340" t="inlineStr">
        <is>
          <t>BorgWarner</t>
        </is>
      </c>
      <c r="D395" s="340" t="inlineStr">
        <is>
          <t>BV43</t>
        </is>
      </c>
      <c r="E395" s="340" t="inlineStr">
        <is>
          <t>D4CB</t>
        </is>
      </c>
      <c r="F395" s="342" t="inlineStr">
        <is>
          <t>28231-4A700
28231-4A701
53039700353
53039880226
53039700226
53039880353</t>
        </is>
      </c>
      <c r="G395" s="340" t="n"/>
      <c r="H395" s="343" t="inlineStr">
        <is>
          <t>SL</t>
        </is>
      </c>
      <c r="I395" s="344" t="n"/>
      <c r="J395" s="344" t="n"/>
      <c r="K395" s="344" t="n"/>
      <c r="L395" s="344">
        <f>IF(K395="","",K395*1.1)</f>
        <v/>
      </c>
      <c r="M395" s="345" t="n">
        <v>52.8</v>
      </c>
      <c r="N395" s="345" t="n">
        <v>36.7</v>
      </c>
      <c r="O395" s="345" t="inlineStr">
        <is>
          <t>6/6</t>
        </is>
      </c>
      <c r="P395" s="345" t="n">
        <v>42.5</v>
      </c>
      <c r="Q395" s="345" t="n">
        <v>37.8</v>
      </c>
      <c r="R395" s="345" t="inlineStr">
        <is>
          <t>9</t>
        </is>
      </c>
      <c r="T395" s="346">
        <f>UPPER(A395&amp;" "&amp;B395&amp;" "&amp;D395&amp;" "&amp;E395&amp;" "&amp;F395&amp;" "&amp;G395&amp;" "&amp;H395)</f>
        <v/>
      </c>
      <c r="U395" s="216">
        <f>IF(AND('TRA CỨU TỔNG HỢP'!$B$3&lt;&gt;"",ISNUMBER(SEARCH('TRA CỨU TỔNG HỢP'!$B$3,T395))),MAX($U$3:U394)+1,"")</f>
        <v/>
      </c>
    </row>
    <row r="396" ht="15" customHeight="1" s="217">
      <c r="A396" s="347" t="inlineStr">
        <is>
          <t>HYUNDAI</t>
        </is>
      </c>
      <c r="B396" s="348" t="inlineStr">
        <is>
          <t>HH080016</t>
        </is>
      </c>
      <c r="C396" s="349" t="inlineStr">
        <is>
          <t>BorgWarner</t>
        </is>
      </c>
      <c r="D396" s="349" t="inlineStr">
        <is>
          <t>BV43</t>
        </is>
      </c>
      <c r="E396" s="349" t="inlineStr">
        <is>
          <t>D4CB</t>
        </is>
      </c>
      <c r="F396" s="350" t="inlineStr">
        <is>
          <t>28231-4A700
28231-4A701
53039700353
53039880226
53039700226
53039880353</t>
        </is>
      </c>
      <c r="G396" s="349" t="n"/>
      <c r="H396" s="351" t="inlineStr">
        <is>
          <t>SL</t>
        </is>
      </c>
      <c r="I396" s="352" t="n"/>
      <c r="J396" s="352" t="n"/>
      <c r="K396" s="352" t="n"/>
      <c r="L396" s="352">
        <f>IF(K396="","",K396*1.1)</f>
        <v/>
      </c>
      <c r="M396" s="353" t="n">
        <v>52.8</v>
      </c>
      <c r="N396" s="353" t="n">
        <v>36.7</v>
      </c>
      <c r="O396" s="353" t="inlineStr">
        <is>
          <t>6/6</t>
        </is>
      </c>
      <c r="P396" s="353" t="n">
        <v>42.5</v>
      </c>
      <c r="Q396" s="353" t="n">
        <v>37.8</v>
      </c>
      <c r="R396" s="353" t="inlineStr">
        <is>
          <t>9</t>
        </is>
      </c>
      <c r="T396" s="346">
        <f>UPPER(A396&amp;" "&amp;B396&amp;" "&amp;D396&amp;" "&amp;E396&amp;" "&amp;F396&amp;" "&amp;G396&amp;" "&amp;H396)</f>
        <v/>
      </c>
      <c r="U396" s="216">
        <f>IF(AND('TRA CỨU TỔNG HỢP'!$B$3&lt;&gt;"",ISNUMBER(SEARCH('TRA CỨU TỔNG HỢP'!$B$3,T396))),MAX($U$3:U395)+1,"")</f>
        <v/>
      </c>
    </row>
    <row r="397" ht="15" customHeight="1" s="217">
      <c r="A397" s="379" t="inlineStr">
        <is>
          <t>HYUNDAI</t>
        </is>
      </c>
      <c r="B397" s="380" t="n"/>
      <c r="C397" s="379" t="inlineStr">
        <is>
          <t>IHI</t>
        </is>
      </c>
      <c r="D397" s="379" t="inlineStr">
        <is>
          <t>RHV4 / VT16</t>
        </is>
      </c>
      <c r="E397" s="379" t="inlineStr">
        <is>
          <t>4D56</t>
        </is>
      </c>
      <c r="F397" s="381" t="inlineStr">
        <is>
          <t>1515A170</t>
        </is>
      </c>
      <c r="G397" s="379" t="n"/>
      <c r="H397" s="382" t="n"/>
      <c r="I397" s="383" t="n"/>
      <c r="J397" s="383" t="n"/>
      <c r="K397" s="383" t="n"/>
      <c r="L397" s="383">
        <f>IF(K397="","",K397*1.1)</f>
        <v/>
      </c>
      <c r="M397" s="384" t="n">
        <v>52.5</v>
      </c>
      <c r="N397" s="384" t="n">
        <v>38.7</v>
      </c>
      <c r="O397" s="384" t="inlineStr">
        <is>
          <t>6/6</t>
        </is>
      </c>
      <c r="P397" s="384" t="n">
        <v>44.6</v>
      </c>
      <c r="Q397" s="384" t="n">
        <v>41.6</v>
      </c>
      <c r="R397" s="384" t="n">
        <v>9</v>
      </c>
      <c r="T397" s="216">
        <f>UPPER(A397&amp;" "&amp;B397&amp;" "&amp;D397&amp;" "&amp;E397&amp;" "&amp;F397&amp;" "&amp;G397&amp;" "&amp;H397)</f>
        <v/>
      </c>
      <c r="U397" s="216">
        <f>IF(AND('TRA CỨU TỔNG HỢP'!$B$3&lt;&gt;"",ISNUMBER(SEARCH('TRA CỨU TỔNG HỢP'!$B$3,T397))),MAX($U$3:U396)+1,"")</f>
        <v/>
      </c>
    </row>
    <row r="398" ht="15" customHeight="1" s="217">
      <c r="A398" s="340" t="inlineStr">
        <is>
          <t>HYUNDAI</t>
        </is>
      </c>
      <c r="B398" s="341" t="inlineStr">
        <is>
          <t>HH083400</t>
        </is>
      </c>
      <c r="C398" s="340" t="inlineStr">
        <is>
          <t>IHI</t>
        </is>
      </c>
      <c r="D398" s="340" t="inlineStr">
        <is>
          <t>RHF5</t>
        </is>
      </c>
      <c r="E398" s="340" t="n"/>
      <c r="F398" s="342" t="inlineStr">
        <is>
          <t>28200-4X400</t>
        </is>
      </c>
      <c r="G398" s="340" t="inlineStr">
        <is>
          <t>Hyu, Terracan 2.9, 4X700 I165 - EE</t>
        </is>
      </c>
      <c r="H398" s="343" t="inlineStr">
        <is>
          <t>EE</t>
        </is>
      </c>
      <c r="I398" s="344" t="n"/>
      <c r="J398" s="344" t="n"/>
      <c r="K398" s="344" t="n"/>
      <c r="L398" s="344">
        <f>IF(K398="","",K398*1.1)</f>
        <v/>
      </c>
      <c r="M398" s="345" t="n">
        <v>52.5</v>
      </c>
      <c r="N398" s="345" t="n">
        <v>39.2</v>
      </c>
      <c r="O398" s="345" t="inlineStr">
        <is>
          <t>6/6</t>
        </is>
      </c>
      <c r="P398" s="345" t="n">
        <v>44.4</v>
      </c>
      <c r="Q398" s="345" t="n">
        <v>37.6</v>
      </c>
      <c r="R398" s="345" t="n">
        <v>8</v>
      </c>
      <c r="T398" s="216">
        <f>UPPER(A398&amp;" "&amp;B398&amp;" "&amp;D398&amp;" "&amp;E398&amp;" "&amp;F398&amp;" "&amp;G398&amp;" "&amp;H398)</f>
        <v/>
      </c>
      <c r="U398" s="216">
        <f>IF(AND('TRA CỨU TỔNG HỢP'!$B$3&lt;&gt;"",ISNUMBER(SEARCH('TRA CỨU TỔNG HỢP'!$B$3,T398))),MAX($U$3:U397)+1,"")</f>
        <v/>
      </c>
    </row>
    <row r="399" ht="15" customHeight="1" s="217">
      <c r="A399" s="347" t="inlineStr">
        <is>
          <t>HYUNDAI</t>
        </is>
      </c>
      <c r="B399" s="348" t="inlineStr">
        <is>
          <t>HH083408</t>
        </is>
      </c>
      <c r="C399" s="349" t="inlineStr">
        <is>
          <t>IHI</t>
        </is>
      </c>
      <c r="D399" s="349" t="inlineStr">
        <is>
          <t>RHF5</t>
        </is>
      </c>
      <c r="E399" s="349" t="n"/>
      <c r="F399" s="350" t="inlineStr">
        <is>
          <t>28200-4X400</t>
        </is>
      </c>
      <c r="G399" s="349" t="inlineStr">
        <is>
          <t>Hyu, Terracan 2.9, 4X700 I165 - EE</t>
        </is>
      </c>
      <c r="H399" s="351" t="inlineStr">
        <is>
          <t>SL</t>
        </is>
      </c>
      <c r="I399" s="352" t="n"/>
      <c r="J399" s="352" t="n"/>
      <c r="K399" s="352" t="n"/>
      <c r="L399" s="352">
        <f>IF(K399="","",K399*1.1)</f>
        <v/>
      </c>
      <c r="M399" s="353" t="n">
        <v>52.5</v>
      </c>
      <c r="N399" s="353" t="n">
        <v>39.2</v>
      </c>
      <c r="O399" s="353" t="inlineStr">
        <is>
          <t>6/6</t>
        </is>
      </c>
      <c r="P399" s="353" t="n">
        <v>44.4</v>
      </c>
      <c r="Q399" s="353" t="n">
        <v>37.6</v>
      </c>
      <c r="R399" s="353" t="n">
        <v>8</v>
      </c>
      <c r="T399" s="216">
        <f>UPPER(A399&amp;" "&amp;B399&amp;" "&amp;D399&amp;" "&amp;E399&amp;" "&amp;F399&amp;" "&amp;G399&amp;" "&amp;H399)</f>
        <v/>
      </c>
      <c r="U399" s="216">
        <f>IF(AND('TRA CỨU TỔNG HỢP'!$B$3&lt;&gt;"",ISNUMBER(SEARCH('TRA CỨU TỔNG HỢP'!$B$3,T399))),MAX($U$3:U398)+1,"")</f>
        <v/>
      </c>
    </row>
    <row r="400" ht="15" customHeight="1" s="217">
      <c r="A400" s="347" t="inlineStr">
        <is>
          <t>HYUNDAI</t>
        </is>
      </c>
      <c r="B400" s="348" t="inlineStr">
        <is>
          <t>HH083409</t>
        </is>
      </c>
      <c r="C400" s="349" t="inlineStr">
        <is>
          <t>IHI</t>
        </is>
      </c>
      <c r="D400" s="349" t="inlineStr">
        <is>
          <t>RHF5</t>
        </is>
      </c>
      <c r="E400" s="349" t="n"/>
      <c r="F400" s="350" t="inlineStr">
        <is>
          <t>28200-4X400</t>
        </is>
      </c>
      <c r="G400" s="349" t="inlineStr">
        <is>
          <t>Hyu, Terracan 2.9, 4X700 I165 - EE</t>
        </is>
      </c>
      <c r="H400" s="351" t="inlineStr">
        <is>
          <t>SL</t>
        </is>
      </c>
      <c r="I400" s="352" t="n"/>
      <c r="J400" s="352" t="n"/>
      <c r="K400" s="352" t="n"/>
      <c r="L400" s="352">
        <f>IF(K400="","",K400*1.1)</f>
        <v/>
      </c>
      <c r="M400" s="353" t="n">
        <v>52.5</v>
      </c>
      <c r="N400" s="353" t="n">
        <v>39.2</v>
      </c>
      <c r="O400" s="353" t="inlineStr">
        <is>
          <t>6/6</t>
        </is>
      </c>
      <c r="P400" s="353" t="n">
        <v>44.4</v>
      </c>
      <c r="Q400" s="353" t="n">
        <v>37.6</v>
      </c>
      <c r="R400" s="353" t="n">
        <v>8</v>
      </c>
      <c r="T400" s="216">
        <f>UPPER(A400&amp;" "&amp;B400&amp;" "&amp;D400&amp;" "&amp;E400&amp;" "&amp;F400&amp;" "&amp;G400&amp;" "&amp;H400)</f>
        <v/>
      </c>
      <c r="U400" s="216">
        <f>IF(AND('TRA CỨU TỔNG HỢP'!$B$3&lt;&gt;"",ISNUMBER(SEARCH('TRA CỨU TỔNG HỢP'!$B$3,T400))),MAX($U$3:U399)+1,"")</f>
        <v/>
      </c>
    </row>
    <row r="401" ht="15" customHeight="1" s="217">
      <c r="A401" s="354" t="inlineStr">
        <is>
          <t>HYUNDAI</t>
        </is>
      </c>
      <c r="B401" s="355" t="inlineStr">
        <is>
          <t>HH083052</t>
        </is>
      </c>
      <c r="C401" s="354" t="inlineStr">
        <is>
          <t>BorgWarner</t>
        </is>
      </c>
      <c r="D401" s="354" t="inlineStr">
        <is>
          <t>BV43</t>
        </is>
      </c>
      <c r="E401" s="354" t="inlineStr">
        <is>
          <t>D4CB</t>
        </is>
      </c>
      <c r="F401" s="356" t="inlineStr">
        <is>
          <t>28200-4A421</t>
        </is>
      </c>
      <c r="G401" s="354" t="inlineStr">
        <is>
          <t>Sorento</t>
        </is>
      </c>
      <c r="H401" s="357" t="inlineStr">
        <is>
          <t>SL</t>
        </is>
      </c>
      <c r="I401" s="358" t="n"/>
      <c r="J401" s="358" t="n"/>
      <c r="K401" s="358" t="n"/>
      <c r="L401" s="358">
        <f>IF(K401="","",K401*1.1)</f>
        <v/>
      </c>
      <c r="M401" s="359" t="n">
        <v>53.89</v>
      </c>
      <c r="N401" s="359" t="n">
        <v>37.8</v>
      </c>
      <c r="O401" s="359" t="inlineStr">
        <is>
          <t>6/6</t>
        </is>
      </c>
      <c r="P401" s="359" t="n">
        <v>43</v>
      </c>
      <c r="Q401" s="359" t="n">
        <v>38.2</v>
      </c>
      <c r="R401" s="359" t="inlineStr">
        <is>
          <t>9</t>
        </is>
      </c>
      <c r="T401" s="216">
        <f>UPPER(A401&amp;" "&amp;B401&amp;" "&amp;D401&amp;" "&amp;E401&amp;" "&amp;F401&amp;" "&amp;G401&amp;" "&amp;H401)</f>
        <v/>
      </c>
      <c r="U401" s="216">
        <f>IF(AND('TRA CỨU TỔNG HỢP'!$B$3&lt;&gt;"",ISNUMBER(SEARCH('TRA CỨU TỔNG HỢP'!$B$3,T401))),MAX($U$3:U400)+1,"")</f>
        <v/>
      </c>
    </row>
    <row r="402" ht="15" customHeight="1" s="217">
      <c r="A402" s="340" t="inlineStr">
        <is>
          <t>HYUNDAI</t>
        </is>
      </c>
      <c r="B402" s="341" t="inlineStr">
        <is>
          <t>HH083048</t>
        </is>
      </c>
      <c r="C402" s="340" t="inlineStr">
        <is>
          <t>Garrett</t>
        </is>
      </c>
      <c r="D402" s="340" t="inlineStr">
        <is>
          <t>GT2052S</t>
        </is>
      </c>
      <c r="E402" s="340" t="inlineStr">
        <is>
          <t>D4AL</t>
        </is>
      </c>
      <c r="F402" s="342" t="inlineStr">
        <is>
          <t>28230-41450
28230-41431</t>
        </is>
      </c>
      <c r="G402" s="340" t="inlineStr">
        <is>
          <t>Mighty II</t>
        </is>
      </c>
      <c r="H402" s="343" t="inlineStr">
        <is>
          <t>SL</t>
        </is>
      </c>
      <c r="I402" s="344" t="n"/>
      <c r="J402" s="344" t="n"/>
      <c r="K402" s="344" t="n"/>
      <c r="L402" s="344">
        <f>IF(K402="","",K402*1.1)</f>
        <v/>
      </c>
      <c r="M402" s="345" t="n">
        <v>52.2</v>
      </c>
      <c r="N402" s="345" t="n">
        <v>38.2</v>
      </c>
      <c r="O402" s="345" t="inlineStr">
        <is>
          <t>6/6</t>
        </is>
      </c>
      <c r="P402" s="345" t="n">
        <v>47</v>
      </c>
      <c r="Q402" s="345" t="n">
        <v>38.4</v>
      </c>
      <c r="R402" s="345" t="inlineStr">
        <is>
          <t>9</t>
        </is>
      </c>
      <c r="T402" s="346">
        <f>UPPER(A402&amp;" "&amp;B402&amp;" "&amp;D402&amp;" "&amp;E402&amp;" "&amp;F402&amp;" "&amp;G402&amp;" "&amp;H402)</f>
        <v/>
      </c>
      <c r="U402" s="216">
        <f>IF(AND('TRA CỨU TỔNG HỢP'!$B$3&lt;&gt;"",ISNUMBER(SEARCH('TRA CỨU TỔNG HỢP'!$B$3,T402))),MAX($U$3:U401)+1,"")</f>
        <v/>
      </c>
    </row>
    <row r="403" ht="15" customHeight="1" s="217">
      <c r="A403" s="347" t="inlineStr">
        <is>
          <t>HYUNDAI</t>
        </is>
      </c>
      <c r="B403" s="348" t="inlineStr">
        <is>
          <t>HH076427</t>
        </is>
      </c>
      <c r="C403" s="349" t="inlineStr">
        <is>
          <t>Garrett</t>
        </is>
      </c>
      <c r="D403" s="349" t="inlineStr">
        <is>
          <t>GT2052S</t>
        </is>
      </c>
      <c r="E403" s="349" t="inlineStr">
        <is>
          <t>D4AL</t>
        </is>
      </c>
      <c r="F403" s="350" t="inlineStr">
        <is>
          <t>28230-41450
28230-41431</t>
        </is>
      </c>
      <c r="G403" s="349" t="inlineStr">
        <is>
          <t>Mighty II</t>
        </is>
      </c>
      <c r="H403" s="351" t="inlineStr">
        <is>
          <t>JRONE</t>
        </is>
      </c>
      <c r="I403" s="352" t="n"/>
      <c r="J403" s="352" t="n"/>
      <c r="K403" s="352" t="n"/>
      <c r="L403" s="352">
        <f>IF(K403="","",K403*1.1)</f>
        <v/>
      </c>
      <c r="M403" s="353" t="n">
        <v>52.2</v>
      </c>
      <c r="N403" s="353" t="n">
        <v>38.2</v>
      </c>
      <c r="O403" s="353" t="inlineStr">
        <is>
          <t>6/6</t>
        </is>
      </c>
      <c r="P403" s="353" t="n">
        <v>47</v>
      </c>
      <c r="Q403" s="353" t="n">
        <v>38.4</v>
      </c>
      <c r="R403" s="353" t="inlineStr">
        <is>
          <t>9</t>
        </is>
      </c>
      <c r="T403" s="346">
        <f>UPPER(A403&amp;" "&amp;B403&amp;" "&amp;D403&amp;" "&amp;E403&amp;" "&amp;F403&amp;" "&amp;G403&amp;" "&amp;H403)</f>
        <v/>
      </c>
      <c r="U403" s="216">
        <f>IF(AND('TRA CỨU TỔNG HỢP'!$B$3&lt;&gt;"",ISNUMBER(SEARCH('TRA CỨU TỔNG HỢP'!$B$3,T403))),MAX($U$3:U402)+1,"")</f>
        <v/>
      </c>
    </row>
    <row r="404" ht="15" customHeight="1" s="217">
      <c r="A404" s="340" t="inlineStr">
        <is>
          <t>HYUNDAI</t>
        </is>
      </c>
      <c r="B404" s="341" t="inlineStr">
        <is>
          <t>HH076427</t>
        </is>
      </c>
      <c r="C404" s="340" t="inlineStr">
        <is>
          <t>Garrett</t>
        </is>
      </c>
      <c r="D404" s="340" t="inlineStr">
        <is>
          <t>GT2052LS / GT2052LS/D4AL/MIGHTY 3.3</t>
        </is>
      </c>
      <c r="E404" s="340" t="inlineStr">
        <is>
          <t>D4AL</t>
        </is>
      </c>
      <c r="F404" s="342" t="inlineStr">
        <is>
          <t>28230-41431
28230-41440
28230-41450
703389-0002
8G20-200-015</t>
        </is>
      </c>
      <c r="G404" s="340" t="n"/>
      <c r="H404" s="343" t="inlineStr">
        <is>
          <t>JRONE</t>
        </is>
      </c>
      <c r="I404" s="344" t="n"/>
      <c r="J404" s="344" t="n"/>
      <c r="K404" s="344" t="n"/>
      <c r="L404" s="344">
        <f>IF(K404="","",K404*1.1)</f>
        <v/>
      </c>
      <c r="M404" s="345" t="n">
        <v>52.2</v>
      </c>
      <c r="N404" s="345" t="n">
        <v>38.2</v>
      </c>
      <c r="O404" s="345" t="inlineStr">
        <is>
          <t>6/6</t>
        </is>
      </c>
      <c r="P404" s="345" t="n">
        <v>47</v>
      </c>
      <c r="Q404" s="345" t="n">
        <v>38.4</v>
      </c>
      <c r="R404" s="345" t="inlineStr">
        <is>
          <t>9</t>
        </is>
      </c>
      <c r="T404" s="346">
        <f>UPPER(A404&amp;" "&amp;B404&amp;" "&amp;D404&amp;" "&amp;E404&amp;" "&amp;F404&amp;" "&amp;G404&amp;" "&amp;H404)</f>
        <v/>
      </c>
      <c r="U404" s="216">
        <f>IF(AND('TRA CỨU TỔNG HỢP'!$B$3&lt;&gt;"",ISNUMBER(SEARCH('TRA CỨU TỔNG HỢP'!$B$3,T404))),MAX($U$3:U403)+1,"")</f>
        <v/>
      </c>
    </row>
    <row r="405" ht="15" customHeight="1" s="217">
      <c r="A405" s="347" t="inlineStr">
        <is>
          <t>HYUNDAI</t>
        </is>
      </c>
      <c r="B405" s="348" t="inlineStr">
        <is>
          <t>HH083048</t>
        </is>
      </c>
      <c r="C405" s="349" t="inlineStr">
        <is>
          <t>Garrett</t>
        </is>
      </c>
      <c r="D405" s="349" t="inlineStr">
        <is>
          <t>GT2052LS / GT2052LS/D4AL/MIGHTY 3.3</t>
        </is>
      </c>
      <c r="E405" s="349" t="inlineStr">
        <is>
          <t>D4AL</t>
        </is>
      </c>
      <c r="F405" s="350" t="inlineStr">
        <is>
          <t>28230-41431
28230-41440
28230-41450
703389-0002
8G20-200-015</t>
        </is>
      </c>
      <c r="G405" s="349" t="n"/>
      <c r="H405" s="351" t="inlineStr">
        <is>
          <t>SL</t>
        </is>
      </c>
      <c r="I405" s="352" t="n"/>
      <c r="J405" s="352" t="n"/>
      <c r="K405" s="352" t="n"/>
      <c r="L405" s="352">
        <f>IF(K405="","",K405*1.1)</f>
        <v/>
      </c>
      <c r="M405" s="353" t="n">
        <v>52.2</v>
      </c>
      <c r="N405" s="353" t="n">
        <v>38.2</v>
      </c>
      <c r="O405" s="353" t="inlineStr">
        <is>
          <t>6/6</t>
        </is>
      </c>
      <c r="P405" s="353" t="n">
        <v>47</v>
      </c>
      <c r="Q405" s="353" t="n">
        <v>38.4</v>
      </c>
      <c r="R405" s="353" t="inlineStr">
        <is>
          <t>9</t>
        </is>
      </c>
      <c r="T405" s="346">
        <f>UPPER(A405&amp;" "&amp;B405&amp;" "&amp;D405&amp;" "&amp;E405&amp;" "&amp;F405&amp;" "&amp;G405&amp;" "&amp;H405)</f>
        <v/>
      </c>
      <c r="U405" s="216">
        <f>IF(AND('TRA CỨU TỔNG HỢP'!$B$3&lt;&gt;"",ISNUMBER(SEARCH('TRA CỨU TỔNG HỢP'!$B$3,T405))),MAX($U$3:U404)+1,"")</f>
        <v/>
      </c>
    </row>
    <row r="406" ht="15" customHeight="1" s="217">
      <c r="A406" s="340" t="inlineStr">
        <is>
          <t>HYUNDAI</t>
        </is>
      </c>
      <c r="B406" s="341" t="inlineStr">
        <is>
          <t>HH079691</t>
        </is>
      </c>
      <c r="C406" s="340" t="inlineStr">
        <is>
          <t>Garrett</t>
        </is>
      </c>
      <c r="D406" s="340" t="inlineStr">
        <is>
          <t>GT2052S</t>
        </is>
      </c>
      <c r="E406" s="340" t="inlineStr">
        <is>
          <t>D4AL</t>
        </is>
      </c>
      <c r="F406" s="342" t="inlineStr">
        <is>
          <t>28230-41710/28230-41711
702213-0001/702213-5001S</t>
        </is>
      </c>
      <c r="G406" s="340" t="n"/>
      <c r="H406" s="343" t="inlineStr">
        <is>
          <t>VIDARIR</t>
        </is>
      </c>
      <c r="I406" s="344" t="n"/>
      <c r="J406" s="344" t="n"/>
      <c r="K406" s="344" t="n"/>
      <c r="L406" s="344">
        <f>IF(K406="","",K406*1.1)</f>
        <v/>
      </c>
      <c r="M406" s="345" t="n">
        <v>52</v>
      </c>
      <c r="N406" s="345" t="n">
        <v>38.5</v>
      </c>
      <c r="O406" s="345" t="inlineStr">
        <is>
          <t>6/6</t>
        </is>
      </c>
      <c r="P406" s="345" t="n">
        <v>44.4</v>
      </c>
      <c r="Q406" s="345" t="n">
        <v>37.6</v>
      </c>
      <c r="R406" s="345" t="inlineStr">
        <is>
          <t>9</t>
        </is>
      </c>
      <c r="T406" s="346">
        <f>UPPER(A406&amp;" "&amp;B406&amp;" "&amp;D406&amp;" "&amp;E406&amp;" "&amp;F406&amp;" "&amp;G406&amp;" "&amp;H406)</f>
        <v/>
      </c>
      <c r="U406" s="216">
        <f>IF(AND('TRA CỨU TỔNG HỢP'!$B$3&lt;&gt;"",ISNUMBER(SEARCH('TRA CỨU TỔNG HỢP'!$B$3,T406))),MAX($U$3:U405)+1,"")</f>
        <v/>
      </c>
    </row>
    <row r="407" ht="15" customHeight="1" s="217">
      <c r="A407" s="347" t="inlineStr">
        <is>
          <t>HYUNDAI</t>
        </is>
      </c>
      <c r="B407" s="348" t="inlineStr">
        <is>
          <t>HH082798</t>
        </is>
      </c>
      <c r="C407" s="349" t="inlineStr">
        <is>
          <t>Garrett</t>
        </is>
      </c>
      <c r="D407" s="349" t="inlineStr">
        <is>
          <t>GT2052S</t>
        </is>
      </c>
      <c r="E407" s="349" t="inlineStr">
        <is>
          <t>D4AL</t>
        </is>
      </c>
      <c r="F407" s="350" t="inlineStr">
        <is>
          <t>28230-41710/28230-41711
702213-0001/702213-5001S</t>
        </is>
      </c>
      <c r="G407" s="349" t="n"/>
      <c r="H407" s="351" t="inlineStr">
        <is>
          <t>SL</t>
        </is>
      </c>
      <c r="I407" s="352" t="n"/>
      <c r="J407" s="352" t="n"/>
      <c r="K407" s="352" t="n"/>
      <c r="L407" s="352">
        <f>IF(K407="","",K407*1.1)</f>
        <v/>
      </c>
      <c r="M407" s="353" t="n">
        <v>52</v>
      </c>
      <c r="N407" s="353" t="n">
        <v>38.5</v>
      </c>
      <c r="O407" s="353" t="inlineStr">
        <is>
          <t>6/6</t>
        </is>
      </c>
      <c r="P407" s="353" t="n">
        <v>44.4</v>
      </c>
      <c r="Q407" s="353" t="n">
        <v>37.6</v>
      </c>
      <c r="R407" s="353" t="inlineStr">
        <is>
          <t>9</t>
        </is>
      </c>
      <c r="T407" s="346">
        <f>UPPER(A407&amp;" "&amp;B407&amp;" "&amp;D407&amp;" "&amp;E407&amp;" "&amp;F407&amp;" "&amp;G407&amp;" "&amp;H407)</f>
        <v/>
      </c>
      <c r="U407" s="216">
        <f>IF(AND('TRA CỨU TỔNG HỢP'!$B$3&lt;&gt;"",ISNUMBER(SEARCH('TRA CỨU TỔNG HỢP'!$B$3,T407))),MAX($U$3:U406)+1,"")</f>
        <v/>
      </c>
    </row>
    <row r="408" ht="15" customHeight="1" s="217">
      <c r="A408" s="347" t="inlineStr">
        <is>
          <t>HYUNDAI</t>
        </is>
      </c>
      <c r="B408" s="348" t="inlineStr">
        <is>
          <t>HH083441</t>
        </is>
      </c>
      <c r="C408" s="349" t="inlineStr">
        <is>
          <t>Garrett</t>
        </is>
      </c>
      <c r="D408" s="349" t="inlineStr">
        <is>
          <t>GT2052S</t>
        </is>
      </c>
      <c r="E408" s="349" t="inlineStr">
        <is>
          <t>D4AL</t>
        </is>
      </c>
      <c r="F408" s="350" t="inlineStr">
        <is>
          <t>28230-41710/28230-41711
702213-0001/702213-5001S</t>
        </is>
      </c>
      <c r="G408" s="349" t="n"/>
      <c r="H408" s="351" t="inlineStr">
        <is>
          <t>SL</t>
        </is>
      </c>
      <c r="I408" s="352" t="n"/>
      <c r="J408" s="352" t="n"/>
      <c r="K408" s="352" t="n"/>
      <c r="L408" s="352">
        <f>IF(K408="","",K408*1.1)</f>
        <v/>
      </c>
      <c r="M408" s="353" t="n">
        <v>52</v>
      </c>
      <c r="N408" s="353" t="n">
        <v>38.5</v>
      </c>
      <c r="O408" s="353" t="inlineStr">
        <is>
          <t>6/6</t>
        </is>
      </c>
      <c r="P408" s="353" t="n">
        <v>44.4</v>
      </c>
      <c r="Q408" s="353" t="n">
        <v>37.6</v>
      </c>
      <c r="R408" s="353" t="inlineStr">
        <is>
          <t>9</t>
        </is>
      </c>
      <c r="T408" s="346">
        <f>UPPER(A408&amp;" "&amp;B408&amp;" "&amp;D408&amp;" "&amp;E408&amp;" "&amp;F408&amp;" "&amp;G408&amp;" "&amp;H408)</f>
        <v/>
      </c>
      <c r="U408" s="216">
        <f>IF(AND('TRA CỨU TỔNG HỢP'!$B$3&lt;&gt;"",ISNUMBER(SEARCH('TRA CỨU TỔNG HỢP'!$B$3,T408))),MAX($U$3:U407)+1,"")</f>
        <v/>
      </c>
    </row>
    <row r="409" ht="15" customHeight="1" s="217">
      <c r="A409" s="340" t="inlineStr">
        <is>
          <t>HYUNDAI</t>
        </is>
      </c>
      <c r="B409" s="341" t="inlineStr">
        <is>
          <t>HH074828</t>
        </is>
      </c>
      <c r="C409" s="340" t="inlineStr">
        <is>
          <t>Garrett</t>
        </is>
      </c>
      <c r="D409" s="340" t="inlineStr">
        <is>
          <t>GT1749S</t>
        </is>
      </c>
      <c r="E409" s="340" t="inlineStr">
        <is>
          <t>D4AL</t>
        </is>
      </c>
      <c r="F409" s="342" t="inlineStr">
        <is>
          <t>28230-41720
28230-41730/708337-0002
708337-0001/8G17-200-100</t>
        </is>
      </c>
      <c r="G409" s="340" t="inlineStr">
        <is>
          <t>CÓ H/A jrone ( thực tế)</t>
        </is>
      </c>
      <c r="H409" s="343" t="inlineStr">
        <is>
          <t>JRONE</t>
        </is>
      </c>
      <c r="I409" s="344" t="n"/>
      <c r="J409" s="344" t="n"/>
      <c r="K409" s="344" t="n"/>
      <c r="L409" s="344">
        <f>IF(K409="","",K409*1.1)</f>
        <v/>
      </c>
      <c r="M409" s="345" t="n">
        <v>49</v>
      </c>
      <c r="N409" s="345" t="n">
        <v>38</v>
      </c>
      <c r="O409" s="345" t="inlineStr">
        <is>
          <t>6/6</t>
        </is>
      </c>
      <c r="P409" s="345" t="n">
        <v>44.4</v>
      </c>
      <c r="Q409" s="345" t="n">
        <v>37.6</v>
      </c>
      <c r="R409" s="345" t="inlineStr">
        <is>
          <t>9</t>
        </is>
      </c>
      <c r="T409" s="346">
        <f>UPPER(A409&amp;" "&amp;B409&amp;" "&amp;D409&amp;" "&amp;E409&amp;" "&amp;F409&amp;" "&amp;G409&amp;" "&amp;H409)</f>
        <v/>
      </c>
      <c r="U409" s="216">
        <f>IF(AND('TRA CỨU TỔNG HỢP'!$B$3&lt;&gt;"",ISNUMBER(SEARCH('TRA CỨU TỔNG HỢP'!$B$3,T409))),MAX($U$3:U408)+1,"")</f>
        <v/>
      </c>
    </row>
    <row r="410" ht="15" customHeight="1" s="217">
      <c r="A410" s="347" t="inlineStr">
        <is>
          <t>HYUNDAI</t>
        </is>
      </c>
      <c r="B410" s="348" t="inlineStr">
        <is>
          <t>HH079360</t>
        </is>
      </c>
      <c r="C410" s="349" t="inlineStr">
        <is>
          <t>Garrett</t>
        </is>
      </c>
      <c r="D410" s="349" t="inlineStr">
        <is>
          <t>GT1749S</t>
        </is>
      </c>
      <c r="E410" s="349" t="inlineStr">
        <is>
          <t>D4AL</t>
        </is>
      </c>
      <c r="F410" s="350" t="inlineStr">
        <is>
          <t>28230-41720
28230-41730/708337-0002
708337-0001/8G17-200-100</t>
        </is>
      </c>
      <c r="G410" s="349" t="inlineStr">
        <is>
          <t>CÓ H/A jrone ( thực tế)</t>
        </is>
      </c>
      <c r="H410" s="351" t="inlineStr">
        <is>
          <t>SL</t>
        </is>
      </c>
      <c r="I410" s="352" t="n"/>
      <c r="J410" s="352" t="n"/>
      <c r="K410" s="352" t="n"/>
      <c r="L410" s="352">
        <f>IF(K410="","",K410*1.1)</f>
        <v/>
      </c>
      <c r="M410" s="353" t="n">
        <v>49</v>
      </c>
      <c r="N410" s="353" t="n">
        <v>38</v>
      </c>
      <c r="O410" s="353" t="inlineStr">
        <is>
          <t>6/6</t>
        </is>
      </c>
      <c r="P410" s="353" t="n">
        <v>44.4</v>
      </c>
      <c r="Q410" s="353" t="n">
        <v>37.6</v>
      </c>
      <c r="R410" s="353" t="inlineStr">
        <is>
          <t>9</t>
        </is>
      </c>
      <c r="T410" s="346">
        <f>UPPER(A410&amp;" "&amp;B410&amp;" "&amp;D410&amp;" "&amp;E410&amp;" "&amp;F410&amp;" "&amp;G410&amp;" "&amp;H410)</f>
        <v/>
      </c>
      <c r="U410" s="216">
        <f>IF(AND('TRA CỨU TỔNG HỢP'!$B$3&lt;&gt;"",ISNUMBER(SEARCH('TRA CỨU TỔNG HỢP'!$B$3,T410))),MAX($U$3:U409)+1,"")</f>
        <v/>
      </c>
    </row>
    <row r="411" ht="15" customHeight="1" s="217">
      <c r="A411" s="347" t="inlineStr">
        <is>
          <t>HYUNDAI</t>
        </is>
      </c>
      <c r="B411" s="348" t="inlineStr">
        <is>
          <t>HH079967</t>
        </is>
      </c>
      <c r="C411" s="349" t="inlineStr">
        <is>
          <t>Garrett</t>
        </is>
      </c>
      <c r="D411" s="349" t="inlineStr">
        <is>
          <t>GT1749S</t>
        </is>
      </c>
      <c r="E411" s="349" t="inlineStr">
        <is>
          <t>D4AL</t>
        </is>
      </c>
      <c r="F411" s="350" t="inlineStr">
        <is>
          <t>28230-41720
28230-41730/708337-0002
708337-0001/8G17-200-100</t>
        </is>
      </c>
      <c r="G411" s="349" t="inlineStr">
        <is>
          <t>CÓ H/A jrone ( thực tế)</t>
        </is>
      </c>
      <c r="H411" s="351" t="inlineStr">
        <is>
          <t>SL</t>
        </is>
      </c>
      <c r="I411" s="352" t="n"/>
      <c r="J411" s="352" t="n"/>
      <c r="K411" s="352" t="n"/>
      <c r="L411" s="352">
        <f>IF(K411="","",K411*1.1)</f>
        <v/>
      </c>
      <c r="M411" s="353" t="n">
        <v>49</v>
      </c>
      <c r="N411" s="353" t="n">
        <v>38</v>
      </c>
      <c r="O411" s="353" t="inlineStr">
        <is>
          <t>6/6</t>
        </is>
      </c>
      <c r="P411" s="353" t="n">
        <v>44.4</v>
      </c>
      <c r="Q411" s="353" t="n">
        <v>37.6</v>
      </c>
      <c r="R411" s="353" t="inlineStr">
        <is>
          <t>9</t>
        </is>
      </c>
      <c r="T411" s="346">
        <f>UPPER(A411&amp;" "&amp;B411&amp;" "&amp;D411&amp;" "&amp;E411&amp;" "&amp;F411&amp;" "&amp;G411&amp;" "&amp;H411)</f>
        <v/>
      </c>
      <c r="U411" s="216">
        <f>IF(AND('TRA CỨU TỔNG HỢP'!$B$3&lt;&gt;"",ISNUMBER(SEARCH('TRA CỨU TỔNG HỢP'!$B$3,T411))),MAX($U$3:U410)+1,"")</f>
        <v/>
      </c>
    </row>
    <row r="412" ht="15" customHeight="1" s="217">
      <c r="A412" s="367" t="inlineStr">
        <is>
          <t>HYUNDAI</t>
        </is>
      </c>
      <c r="B412" s="368" t="n"/>
      <c r="C412" s="367" t="n"/>
      <c r="D412" s="367" t="n"/>
      <c r="E412" s="367" t="n"/>
      <c r="F412" s="369" t="inlineStr">
        <is>
          <t>28231-27860</t>
        </is>
      </c>
      <c r="G412" s="367" t="n"/>
      <c r="H412" s="370" t="n"/>
      <c r="I412" s="371" t="n"/>
      <c r="J412" s="371" t="n"/>
      <c r="K412" s="371" t="n"/>
      <c r="L412" s="371">
        <f>IF(K412="","",K412*1.1)</f>
        <v/>
      </c>
      <c r="M412" s="372" t="n">
        <v>49</v>
      </c>
      <c r="N412" s="372" t="n">
        <v>36.3</v>
      </c>
      <c r="O412" s="372" t="inlineStr">
        <is>
          <t>6/6</t>
        </is>
      </c>
      <c r="P412" s="372" t="n">
        <v>40.9</v>
      </c>
      <c r="Q412" s="372" t="n">
        <v>34.7</v>
      </c>
      <c r="R412" s="372" t="inlineStr">
        <is>
          <t>9</t>
        </is>
      </c>
      <c r="T412" s="216">
        <f>UPPER(A412&amp;" "&amp;B412&amp;" "&amp;D412&amp;" "&amp;E412&amp;" "&amp;F412&amp;" "&amp;G412&amp;" "&amp;H412)</f>
        <v/>
      </c>
      <c r="U412" s="216">
        <f>IF(AND('TRA CỨU TỔNG HỢP'!$B$3&lt;&gt;"",ISNUMBER(SEARCH('TRA CỨU TỔNG HỢP'!$B$3,T412))),MAX($U$3:U411)+1,"")</f>
        <v/>
      </c>
    </row>
    <row r="413" ht="15" customHeight="1" s="217">
      <c r="A413" s="354" t="inlineStr">
        <is>
          <t>HYUNDAI</t>
        </is>
      </c>
      <c r="B413" s="355" t="inlineStr">
        <is>
          <t>HH081340</t>
        </is>
      </c>
      <c r="C413" s="354" t="inlineStr">
        <is>
          <t>Mitsubishi</t>
        </is>
      </c>
      <c r="D413" s="354" t="inlineStr">
        <is>
          <t>TF08L-28M-18</t>
        </is>
      </c>
      <c r="E413" s="354" t="inlineStr">
        <is>
          <t>D6AC</t>
        </is>
      </c>
      <c r="F413" s="356" t="inlineStr">
        <is>
          <t>49134-00130
28200-83401</t>
        </is>
      </c>
      <c r="G413" s="354" t="n"/>
      <c r="H413" s="357" t="inlineStr">
        <is>
          <t>FIRE</t>
        </is>
      </c>
      <c r="I413" s="358" t="n"/>
      <c r="J413" s="358" t="n"/>
      <c r="K413" s="358" t="n"/>
      <c r="L413" s="358">
        <f>IF(K413="","",K413*1.1)</f>
        <v/>
      </c>
      <c r="M413" s="359" t="n"/>
      <c r="N413" s="359" t="n"/>
      <c r="O413" s="359" t="n"/>
      <c r="P413" s="359" t="n"/>
      <c r="Q413" s="359" t="n"/>
      <c r="R413" s="359" t="n"/>
      <c r="T413" s="346">
        <f>UPPER(A413&amp;" "&amp;B413&amp;" "&amp;D413&amp;" "&amp;E413&amp;" "&amp;F413&amp;" "&amp;G413&amp;" "&amp;H413)</f>
        <v/>
      </c>
      <c r="U413" s="216">
        <f>IF(AND('TRA CỨU TỔNG HỢP'!$B$3&lt;&gt;"",ISNUMBER(SEARCH('TRA CỨU TỔNG HỢP'!$B$3,T413))),MAX($U$3:U412)+1,"")</f>
        <v/>
      </c>
    </row>
    <row r="414" ht="15" customHeight="1" s="217">
      <c r="A414" s="367" t="inlineStr">
        <is>
          <t>HYUNDAI</t>
        </is>
      </c>
      <c r="B414" s="368" t="n"/>
      <c r="C414" s="367" t="n"/>
      <c r="D414" s="367" t="n"/>
      <c r="E414" s="367" t="n"/>
      <c r="F414" s="369" t="inlineStr">
        <is>
          <t>28231-2B760
1639-970-0016
1639-970-0010</t>
        </is>
      </c>
      <c r="G414" s="367" t="n"/>
      <c r="H414" s="370" t="n"/>
      <c r="I414" s="371" t="n"/>
      <c r="J414" s="371" t="n"/>
      <c r="K414" s="371" t="n"/>
      <c r="L414" s="371">
        <f>IF(K414="","",K414*1.1)</f>
        <v/>
      </c>
      <c r="M414" s="372" t="n">
        <v>47.6</v>
      </c>
      <c r="N414" s="372" t="n">
        <v>35.5</v>
      </c>
      <c r="O414" s="372" t="inlineStr">
        <is>
          <t>6/6</t>
        </is>
      </c>
      <c r="P414" s="372" t="n">
        <v>39</v>
      </c>
      <c r="Q414" s="372" t="n">
        <v>34.8</v>
      </c>
      <c r="R414" s="372" t="n">
        <v>8</v>
      </c>
      <c r="T414" s="346">
        <f>UPPER(A414&amp;" "&amp;B414&amp;" "&amp;D414&amp;" "&amp;E414&amp;" "&amp;F414&amp;" "&amp;G414&amp;" "&amp;H414)</f>
        <v/>
      </c>
      <c r="U414" s="216">
        <f>IF(AND('TRA CỨU TỔNG HỢP'!$B$3&lt;&gt;"",ISNUMBER(SEARCH('TRA CỨU TỔNG HỢP'!$B$3,T414))),MAX($U$3:U413)+1,"")</f>
        <v/>
      </c>
    </row>
    <row r="415" ht="15" customHeight="1" s="217">
      <c r="A415" s="354" t="inlineStr">
        <is>
          <t>HYUNDAI</t>
        </is>
      </c>
      <c r="B415" s="355" t="inlineStr">
        <is>
          <t>HH078868</t>
        </is>
      </c>
      <c r="C415" s="354" t="inlineStr">
        <is>
          <t>Mitsubishi</t>
        </is>
      </c>
      <c r="D415" s="354" t="inlineStr">
        <is>
          <t>TD03L</t>
        </is>
      </c>
      <c r="E415" s="354" t="inlineStr">
        <is>
          <t>D4CB</t>
        </is>
      </c>
      <c r="F415" s="356" t="inlineStr">
        <is>
          <t>28231-4A850/49590-45607</t>
        </is>
      </c>
      <c r="G415" s="354" t="n"/>
      <c r="H415" s="357" t="inlineStr">
        <is>
          <t>SL</t>
        </is>
      </c>
      <c r="I415" s="358" t="n"/>
      <c r="J415" s="358" t="n"/>
      <c r="K415" s="358" t="n"/>
      <c r="L415" s="358">
        <f>IF(K415="","",K415*1.1)</f>
        <v/>
      </c>
      <c r="M415" s="359" t="n">
        <v>46</v>
      </c>
      <c r="N415" s="359" t="n">
        <v>35.6</v>
      </c>
      <c r="O415" s="359" t="inlineStr">
        <is>
          <t>6/6</t>
        </is>
      </c>
      <c r="P415" s="359" t="n">
        <v>40.2</v>
      </c>
      <c r="Q415" s="359" t="n">
        <v>35.1</v>
      </c>
      <c r="R415" s="359" t="n">
        <v>11</v>
      </c>
      <c r="T415" s="216">
        <f>UPPER(A415&amp;" "&amp;B415&amp;" "&amp;D415&amp;" "&amp;E415&amp;" "&amp;F415&amp;" "&amp;G415&amp;" "&amp;H415)</f>
        <v/>
      </c>
      <c r="U415" s="216">
        <f>IF(AND('TRA CỨU TỔNG HỢP'!$B$3&lt;&gt;"",ISNUMBER(SEARCH('TRA CỨU TỔNG HỢP'!$B$3,T415))),MAX($U$3:U414)+1,"")</f>
        <v/>
      </c>
    </row>
    <row r="416" ht="19.5" customHeight="1" s="217">
      <c r="A416" s="378" t="inlineStr">
        <is>
          <t xml:space="preserve">  🏭  ISUZU   ·   35 loại turbo</t>
        </is>
      </c>
      <c r="U416" s="216">
        <f>IF(AND('TRA CỨU TỔNG HỢP'!$B$3&lt;&gt;"",ISNUMBER(SEARCH('TRA CỨU TỔNG HỢP'!$B$3,T416))),MAX($U$3:U415)+1,"")</f>
        <v/>
      </c>
    </row>
    <row r="417" ht="15" customHeight="1" s="217">
      <c r="A417" s="354" t="inlineStr">
        <is>
          <t>ISUZU</t>
        </is>
      </c>
      <c r="B417" s="355" t="inlineStr">
        <is>
          <t>HH079690</t>
        </is>
      </c>
      <c r="C417" s="354" t="inlineStr">
        <is>
          <t>IHI</t>
        </is>
      </c>
      <c r="D417" s="354" t="inlineStr">
        <is>
          <t>RHC7</t>
        </is>
      </c>
      <c r="E417" s="354" t="inlineStr">
        <is>
          <t>H06C</t>
        </is>
      </c>
      <c r="F417" s="356" t="inlineStr">
        <is>
          <t>8943944573
VC250094/8943944572
VA250072/8-94394-4572</t>
        </is>
      </c>
      <c r="G417" s="354" t="n"/>
      <c r="H417" s="357" t="inlineStr">
        <is>
          <t>VIDARIR</t>
        </is>
      </c>
      <c r="I417" s="358" t="n"/>
      <c r="J417" s="358" t="n"/>
      <c r="K417" s="358" t="n"/>
      <c r="L417" s="358">
        <f>IF(K417="","",K417*1.1)</f>
        <v/>
      </c>
      <c r="M417" s="359" t="n"/>
      <c r="N417" s="359" t="n"/>
      <c r="O417" s="359" t="n"/>
      <c r="P417" s="359" t="n"/>
      <c r="Q417" s="359" t="n"/>
      <c r="R417" s="359" t="n"/>
      <c r="T417" s="346">
        <f>UPPER(A417&amp;" "&amp;B417&amp;" "&amp;D417&amp;" "&amp;E417&amp;" "&amp;F417&amp;" "&amp;G417&amp;" "&amp;H417)</f>
        <v/>
      </c>
      <c r="U417" s="216">
        <f>IF(AND('TRA CỨU TỔNG HỢP'!$B$3&lt;&gt;"",ISNUMBER(SEARCH('TRA CỨU TỔNG HỢP'!$B$3,T417))),MAX($U$3:U416)+1,"")</f>
        <v/>
      </c>
    </row>
    <row r="418" ht="15" customHeight="1" s="217">
      <c r="A418" s="340" t="inlineStr">
        <is>
          <t>ISUZU</t>
        </is>
      </c>
      <c r="B418" s="341" t="inlineStr">
        <is>
          <t>HH077514</t>
        </is>
      </c>
      <c r="C418" s="340" t="inlineStr">
        <is>
          <t>IHI</t>
        </is>
      </c>
      <c r="D418" s="340" t="inlineStr">
        <is>
          <t>4KH1</t>
        </is>
      </c>
      <c r="E418" s="340" t="n"/>
      <c r="F418" s="342" t="inlineStr">
        <is>
          <t>1118010850
1118010-850</t>
        </is>
      </c>
      <c r="G418" s="340" t="inlineStr">
        <is>
          <t>có ha</t>
        </is>
      </c>
      <c r="H418" s="343" t="inlineStr">
        <is>
          <t>EE</t>
        </is>
      </c>
      <c r="I418" s="344" t="n"/>
      <c r="J418" s="344" t="n"/>
      <c r="K418" s="344" t="n"/>
      <c r="L418" s="344">
        <f>IF(K418="","",K418*1.1)</f>
        <v/>
      </c>
      <c r="M418" s="345" t="n">
        <v>48</v>
      </c>
      <c r="N418" s="345" t="n">
        <v>37.2</v>
      </c>
      <c r="O418" s="345" t="inlineStr">
        <is>
          <t>6/6</t>
        </is>
      </c>
      <c r="P418" s="345" t="n">
        <v>44.4</v>
      </c>
      <c r="Q418" s="345" t="n">
        <v>37.6</v>
      </c>
      <c r="R418" s="345" t="n">
        <v>8</v>
      </c>
      <c r="T418" s="346">
        <f>UPPER(A418&amp;" "&amp;B418&amp;" "&amp;D418&amp;" "&amp;E418&amp;" "&amp;F418&amp;" "&amp;G418&amp;" "&amp;H418)</f>
        <v/>
      </c>
      <c r="U418" s="216">
        <f>IF(AND('TRA CỨU TỔNG HỢP'!$B$3&lt;&gt;"",ISNUMBER(SEARCH('TRA CỨU TỔNG HỢP'!$B$3,T418))),MAX($U$3:U417)+1,"")</f>
        <v/>
      </c>
    </row>
    <row r="419" ht="15" customHeight="1" s="217">
      <c r="A419" s="347" t="inlineStr">
        <is>
          <t>ISUZU</t>
        </is>
      </c>
      <c r="B419" s="348" t="inlineStr">
        <is>
          <t>HH082359</t>
        </is>
      </c>
      <c r="C419" s="349" t="inlineStr">
        <is>
          <t>IHI</t>
        </is>
      </c>
      <c r="D419" s="349" t="inlineStr">
        <is>
          <t>4KH1</t>
        </is>
      </c>
      <c r="E419" s="349" t="n"/>
      <c r="F419" s="350" t="inlineStr">
        <is>
          <t>1118010850
1118010-850</t>
        </is>
      </c>
      <c r="G419" s="349" t="inlineStr">
        <is>
          <t>có ha</t>
        </is>
      </c>
      <c r="H419" s="351" t="inlineStr">
        <is>
          <t>SL</t>
        </is>
      </c>
      <c r="I419" s="352" t="n"/>
      <c r="J419" s="352" t="n"/>
      <c r="K419" s="352" t="n"/>
      <c r="L419" s="352">
        <f>IF(K419="","",K419*1.1)</f>
        <v/>
      </c>
      <c r="M419" s="353" t="n">
        <v>48</v>
      </c>
      <c r="N419" s="353" t="n">
        <v>37.2</v>
      </c>
      <c r="O419" s="353" t="inlineStr">
        <is>
          <t>6/6</t>
        </is>
      </c>
      <c r="P419" s="353" t="n">
        <v>44.4</v>
      </c>
      <c r="Q419" s="353" t="n">
        <v>37.6</v>
      </c>
      <c r="R419" s="353" t="n">
        <v>8</v>
      </c>
      <c r="T419" s="346">
        <f>UPPER(A419&amp;" "&amp;B419&amp;" "&amp;D419&amp;" "&amp;E419&amp;" "&amp;F419&amp;" "&amp;G419&amp;" "&amp;H419)</f>
        <v/>
      </c>
      <c r="U419" s="216">
        <f>IF(AND('TRA CỨU TỔNG HỢP'!$B$3&lt;&gt;"",ISNUMBER(SEARCH('TRA CỨU TỔNG HỢP'!$B$3,T419))),MAX($U$3:U418)+1,"")</f>
        <v/>
      </c>
    </row>
    <row r="420" ht="15" customHeight="1" s="217">
      <c r="A420" s="354" t="inlineStr">
        <is>
          <t>ISUZU</t>
        </is>
      </c>
      <c r="B420" s="355" t="inlineStr">
        <is>
          <t>HH082052</t>
        </is>
      </c>
      <c r="C420" s="354" t="inlineStr">
        <is>
          <t>Garrett</t>
        </is>
      </c>
      <c r="D420" s="354" t="inlineStr">
        <is>
          <t>GT22</t>
        </is>
      </c>
      <c r="E420" s="354" t="inlineStr">
        <is>
          <t>493 / BJ493ZQ</t>
        </is>
      </c>
      <c r="F420" s="356" t="inlineStr">
        <is>
          <t>738769-0001</t>
        </is>
      </c>
      <c r="G420" s="354" t="inlineStr">
        <is>
          <t>CA498 ( đang check chỗ sơn kim)</t>
        </is>
      </c>
      <c r="H420" s="357" t="inlineStr">
        <is>
          <t>1579</t>
        </is>
      </c>
      <c r="I420" s="358" t="n"/>
      <c r="J420" s="358" t="n"/>
      <c r="K420" s="358" t="n"/>
      <c r="L420" s="358">
        <f>IF(K420="","",K420*1.1)</f>
        <v/>
      </c>
      <c r="M420" s="359" t="n"/>
      <c r="N420" s="359" t="n"/>
      <c r="O420" s="359" t="n"/>
      <c r="P420" s="359" t="n"/>
      <c r="Q420" s="359" t="n"/>
      <c r="R420" s="359" t="n"/>
      <c r="T420" s="216">
        <f>UPPER(A420&amp;" "&amp;B420&amp;" "&amp;D420&amp;" "&amp;E420&amp;" "&amp;F420&amp;" "&amp;G420&amp;" "&amp;H420)</f>
        <v/>
      </c>
      <c r="U420" s="216">
        <f>IF(AND('TRA CỨU TỔNG HỢP'!$B$3&lt;&gt;"",ISNUMBER(SEARCH('TRA CỨU TỔNG HỢP'!$B$3,T420))),MAX($U$3:U419)+1,"")</f>
        <v/>
      </c>
    </row>
    <row r="421" ht="15" customHeight="1" s="217">
      <c r="A421" s="354" t="inlineStr">
        <is>
          <t>ISUZU</t>
        </is>
      </c>
      <c r="B421" s="355" t="inlineStr">
        <is>
          <t>HH080922</t>
        </is>
      </c>
      <c r="C421" s="354" t="inlineStr">
        <is>
          <t>Garrett</t>
        </is>
      </c>
      <c r="D421" s="354" t="inlineStr">
        <is>
          <t>GT22/JP60T/ TB25</t>
        </is>
      </c>
      <c r="E421" s="354" t="inlineStr">
        <is>
          <t>BJ493ZQ/4JB1</t>
        </is>
      </c>
      <c r="F421" s="356" t="inlineStr">
        <is>
          <t>720618-0001</t>
        </is>
      </c>
      <c r="G421" s="354" t="n"/>
      <c r="H421" s="357" t="inlineStr">
        <is>
          <t>TBS</t>
        </is>
      </c>
      <c r="I421" s="358" t="n"/>
      <c r="J421" s="358" t="n"/>
      <c r="K421" s="358" t="n"/>
      <c r="L421" s="358">
        <f>IF(K421="","",K421*1.1)</f>
        <v/>
      </c>
      <c r="M421" s="359" t="n"/>
      <c r="N421" s="359" t="n"/>
      <c r="O421" s="359" t="n"/>
      <c r="P421" s="359" t="n"/>
      <c r="Q421" s="359" t="n"/>
      <c r="R421" s="359" t="n"/>
      <c r="T421" s="216">
        <f>UPPER(A421&amp;" "&amp;B421&amp;" "&amp;D421&amp;" "&amp;E421&amp;" "&amp;F421&amp;" "&amp;G421&amp;" "&amp;H421)</f>
        <v/>
      </c>
      <c r="U421" s="216">
        <f>IF(AND('TRA CỨU TỔNG HỢP'!$B$3&lt;&gt;"",ISNUMBER(SEARCH('TRA CỨU TỔNG HỢP'!$B$3,T421))),MAX($U$3:U420)+1,"")</f>
        <v/>
      </c>
    </row>
    <row r="422" ht="15" customHeight="1" s="217">
      <c r="A422" s="340" t="inlineStr">
        <is>
          <t>ISUZU</t>
        </is>
      </c>
      <c r="B422" s="341" t="inlineStr">
        <is>
          <t>HH079940</t>
        </is>
      </c>
      <c r="C422" s="340" t="inlineStr">
        <is>
          <t>Garrett</t>
        </is>
      </c>
      <c r="D422" s="340" t="inlineStr">
        <is>
          <t>GT22</t>
        </is>
      </c>
      <c r="E422" s="340" t="inlineStr">
        <is>
          <t>JX493/4JB1/493ZLQ3</t>
        </is>
      </c>
      <c r="F422" s="342" t="inlineStr">
        <is>
          <t>822158-0002
822158-5002S
1118300ABY</t>
        </is>
      </c>
      <c r="G422" s="340" t="n"/>
      <c r="H422" s="343" t="inlineStr">
        <is>
          <t>VIDARIR</t>
        </is>
      </c>
      <c r="I422" s="344" t="n"/>
      <c r="J422" s="344" t="n"/>
      <c r="K422" s="344" t="n"/>
      <c r="L422" s="344">
        <f>IF(K422="","",K422*1.1)</f>
        <v/>
      </c>
      <c r="M422" s="345" t="n"/>
      <c r="N422" s="345" t="n"/>
      <c r="O422" s="345" t="n"/>
      <c r="P422" s="345" t="n"/>
      <c r="Q422" s="345" t="n"/>
      <c r="R422" s="345" t="n"/>
      <c r="T422" s="346">
        <f>UPPER(A422&amp;" "&amp;B422&amp;" "&amp;D422&amp;" "&amp;E422&amp;" "&amp;F422&amp;" "&amp;G422&amp;" "&amp;H422)</f>
        <v/>
      </c>
      <c r="U422" s="216">
        <f>IF(AND('TRA CỨU TỔNG HỢP'!$B$3&lt;&gt;"",ISNUMBER(SEARCH('TRA CỨU TỔNG HỢP'!$B$3,T422))),MAX($U$3:U421)+1,"")</f>
        <v/>
      </c>
    </row>
    <row r="423" ht="15" customHeight="1" s="217">
      <c r="A423" s="347" t="inlineStr">
        <is>
          <t>ISUZU</t>
        </is>
      </c>
      <c r="B423" s="348" t="inlineStr">
        <is>
          <t>HH084194</t>
        </is>
      </c>
      <c r="C423" s="349" t="inlineStr">
        <is>
          <t>Garrett</t>
        </is>
      </c>
      <c r="D423" s="349" t="inlineStr">
        <is>
          <t>GT22</t>
        </is>
      </c>
      <c r="E423" s="349" t="inlineStr">
        <is>
          <t>JX493/4JB1/493ZLQ3</t>
        </is>
      </c>
      <c r="F423" s="350" t="inlineStr">
        <is>
          <t>822158-0002
822158-5002S
1118300ABY</t>
        </is>
      </c>
      <c r="G423" s="349" t="n"/>
      <c r="H423" s="351" t="inlineStr">
        <is>
          <t>EE</t>
        </is>
      </c>
      <c r="I423" s="352" t="n"/>
      <c r="J423" s="352" t="n"/>
      <c r="K423" s="352" t="n"/>
      <c r="L423" s="352">
        <f>IF(K423="","",K423*1.1)</f>
        <v/>
      </c>
      <c r="M423" s="353" t="n"/>
      <c r="N423" s="353" t="n"/>
      <c r="O423" s="353" t="n"/>
      <c r="P423" s="353" t="n"/>
      <c r="Q423" s="353" t="n"/>
      <c r="R423" s="353" t="n"/>
      <c r="T423" s="346">
        <f>UPPER(A423&amp;" "&amp;B423&amp;" "&amp;D423&amp;" "&amp;E423&amp;" "&amp;F423&amp;" "&amp;G423&amp;" "&amp;H423)</f>
        <v/>
      </c>
      <c r="U423" s="216">
        <f>IF(AND('TRA CỨU TỔNG HỢP'!$B$3&lt;&gt;"",ISNUMBER(SEARCH('TRA CỨU TỔNG HỢP'!$B$3,T423))),MAX($U$3:U422)+1,"")</f>
        <v/>
      </c>
    </row>
    <row r="424" ht="15" customHeight="1" s="217">
      <c r="A424" s="354" t="inlineStr">
        <is>
          <t>ISUZU</t>
        </is>
      </c>
      <c r="B424" s="355" t="inlineStr">
        <is>
          <t>HH084194</t>
        </is>
      </c>
      <c r="C424" s="354" t="inlineStr">
        <is>
          <t>Garrett</t>
        </is>
      </c>
      <c r="D424" s="354" t="inlineStr">
        <is>
          <t>GT1752/GT22</t>
        </is>
      </c>
      <c r="E424" s="354" t="inlineStr">
        <is>
          <t>JX493/4JB1</t>
        </is>
      </c>
      <c r="F424" s="356" t="inlineStr">
        <is>
          <t xml:space="preserve">
1118300ABY</t>
        </is>
      </c>
      <c r="G424" s="354" t="inlineStr">
        <is>
          <t>CÓ HÀNG E&amp;E</t>
        </is>
      </c>
      <c r="H424" s="357" t="inlineStr">
        <is>
          <t>EE</t>
        </is>
      </c>
      <c r="I424" s="358" t="n"/>
      <c r="J424" s="358" t="n"/>
      <c r="K424" s="358" t="n"/>
      <c r="L424" s="358">
        <f>IF(K424="","",K424*1.1)</f>
        <v/>
      </c>
      <c r="M424" s="359" t="n"/>
      <c r="N424" s="359" t="n"/>
      <c r="O424" s="359" t="n"/>
      <c r="P424" s="359" t="n"/>
      <c r="Q424" s="359" t="n"/>
      <c r="R424" s="359" t="n"/>
      <c r="T424" s="346">
        <f>UPPER(A424&amp;" "&amp;B424&amp;" "&amp;D424&amp;" "&amp;E424&amp;" "&amp;F424&amp;" "&amp;G424&amp;" "&amp;H424)</f>
        <v/>
      </c>
      <c r="U424" s="216">
        <f>IF(AND('TRA CỨU TỔNG HỢP'!$B$3&lt;&gt;"",ISNUMBER(SEARCH('TRA CỨU TỔNG HỢP'!$B$3,T424))),MAX($U$3:U423)+1,"")</f>
        <v/>
      </c>
    </row>
    <row r="425" ht="15" customHeight="1" s="217">
      <c r="A425" s="340" t="inlineStr">
        <is>
          <t>ISUZU</t>
        </is>
      </c>
      <c r="B425" s="341" t="inlineStr">
        <is>
          <t>HH074861</t>
        </is>
      </c>
      <c r="C425" s="340" t="inlineStr">
        <is>
          <t>Garrett</t>
        </is>
      </c>
      <c r="D425" s="340" t="inlineStr">
        <is>
          <t>GT22</t>
        </is>
      </c>
      <c r="E425" s="340" t="inlineStr">
        <is>
          <t>JX493/4JB1</t>
        </is>
      </c>
      <c r="F425" s="342" t="inlineStr">
        <is>
          <t>736210-0009
1118300DL</t>
        </is>
      </c>
      <c r="G425" s="340" t="n"/>
      <c r="H425" s="343" t="inlineStr">
        <is>
          <t>SL</t>
        </is>
      </c>
      <c r="I425" s="344" t="n"/>
      <c r="J425" s="344" t="n"/>
      <c r="K425" s="344" t="n"/>
      <c r="L425" s="344">
        <f>IF(K425="","",K425*1.1)</f>
        <v/>
      </c>
      <c r="M425" s="345" t="n">
        <v>56</v>
      </c>
      <c r="N425" s="345" t="n">
        <v>41.4</v>
      </c>
      <c r="O425" s="345" t="inlineStr">
        <is>
          <t>6/6</t>
        </is>
      </c>
      <c r="P425" s="345" t="n">
        <v>50.5</v>
      </c>
      <c r="Q425" s="345" t="n">
        <v>42.8</v>
      </c>
      <c r="R425" s="345" t="n">
        <v>9</v>
      </c>
      <c r="T425" s="346">
        <f>UPPER(A425&amp;" "&amp;B425&amp;" "&amp;D425&amp;" "&amp;E425&amp;" "&amp;F425&amp;" "&amp;G425&amp;" "&amp;H425)</f>
        <v/>
      </c>
      <c r="U425" s="216">
        <f>IF(AND('TRA CỨU TỔNG HỢP'!$B$3&lt;&gt;"",ISNUMBER(SEARCH('TRA CỨU TỔNG HỢP'!$B$3,T425))),MAX($U$3:U424)+1,"")</f>
        <v/>
      </c>
    </row>
    <row r="426" ht="15" customHeight="1" s="217">
      <c r="A426" s="347" t="inlineStr">
        <is>
          <t>ISUZU</t>
        </is>
      </c>
      <c r="B426" s="348" t="inlineStr">
        <is>
          <t>HH079986</t>
        </is>
      </c>
      <c r="C426" s="349" t="inlineStr">
        <is>
          <t>Garrett</t>
        </is>
      </c>
      <c r="D426" s="349" t="inlineStr">
        <is>
          <t>GT22</t>
        </is>
      </c>
      <c r="E426" s="349" t="inlineStr">
        <is>
          <t>JX493/4JB1</t>
        </is>
      </c>
      <c r="F426" s="350" t="inlineStr">
        <is>
          <t>736210-0009
1118300DL</t>
        </is>
      </c>
      <c r="G426" s="349" t="n"/>
      <c r="H426" s="351" t="inlineStr">
        <is>
          <t>SL</t>
        </is>
      </c>
      <c r="I426" s="352" t="n"/>
      <c r="J426" s="352" t="n"/>
      <c r="K426" s="352" t="n"/>
      <c r="L426" s="352">
        <f>IF(K426="","",K426*1.1)</f>
        <v/>
      </c>
      <c r="M426" s="353" t="n">
        <v>56</v>
      </c>
      <c r="N426" s="353" t="n">
        <v>41.4</v>
      </c>
      <c r="O426" s="353" t="inlineStr">
        <is>
          <t>6/6</t>
        </is>
      </c>
      <c r="P426" s="353" t="n">
        <v>50.5</v>
      </c>
      <c r="Q426" s="353" t="n">
        <v>42.8</v>
      </c>
      <c r="R426" s="353" t="n">
        <v>9</v>
      </c>
      <c r="T426" s="346">
        <f>UPPER(A426&amp;" "&amp;B426&amp;" "&amp;D426&amp;" "&amp;E426&amp;" "&amp;F426&amp;" "&amp;G426&amp;" "&amp;H426)</f>
        <v/>
      </c>
      <c r="U426" s="216">
        <f>IF(AND('TRA CỨU TỔNG HỢP'!$B$3&lt;&gt;"",ISNUMBER(SEARCH('TRA CỨU TỔNG HỢP'!$B$3,T426))),MAX($U$3:U425)+1,"")</f>
        <v/>
      </c>
    </row>
    <row r="427" ht="15" customHeight="1" s="217">
      <c r="A427" s="354" t="inlineStr">
        <is>
          <t>ISUZU</t>
        </is>
      </c>
      <c r="B427" s="355" t="inlineStr">
        <is>
          <t>HH073015</t>
        </is>
      </c>
      <c r="C427" s="354" t="inlineStr">
        <is>
          <t>Garrett</t>
        </is>
      </c>
      <c r="D427" s="354" t="inlineStr">
        <is>
          <t>GT22</t>
        </is>
      </c>
      <c r="E427" s="354" t="inlineStr">
        <is>
          <t>JX493/4JB1</t>
        </is>
      </c>
      <c r="F427" s="356" t="inlineStr">
        <is>
          <t>736210-0005 | 736210-5 | 736210-5005S | 736210-5005 | 736210-0003 | 736210-3 | 736210-5003S | 736210-5003 | 1118300SZ | IC30035S</t>
        </is>
      </c>
      <c r="G427" s="354" t="n"/>
      <c r="H427" s="357" t="inlineStr">
        <is>
          <t>SL</t>
        </is>
      </c>
      <c r="I427" s="358" t="n"/>
      <c r="J427" s="358" t="n"/>
      <c r="K427" s="358" t="n"/>
      <c r="L427" s="358">
        <f>IF(K427="","",K427*1.1)</f>
        <v/>
      </c>
      <c r="M427" s="359" t="n">
        <v>56</v>
      </c>
      <c r="N427" s="359" t="n">
        <v>41.4</v>
      </c>
      <c r="O427" s="359" t="inlineStr">
        <is>
          <t>6/6</t>
        </is>
      </c>
      <c r="P427" s="359" t="n">
        <v>50.5</v>
      </c>
      <c r="Q427" s="359" t="n">
        <v>42.8</v>
      </c>
      <c r="R427" s="359" t="n">
        <v>9</v>
      </c>
      <c r="T427" s="216">
        <f>UPPER(A427&amp;" "&amp;B427&amp;" "&amp;D427&amp;" "&amp;E427&amp;" "&amp;F427&amp;" "&amp;G427&amp;" "&amp;H427)</f>
        <v/>
      </c>
      <c r="U427" s="216">
        <f>IF(AND('TRA CỨU TỔNG HỢP'!$B$3&lt;&gt;"",ISNUMBER(SEARCH('TRA CỨU TỔNG HỢP'!$B$3,T427))),MAX($U$3:U426)+1,"")</f>
        <v/>
      </c>
    </row>
    <row r="428" ht="15" customHeight="1" s="217">
      <c r="A428" s="340" t="inlineStr">
        <is>
          <t>ISUZU</t>
        </is>
      </c>
      <c r="B428" s="341" t="inlineStr">
        <is>
          <t>HH077664</t>
        </is>
      </c>
      <c r="C428" s="340" t="inlineStr">
        <is>
          <t>IHI</t>
        </is>
      </c>
      <c r="D428" s="340" t="inlineStr">
        <is>
          <t>RHE7</t>
        </is>
      </c>
      <c r="E428" s="340" t="inlineStr">
        <is>
          <t>6SD1</t>
        </is>
      </c>
      <c r="F428" s="342" t="inlineStr">
        <is>
          <t>114400-3394</t>
        </is>
      </c>
      <c r="G428" s="340" t="n"/>
      <c r="H428" s="343" t="inlineStr">
        <is>
          <t>SL</t>
        </is>
      </c>
      <c r="I428" s="344" t="n"/>
      <c r="J428" s="344" t="n"/>
      <c r="K428" s="344" t="n"/>
      <c r="L428" s="344">
        <f>IF(K428="","",K428*1.1)</f>
        <v/>
      </c>
      <c r="M428" s="345" t="n">
        <v>82</v>
      </c>
      <c r="N428" s="345" t="n">
        <v>57.2</v>
      </c>
      <c r="O428" s="345" t="inlineStr">
        <is>
          <t>6/6</t>
        </is>
      </c>
      <c r="P428" s="345" t="n">
        <v>75.43000000000001</v>
      </c>
      <c r="Q428" s="345" t="n">
        <v>73.59999999999999</v>
      </c>
      <c r="R428" s="345" t="inlineStr">
        <is>
          <t>11</t>
        </is>
      </c>
      <c r="T428" s="216">
        <f>UPPER(A428&amp;" "&amp;B428&amp;" "&amp;D428&amp;" "&amp;E428&amp;" "&amp;F428&amp;" "&amp;G428&amp;" "&amp;H428)</f>
        <v/>
      </c>
      <c r="U428" s="216">
        <f>IF(AND('TRA CỨU TỔNG HỢP'!$B$3&lt;&gt;"",ISNUMBER(SEARCH('TRA CỨU TỔNG HỢP'!$B$3,T428))),MAX($U$3:U427)+1,"")</f>
        <v/>
      </c>
    </row>
    <row r="429" ht="15" customHeight="1" s="217">
      <c r="A429" s="347" t="inlineStr">
        <is>
          <t>ISUZU</t>
        </is>
      </c>
      <c r="B429" s="348" t="inlineStr">
        <is>
          <t>HH079975</t>
        </is>
      </c>
      <c r="C429" s="349" t="inlineStr">
        <is>
          <t>IHI</t>
        </is>
      </c>
      <c r="D429" s="349" t="inlineStr">
        <is>
          <t>RHE7</t>
        </is>
      </c>
      <c r="E429" s="349" t="inlineStr">
        <is>
          <t>6SD1</t>
        </is>
      </c>
      <c r="F429" s="350" t="inlineStr">
        <is>
          <t>114400-3394</t>
        </is>
      </c>
      <c r="G429" s="349" t="n"/>
      <c r="H429" s="351" t="inlineStr">
        <is>
          <t>SL</t>
        </is>
      </c>
      <c r="I429" s="352" t="n"/>
      <c r="J429" s="352" t="n"/>
      <c r="K429" s="352" t="n"/>
      <c r="L429" s="352">
        <f>IF(K429="","",K429*1.1)</f>
        <v/>
      </c>
      <c r="M429" s="353" t="n">
        <v>82</v>
      </c>
      <c r="N429" s="353" t="n">
        <v>57.2</v>
      </c>
      <c r="O429" s="353" t="inlineStr">
        <is>
          <t>6/6</t>
        </is>
      </c>
      <c r="P429" s="353" t="n">
        <v>75.43000000000001</v>
      </c>
      <c r="Q429" s="353" t="n">
        <v>73.59999999999999</v>
      </c>
      <c r="R429" s="353" t="inlineStr">
        <is>
          <t>11</t>
        </is>
      </c>
      <c r="T429" s="216">
        <f>UPPER(A429&amp;" "&amp;B429&amp;" "&amp;D429&amp;" "&amp;E429&amp;" "&amp;F429&amp;" "&amp;G429&amp;" "&amp;H429)</f>
        <v/>
      </c>
      <c r="U429" s="216">
        <f>IF(AND('TRA CỨU TỔNG HỢP'!$B$3&lt;&gt;"",ISNUMBER(SEARCH('TRA CỨU TỔNG HỢP'!$B$3,T429))),MAX($U$3:U428)+1,"")</f>
        <v/>
      </c>
    </row>
    <row r="430" ht="15" customHeight="1" s="217">
      <c r="A430" s="340" t="inlineStr">
        <is>
          <t>ISUZU</t>
        </is>
      </c>
      <c r="B430" s="341" t="inlineStr">
        <is>
          <t>HH071948</t>
        </is>
      </c>
      <c r="C430" s="340" t="inlineStr">
        <is>
          <t>Garrett</t>
        </is>
      </c>
      <c r="D430" s="340" t="inlineStr">
        <is>
          <t>GT2560LS</t>
        </is>
      </c>
      <c r="E430" s="340" t="inlineStr">
        <is>
          <t>4HE1/4HK1</t>
        </is>
      </c>
      <c r="F430" s="342" t="inlineStr">
        <is>
          <t>700716-0009/700716-4/700716-5003S/700716-5/700716-5009S/700716-0009/700716-5004S/700716-0005/700716-0004/700716-5005S/700716-0003/700716-3/700716-9
8971894520/8972089660/8971894520/8972089662/8972089661/8972089663
8G25-200-184</t>
        </is>
      </c>
      <c r="G430" s="340" t="n"/>
      <c r="H430" s="343" t="inlineStr">
        <is>
          <t>SL</t>
        </is>
      </c>
      <c r="I430" s="344" t="n"/>
      <c r="J430" s="344" t="n"/>
      <c r="K430" s="344" t="n"/>
      <c r="L430" s="344">
        <f>IF(K430="","",K430*1.1)</f>
        <v/>
      </c>
      <c r="M430" s="345" t="n">
        <v>60.2</v>
      </c>
      <c r="N430" s="345" t="n">
        <v>46.4</v>
      </c>
      <c r="O430" s="345" t="inlineStr">
        <is>
          <t>6/6</t>
        </is>
      </c>
      <c r="P430" s="345" t="n">
        <v>54</v>
      </c>
      <c r="Q430" s="345" t="n">
        <v>46.9</v>
      </c>
      <c r="R430" s="345" t="n">
        <v>9</v>
      </c>
      <c r="T430" s="346">
        <f>UPPER(A430&amp;" "&amp;B430&amp;" "&amp;D430&amp;" "&amp;E430&amp;" "&amp;F430&amp;" "&amp;G430&amp;" "&amp;H430)</f>
        <v/>
      </c>
      <c r="U430" s="216">
        <f>IF(AND('TRA CỨU TỔNG HỢP'!$B$3&lt;&gt;"",ISNUMBER(SEARCH('TRA CỨU TỔNG HỢP'!$B$3,T430))),MAX($U$3:U429)+1,"")</f>
        <v/>
      </c>
    </row>
    <row r="431" ht="15" customHeight="1" s="217">
      <c r="A431" s="347" t="inlineStr">
        <is>
          <t>ISUZU</t>
        </is>
      </c>
      <c r="B431" s="348" t="inlineStr">
        <is>
          <t>HH079993</t>
        </is>
      </c>
      <c r="C431" s="349" t="inlineStr">
        <is>
          <t>Garrett</t>
        </is>
      </c>
      <c r="D431" s="349" t="inlineStr">
        <is>
          <t>GT2560LS</t>
        </is>
      </c>
      <c r="E431" s="349" t="inlineStr">
        <is>
          <t>4HE1/4HK1</t>
        </is>
      </c>
      <c r="F431" s="350" t="inlineStr">
        <is>
          <t>700716-0009/700716-4/700716-5003S/700716-5/700716-5009S/700716-0009/700716-5004S/700716-0005/700716-0004/700716-5005S/700716-0003/700716-3/700716-9
8971894520/8972089660/8971894520/8972089662/8972089661/8972089663
8G25-200-184</t>
        </is>
      </c>
      <c r="G431" s="349" t="n"/>
      <c r="H431" s="351" t="inlineStr">
        <is>
          <t>SL</t>
        </is>
      </c>
      <c r="I431" s="352" t="n"/>
      <c r="J431" s="352" t="n"/>
      <c r="K431" s="352" t="n"/>
      <c r="L431" s="352">
        <f>IF(K431="","",K431*1.1)</f>
        <v/>
      </c>
      <c r="M431" s="353" t="n">
        <v>60.2</v>
      </c>
      <c r="N431" s="353" t="n">
        <v>46.4</v>
      </c>
      <c r="O431" s="353" t="inlineStr">
        <is>
          <t>6/6</t>
        </is>
      </c>
      <c r="P431" s="353" t="n">
        <v>54</v>
      </c>
      <c r="Q431" s="353" t="n">
        <v>46.9</v>
      </c>
      <c r="R431" s="353" t="n">
        <v>9</v>
      </c>
      <c r="T431" s="346">
        <f>UPPER(A431&amp;" "&amp;B431&amp;" "&amp;D431&amp;" "&amp;E431&amp;" "&amp;F431&amp;" "&amp;G431&amp;" "&amp;H431)</f>
        <v/>
      </c>
      <c r="U431" s="216">
        <f>IF(AND('TRA CỨU TỔNG HỢP'!$B$3&lt;&gt;"",ISNUMBER(SEARCH('TRA CỨU TỔNG HỢP'!$B$3,T431))),MAX($U$3:U430)+1,"")</f>
        <v/>
      </c>
    </row>
    <row r="432" ht="15" customHeight="1" s="217">
      <c r="A432" s="340" t="inlineStr">
        <is>
          <t>ISUZU</t>
        </is>
      </c>
      <c r="B432" s="341" t="inlineStr">
        <is>
          <t>HH078449</t>
        </is>
      </c>
      <c r="C432" s="340" t="inlineStr">
        <is>
          <t>IHI</t>
        </is>
      </c>
      <c r="D432" s="340" t="inlineStr">
        <is>
          <t>RHE6</t>
        </is>
      </c>
      <c r="E432" s="340" t="inlineStr">
        <is>
          <t>6HK1</t>
        </is>
      </c>
      <c r="F432" s="342" t="n">
        <v>8980787791</v>
      </c>
      <c r="G432" s="340" t="n"/>
      <c r="H432" s="343" t="inlineStr">
        <is>
          <t>VIDARIR</t>
        </is>
      </c>
      <c r="I432" s="344" t="n"/>
      <c r="J432" s="344" t="n"/>
      <c r="K432" s="344" t="n"/>
      <c r="L432" s="344">
        <f>IF(K432="","",K432*1.1)</f>
        <v/>
      </c>
      <c r="M432" s="345" t="n"/>
      <c r="N432" s="345" t="n"/>
      <c r="O432" s="345" t="n"/>
      <c r="P432" s="345" t="n"/>
      <c r="Q432" s="345" t="n"/>
      <c r="R432" s="345" t="n"/>
      <c r="T432" s="216">
        <f>UPPER(A432&amp;" "&amp;B432&amp;" "&amp;D432&amp;" "&amp;E432&amp;" "&amp;F432&amp;" "&amp;G432&amp;" "&amp;H432)</f>
        <v/>
      </c>
      <c r="U432" s="216">
        <f>IF(AND('TRA CỨU TỔNG HỢP'!$B$3&lt;&gt;"",ISNUMBER(SEARCH('TRA CỨU TỔNG HỢP'!$B$3,T432))),MAX($U$3:U431)+1,"")</f>
        <v/>
      </c>
    </row>
    <row r="433" ht="15" customHeight="1" s="217">
      <c r="A433" s="347" t="inlineStr">
        <is>
          <t>ISUZU</t>
        </is>
      </c>
      <c r="B433" s="348" t="inlineStr">
        <is>
          <t>HH083506</t>
        </is>
      </c>
      <c r="C433" s="349" t="inlineStr">
        <is>
          <t>IHI</t>
        </is>
      </c>
      <c r="D433" s="349" t="inlineStr">
        <is>
          <t>RHE6</t>
        </is>
      </c>
      <c r="E433" s="349" t="inlineStr">
        <is>
          <t>6HK1</t>
        </is>
      </c>
      <c r="F433" s="350" t="n">
        <v>8980787791</v>
      </c>
      <c r="G433" s="349" t="n"/>
      <c r="H433" s="351" t="inlineStr">
        <is>
          <t>TBS</t>
        </is>
      </c>
      <c r="I433" s="352" t="n"/>
      <c r="J433" s="352" t="n"/>
      <c r="K433" s="352" t="n"/>
      <c r="L433" s="352">
        <f>IF(K433="","",K433*1.1)</f>
        <v/>
      </c>
      <c r="M433" s="353" t="n"/>
      <c r="N433" s="353" t="n"/>
      <c r="O433" s="353" t="n"/>
      <c r="P433" s="353" t="n"/>
      <c r="Q433" s="353" t="n"/>
      <c r="R433" s="353" t="n"/>
      <c r="T433" s="216">
        <f>UPPER(A433&amp;" "&amp;B433&amp;" "&amp;D433&amp;" "&amp;E433&amp;" "&amp;F433&amp;" "&amp;G433&amp;" "&amp;H433)</f>
        <v/>
      </c>
      <c r="U433" s="216">
        <f>IF(AND('TRA CỨU TỔNG HỢP'!$B$3&lt;&gt;"",ISNUMBER(SEARCH('TRA CỨU TỔNG HỢP'!$B$3,T433))),MAX($U$3:U432)+1,"")</f>
        <v/>
      </c>
    </row>
    <row r="434" ht="15" customHeight="1" s="217">
      <c r="A434" s="354" t="inlineStr">
        <is>
          <t>ISUZU</t>
        </is>
      </c>
      <c r="B434" s="355" t="inlineStr">
        <is>
          <t>HH079125</t>
        </is>
      </c>
      <c r="C434" s="354" t="inlineStr">
        <is>
          <t>IHI</t>
        </is>
      </c>
      <c r="D434" s="354" t="inlineStr">
        <is>
          <t>RHF4H/RHF4</t>
        </is>
      </c>
      <c r="E434" s="354" t="inlineStr">
        <is>
          <t>4JA1</t>
        </is>
      </c>
      <c r="F434" s="356" t="inlineStr">
        <is>
          <t>8I04-200-980
 8972402101/8971856452
VC420037-VIDA</t>
        </is>
      </c>
      <c r="G434" s="354" t="n"/>
      <c r="H434" s="357" t="inlineStr">
        <is>
          <t>JRONE</t>
        </is>
      </c>
      <c r="I434" s="358" t="n"/>
      <c r="J434" s="358" t="n"/>
      <c r="K434" s="358" t="n"/>
      <c r="L434" s="358">
        <f>IF(K434="","",K434*1.1)</f>
        <v/>
      </c>
      <c r="M434" s="359" t="n">
        <v>47</v>
      </c>
      <c r="N434" s="359" t="n">
        <v>35.3</v>
      </c>
      <c r="O434" s="359" t="inlineStr">
        <is>
          <t>6/6</t>
        </is>
      </c>
      <c r="P434" s="359" t="n">
        <v>44.3</v>
      </c>
      <c r="Q434" s="359" t="n">
        <v>37.7</v>
      </c>
      <c r="R434" s="359" t="n">
        <v>8</v>
      </c>
      <c r="T434" s="346">
        <f>UPPER(A434&amp;" "&amp;B434&amp;" "&amp;D434&amp;" "&amp;E434&amp;" "&amp;F434&amp;" "&amp;G434&amp;" "&amp;H434)</f>
        <v/>
      </c>
      <c r="U434" s="216">
        <f>IF(AND('TRA CỨU TỔNG HỢP'!$B$3&lt;&gt;"",ISNUMBER(SEARCH('TRA CỨU TỔNG HỢP'!$B$3,T434))),MAX($U$3:U433)+1,"")</f>
        <v/>
      </c>
    </row>
    <row r="435" ht="15" customHeight="1" s="217">
      <c r="A435" s="340" t="inlineStr">
        <is>
          <t>ISUZU</t>
        </is>
      </c>
      <c r="B435" s="341" t="inlineStr">
        <is>
          <t>HH081729</t>
        </is>
      </c>
      <c r="C435" s="340" t="inlineStr">
        <is>
          <t>IHI</t>
        </is>
      </c>
      <c r="D435" s="340" t="inlineStr">
        <is>
          <t>RHF4</t>
        </is>
      </c>
      <c r="E435" s="340" t="inlineStr">
        <is>
          <t>4JB1TC/4HK1</t>
        </is>
      </c>
      <c r="F435" s="342" t="inlineStr">
        <is>
          <t>897331-1850
8I04-200-047/| VA420076 | VB420076 | VC420076 | VD420076 | 8973311850 | 8973311851 | 8-97331-1850 | 8-97331-1851 | 897331-1850 | 897331-1851 | 4T505 | 4T-505 | F41CADS0076B | F41CAD-S0076B | F41CADS0076G | F41CAD-S0076G | 1118010802 | 1118010-802 | 3047087</t>
        </is>
      </c>
      <c r="G435" s="340" t="n"/>
      <c r="H435" s="343" t="inlineStr">
        <is>
          <t>SL</t>
        </is>
      </c>
      <c r="I435" s="344" t="n"/>
      <c r="J435" s="344" t="n"/>
      <c r="K435" s="344" t="n"/>
      <c r="L435" s="344">
        <f>IF(K435="","",K435*1.1)</f>
        <v/>
      </c>
      <c r="M435" s="345" t="n">
        <v>52.5</v>
      </c>
      <c r="N435" s="345" t="n">
        <v>38.1</v>
      </c>
      <c r="O435" s="345" t="inlineStr">
        <is>
          <t>10</t>
        </is>
      </c>
      <c r="P435" s="345" t="n">
        <v>44.3</v>
      </c>
      <c r="Q435" s="345" t="n">
        <v>37.7</v>
      </c>
      <c r="R435" s="345" t="n">
        <v>8</v>
      </c>
      <c r="T435" s="346">
        <f>UPPER(A435&amp;" "&amp;B435&amp;" "&amp;D435&amp;" "&amp;E435&amp;" "&amp;F435&amp;" "&amp;G435&amp;" "&amp;H435)</f>
        <v/>
      </c>
      <c r="U435" s="216">
        <f>IF(AND('TRA CỨU TỔNG HỢP'!$B$3&lt;&gt;"",ISNUMBER(SEARCH('TRA CỨU TỔNG HỢP'!$B$3,T435))),MAX($U$3:U434)+1,"")</f>
        <v/>
      </c>
    </row>
    <row r="436" ht="15" customHeight="1" s="217">
      <c r="A436" s="347" t="inlineStr">
        <is>
          <t>ISUZU</t>
        </is>
      </c>
      <c r="B436" s="348" t="inlineStr">
        <is>
          <t>HH078715</t>
        </is>
      </c>
      <c r="C436" s="349" t="inlineStr">
        <is>
          <t>IHI</t>
        </is>
      </c>
      <c r="D436" s="349" t="inlineStr">
        <is>
          <t>RHF4</t>
        </is>
      </c>
      <c r="E436" s="349" t="inlineStr">
        <is>
          <t>4JB1TC/4HK1</t>
        </is>
      </c>
      <c r="F436" s="350" t="inlineStr">
        <is>
          <t>897331-1850
8I04-200-047/| VA420076 | VB420076 | VC420076 | VD420076 | 8973311850 | 8973311851 | 8-97331-1850 | 8-97331-1851 | 897331-1850 | 897331-1851 | 4T505 | 4T-505 | F41CADS0076B | F41CAD-S0076B | F41CADS0076G | F41CAD-S0076G | 1118010802 | 1118010-802 | 3047087</t>
        </is>
      </c>
      <c r="G436" s="349" t="n"/>
      <c r="H436" s="351" t="inlineStr">
        <is>
          <t>SL</t>
        </is>
      </c>
      <c r="I436" s="352" t="n"/>
      <c r="J436" s="352" t="n"/>
      <c r="K436" s="352" t="n"/>
      <c r="L436" s="352">
        <f>IF(K436="","",K436*1.1)</f>
        <v/>
      </c>
      <c r="M436" s="353" t="n">
        <v>52.5</v>
      </c>
      <c r="N436" s="353" t="n">
        <v>38.1</v>
      </c>
      <c r="O436" s="353" t="inlineStr">
        <is>
          <t>10</t>
        </is>
      </c>
      <c r="P436" s="353" t="n">
        <v>44.3</v>
      </c>
      <c r="Q436" s="353" t="n">
        <v>37.7</v>
      </c>
      <c r="R436" s="353" t="n">
        <v>8</v>
      </c>
      <c r="T436" s="346">
        <f>UPPER(A436&amp;" "&amp;B436&amp;" "&amp;D436&amp;" "&amp;E436&amp;" "&amp;F436&amp;" "&amp;G436&amp;" "&amp;H436)</f>
        <v/>
      </c>
      <c r="U436" s="216">
        <f>IF(AND('TRA CỨU TỔNG HỢP'!$B$3&lt;&gt;"",ISNUMBER(SEARCH('TRA CỨU TỔNG HỢP'!$B$3,T436))),MAX($U$3:U435)+1,"")</f>
        <v/>
      </c>
    </row>
    <row r="437" ht="15" customHeight="1" s="217">
      <c r="A437" s="347" t="inlineStr">
        <is>
          <t>ISUZU</t>
        </is>
      </c>
      <c r="B437" s="348" t="inlineStr">
        <is>
          <t>HH079972</t>
        </is>
      </c>
      <c r="C437" s="349" t="inlineStr">
        <is>
          <t>IHI</t>
        </is>
      </c>
      <c r="D437" s="349" t="inlineStr">
        <is>
          <t>RHF4</t>
        </is>
      </c>
      <c r="E437" s="349" t="inlineStr">
        <is>
          <t>4JB1TC/4HK1</t>
        </is>
      </c>
      <c r="F437" s="350" t="inlineStr">
        <is>
          <t>897331-1850
8I04-200-047/| VA420076 | VB420076 | VC420076 | VD420076 | 8973311850 | 8973311851 | 8-97331-1850 | 8-97331-1851 | 897331-1850 | 897331-1851 | 4T505 | 4T-505 | F41CADS0076B | F41CAD-S0076B | F41CADS0076G | F41CAD-S0076G | 1118010802 | 1118010-802 | 3047087</t>
        </is>
      </c>
      <c r="G437" s="349" t="n"/>
      <c r="H437" s="351" t="inlineStr">
        <is>
          <t>SL</t>
        </is>
      </c>
      <c r="I437" s="352" t="n"/>
      <c r="J437" s="352" t="n"/>
      <c r="K437" s="352" t="n"/>
      <c r="L437" s="352">
        <f>IF(K437="","",K437*1.1)</f>
        <v/>
      </c>
      <c r="M437" s="353" t="n">
        <v>52.5</v>
      </c>
      <c r="N437" s="353" t="n">
        <v>38.1</v>
      </c>
      <c r="O437" s="353" t="inlineStr">
        <is>
          <t>10</t>
        </is>
      </c>
      <c r="P437" s="353" t="n">
        <v>44.3</v>
      </c>
      <c r="Q437" s="353" t="n">
        <v>37.7</v>
      </c>
      <c r="R437" s="353" t="n">
        <v>8</v>
      </c>
      <c r="T437" s="346">
        <f>UPPER(A437&amp;" "&amp;B437&amp;" "&amp;D437&amp;" "&amp;E437&amp;" "&amp;F437&amp;" "&amp;G437&amp;" "&amp;H437)</f>
        <v/>
      </c>
      <c r="U437" s="216">
        <f>IF(AND('TRA CỨU TỔNG HỢP'!$B$3&lt;&gt;"",ISNUMBER(SEARCH('TRA CỨU TỔNG HỢP'!$B$3,T437))),MAX($U$3:U436)+1,"")</f>
        <v/>
      </c>
    </row>
    <row r="438" ht="15" customHeight="1" s="217">
      <c r="A438" s="340" t="inlineStr">
        <is>
          <t>ISUZU</t>
        </is>
      </c>
      <c r="B438" s="341" t="inlineStr">
        <is>
          <t>HH071947</t>
        </is>
      </c>
      <c r="C438" s="340" t="inlineStr">
        <is>
          <t>Garrett</t>
        </is>
      </c>
      <c r="D438" s="340" t="inlineStr">
        <is>
          <t>GT2256M</t>
        </is>
      </c>
      <c r="E438" s="340" t="inlineStr">
        <is>
          <t>4HG1T</t>
        </is>
      </c>
      <c r="F438" s="342" t="inlineStr">
        <is>
          <t>8973267520
703136-0003 704136-0003
704136-0001 704136-0002
8973267520/B161202088
8972083520/8971784860</t>
        </is>
      </c>
      <c r="G438" s="340" t="n"/>
      <c r="H438" s="343" t="n"/>
      <c r="I438" s="344" t="n"/>
      <c r="J438" s="344" t="n"/>
      <c r="K438" s="344" t="n"/>
      <c r="L438" s="344">
        <f>IF(K438="","",K438*1.1)</f>
        <v/>
      </c>
      <c r="M438" s="345" t="n">
        <v>56</v>
      </c>
      <c r="N438" s="345" t="n">
        <v>41.5</v>
      </c>
      <c r="O438" s="345" t="inlineStr">
        <is>
          <t>6/6</t>
        </is>
      </c>
      <c r="P438" s="345" t="n">
        <v>50.4</v>
      </c>
      <c r="Q438" s="345" t="n">
        <v>42.8</v>
      </c>
      <c r="R438" s="345" t="n">
        <v>9</v>
      </c>
      <c r="T438" s="346">
        <f>UPPER(A438&amp;" "&amp;B438&amp;" "&amp;D438&amp;" "&amp;E438&amp;" "&amp;F438&amp;" "&amp;G438&amp;" "&amp;H438)</f>
        <v/>
      </c>
      <c r="U438" s="216">
        <f>IF(AND('TRA CỨU TỔNG HỢP'!$B$3&lt;&gt;"",ISNUMBER(SEARCH('TRA CỨU TỔNG HỢP'!$B$3,T438))),MAX($U$3:U437)+1,"")</f>
        <v/>
      </c>
    </row>
    <row r="439" ht="15" customHeight="1" s="217">
      <c r="A439" s="347" t="inlineStr">
        <is>
          <t>ISUZU</t>
        </is>
      </c>
      <c r="B439" s="348" t="inlineStr">
        <is>
          <t>HH080325</t>
        </is>
      </c>
      <c r="C439" s="349" t="inlineStr">
        <is>
          <t>Garrett</t>
        </is>
      </c>
      <c r="D439" s="349" t="inlineStr">
        <is>
          <t>GT2256M</t>
        </is>
      </c>
      <c r="E439" s="349" t="inlineStr">
        <is>
          <t>4HG1T</t>
        </is>
      </c>
      <c r="F439" s="350" t="inlineStr">
        <is>
          <t>8973267520
703136-0003 704136-0003
704136-0001 704136-0002
8973267520/B161202088
8972083520/8971784860</t>
        </is>
      </c>
      <c r="G439" s="349" t="n"/>
      <c r="H439" s="351" t="inlineStr">
        <is>
          <t>SL</t>
        </is>
      </c>
      <c r="I439" s="352" t="n"/>
      <c r="J439" s="352" t="n"/>
      <c r="K439" s="352" t="n"/>
      <c r="L439" s="352">
        <f>IF(K439="","",K439*1.1)</f>
        <v/>
      </c>
      <c r="M439" s="353" t="n">
        <v>56</v>
      </c>
      <c r="N439" s="353" t="n">
        <v>41.5</v>
      </c>
      <c r="O439" s="353" t="inlineStr">
        <is>
          <t>6/6</t>
        </is>
      </c>
      <c r="P439" s="353" t="n">
        <v>50.4</v>
      </c>
      <c r="Q439" s="353" t="n">
        <v>42.8</v>
      </c>
      <c r="R439" s="353" t="n">
        <v>9</v>
      </c>
      <c r="T439" s="346">
        <f>UPPER(A439&amp;" "&amp;B439&amp;" "&amp;D439&amp;" "&amp;E439&amp;" "&amp;F439&amp;" "&amp;G439&amp;" "&amp;H439)</f>
        <v/>
      </c>
      <c r="U439" s="216">
        <f>IF(AND('TRA CỨU TỔNG HỢP'!$B$3&lt;&gt;"",ISNUMBER(SEARCH('TRA CỨU TỔNG HỢP'!$B$3,T439))),MAX($U$3:U438)+1,"")</f>
        <v/>
      </c>
    </row>
    <row r="440" ht="15" customHeight="1" s="217">
      <c r="A440" s="340" t="inlineStr">
        <is>
          <t>ISUZU</t>
        </is>
      </c>
      <c r="B440" s="341" t="inlineStr">
        <is>
          <t>HH081331</t>
        </is>
      </c>
      <c r="C440" s="340" t="inlineStr">
        <is>
          <t>IHI</t>
        </is>
      </c>
      <c r="D440" s="340" t="inlineStr">
        <is>
          <t>RHF5</t>
        </is>
      </c>
      <c r="E440" s="340" t="inlineStr">
        <is>
          <t>4JA1</t>
        </is>
      </c>
      <c r="F440" s="342" t="inlineStr">
        <is>
          <t>8973132920
 VA420084</t>
        </is>
      </c>
      <c r="G440" s="340" t="n"/>
      <c r="H440" s="343" t="inlineStr">
        <is>
          <t>SL</t>
        </is>
      </c>
      <c r="I440" s="344" t="n"/>
      <c r="J440" s="344" t="n"/>
      <c r="K440" s="344" t="n"/>
      <c r="L440" s="344">
        <f>IF(K440="","",K440*1.1)</f>
        <v/>
      </c>
      <c r="M440" s="345" t="n">
        <v>47</v>
      </c>
      <c r="N440" s="345" t="n">
        <v>35.3</v>
      </c>
      <c r="O440" s="345" t="inlineStr">
        <is>
          <t>6/6</t>
        </is>
      </c>
      <c r="P440" s="345" t="n">
        <v>44.3</v>
      </c>
      <c r="Q440" s="345" t="n">
        <v>37.7</v>
      </c>
      <c r="R440" s="345" t="n">
        <v>8</v>
      </c>
      <c r="T440" s="346">
        <f>UPPER(A440&amp;" "&amp;B440&amp;" "&amp;D440&amp;" "&amp;E440&amp;" "&amp;F440&amp;" "&amp;G440&amp;" "&amp;H440)</f>
        <v/>
      </c>
      <c r="U440" s="216">
        <f>IF(AND('TRA CỨU TỔNG HỢP'!$B$3&lt;&gt;"",ISNUMBER(SEARCH('TRA CỨU TỔNG HỢP'!$B$3,T440))),MAX($U$3:U439)+1,"")</f>
        <v/>
      </c>
    </row>
    <row r="441" ht="15" customHeight="1" s="217">
      <c r="A441" s="347" t="inlineStr">
        <is>
          <t>ISUZU</t>
        </is>
      </c>
      <c r="B441" s="348" t="inlineStr">
        <is>
          <t>HH081405</t>
        </is>
      </c>
      <c r="C441" s="349" t="inlineStr">
        <is>
          <t>IHI</t>
        </is>
      </c>
      <c r="D441" s="349" t="inlineStr">
        <is>
          <t>RHF5</t>
        </is>
      </c>
      <c r="E441" s="349" t="inlineStr">
        <is>
          <t>4JA1</t>
        </is>
      </c>
      <c r="F441" s="350" t="inlineStr">
        <is>
          <t>8973132920
 VA420084</t>
        </is>
      </c>
      <c r="G441" s="349" t="n"/>
      <c r="H441" s="351" t="inlineStr">
        <is>
          <t>SL</t>
        </is>
      </c>
      <c r="I441" s="352" t="n"/>
      <c r="J441" s="352" t="n"/>
      <c r="K441" s="352" t="n"/>
      <c r="L441" s="352">
        <f>IF(K441="","",K441*1.1)</f>
        <v/>
      </c>
      <c r="M441" s="353" t="n">
        <v>47</v>
      </c>
      <c r="N441" s="353" t="n">
        <v>35.3</v>
      </c>
      <c r="O441" s="353" t="inlineStr">
        <is>
          <t>6/6</t>
        </is>
      </c>
      <c r="P441" s="353" t="n">
        <v>44.3</v>
      </c>
      <c r="Q441" s="353" t="n">
        <v>37.7</v>
      </c>
      <c r="R441" s="353" t="n">
        <v>8</v>
      </c>
      <c r="T441" s="346">
        <f>UPPER(A441&amp;" "&amp;B441&amp;" "&amp;D441&amp;" "&amp;E441&amp;" "&amp;F441&amp;" "&amp;G441&amp;" "&amp;H441)</f>
        <v/>
      </c>
      <c r="U441" s="216">
        <f>IF(AND('TRA CỨU TỔNG HỢP'!$B$3&lt;&gt;"",ISNUMBER(SEARCH('TRA CỨU TỔNG HỢP'!$B$3,T441))),MAX($U$3:U440)+1,"")</f>
        <v/>
      </c>
    </row>
    <row r="442" ht="15" customHeight="1" s="217">
      <c r="A442" s="340" t="inlineStr">
        <is>
          <t>ISUZU</t>
        </is>
      </c>
      <c r="B442" s="341" t="inlineStr">
        <is>
          <t>HH071948</t>
        </is>
      </c>
      <c r="C442" s="340" t="inlineStr">
        <is>
          <t>Garrett</t>
        </is>
      </c>
      <c r="D442" s="340" t="inlineStr">
        <is>
          <t>GT25</t>
        </is>
      </c>
      <c r="E442" s="340" t="inlineStr">
        <is>
          <t>4HE1</t>
        </is>
      </c>
      <c r="F442" s="342" t="inlineStr">
        <is>
          <t>8972089661
700716/8972089663/8971894520</t>
        </is>
      </c>
      <c r="G442" s="340" t="inlineStr">
        <is>
          <t>CÓ H/A jrone ( thực tế)</t>
        </is>
      </c>
      <c r="H442" s="343" t="inlineStr">
        <is>
          <t>SL</t>
        </is>
      </c>
      <c r="I442" s="344" t="n"/>
      <c r="J442" s="344" t="n"/>
      <c r="K442" s="344" t="n"/>
      <c r="L442" s="344">
        <f>IF(K442="","",K442*1.1)</f>
        <v/>
      </c>
      <c r="M442" s="345" t="n">
        <v>60.2</v>
      </c>
      <c r="N442" s="345" t="n">
        <v>46.4</v>
      </c>
      <c r="O442" s="345" t="inlineStr">
        <is>
          <t>6/6</t>
        </is>
      </c>
      <c r="P442" s="345" t="n">
        <v>54</v>
      </c>
      <c r="Q442" s="345" t="n">
        <v>46.9</v>
      </c>
      <c r="R442" s="345" t="n">
        <v>9</v>
      </c>
      <c r="T442" s="346">
        <f>UPPER(A442&amp;" "&amp;B442&amp;" "&amp;D442&amp;" "&amp;E442&amp;" "&amp;F442&amp;" "&amp;G442&amp;" "&amp;H442)</f>
        <v/>
      </c>
      <c r="U442" s="216">
        <f>IF(AND('TRA CỨU TỔNG HỢP'!$B$3&lt;&gt;"",ISNUMBER(SEARCH('TRA CỨU TỔNG HỢP'!$B$3,T442))),MAX($U$3:U441)+1,"")</f>
        <v/>
      </c>
    </row>
    <row r="443" ht="15" customHeight="1" s="217">
      <c r="A443" s="347" t="inlineStr">
        <is>
          <t>ISUZU</t>
        </is>
      </c>
      <c r="B443" s="348" t="inlineStr">
        <is>
          <t>HH079993</t>
        </is>
      </c>
      <c r="C443" s="349" t="inlineStr">
        <is>
          <t>Garrett</t>
        </is>
      </c>
      <c r="D443" s="349" t="inlineStr">
        <is>
          <t>GT25</t>
        </is>
      </c>
      <c r="E443" s="349" t="inlineStr">
        <is>
          <t>4HE1</t>
        </is>
      </c>
      <c r="F443" s="350" t="inlineStr">
        <is>
          <t>8972089661
700716/8972089663/8971894520</t>
        </is>
      </c>
      <c r="G443" s="349" t="inlineStr">
        <is>
          <t>CÓ H/A jrone ( thực tế)</t>
        </is>
      </c>
      <c r="H443" s="351" t="inlineStr">
        <is>
          <t>SL</t>
        </is>
      </c>
      <c r="I443" s="352" t="n"/>
      <c r="J443" s="352" t="n"/>
      <c r="K443" s="352" t="n"/>
      <c r="L443" s="352">
        <f>IF(K443="","",K443*1.1)</f>
        <v/>
      </c>
      <c r="M443" s="353" t="n">
        <v>60.2</v>
      </c>
      <c r="N443" s="353" t="n">
        <v>46.4</v>
      </c>
      <c r="O443" s="353" t="inlineStr">
        <is>
          <t>6/6</t>
        </is>
      </c>
      <c r="P443" s="353" t="n">
        <v>54</v>
      </c>
      <c r="Q443" s="353" t="n">
        <v>46.9</v>
      </c>
      <c r="R443" s="353" t="n">
        <v>9</v>
      </c>
      <c r="T443" s="346">
        <f>UPPER(A443&amp;" "&amp;B443&amp;" "&amp;D443&amp;" "&amp;E443&amp;" "&amp;F443&amp;" "&amp;G443&amp;" "&amp;H443)</f>
        <v/>
      </c>
      <c r="U443" s="216">
        <f>IF(AND('TRA CỨU TỔNG HỢP'!$B$3&lt;&gt;"",ISNUMBER(SEARCH('TRA CỨU TỔNG HỢP'!$B$3,T443))),MAX($U$3:U442)+1,"")</f>
        <v/>
      </c>
    </row>
    <row r="444" ht="15" customHeight="1" s="217">
      <c r="A444" s="367" t="inlineStr">
        <is>
          <t>ISUZU</t>
        </is>
      </c>
      <c r="B444" s="368" t="n"/>
      <c r="C444" s="367" t="inlineStr">
        <is>
          <t>IHI</t>
        </is>
      </c>
      <c r="D444" s="367" t="inlineStr">
        <is>
          <t>RHF55</t>
        </is>
      </c>
      <c r="E444" s="367" t="inlineStr">
        <is>
          <t>4HE1-T/4HE1T</t>
        </is>
      </c>
      <c r="F444" s="369" t="inlineStr">
        <is>
          <t>8971038570/8971038571/VA440012 VB440012 VC440012 VD440012 VA440013/VC440012-VIBA</t>
        </is>
      </c>
      <c r="G444" s="367" t="inlineStr">
        <is>
          <t>chưa nhập</t>
        </is>
      </c>
      <c r="H444" s="370" t="n"/>
      <c r="I444" s="371" t="n"/>
      <c r="J444" s="371" t="n"/>
      <c r="K444" s="371" t="n"/>
      <c r="L444" s="371">
        <f>IF(K444="","",K444*1.1)</f>
        <v/>
      </c>
      <c r="M444" s="372" t="n">
        <v>60</v>
      </c>
      <c r="N444" s="372" t="n">
        <v>45</v>
      </c>
      <c r="O444" s="372" t="inlineStr">
        <is>
          <t>5/5</t>
        </is>
      </c>
      <c r="P444" s="372" t="n">
        <v>56</v>
      </c>
      <c r="Q444" s="372" t="n">
        <v>50</v>
      </c>
      <c r="R444" s="372" t="n">
        <v>11</v>
      </c>
      <c r="T444" s="216">
        <f>UPPER(A444&amp;" "&amp;B444&amp;" "&amp;D444&amp;" "&amp;E444&amp;" "&amp;F444&amp;" "&amp;G444&amp;" "&amp;H444)</f>
        <v/>
      </c>
      <c r="U444" s="216">
        <f>IF(AND('TRA CỨU TỔNG HỢP'!$B$3&lt;&gt;"",ISNUMBER(SEARCH('TRA CỨU TỔNG HỢP'!$B$3,T444))),MAX($U$3:U443)+1,"")</f>
        <v/>
      </c>
    </row>
    <row r="445" ht="15" customHeight="1" s="217">
      <c r="A445" s="379" t="inlineStr">
        <is>
          <t>ISUZU</t>
        </is>
      </c>
      <c r="B445" s="380" t="n"/>
      <c r="C445" s="379" t="inlineStr">
        <is>
          <t>IHI</t>
        </is>
      </c>
      <c r="D445" s="379" t="inlineStr">
        <is>
          <t>RHF5</t>
        </is>
      </c>
      <c r="E445" s="379" t="inlineStr">
        <is>
          <t>4JJ1</t>
        </is>
      </c>
      <c r="F445" s="381" t="n">
        <v>8982435610</v>
      </c>
      <c r="G445" s="379" t="inlineStr">
        <is>
          <t>chưa nhập</t>
        </is>
      </c>
      <c r="H445" s="382" t="n"/>
      <c r="I445" s="383" t="n"/>
      <c r="J445" s="383" t="n"/>
      <c r="K445" s="383" t="n"/>
      <c r="L445" s="383">
        <f>IF(K445="","",K445*1.1)</f>
        <v/>
      </c>
      <c r="M445" s="384" t="n"/>
      <c r="N445" s="384" t="n"/>
      <c r="O445" s="384" t="n"/>
      <c r="P445" s="384" t="n"/>
      <c r="Q445" s="384" t="n"/>
      <c r="R445" s="384" t="n"/>
      <c r="T445" s="216">
        <f>UPPER(A445&amp;" "&amp;B445&amp;" "&amp;D445&amp;" "&amp;E445&amp;" "&amp;F445&amp;" "&amp;G445&amp;" "&amp;H445)</f>
        <v/>
      </c>
      <c r="U445" s="216">
        <f>IF(AND('TRA CỨU TỔNG HỢP'!$B$3&lt;&gt;"",ISNUMBER(SEARCH('TRA CỨU TỔNG HỢP'!$B$3,T445))),MAX($U$3:U444)+1,"")</f>
        <v/>
      </c>
    </row>
    <row r="446" ht="15" customHeight="1" s="217">
      <c r="A446" s="354" t="inlineStr">
        <is>
          <t>ISUZU</t>
        </is>
      </c>
      <c r="B446" s="355" t="inlineStr">
        <is>
          <t>HH083440</t>
        </is>
      </c>
      <c r="C446" s="354" t="inlineStr">
        <is>
          <t>IHI</t>
        </is>
      </c>
      <c r="D446" s="354" t="inlineStr">
        <is>
          <t>RHF55V</t>
        </is>
      </c>
      <c r="E446" s="354" t="inlineStr">
        <is>
          <t>4JJ1</t>
        </is>
      </c>
      <c r="F446" s="356" t="inlineStr">
        <is>
          <t>8980830411/8980830414</t>
        </is>
      </c>
      <c r="G446" s="366" t="inlineStr">
        <is>
          <t>Mã 414 là mã đời mới thay thế cho 411,
( Bán chạy ) ô tô 88</t>
        </is>
      </c>
      <c r="H446" s="357" t="inlineStr">
        <is>
          <t>SL</t>
        </is>
      </c>
      <c r="I446" s="358" t="n"/>
      <c r="J446" s="358" t="n"/>
      <c r="K446" s="358" t="n"/>
      <c r="L446" s="358">
        <f>IF(K446="","",K446*1.1)</f>
        <v/>
      </c>
      <c r="M446" s="359" t="n"/>
      <c r="N446" s="359" t="n"/>
      <c r="O446" s="359" t="n"/>
      <c r="P446" s="359" t="n"/>
      <c r="Q446" s="359" t="n"/>
      <c r="R446" s="359" t="n"/>
      <c r="T446" s="346">
        <f>UPPER(A446&amp;" "&amp;B446&amp;" "&amp;D446&amp;" "&amp;E446&amp;" "&amp;F446&amp;" "&amp;G446&amp;" "&amp;H446)</f>
        <v/>
      </c>
      <c r="U446" s="216">
        <f>IF(AND('TRA CỨU TỔNG HỢP'!$B$3&lt;&gt;"",ISNUMBER(SEARCH('TRA CỨU TỔNG HỢP'!$B$3,T446))),MAX($U$3:U445)+1,"")</f>
        <v/>
      </c>
    </row>
    <row r="447" ht="15" customHeight="1" s="217">
      <c r="A447" s="340" t="inlineStr">
        <is>
          <t>ISUZU</t>
        </is>
      </c>
      <c r="B447" s="341" t="inlineStr">
        <is>
          <t>HH081068</t>
        </is>
      </c>
      <c r="C447" s="340" t="inlineStr">
        <is>
          <t>IHI</t>
        </is>
      </c>
      <c r="D447" s="340" t="inlineStr">
        <is>
          <t>RHF55V</t>
        </is>
      </c>
      <c r="E447" s="340" t="inlineStr">
        <is>
          <t>4HK1-TCC</t>
        </is>
      </c>
      <c r="F447" s="342" t="inlineStr">
        <is>
          <t>8983224810
8975260060, 8983520881
F5BVED-S0014G
14037516101</t>
        </is>
      </c>
      <c r="G447" s="340" t="inlineStr">
        <is>
          <t>bán chạy  ô tô 88</t>
        </is>
      </c>
      <c r="H447" s="343" t="inlineStr">
        <is>
          <t>SL</t>
        </is>
      </c>
      <c r="I447" s="344" t="n"/>
      <c r="J447" s="344" t="n"/>
      <c r="K447" s="344" t="n"/>
      <c r="L447" s="344">
        <f>IF(K447="","",K447*1.1)</f>
        <v/>
      </c>
      <c r="M447" s="345" t="n">
        <v>65</v>
      </c>
      <c r="N447" s="345" t="n">
        <v>48.6</v>
      </c>
      <c r="O447" s="345" t="inlineStr">
        <is>
          <t>6/6</t>
        </is>
      </c>
      <c r="P447" s="345" t="n">
        <v>56</v>
      </c>
      <c r="Q447" s="345" t="n">
        <v>48.8</v>
      </c>
      <c r="R447" s="345" t="n">
        <v>11</v>
      </c>
      <c r="T447" s="346">
        <f>UPPER(A447&amp;" "&amp;B447&amp;" "&amp;D447&amp;" "&amp;E447&amp;" "&amp;F447&amp;" "&amp;G447&amp;" "&amp;H447)</f>
        <v/>
      </c>
      <c r="U447" s="216">
        <f>IF(AND('TRA CỨU TỔNG HỢP'!$B$3&lt;&gt;"",ISNUMBER(SEARCH('TRA CỨU TỔNG HỢP'!$B$3,T447))),MAX($U$3:U446)+1,"")</f>
        <v/>
      </c>
    </row>
    <row r="448" ht="15" customHeight="1" s="217">
      <c r="A448" s="347" t="inlineStr">
        <is>
          <t>ISUZU</t>
        </is>
      </c>
      <c r="B448" s="348" t="inlineStr">
        <is>
          <t>HH082675</t>
        </is>
      </c>
      <c r="C448" s="349" t="inlineStr">
        <is>
          <t>IHI</t>
        </is>
      </c>
      <c r="D448" s="349" t="inlineStr">
        <is>
          <t>RHF55V</t>
        </is>
      </c>
      <c r="E448" s="349" t="inlineStr">
        <is>
          <t>4HK1-TCC</t>
        </is>
      </c>
      <c r="F448" s="350" t="inlineStr">
        <is>
          <t>8983224810
8975260060, 8983520881
F5BVED-S0014G
14037516101</t>
        </is>
      </c>
      <c r="G448" s="349" t="inlineStr">
        <is>
          <t>bán chạy  ô tô 88</t>
        </is>
      </c>
      <c r="H448" s="351" t="inlineStr">
        <is>
          <t>SL</t>
        </is>
      </c>
      <c r="I448" s="352" t="n"/>
      <c r="J448" s="352" t="n"/>
      <c r="K448" s="352" t="n"/>
      <c r="L448" s="352">
        <f>IF(K448="","",K448*1.1)</f>
        <v/>
      </c>
      <c r="M448" s="353" t="n">
        <v>65</v>
      </c>
      <c r="N448" s="353" t="n">
        <v>48.6</v>
      </c>
      <c r="O448" s="353" t="inlineStr">
        <is>
          <t>6/6</t>
        </is>
      </c>
      <c r="P448" s="353" t="n">
        <v>56</v>
      </c>
      <c r="Q448" s="353" t="n">
        <v>48.8</v>
      </c>
      <c r="R448" s="353" t="n">
        <v>11</v>
      </c>
      <c r="T448" s="346">
        <f>UPPER(A448&amp;" "&amp;B448&amp;" "&amp;D448&amp;" "&amp;E448&amp;" "&amp;F448&amp;" "&amp;G448&amp;" "&amp;H448)</f>
        <v/>
      </c>
      <c r="U448" s="216">
        <f>IF(AND('TRA CỨU TỔNG HỢP'!$B$3&lt;&gt;"",ISNUMBER(SEARCH('TRA CỨU TỔNG HỢP'!$B$3,T448))),MAX($U$3:U447)+1,"")</f>
        <v/>
      </c>
    </row>
    <row r="449" ht="15" customHeight="1" s="217">
      <c r="A449" s="347" t="inlineStr">
        <is>
          <t>ISUZU</t>
        </is>
      </c>
      <c r="B449" s="348" t="inlineStr">
        <is>
          <t>HH082512</t>
        </is>
      </c>
      <c r="C449" s="349" t="inlineStr">
        <is>
          <t>IHI</t>
        </is>
      </c>
      <c r="D449" s="349" t="inlineStr">
        <is>
          <t>RHF55V</t>
        </is>
      </c>
      <c r="E449" s="349" t="inlineStr">
        <is>
          <t>4HK1-TCC</t>
        </is>
      </c>
      <c r="F449" s="350" t="inlineStr">
        <is>
          <t>8983224810
8975260060, 8983520881
F5BVED-S0014G
14037516101</t>
        </is>
      </c>
      <c r="G449" s="349" t="inlineStr">
        <is>
          <t>bán chạy  ô tô 88</t>
        </is>
      </c>
      <c r="H449" s="351" t="inlineStr">
        <is>
          <t>SL</t>
        </is>
      </c>
      <c r="I449" s="352" t="n"/>
      <c r="J449" s="352" t="n"/>
      <c r="K449" s="352" t="n"/>
      <c r="L449" s="352">
        <f>IF(K449="","",K449*1.1)</f>
        <v/>
      </c>
      <c r="M449" s="353" t="n">
        <v>65</v>
      </c>
      <c r="N449" s="353" t="n">
        <v>48.6</v>
      </c>
      <c r="O449" s="353" t="inlineStr">
        <is>
          <t>6/6</t>
        </is>
      </c>
      <c r="P449" s="353" t="n">
        <v>56</v>
      </c>
      <c r="Q449" s="353" t="n">
        <v>48.8</v>
      </c>
      <c r="R449" s="353" t="n">
        <v>11</v>
      </c>
      <c r="T449" s="346">
        <f>UPPER(A449&amp;" "&amp;B449&amp;" "&amp;D449&amp;" "&amp;E449&amp;" "&amp;F449&amp;" "&amp;G449&amp;" "&amp;H449)</f>
        <v/>
      </c>
      <c r="U449" s="216">
        <f>IF(AND('TRA CỨU TỔNG HỢP'!$B$3&lt;&gt;"",ISNUMBER(SEARCH('TRA CỨU TỔNG HỢP'!$B$3,T449))),MAX($U$3:U448)+1,"")</f>
        <v/>
      </c>
    </row>
    <row r="450" ht="15" customHeight="1" s="217">
      <c r="A450" s="347" t="inlineStr">
        <is>
          <t>ISUZU</t>
        </is>
      </c>
      <c r="B450" s="348" t="inlineStr">
        <is>
          <t>HH081406</t>
        </is>
      </c>
      <c r="C450" s="349" t="inlineStr">
        <is>
          <t>IHI</t>
        </is>
      </c>
      <c r="D450" s="349" t="inlineStr">
        <is>
          <t>RHF55V</t>
        </is>
      </c>
      <c r="E450" s="349" t="inlineStr">
        <is>
          <t>4HK1-TCC</t>
        </is>
      </c>
      <c r="F450" s="350" t="inlineStr">
        <is>
          <t>8983224810
8975260060, 8983520881
F5BVED-S0014G
14037516101</t>
        </is>
      </c>
      <c r="G450" s="349" t="inlineStr">
        <is>
          <t>bán chạy  ô tô 88</t>
        </is>
      </c>
      <c r="H450" s="351" t="inlineStr">
        <is>
          <t>SL</t>
        </is>
      </c>
      <c r="I450" s="352" t="n"/>
      <c r="J450" s="352" t="n"/>
      <c r="K450" s="352" t="n"/>
      <c r="L450" s="352">
        <f>IF(K450="","",K450*1.1)</f>
        <v/>
      </c>
      <c r="M450" s="353" t="n">
        <v>65</v>
      </c>
      <c r="N450" s="353" t="n">
        <v>48.6</v>
      </c>
      <c r="O450" s="353" t="inlineStr">
        <is>
          <t>6/6</t>
        </is>
      </c>
      <c r="P450" s="353" t="n">
        <v>56</v>
      </c>
      <c r="Q450" s="353" t="n">
        <v>48.8</v>
      </c>
      <c r="R450" s="353" t="n">
        <v>11</v>
      </c>
      <c r="T450" s="346">
        <f>UPPER(A450&amp;" "&amp;B450&amp;" "&amp;D450&amp;" "&amp;E450&amp;" "&amp;F450&amp;" "&amp;G450&amp;" "&amp;H450)</f>
        <v/>
      </c>
      <c r="U450" s="216">
        <f>IF(AND('TRA CỨU TỔNG HỢP'!$B$3&lt;&gt;"",ISNUMBER(SEARCH('TRA CỨU TỔNG HỢP'!$B$3,T450))),MAX($U$3:U449)+1,"")</f>
        <v/>
      </c>
    </row>
    <row r="451" ht="15" customHeight="1" s="217">
      <c r="A451" s="340" t="inlineStr">
        <is>
          <t>ISUZU</t>
        </is>
      </c>
      <c r="B451" s="341" t="inlineStr">
        <is>
          <t>HH079545</t>
        </is>
      </c>
      <c r="C451" s="340" t="inlineStr">
        <is>
          <t>IHI</t>
        </is>
      </c>
      <c r="D451" s="340" t="inlineStr">
        <is>
          <t>RHB5</t>
        </is>
      </c>
      <c r="E451" s="340" t="inlineStr">
        <is>
          <t>4JB1/4JA1</t>
        </is>
      </c>
      <c r="F451" s="342" t="inlineStr">
        <is>
          <t>8971760801</t>
        </is>
      </c>
      <c r="G451" s="340" t="n"/>
      <c r="H451" s="343" t="inlineStr">
        <is>
          <t>SL</t>
        </is>
      </c>
      <c r="I451" s="344" t="n"/>
      <c r="J451" s="344" t="n"/>
      <c r="K451" s="344" t="n"/>
      <c r="L451" s="344">
        <f>IF(K451="","",K451*1.1)</f>
        <v/>
      </c>
      <c r="M451" s="345" t="n">
        <v>52.5</v>
      </c>
      <c r="N451" s="345" t="n">
        <v>36.8</v>
      </c>
      <c r="O451" s="345" t="inlineStr">
        <is>
          <t>5/5</t>
        </is>
      </c>
      <c r="P451" s="345" t="n">
        <v>52.5</v>
      </c>
      <c r="Q451" s="345" t="n">
        <v>44</v>
      </c>
      <c r="R451" s="345" t="n">
        <v>12</v>
      </c>
      <c r="T451" s="216">
        <f>UPPER(A451&amp;" "&amp;B451&amp;" "&amp;D451&amp;" "&amp;E451&amp;" "&amp;F451&amp;" "&amp;G451&amp;" "&amp;H451)</f>
        <v/>
      </c>
      <c r="U451" s="216">
        <f>IF(AND('TRA CỨU TỔNG HỢP'!$B$3&lt;&gt;"",ISNUMBER(SEARCH('TRA CỨU TỔNG HỢP'!$B$3,T451))),MAX($U$3:U450)+1,"")</f>
        <v/>
      </c>
    </row>
    <row r="452" ht="15" customHeight="1" s="217">
      <c r="A452" s="347" t="inlineStr">
        <is>
          <t>ISUZU</t>
        </is>
      </c>
      <c r="B452" s="348" t="inlineStr">
        <is>
          <t>HH080739</t>
        </is>
      </c>
      <c r="C452" s="349" t="inlineStr">
        <is>
          <t>IHI</t>
        </is>
      </c>
      <c r="D452" s="349" t="inlineStr">
        <is>
          <t>RHB5</t>
        </is>
      </c>
      <c r="E452" s="349" t="inlineStr">
        <is>
          <t>4JB1/4JA1</t>
        </is>
      </c>
      <c r="F452" s="350" t="inlineStr">
        <is>
          <t>8971760801</t>
        </is>
      </c>
      <c r="G452" s="349" t="n"/>
      <c r="H452" s="351" t="inlineStr">
        <is>
          <t>SL</t>
        </is>
      </c>
      <c r="I452" s="352" t="n"/>
      <c r="J452" s="352" t="n"/>
      <c r="K452" s="352" t="n"/>
      <c r="L452" s="352">
        <f>IF(K452="","",K452*1.1)</f>
        <v/>
      </c>
      <c r="M452" s="353" t="n">
        <v>52.5</v>
      </c>
      <c r="N452" s="353" t="n">
        <v>36.8</v>
      </c>
      <c r="O452" s="353" t="inlineStr">
        <is>
          <t>5/5</t>
        </is>
      </c>
      <c r="P452" s="353" t="n">
        <v>52.5</v>
      </c>
      <c r="Q452" s="353" t="n">
        <v>44</v>
      </c>
      <c r="R452" s="353" t="n">
        <v>12</v>
      </c>
      <c r="T452" s="216">
        <f>UPPER(A452&amp;" "&amp;B452&amp;" "&amp;D452&amp;" "&amp;E452&amp;" "&amp;F452&amp;" "&amp;G452&amp;" "&amp;H452)</f>
        <v/>
      </c>
      <c r="U452" s="216">
        <f>IF(AND('TRA CỨU TỔNG HỢP'!$B$3&lt;&gt;"",ISNUMBER(SEARCH('TRA CỨU TỔNG HỢP'!$B$3,T452))),MAX($U$3:U451)+1,"")</f>
        <v/>
      </c>
    </row>
    <row r="453" ht="15" customHeight="1" s="217">
      <c r="A453" s="379" t="inlineStr">
        <is>
          <t>ISUZU</t>
        </is>
      </c>
      <c r="B453" s="380" t="n"/>
      <c r="C453" s="379" t="inlineStr">
        <is>
          <t>IHI</t>
        </is>
      </c>
      <c r="D453" s="379" t="inlineStr">
        <is>
          <t>RHF4</t>
        </is>
      </c>
      <c r="E453" s="379" t="inlineStr">
        <is>
          <t>4JB1/4JG2</t>
        </is>
      </c>
      <c r="F453" s="381" t="inlineStr">
        <is>
          <t>8971397243</t>
        </is>
      </c>
      <c r="G453" s="379" t="n"/>
      <c r="H453" s="382" t="n"/>
      <c r="I453" s="383" t="n"/>
      <c r="J453" s="383" t="n"/>
      <c r="K453" s="383" t="n"/>
      <c r="L453" s="383">
        <f>IF(K453="","",K453*1.1)</f>
        <v/>
      </c>
      <c r="M453" s="384" t="n">
        <v>47</v>
      </c>
      <c r="N453" s="384" t="n">
        <v>35.3</v>
      </c>
      <c r="O453" s="384" t="inlineStr">
        <is>
          <t>6/6</t>
        </is>
      </c>
      <c r="P453" s="384" t="n">
        <v>44.3</v>
      </c>
      <c r="Q453" s="384" t="n">
        <v>37.7</v>
      </c>
      <c r="R453" s="384" t="n">
        <v>8</v>
      </c>
      <c r="T453" s="216">
        <f>UPPER(A453&amp;" "&amp;B453&amp;" "&amp;D453&amp;" "&amp;E453&amp;" "&amp;F453&amp;" "&amp;G453&amp;" "&amp;H453)</f>
        <v/>
      </c>
      <c r="U453" s="216">
        <f>IF(AND('TRA CỨU TỔNG HỢP'!$B$3&lt;&gt;"",ISNUMBER(SEARCH('TRA CỨU TỔNG HỢP'!$B$3,T453))),MAX($U$3:U452)+1,"")</f>
        <v/>
      </c>
    </row>
    <row r="454" ht="15" customHeight="1" s="217">
      <c r="A454" s="354" t="inlineStr">
        <is>
          <t>ISUZU</t>
        </is>
      </c>
      <c r="B454" s="355" t="inlineStr">
        <is>
          <t>HH082049</t>
        </is>
      </c>
      <c r="C454" s="354" t="inlineStr">
        <is>
          <t>IHI</t>
        </is>
      </c>
      <c r="D454" s="354" t="inlineStr">
        <is>
          <t>RHF5</t>
        </is>
      </c>
      <c r="E454" s="354" t="inlineStr">
        <is>
          <t>4JB1</t>
        </is>
      </c>
      <c r="F454" s="356" t="inlineStr">
        <is>
          <t>8971195672</t>
        </is>
      </c>
      <c r="G454" s="354" t="n"/>
      <c r="H454" s="357" t="inlineStr">
        <is>
          <t>0675</t>
        </is>
      </c>
      <c r="I454" s="358" t="n"/>
      <c r="J454" s="358" t="n"/>
      <c r="K454" s="358" t="n"/>
      <c r="L454" s="358">
        <f>IF(K454="","",K454*1.1)</f>
        <v/>
      </c>
      <c r="M454" s="359" t="n">
        <v>48</v>
      </c>
      <c r="N454" s="359" t="n">
        <v>37.2</v>
      </c>
      <c r="O454" s="359" t="inlineStr">
        <is>
          <t>6/6</t>
        </is>
      </c>
      <c r="P454" s="359" t="n">
        <v>44.4</v>
      </c>
      <c r="Q454" s="359" t="n">
        <v>37.6</v>
      </c>
      <c r="R454" s="359" t="n">
        <v>8</v>
      </c>
      <c r="T454" s="216">
        <f>UPPER(A454&amp;" "&amp;B454&amp;" "&amp;D454&amp;" "&amp;E454&amp;" "&amp;F454&amp;" "&amp;G454&amp;" "&amp;H454)</f>
        <v/>
      </c>
      <c r="U454" s="216">
        <f>IF(AND('TRA CỨU TỔNG HỢP'!$B$3&lt;&gt;"",ISNUMBER(SEARCH('TRA CỨU TỔNG HỢP'!$B$3,T454))),MAX($U$3:U453)+1,"")</f>
        <v/>
      </c>
    </row>
    <row r="455" ht="15" customHeight="1" s="217">
      <c r="A455" s="340" t="inlineStr">
        <is>
          <t>ISUZU</t>
        </is>
      </c>
      <c r="B455" s="341" t="inlineStr">
        <is>
          <t>HH071948</t>
        </is>
      </c>
      <c r="C455" s="340" t="inlineStr">
        <is>
          <t>Garrett</t>
        </is>
      </c>
      <c r="D455" s="340" t="inlineStr">
        <is>
          <t>GT2560LS</t>
        </is>
      </c>
      <c r="E455" s="340" t="inlineStr">
        <is>
          <t>4HE1 / 4HK1</t>
        </is>
      </c>
      <c r="F455" s="342" t="inlineStr">
        <is>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is>
      </c>
      <c r="G455" s="340" t="inlineStr">
        <is>
          <t>Dùng chung hình dạng như nhau</t>
        </is>
      </c>
      <c r="H455" s="343" t="inlineStr">
        <is>
          <t>SL</t>
        </is>
      </c>
      <c r="I455" s="344" t="n"/>
      <c r="J455" s="344" t="n"/>
      <c r="K455" s="344" t="n"/>
      <c r="L455" s="344">
        <f>IF(K455="","",K455*1.1)</f>
        <v/>
      </c>
      <c r="M455" s="345" t="n">
        <v>60.2</v>
      </c>
      <c r="N455" s="345" t="n">
        <v>46.4</v>
      </c>
      <c r="O455" s="345" t="inlineStr">
        <is>
          <t>6/6</t>
        </is>
      </c>
      <c r="P455" s="345" t="n">
        <v>54</v>
      </c>
      <c r="Q455" s="345" t="n">
        <v>46.9</v>
      </c>
      <c r="R455" s="345" t="n">
        <v>9</v>
      </c>
      <c r="T455" s="346">
        <f>UPPER(A455&amp;" "&amp;B455&amp;" "&amp;D455&amp;" "&amp;E455&amp;" "&amp;F455&amp;" "&amp;G455&amp;" "&amp;H455)</f>
        <v/>
      </c>
      <c r="U455" s="216">
        <f>IF(AND('TRA CỨU TỔNG HỢP'!$B$3&lt;&gt;"",ISNUMBER(SEARCH('TRA CỨU TỔNG HỢP'!$B$3,T455))),MAX($U$3:U454)+1,"")</f>
        <v/>
      </c>
    </row>
    <row r="456" ht="15" customHeight="1" s="217">
      <c r="A456" s="347" t="inlineStr">
        <is>
          <t>ISUZU</t>
        </is>
      </c>
      <c r="B456" s="348" t="inlineStr">
        <is>
          <t>HH079993</t>
        </is>
      </c>
      <c r="C456" s="349" t="inlineStr">
        <is>
          <t>Garrett</t>
        </is>
      </c>
      <c r="D456" s="349" t="inlineStr">
        <is>
          <t>GT2560LS</t>
        </is>
      </c>
      <c r="E456" s="349" t="inlineStr">
        <is>
          <t>4HE1 / 4HK1</t>
        </is>
      </c>
      <c r="F456" s="350" t="inlineStr">
        <is>
          <t xml:space="preserve">700716-0009
700716-0003/700716-0001
700716-0004/700716-0005
700716-0006/8G25-200-184/700716-0001 | 700716-0003 | 700716-0004 | 700716-0005 | 700716-0006 | 700716-0009 | 700716-1 | 700716-3 | 700716-4 | 700716-5 | 700716-6 | 700716-9 | 700716-5001S | 700716-5003S | 700716-5004S | 700716-5005S | 700716-5006S | 700716-5009S | 8971894520 | 8972089661 | 8972089663 | 8-97189-452-0 | 8-97208-966-1 | 8-97208-966-3 </t>
        </is>
      </c>
      <c r="G456" s="349" t="inlineStr">
        <is>
          <t>Dùng chung hình dạng như nhau</t>
        </is>
      </c>
      <c r="H456" s="351" t="inlineStr">
        <is>
          <t>SL</t>
        </is>
      </c>
      <c r="I456" s="352" t="n"/>
      <c r="J456" s="352" t="n"/>
      <c r="K456" s="352" t="n"/>
      <c r="L456" s="352">
        <f>IF(K456="","",K456*1.1)</f>
        <v/>
      </c>
      <c r="M456" s="353" t="n">
        <v>60.2</v>
      </c>
      <c r="N456" s="353" t="n">
        <v>46.4</v>
      </c>
      <c r="O456" s="353" t="inlineStr">
        <is>
          <t>6/6</t>
        </is>
      </c>
      <c r="P456" s="353" t="n">
        <v>54</v>
      </c>
      <c r="Q456" s="353" t="n">
        <v>46.9</v>
      </c>
      <c r="R456" s="353" t="n">
        <v>9</v>
      </c>
      <c r="T456" s="346">
        <f>UPPER(A456&amp;" "&amp;B456&amp;" "&amp;D456&amp;" "&amp;E456&amp;" "&amp;F456&amp;" "&amp;G456&amp;" "&amp;H456)</f>
        <v/>
      </c>
      <c r="U456" s="216">
        <f>IF(AND('TRA CỨU TỔNG HỢP'!$B$3&lt;&gt;"",ISNUMBER(SEARCH('TRA CỨU TỔNG HỢP'!$B$3,T456))),MAX($U$3:U455)+1,"")</f>
        <v/>
      </c>
    </row>
    <row r="457" ht="15" customHeight="1" s="217">
      <c r="A457" s="354" t="inlineStr">
        <is>
          <t>ISUZU</t>
        </is>
      </c>
      <c r="B457" s="355" t="inlineStr">
        <is>
          <t>HH070614</t>
        </is>
      </c>
      <c r="C457" s="354" t="inlineStr">
        <is>
          <t>Garrett</t>
        </is>
      </c>
      <c r="D457" s="354" t="inlineStr">
        <is>
          <t>TB2518</t>
        </is>
      </c>
      <c r="E457" s="354" t="inlineStr">
        <is>
          <t>4BD1/4BD2T</t>
        </is>
      </c>
      <c r="F457" s="356" t="inlineStr">
        <is>
          <t>466898-0006</t>
        </is>
      </c>
      <c r="G457" s="354" t="n"/>
      <c r="H457" s="357" t="n"/>
      <c r="I457" s="358" t="n"/>
      <c r="J457" s="358" t="n"/>
      <c r="K457" s="358" t="n"/>
      <c r="L457" s="358">
        <f>IF(K457="","",K457*1.1)</f>
        <v/>
      </c>
      <c r="M457" s="359" t="n">
        <v>51.3</v>
      </c>
      <c r="N457" s="359" t="n">
        <v>39.7</v>
      </c>
      <c r="O457" s="359" t="inlineStr">
        <is>
          <t>6/6</t>
        </is>
      </c>
      <c r="P457" s="359" t="n">
        <v>50.3</v>
      </c>
      <c r="Q457" s="359" t="n">
        <v>46.2</v>
      </c>
      <c r="R457" s="359" t="n">
        <v>10</v>
      </c>
      <c r="T457" s="216">
        <f>UPPER(A457&amp;" "&amp;B457&amp;" "&amp;D457&amp;" "&amp;E457&amp;" "&amp;F457&amp;" "&amp;G457&amp;" "&amp;H457)</f>
        <v/>
      </c>
      <c r="U457" s="216">
        <f>IF(AND('TRA CỨU TỔNG HỢP'!$B$3&lt;&gt;"",ISNUMBER(SEARCH('TRA CỨU TỔNG HỢP'!$B$3,T457))),MAX($U$3:U456)+1,"")</f>
        <v/>
      </c>
    </row>
    <row r="458" ht="15" customHeight="1" s="217">
      <c r="A458" s="340" t="inlineStr">
        <is>
          <t>ISUZU</t>
        </is>
      </c>
      <c r="B458" s="341" t="inlineStr">
        <is>
          <t>HH081963</t>
        </is>
      </c>
      <c r="C458" s="340" t="inlineStr">
        <is>
          <t>IHI</t>
        </is>
      </c>
      <c r="D458" s="340" t="inlineStr">
        <is>
          <t>RHF5</t>
        </is>
      </c>
      <c r="E458" s="340" t="inlineStr">
        <is>
          <t>4JH1-TC</t>
        </is>
      </c>
      <c r="F458" s="342" t="inlineStr">
        <is>
          <t>VB430093
8973544234
8973659480/VA430084 VB430084 VC430084 24123A
8973659481/8973659482/8973544233
| VA430084 | VB430084 | VC430084 | 24123A | 5T-643 | 8973544233 | 8973659482 | F51CADS0084B | F51CADS0084G | VIEK | VA430093 | VB430093 |</t>
        </is>
      </c>
      <c r="G458" s="340" t="n"/>
      <c r="H458" s="343" t="inlineStr">
        <is>
          <t>SL</t>
        </is>
      </c>
      <c r="I458" s="344" t="n"/>
      <c r="J458" s="344" t="n"/>
      <c r="K458" s="344" t="n"/>
      <c r="L458" s="344">
        <f>IF(K458="","",K458*1.1)</f>
        <v/>
      </c>
      <c r="M458" s="345" t="n">
        <v>52.5</v>
      </c>
      <c r="N458" s="345" t="n">
        <v>39.1</v>
      </c>
      <c r="O458" s="345" t="inlineStr">
        <is>
          <t>6/6</t>
        </is>
      </c>
      <c r="P458" s="345" t="n">
        <v>44.4</v>
      </c>
      <c r="Q458" s="345" t="n">
        <v>37.6</v>
      </c>
      <c r="R458" s="345" t="n">
        <v>8</v>
      </c>
      <c r="T458" s="346">
        <f>UPPER(A458&amp;" "&amp;B458&amp;" "&amp;D458&amp;" "&amp;E458&amp;" "&amp;F458&amp;" "&amp;G458&amp;" "&amp;H458)</f>
        <v/>
      </c>
      <c r="U458" s="216">
        <f>IF(AND('TRA CỨU TỔNG HỢP'!$B$3&lt;&gt;"",ISNUMBER(SEARCH('TRA CỨU TỔNG HỢP'!$B$3,T458))),MAX($U$3:U457)+1,"")</f>
        <v/>
      </c>
    </row>
    <row r="459" ht="15" customHeight="1" s="217">
      <c r="A459" s="347" t="inlineStr">
        <is>
          <t>ISUZU</t>
        </is>
      </c>
      <c r="B459" s="348" t="inlineStr">
        <is>
          <t>HH082050</t>
        </is>
      </c>
      <c r="C459" s="349" t="inlineStr">
        <is>
          <t>IHI</t>
        </is>
      </c>
      <c r="D459" s="349" t="inlineStr">
        <is>
          <t>RHF5</t>
        </is>
      </c>
      <c r="E459" s="349" t="inlineStr">
        <is>
          <t>4JH1-TC</t>
        </is>
      </c>
      <c r="F459" s="350" t="inlineStr">
        <is>
          <t>VB430093
8973544234
8973659480/VA430084 VB430084 VC430084 24123A
8973659481/8973659482/8973544233
| VA430084 | VB430084 | VC430084 | 24123A | 5T-643 | 8973544233 | 8973659482 | F51CADS0084B | F51CADS0084G | VIEK | VA430093 | VB430093 |</t>
        </is>
      </c>
      <c r="G459" s="349" t="n"/>
      <c r="H459" s="351" t="inlineStr">
        <is>
          <t>1756</t>
        </is>
      </c>
      <c r="I459" s="352" t="n"/>
      <c r="J459" s="352" t="n"/>
      <c r="K459" s="352" t="n"/>
      <c r="L459" s="352">
        <f>IF(K459="","",K459*1.1)</f>
        <v/>
      </c>
      <c r="M459" s="353" t="n">
        <v>52.5</v>
      </c>
      <c r="N459" s="353" t="n">
        <v>39.1</v>
      </c>
      <c r="O459" s="353" t="inlineStr">
        <is>
          <t>6/6</t>
        </is>
      </c>
      <c r="P459" s="353" t="n">
        <v>44.4</v>
      </c>
      <c r="Q459" s="353" t="n">
        <v>37.6</v>
      </c>
      <c r="R459" s="353" t="n">
        <v>8</v>
      </c>
      <c r="T459" s="346">
        <f>UPPER(A459&amp;" "&amp;B459&amp;" "&amp;D459&amp;" "&amp;E459&amp;" "&amp;F459&amp;" "&amp;G459&amp;" "&amp;H459)</f>
        <v/>
      </c>
      <c r="U459" s="216">
        <f>IF(AND('TRA CỨU TỔNG HỢP'!$B$3&lt;&gt;"",ISNUMBER(SEARCH('TRA CỨU TỔNG HỢP'!$B$3,T459))),MAX($U$3:U458)+1,"")</f>
        <v/>
      </c>
    </row>
    <row r="460" ht="15" customHeight="1" s="217">
      <c r="A460" s="347" t="inlineStr">
        <is>
          <t>ISUZU</t>
        </is>
      </c>
      <c r="B460" s="348" t="inlineStr">
        <is>
          <t>HH082087</t>
        </is>
      </c>
      <c r="C460" s="349" t="inlineStr">
        <is>
          <t>IHI</t>
        </is>
      </c>
      <c r="D460" s="349" t="inlineStr">
        <is>
          <t>RHF5</t>
        </is>
      </c>
      <c r="E460" s="349" t="inlineStr">
        <is>
          <t>4JH1-TC</t>
        </is>
      </c>
      <c r="F460" s="350" t="inlineStr">
        <is>
          <t>VB430093
8973544234
8973659480/VA430084 VB430084 VC430084 24123A
8973659481/8973659482/8973544233
| VA430084 | VB430084 | VC430084 | 24123A | 5T-643 | 8973544233 | 8973659482 | F51CADS0084B | F51CADS0084G | VIEK | VA430093 | VB430093 |</t>
        </is>
      </c>
      <c r="G460" s="349" t="n"/>
      <c r="H460" s="351" t="inlineStr">
        <is>
          <t>SL</t>
        </is>
      </c>
      <c r="I460" s="352" t="n"/>
      <c r="J460" s="352" t="n"/>
      <c r="K460" s="352" t="n"/>
      <c r="L460" s="352">
        <f>IF(K460="","",K460*1.1)</f>
        <v/>
      </c>
      <c r="M460" s="353" t="n">
        <v>52.5</v>
      </c>
      <c r="N460" s="353" t="n">
        <v>39.1</v>
      </c>
      <c r="O460" s="353" t="inlineStr">
        <is>
          <t>6/6</t>
        </is>
      </c>
      <c r="P460" s="353" t="n">
        <v>44.4</v>
      </c>
      <c r="Q460" s="353" t="n">
        <v>37.6</v>
      </c>
      <c r="R460" s="353" t="n">
        <v>8</v>
      </c>
      <c r="T460" s="346">
        <f>UPPER(A460&amp;" "&amp;B460&amp;" "&amp;D460&amp;" "&amp;E460&amp;" "&amp;F460&amp;" "&amp;G460&amp;" "&amp;H460)</f>
        <v/>
      </c>
      <c r="U460" s="216">
        <f>IF(AND('TRA CỨU TỔNG HỢP'!$B$3&lt;&gt;"",ISNUMBER(SEARCH('TRA CỨU TỔNG HỢP'!$B$3,T460))),MAX($U$3:U459)+1,"")</f>
        <v/>
      </c>
    </row>
    <row r="461" ht="15" customHeight="1" s="217">
      <c r="A461" s="354" t="inlineStr">
        <is>
          <t>ISUZU</t>
        </is>
      </c>
      <c r="B461" s="355" t="inlineStr">
        <is>
          <t>HH082884</t>
        </is>
      </c>
      <c r="C461" s="354" t="inlineStr">
        <is>
          <t>IHI</t>
        </is>
      </c>
      <c r="D461" s="354" t="inlineStr">
        <is>
          <t>RHV5</t>
        </is>
      </c>
      <c r="E461" s="354" t="inlineStr">
        <is>
          <t>4JJ1-TC</t>
        </is>
      </c>
      <c r="F461" s="356" t="inlineStr">
        <is>
          <t>VBD30013
8980115293/ VFD30013 | VBD30013 | VED30013 | 8980115293 | 8980115294
8980115295 | 8980115296 | 8980115297 | 8-98011-5293 | 8-98011-5294 | 8-98011-5295 | 8-98011-5296 | 8-98011-5297</t>
        </is>
      </c>
      <c r="G461" s="354" t="inlineStr">
        <is>
          <t>CÓ H/A TBS</t>
        </is>
      </c>
      <c r="H461" s="357" t="inlineStr">
        <is>
          <t>SL</t>
        </is>
      </c>
      <c r="I461" s="358" t="n"/>
      <c r="J461" s="358" t="n"/>
      <c r="K461" s="358" t="n"/>
      <c r="L461" s="358">
        <f>IF(K461="","",K461*1.1)</f>
        <v/>
      </c>
      <c r="M461" s="359" t="n">
        <v>52.6</v>
      </c>
      <c r="N461" s="359" t="n">
        <v>40.8</v>
      </c>
      <c r="O461" s="359" t="inlineStr">
        <is>
          <t>6/6</t>
        </is>
      </c>
      <c r="P461" s="359" t="n">
        <v>52.5</v>
      </c>
      <c r="Q461" s="359" t="n">
        <v>42.6</v>
      </c>
      <c r="R461" s="359" t="n">
        <v>9</v>
      </c>
      <c r="T461" s="346">
        <f>UPPER(A461&amp;" "&amp;B461&amp;" "&amp;D461&amp;" "&amp;E461&amp;" "&amp;F461&amp;" "&amp;G461&amp;" "&amp;H461)</f>
        <v/>
      </c>
      <c r="U461" s="216">
        <f>IF(AND('TRA CỨU TỔNG HỢP'!$B$3&lt;&gt;"",ISNUMBER(SEARCH('TRA CỨU TỔNG HỢP'!$B$3,T461))),MAX($U$3:U460)+1,"")</f>
        <v/>
      </c>
    </row>
    <row r="462" ht="15" customHeight="1" s="217">
      <c r="A462" s="354" t="inlineStr">
        <is>
          <t>ISUZU</t>
        </is>
      </c>
      <c r="B462" s="355" t="inlineStr">
        <is>
          <t>HH082230</t>
        </is>
      </c>
      <c r="C462" s="354" t="inlineStr">
        <is>
          <t>IHI</t>
        </is>
      </c>
      <c r="D462" s="354" t="inlineStr">
        <is>
          <t>RHF5V</t>
        </is>
      </c>
      <c r="E462" s="354" t="inlineStr">
        <is>
          <t xml:space="preserve"> 4JJ1/4JJ1-N</t>
        </is>
      </c>
      <c r="F462" s="356" t="inlineStr">
        <is>
          <t>8973815072/ VFA30023 | VEA30023 | VDA30023 | VCA30023 | VBA30023 | VAA30023 | 8973815070 | 8973815073 | 8973815074 | 897-381-5-070 | 897-381-5-072 | 897-381-5-073 | 897-381-5-074</t>
        </is>
      </c>
      <c r="G462" s="354" t="inlineStr">
        <is>
          <t xml:space="preserve">mới về có ruột </t>
        </is>
      </c>
      <c r="H462" s="357" t="inlineStr">
        <is>
          <t>SL</t>
        </is>
      </c>
      <c r="I462" s="358" t="n"/>
      <c r="J462" s="358" t="n"/>
      <c r="K462" s="358" t="n"/>
      <c r="L462" s="358">
        <f>IF(K462="","",K462*1.1)</f>
        <v/>
      </c>
      <c r="M462" s="359" t="n"/>
      <c r="N462" s="359" t="n"/>
      <c r="O462" s="359" t="n"/>
      <c r="P462" s="359" t="n"/>
      <c r="Q462" s="359" t="n"/>
      <c r="R462" s="359" t="n"/>
      <c r="T462" s="216">
        <f>UPPER(A462&amp;" "&amp;B462&amp;" "&amp;D462&amp;" "&amp;E462&amp;" "&amp;F462&amp;" "&amp;G462&amp;" "&amp;H462)</f>
        <v/>
      </c>
      <c r="U462" s="216">
        <f>IF(AND('TRA CỨU TỔNG HỢP'!$B$3&lt;&gt;"",ISNUMBER(SEARCH('TRA CỨU TỔNG HỢP'!$B$3,T462))),MAX($U$3:U461)+1,"")</f>
        <v/>
      </c>
    </row>
    <row r="463" ht="15" customHeight="1" s="217">
      <c r="A463" s="354" t="inlineStr">
        <is>
          <t>ISUZU</t>
        </is>
      </c>
      <c r="B463" s="355" t="inlineStr">
        <is>
          <t>HH079125</t>
        </is>
      </c>
      <c r="C463" s="354" t="inlineStr">
        <is>
          <t>IHI</t>
        </is>
      </c>
      <c r="D463" s="354" t="inlineStr">
        <is>
          <t>RHF4</t>
        </is>
      </c>
      <c r="E463" s="354" t="inlineStr">
        <is>
          <t>4JA1</t>
        </is>
      </c>
      <c r="F463" s="356" t="inlineStr">
        <is>
          <t>VC420037-VIDA
8I04-200-980</t>
        </is>
      </c>
      <c r="G463" s="354" t="n"/>
      <c r="H463" s="357" t="inlineStr">
        <is>
          <t>JRONE</t>
        </is>
      </c>
      <c r="I463" s="358" t="n"/>
      <c r="J463" s="358" t="n"/>
      <c r="K463" s="358" t="n"/>
      <c r="L463" s="358">
        <f>IF(K463="","",K463*1.1)</f>
        <v/>
      </c>
      <c r="M463" s="359" t="n"/>
      <c r="N463" s="359" t="n"/>
      <c r="O463" s="359" t="n"/>
      <c r="P463" s="359" t="n"/>
      <c r="Q463" s="359" t="n"/>
      <c r="R463" s="359" t="n"/>
      <c r="T463" s="346">
        <f>UPPER(A463&amp;" "&amp;B463&amp;" "&amp;D463&amp;" "&amp;E463&amp;" "&amp;F463&amp;" "&amp;G463&amp;" "&amp;H463)</f>
        <v/>
      </c>
      <c r="U463" s="216">
        <f>IF(AND('TRA CỨU TỔNG HỢP'!$B$3&lt;&gt;"",ISNUMBER(SEARCH('TRA CỨU TỔNG HỢP'!$B$3,T463))),MAX($U$3:U462)+1,"")</f>
        <v/>
      </c>
    </row>
    <row r="464" ht="15" customHeight="1" s="217">
      <c r="A464" s="354" t="inlineStr">
        <is>
          <t>ISUZU</t>
        </is>
      </c>
      <c r="B464" s="355" t="inlineStr">
        <is>
          <t>HH077142</t>
        </is>
      </c>
      <c r="C464" s="354" t="inlineStr">
        <is>
          <t>IHI</t>
        </is>
      </c>
      <c r="D464" s="354" t="inlineStr">
        <is>
          <t>RHV5</t>
        </is>
      </c>
      <c r="E464" s="354" t="inlineStr">
        <is>
          <t>4JJ1</t>
        </is>
      </c>
      <c r="F464" s="356" t="inlineStr">
        <is>
          <t>VD30013-VIEZ
8I05-300-A26</t>
        </is>
      </c>
      <c r="G464" s="354" t="n"/>
      <c r="H464" s="357" t="inlineStr">
        <is>
          <t>JRONE</t>
        </is>
      </c>
      <c r="I464" s="358" t="n"/>
      <c r="J464" s="358" t="n"/>
      <c r="K464" s="358" t="n"/>
      <c r="L464" s="358">
        <f>IF(K464="","",K464*1.1)</f>
        <v/>
      </c>
      <c r="M464" s="359" t="n"/>
      <c r="N464" s="359" t="n"/>
      <c r="O464" s="359" t="n"/>
      <c r="P464" s="359" t="n"/>
      <c r="Q464" s="359" t="n"/>
      <c r="R464" s="359" t="n"/>
      <c r="T464" s="346">
        <f>UPPER(A464&amp;" "&amp;B464&amp;" "&amp;D464&amp;" "&amp;E464&amp;" "&amp;F464&amp;" "&amp;G464&amp;" "&amp;H464)</f>
        <v/>
      </c>
      <c r="U464" s="216">
        <f>IF(AND('TRA CỨU TỔNG HỢP'!$B$3&lt;&gt;"",ISNUMBER(SEARCH('TRA CỨU TỔNG HỢP'!$B$3,T464))),MAX($U$3:U463)+1,"")</f>
        <v/>
      </c>
    </row>
    <row r="465" ht="15" customHeight="1" s="217">
      <c r="A465" s="354" t="inlineStr">
        <is>
          <t>ISUZU</t>
        </is>
      </c>
      <c r="B465" s="355" t="inlineStr">
        <is>
          <t>HH077141</t>
        </is>
      </c>
      <c r="C465" s="354" t="inlineStr">
        <is>
          <t>IHI</t>
        </is>
      </c>
      <c r="D465" s="354" t="inlineStr">
        <is>
          <t>RHB5</t>
        </is>
      </c>
      <c r="E465" s="354" t="inlineStr">
        <is>
          <t>4JG2</t>
        </is>
      </c>
      <c r="F465" s="356" t="inlineStr">
        <is>
          <t>VE180027-VI95/8I05-200-521
8943212010/8943853831
8970385181/8970700290</t>
        </is>
      </c>
      <c r="G465" s="354" t="n"/>
      <c r="H465" s="357" t="inlineStr">
        <is>
          <t>JRONE</t>
        </is>
      </c>
      <c r="I465" s="358" t="n"/>
      <c r="J465" s="358" t="n"/>
      <c r="K465" s="358" t="n"/>
      <c r="L465" s="358">
        <f>IF(K465="","",K465*1.1)</f>
        <v/>
      </c>
      <c r="M465" s="359" t="n">
        <v>52.5</v>
      </c>
      <c r="N465" s="359" t="n">
        <v>38.6</v>
      </c>
      <c r="O465" s="359" t="inlineStr">
        <is>
          <t>5/5</t>
        </is>
      </c>
      <c r="P465" s="359" t="n">
        <v>52.5</v>
      </c>
      <c r="Q465" s="359" t="n">
        <v>44</v>
      </c>
      <c r="R465" s="359" t="n">
        <v>12</v>
      </c>
      <c r="T465" s="346">
        <f>UPPER(A465&amp;" "&amp;B465&amp;" "&amp;D465&amp;" "&amp;E465&amp;" "&amp;F465&amp;" "&amp;G465&amp;" "&amp;H465)</f>
        <v/>
      </c>
      <c r="U465" s="216">
        <f>IF(AND('TRA CỨU TỔNG HỢP'!$B$3&lt;&gt;"",ISNUMBER(SEARCH('TRA CỨU TỔNG HỢP'!$B$3,T465))),MAX($U$3:U464)+1,"")</f>
        <v/>
      </c>
    </row>
    <row r="466" ht="15" customHeight="1" s="217">
      <c r="A466" s="354" t="inlineStr">
        <is>
          <t>ISUZU</t>
        </is>
      </c>
      <c r="B466" s="355" t="inlineStr">
        <is>
          <t>HH078717</t>
        </is>
      </c>
      <c r="C466" s="354" t="inlineStr">
        <is>
          <t>IHI</t>
        </is>
      </c>
      <c r="D466" s="354" t="inlineStr">
        <is>
          <t>RHF4/4HK1</t>
        </is>
      </c>
      <c r="E466" s="354" t="n"/>
      <c r="F466" s="356" t="n">
        <v>8981941890</v>
      </c>
      <c r="G466" s="354" t="n"/>
      <c r="H466" s="357" t="inlineStr">
        <is>
          <t>VIDARIR</t>
        </is>
      </c>
      <c r="I466" s="358" t="n"/>
      <c r="J466" s="358" t="n"/>
      <c r="K466" s="358" t="n"/>
      <c r="L466" s="358">
        <f>IF(K466="","",K466*1.1)</f>
        <v/>
      </c>
      <c r="M466" s="359" t="n"/>
      <c r="N466" s="359" t="n"/>
      <c r="O466" s="359" t="n"/>
      <c r="P466" s="359" t="n"/>
      <c r="Q466" s="359" t="n"/>
      <c r="R466" s="359" t="n"/>
      <c r="T466" s="216">
        <f>UPPER(A466&amp;" "&amp;B466&amp;" "&amp;D466&amp;" "&amp;E466&amp;" "&amp;F466&amp;" "&amp;G466&amp;" "&amp;H466)</f>
        <v/>
      </c>
      <c r="U466" s="216">
        <f>IF(AND('TRA CỨU TỔNG HỢP'!$B$3&lt;&gt;"",ISNUMBER(SEARCH('TRA CỨU TỔNG HỢP'!$B$3,T466))),MAX($U$3:U465)+1,"")</f>
        <v/>
      </c>
    </row>
    <row r="467" ht="15" customHeight="1" s="217">
      <c r="A467" s="354" t="inlineStr">
        <is>
          <t>ISUZU</t>
        </is>
      </c>
      <c r="B467" s="355" t="inlineStr">
        <is>
          <t>HH083507</t>
        </is>
      </c>
      <c r="C467" s="354" t="inlineStr">
        <is>
          <t>Garrett</t>
        </is>
      </c>
      <c r="D467" s="354" t="inlineStr">
        <is>
          <t>GT3576D</t>
        </is>
      </c>
      <c r="E467" s="354" t="inlineStr">
        <is>
          <t>6HK1, 6HH1, 6HE1</t>
        </is>
      </c>
      <c r="F467" s="356" t="inlineStr">
        <is>
          <t>704407-0007</t>
        </is>
      </c>
      <c r="G467" s="354" t="inlineStr">
        <is>
          <t>Isu, 6HK1, 6HH1, 6HE1 xe tải 15T, - TBS</t>
        </is>
      </c>
      <c r="H467" s="357" t="inlineStr">
        <is>
          <t>TBS</t>
        </is>
      </c>
      <c r="I467" s="358" t="n"/>
      <c r="J467" s="358" t="n"/>
      <c r="K467" s="358" t="n"/>
      <c r="L467" s="358">
        <f>IF(K467="","",K467*1.1)</f>
        <v/>
      </c>
      <c r="M467" s="359" t="n"/>
      <c r="N467" s="359" t="n"/>
      <c r="O467" s="359" t="n"/>
      <c r="P467" s="359" t="n"/>
      <c r="Q467" s="359" t="n"/>
      <c r="R467" s="359" t="n"/>
      <c r="T467" s="216">
        <f>UPPER(A467&amp;" "&amp;B467&amp;" "&amp;D467&amp;" "&amp;E467&amp;" "&amp;F467&amp;" "&amp;G467&amp;" "&amp;H467)</f>
        <v/>
      </c>
      <c r="U467" s="216">
        <f>IF(AND('TRA CỨU TỔNG HỢP'!$B$3&lt;&gt;"",ISNUMBER(SEARCH('TRA CỨU TỔNG HỢP'!$B$3,T467))),MAX($U$3:U466)+1,"")</f>
        <v/>
      </c>
    </row>
    <row r="468" ht="15" customHeight="1" s="217">
      <c r="A468" s="354" t="inlineStr">
        <is>
          <t>ISUZU</t>
        </is>
      </c>
      <c r="B468" s="355" t="inlineStr">
        <is>
          <t>HH070614</t>
        </is>
      </c>
      <c r="C468" s="354" t="inlineStr">
        <is>
          <t>Garrett</t>
        </is>
      </c>
      <c r="D468" s="354" t="inlineStr">
        <is>
          <t>TB2518</t>
        </is>
      </c>
      <c r="E468" s="354" t="inlineStr">
        <is>
          <t>4BD1/4BD2T</t>
        </is>
      </c>
      <c r="F468" s="356" t="inlineStr">
        <is>
          <t>466898-0006
466898</t>
        </is>
      </c>
      <c r="G468" s="354" t="n"/>
      <c r="H468" s="357" t="n"/>
      <c r="I468" s="358" t="n"/>
      <c r="J468" s="358" t="n"/>
      <c r="K468" s="358" t="n"/>
      <c r="L468" s="358">
        <f>IF(K468="","",K468*1.1)</f>
        <v/>
      </c>
      <c r="M468" s="359" t="n">
        <v>51.3</v>
      </c>
      <c r="N468" s="359" t="n">
        <v>39.7</v>
      </c>
      <c r="O468" s="359" t="inlineStr">
        <is>
          <t>6/6</t>
        </is>
      </c>
      <c r="P468" s="359" t="n">
        <v>50.3</v>
      </c>
      <c r="Q468" s="359" t="n">
        <v>46.2</v>
      </c>
      <c r="R468" s="359" t="n">
        <v>10</v>
      </c>
      <c r="T468" s="346">
        <f>UPPER(A468&amp;" "&amp;B468&amp;" "&amp;D468&amp;" "&amp;E468&amp;" "&amp;F468&amp;" "&amp;G468&amp;" "&amp;H468)</f>
        <v/>
      </c>
      <c r="U468" s="216">
        <f>IF(AND('TRA CỨU TỔNG HỢP'!$B$3&lt;&gt;"",ISNUMBER(SEARCH('TRA CỨU TỔNG HỢP'!$B$3,T468))),MAX($U$3:U467)+1,"")</f>
        <v/>
      </c>
    </row>
    <row r="469" ht="19.5" customHeight="1" s="217">
      <c r="A469" s="378" t="inlineStr">
        <is>
          <t xml:space="preserve">  🏭  JAC   ·   1 loại turbo</t>
        </is>
      </c>
      <c r="U469" s="216">
        <f>IF(AND('TRA CỨU TỔNG HỢP'!$B$3&lt;&gt;"",ISNUMBER(SEARCH('TRA CỨU TỔNG HỢP'!$B$3,T469))),MAX($U$3:U468)+1,"")</f>
        <v/>
      </c>
    </row>
    <row r="470" ht="15" customHeight="1" s="217">
      <c r="A470" s="354" t="inlineStr">
        <is>
          <t>JAC</t>
        </is>
      </c>
      <c r="B470" s="355" t="inlineStr">
        <is>
          <t>HH083503</t>
        </is>
      </c>
      <c r="C470" s="354" t="inlineStr">
        <is>
          <t>Garrett</t>
        </is>
      </c>
      <c r="D470" s="354" t="inlineStr">
        <is>
          <t>HP55</t>
        </is>
      </c>
      <c r="E470" s="354" t="n"/>
      <c r="F470" s="356" t="inlineStr">
        <is>
          <t>55X4505-00-1</t>
        </is>
      </c>
      <c r="G470" s="354" t="inlineStr">
        <is>
          <t>JAC 2.8L, JAC HP55, 55X4505-00-1 - TBS</t>
        </is>
      </c>
      <c r="H470" s="357" t="inlineStr">
        <is>
          <t>TBS</t>
        </is>
      </c>
      <c r="I470" s="358" t="n"/>
      <c r="J470" s="358" t="n"/>
      <c r="K470" s="358" t="n"/>
      <c r="L470" s="358">
        <f>IF(K470="","",K470*1.1)</f>
        <v/>
      </c>
      <c r="M470" s="359" t="n"/>
      <c r="N470" s="359" t="n"/>
      <c r="O470" s="359" t="n"/>
      <c r="P470" s="359" t="n"/>
      <c r="Q470" s="359" t="n"/>
      <c r="R470" s="359" t="n"/>
      <c r="T470" s="216">
        <f>UPPER(A470&amp;" "&amp;B470&amp;" "&amp;D470&amp;" "&amp;E470&amp;" "&amp;F470&amp;" "&amp;G470&amp;" "&amp;H470)</f>
        <v/>
      </c>
      <c r="U470" s="216">
        <f>IF(AND('TRA CỨU TỔNG HỢP'!$B$3&lt;&gt;"",ISNUMBER(SEARCH('TRA CỨU TỔNG HỢP'!$B$3,T470))),MAX($U$3:U469)+1,"")</f>
        <v/>
      </c>
    </row>
    <row r="471" ht="19.5" customHeight="1" s="217">
      <c r="A471" s="378" t="inlineStr">
        <is>
          <t xml:space="preserve">  🏭  KAMAZ   ·   2 loại turbo</t>
        </is>
      </c>
      <c r="U471" s="216">
        <f>IF(AND('TRA CỨU TỔNG HỢP'!$B$3&lt;&gt;"",ISNUMBER(SEARCH('TRA CỨU TỔNG HỢP'!$B$3,T471))),MAX($U$3:U470)+1,"")</f>
        <v/>
      </c>
    </row>
    <row r="472" ht="15" customHeight="1" s="217">
      <c r="A472" s="340" t="inlineStr">
        <is>
          <t>KAMAZ</t>
        </is>
      </c>
      <c r="B472" s="341" t="inlineStr">
        <is>
          <t>HH074831</t>
        </is>
      </c>
      <c r="C472" s="340" t="inlineStr">
        <is>
          <t>BorgWarner</t>
        </is>
      </c>
      <c r="D472" s="340" t="inlineStr">
        <is>
          <t>S2B</t>
        </is>
      </c>
      <c r="E472" s="340" t="inlineStr">
        <is>
          <t>KAMAZ 740</t>
        </is>
      </c>
      <c r="F472" s="342" t="inlineStr">
        <is>
          <t>1274-970-0003
8S02-100-E14</t>
        </is>
      </c>
      <c r="G472" s="340" t="n"/>
      <c r="H472" s="343" t="inlineStr">
        <is>
          <t>JRONE</t>
        </is>
      </c>
      <c r="I472" s="344" t="n"/>
      <c r="J472" s="344" t="n"/>
      <c r="K472" s="344" t="n"/>
      <c r="L472" s="344">
        <f>IF(K472="","",K472*1.1)</f>
        <v/>
      </c>
      <c r="M472" s="345" t="n"/>
      <c r="N472" s="345" t="n"/>
      <c r="O472" s="345" t="n"/>
      <c r="P472" s="345" t="n"/>
      <c r="Q472" s="345" t="n"/>
      <c r="R472" s="345" t="n"/>
      <c r="T472" s="346">
        <f>UPPER(A472&amp;" "&amp;B472&amp;" "&amp;D472&amp;" "&amp;E472&amp;" "&amp;F472&amp;" "&amp;G472&amp;" "&amp;H472)</f>
        <v/>
      </c>
      <c r="U472" s="216">
        <f>IF(AND('TRA CỨU TỔNG HỢP'!$B$3&lt;&gt;"",ISNUMBER(SEARCH('TRA CỨU TỔNG HỢP'!$B$3,T472))),MAX($U$3:U471)+1,"")</f>
        <v/>
      </c>
    </row>
    <row r="473" ht="15" customHeight="1" s="217">
      <c r="A473" s="347" t="inlineStr">
        <is>
          <t>KAMAZ</t>
        </is>
      </c>
      <c r="B473" s="348" t="inlineStr">
        <is>
          <t>HH084056</t>
        </is>
      </c>
      <c r="C473" s="349" t="inlineStr">
        <is>
          <t>BorgWarner</t>
        </is>
      </c>
      <c r="D473" s="349" t="inlineStr">
        <is>
          <t>S2B</t>
        </is>
      </c>
      <c r="E473" s="349" t="inlineStr">
        <is>
          <t>KAMAZ 740</t>
        </is>
      </c>
      <c r="F473" s="350" t="inlineStr">
        <is>
          <t>1274-970-0003
8S02-100-E14</t>
        </is>
      </c>
      <c r="G473" s="349" t="n"/>
      <c r="H473" s="351" t="inlineStr">
        <is>
          <t>JRONE</t>
        </is>
      </c>
      <c r="I473" s="352" t="n"/>
      <c r="J473" s="352" t="n"/>
      <c r="K473" s="352" t="n"/>
      <c r="L473" s="352">
        <f>IF(K473="","",K473*1.1)</f>
        <v/>
      </c>
      <c r="M473" s="353" t="n"/>
      <c r="N473" s="353" t="n"/>
      <c r="O473" s="353" t="n"/>
      <c r="P473" s="353" t="n"/>
      <c r="Q473" s="353" t="n"/>
      <c r="R473" s="353" t="n"/>
      <c r="T473" s="346">
        <f>UPPER(A473&amp;" "&amp;B473&amp;" "&amp;D473&amp;" "&amp;E473&amp;" "&amp;F473&amp;" "&amp;G473&amp;" "&amp;H473)</f>
        <v/>
      </c>
      <c r="U473" s="216">
        <f>IF(AND('TRA CỨU TỔNG HỢP'!$B$3&lt;&gt;"",ISNUMBER(SEARCH('TRA CỨU TỔNG HỢP'!$B$3,T473))),MAX($U$3:U472)+1,"")</f>
        <v/>
      </c>
    </row>
    <row r="474" ht="15" customHeight="1" s="217">
      <c r="A474" s="354" t="inlineStr">
        <is>
          <t>KAMAZ</t>
        </is>
      </c>
      <c r="B474" s="355" t="inlineStr">
        <is>
          <t>HH079356</t>
        </is>
      </c>
      <c r="C474" s="354" t="inlineStr">
        <is>
          <t>BorgWarner</t>
        </is>
      </c>
      <c r="D474" s="354" t="inlineStr">
        <is>
          <t>K27-145</t>
        </is>
      </c>
      <c r="E474" s="354" t="n"/>
      <c r="F474" s="356" t="inlineStr">
        <is>
          <t>399-0023-145
TKP
7-08.09</t>
        </is>
      </c>
      <c r="G474" s="354" t="n"/>
      <c r="H474" s="357" t="inlineStr">
        <is>
          <t>SL</t>
        </is>
      </c>
      <c r="I474" s="358" t="n"/>
      <c r="J474" s="358" t="n"/>
      <c r="K474" s="358" t="n"/>
      <c r="L474" s="358">
        <f>IF(K474="","",K474*1.1)</f>
        <v/>
      </c>
      <c r="M474" s="359" t="n">
        <v>76.2</v>
      </c>
      <c r="N474" s="359" t="n">
        <v>48.5</v>
      </c>
      <c r="O474" s="359" t="inlineStr">
        <is>
          <t>6/6</t>
        </is>
      </c>
      <c r="P474" s="359" t="n">
        <v>75.90000000000001</v>
      </c>
      <c r="Q474" s="359" t="n">
        <v>60.4</v>
      </c>
      <c r="R474" s="359" t="n">
        <v>12</v>
      </c>
      <c r="T474" s="346">
        <f>UPPER(A474&amp;" "&amp;B474&amp;" "&amp;D474&amp;" "&amp;E474&amp;" "&amp;F474&amp;" "&amp;G474&amp;" "&amp;H474)</f>
        <v/>
      </c>
      <c r="U474" s="216">
        <f>IF(AND('TRA CỨU TỔNG HỢP'!$B$3&lt;&gt;"",ISNUMBER(SEARCH('TRA CỨU TỔNG HỢP'!$B$3,T474))),MAX($U$3:U473)+1,"")</f>
        <v/>
      </c>
    </row>
    <row r="475" ht="19.5" customHeight="1" s="217">
      <c r="A475" s="378" t="inlineStr">
        <is>
          <t xml:space="preserve">  🏭  KOBELCO   ·   19 loại turbo</t>
        </is>
      </c>
      <c r="U475" s="216">
        <f>IF(AND('TRA CỨU TỔNG HỢP'!$B$3&lt;&gt;"",ISNUMBER(SEARCH('TRA CỨU TỔNG HỢP'!$B$3,T475))),MAX($U$3:U474)+1,"")</f>
        <v/>
      </c>
    </row>
    <row r="476" ht="15" customHeight="1" s="217">
      <c r="A476" s="340" t="inlineStr">
        <is>
          <t>KOBELCO</t>
        </is>
      </c>
      <c r="B476" s="341" t="inlineStr">
        <is>
          <t>HH071467</t>
        </is>
      </c>
      <c r="C476" s="340" t="inlineStr">
        <is>
          <t>Garrett</t>
        </is>
      </c>
      <c r="D476" s="340" t="inlineStr">
        <is>
          <t>GT2259L</t>
        </is>
      </c>
      <c r="E476" s="340" t="inlineStr">
        <is>
          <t>J05E</t>
        </is>
      </c>
      <c r="F476" s="342" t="inlineStr">
        <is>
          <t>761916-0003/17201-E0521/B161202088
761916-0006/8G22-200-H82</t>
        </is>
      </c>
      <c r="G476" s="340" t="n"/>
      <c r="H476" s="343" t="inlineStr">
        <is>
          <t>SL</t>
        </is>
      </c>
      <c r="I476" s="344" t="n"/>
      <c r="J476" s="344" t="n"/>
      <c r="K476" s="344" t="n"/>
      <c r="L476" s="344">
        <f>IF(K476="","",K476*1.1)</f>
        <v/>
      </c>
      <c r="M476" s="345" t="n">
        <v>59.4</v>
      </c>
      <c r="N476" s="345" t="n">
        <v>41.96</v>
      </c>
      <c r="O476" s="345" t="inlineStr">
        <is>
          <t>6/6</t>
        </is>
      </c>
      <c r="P476" s="345" t="n">
        <v>50.5</v>
      </c>
      <c r="Q476" s="345" t="n">
        <v>42.8</v>
      </c>
      <c r="R476" s="345" t="inlineStr">
        <is>
          <t>9</t>
        </is>
      </c>
      <c r="T476" s="346">
        <f>UPPER(A476&amp;" "&amp;B476&amp;" "&amp;D476&amp;" "&amp;E476&amp;" "&amp;F476&amp;" "&amp;G476&amp;" "&amp;H476)</f>
        <v/>
      </c>
      <c r="U476" s="216">
        <f>IF(AND('TRA CỨU TỔNG HỢP'!$B$3&lt;&gt;"",ISNUMBER(SEARCH('TRA CỨU TỔNG HỢP'!$B$3,T476))),MAX($U$3:U475)+1,"")</f>
        <v/>
      </c>
    </row>
    <row r="477" ht="15" customHeight="1" s="217">
      <c r="A477" s="347" t="inlineStr">
        <is>
          <t>KOBELCO</t>
        </is>
      </c>
      <c r="B477" s="348" t="inlineStr">
        <is>
          <t>HH080014</t>
        </is>
      </c>
      <c r="C477" s="349" t="inlineStr">
        <is>
          <t>Garrett</t>
        </is>
      </c>
      <c r="D477" s="349" t="inlineStr">
        <is>
          <t>GT2259L</t>
        </is>
      </c>
      <c r="E477" s="349" t="inlineStr">
        <is>
          <t>J05E</t>
        </is>
      </c>
      <c r="F477" s="350" t="inlineStr">
        <is>
          <t>761916-0003/17201-E0521/B161202088
761916-0006/8G22-200-H82</t>
        </is>
      </c>
      <c r="G477" s="349" t="n"/>
      <c r="H477" s="351" t="inlineStr">
        <is>
          <t>SL</t>
        </is>
      </c>
      <c r="I477" s="352" t="n"/>
      <c r="J477" s="352" t="n"/>
      <c r="K477" s="352" t="n"/>
      <c r="L477" s="352">
        <f>IF(K477="","",K477*1.1)</f>
        <v/>
      </c>
      <c r="M477" s="353" t="n">
        <v>59.4</v>
      </c>
      <c r="N477" s="353" t="n">
        <v>41.96</v>
      </c>
      <c r="O477" s="353" t="inlineStr">
        <is>
          <t>6/6</t>
        </is>
      </c>
      <c r="P477" s="353" t="n">
        <v>50.5</v>
      </c>
      <c r="Q477" s="353" t="n">
        <v>42.8</v>
      </c>
      <c r="R477" s="353" t="inlineStr">
        <is>
          <t>9</t>
        </is>
      </c>
      <c r="T477" s="346">
        <f>UPPER(A477&amp;" "&amp;B477&amp;" "&amp;D477&amp;" "&amp;E477&amp;" "&amp;F477&amp;" "&amp;G477&amp;" "&amp;H477)</f>
        <v/>
      </c>
      <c r="U477" s="216">
        <f>IF(AND('TRA CỨU TỔNG HỢP'!$B$3&lt;&gt;"",ISNUMBER(SEARCH('TRA CỨU TỔNG HỢP'!$B$3,T477))),MAX($U$3:U476)+1,"")</f>
        <v/>
      </c>
    </row>
    <row r="478" ht="15" customHeight="1" s="217">
      <c r="A478" s="340" t="inlineStr">
        <is>
          <t>KOBELCO</t>
        </is>
      </c>
      <c r="B478" s="341" t="inlineStr">
        <is>
          <t>HH070617</t>
        </is>
      </c>
      <c r="C478" s="340" t="inlineStr">
        <is>
          <t>Garrett</t>
        </is>
      </c>
      <c r="D478" s="340" t="inlineStr">
        <is>
          <t>GT3271LS</t>
        </is>
      </c>
      <c r="E478" s="340" t="inlineStr">
        <is>
          <t>J08E</t>
        </is>
      </c>
      <c r="F478" s="342" t="inlineStr">
        <is>
          <t>8G32-200-H45
787846-0001/24100-4640</t>
        </is>
      </c>
      <c r="G478" s="340" t="n"/>
      <c r="H478" s="343" t="inlineStr">
        <is>
          <t>SL</t>
        </is>
      </c>
      <c r="I478" s="344" t="n"/>
      <c r="J478" s="344" t="n"/>
      <c r="K478" s="344" t="n"/>
      <c r="L478" s="344">
        <f>IF(K478="","",K478*1.1)</f>
        <v/>
      </c>
      <c r="M478" s="345" t="n">
        <v>71</v>
      </c>
      <c r="N478" s="345" t="n">
        <v>49.2</v>
      </c>
      <c r="O478" s="345" t="inlineStr">
        <is>
          <t>6/6</t>
        </is>
      </c>
      <c r="P478" s="345" t="n">
        <v>61.4</v>
      </c>
      <c r="Q478" s="345" t="n">
        <v>54.3</v>
      </c>
      <c r="R478" s="345" t="n">
        <v>10</v>
      </c>
      <c r="T478" s="346">
        <f>UPPER(A478&amp;" "&amp;B478&amp;" "&amp;D478&amp;" "&amp;E478&amp;" "&amp;F478&amp;" "&amp;G478&amp;" "&amp;H478)</f>
        <v/>
      </c>
      <c r="U478" s="216">
        <f>IF(AND('TRA CỨU TỔNG HỢP'!$B$3&lt;&gt;"",ISNUMBER(SEARCH('TRA CỨU TỔNG HỢP'!$B$3,T478))),MAX($U$3:U477)+1,"")</f>
        <v/>
      </c>
    </row>
    <row r="479" ht="15" customHeight="1" s="217">
      <c r="A479" s="347" t="inlineStr">
        <is>
          <t>KOBELCO</t>
        </is>
      </c>
      <c r="B479" s="348" t="inlineStr">
        <is>
          <t>HH075720</t>
        </is>
      </c>
      <c r="C479" s="349" t="inlineStr">
        <is>
          <t>Garrett</t>
        </is>
      </c>
      <c r="D479" s="349" t="inlineStr">
        <is>
          <t>GT3271LS</t>
        </is>
      </c>
      <c r="E479" s="349" t="inlineStr">
        <is>
          <t>J08E</t>
        </is>
      </c>
      <c r="F479" s="350" t="inlineStr">
        <is>
          <t>8G32-200-H45
787846-0001/24100-4640</t>
        </is>
      </c>
      <c r="G479" s="349" t="n"/>
      <c r="H479" s="351" t="inlineStr">
        <is>
          <t>JRONE</t>
        </is>
      </c>
      <c r="I479" s="352" t="n"/>
      <c r="J479" s="352" t="n"/>
      <c r="K479" s="352" t="n"/>
      <c r="L479" s="352">
        <f>IF(K479="","",K479*1.1)</f>
        <v/>
      </c>
      <c r="M479" s="353" t="n">
        <v>71</v>
      </c>
      <c r="N479" s="353" t="n">
        <v>49.2</v>
      </c>
      <c r="O479" s="353" t="inlineStr">
        <is>
          <t>6/6</t>
        </is>
      </c>
      <c r="P479" s="353" t="n">
        <v>61.4</v>
      </c>
      <c r="Q479" s="353" t="n">
        <v>54.3</v>
      </c>
      <c r="R479" s="353" t="n">
        <v>10</v>
      </c>
      <c r="T479" s="346">
        <f>UPPER(A479&amp;" "&amp;B479&amp;" "&amp;D479&amp;" "&amp;E479&amp;" "&amp;F479&amp;" "&amp;G479&amp;" "&amp;H479)</f>
        <v/>
      </c>
      <c r="U479" s="216">
        <f>IF(AND('TRA CỨU TỔNG HỢP'!$B$3&lt;&gt;"",ISNUMBER(SEARCH('TRA CỨU TỔNG HỢP'!$B$3,T479))),MAX($U$3:U478)+1,"")</f>
        <v/>
      </c>
    </row>
    <row r="480" ht="15" customHeight="1" s="217">
      <c r="A480" s="354" t="inlineStr">
        <is>
          <t>KOBELCO</t>
        </is>
      </c>
      <c r="B480" s="355" t="inlineStr">
        <is>
          <t>HH071952</t>
        </is>
      </c>
      <c r="C480" s="354" t="inlineStr">
        <is>
          <t>Mitsubishi</t>
        </is>
      </c>
      <c r="D480" s="354" t="inlineStr">
        <is>
          <t>TD0890/TD08-22D</t>
        </is>
      </c>
      <c r="E480" s="354" t="inlineStr">
        <is>
          <t>6D22T</t>
        </is>
      </c>
      <c r="F480" s="356" t="inlineStr">
        <is>
          <t>ME157215
49174-00566/49174-09200</t>
        </is>
      </c>
      <c r="G480" s="354" t="n"/>
      <c r="H480" s="357" t="inlineStr">
        <is>
          <t>SL</t>
        </is>
      </c>
      <c r="I480" s="358" t="n"/>
      <c r="J480" s="358" t="n"/>
      <c r="K480" s="358" t="n"/>
      <c r="L480" s="358">
        <f>IF(K480="","",K480*1.1)</f>
        <v/>
      </c>
      <c r="M480" s="359" t="n">
        <v>92</v>
      </c>
      <c r="N480" s="359" t="n">
        <v>61.5</v>
      </c>
      <c r="O480" s="359" t="inlineStr">
        <is>
          <t>7/7</t>
        </is>
      </c>
      <c r="P480" s="359" t="n">
        <v>90</v>
      </c>
      <c r="Q480" s="359" t="n">
        <v>79</v>
      </c>
      <c r="R480" s="359" t="n">
        <v>12</v>
      </c>
      <c r="T480" s="346">
        <f>UPPER(A480&amp;" "&amp;B480&amp;" "&amp;D480&amp;" "&amp;E480&amp;" "&amp;F480&amp;" "&amp;G480&amp;" "&amp;H480)</f>
        <v/>
      </c>
      <c r="U480" s="216">
        <f>IF(AND('TRA CỨU TỔNG HỢP'!$B$3&lt;&gt;"",ISNUMBER(SEARCH('TRA CỨU TỔNG HỢP'!$B$3,T480))),MAX($U$3:U479)+1,"")</f>
        <v/>
      </c>
    </row>
    <row r="481" ht="15" customHeight="1" s="217">
      <c r="A481" s="340" t="inlineStr">
        <is>
          <t>KOBELCO</t>
        </is>
      </c>
      <c r="B481" s="341" t="inlineStr">
        <is>
          <t>HH070610</t>
        </is>
      </c>
      <c r="C481" s="340" t="inlineStr">
        <is>
          <t>Mitsubishi</t>
        </is>
      </c>
      <c r="D481" s="340" t="inlineStr">
        <is>
          <t>TD08H-21D/22</t>
        </is>
      </c>
      <c r="E481" s="340" t="inlineStr">
        <is>
          <t>6D22T/6D24T</t>
        </is>
      </c>
      <c r="F481" s="342" t="inlineStr">
        <is>
          <t>49188-01262/49188-03062/49188-01263
ME035940/ME053934</t>
        </is>
      </c>
      <c r="G481" s="340" t="n"/>
      <c r="H481" s="343" t="n"/>
      <c r="I481" s="344" t="n"/>
      <c r="J481" s="344" t="n"/>
      <c r="K481" s="344" t="n"/>
      <c r="L481" s="344">
        <f>IF(K481="","",K481*1.1)</f>
        <v/>
      </c>
      <c r="M481" s="345" t="n">
        <v>92</v>
      </c>
      <c r="N481" s="345" t="n">
        <v>61.5</v>
      </c>
      <c r="O481" s="345" t="inlineStr">
        <is>
          <t>7/7</t>
        </is>
      </c>
      <c r="P481" s="345" t="n">
        <v>90</v>
      </c>
      <c r="Q481" s="345" t="n">
        <v>79</v>
      </c>
      <c r="R481" s="345" t="n">
        <v>12</v>
      </c>
      <c r="T481" s="346">
        <f>UPPER(A481&amp;" "&amp;B481&amp;" "&amp;D481&amp;" "&amp;E481&amp;" "&amp;F481&amp;" "&amp;G481&amp;" "&amp;H481)</f>
        <v/>
      </c>
      <c r="U481" s="216">
        <f>IF(AND('TRA CỨU TỔNG HỢP'!$B$3&lt;&gt;"",ISNUMBER(SEARCH('TRA CỨU TỔNG HỢP'!$B$3,T481))),MAX($U$3:U480)+1,"")</f>
        <v/>
      </c>
    </row>
    <row r="482" ht="15" customHeight="1" s="217">
      <c r="A482" s="347" t="inlineStr">
        <is>
          <t>KOBELCO</t>
        </is>
      </c>
      <c r="B482" s="348" t="inlineStr">
        <is>
          <t>HH079974</t>
        </is>
      </c>
      <c r="C482" s="349" t="inlineStr">
        <is>
          <t>Mitsubishi</t>
        </is>
      </c>
      <c r="D482" s="349" t="inlineStr">
        <is>
          <t>TD08H-21D/22</t>
        </is>
      </c>
      <c r="E482" s="349" t="inlineStr">
        <is>
          <t>6D22T/6D24T</t>
        </is>
      </c>
      <c r="F482" s="350" t="inlineStr">
        <is>
          <t>49188-01262/49188-03062/49188-01263
ME035940/ME053934</t>
        </is>
      </c>
      <c r="G482" s="349" t="n"/>
      <c r="H482" s="351" t="n"/>
      <c r="I482" s="352" t="n"/>
      <c r="J482" s="352" t="n"/>
      <c r="K482" s="352" t="n"/>
      <c r="L482" s="352">
        <f>IF(K482="","",K482*1.1)</f>
        <v/>
      </c>
      <c r="M482" s="353" t="n">
        <v>92</v>
      </c>
      <c r="N482" s="353" t="n">
        <v>61.5</v>
      </c>
      <c r="O482" s="353" t="inlineStr">
        <is>
          <t>7/7</t>
        </is>
      </c>
      <c r="P482" s="353" t="n">
        <v>90</v>
      </c>
      <c r="Q482" s="353" t="n">
        <v>79</v>
      </c>
      <c r="R482" s="353" t="n">
        <v>12</v>
      </c>
      <c r="T482" s="346">
        <f>UPPER(A482&amp;" "&amp;B482&amp;" "&amp;D482&amp;" "&amp;E482&amp;" "&amp;F482&amp;" "&amp;G482&amp;" "&amp;H482)</f>
        <v/>
      </c>
      <c r="U482" s="216">
        <f>IF(AND('TRA CỨU TỔNG HỢP'!$B$3&lt;&gt;"",ISNUMBER(SEARCH('TRA CỨU TỔNG HỢP'!$B$3,T482))),MAX($U$3:U481)+1,"")</f>
        <v/>
      </c>
    </row>
    <row r="483" ht="15" customHeight="1" s="217">
      <c r="A483" s="340" t="inlineStr">
        <is>
          <t>KOBELCO</t>
        </is>
      </c>
      <c r="B483" s="341" t="inlineStr">
        <is>
          <t>HH070617</t>
        </is>
      </c>
      <c r="C483" s="340" t="inlineStr">
        <is>
          <t>Garrett</t>
        </is>
      </c>
      <c r="D483" s="340" t="inlineStr">
        <is>
          <t>GT32/GT3271LS</t>
        </is>
      </c>
      <c r="E483" s="340" t="inlineStr">
        <is>
          <t>J08E</t>
        </is>
      </c>
      <c r="F483" s="342" t="inlineStr">
        <is>
          <t>764267-0001
24100-4640
S1760-E0200
VHS1760E0200</t>
        </is>
      </c>
      <c r="G483" s="340" t="n"/>
      <c r="H483" s="343" t="inlineStr">
        <is>
          <t>SL</t>
        </is>
      </c>
      <c r="I483" s="344" t="n"/>
      <c r="J483" s="344" t="n"/>
      <c r="K483" s="344" t="n"/>
      <c r="L483" s="344">
        <f>IF(K483="","",K483*1.1)</f>
        <v/>
      </c>
      <c r="M483" s="345" t="n">
        <v>71</v>
      </c>
      <c r="N483" s="345" t="n">
        <v>49.2</v>
      </c>
      <c r="O483" s="345" t="inlineStr">
        <is>
          <t>6/6</t>
        </is>
      </c>
      <c r="P483" s="345" t="n">
        <v>61.4</v>
      </c>
      <c r="Q483" s="345" t="n">
        <v>54.3</v>
      </c>
      <c r="R483" s="345" t="n">
        <v>10</v>
      </c>
      <c r="T483" s="346">
        <f>UPPER(A483&amp;" "&amp;B483&amp;" "&amp;D483&amp;" "&amp;E483&amp;" "&amp;F483&amp;" "&amp;G483&amp;" "&amp;H483)</f>
        <v/>
      </c>
      <c r="U483" s="216">
        <f>IF(AND('TRA CỨU TỔNG HỢP'!$B$3&lt;&gt;"",ISNUMBER(SEARCH('TRA CỨU TỔNG HỢP'!$B$3,T483))),MAX($U$3:U482)+1,"")</f>
        <v/>
      </c>
    </row>
    <row r="484" ht="15" customHeight="1" s="217">
      <c r="A484" s="347" t="inlineStr">
        <is>
          <t>KOBELCO</t>
        </is>
      </c>
      <c r="B484" s="348" t="inlineStr">
        <is>
          <t>HH079966</t>
        </is>
      </c>
      <c r="C484" s="349" t="inlineStr">
        <is>
          <t>Garrett</t>
        </is>
      </c>
      <c r="D484" s="349" t="inlineStr">
        <is>
          <t>GT32/GT3271LS</t>
        </is>
      </c>
      <c r="E484" s="349" t="inlineStr">
        <is>
          <t>J08E</t>
        </is>
      </c>
      <c r="F484" s="350" t="inlineStr">
        <is>
          <t>764267-0001
24100-4640
S1760-E0200
VHS1760E0200</t>
        </is>
      </c>
      <c r="G484" s="349" t="n"/>
      <c r="H484" s="351" t="inlineStr">
        <is>
          <t>SL</t>
        </is>
      </c>
      <c r="I484" s="352" t="n"/>
      <c r="J484" s="352" t="n"/>
      <c r="K484" s="352" t="n"/>
      <c r="L484" s="352">
        <f>IF(K484="","",K484*1.1)</f>
        <v/>
      </c>
      <c r="M484" s="353" t="n">
        <v>71</v>
      </c>
      <c r="N484" s="353" t="n">
        <v>49.2</v>
      </c>
      <c r="O484" s="353" t="inlineStr">
        <is>
          <t>6/6</t>
        </is>
      </c>
      <c r="P484" s="353" t="n">
        <v>61.4</v>
      </c>
      <c r="Q484" s="353" t="n">
        <v>54.3</v>
      </c>
      <c r="R484" s="353" t="n">
        <v>10</v>
      </c>
      <c r="T484" s="346">
        <f>UPPER(A484&amp;" "&amp;B484&amp;" "&amp;D484&amp;" "&amp;E484&amp;" "&amp;F484&amp;" "&amp;G484&amp;" "&amp;H484)</f>
        <v/>
      </c>
      <c r="U484" s="216">
        <f>IF(AND('TRA CỨU TỔNG HỢP'!$B$3&lt;&gt;"",ISNUMBER(SEARCH('TRA CỨU TỔNG HỢP'!$B$3,T484))),MAX($U$3:U483)+1,"")</f>
        <v/>
      </c>
    </row>
    <row r="485" ht="15" customHeight="1" s="217">
      <c r="A485" s="340" t="inlineStr">
        <is>
          <t>KOBELCO</t>
        </is>
      </c>
      <c r="B485" s="341" t="inlineStr">
        <is>
          <t>HH070615</t>
        </is>
      </c>
      <c r="C485" s="340" t="inlineStr">
        <is>
          <t>Garrett</t>
        </is>
      </c>
      <c r="D485" s="340" t="inlineStr">
        <is>
          <t>TA3134</t>
        </is>
      </c>
      <c r="E485" s="340" t="inlineStr">
        <is>
          <t>6D31</t>
        </is>
      </c>
      <c r="F485" s="342" t="inlineStr">
        <is>
          <t>ME088488
409172-0096
466129-0001</t>
        </is>
      </c>
      <c r="G485" s="340" t="n"/>
      <c r="H485" s="343" t="inlineStr">
        <is>
          <t>SL</t>
        </is>
      </c>
      <c r="I485" s="344" t="n"/>
      <c r="J485" s="344" t="n"/>
      <c r="K485" s="344" t="n"/>
      <c r="L485" s="344">
        <f>IF(K485="","",K485*1.1)</f>
        <v/>
      </c>
      <c r="M485" s="345" t="n"/>
      <c r="N485" s="345" t="n"/>
      <c r="O485" s="345" t="n"/>
      <c r="P485" s="345" t="n"/>
      <c r="Q485" s="345" t="n"/>
      <c r="R485" s="345" t="n"/>
      <c r="T485" s="346">
        <f>UPPER(A485&amp;" "&amp;B485&amp;" "&amp;D485&amp;" "&amp;E485&amp;" "&amp;F485&amp;" "&amp;G485&amp;" "&amp;H485)</f>
        <v/>
      </c>
      <c r="U485" s="216">
        <f>IF(AND('TRA CỨU TỔNG HỢP'!$B$3&lt;&gt;"",ISNUMBER(SEARCH('TRA CỨU TỔNG HỢP'!$B$3,T485))),MAX($U$3:U484)+1,"")</f>
        <v/>
      </c>
    </row>
    <row r="486" ht="15" customHeight="1" s="217">
      <c r="A486" s="347" t="inlineStr">
        <is>
          <t>KOBELCO</t>
        </is>
      </c>
      <c r="B486" s="348" t="inlineStr">
        <is>
          <t>HH080012</t>
        </is>
      </c>
      <c r="C486" s="349" t="inlineStr">
        <is>
          <t>Garrett</t>
        </is>
      </c>
      <c r="D486" s="349" t="inlineStr">
        <is>
          <t>TA3134</t>
        </is>
      </c>
      <c r="E486" s="349" t="inlineStr">
        <is>
          <t>6D31</t>
        </is>
      </c>
      <c r="F486" s="350" t="inlineStr">
        <is>
          <t>ME088488
409172-0096
466129-0001</t>
        </is>
      </c>
      <c r="G486" s="349" t="n"/>
      <c r="H486" s="351" t="inlineStr">
        <is>
          <t>SL</t>
        </is>
      </c>
      <c r="I486" s="352" t="n"/>
      <c r="J486" s="352" t="n"/>
      <c r="K486" s="352" t="n"/>
      <c r="L486" s="352">
        <f>IF(K486="","",K486*1.1)</f>
        <v/>
      </c>
      <c r="M486" s="353" t="n"/>
      <c r="N486" s="353" t="n"/>
      <c r="O486" s="353" t="n"/>
      <c r="P486" s="353" t="n"/>
      <c r="Q486" s="353" t="n"/>
      <c r="R486" s="353" t="n"/>
      <c r="T486" s="346">
        <f>UPPER(A486&amp;" "&amp;B486&amp;" "&amp;D486&amp;" "&amp;E486&amp;" "&amp;F486&amp;" "&amp;G486&amp;" "&amp;H486)</f>
        <v/>
      </c>
      <c r="U486" s="216">
        <f>IF(AND('TRA CỨU TỔNG HỢP'!$B$3&lt;&gt;"",ISNUMBER(SEARCH('TRA CỨU TỔNG HỢP'!$B$3,T486))),MAX($U$3:U485)+1,"")</f>
        <v/>
      </c>
    </row>
    <row r="487" ht="15" customHeight="1" s="217">
      <c r="A487" s="340" t="inlineStr">
        <is>
          <t>KOBELCO</t>
        </is>
      </c>
      <c r="B487" s="341" t="inlineStr">
        <is>
          <t>HH070620</t>
        </is>
      </c>
      <c r="C487" s="340" t="inlineStr">
        <is>
          <t>Mitsubishi</t>
        </is>
      </c>
      <c r="D487" s="340" t="inlineStr">
        <is>
          <t>TD06</t>
        </is>
      </c>
      <c r="E487" s="340" t="inlineStr">
        <is>
          <t>6D14/6D31</t>
        </is>
      </c>
      <c r="F487" s="342" t="inlineStr">
        <is>
          <t>ME037701/49179-00110 
49179-02100/ME070460</t>
        </is>
      </c>
      <c r="G487" s="340" t="n"/>
      <c r="H487" s="343" t="inlineStr">
        <is>
          <t>SL</t>
        </is>
      </c>
      <c r="I487" s="344" t="n"/>
      <c r="J487" s="344" t="n"/>
      <c r="K487" s="344" t="n"/>
      <c r="L487" s="344">
        <f>IF(K487="","",K487*1.1)</f>
        <v/>
      </c>
      <c r="M487" s="345" t="n">
        <v>65</v>
      </c>
      <c r="N487" s="345" t="n">
        <v>48</v>
      </c>
      <c r="O487" s="345" t="inlineStr">
        <is>
          <t>7/7</t>
        </is>
      </c>
      <c r="P487" s="345" t="n">
        <v>65.2</v>
      </c>
      <c r="Q487" s="345" t="n">
        <v>55.2</v>
      </c>
      <c r="R487" s="345" t="n">
        <v>12</v>
      </c>
      <c r="T487" s="346">
        <f>UPPER(A487&amp;" "&amp;B487&amp;" "&amp;D487&amp;" "&amp;E487&amp;" "&amp;F487&amp;" "&amp;G487&amp;" "&amp;H487)</f>
        <v/>
      </c>
      <c r="U487" s="216">
        <f>IF(AND('TRA CỨU TỔNG HỢP'!$B$3&lt;&gt;"",ISNUMBER(SEARCH('TRA CỨU TỔNG HỢP'!$B$3,T487))),MAX($U$3:U486)+1,"")</f>
        <v/>
      </c>
    </row>
    <row r="488" ht="15" customHeight="1" s="217">
      <c r="A488" s="347" t="inlineStr">
        <is>
          <t>KOBELCO</t>
        </is>
      </c>
      <c r="B488" s="348" t="inlineStr">
        <is>
          <t>HH080737</t>
        </is>
      </c>
      <c r="C488" s="349" t="inlineStr">
        <is>
          <t>Mitsubishi</t>
        </is>
      </c>
      <c r="D488" s="349" t="inlineStr">
        <is>
          <t>TD06</t>
        </is>
      </c>
      <c r="E488" s="349" t="inlineStr">
        <is>
          <t>6D14/6D31</t>
        </is>
      </c>
      <c r="F488" s="350" t="inlineStr">
        <is>
          <t>ME037701/49179-00110 
49179-02100/ME070460</t>
        </is>
      </c>
      <c r="G488" s="349" t="n"/>
      <c r="H488" s="351" t="n"/>
      <c r="I488" s="352" t="n"/>
      <c r="J488" s="352" t="n"/>
      <c r="K488" s="352" t="n"/>
      <c r="L488" s="352">
        <f>IF(K488="","",K488*1.1)</f>
        <v/>
      </c>
      <c r="M488" s="353" t="n">
        <v>65</v>
      </c>
      <c r="N488" s="353" t="n">
        <v>48</v>
      </c>
      <c r="O488" s="353" t="inlineStr">
        <is>
          <t>7/7</t>
        </is>
      </c>
      <c r="P488" s="353" t="n">
        <v>65.2</v>
      </c>
      <c r="Q488" s="353" t="n">
        <v>55.2</v>
      </c>
      <c r="R488" s="353" t="n">
        <v>12</v>
      </c>
      <c r="T488" s="346">
        <f>UPPER(A488&amp;" "&amp;B488&amp;" "&amp;D488&amp;" "&amp;E488&amp;" "&amp;F488&amp;" "&amp;G488&amp;" "&amp;H488)</f>
        <v/>
      </c>
      <c r="U488" s="216">
        <f>IF(AND('TRA CỨU TỔNG HỢP'!$B$3&lt;&gt;"",ISNUMBER(SEARCH('TRA CỨU TỔNG HỢP'!$B$3,T488))),MAX($U$3:U487)+1,"")</f>
        <v/>
      </c>
    </row>
    <row r="489" ht="15" customHeight="1" s="217">
      <c r="A489" s="354" t="inlineStr">
        <is>
          <t>KOBELCO</t>
        </is>
      </c>
      <c r="B489" s="355" t="inlineStr">
        <is>
          <t>HH070616</t>
        </is>
      </c>
      <c r="C489" s="354" t="inlineStr">
        <is>
          <t>Mitsubishi</t>
        </is>
      </c>
      <c r="D489" s="354" t="inlineStr">
        <is>
          <t>TD06-17C</t>
        </is>
      </c>
      <c r="E489" s="354" t="inlineStr">
        <is>
          <t>6D31</t>
        </is>
      </c>
      <c r="F489" s="356" t="inlineStr">
        <is>
          <t>49179-02110
49179-09400
ME088256</t>
        </is>
      </c>
      <c r="G489" s="354" t="n"/>
      <c r="H489" s="357" t="inlineStr">
        <is>
          <t>SL</t>
        </is>
      </c>
      <c r="I489" s="358" t="n"/>
      <c r="J489" s="358" t="n"/>
      <c r="K489" s="358" t="n"/>
      <c r="L489" s="358">
        <f>IF(K489="","",K489*1.1)</f>
        <v/>
      </c>
      <c r="M489" s="359" t="n">
        <v>68</v>
      </c>
      <c r="N489" s="359" t="n">
        <v>48.2</v>
      </c>
      <c r="O489" s="359" t="inlineStr">
        <is>
          <t>12</t>
        </is>
      </c>
      <c r="P489" s="359" t="n">
        <v>65.2</v>
      </c>
      <c r="Q489" s="359" t="n">
        <v>55.2</v>
      </c>
      <c r="R489" s="359" t="n">
        <v>12</v>
      </c>
      <c r="T489" s="346">
        <f>UPPER(A489&amp;" "&amp;B489&amp;" "&amp;D489&amp;" "&amp;E489&amp;" "&amp;F489&amp;" "&amp;G489&amp;" "&amp;H489)</f>
        <v/>
      </c>
      <c r="U489" s="216">
        <f>IF(AND('TRA CỨU TỔNG HỢP'!$B$3&lt;&gt;"",ISNUMBER(SEARCH('TRA CỨU TỔNG HỢP'!$B$3,T489))),MAX($U$3:U488)+1,"")</f>
        <v/>
      </c>
    </row>
    <row r="490" ht="15" customHeight="1" s="217">
      <c r="A490" s="354" t="inlineStr">
        <is>
          <t>KOBELCO</t>
        </is>
      </c>
      <c r="B490" s="355" t="inlineStr">
        <is>
          <t>HH081360</t>
        </is>
      </c>
      <c r="C490" s="354" t="inlineStr">
        <is>
          <t>Garrett</t>
        </is>
      </c>
      <c r="D490" s="354" t="inlineStr">
        <is>
          <t>GTA4082</t>
        </is>
      </c>
      <c r="E490" s="354" t="n"/>
      <c r="F490" s="356" t="inlineStr">
        <is>
          <t>789003-5009S</t>
        </is>
      </c>
      <c r="G490" s="354" t="n"/>
      <c r="H490" s="357" t="inlineStr">
        <is>
          <t>GARRETT</t>
        </is>
      </c>
      <c r="I490" s="358" t="n"/>
      <c r="J490" s="358" t="n"/>
      <c r="K490" s="358" t="n"/>
      <c r="L490" s="358">
        <f>IF(K490="","",K490*1.1)</f>
        <v/>
      </c>
      <c r="M490" s="359" t="n"/>
      <c r="N490" s="359" t="n"/>
      <c r="O490" s="359" t="n"/>
      <c r="P490" s="359" t="n"/>
      <c r="Q490" s="359" t="n"/>
      <c r="R490" s="359" t="n"/>
      <c r="T490" s="216">
        <f>UPPER(A490&amp;" "&amp;B490&amp;" "&amp;D490&amp;" "&amp;E490&amp;" "&amp;F490&amp;" "&amp;G490&amp;" "&amp;H490)</f>
        <v/>
      </c>
      <c r="U490" s="216">
        <f>IF(AND('TRA CỨU TỔNG HỢP'!$B$3&lt;&gt;"",ISNUMBER(SEARCH('TRA CỨU TỔNG HỢP'!$B$3,T490))),MAX($U$3:U489)+1,"")</f>
        <v/>
      </c>
    </row>
    <row r="491" ht="15" customHeight="1" s="217">
      <c r="A491" s="354" t="inlineStr">
        <is>
          <t>KOBELCO</t>
        </is>
      </c>
      <c r="B491" s="355" t="inlineStr">
        <is>
          <t>HH077143</t>
        </is>
      </c>
      <c r="C491" s="354" t="inlineStr">
        <is>
          <t>Mitsubishi</t>
        </is>
      </c>
      <c r="D491" s="354" t="inlineStr">
        <is>
          <t>TD04HL4-11</t>
        </is>
      </c>
      <c r="E491" s="354" t="inlineStr">
        <is>
          <t>D04FR</t>
        </is>
      </c>
      <c r="F491" s="356" t="inlineStr">
        <is>
          <t>49189-02750
8M04-100-L60</t>
        </is>
      </c>
      <c r="G491" s="354" t="n"/>
      <c r="H491" s="357" t="inlineStr">
        <is>
          <t>JRONE</t>
        </is>
      </c>
      <c r="I491" s="358" t="n"/>
      <c r="J491" s="358" t="n"/>
      <c r="K491" s="358" t="n"/>
      <c r="L491" s="358">
        <f>IF(K491="","",K491*1.1)</f>
        <v/>
      </c>
      <c r="M491" s="359" t="n"/>
      <c r="N491" s="359" t="n"/>
      <c r="O491" s="359" t="n"/>
      <c r="P491" s="359" t="n"/>
      <c r="Q491" s="359" t="n"/>
      <c r="R491" s="359" t="n"/>
      <c r="T491" s="346">
        <f>UPPER(A491&amp;" "&amp;B491&amp;" "&amp;D491&amp;" "&amp;E491&amp;" "&amp;F491&amp;" "&amp;G491&amp;" "&amp;H491)</f>
        <v/>
      </c>
      <c r="U491" s="216">
        <f>IF(AND('TRA CỨU TỔNG HỢP'!$B$3&lt;&gt;"",ISNUMBER(SEARCH('TRA CỨU TỔNG HỢP'!$B$3,T491))),MAX($U$3:U490)+1,"")</f>
        <v/>
      </c>
    </row>
    <row r="492" ht="15" customHeight="1" s="217">
      <c r="A492" s="367" t="inlineStr">
        <is>
          <t>KOBELCO</t>
        </is>
      </c>
      <c r="B492" s="368" t="n"/>
      <c r="C492" s="367" t="inlineStr">
        <is>
          <t>Mitsubishi</t>
        </is>
      </c>
      <c r="D492" s="367" t="inlineStr">
        <is>
          <t>TF035HL4</t>
        </is>
      </c>
      <c r="E492" s="367" t="inlineStr">
        <is>
          <t>D04EG</t>
        </is>
      </c>
      <c r="F492" s="369" t="inlineStr">
        <is>
          <t>49335-00760</t>
        </is>
      </c>
      <c r="G492" s="367" t="inlineStr">
        <is>
          <t>chưa nhập</t>
        </is>
      </c>
      <c r="H492" s="370" t="n"/>
      <c r="I492" s="371" t="n"/>
      <c r="J492" s="371" t="n"/>
      <c r="K492" s="371" t="n"/>
      <c r="L492" s="371">
        <f>IF(K492="","",K492*1.1)</f>
        <v/>
      </c>
      <c r="M492" s="372" t="n"/>
      <c r="N492" s="372" t="n"/>
      <c r="O492" s="372" t="n"/>
      <c r="P492" s="372" t="n"/>
      <c r="Q492" s="372" t="n"/>
      <c r="R492" s="372" t="n"/>
      <c r="T492" s="216">
        <f>UPPER(A492&amp;" "&amp;B492&amp;" "&amp;D492&amp;" "&amp;E492&amp;" "&amp;F492&amp;" "&amp;G492&amp;" "&amp;H492)</f>
        <v/>
      </c>
      <c r="U492" s="216">
        <f>IF(AND('TRA CỨU TỔNG HỢP'!$B$3&lt;&gt;"",ISNUMBER(SEARCH('TRA CỨU TỔNG HỢP'!$B$3,T492))),MAX($U$3:U491)+1,"")</f>
        <v/>
      </c>
    </row>
    <row r="493" ht="15" customHeight="1" s="217">
      <c r="A493" s="340" t="inlineStr">
        <is>
          <t>KOBELCO</t>
        </is>
      </c>
      <c r="B493" s="341" t="inlineStr">
        <is>
          <t>HH070612</t>
        </is>
      </c>
      <c r="C493" s="340" t="inlineStr">
        <is>
          <t>IHI</t>
        </is>
      </c>
      <c r="D493" s="340" t="inlineStr">
        <is>
          <t>RHB6</t>
        </is>
      </c>
      <c r="E493" s="340" t="inlineStr">
        <is>
          <t>4BD1/4BG1/4CH</t>
        </is>
      </c>
      <c r="F493" s="342" t="inlineStr">
        <is>
          <t>894418-3200
NE190022
CI38
NB190027</t>
        </is>
      </c>
      <c r="G493" s="340" t="n"/>
      <c r="H493" s="343" t="inlineStr">
        <is>
          <t>SL</t>
        </is>
      </c>
      <c r="I493" s="344" t="n"/>
      <c r="J493" s="344" t="n"/>
      <c r="K493" s="344" t="n"/>
      <c r="L493" s="344">
        <f>IF(K493="","",K493*1.1)</f>
        <v/>
      </c>
      <c r="M493" s="345" t="n">
        <v>59</v>
      </c>
      <c r="N493" s="345" t="n">
        <v>36.7</v>
      </c>
      <c r="O493" s="345" t="inlineStr">
        <is>
          <t>10</t>
        </is>
      </c>
      <c r="P493" s="345" t="n">
        <v>62.1</v>
      </c>
      <c r="Q493" s="345" t="n">
        <v>51</v>
      </c>
      <c r="R493" s="345" t="inlineStr">
        <is>
          <t>11</t>
        </is>
      </c>
      <c r="T493" s="346">
        <f>UPPER(A493&amp;" "&amp;B493&amp;" "&amp;D493&amp;" "&amp;E493&amp;" "&amp;F493&amp;" "&amp;G493&amp;" "&amp;H493)</f>
        <v/>
      </c>
      <c r="U493" s="216">
        <f>IF(AND('TRA CỨU TỔNG HỢP'!$B$3&lt;&gt;"",ISNUMBER(SEARCH('TRA CỨU TỔNG HỢP'!$B$3,T493))),MAX($U$3:U492)+1,"")</f>
        <v/>
      </c>
    </row>
    <row r="494" ht="15" customHeight="1" s="217">
      <c r="A494" s="347" t="inlineStr">
        <is>
          <t>KOBELCO</t>
        </is>
      </c>
      <c r="B494" s="348" t="inlineStr">
        <is>
          <t>HH079969</t>
        </is>
      </c>
      <c r="C494" s="349" t="inlineStr">
        <is>
          <t>IHI</t>
        </is>
      </c>
      <c r="D494" s="349" t="inlineStr">
        <is>
          <t>RHB6</t>
        </is>
      </c>
      <c r="E494" s="349" t="inlineStr">
        <is>
          <t>4BD1/4BG1/4CH</t>
        </is>
      </c>
      <c r="F494" s="350" t="inlineStr">
        <is>
          <t>894418-3200
NE190022
CI38
NB190027</t>
        </is>
      </c>
      <c r="G494" s="349" t="n"/>
      <c r="H494" s="351" t="inlineStr">
        <is>
          <t>SL</t>
        </is>
      </c>
      <c r="I494" s="352" t="n"/>
      <c r="J494" s="352" t="n"/>
      <c r="K494" s="352" t="n"/>
      <c r="L494" s="352">
        <f>IF(K494="","",K494*1.1)</f>
        <v/>
      </c>
      <c r="M494" s="353" t="n">
        <v>59</v>
      </c>
      <c r="N494" s="353" t="n">
        <v>36.7</v>
      </c>
      <c r="O494" s="353" t="inlineStr">
        <is>
          <t>10</t>
        </is>
      </c>
      <c r="P494" s="353" t="n">
        <v>62.1</v>
      </c>
      <c r="Q494" s="353" t="n">
        <v>51</v>
      </c>
      <c r="R494" s="353" t="inlineStr">
        <is>
          <t>11</t>
        </is>
      </c>
      <c r="T494" s="346">
        <f>UPPER(A494&amp;" "&amp;B494&amp;" "&amp;D494&amp;" "&amp;E494&amp;" "&amp;F494&amp;" "&amp;G494&amp;" "&amp;H494)</f>
        <v/>
      </c>
      <c r="U494" s="216">
        <f>IF(AND('TRA CỨU TỔNG HỢP'!$B$3&lt;&gt;"",ISNUMBER(SEARCH('TRA CỨU TỔNG HỢP'!$B$3,T494))),MAX($U$3:U493)+1,"")</f>
        <v/>
      </c>
    </row>
    <row r="495" ht="15" customHeight="1" s="217">
      <c r="A495" s="354" t="inlineStr">
        <is>
          <t>KOBELCO</t>
        </is>
      </c>
      <c r="B495" s="355" t="inlineStr">
        <is>
          <t>HH080645</t>
        </is>
      </c>
      <c r="C495" s="354" t="inlineStr">
        <is>
          <t>Mitsubishi</t>
        </is>
      </c>
      <c r="D495" s="354" t="inlineStr">
        <is>
          <t>TD07-22A</t>
        </is>
      </c>
      <c r="E495" s="354" t="inlineStr">
        <is>
          <t>6D14T/ 6D15T</t>
        </is>
      </c>
      <c r="F495" s="356" t="inlineStr">
        <is>
          <t>49175-00428
ME032938</t>
        </is>
      </c>
      <c r="G495" s="354" t="n"/>
      <c r="H495" s="357" t="inlineStr">
        <is>
          <t>FIRE</t>
        </is>
      </c>
      <c r="I495" s="358" t="n"/>
      <c r="J495" s="358" t="n"/>
      <c r="K495" s="358" t="n"/>
      <c r="L495" s="358">
        <f>IF(K495="","",K495*1.1)</f>
        <v/>
      </c>
      <c r="M495" s="359" t="n">
        <v>65</v>
      </c>
      <c r="N495" s="359" t="n">
        <v>48</v>
      </c>
      <c r="O495" s="359" t="inlineStr">
        <is>
          <t>7/7</t>
        </is>
      </c>
      <c r="P495" s="359" t="n">
        <v>65.2</v>
      </c>
      <c r="Q495" s="359" t="n">
        <v>55.2</v>
      </c>
      <c r="R495" s="359" t="n">
        <v>12</v>
      </c>
      <c r="T495" s="346">
        <f>UPPER(A495&amp;" "&amp;B495&amp;" "&amp;D495&amp;" "&amp;E495&amp;" "&amp;F495&amp;" "&amp;G495&amp;" "&amp;H495)</f>
        <v/>
      </c>
      <c r="U495" s="216">
        <f>IF(AND('TRA CỨU TỔNG HỢP'!$B$3&lt;&gt;"",ISNUMBER(SEARCH('TRA CỨU TỔNG HỢP'!$B$3,T495))),MAX($U$3:U494)+1,"")</f>
        <v/>
      </c>
    </row>
    <row r="496" ht="15" customHeight="1" s="217">
      <c r="A496" s="367" t="inlineStr">
        <is>
          <t>KOBELCO</t>
        </is>
      </c>
      <c r="B496" s="368" t="n"/>
      <c r="C496" s="367" t="inlineStr">
        <is>
          <t>Mitsubishi</t>
        </is>
      </c>
      <c r="D496" s="367" t="inlineStr">
        <is>
          <t>TF07-13M | TE06H</t>
        </is>
      </c>
      <c r="E496" s="367" t="inlineStr">
        <is>
          <t>6D34 | 6D34T</t>
        </is>
      </c>
      <c r="F496" s="369" t="inlineStr">
        <is>
          <t>49186-00360
4918600360
49186-00370
4918600370
ME088865
ME441218</t>
        </is>
      </c>
      <c r="G496" s="376" t="inlineStr">
        <is>
          <t>chưa nhập , check kĩ tâm lỗ 
,chưa đo thực tế</t>
        </is>
      </c>
      <c r="H496" s="370" t="n"/>
      <c r="I496" s="371" t="n"/>
      <c r="J496" s="371" t="n"/>
      <c r="K496" s="371" t="n"/>
      <c r="L496" s="371">
        <f>IF(K496="","",K496*1.1)</f>
        <v/>
      </c>
      <c r="M496" s="372" t="n"/>
      <c r="N496" s="372" t="n"/>
      <c r="O496" s="372" t="n"/>
      <c r="P496" s="372" t="n"/>
      <c r="Q496" s="372" t="n"/>
      <c r="R496" s="372" t="n"/>
      <c r="T496" s="346">
        <f>UPPER(A496&amp;" "&amp;B496&amp;" "&amp;D496&amp;" "&amp;E496&amp;" "&amp;F496&amp;" "&amp;G496&amp;" "&amp;H496)</f>
        <v/>
      </c>
      <c r="U496" s="216">
        <f>IF(AND('TRA CỨU TỔNG HỢP'!$B$3&lt;&gt;"",ISNUMBER(SEARCH('TRA CỨU TỔNG HỢP'!$B$3,T496))),MAX($U$3:U495)+1,"")</f>
        <v/>
      </c>
    </row>
    <row r="497" ht="15" customHeight="1" s="217">
      <c r="A497" s="354" t="inlineStr">
        <is>
          <t>KOBELCO</t>
        </is>
      </c>
      <c r="B497" s="355" t="inlineStr">
        <is>
          <t>HH075591</t>
        </is>
      </c>
      <c r="C497" s="354" t="inlineStr">
        <is>
          <t>Mitsubishi</t>
        </is>
      </c>
      <c r="D497" s="354" t="inlineStr">
        <is>
          <t>TE06</t>
        </is>
      </c>
      <c r="E497" s="354" t="inlineStr">
        <is>
          <t>6D34T</t>
        </is>
      </c>
      <c r="F497" s="356" t="inlineStr">
        <is>
          <t>49185-01041
8M06-100-J03</t>
        </is>
      </c>
      <c r="G497" s="354" t="n"/>
      <c r="H497" s="357" t="inlineStr">
        <is>
          <t>JRONE</t>
        </is>
      </c>
      <c r="I497" s="358" t="n"/>
      <c r="J497" s="358" t="n"/>
      <c r="K497" s="358" t="n"/>
      <c r="L497" s="358">
        <f>IF(K497="","",K497*1.1)</f>
        <v/>
      </c>
      <c r="M497" s="359" t="n"/>
      <c r="N497" s="359" t="n"/>
      <c r="O497" s="359" t="n"/>
      <c r="P497" s="359" t="n"/>
      <c r="Q497" s="359" t="n"/>
      <c r="R497" s="359" t="n"/>
      <c r="T497" s="346">
        <f>UPPER(A497&amp;" "&amp;B497&amp;" "&amp;D497&amp;" "&amp;E497&amp;" "&amp;F497&amp;" "&amp;G497&amp;" "&amp;H497)</f>
        <v/>
      </c>
      <c r="U497" s="216">
        <f>IF(AND('TRA CỨU TỔNG HỢP'!$B$3&lt;&gt;"",ISNUMBER(SEARCH('TRA CỨU TỔNG HỢP'!$B$3,T497))),MAX($U$3:U496)+1,"")</f>
        <v/>
      </c>
    </row>
    <row r="498" ht="15" customHeight="1" s="217">
      <c r="A498" s="354" t="inlineStr">
        <is>
          <t>KOBELCO</t>
        </is>
      </c>
      <c r="B498" s="355" t="inlineStr">
        <is>
          <t>HH081702</t>
        </is>
      </c>
      <c r="C498" s="354" t="inlineStr">
        <is>
          <t>Garrett</t>
        </is>
      </c>
      <c r="D498" s="354" t="inlineStr">
        <is>
          <t>GTA3576KLNV</t>
        </is>
      </c>
      <c r="E498" s="354" t="n"/>
      <c r="F498" s="356" t="inlineStr">
        <is>
          <t>789209-5012S</t>
        </is>
      </c>
      <c r="G498" s="354" t="n"/>
      <c r="H498" s="357" t="inlineStr">
        <is>
          <t>GARRETT</t>
        </is>
      </c>
      <c r="I498" s="358" t="n"/>
      <c r="J498" s="358" t="n"/>
      <c r="K498" s="358" t="n"/>
      <c r="L498" s="358">
        <f>IF(K498="","",K498*1.1)</f>
        <v/>
      </c>
      <c r="M498" s="359" t="n"/>
      <c r="N498" s="359" t="n"/>
      <c r="O498" s="359" t="n"/>
      <c r="P498" s="359" t="n"/>
      <c r="Q498" s="359" t="n"/>
      <c r="R498" s="359" t="n"/>
      <c r="T498" s="216">
        <f>UPPER(A498&amp;" "&amp;B498&amp;" "&amp;D498&amp;" "&amp;E498&amp;" "&amp;F498&amp;" "&amp;G498&amp;" "&amp;H498)</f>
        <v/>
      </c>
      <c r="U498" s="216">
        <f>IF(AND('TRA CỨU TỔNG HỢP'!$B$3&lt;&gt;"",ISNUMBER(SEARCH('TRA CỨU TỔNG HỢP'!$B$3,T498))),MAX($U$3:U497)+1,"")</f>
        <v/>
      </c>
    </row>
    <row r="499" ht="15" customHeight="1" s="217">
      <c r="A499" s="340" t="inlineStr">
        <is>
          <t>KOBELCO</t>
        </is>
      </c>
      <c r="B499" s="341" t="inlineStr">
        <is>
          <t>HH071476</t>
        </is>
      </c>
      <c r="C499" s="340" t="inlineStr">
        <is>
          <t>Mitsubishi</t>
        </is>
      </c>
      <c r="D499" s="340" t="inlineStr">
        <is>
          <t>TE06H-16M</t>
        </is>
      </c>
      <c r="E499" s="340" t="inlineStr">
        <is>
          <t>6D34T</t>
        </is>
      </c>
      <c r="F499" s="342" t="inlineStr">
        <is>
          <t>49185-01030/49185-01020/4918501020/49S8501020/49S85-01020
49185-01031/ME440895/ME088846/ME088840
8M06-100-M11</t>
        </is>
      </c>
      <c r="G499" s="340" t="n"/>
      <c r="H499" s="343" t="inlineStr">
        <is>
          <t>SL</t>
        </is>
      </c>
      <c r="I499" s="344" t="n"/>
      <c r="J499" s="344" t="n"/>
      <c r="K499" s="344" t="n"/>
      <c r="L499" s="344">
        <f>IF(K499="","",K499*1.1)</f>
        <v/>
      </c>
      <c r="M499" s="345" t="n">
        <v>68</v>
      </c>
      <c r="N499" s="345" t="n">
        <v>48</v>
      </c>
      <c r="O499" s="345" t="inlineStr">
        <is>
          <t>7/7</t>
        </is>
      </c>
      <c r="P499" s="345" t="n">
        <v>67.09999999999999</v>
      </c>
      <c r="Q499" s="345" t="n">
        <v>58.7</v>
      </c>
      <c r="R499" s="345" t="n">
        <v>12</v>
      </c>
      <c r="T499" s="346">
        <f>UPPER(A499&amp;" "&amp;B499&amp;" "&amp;D499&amp;" "&amp;E499&amp;" "&amp;F499&amp;" "&amp;G499&amp;" "&amp;H499)</f>
        <v/>
      </c>
      <c r="U499" s="216">
        <f>IF(AND('TRA CỨU TỔNG HỢP'!$B$3&lt;&gt;"",ISNUMBER(SEARCH('TRA CỨU TỔNG HỢP'!$B$3,T499))),MAX($U$3:U498)+1,"")</f>
        <v/>
      </c>
    </row>
    <row r="500" ht="15" customHeight="1" s="217">
      <c r="A500" s="347" t="inlineStr">
        <is>
          <t>KOBELCO</t>
        </is>
      </c>
      <c r="B500" s="348" t="inlineStr">
        <is>
          <t>HH075592</t>
        </is>
      </c>
      <c r="C500" s="349" t="inlineStr">
        <is>
          <t>Mitsubishi</t>
        </is>
      </c>
      <c r="D500" s="349" t="inlineStr">
        <is>
          <t>TE06H-16M</t>
        </is>
      </c>
      <c r="E500" s="349" t="inlineStr">
        <is>
          <t>6D34T</t>
        </is>
      </c>
      <c r="F500" s="350" t="inlineStr">
        <is>
          <t>49185-01030/49185-01020/4918501020/49S8501020/49S85-01020
49185-01031/ME440895/ME088846/ME088840
8M06-100-M11</t>
        </is>
      </c>
      <c r="G500" s="349" t="n"/>
      <c r="H500" s="351" t="inlineStr">
        <is>
          <t>JRONE</t>
        </is>
      </c>
      <c r="I500" s="352" t="n"/>
      <c r="J500" s="352" t="n"/>
      <c r="K500" s="352" t="n"/>
      <c r="L500" s="352">
        <f>IF(K500="","",K500*1.1)</f>
        <v/>
      </c>
      <c r="M500" s="353" t="n">
        <v>68</v>
      </c>
      <c r="N500" s="353" t="n">
        <v>48</v>
      </c>
      <c r="O500" s="353" t="inlineStr">
        <is>
          <t>7/7</t>
        </is>
      </c>
      <c r="P500" s="353" t="n">
        <v>67.09999999999999</v>
      </c>
      <c r="Q500" s="353" t="n">
        <v>58.7</v>
      </c>
      <c r="R500" s="353" t="n">
        <v>12</v>
      </c>
      <c r="T500" s="346">
        <f>UPPER(A500&amp;" "&amp;B500&amp;" "&amp;D500&amp;" "&amp;E500&amp;" "&amp;F500&amp;" "&amp;G500&amp;" "&amp;H500)</f>
        <v/>
      </c>
      <c r="U500" s="216">
        <f>IF(AND('TRA CỨU TỔNG HỢP'!$B$3&lt;&gt;"",ISNUMBER(SEARCH('TRA CỨU TỔNG HỢP'!$B$3,T500))),MAX($U$3:U499)+1,"")</f>
        <v/>
      </c>
    </row>
    <row r="501" ht="15" customHeight="1" s="217">
      <c r="A501" s="347" t="inlineStr">
        <is>
          <t>KOBELCO</t>
        </is>
      </c>
      <c r="B501" s="348" t="inlineStr">
        <is>
          <t>HH080013</t>
        </is>
      </c>
      <c r="C501" s="349" t="inlineStr">
        <is>
          <t>Mitsubishi</t>
        </is>
      </c>
      <c r="D501" s="349" t="inlineStr">
        <is>
          <t>TE06H-16M</t>
        </is>
      </c>
      <c r="E501" s="349" t="inlineStr">
        <is>
          <t>6D34T</t>
        </is>
      </c>
      <c r="F501" s="350" t="inlineStr">
        <is>
          <t>49185-01030/49185-01020/4918501020/49S8501020/49S85-01020
49185-01031/ME440895/ME088846/ME088840
8M06-100-M11</t>
        </is>
      </c>
      <c r="G501" s="349" t="n"/>
      <c r="H501" s="351" t="inlineStr">
        <is>
          <t>SL</t>
        </is>
      </c>
      <c r="I501" s="352" t="n"/>
      <c r="J501" s="352" t="n"/>
      <c r="K501" s="352" t="n"/>
      <c r="L501" s="352">
        <f>IF(K501="","",K501*1.1)</f>
        <v/>
      </c>
      <c r="M501" s="353" t="n">
        <v>68</v>
      </c>
      <c r="N501" s="353" t="n">
        <v>48</v>
      </c>
      <c r="O501" s="353" t="inlineStr">
        <is>
          <t>7/7</t>
        </is>
      </c>
      <c r="P501" s="353" t="n">
        <v>67.09999999999999</v>
      </c>
      <c r="Q501" s="353" t="n">
        <v>58.7</v>
      </c>
      <c r="R501" s="353" t="n">
        <v>12</v>
      </c>
      <c r="T501" s="346">
        <f>UPPER(A501&amp;" "&amp;B501&amp;" "&amp;D501&amp;" "&amp;E501&amp;" "&amp;F501&amp;" "&amp;G501&amp;" "&amp;H501)</f>
        <v/>
      </c>
      <c r="U501" s="216">
        <f>IF(AND('TRA CỨU TỔNG HỢP'!$B$3&lt;&gt;"",ISNUMBER(SEARCH('TRA CỨU TỔNG HỢP'!$B$3,T501))),MAX($U$3:U500)+1,"")</f>
        <v/>
      </c>
    </row>
    <row r="502" ht="15" customHeight="1" s="217">
      <c r="A502" s="340" t="inlineStr">
        <is>
          <t>KOBELCO</t>
        </is>
      </c>
      <c r="B502" s="341" t="inlineStr">
        <is>
          <t>HH071475</t>
        </is>
      </c>
      <c r="C502" s="340" t="inlineStr">
        <is>
          <t>Mitsubishi</t>
        </is>
      </c>
      <c r="D502" s="340" t="inlineStr">
        <is>
          <t>TE06</t>
        </is>
      </c>
      <c r="E502" s="340" t="inlineStr">
        <is>
          <t>6D31T</t>
        </is>
      </c>
      <c r="F502" s="342" t="inlineStr">
        <is>
          <t>49185-01010
ME088725</t>
        </is>
      </c>
      <c r="G502" s="340" t="n"/>
      <c r="H502" s="343" t="inlineStr">
        <is>
          <t>SL</t>
        </is>
      </c>
      <c r="I502" s="344" t="n"/>
      <c r="J502" s="344" t="n"/>
      <c r="K502" s="344" t="n"/>
      <c r="L502" s="344">
        <f>IF(K502="","",K502*1.1)</f>
        <v/>
      </c>
      <c r="M502" s="345" t="n">
        <v>68</v>
      </c>
      <c r="N502" s="345" t="n">
        <v>42.6</v>
      </c>
      <c r="O502" s="345" t="inlineStr">
        <is>
          <t>7/7</t>
        </is>
      </c>
      <c r="P502" s="345" t="n">
        <v>67.09999999999999</v>
      </c>
      <c r="Q502" s="345" t="n">
        <v>58.7</v>
      </c>
      <c r="R502" s="345" t="n">
        <v>12</v>
      </c>
      <c r="T502" s="346">
        <f>UPPER(A502&amp;" "&amp;B502&amp;" "&amp;D502&amp;" "&amp;E502&amp;" "&amp;F502&amp;" "&amp;G502&amp;" "&amp;H502)</f>
        <v/>
      </c>
      <c r="U502" s="216">
        <f>IF(AND('TRA CỨU TỔNG HỢP'!$B$3&lt;&gt;"",ISNUMBER(SEARCH('TRA CỨU TỔNG HỢP'!$B$3,T502))),MAX($U$3:U501)+1,"")</f>
        <v/>
      </c>
    </row>
    <row r="503" ht="15" customHeight="1" s="217">
      <c r="A503" s="347" t="inlineStr">
        <is>
          <t>KOBELCO</t>
        </is>
      </c>
      <c r="B503" s="348" t="inlineStr">
        <is>
          <t>HH080020</t>
        </is>
      </c>
      <c r="C503" s="349" t="inlineStr">
        <is>
          <t>Mitsubishi</t>
        </is>
      </c>
      <c r="D503" s="349" t="inlineStr">
        <is>
          <t>TE06</t>
        </is>
      </c>
      <c r="E503" s="349" t="inlineStr">
        <is>
          <t>6D31T</t>
        </is>
      </c>
      <c r="F503" s="350" t="inlineStr">
        <is>
          <t>49185-01010
ME088725</t>
        </is>
      </c>
      <c r="G503" s="349" t="n"/>
      <c r="H503" s="351" t="inlineStr">
        <is>
          <t>SL</t>
        </is>
      </c>
      <c r="I503" s="352" t="n"/>
      <c r="J503" s="352" t="n"/>
      <c r="K503" s="352" t="n"/>
      <c r="L503" s="352">
        <f>IF(K503="","",K503*1.1)</f>
        <v/>
      </c>
      <c r="M503" s="353" t="n">
        <v>68</v>
      </c>
      <c r="N503" s="353" t="n">
        <v>42.6</v>
      </c>
      <c r="O503" s="353" t="inlineStr">
        <is>
          <t>7/7</t>
        </is>
      </c>
      <c r="P503" s="353" t="n">
        <v>67.09999999999999</v>
      </c>
      <c r="Q503" s="353" t="n">
        <v>58.7</v>
      </c>
      <c r="R503" s="353" t="n">
        <v>12</v>
      </c>
      <c r="T503" s="346">
        <f>UPPER(A503&amp;" "&amp;B503&amp;" "&amp;D503&amp;" "&amp;E503&amp;" "&amp;F503&amp;" "&amp;G503&amp;" "&amp;H503)</f>
        <v/>
      </c>
      <c r="U503" s="216">
        <f>IF(AND('TRA CỨU TỔNG HỢP'!$B$3&lt;&gt;"",ISNUMBER(SEARCH('TRA CỨU TỔNG HỢP'!$B$3,T503))),MAX($U$3:U502)+1,"")</f>
        <v/>
      </c>
    </row>
    <row r="504" ht="15" customHeight="1" s="217">
      <c r="A504" s="340" t="inlineStr">
        <is>
          <t>KOBELCO</t>
        </is>
      </c>
      <c r="B504" s="341" t="inlineStr">
        <is>
          <t>HH076057</t>
        </is>
      </c>
      <c r="C504" s="340" t="inlineStr">
        <is>
          <t>Garrett</t>
        </is>
      </c>
      <c r="D504" s="340" t="inlineStr">
        <is>
          <t>T04E73</t>
        </is>
      </c>
      <c r="E504" s="340" t="inlineStr">
        <is>
          <t>6D16T</t>
        </is>
      </c>
      <c r="F504" s="342" t="inlineStr">
        <is>
          <t>7047794-0002
ME078871
8G04-100-M12
ME078660</t>
        </is>
      </c>
      <c r="G504" s="373" t="inlineStr">
        <is>
          <t>lắp lẫn pc200-3 
chỉ khác sò lửa to hơn xíu</t>
        </is>
      </c>
      <c r="H504" s="343" t="n"/>
      <c r="I504" s="344" t="n"/>
      <c r="J504" s="344" t="n"/>
      <c r="K504" s="344" t="n"/>
      <c r="L504" s="344">
        <f>IF(K504="","",K504*1.1)</f>
        <v/>
      </c>
      <c r="M504" s="345" t="n"/>
      <c r="N504" s="345" t="n"/>
      <c r="O504" s="345" t="n"/>
      <c r="P504" s="345" t="n"/>
      <c r="Q504" s="345" t="n"/>
      <c r="R504" s="345" t="n"/>
      <c r="T504" s="346">
        <f>UPPER(A504&amp;" "&amp;B504&amp;" "&amp;D504&amp;" "&amp;E504&amp;" "&amp;F504&amp;" "&amp;G504&amp;" "&amp;H504)</f>
        <v/>
      </c>
      <c r="U504" s="216">
        <f>IF(AND('TRA CỨU TỔNG HỢP'!$B$3&lt;&gt;"",ISNUMBER(SEARCH('TRA CỨU TỔNG HỢP'!$B$3,T504))),MAX($U$3:U503)+1,"")</f>
        <v/>
      </c>
    </row>
    <row r="505" ht="15" customHeight="1" s="217">
      <c r="A505" s="347" t="inlineStr">
        <is>
          <t>KOBELCO</t>
        </is>
      </c>
      <c r="B505" s="348" t="inlineStr">
        <is>
          <t>HH082802</t>
        </is>
      </c>
      <c r="C505" s="349" t="inlineStr">
        <is>
          <t>Garrett</t>
        </is>
      </c>
      <c r="D505" s="349" t="inlineStr">
        <is>
          <t>T04E73</t>
        </is>
      </c>
      <c r="E505" s="349" t="inlineStr">
        <is>
          <t>6D16T</t>
        </is>
      </c>
      <c r="F505" s="350" t="inlineStr">
        <is>
          <t>7047794-0002
ME078871
8G04-100-M12
ME078660</t>
        </is>
      </c>
      <c r="G505" s="374" t="inlineStr">
        <is>
          <t>lắp lẫn pc200-3 
chỉ khác sò lửa to hơn xíu</t>
        </is>
      </c>
      <c r="H505" s="351" t="inlineStr">
        <is>
          <t>VIDARIR</t>
        </is>
      </c>
      <c r="I505" s="352" t="n"/>
      <c r="J505" s="352" t="n"/>
      <c r="K505" s="352" t="n"/>
      <c r="L505" s="352">
        <f>IF(K505="","",K505*1.1)</f>
        <v/>
      </c>
      <c r="M505" s="353" t="n"/>
      <c r="N505" s="353" t="n"/>
      <c r="O505" s="353" t="n"/>
      <c r="P505" s="353" t="n"/>
      <c r="Q505" s="353" t="n"/>
      <c r="R505" s="353" t="n"/>
      <c r="T505" s="346">
        <f>UPPER(A505&amp;" "&amp;B505&amp;" "&amp;D505&amp;" "&amp;E505&amp;" "&amp;F505&amp;" "&amp;G505&amp;" "&amp;H505)</f>
        <v/>
      </c>
      <c r="U505" s="216">
        <f>IF(AND('TRA CỨU TỔNG HỢP'!$B$3&lt;&gt;"",ISNUMBER(SEARCH('TRA CỨU TỔNG HỢP'!$B$3,T505))),MAX($U$3:U504)+1,"")</f>
        <v/>
      </c>
    </row>
    <row r="506" ht="19.5" customHeight="1" s="217">
      <c r="A506" s="378" t="inlineStr">
        <is>
          <t xml:space="preserve">  🏭  KOMATSU   ·   44 loại turbo</t>
        </is>
      </c>
      <c r="U506" s="216">
        <f>IF(AND('TRA CỨU TỔNG HỢP'!$B$3&lt;&gt;"",ISNUMBER(SEARCH('TRA CỨU TỔNG HỢP'!$B$3,T506))),MAX($U$3:U505)+1,"")</f>
        <v/>
      </c>
    </row>
    <row r="507" ht="15" customHeight="1" s="217">
      <c r="A507" s="379" t="inlineStr">
        <is>
          <t>KOMATSU</t>
        </is>
      </c>
      <c r="B507" s="380" t="n"/>
      <c r="C507" s="379" t="inlineStr">
        <is>
          <t>Holset</t>
        </is>
      </c>
      <c r="D507" s="379" t="inlineStr">
        <is>
          <t>H1C</t>
        </is>
      </c>
      <c r="E507" s="379" t="inlineStr">
        <is>
          <t>4BT 3.9/6B5.9</t>
        </is>
      </c>
      <c r="F507" s="381" t="inlineStr">
        <is>
          <t>3522900
3802290</t>
        </is>
      </c>
      <c r="G507" s="379" t="n"/>
      <c r="H507" s="382" t="n"/>
      <c r="I507" s="383" t="n"/>
      <c r="J507" s="383" t="n"/>
      <c r="K507" s="383" t="n"/>
      <c r="L507" s="383">
        <f>IF(K507="","",K507*1.1)</f>
        <v/>
      </c>
      <c r="M507" s="384" t="n">
        <v>73</v>
      </c>
      <c r="N507" s="384" t="n">
        <v>44</v>
      </c>
      <c r="O507" s="384" t="inlineStr">
        <is>
          <t>7/7</t>
        </is>
      </c>
      <c r="P507" s="384" t="n">
        <v>70</v>
      </c>
      <c r="Q507" s="384" t="n">
        <v>60</v>
      </c>
      <c r="R507" s="384" t="n">
        <v>12</v>
      </c>
      <c r="T507" s="346">
        <f>UPPER(A507&amp;" "&amp;B507&amp;" "&amp;D507&amp;" "&amp;E507&amp;" "&amp;F507&amp;" "&amp;G507&amp;" "&amp;H507)</f>
        <v/>
      </c>
      <c r="U507" s="216">
        <f>IF(AND('TRA CỨU TỔNG HỢP'!$B$3&lt;&gt;"",ISNUMBER(SEARCH('TRA CỨU TỔNG HỢP'!$B$3,T507))),MAX($U$3:U506)+1,"")</f>
        <v/>
      </c>
    </row>
    <row r="508" ht="15" customHeight="1" s="217">
      <c r="A508" s="340" t="inlineStr">
        <is>
          <t>KOMATSU</t>
        </is>
      </c>
      <c r="B508" s="341" t="inlineStr">
        <is>
          <t>HH083045</t>
        </is>
      </c>
      <c r="C508" s="340" t="inlineStr">
        <is>
          <t>IHI</t>
        </is>
      </c>
      <c r="D508" s="340" t="inlineStr">
        <is>
          <t>KTR130</t>
        </is>
      </c>
      <c r="E508" s="340" t="inlineStr">
        <is>
          <t>S6D155</t>
        </is>
      </c>
      <c r="F508" s="342" t="inlineStr">
        <is>
          <t>319032
6502-12-9005</t>
        </is>
      </c>
      <c r="G508" s="340" t="inlineStr">
        <is>
          <t>Komatsu D355</t>
        </is>
      </c>
      <c r="H508" s="343" t="inlineStr">
        <is>
          <t>SL</t>
        </is>
      </c>
      <c r="I508" s="344" t="n"/>
      <c r="J508" s="344" t="n"/>
      <c r="K508" s="344" t="n"/>
      <c r="L508" s="344">
        <f>IF(K508="","",K508*1.1)</f>
        <v/>
      </c>
      <c r="M508" s="345" t="n">
        <v>130</v>
      </c>
      <c r="N508" s="345" t="n">
        <v>80.59999999999999</v>
      </c>
      <c r="O508" s="345" t="inlineStr">
        <is>
          <t>8/8反</t>
        </is>
      </c>
      <c r="P508" s="345" t="n">
        <v>130</v>
      </c>
      <c r="Q508" s="345" t="n">
        <v>98</v>
      </c>
      <c r="R508" s="345" t="inlineStr">
        <is>
          <t>8/8反</t>
        </is>
      </c>
      <c r="T508" s="346">
        <f>UPPER(A508&amp;" "&amp;B508&amp;" "&amp;D508&amp;" "&amp;E508&amp;" "&amp;F508&amp;" "&amp;G508&amp;" "&amp;H508)</f>
        <v/>
      </c>
      <c r="U508" s="216">
        <f>IF(AND('TRA CỨU TỔNG HỢP'!$B$3&lt;&gt;"",ISNUMBER(SEARCH('TRA CỨU TỔNG HỢP'!$B$3,T508))),MAX($U$3:U507)+1,"")</f>
        <v/>
      </c>
    </row>
    <row r="509" ht="15" customHeight="1" s="217">
      <c r="A509" s="347" t="inlineStr">
        <is>
          <t>KOMATSU</t>
        </is>
      </c>
      <c r="B509" s="348" t="inlineStr">
        <is>
          <t>HH083442</t>
        </is>
      </c>
      <c r="C509" s="349" t="inlineStr">
        <is>
          <t>IHI</t>
        </is>
      </c>
      <c r="D509" s="349" t="inlineStr">
        <is>
          <t>KTR130</t>
        </is>
      </c>
      <c r="E509" s="349" t="inlineStr">
        <is>
          <t>S6D155</t>
        </is>
      </c>
      <c r="F509" s="350" t="inlineStr">
        <is>
          <t>319032
6502-12-9005</t>
        </is>
      </c>
      <c r="G509" s="349" t="inlineStr">
        <is>
          <t>Komatsu D355</t>
        </is>
      </c>
      <c r="H509" s="351" t="inlineStr">
        <is>
          <t>SL</t>
        </is>
      </c>
      <c r="I509" s="352" t="n"/>
      <c r="J509" s="352" t="n"/>
      <c r="K509" s="352" t="n"/>
      <c r="L509" s="352">
        <f>IF(K509="","",K509*1.1)</f>
        <v/>
      </c>
      <c r="M509" s="353" t="n">
        <v>130</v>
      </c>
      <c r="N509" s="353" t="n">
        <v>80.59999999999999</v>
      </c>
      <c r="O509" s="353" t="inlineStr">
        <is>
          <t>8/8反</t>
        </is>
      </c>
      <c r="P509" s="353" t="n">
        <v>130</v>
      </c>
      <c r="Q509" s="353" t="n">
        <v>98</v>
      </c>
      <c r="R509" s="353" t="inlineStr">
        <is>
          <t>8/8反</t>
        </is>
      </c>
      <c r="T509" s="346">
        <f>UPPER(A509&amp;" "&amp;B509&amp;" "&amp;D509&amp;" "&amp;E509&amp;" "&amp;F509&amp;" "&amp;G509&amp;" "&amp;H509)</f>
        <v/>
      </c>
      <c r="U509" s="216">
        <f>IF(AND('TRA CỨU TỔNG HỢP'!$B$3&lt;&gt;"",ISNUMBER(SEARCH('TRA CỨU TỔNG HỢP'!$B$3,T509))),MAX($U$3:U508)+1,"")</f>
        <v/>
      </c>
    </row>
    <row r="510" ht="15" customHeight="1" s="217">
      <c r="A510" s="354" t="inlineStr">
        <is>
          <t>KOMATSU</t>
        </is>
      </c>
      <c r="B510" s="355" t="inlineStr">
        <is>
          <t>HH074021</t>
        </is>
      </c>
      <c r="C510" s="354" t="inlineStr">
        <is>
          <t>Holset</t>
        </is>
      </c>
      <c r="D510" s="354" t="inlineStr">
        <is>
          <t>HX35W</t>
        </is>
      </c>
      <c r="E510" s="354" t="inlineStr">
        <is>
          <t>QSB/S6D107</t>
        </is>
      </c>
      <c r="F510" s="356" t="inlineStr">
        <is>
          <t>8C03-200-B80
6754-81-8190/ 6754-81-8120
4038597/4039630
4033282/4033282H
4955479/4039330
4039963/4043679
4043802/4046265
4955156/4038209/4042667</t>
        </is>
      </c>
      <c r="G510" s="354" t="n"/>
      <c r="H510" s="357" t="inlineStr">
        <is>
          <t>JRONE</t>
        </is>
      </c>
      <c r="I510" s="358" t="n"/>
      <c r="J510" s="358" t="n"/>
      <c r="K510" s="358" t="n"/>
      <c r="L510" s="358">
        <f>IF(K510="","",K510*1.1)</f>
        <v/>
      </c>
      <c r="M510" s="359" t="n">
        <v>83</v>
      </c>
      <c r="N510" s="359" t="n">
        <v>52</v>
      </c>
      <c r="O510" s="359" t="inlineStr">
        <is>
          <t>8/8</t>
        </is>
      </c>
      <c r="P510" s="359" t="n">
        <v>70</v>
      </c>
      <c r="Q510" s="359" t="n">
        <v>60</v>
      </c>
      <c r="R510" s="359" t="n">
        <v>12</v>
      </c>
      <c r="T510" s="346">
        <f>UPPER(A510&amp;" "&amp;B510&amp;" "&amp;D510&amp;" "&amp;E510&amp;" "&amp;F510&amp;" "&amp;G510&amp;" "&amp;H510)</f>
        <v/>
      </c>
      <c r="U510" s="216">
        <f>IF(AND('TRA CỨU TỔNG HỢP'!$B$3&lt;&gt;"",ISNUMBER(SEARCH('TRA CỨU TỔNG HỢP'!$B$3,T510))),MAX($U$3:U509)+1,"")</f>
        <v/>
      </c>
    </row>
    <row r="511" ht="15" customHeight="1" s="217">
      <c r="A511" s="354" t="inlineStr">
        <is>
          <t>KOMATSU</t>
        </is>
      </c>
      <c r="B511" s="355" t="inlineStr">
        <is>
          <t>HH075719</t>
        </is>
      </c>
      <c r="C511" s="354" t="inlineStr">
        <is>
          <t>Holset</t>
        </is>
      </c>
      <c r="D511" s="354" t="inlineStr">
        <is>
          <t>HX35</t>
        </is>
      </c>
      <c r="E511" s="354" t="inlineStr">
        <is>
          <t>QSB/S6D107/DL06</t>
        </is>
      </c>
      <c r="F511" s="356" t="inlineStr">
        <is>
          <t>8C03-100-B81
 6754-81-8090
4955155/4037469</t>
        </is>
      </c>
      <c r="G511" s="354" t="n"/>
      <c r="H511" s="357" t="n"/>
      <c r="I511" s="358" t="n"/>
      <c r="J511" s="358" t="n"/>
      <c r="K511" s="358" t="n"/>
      <c r="L511" s="358">
        <f>IF(K511="","",K511*1.1)</f>
        <v/>
      </c>
      <c r="M511" s="359" t="n">
        <v>83</v>
      </c>
      <c r="N511" s="359" t="n">
        <v>52</v>
      </c>
      <c r="O511" s="359" t="inlineStr">
        <is>
          <t>8/8</t>
        </is>
      </c>
      <c r="P511" s="359" t="n">
        <v>70</v>
      </c>
      <c r="Q511" s="359" t="n">
        <v>60</v>
      </c>
      <c r="R511" s="359" t="n">
        <v>12</v>
      </c>
      <c r="T511" s="346">
        <f>UPPER(A511&amp;" "&amp;B511&amp;" "&amp;D511&amp;" "&amp;E511&amp;" "&amp;F511&amp;" "&amp;G511&amp;" "&amp;H511)</f>
        <v/>
      </c>
      <c r="U511" s="216">
        <f>IF(AND('TRA CỨU TỔNG HỢP'!$B$3&lt;&gt;"",ISNUMBER(SEARCH('TRA CỨU TỔNG HỢP'!$B$3,T511))),MAX($U$3:U510)+1,"")</f>
        <v/>
      </c>
    </row>
    <row r="512" ht="15" customHeight="1" s="217">
      <c r="A512" s="367" t="inlineStr">
        <is>
          <t>KOMATSU</t>
        </is>
      </c>
      <c r="B512" s="368" t="n"/>
      <c r="C512" s="367" t="inlineStr">
        <is>
          <t>Holset</t>
        </is>
      </c>
      <c r="D512" s="367" t="inlineStr">
        <is>
          <t>H1C</t>
        </is>
      </c>
      <c r="E512" s="367" t="inlineStr">
        <is>
          <t>6BT</t>
        </is>
      </c>
      <c r="F512" s="369" t="inlineStr">
        <is>
          <t>3531696</t>
        </is>
      </c>
      <c r="G512" s="367" t="n"/>
      <c r="H512" s="370" t="n"/>
      <c r="I512" s="371" t="n"/>
      <c r="J512" s="371" t="n"/>
      <c r="K512" s="371" t="n"/>
      <c r="L512" s="371">
        <f>IF(K512="","",K512*1.1)</f>
        <v/>
      </c>
      <c r="M512" s="372" t="n"/>
      <c r="N512" s="372" t="n"/>
      <c r="O512" s="372" t="n"/>
      <c r="P512" s="372" t="n"/>
      <c r="Q512" s="372" t="n"/>
      <c r="R512" s="372" t="n"/>
      <c r="T512" s="216">
        <f>UPPER(A512&amp;" "&amp;B512&amp;" "&amp;D512&amp;" "&amp;E512&amp;" "&amp;F512&amp;" "&amp;G512&amp;" "&amp;H512)</f>
        <v/>
      </c>
      <c r="U512" s="216">
        <f>IF(AND('TRA CỨU TỔNG HỢP'!$B$3&lt;&gt;"",ISNUMBER(SEARCH('TRA CỨU TỔNG HỢP'!$B$3,T512))),MAX($U$3:U511)+1,"")</f>
        <v/>
      </c>
    </row>
    <row r="513" ht="15" customHeight="1" s="217">
      <c r="A513" s="354" t="inlineStr">
        <is>
          <t>KOMATSU</t>
        </is>
      </c>
      <c r="B513" s="355" t="inlineStr">
        <is>
          <t>HH082044</t>
        </is>
      </c>
      <c r="C513" s="354" t="inlineStr">
        <is>
          <t>Holset</t>
        </is>
      </c>
      <c r="D513" s="354" t="inlineStr">
        <is>
          <t>H1C</t>
        </is>
      </c>
      <c r="E513" s="354" t="inlineStr">
        <is>
          <t>4BT3.9</t>
        </is>
      </c>
      <c r="F513" s="356" t="n">
        <v>3535381</v>
      </c>
      <c r="G513" s="354" t="n"/>
      <c r="H513" s="357" t="inlineStr">
        <is>
          <t>0265</t>
        </is>
      </c>
      <c r="I513" s="358" t="n"/>
      <c r="J513" s="358" t="n"/>
      <c r="K513" s="358" t="n"/>
      <c r="L513" s="358">
        <f>IF(K513="","",K513*1.1)</f>
        <v/>
      </c>
      <c r="M513" s="359" t="n"/>
      <c r="N513" s="359" t="n"/>
      <c r="O513" s="359" t="n"/>
      <c r="P513" s="359" t="n"/>
      <c r="Q513" s="359" t="n"/>
      <c r="R513" s="359" t="n"/>
      <c r="T513" s="216">
        <f>UPPER(A513&amp;" "&amp;B513&amp;" "&amp;D513&amp;" "&amp;E513&amp;" "&amp;F513&amp;" "&amp;G513&amp;" "&amp;H513)</f>
        <v/>
      </c>
      <c r="U513" s="216">
        <f>IF(AND('TRA CỨU TỔNG HỢP'!$B$3&lt;&gt;"",ISNUMBER(SEARCH('TRA CỨU TỔNG HỢP'!$B$3,T513))),MAX($U$3:U512)+1,"")</f>
        <v/>
      </c>
    </row>
    <row r="514" ht="15" customHeight="1" s="217">
      <c r="A514" s="367" t="inlineStr">
        <is>
          <t>KOMATSU</t>
        </is>
      </c>
      <c r="B514" s="368" t="n"/>
      <c r="C514" s="367" t="inlineStr">
        <is>
          <t>Holset</t>
        </is>
      </c>
      <c r="D514" s="367" t="inlineStr">
        <is>
          <t>H1C</t>
        </is>
      </c>
      <c r="E514" s="367" t="inlineStr">
        <is>
          <t>4BTA</t>
        </is>
      </c>
      <c r="F514" s="369" t="n">
        <v>3523743</v>
      </c>
      <c r="G514" s="367" t="n"/>
      <c r="H514" s="370" t="n"/>
      <c r="I514" s="371" t="n"/>
      <c r="J514" s="371" t="n"/>
      <c r="K514" s="371" t="n"/>
      <c r="L514" s="371">
        <f>IF(K514="","",K514*1.1)</f>
        <v/>
      </c>
      <c r="M514" s="372" t="n"/>
      <c r="N514" s="372" t="n"/>
      <c r="O514" s="372" t="n"/>
      <c r="P514" s="372" t="n"/>
      <c r="Q514" s="372" t="n"/>
      <c r="R514" s="372" t="n"/>
      <c r="T514" s="216">
        <f>UPPER(A514&amp;" "&amp;B514&amp;" "&amp;D514&amp;" "&amp;E514&amp;" "&amp;F514&amp;" "&amp;G514&amp;" "&amp;H514)</f>
        <v/>
      </c>
      <c r="U514" s="216">
        <f>IF(AND('TRA CỨU TỔNG HỢP'!$B$3&lt;&gt;"",ISNUMBER(SEARCH('TRA CỨU TỔNG HỢP'!$B$3,T514))),MAX($U$3:U513)+1,"")</f>
        <v/>
      </c>
    </row>
    <row r="515" ht="15" customHeight="1" s="217">
      <c r="A515" s="340" t="inlineStr">
        <is>
          <t>KOMATSU</t>
        </is>
      </c>
      <c r="B515" s="341" t="inlineStr">
        <is>
          <t>HH082517</t>
        </is>
      </c>
      <c r="C515" s="340" t="inlineStr">
        <is>
          <t>Holset</t>
        </is>
      </c>
      <c r="D515" s="340" t="inlineStr">
        <is>
          <t>HE221W</t>
        </is>
      </c>
      <c r="E515" s="340" t="inlineStr">
        <is>
          <t>ISDE 140/ 4.5/ S4D107</t>
        </is>
      </c>
      <c r="F515" s="342" t="inlineStr">
        <is>
          <t>3781989</t>
        </is>
      </c>
      <c r="G515" s="340" t="n"/>
      <c r="H515" s="343" t="inlineStr">
        <is>
          <t>SL</t>
        </is>
      </c>
      <c r="I515" s="344" t="n"/>
      <c r="J515" s="344" t="n"/>
      <c r="K515" s="344" t="n"/>
      <c r="L515" s="344">
        <f>IF(K515="","",K515*1.1)</f>
        <v/>
      </c>
      <c r="M515" s="345" t="n"/>
      <c r="N515" s="345" t="n"/>
      <c r="O515" s="345" t="n"/>
      <c r="P515" s="345" t="n"/>
      <c r="Q515" s="345" t="n"/>
      <c r="R515" s="345" t="n"/>
      <c r="T515" s="216">
        <f>UPPER(A515&amp;" "&amp;B515&amp;" "&amp;D515&amp;" "&amp;E515&amp;" "&amp;F515&amp;" "&amp;G515&amp;" "&amp;H515)</f>
        <v/>
      </c>
      <c r="U515" s="216">
        <f>IF(AND('TRA CỨU TỔNG HỢP'!$B$3&lt;&gt;"",ISNUMBER(SEARCH('TRA CỨU TỔNG HỢP'!$B$3,T515))),MAX($U$3:U514)+1,"")</f>
        <v/>
      </c>
    </row>
    <row r="516" ht="15" customHeight="1" s="217">
      <c r="A516" s="347" t="inlineStr">
        <is>
          <t>KOMATSU</t>
        </is>
      </c>
      <c r="B516" s="348" t="inlineStr">
        <is>
          <t>HH082673</t>
        </is>
      </c>
      <c r="C516" s="349" t="inlineStr">
        <is>
          <t>Holset</t>
        </is>
      </c>
      <c r="D516" s="349" t="inlineStr">
        <is>
          <t>HE221W</t>
        </is>
      </c>
      <c r="E516" s="349" t="inlineStr">
        <is>
          <t>ISDE 140/ 4.5/ S4D107</t>
        </is>
      </c>
      <c r="F516" s="350" t="inlineStr">
        <is>
          <t>3781989</t>
        </is>
      </c>
      <c r="G516" s="349" t="n"/>
      <c r="H516" s="351" t="inlineStr">
        <is>
          <t>SL</t>
        </is>
      </c>
      <c r="I516" s="352" t="n"/>
      <c r="J516" s="352" t="n"/>
      <c r="K516" s="352" t="n"/>
      <c r="L516" s="352">
        <f>IF(K516="","",K516*1.1)</f>
        <v/>
      </c>
      <c r="M516" s="353" t="n"/>
      <c r="N516" s="353" t="n"/>
      <c r="O516" s="353" t="n"/>
      <c r="P516" s="353" t="n"/>
      <c r="Q516" s="353" t="n"/>
      <c r="R516" s="353" t="n"/>
      <c r="T516" s="216">
        <f>UPPER(A516&amp;" "&amp;B516&amp;" "&amp;D516&amp;" "&amp;E516&amp;" "&amp;F516&amp;" "&amp;G516&amp;" "&amp;H516)</f>
        <v/>
      </c>
      <c r="U516" s="216">
        <f>IF(AND('TRA CỨU TỔNG HỢP'!$B$3&lt;&gt;"",ISNUMBER(SEARCH('TRA CỨU TỔNG HỢP'!$B$3,T516))),MAX($U$3:U515)+1,"")</f>
        <v/>
      </c>
    </row>
    <row r="517" ht="15" customHeight="1" s="217">
      <c r="A517" s="354" t="inlineStr">
        <is>
          <t>KOMATSU</t>
        </is>
      </c>
      <c r="B517" s="355" t="inlineStr">
        <is>
          <t>HH075383</t>
        </is>
      </c>
      <c r="C517" s="354" t="inlineStr">
        <is>
          <t>Holset</t>
        </is>
      </c>
      <c r="D517" s="354" t="inlineStr">
        <is>
          <t>HE221W</t>
        </is>
      </c>
      <c r="E517" s="354" t="inlineStr">
        <is>
          <t>S4D107/QSB4.5</t>
        </is>
      </c>
      <c r="F517" s="356" t="inlineStr">
        <is>
          <t>318714
318632
6751-81-8050
8C02-200-H85</t>
        </is>
      </c>
      <c r="G517" s="354" t="n"/>
      <c r="H517" s="357" t="inlineStr">
        <is>
          <t>JRONE</t>
        </is>
      </c>
      <c r="I517" s="358" t="n"/>
      <c r="J517" s="358" t="n"/>
      <c r="K517" s="358" t="n"/>
      <c r="L517" s="358">
        <f>IF(K517="","",K517*1.1)</f>
        <v/>
      </c>
      <c r="M517" s="359" t="n"/>
      <c r="N517" s="359" t="n"/>
      <c r="O517" s="359" t="n"/>
      <c r="P517" s="359" t="n"/>
      <c r="Q517" s="359" t="n"/>
      <c r="R517" s="359" t="n"/>
      <c r="T517" s="346">
        <f>UPPER(A517&amp;" "&amp;B517&amp;" "&amp;D517&amp;" "&amp;E517&amp;" "&amp;F517&amp;" "&amp;G517&amp;" "&amp;H517)</f>
        <v/>
      </c>
      <c r="U517" s="216">
        <f>IF(AND('TRA CỨU TỔNG HỢP'!$B$3&lt;&gt;"",ISNUMBER(SEARCH('TRA CỨU TỔNG HỢP'!$B$3,T517))),MAX($U$3:U516)+1,"")</f>
        <v/>
      </c>
    </row>
    <row r="518" ht="15" customHeight="1" s="217">
      <c r="A518" s="354" t="inlineStr">
        <is>
          <t>KOMATSU</t>
        </is>
      </c>
      <c r="B518" s="355" t="inlineStr">
        <is>
          <t>HH083207</t>
        </is>
      </c>
      <c r="C518" s="354" t="inlineStr">
        <is>
          <t>BorgWarner</t>
        </is>
      </c>
      <c r="D518" s="354" t="inlineStr">
        <is>
          <t>S500</t>
        </is>
      </c>
      <c r="E518" s="354" t="n"/>
      <c r="F518" s="356" t="inlineStr">
        <is>
          <t>6240-81-8600
319167</t>
        </is>
      </c>
      <c r="G518" s="354" t="n"/>
      <c r="H518" s="357" t="inlineStr">
        <is>
          <t>MX</t>
        </is>
      </c>
      <c r="I518" s="358" t="n"/>
      <c r="J518" s="358" t="n"/>
      <c r="K518" s="358" t="n"/>
      <c r="L518" s="358">
        <f>IF(K518="","",K518*1.1)</f>
        <v/>
      </c>
      <c r="M518" s="359" t="n"/>
      <c r="N518" s="359" t="n"/>
      <c r="O518" s="359" t="n"/>
      <c r="P518" s="359" t="n"/>
      <c r="Q518" s="359" t="n"/>
      <c r="R518" s="359" t="n"/>
      <c r="T518" s="346">
        <f>UPPER(A518&amp;" "&amp;B518&amp;" "&amp;D518&amp;" "&amp;E518&amp;" "&amp;F518&amp;" "&amp;G518&amp;" "&amp;H518)</f>
        <v/>
      </c>
      <c r="U518" s="216">
        <f>IF(AND('TRA CỨU TỔNG HỢP'!$B$3&lt;&gt;"",ISNUMBER(SEARCH('TRA CỨU TỔNG HỢP'!$B$3,T518))),MAX($U$3:U517)+1,"")</f>
        <v/>
      </c>
    </row>
    <row r="519" ht="15" customHeight="1" s="217">
      <c r="A519" s="379" t="inlineStr">
        <is>
          <t>KOMATSU</t>
        </is>
      </c>
      <c r="B519" s="380" t="n"/>
      <c r="C519" s="379" t="inlineStr">
        <is>
          <t>Holset</t>
        </is>
      </c>
      <c r="D519" s="379" t="inlineStr">
        <is>
          <t>HX35W</t>
        </is>
      </c>
      <c r="E519" s="379" t="n"/>
      <c r="F519" s="381" t="inlineStr">
        <is>
          <t>3960454
3960408</t>
        </is>
      </c>
      <c r="G519" s="379" t="n"/>
      <c r="H519" s="382" t="n"/>
      <c r="I519" s="383" t="n"/>
      <c r="J519" s="383" t="n"/>
      <c r="K519" s="383" t="n"/>
      <c r="L519" s="383">
        <f>IF(K519="","",K519*1.1)</f>
        <v/>
      </c>
      <c r="M519" s="384" t="n"/>
      <c r="N519" s="384" t="n"/>
      <c r="O519" s="384" t="n"/>
      <c r="P519" s="384" t="n"/>
      <c r="Q519" s="384" t="n"/>
      <c r="R519" s="384" t="n"/>
      <c r="T519" s="346">
        <f>UPPER(A519&amp;" "&amp;B519&amp;" "&amp;D519&amp;" "&amp;E519&amp;" "&amp;F519&amp;" "&amp;G519&amp;" "&amp;H519)</f>
        <v/>
      </c>
      <c r="U519" s="216">
        <f>IF(AND('TRA CỨU TỔNG HỢP'!$B$3&lt;&gt;"",ISNUMBER(SEARCH('TRA CỨU TỔNG HỢP'!$B$3,T519))),MAX($U$3:U518)+1,"")</f>
        <v/>
      </c>
    </row>
    <row r="520" ht="15" customHeight="1" s="217">
      <c r="A520" s="354" t="inlineStr">
        <is>
          <t>KOMATSU</t>
        </is>
      </c>
      <c r="B520" s="355" t="inlineStr">
        <is>
          <t>HH079267</t>
        </is>
      </c>
      <c r="C520" s="354" t="inlineStr">
        <is>
          <t>Holset</t>
        </is>
      </c>
      <c r="D520" s="354" t="inlineStr">
        <is>
          <t>HX40W</t>
        </is>
      </c>
      <c r="E520" s="354" t="inlineStr">
        <is>
          <t>6CT</t>
        </is>
      </c>
      <c r="F520" s="356" t="n">
        <v>4029184</v>
      </c>
      <c r="G520" s="354" t="n"/>
      <c r="H520" s="357" t="inlineStr">
        <is>
          <t>VIDARIR</t>
        </is>
      </c>
      <c r="I520" s="358" t="n"/>
      <c r="J520" s="358" t="n"/>
      <c r="K520" s="358" t="n"/>
      <c r="L520" s="358">
        <f>IF(K520="","",K520*1.1)</f>
        <v/>
      </c>
      <c r="M520" s="359" t="n"/>
      <c r="N520" s="359" t="n"/>
      <c r="O520" s="359" t="n"/>
      <c r="P520" s="359" t="n"/>
      <c r="Q520" s="359" t="n"/>
      <c r="R520" s="359" t="n"/>
      <c r="T520" s="216">
        <f>UPPER(A520&amp;" "&amp;B520&amp;" "&amp;D520&amp;" "&amp;E520&amp;" "&amp;F520&amp;" "&amp;G520&amp;" "&amp;H520)</f>
        <v/>
      </c>
      <c r="U520" s="216">
        <f>IF(AND('TRA CỨU TỔNG HỢP'!$B$3&lt;&gt;"",ISNUMBER(SEARCH('TRA CỨU TỔNG HỢP'!$B$3,T520))),MAX($U$3:U519)+1,"")</f>
        <v/>
      </c>
    </row>
    <row r="521" ht="15" customHeight="1" s="217">
      <c r="A521" s="340" t="inlineStr">
        <is>
          <t>KOMATSU</t>
        </is>
      </c>
      <c r="B521" s="341" t="inlineStr">
        <is>
          <t>HH070599</t>
        </is>
      </c>
      <c r="C521" s="340" t="inlineStr">
        <is>
          <t>Garrett</t>
        </is>
      </c>
      <c r="D521" s="340" t="inlineStr">
        <is>
          <t>TO4B59</t>
        </is>
      </c>
      <c r="E521" s="340" t="inlineStr">
        <is>
          <t>S6D95/4D105</t>
        </is>
      </c>
      <c r="F521" s="342" t="inlineStr">
        <is>
          <t>465044-0051/312875
6207-81-8210
6207-81-8220</t>
        </is>
      </c>
      <c r="G521" s="340" t="n"/>
      <c r="H521" s="343" t="inlineStr">
        <is>
          <t>SL</t>
        </is>
      </c>
      <c r="I521" s="344" t="n"/>
      <c r="J521" s="344" t="n"/>
      <c r="K521" s="344" t="n"/>
      <c r="L521" s="344">
        <f>IF(K521="","",K521*1.1)</f>
        <v/>
      </c>
      <c r="M521" s="345" t="n">
        <v>70</v>
      </c>
      <c r="N521" s="345" t="n">
        <v>43.7</v>
      </c>
      <c r="O521" s="345" t="inlineStr">
        <is>
          <t>8/8</t>
        </is>
      </c>
      <c r="P521" s="345" t="n">
        <v>74.2</v>
      </c>
      <c r="Q521" s="345" t="n">
        <v>58.2</v>
      </c>
      <c r="R521" s="345" t="n">
        <v>11</v>
      </c>
      <c r="T521" s="346">
        <f>UPPER(A521&amp;" "&amp;B521&amp;" "&amp;D521&amp;" "&amp;E521&amp;" "&amp;F521&amp;" "&amp;G521&amp;" "&amp;H521)</f>
        <v/>
      </c>
      <c r="U521" s="216">
        <f>IF(AND('TRA CỨU TỔNG HỢP'!$B$3&lt;&gt;"",ISNUMBER(SEARCH('TRA CỨU TỔNG HỢP'!$B$3,T521))),MAX($U$3:U520)+1,"")</f>
        <v/>
      </c>
    </row>
    <row r="522" ht="15" customHeight="1" s="217">
      <c r="A522" s="347" t="inlineStr">
        <is>
          <t>KOMATSU</t>
        </is>
      </c>
      <c r="B522" s="348" t="inlineStr">
        <is>
          <t>HH079999</t>
        </is>
      </c>
      <c r="C522" s="349" t="inlineStr">
        <is>
          <t>Garrett</t>
        </is>
      </c>
      <c r="D522" s="349" t="inlineStr">
        <is>
          <t>TO4B59</t>
        </is>
      </c>
      <c r="E522" s="349" t="inlineStr">
        <is>
          <t>S6D95/4D105</t>
        </is>
      </c>
      <c r="F522" s="350" t="inlineStr">
        <is>
          <t>465044-0051/312875
6207-81-8210
6207-81-8220</t>
        </is>
      </c>
      <c r="G522" s="349" t="n"/>
      <c r="H522" s="351" t="inlineStr">
        <is>
          <t>SL</t>
        </is>
      </c>
      <c r="I522" s="352" t="n"/>
      <c r="J522" s="352" t="n"/>
      <c r="K522" s="352" t="n"/>
      <c r="L522" s="352">
        <f>IF(K522="","",K522*1.1)</f>
        <v/>
      </c>
      <c r="M522" s="353" t="n">
        <v>70</v>
      </c>
      <c r="N522" s="353" t="n">
        <v>43.7</v>
      </c>
      <c r="O522" s="353" t="inlineStr">
        <is>
          <t>8/8</t>
        </is>
      </c>
      <c r="P522" s="353" t="n">
        <v>74.2</v>
      </c>
      <c r="Q522" s="353" t="n">
        <v>58.2</v>
      </c>
      <c r="R522" s="353" t="n">
        <v>11</v>
      </c>
      <c r="T522" s="346">
        <f>UPPER(A522&amp;" "&amp;B522&amp;" "&amp;D522&amp;" "&amp;E522&amp;" "&amp;F522&amp;" "&amp;G522&amp;" "&amp;H522)</f>
        <v/>
      </c>
      <c r="U522" s="216">
        <f>IF(AND('TRA CỨU TỔNG HỢP'!$B$3&lt;&gt;"",ISNUMBER(SEARCH('TRA CỨU TỔNG HỢP'!$B$3,T522))),MAX($U$3:U521)+1,"")</f>
        <v/>
      </c>
    </row>
    <row r="523" ht="15" customHeight="1" s="217">
      <c r="A523" s="354" t="inlineStr">
        <is>
          <t>KOMATSU</t>
        </is>
      </c>
      <c r="B523" s="355" t="inlineStr">
        <is>
          <t>HH070600</t>
        </is>
      </c>
      <c r="C523" s="354" t="inlineStr">
        <is>
          <t>Garrett</t>
        </is>
      </c>
      <c r="D523" s="354" t="inlineStr">
        <is>
          <t>TO4B59</t>
        </is>
      </c>
      <c r="E523" s="354" t="inlineStr">
        <is>
          <t>S6D105-1/4D105/S6D110</t>
        </is>
      </c>
      <c r="F523" s="356" t="inlineStr">
        <is>
          <t>6137-82-8200/465269-0002/465269-0001
465269-0004/465269-0006/465269-0007</t>
        </is>
      </c>
      <c r="G523" s="354" t="n"/>
      <c r="H523" s="357" t="inlineStr">
        <is>
          <t>SL</t>
        </is>
      </c>
      <c r="I523" s="358" t="n"/>
      <c r="J523" s="358" t="n"/>
      <c r="K523" s="358" t="n"/>
      <c r="L523" s="358">
        <f>IF(K523="","",K523*1.1)</f>
        <v/>
      </c>
      <c r="M523" s="359" t="n">
        <v>70</v>
      </c>
      <c r="N523" s="359" t="n">
        <v>45.7</v>
      </c>
      <c r="O523" s="359" t="inlineStr">
        <is>
          <t>8/8</t>
        </is>
      </c>
      <c r="P523" s="359" t="n">
        <v>74.2</v>
      </c>
      <c r="Q523" s="359" t="n">
        <v>64.5</v>
      </c>
      <c r="R523" s="359" t="n">
        <v>11</v>
      </c>
      <c r="T523" s="346">
        <f>UPPER(A523&amp;" "&amp;B523&amp;" "&amp;D523&amp;" "&amp;E523&amp;" "&amp;F523&amp;" "&amp;G523&amp;" "&amp;H523)</f>
        <v/>
      </c>
      <c r="U523" s="216">
        <f>IF(AND('TRA CỨU TỔNG HỢP'!$B$3&lt;&gt;"",ISNUMBER(SEARCH('TRA CỨU TỔNG HỢP'!$B$3,T523))),MAX($U$3:U522)+1,"")</f>
        <v/>
      </c>
    </row>
    <row r="524" ht="15" customHeight="1" s="217">
      <c r="A524" s="340" t="inlineStr">
        <is>
          <t>KOMATSU</t>
        </is>
      </c>
      <c r="B524" s="341" t="inlineStr">
        <is>
          <t>HH070601</t>
        </is>
      </c>
      <c r="C524" s="340" t="inlineStr">
        <is>
          <t>Garrett</t>
        </is>
      </c>
      <c r="D524" s="340" t="inlineStr">
        <is>
          <t>TA3137</t>
        </is>
      </c>
      <c r="E524" s="340" t="inlineStr">
        <is>
          <t>S6D95</t>
        </is>
      </c>
      <c r="F524" s="342" t="inlineStr">
        <is>
          <t>6207-81-8331</t>
        </is>
      </c>
      <c r="G524" s="340" t="n"/>
      <c r="H524" s="343" t="inlineStr">
        <is>
          <t>SL</t>
        </is>
      </c>
      <c r="I524" s="344" t="n"/>
      <c r="J524" s="344" t="n"/>
      <c r="K524" s="344" t="n"/>
      <c r="L524" s="344">
        <f>IF(K524="","",K524*1.1)</f>
        <v/>
      </c>
      <c r="M524" s="345" t="n">
        <v>63</v>
      </c>
      <c r="N524" s="345" t="n">
        <v>39.8</v>
      </c>
      <c r="O524" s="345" t="inlineStr">
        <is>
          <t>6/6</t>
        </is>
      </c>
      <c r="P524" s="345" t="n">
        <v>61.4</v>
      </c>
      <c r="Q524" s="345" t="n">
        <v>52.2</v>
      </c>
      <c r="R524" s="345" t="n">
        <v>10</v>
      </c>
      <c r="T524" s="216">
        <f>UPPER(A524&amp;" "&amp;B524&amp;" "&amp;D524&amp;" "&amp;E524&amp;" "&amp;F524&amp;" "&amp;G524&amp;" "&amp;H524)</f>
        <v/>
      </c>
      <c r="U524" s="216">
        <f>IF(AND('TRA CỨU TỔNG HỢP'!$B$3&lt;&gt;"",ISNUMBER(SEARCH('TRA CỨU TỔNG HỢP'!$B$3,T524))),MAX($U$3:U523)+1,"")</f>
        <v/>
      </c>
    </row>
    <row r="525" ht="15" customHeight="1" s="217">
      <c r="A525" s="347" t="inlineStr">
        <is>
          <t>KOMATSU</t>
        </is>
      </c>
      <c r="B525" s="348" t="inlineStr">
        <is>
          <t>HH080017</t>
        </is>
      </c>
      <c r="C525" s="349" t="inlineStr">
        <is>
          <t>Garrett</t>
        </is>
      </c>
      <c r="D525" s="349" t="inlineStr">
        <is>
          <t>TA3137</t>
        </is>
      </c>
      <c r="E525" s="349" t="inlineStr">
        <is>
          <t>S6D95</t>
        </is>
      </c>
      <c r="F525" s="350" t="inlineStr">
        <is>
          <t>6207-81-8331</t>
        </is>
      </c>
      <c r="G525" s="349" t="n"/>
      <c r="H525" s="351" t="inlineStr">
        <is>
          <t>SL</t>
        </is>
      </c>
      <c r="I525" s="352" t="n"/>
      <c r="J525" s="352" t="n"/>
      <c r="K525" s="352" t="n"/>
      <c r="L525" s="352">
        <f>IF(K525="","",K525*1.1)</f>
        <v/>
      </c>
      <c r="M525" s="353" t="n">
        <v>63</v>
      </c>
      <c r="N525" s="353" t="n">
        <v>39.8</v>
      </c>
      <c r="O525" s="353" t="inlineStr">
        <is>
          <t>6/6</t>
        </is>
      </c>
      <c r="P525" s="353" t="n">
        <v>61.4</v>
      </c>
      <c r="Q525" s="353" t="n">
        <v>52.2</v>
      </c>
      <c r="R525" s="353" t="n">
        <v>10</v>
      </c>
      <c r="T525" s="216">
        <f>UPPER(A525&amp;" "&amp;B525&amp;" "&amp;D525&amp;" "&amp;E525&amp;" "&amp;F525&amp;" "&amp;G525&amp;" "&amp;H525)</f>
        <v/>
      </c>
      <c r="U525" s="216">
        <f>IF(AND('TRA CỨU TỔNG HỢP'!$B$3&lt;&gt;"",ISNUMBER(SEARCH('TRA CỨU TỔNG HỢP'!$B$3,T525))),MAX($U$3:U524)+1,"")</f>
        <v/>
      </c>
    </row>
    <row r="526" ht="15" customHeight="1" s="217">
      <c r="A526" s="340" t="inlineStr">
        <is>
          <t>KOMATSU</t>
        </is>
      </c>
      <c r="B526" s="341" t="inlineStr">
        <is>
          <t>HH077137</t>
        </is>
      </c>
      <c r="C526" s="340" t="inlineStr">
        <is>
          <t>Holset</t>
        </is>
      </c>
      <c r="D526" s="340" t="inlineStr">
        <is>
          <t>HX35</t>
        </is>
      </c>
      <c r="E526" s="340" t="inlineStr">
        <is>
          <t>S6D102</t>
        </is>
      </c>
      <c r="F526" s="342" t="inlineStr">
        <is>
          <t>3539697
6735-81-8201/6735-81-8301/6735-81-8401
3580902/3539697/3787001/3539700/3804877
8C03-100-B77</t>
        </is>
      </c>
      <c r="G526" s="340" t="n"/>
      <c r="H526" s="343" t="inlineStr">
        <is>
          <t>JRONE</t>
        </is>
      </c>
      <c r="I526" s="344" t="n"/>
      <c r="J526" s="344" t="n"/>
      <c r="K526" s="344" t="n"/>
      <c r="L526" s="344">
        <f>IF(K526="","",K526*1.1)</f>
        <v/>
      </c>
      <c r="M526" s="345" t="n">
        <v>83</v>
      </c>
      <c r="N526" s="345" t="n">
        <v>52</v>
      </c>
      <c r="O526" s="345" t="inlineStr">
        <is>
          <t>8/8</t>
        </is>
      </c>
      <c r="P526" s="345" t="n">
        <v>70</v>
      </c>
      <c r="Q526" s="345" t="n">
        <v>60</v>
      </c>
      <c r="R526" s="345" t="n">
        <v>12</v>
      </c>
      <c r="T526" s="346">
        <f>UPPER(A526&amp;" "&amp;B526&amp;" "&amp;D526&amp;" "&amp;E526&amp;" "&amp;F526&amp;" "&amp;G526&amp;" "&amp;H526)</f>
        <v/>
      </c>
      <c r="U526" s="216">
        <f>IF(AND('TRA CỨU TỔNG HỢP'!$B$3&lt;&gt;"",ISNUMBER(SEARCH('TRA CỨU TỔNG HỢP'!$B$3,T526))),MAX($U$3:U525)+1,"")</f>
        <v/>
      </c>
    </row>
    <row r="527" ht="15" customHeight="1" s="217">
      <c r="A527" s="347" t="inlineStr">
        <is>
          <t>KOMATSU</t>
        </is>
      </c>
      <c r="B527" s="348" t="inlineStr">
        <is>
          <t>HH071470</t>
        </is>
      </c>
      <c r="C527" s="349" t="inlineStr">
        <is>
          <t>Holset</t>
        </is>
      </c>
      <c r="D527" s="349" t="inlineStr">
        <is>
          <t>HX35</t>
        </is>
      </c>
      <c r="E527" s="349" t="inlineStr">
        <is>
          <t>S6D102</t>
        </is>
      </c>
      <c r="F527" s="350" t="inlineStr">
        <is>
          <t>3539697
6735-81-8201/6735-81-8301/6735-81-8401
3580902/3539697/3787001/3539700/3804877
8C03-100-B77</t>
        </is>
      </c>
      <c r="G527" s="349" t="n"/>
      <c r="H527" s="351" t="inlineStr">
        <is>
          <t>SL</t>
        </is>
      </c>
      <c r="I527" s="352" t="n"/>
      <c r="J527" s="352" t="n"/>
      <c r="K527" s="352" t="n"/>
      <c r="L527" s="352">
        <f>IF(K527="","",K527*1.1)</f>
        <v/>
      </c>
      <c r="M527" s="353" t="n">
        <v>83</v>
      </c>
      <c r="N527" s="353" t="n">
        <v>52</v>
      </c>
      <c r="O527" s="353" t="inlineStr">
        <is>
          <t>8/8</t>
        </is>
      </c>
      <c r="P527" s="353" t="n">
        <v>70</v>
      </c>
      <c r="Q527" s="353" t="n">
        <v>60</v>
      </c>
      <c r="R527" s="353" t="n">
        <v>12</v>
      </c>
      <c r="T527" s="346">
        <f>UPPER(A527&amp;" "&amp;B527&amp;" "&amp;D527&amp;" "&amp;E527&amp;" "&amp;F527&amp;" "&amp;G527&amp;" "&amp;H527)</f>
        <v/>
      </c>
      <c r="U527" s="216">
        <f>IF(AND('TRA CỨU TỔNG HỢP'!$B$3&lt;&gt;"",ISNUMBER(SEARCH('TRA CỨU TỔNG HỢP'!$B$3,T527))),MAX($U$3:U526)+1,"")</f>
        <v/>
      </c>
    </row>
    <row r="528" ht="15" customHeight="1" s="217">
      <c r="A528" s="340" t="inlineStr">
        <is>
          <t>KOMATSU</t>
        </is>
      </c>
      <c r="B528" s="341" t="inlineStr">
        <is>
          <t>HH074615</t>
        </is>
      </c>
      <c r="C528" s="340" t="inlineStr">
        <is>
          <t>Holset</t>
        </is>
      </c>
      <c r="D528" s="340" t="inlineStr">
        <is>
          <t>H1C</t>
        </is>
      </c>
      <c r="E528" s="340" t="inlineStr">
        <is>
          <t>6BT</t>
        </is>
      </c>
      <c r="F528" s="342" t="inlineStr">
        <is>
          <t>3528741
3522777 3522778
3802289/J919121/J907029
J919117/J907028/J919115
J919113/J907026/3528742
3535414/3535419/3535417
3535418/3535416/3538188
3535415/3535420/3535454
3530714/3535421
3528741/3530772</t>
        </is>
      </c>
      <c r="G528" s="340" t="n"/>
      <c r="H528" s="343" t="inlineStr">
        <is>
          <t>SL</t>
        </is>
      </c>
      <c r="I528" s="344" t="n"/>
      <c r="J528" s="344" t="n"/>
      <c r="K528" s="344" t="n"/>
      <c r="L528" s="344">
        <f>IF(K528="","",K528*1.1)</f>
        <v/>
      </c>
      <c r="M528" s="345" t="n"/>
      <c r="N528" s="345" t="n"/>
      <c r="O528" s="345" t="n"/>
      <c r="P528" s="345" t="n"/>
      <c r="Q528" s="345" t="n"/>
      <c r="R528" s="345" t="n"/>
      <c r="T528" s="346">
        <f>UPPER(A528&amp;" "&amp;B528&amp;" "&amp;D528&amp;" "&amp;E528&amp;" "&amp;F528&amp;" "&amp;G528&amp;" "&amp;H528)</f>
        <v/>
      </c>
      <c r="U528" s="216">
        <f>IF(AND('TRA CỨU TỔNG HỢP'!$B$3&lt;&gt;"",ISNUMBER(SEARCH('TRA CỨU TỔNG HỢP'!$B$3,T528))),MAX($U$3:U527)+1,"")</f>
        <v/>
      </c>
    </row>
    <row r="529" ht="15" customHeight="1" s="217">
      <c r="A529" s="347" t="inlineStr">
        <is>
          <t>KOMATSU</t>
        </is>
      </c>
      <c r="B529" s="348" t="inlineStr">
        <is>
          <t>HH079973</t>
        </is>
      </c>
      <c r="C529" s="349" t="inlineStr">
        <is>
          <t>Holset</t>
        </is>
      </c>
      <c r="D529" s="349" t="inlineStr">
        <is>
          <t>H1C</t>
        </is>
      </c>
      <c r="E529" s="349" t="inlineStr">
        <is>
          <t>6BT</t>
        </is>
      </c>
      <c r="F529" s="350" t="inlineStr">
        <is>
          <t>3528741
3522777 3522778
3802289/J919121/J907029
J919117/J907028/J919115
J919113/J907026/3528742
3535414/3535419/3535417
3535418/3535416/3538188
3535415/3535420/3535454
3530714/3535421
3528741/3530772</t>
        </is>
      </c>
      <c r="G529" s="349" t="n"/>
      <c r="H529" s="351" t="inlineStr">
        <is>
          <t>SL</t>
        </is>
      </c>
      <c r="I529" s="352" t="n"/>
      <c r="J529" s="352" t="n"/>
      <c r="K529" s="352" t="n"/>
      <c r="L529" s="352">
        <f>IF(K529="","",K529*1.1)</f>
        <v/>
      </c>
      <c r="M529" s="353" t="n"/>
      <c r="N529" s="353" t="n"/>
      <c r="O529" s="353" t="n"/>
      <c r="P529" s="353" t="n"/>
      <c r="Q529" s="353" t="n"/>
      <c r="R529" s="353" t="n"/>
      <c r="T529" s="346">
        <f>UPPER(A529&amp;" "&amp;B529&amp;" "&amp;D529&amp;" "&amp;E529&amp;" "&amp;F529&amp;" "&amp;G529&amp;" "&amp;H529)</f>
        <v/>
      </c>
      <c r="U529" s="216">
        <f>IF(AND('TRA CỨU TỔNG HỢP'!$B$3&lt;&gt;"",ISNUMBER(SEARCH('TRA CỨU TỔNG HỢP'!$B$3,T529))),MAX($U$3:U528)+1,"")</f>
        <v/>
      </c>
    </row>
    <row r="530" ht="15" customHeight="1" s="217">
      <c r="A530" s="367" t="inlineStr">
        <is>
          <t>KOMATSU</t>
        </is>
      </c>
      <c r="B530" s="368" t="n"/>
      <c r="C530" s="367" t="inlineStr">
        <is>
          <t>Holset</t>
        </is>
      </c>
      <c r="D530" s="367" t="inlineStr">
        <is>
          <t>HX35W</t>
        </is>
      </c>
      <c r="E530" s="367" t="inlineStr">
        <is>
          <t>S6D102E-2</t>
        </is>
      </c>
      <c r="F530" s="369" t="inlineStr">
        <is>
          <t>4038471
3596629
6738-81-8181
6738-81-8190</t>
        </is>
      </c>
      <c r="G530" s="367" t="n"/>
      <c r="H530" s="370" t="n"/>
      <c r="I530" s="371" t="n"/>
      <c r="J530" s="371" t="n"/>
      <c r="K530" s="371" t="n"/>
      <c r="L530" s="371">
        <f>IF(K530="","",K530*1.1)</f>
        <v/>
      </c>
      <c r="M530" s="372" t="n">
        <v>83</v>
      </c>
      <c r="N530" s="372" t="n">
        <v>54</v>
      </c>
      <c r="O530" s="372" t="inlineStr">
        <is>
          <t>7/7</t>
        </is>
      </c>
      <c r="P530" s="372" t="n">
        <v>70</v>
      </c>
      <c r="Q530" s="372" t="n">
        <v>60</v>
      </c>
      <c r="R530" s="372" t="n">
        <v>12</v>
      </c>
      <c r="T530" s="346">
        <f>UPPER(A530&amp;" "&amp;B530&amp;" "&amp;D530&amp;" "&amp;E530&amp;" "&amp;F530&amp;" "&amp;G530&amp;" "&amp;H530)</f>
        <v/>
      </c>
      <c r="U530" s="216">
        <f>IF(AND('TRA CỨU TỔNG HỢP'!$B$3&lt;&gt;"",ISNUMBER(SEARCH('TRA CỨU TỔNG HỢP'!$B$3,T530))),MAX($U$3:U529)+1,"")</f>
        <v/>
      </c>
    </row>
    <row r="531" ht="15" customHeight="1" s="217">
      <c r="A531" s="379" t="inlineStr">
        <is>
          <t>KOMATSU</t>
        </is>
      </c>
      <c r="B531" s="380" t="n"/>
      <c r="C531" s="379" t="inlineStr">
        <is>
          <t>Holset</t>
        </is>
      </c>
      <c r="D531" s="379" t="inlineStr">
        <is>
          <t>HX35</t>
        </is>
      </c>
      <c r="E531" s="379" t="inlineStr">
        <is>
          <t>S6D102E</t>
        </is>
      </c>
      <c r="F531" s="381" t="inlineStr">
        <is>
          <t>6738-82-8220</t>
        </is>
      </c>
      <c r="G531" s="379" t="n"/>
      <c r="H531" s="382" t="n"/>
      <c r="I531" s="383" t="n"/>
      <c r="J531" s="383" t="n"/>
      <c r="K531" s="383" t="n"/>
      <c r="L531" s="383">
        <f>IF(K531="","",K531*1.1)</f>
        <v/>
      </c>
      <c r="M531" s="384" t="n">
        <v>83</v>
      </c>
      <c r="N531" s="384" t="n">
        <v>52</v>
      </c>
      <c r="O531" s="384" t="inlineStr">
        <is>
          <t>8/8</t>
        </is>
      </c>
      <c r="P531" s="384" t="n">
        <v>70</v>
      </c>
      <c r="Q531" s="384" t="n">
        <v>60</v>
      </c>
      <c r="R531" s="384" t="n">
        <v>12</v>
      </c>
      <c r="T531" s="216">
        <f>UPPER(A531&amp;" "&amp;B531&amp;" "&amp;D531&amp;" "&amp;E531&amp;" "&amp;F531&amp;" "&amp;G531&amp;" "&amp;H531)</f>
        <v/>
      </c>
      <c r="U531" s="216">
        <f>IF(AND('TRA CỨU TỔNG HỢP'!$B$3&lt;&gt;"",ISNUMBER(SEARCH('TRA CỨU TỔNG HỢP'!$B$3,T531))),MAX($U$3:U530)+1,"")</f>
        <v/>
      </c>
    </row>
    <row r="532" ht="15" customHeight="1" s="217">
      <c r="A532" s="354" t="inlineStr">
        <is>
          <t>KOMATSU</t>
        </is>
      </c>
      <c r="B532" s="355" t="inlineStr">
        <is>
          <t>HH074022</t>
        </is>
      </c>
      <c r="C532" s="354" t="inlineStr">
        <is>
          <t>Holset</t>
        </is>
      </c>
      <c r="D532" s="354" t="inlineStr">
        <is>
          <t>HX35W</t>
        </is>
      </c>
      <c r="E532" s="354" t="inlineStr">
        <is>
          <t>6BTA</t>
        </is>
      </c>
      <c r="F532" s="356" t="inlineStr">
        <is>
          <t>4035253
8C03-200-E61
3960478</t>
        </is>
      </c>
      <c r="G532" s="354" t="n"/>
      <c r="H532" s="357" t="inlineStr">
        <is>
          <t>JRONE</t>
        </is>
      </c>
      <c r="I532" s="358" t="n"/>
      <c r="J532" s="358" t="n"/>
      <c r="K532" s="358" t="n"/>
      <c r="L532" s="358">
        <f>IF(K532="","",K532*1.1)</f>
        <v/>
      </c>
      <c r="M532" s="359" t="n">
        <v>78</v>
      </c>
      <c r="N532" s="359" t="n">
        <v>54</v>
      </c>
      <c r="O532" s="359" t="inlineStr">
        <is>
          <t>7/7</t>
        </is>
      </c>
      <c r="P532" s="359" t="n">
        <v>70</v>
      </c>
      <c r="Q532" s="359" t="n">
        <v>60</v>
      </c>
      <c r="R532" s="359" t="n">
        <v>12</v>
      </c>
      <c r="T532" s="346">
        <f>UPPER(A532&amp;" "&amp;B532&amp;" "&amp;D532&amp;" "&amp;E532&amp;" "&amp;F532&amp;" "&amp;G532&amp;" "&amp;H532)</f>
        <v/>
      </c>
      <c r="U532" s="216">
        <f>IF(AND('TRA CỨU TỔNG HỢP'!$B$3&lt;&gt;"",ISNUMBER(SEARCH('TRA CỨU TỔNG HỢP'!$B$3,T532))),MAX($U$3:U531)+1,"")</f>
        <v/>
      </c>
    </row>
    <row r="533" ht="15" customHeight="1" s="217">
      <c r="A533" s="340" t="inlineStr">
        <is>
          <t>KOMATSU</t>
        </is>
      </c>
      <c r="B533" s="341" t="inlineStr">
        <is>
          <t>HH082162</t>
        </is>
      </c>
      <c r="C533" s="340" t="inlineStr">
        <is>
          <t>Garrett</t>
        </is>
      </c>
      <c r="D533" s="340" t="inlineStr">
        <is>
          <t>T04E08</t>
        </is>
      </c>
      <c r="E533" s="340" t="inlineStr">
        <is>
          <t>D65EX-12</t>
        </is>
      </c>
      <c r="F533" s="342" t="inlineStr">
        <is>
          <t>466704-0213
8G04-100-M10
 6151-82-8500/466704-0213</t>
        </is>
      </c>
      <c r="G533" s="340" t="n"/>
      <c r="H533" s="343" t="inlineStr">
        <is>
          <t>JRONE</t>
        </is>
      </c>
      <c r="I533" s="344" t="n"/>
      <c r="J533" s="344" t="n"/>
      <c r="K533" s="344" t="n"/>
      <c r="L533" s="344">
        <f>IF(K533="","",K533*1.1)</f>
        <v/>
      </c>
      <c r="M533" s="345" t="n"/>
      <c r="N533" s="345" t="n"/>
      <c r="O533" s="345" t="n"/>
      <c r="P533" s="345" t="n"/>
      <c r="Q533" s="345" t="n"/>
      <c r="R533" s="345" t="n"/>
      <c r="T533" s="346">
        <f>UPPER(A533&amp;" "&amp;B533&amp;" "&amp;D533&amp;" "&amp;E533&amp;" "&amp;F533&amp;" "&amp;G533&amp;" "&amp;H533)</f>
        <v/>
      </c>
      <c r="U533" s="216">
        <f>IF(AND('TRA CỨU TỔNG HỢP'!$B$3&lt;&gt;"",ISNUMBER(SEARCH('TRA CỨU TỔNG HỢP'!$B$3,T533))),MAX($U$3:U532)+1,"")</f>
        <v/>
      </c>
    </row>
    <row r="534" ht="15" customHeight="1" s="217">
      <c r="A534" s="347" t="inlineStr">
        <is>
          <t>KOMATSU</t>
        </is>
      </c>
      <c r="B534" s="348" t="inlineStr">
        <is>
          <t>HH075791</t>
        </is>
      </c>
      <c r="C534" s="349" t="inlineStr">
        <is>
          <t>Garrett</t>
        </is>
      </c>
      <c r="D534" s="349" t="inlineStr">
        <is>
          <t>T04E08</t>
        </is>
      </c>
      <c r="E534" s="349" t="inlineStr">
        <is>
          <t>D65EX-12</t>
        </is>
      </c>
      <c r="F534" s="350" t="inlineStr">
        <is>
          <t>466704-0213
8G04-100-M10
 6151-82-8500/466704-0213</t>
        </is>
      </c>
      <c r="G534" s="349" t="n"/>
      <c r="H534" s="351" t="inlineStr">
        <is>
          <t>JRONE</t>
        </is>
      </c>
      <c r="I534" s="352" t="n"/>
      <c r="J534" s="352" t="n"/>
      <c r="K534" s="352" t="n"/>
      <c r="L534" s="352">
        <f>IF(K534="","",K534*1.1)</f>
        <v/>
      </c>
      <c r="M534" s="353" t="n"/>
      <c r="N534" s="353" t="n"/>
      <c r="O534" s="353" t="n"/>
      <c r="P534" s="353" t="n"/>
      <c r="Q534" s="353" t="n"/>
      <c r="R534" s="353" t="n"/>
      <c r="T534" s="346">
        <f>UPPER(A534&amp;" "&amp;B534&amp;" "&amp;D534&amp;" "&amp;E534&amp;" "&amp;F534&amp;" "&amp;G534&amp;" "&amp;H534)</f>
        <v/>
      </c>
      <c r="U534" s="216">
        <f>IF(AND('TRA CỨU TỔNG HỢP'!$B$3&lt;&gt;"",ISNUMBER(SEARCH('TRA CỨU TỔNG HỢP'!$B$3,T534))),MAX($U$3:U533)+1,"")</f>
        <v/>
      </c>
    </row>
    <row r="535" ht="15" customHeight="1" s="217">
      <c r="A535" s="354" t="inlineStr">
        <is>
          <t>KOMATSU</t>
        </is>
      </c>
      <c r="B535" s="355" t="inlineStr">
        <is>
          <t>HH079486</t>
        </is>
      </c>
      <c r="C535" s="354" t="inlineStr">
        <is>
          <t>Garrett</t>
        </is>
      </c>
      <c r="D535" s="354" t="inlineStr">
        <is>
          <t>TB4130</t>
        </is>
      </c>
      <c r="E535" s="354" t="inlineStr">
        <is>
          <t>S6D125</t>
        </is>
      </c>
      <c r="F535" s="356" t="inlineStr">
        <is>
          <t>6151-81-8400</t>
        </is>
      </c>
      <c r="G535" s="354" t="inlineStr">
        <is>
          <t>có hàng fire</t>
        </is>
      </c>
      <c r="H535" s="357" t="inlineStr">
        <is>
          <t>FIRE</t>
        </is>
      </c>
      <c r="I535" s="358" t="n"/>
      <c r="J535" s="358" t="n"/>
      <c r="K535" s="358" t="n"/>
      <c r="L535" s="358">
        <f>IF(K535="","",K535*1.1)</f>
        <v/>
      </c>
      <c r="M535" s="359" t="n"/>
      <c r="N535" s="359" t="n"/>
      <c r="O535" s="359" t="n"/>
      <c r="P535" s="359" t="n"/>
      <c r="Q535" s="359" t="n"/>
      <c r="R535" s="359" t="n"/>
      <c r="T535" s="216">
        <f>UPPER(A535&amp;" "&amp;B535&amp;" "&amp;D535&amp;" "&amp;E535&amp;" "&amp;F535&amp;" "&amp;G535&amp;" "&amp;H535)</f>
        <v/>
      </c>
      <c r="U535" s="216">
        <f>IF(AND('TRA CỨU TỔNG HỢP'!$B$3&lt;&gt;"",ISNUMBER(SEARCH('TRA CỨU TỔNG HỢP'!$B$3,T535))),MAX($U$3:U534)+1,"")</f>
        <v/>
      </c>
    </row>
    <row r="536" ht="15" customHeight="1" s="217">
      <c r="A536" s="354" t="inlineStr">
        <is>
          <t>KOMATSU</t>
        </is>
      </c>
      <c r="B536" s="355" t="inlineStr">
        <is>
          <t>HH074827</t>
        </is>
      </c>
      <c r="C536" s="354" t="inlineStr">
        <is>
          <t>Garrett</t>
        </is>
      </c>
      <c r="D536" s="354" t="inlineStr">
        <is>
          <t>T04E15</t>
        </is>
      </c>
      <c r="E536" s="354" t="inlineStr">
        <is>
          <t>S6D108</t>
        </is>
      </c>
      <c r="F536" s="356" t="inlineStr">
        <is>
          <t>466670-0013
8G04-100-B74
6222-81-8210
6222-83-8171</t>
        </is>
      </c>
      <c r="G536" s="354" t="n"/>
      <c r="H536" s="357" t="inlineStr">
        <is>
          <t>JRONE</t>
        </is>
      </c>
      <c r="I536" s="358" t="n"/>
      <c r="J536" s="358" t="n"/>
      <c r="K536" s="358" t="n"/>
      <c r="L536" s="358">
        <f>IF(K536="","",K536*1.1)</f>
        <v/>
      </c>
      <c r="M536" s="359" t="n">
        <v>75</v>
      </c>
      <c r="N536" s="359" t="n">
        <v>48.5</v>
      </c>
      <c r="O536" s="359" t="inlineStr">
        <is>
          <t>6/6</t>
        </is>
      </c>
      <c r="P536" s="359" t="n">
        <v>74.2</v>
      </c>
      <c r="Q536" s="359" t="n">
        <v>64.5</v>
      </c>
      <c r="R536" s="359" t="n">
        <v>11</v>
      </c>
      <c r="T536" s="346">
        <f>UPPER(A536&amp;" "&amp;B536&amp;" "&amp;D536&amp;" "&amp;E536&amp;" "&amp;F536&amp;" "&amp;G536&amp;" "&amp;H536)</f>
        <v/>
      </c>
      <c r="U536" s="216">
        <f>IF(AND('TRA CỨU TỔNG HỢP'!$B$3&lt;&gt;"",ISNUMBER(SEARCH('TRA CỨU TỔNG HỢP'!$B$3,T536))),MAX($U$3:U535)+1,"")</f>
        <v/>
      </c>
    </row>
    <row r="537" ht="15" customHeight="1" s="217">
      <c r="A537" s="340" t="inlineStr">
        <is>
          <t>KOMATSU</t>
        </is>
      </c>
      <c r="B537" s="341" t="inlineStr">
        <is>
          <t>HH075105</t>
        </is>
      </c>
      <c r="C537" s="340" t="inlineStr">
        <is>
          <t>Holset</t>
        </is>
      </c>
      <c r="D537" s="340" t="inlineStr">
        <is>
          <t>HX40W</t>
        </is>
      </c>
      <c r="E537" s="340" t="inlineStr">
        <is>
          <t>S6D114E-2A</t>
        </is>
      </c>
      <c r="F537" s="342" t="inlineStr">
        <is>
          <t>6743-81-8040
8C04-200-H34/4038421 4038425
4090015
6743818040
4089189</t>
        </is>
      </c>
      <c r="G537" s="340" t="n"/>
      <c r="H537" s="343" t="inlineStr">
        <is>
          <t>JRONE</t>
        </is>
      </c>
      <c r="I537" s="344" t="n"/>
      <c r="J537" s="344" t="n"/>
      <c r="K537" s="344" t="n"/>
      <c r="L537" s="344">
        <f>IF(K537="","",K537*1.1)</f>
        <v/>
      </c>
      <c r="M537" s="345" t="n">
        <v>86</v>
      </c>
      <c r="N537" s="345" t="n">
        <v>60</v>
      </c>
      <c r="O537" s="345" t="inlineStr">
        <is>
          <t>7/7</t>
        </is>
      </c>
      <c r="P537" s="345" t="n">
        <v>76</v>
      </c>
      <c r="Q537" s="345" t="n">
        <v>64</v>
      </c>
      <c r="R537" s="345" t="n">
        <v>10</v>
      </c>
      <c r="T537" s="346">
        <f>UPPER(A537&amp;" "&amp;B537&amp;" "&amp;D537&amp;" "&amp;E537&amp;" "&amp;F537&amp;" "&amp;G537&amp;" "&amp;H537)</f>
        <v/>
      </c>
      <c r="U537" s="216">
        <f>IF(AND('TRA CỨU TỔNG HỢP'!$B$3&lt;&gt;"",ISNUMBER(SEARCH('TRA CỨU TỔNG HỢP'!$B$3,T537))),MAX($U$3:U536)+1,"")</f>
        <v/>
      </c>
    </row>
    <row r="538" ht="15" customHeight="1" s="217">
      <c r="A538" s="347" t="inlineStr">
        <is>
          <t>KOMATSU</t>
        </is>
      </c>
      <c r="B538" s="348" t="inlineStr">
        <is>
          <t>HH070603</t>
        </is>
      </c>
      <c r="C538" s="349" t="inlineStr">
        <is>
          <t>Holset</t>
        </is>
      </c>
      <c r="D538" s="349" t="inlineStr">
        <is>
          <t>HX40W</t>
        </is>
      </c>
      <c r="E538" s="349" t="inlineStr">
        <is>
          <t>S6D114E-2A</t>
        </is>
      </c>
      <c r="F538" s="350" t="inlineStr">
        <is>
          <t>6743-81-8040
8C04-200-H34/4038421 4038425
4090015
6743818040
4089189</t>
        </is>
      </c>
      <c r="G538" s="349" t="n"/>
      <c r="H538" s="351" t="inlineStr">
        <is>
          <t>SL</t>
        </is>
      </c>
      <c r="I538" s="352" t="n"/>
      <c r="J538" s="352" t="n"/>
      <c r="K538" s="352" t="n"/>
      <c r="L538" s="352">
        <f>IF(K538="","",K538*1.1)</f>
        <v/>
      </c>
      <c r="M538" s="353" t="n">
        <v>86</v>
      </c>
      <c r="N538" s="353" t="n">
        <v>60</v>
      </c>
      <c r="O538" s="353" t="inlineStr">
        <is>
          <t>7/7</t>
        </is>
      </c>
      <c r="P538" s="353" t="n">
        <v>76</v>
      </c>
      <c r="Q538" s="353" t="n">
        <v>64</v>
      </c>
      <c r="R538" s="353" t="n">
        <v>10</v>
      </c>
      <c r="T538" s="346">
        <f>UPPER(A538&amp;" "&amp;B538&amp;" "&amp;D538&amp;" "&amp;E538&amp;" "&amp;F538&amp;" "&amp;G538&amp;" "&amp;H538)</f>
        <v/>
      </c>
      <c r="U538" s="216">
        <f>IF(AND('TRA CỨU TỔNG HỢP'!$B$3&lt;&gt;"",ISNUMBER(SEARCH('TRA CỨU TỔNG HỢP'!$B$3,T538))),MAX($U$3:U537)+1,"")</f>
        <v/>
      </c>
    </row>
    <row r="539" ht="15" customHeight="1" s="217">
      <c r="A539" s="347" t="inlineStr">
        <is>
          <t>KOMATSU</t>
        </is>
      </c>
      <c r="B539" s="348" t="inlineStr">
        <is>
          <t>HH080732</t>
        </is>
      </c>
      <c r="C539" s="349" t="inlineStr">
        <is>
          <t>Holset</t>
        </is>
      </c>
      <c r="D539" s="349" t="inlineStr">
        <is>
          <t>HX40W</t>
        </is>
      </c>
      <c r="E539" s="349" t="inlineStr">
        <is>
          <t>S6D114E-2A</t>
        </is>
      </c>
      <c r="F539" s="350" t="inlineStr">
        <is>
          <t>6743-81-8040
8C04-200-H34/4038421 4038425
4090015
6743818040
4089189</t>
        </is>
      </c>
      <c r="G539" s="349" t="n"/>
      <c r="H539" s="351" t="inlineStr">
        <is>
          <t>SL</t>
        </is>
      </c>
      <c r="I539" s="352" t="n"/>
      <c r="J539" s="352" t="n"/>
      <c r="K539" s="352" t="n"/>
      <c r="L539" s="352">
        <f>IF(K539="","",K539*1.1)</f>
        <v/>
      </c>
      <c r="M539" s="353" t="n">
        <v>86</v>
      </c>
      <c r="N539" s="353" t="n">
        <v>60</v>
      </c>
      <c r="O539" s="353" t="inlineStr">
        <is>
          <t>7/7</t>
        </is>
      </c>
      <c r="P539" s="353" t="n">
        <v>76</v>
      </c>
      <c r="Q539" s="353" t="n">
        <v>64</v>
      </c>
      <c r="R539" s="353" t="n">
        <v>10</v>
      </c>
      <c r="T539" s="346">
        <f>UPPER(A539&amp;" "&amp;B539&amp;" "&amp;D539&amp;" "&amp;E539&amp;" "&amp;F539&amp;" "&amp;G539&amp;" "&amp;H539)</f>
        <v/>
      </c>
      <c r="U539" s="216">
        <f>IF(AND('TRA CỨU TỔNG HỢP'!$B$3&lt;&gt;"",ISNUMBER(SEARCH('TRA CỨU TỔNG HỢP'!$B$3,T539))),MAX($U$3:U538)+1,"")</f>
        <v/>
      </c>
    </row>
    <row r="540" ht="15" customHeight="1" s="217">
      <c r="A540" s="340" t="inlineStr">
        <is>
          <t>KOMATSU</t>
        </is>
      </c>
      <c r="B540" s="341" t="inlineStr">
        <is>
          <t>HH081574</t>
        </is>
      </c>
      <c r="C540" s="340" t="inlineStr">
        <is>
          <t>Holset</t>
        </is>
      </c>
      <c r="D540" s="340" t="inlineStr">
        <is>
          <t>HX40W</t>
        </is>
      </c>
      <c r="E540" s="340" t="n"/>
      <c r="F540" s="342" t="inlineStr">
        <is>
          <t>4051033/8C04-200-H36
3783430/3787181H/3785224/3787181
4048335/ 6745-81-8040/3783604 | 3787175 | 4956108 | 2836441 | 3773210 | 3784580 | 3788609 | 4051033 | 4033160 | 5329180 | 4051032 | 4049358 | 4046383 | 4046498 | 4047354 | 4051384 | 4051430 | 2836411</t>
        </is>
      </c>
      <c r="G540" s="340" t="n"/>
      <c r="H540" s="343" t="inlineStr">
        <is>
          <t>TBS</t>
        </is>
      </c>
      <c r="I540" s="344" t="n"/>
      <c r="J540" s="344" t="n"/>
      <c r="K540" s="344" t="n"/>
      <c r="L540" s="344">
        <f>IF(K540="","",K540*1.1)</f>
        <v/>
      </c>
      <c r="M540" s="345" t="n">
        <v>86</v>
      </c>
      <c r="N540" s="345" t="n">
        <v>60</v>
      </c>
      <c r="O540" s="345" t="inlineStr">
        <is>
          <t>7/7</t>
        </is>
      </c>
      <c r="P540" s="345" t="n">
        <v>76</v>
      </c>
      <c r="Q540" s="345" t="n">
        <v>64</v>
      </c>
      <c r="R540" s="345" t="n">
        <v>10</v>
      </c>
      <c r="T540" s="346">
        <f>UPPER(A540&amp;" "&amp;B540&amp;" "&amp;D540&amp;" "&amp;E540&amp;" "&amp;F540&amp;" "&amp;G540&amp;" "&amp;H540)</f>
        <v/>
      </c>
      <c r="U540" s="216">
        <f>IF(AND('TRA CỨU TỔNG HỢP'!$B$3&lt;&gt;"",ISNUMBER(SEARCH('TRA CỨU TỔNG HỢP'!$B$3,T540))),MAX($U$3:U539)+1,"")</f>
        <v/>
      </c>
    </row>
    <row r="541" ht="15" customHeight="1" s="217">
      <c r="A541" s="347" t="inlineStr">
        <is>
          <t>KOMATSU</t>
        </is>
      </c>
      <c r="B541" s="348" t="inlineStr">
        <is>
          <t>HH083868</t>
        </is>
      </c>
      <c r="C541" s="349" t="inlineStr">
        <is>
          <t>Holset</t>
        </is>
      </c>
      <c r="D541" s="349" t="inlineStr">
        <is>
          <t>HX40W</t>
        </is>
      </c>
      <c r="E541" s="349" t="n"/>
      <c r="F541" s="350" t="inlineStr">
        <is>
          <t>4051033/8C04-200-H36
3783430/3787181H/3785224/3787181
4048335/ 6745-81-8040/3783604 | 3787175 | 4956108 | 2836441 | 3773210 | 3784580 | 3788609 | 4051033 | 4033160 | 5329180 | 4051032 | 4049358 | 4046383 | 4046498 | 4047354 | 4051384 | 4051430 | 2836411</t>
        </is>
      </c>
      <c r="G541" s="349" t="n"/>
      <c r="H541" s="351" t="inlineStr">
        <is>
          <t>SL</t>
        </is>
      </c>
      <c r="I541" s="352" t="n"/>
      <c r="J541" s="352" t="n"/>
      <c r="K541" s="352" t="n"/>
      <c r="L541" s="352">
        <f>IF(K541="","",K541*1.1)</f>
        <v/>
      </c>
      <c r="M541" s="353" t="n">
        <v>86</v>
      </c>
      <c r="N541" s="353" t="n">
        <v>60</v>
      </c>
      <c r="O541" s="353" t="inlineStr">
        <is>
          <t>7/7</t>
        </is>
      </c>
      <c r="P541" s="353" t="n">
        <v>76</v>
      </c>
      <c r="Q541" s="353" t="n">
        <v>64</v>
      </c>
      <c r="R541" s="353" t="n">
        <v>10</v>
      </c>
      <c r="T541" s="346">
        <f>UPPER(A541&amp;" "&amp;B541&amp;" "&amp;D541&amp;" "&amp;E541&amp;" "&amp;F541&amp;" "&amp;G541&amp;" "&amp;H541)</f>
        <v/>
      </c>
      <c r="U541" s="216">
        <f>IF(AND('TRA CỨU TỔNG HỢP'!$B$3&lt;&gt;"",ISNUMBER(SEARCH('TRA CỨU TỔNG HỢP'!$B$3,T541))),MAX($U$3:U540)+1,"")</f>
        <v/>
      </c>
    </row>
    <row r="542" ht="15" customHeight="1" s="217">
      <c r="A542" s="347" t="inlineStr">
        <is>
          <t>KOMATSU</t>
        </is>
      </c>
      <c r="B542" s="348" t="inlineStr">
        <is>
          <t>HH080733</t>
        </is>
      </c>
      <c r="C542" s="349" t="inlineStr">
        <is>
          <t>Holset</t>
        </is>
      </c>
      <c r="D542" s="349" t="inlineStr">
        <is>
          <t>HX40W</t>
        </is>
      </c>
      <c r="E542" s="349" t="n"/>
      <c r="F542" s="350" t="inlineStr">
        <is>
          <t>4051033/8C04-200-H36
3783430/3787181H/3785224/3787181
4048335/ 6745-81-8040/3783604 | 3787175 | 4956108 | 2836441 | 3773210 | 3784580 | 3788609 | 4051033 | 4033160 | 5329180 | 4051032 | 4049358 | 4046383 | 4046498 | 4047354 | 4051384 | 4051430 | 2836411</t>
        </is>
      </c>
      <c r="G542" s="349" t="n"/>
      <c r="H542" s="351" t="inlineStr">
        <is>
          <t>SL</t>
        </is>
      </c>
      <c r="I542" s="352" t="n"/>
      <c r="J542" s="352" t="n"/>
      <c r="K542" s="352" t="n"/>
      <c r="L542" s="352">
        <f>IF(K542="","",K542*1.1)</f>
        <v/>
      </c>
      <c r="M542" s="353" t="n">
        <v>86</v>
      </c>
      <c r="N542" s="353" t="n">
        <v>60</v>
      </c>
      <c r="O542" s="353" t="inlineStr">
        <is>
          <t>7/7</t>
        </is>
      </c>
      <c r="P542" s="353" t="n">
        <v>76</v>
      </c>
      <c r="Q542" s="353" t="n">
        <v>64</v>
      </c>
      <c r="R542" s="353" t="n">
        <v>10</v>
      </c>
      <c r="T542" s="346">
        <f>UPPER(A542&amp;" "&amp;B542&amp;" "&amp;D542&amp;" "&amp;E542&amp;" "&amp;F542&amp;" "&amp;G542&amp;" "&amp;H542)</f>
        <v/>
      </c>
      <c r="U542" s="216">
        <f>IF(AND('TRA CỨU TỔNG HỢP'!$B$3&lt;&gt;"",ISNUMBER(SEARCH('TRA CỨU TỔNG HỢP'!$B$3,T542))),MAX($U$3:U541)+1,"")</f>
        <v/>
      </c>
    </row>
    <row r="543" ht="15" customHeight="1" s="217">
      <c r="A543" s="347" t="inlineStr">
        <is>
          <t>KOMATSU</t>
        </is>
      </c>
      <c r="B543" s="348" t="inlineStr">
        <is>
          <t>HH075106</t>
        </is>
      </c>
      <c r="C543" s="349" t="inlineStr">
        <is>
          <t>Holset</t>
        </is>
      </c>
      <c r="D543" s="349" t="inlineStr">
        <is>
          <t>HX40W</t>
        </is>
      </c>
      <c r="E543" s="349" t="n"/>
      <c r="F543" s="350" t="inlineStr">
        <is>
          <t>4051033/8C04-200-H36
3783430/3787181H/3785224/3787181
4048335/ 6745-81-8040/3783604 | 3787175 | 4956108 | 2836441 | 3773210 | 3784580 | 3788609 | 4051033 | 4033160 | 5329180 | 4051032 | 4049358 | 4046383 | 4046498 | 4047354 | 4051384 | 4051430 | 2836411</t>
        </is>
      </c>
      <c r="G543" s="349" t="n"/>
      <c r="H543" s="351" t="inlineStr">
        <is>
          <t>JRONE</t>
        </is>
      </c>
      <c r="I543" s="352" t="n"/>
      <c r="J543" s="352" t="n"/>
      <c r="K543" s="352" t="n"/>
      <c r="L543" s="352">
        <f>IF(K543="","",K543*1.1)</f>
        <v/>
      </c>
      <c r="M543" s="353" t="n">
        <v>86</v>
      </c>
      <c r="N543" s="353" t="n">
        <v>60</v>
      </c>
      <c r="O543" s="353" t="inlineStr">
        <is>
          <t>7/7</t>
        </is>
      </c>
      <c r="P543" s="353" t="n">
        <v>76</v>
      </c>
      <c r="Q543" s="353" t="n">
        <v>64</v>
      </c>
      <c r="R543" s="353" t="n">
        <v>10</v>
      </c>
      <c r="T543" s="346">
        <f>UPPER(A543&amp;" "&amp;B543&amp;" "&amp;D543&amp;" "&amp;E543&amp;" "&amp;F543&amp;" "&amp;G543&amp;" "&amp;H543)</f>
        <v/>
      </c>
      <c r="U543" s="216">
        <f>IF(AND('TRA CỨU TỔNG HỢP'!$B$3&lt;&gt;"",ISNUMBER(SEARCH('TRA CỨU TỔNG HỢP'!$B$3,T543))),MAX($U$3:U542)+1,"")</f>
        <v/>
      </c>
    </row>
    <row r="544" ht="15" customHeight="1" s="217">
      <c r="A544" s="340" t="inlineStr">
        <is>
          <t>KOMATSU</t>
        </is>
      </c>
      <c r="B544" s="341" t="inlineStr">
        <is>
          <t>HH078442</t>
        </is>
      </c>
      <c r="C544" s="340" t="inlineStr">
        <is>
          <t>Holset</t>
        </is>
      </c>
      <c r="D544" s="340" t="inlineStr">
        <is>
          <t>HX25W</t>
        </is>
      </c>
      <c r="E544" s="340" t="inlineStr">
        <is>
          <t>S4D107 / QSB4.5/4B3.9</t>
        </is>
      </c>
      <c r="F544" s="342" t="inlineStr">
        <is>
          <t>4038790/3599355 | 3599356 | 4038791 4089714</t>
        </is>
      </c>
      <c r="G544" s="340" t="inlineStr">
        <is>
          <t>TBS</t>
        </is>
      </c>
      <c r="H544" s="343" t="inlineStr">
        <is>
          <t>VIDARIR</t>
        </is>
      </c>
      <c r="I544" s="344" t="n"/>
      <c r="J544" s="344" t="n"/>
      <c r="K544" s="344" t="n"/>
      <c r="L544" s="344">
        <f>IF(K544="","",K544*1.1)</f>
        <v/>
      </c>
      <c r="M544" s="345" t="n">
        <v>56</v>
      </c>
      <c r="N544" s="345" t="n">
        <v>38.4</v>
      </c>
      <c r="O544" s="345" t="inlineStr">
        <is>
          <t>6/6</t>
        </is>
      </c>
      <c r="P544" s="345" t="n">
        <v>52</v>
      </c>
      <c r="Q544" s="345" t="n">
        <v>45.6</v>
      </c>
      <c r="R544" s="345" t="n">
        <v>12</v>
      </c>
      <c r="T544" s="216">
        <f>UPPER(A544&amp;" "&amp;B544&amp;" "&amp;D544&amp;" "&amp;E544&amp;" "&amp;F544&amp;" "&amp;G544&amp;" "&amp;H544)</f>
        <v/>
      </c>
      <c r="U544" s="216">
        <f>IF(AND('TRA CỨU TỔNG HỢP'!$B$3&lt;&gt;"",ISNUMBER(SEARCH('TRA CỨU TỔNG HỢP'!$B$3,T544))),MAX($U$3:U543)+1,"")</f>
        <v/>
      </c>
    </row>
    <row r="545" ht="15" customHeight="1" s="217">
      <c r="A545" s="347" t="inlineStr">
        <is>
          <t>KOMATSU</t>
        </is>
      </c>
      <c r="B545" s="348" t="inlineStr">
        <is>
          <t>HH083259</t>
        </is>
      </c>
      <c r="C545" s="349" t="inlineStr">
        <is>
          <t>Holset</t>
        </is>
      </c>
      <c r="D545" s="349" t="inlineStr">
        <is>
          <t>HX25W</t>
        </is>
      </c>
      <c r="E545" s="349" t="inlineStr">
        <is>
          <t>S4D107 / QSB4.5/4B3.9</t>
        </is>
      </c>
      <c r="F545" s="350" t="inlineStr">
        <is>
          <t>4038790/3599355 | 3599356 | 4038791 4089714</t>
        </is>
      </c>
      <c r="G545" s="349" t="inlineStr">
        <is>
          <t>TBS</t>
        </is>
      </c>
      <c r="H545" s="351" t="inlineStr">
        <is>
          <t>TBS</t>
        </is>
      </c>
      <c r="I545" s="352" t="n"/>
      <c r="J545" s="352" t="n"/>
      <c r="K545" s="352" t="n"/>
      <c r="L545" s="352">
        <f>IF(K545="","",K545*1.1)</f>
        <v/>
      </c>
      <c r="M545" s="353" t="n">
        <v>56</v>
      </c>
      <c r="N545" s="353" t="n">
        <v>38.4</v>
      </c>
      <c r="O545" s="353" t="inlineStr">
        <is>
          <t>6/6</t>
        </is>
      </c>
      <c r="P545" s="353" t="n">
        <v>52</v>
      </c>
      <c r="Q545" s="353" t="n">
        <v>45.6</v>
      </c>
      <c r="R545" s="353" t="n">
        <v>12</v>
      </c>
      <c r="T545" s="216">
        <f>UPPER(A545&amp;" "&amp;B545&amp;" "&amp;D545&amp;" "&amp;E545&amp;" "&amp;F545&amp;" "&amp;G545&amp;" "&amp;H545)</f>
        <v/>
      </c>
      <c r="U545" s="216">
        <f>IF(AND('TRA CỨU TỔNG HỢP'!$B$3&lt;&gt;"",ISNUMBER(SEARCH('TRA CỨU TỔNG HỢP'!$B$3,T545))),MAX($U$3:U544)+1,"")</f>
        <v/>
      </c>
    </row>
    <row r="546" ht="15" customHeight="1" s="217">
      <c r="A546" s="340" t="inlineStr">
        <is>
          <t>KOMATSU</t>
        </is>
      </c>
      <c r="B546" s="341" t="inlineStr">
        <is>
          <t>HH082516</t>
        </is>
      </c>
      <c r="C546" s="340" t="inlineStr">
        <is>
          <t>Holset</t>
        </is>
      </c>
      <c r="D546" s="340" t="inlineStr">
        <is>
          <t>HE221W</t>
        </is>
      </c>
      <c r="E546" s="340" t="inlineStr">
        <is>
          <t>ISDE4/ ISB4.5/ S4D107</t>
        </is>
      </c>
      <c r="F546" s="342" t="inlineStr">
        <is>
          <t>4956031/ 2835143 | 4043978 | 2835144 | 2835142 | 4033969</t>
        </is>
      </c>
      <c r="G546" s="340" t="n"/>
      <c r="H546" s="343" t="inlineStr">
        <is>
          <t>SL</t>
        </is>
      </c>
      <c r="I546" s="344" t="n"/>
      <c r="J546" s="344" t="n"/>
      <c r="K546" s="344" t="n"/>
      <c r="L546" s="344">
        <f>IF(K546="","",K546*1.1)</f>
        <v/>
      </c>
      <c r="M546" s="345" t="n">
        <v>61</v>
      </c>
      <c r="N546" s="345" t="n">
        <v>43.5</v>
      </c>
      <c r="O546" s="345" t="inlineStr">
        <is>
          <t>6/6</t>
        </is>
      </c>
      <c r="P546" s="345" t="n">
        <v>52</v>
      </c>
      <c r="Q546" s="345" t="n">
        <v>45.7</v>
      </c>
      <c r="R546" s="345" t="n">
        <v>12</v>
      </c>
      <c r="T546" s="216">
        <f>UPPER(A546&amp;" "&amp;B546&amp;" "&amp;D546&amp;" "&amp;E546&amp;" "&amp;F546&amp;" "&amp;G546&amp;" "&amp;H546)</f>
        <v/>
      </c>
      <c r="U546" s="216">
        <f>IF(AND('TRA CỨU TỔNG HỢP'!$B$3&lt;&gt;"",ISNUMBER(SEARCH('TRA CỨU TỔNG HỢP'!$B$3,T546))),MAX($U$3:U545)+1,"")</f>
        <v/>
      </c>
    </row>
    <row r="547" ht="15" customHeight="1" s="217">
      <c r="A547" s="347" t="inlineStr">
        <is>
          <t>KOMATSU</t>
        </is>
      </c>
      <c r="B547" s="348" t="inlineStr">
        <is>
          <t>HH082672</t>
        </is>
      </c>
      <c r="C547" s="349" t="inlineStr">
        <is>
          <t>Holset</t>
        </is>
      </c>
      <c r="D547" s="349" t="inlineStr">
        <is>
          <t>HE221W</t>
        </is>
      </c>
      <c r="E547" s="349" t="inlineStr">
        <is>
          <t>ISDE4/ ISB4.5/ S4D107</t>
        </is>
      </c>
      <c r="F547" s="350" t="inlineStr">
        <is>
          <t>4956031/ 2835143 | 4043978 | 2835144 | 2835142 | 4033969</t>
        </is>
      </c>
      <c r="G547" s="349" t="n"/>
      <c r="H547" s="351" t="inlineStr">
        <is>
          <t>SL</t>
        </is>
      </c>
      <c r="I547" s="352" t="n"/>
      <c r="J547" s="352" t="n"/>
      <c r="K547" s="352" t="n"/>
      <c r="L547" s="352">
        <f>IF(K547="","",K547*1.1)</f>
        <v/>
      </c>
      <c r="M547" s="353" t="n">
        <v>61</v>
      </c>
      <c r="N547" s="353" t="n">
        <v>43.5</v>
      </c>
      <c r="O547" s="353" t="inlineStr">
        <is>
          <t>6/6</t>
        </is>
      </c>
      <c r="P547" s="353" t="n">
        <v>52</v>
      </c>
      <c r="Q547" s="353" t="n">
        <v>45.7</v>
      </c>
      <c r="R547" s="353" t="n">
        <v>12</v>
      </c>
      <c r="T547" s="216">
        <f>UPPER(A547&amp;" "&amp;B547&amp;" "&amp;D547&amp;" "&amp;E547&amp;" "&amp;F547&amp;" "&amp;G547&amp;" "&amp;H547)</f>
        <v/>
      </c>
      <c r="U547" s="216">
        <f>IF(AND('TRA CỨU TỔNG HỢP'!$B$3&lt;&gt;"",ISNUMBER(SEARCH('TRA CỨU TỔNG HỢP'!$B$3,T547))),MAX($U$3:U546)+1,"")</f>
        <v/>
      </c>
    </row>
    <row r="548" ht="15" customHeight="1" s="217">
      <c r="A548" s="367" t="inlineStr">
        <is>
          <t>KOMATSU</t>
        </is>
      </c>
      <c r="B548" s="368" t="n"/>
      <c r="C548" s="367" t="inlineStr">
        <is>
          <t>Holset</t>
        </is>
      </c>
      <c r="D548" s="367" t="inlineStr">
        <is>
          <t>HE351W</t>
        </is>
      </c>
      <c r="E548" s="367" t="inlineStr">
        <is>
          <t>6BTAA, ISB, ISDE6</t>
        </is>
      </c>
      <c r="F548" s="369" t="inlineStr">
        <is>
          <t>4043980/2837188
4955908/4043982
2834176/4032737</t>
        </is>
      </c>
      <c r="G548" s="367" t="inlineStr">
        <is>
          <t>chưa nhập có hình ảnh sl</t>
        </is>
      </c>
      <c r="H548" s="370" t="n"/>
      <c r="I548" s="371" t="n"/>
      <c r="J548" s="371" t="n"/>
      <c r="K548" s="371" t="n"/>
      <c r="L548" s="371">
        <f>IF(K548="","",K548*1.1)</f>
        <v/>
      </c>
      <c r="M548" s="372" t="n">
        <v>86</v>
      </c>
      <c r="N548" s="372" t="n">
        <v>58</v>
      </c>
      <c r="O548" s="372" t="inlineStr">
        <is>
          <t>7/7</t>
        </is>
      </c>
      <c r="P548" s="372" t="n">
        <v>70</v>
      </c>
      <c r="Q548" s="372" t="n">
        <v>60</v>
      </c>
      <c r="R548" s="372" t="n">
        <v>12</v>
      </c>
      <c r="T548" s="346">
        <f>UPPER(A548&amp;" "&amp;B548&amp;" "&amp;D548&amp;" "&amp;E548&amp;" "&amp;F548&amp;" "&amp;G548&amp;" "&amp;H548)</f>
        <v/>
      </c>
      <c r="U548" s="216">
        <f>IF(AND('TRA CỨU TỔNG HỢP'!$B$3&lt;&gt;"",ISNUMBER(SEARCH('TRA CỨU TỔNG HỢP'!$B$3,T548))),MAX($U$3:U547)+1,"")</f>
        <v/>
      </c>
    </row>
    <row r="549" ht="15" customHeight="1" s="217">
      <c r="A549" s="379" t="inlineStr">
        <is>
          <t>KOMATSU</t>
        </is>
      </c>
      <c r="B549" s="380" t="n"/>
      <c r="C549" s="379" t="inlineStr">
        <is>
          <t>Holset</t>
        </is>
      </c>
      <c r="D549" s="379" t="inlineStr">
        <is>
          <t>HX35W</t>
        </is>
      </c>
      <c r="E549" s="379" t="n"/>
      <c r="F549" s="381" t="n">
        <v>3802761</v>
      </c>
      <c r="G549" s="379" t="n"/>
      <c r="H549" s="382" t="n"/>
      <c r="I549" s="383" t="n"/>
      <c r="J549" s="383" t="n"/>
      <c r="K549" s="383" t="n"/>
      <c r="L549" s="383">
        <f>IF(K549="","",K549*1.1)</f>
        <v/>
      </c>
      <c r="M549" s="384" t="n"/>
      <c r="N549" s="384" t="n"/>
      <c r="O549" s="384" t="n"/>
      <c r="P549" s="384" t="n"/>
      <c r="Q549" s="384" t="n"/>
      <c r="R549" s="384" t="n"/>
      <c r="T549" s="216">
        <f>UPPER(A549&amp;" "&amp;B549&amp;" "&amp;D549&amp;" "&amp;E549&amp;" "&amp;F549&amp;" "&amp;G549&amp;" "&amp;H549)</f>
        <v/>
      </c>
      <c r="U549" s="216">
        <f>IF(AND('TRA CỨU TỔNG HỢP'!$B$3&lt;&gt;"",ISNUMBER(SEARCH('TRA CỨU TỔNG HỢP'!$B$3,T549))),MAX($U$3:U548)+1,"")</f>
        <v/>
      </c>
    </row>
    <row r="550" ht="15" customHeight="1" s="217">
      <c r="A550" s="367" t="inlineStr">
        <is>
          <t>KOMATSU</t>
        </is>
      </c>
      <c r="B550" s="368" t="n"/>
      <c r="C550" s="367" t="inlineStr">
        <is>
          <t>Holset</t>
        </is>
      </c>
      <c r="D550" s="367" t="inlineStr">
        <is>
          <t>HX35W</t>
        </is>
      </c>
      <c r="E550" s="367" t="inlineStr">
        <is>
          <t>6BTA</t>
        </is>
      </c>
      <c r="F550" s="369" t="inlineStr">
        <is>
          <t>3536971
3536972
3536973
3536974
3536975</t>
        </is>
      </c>
      <c r="G550" s="367" t="n"/>
      <c r="H550" s="370" t="n"/>
      <c r="I550" s="371" t="n"/>
      <c r="J550" s="371" t="n"/>
      <c r="K550" s="371" t="n"/>
      <c r="L550" s="371">
        <f>IF(K550="","",K550*1.1)</f>
        <v/>
      </c>
      <c r="M550" s="372" t="n">
        <v>83</v>
      </c>
      <c r="N550" s="372" t="n">
        <v>52</v>
      </c>
      <c r="O550" s="372" t="inlineStr">
        <is>
          <t>8/8</t>
        </is>
      </c>
      <c r="P550" s="372" t="n">
        <v>70</v>
      </c>
      <c r="Q550" s="372" t="n">
        <v>60</v>
      </c>
      <c r="R550" s="372" t="n">
        <v>12</v>
      </c>
      <c r="T550" s="346">
        <f>UPPER(A550&amp;" "&amp;B550&amp;" "&amp;D550&amp;" "&amp;E550&amp;" "&amp;F550&amp;" "&amp;G550&amp;" "&amp;H550)</f>
        <v/>
      </c>
      <c r="U550" s="216">
        <f>IF(AND('TRA CỨU TỔNG HỢP'!$B$3&lt;&gt;"",ISNUMBER(SEARCH('TRA CỨU TỔNG HỢP'!$B$3,T550))),MAX($U$3:U549)+1,"")</f>
        <v/>
      </c>
    </row>
    <row r="551" ht="15" customHeight="1" s="217">
      <c r="A551" s="354" t="inlineStr">
        <is>
          <t>KOMATSU</t>
        </is>
      </c>
      <c r="B551" s="355" t="inlineStr">
        <is>
          <t>HH082352</t>
        </is>
      </c>
      <c r="C551" s="354" t="n"/>
      <c r="D551" s="354" t="n"/>
      <c r="E551" s="354" t="inlineStr">
        <is>
          <t>S4D107/SAA4D107E/QSB4.5</t>
        </is>
      </c>
      <c r="F551" s="356" t="inlineStr">
        <is>
          <t>49477-02600</t>
        </is>
      </c>
      <c r="G551" s="354" t="n"/>
      <c r="H551" s="357" t="inlineStr">
        <is>
          <t>CHÍNH</t>
        </is>
      </c>
      <c r="I551" s="358" t="n"/>
      <c r="J551" s="358" t="n"/>
      <c r="K551" s="358" t="n"/>
      <c r="L551" s="358">
        <f>IF(K551="","",K551*1.1)</f>
        <v/>
      </c>
      <c r="M551" s="359" t="n"/>
      <c r="N551" s="359" t="n"/>
      <c r="O551" s="359" t="n"/>
      <c r="P551" s="359" t="n"/>
      <c r="Q551" s="359" t="n"/>
      <c r="R551" s="359" t="n"/>
      <c r="T551" s="216">
        <f>UPPER(A551&amp;" "&amp;B551&amp;" "&amp;D551&amp;" "&amp;E551&amp;" "&amp;F551&amp;" "&amp;G551&amp;" "&amp;H551)</f>
        <v/>
      </c>
      <c r="U551" s="216">
        <f>IF(AND('TRA CỨU TỔNG HỢP'!$B$3&lt;&gt;"",ISNUMBER(SEARCH('TRA CỨU TỔNG HỢP'!$B$3,T551))),MAX($U$3:U550)+1,"")</f>
        <v/>
      </c>
    </row>
    <row r="552" ht="15" customHeight="1" s="217">
      <c r="A552" s="340" t="inlineStr">
        <is>
          <t>KOMATSU</t>
        </is>
      </c>
      <c r="B552" s="341" t="inlineStr">
        <is>
          <t>HH070597</t>
        </is>
      </c>
      <c r="C552" s="340" t="inlineStr">
        <is>
          <t>Garrett</t>
        </is>
      </c>
      <c r="D552" s="340" t="inlineStr">
        <is>
          <t>TA3103</t>
        </is>
      </c>
      <c r="E552" s="340" t="inlineStr">
        <is>
          <t>S4D95/S6D95</t>
        </is>
      </c>
      <c r="F552" s="342" t="inlineStr">
        <is>
          <t>6205-81-8150/6205-81-8110/6205-81-8120
465636-0117/465636-0206/465636-0209/465636-0216</t>
        </is>
      </c>
      <c r="G552" s="340" t="n"/>
      <c r="H552" s="343" t="inlineStr">
        <is>
          <t>SL</t>
        </is>
      </c>
      <c r="I552" s="344" t="n"/>
      <c r="J552" s="344" t="n"/>
      <c r="K552" s="344" t="n"/>
      <c r="L552" s="344">
        <f>IF(K552="","",K552*1.1)</f>
        <v/>
      </c>
      <c r="M552" s="345" t="n">
        <v>60.2</v>
      </c>
      <c r="N552" s="345" t="n">
        <v>42.5</v>
      </c>
      <c r="O552" s="345" t="inlineStr">
        <is>
          <t>6/6</t>
        </is>
      </c>
      <c r="P552" s="345" t="n">
        <v>65.2</v>
      </c>
      <c r="Q552" s="345" t="n">
        <v>49.4</v>
      </c>
      <c r="R552" s="345" t="n">
        <v>11</v>
      </c>
      <c r="T552" s="346">
        <f>UPPER(A552&amp;" "&amp;B552&amp;" "&amp;D552&amp;" "&amp;E552&amp;" "&amp;F552&amp;" "&amp;G552&amp;" "&amp;H552)</f>
        <v/>
      </c>
      <c r="U552" s="216">
        <f>IF(AND('TRA CỨU TỔNG HỢP'!$B$3&lt;&gt;"",ISNUMBER(SEARCH('TRA CỨU TỔNG HỢP'!$B$3,T552))),MAX($U$3:U551)+1,"")</f>
        <v/>
      </c>
    </row>
    <row r="553" ht="15" customHeight="1" s="217">
      <c r="A553" s="347" t="inlineStr">
        <is>
          <t>KOMATSU</t>
        </is>
      </c>
      <c r="B553" s="348" t="inlineStr">
        <is>
          <t>HH079996</t>
        </is>
      </c>
      <c r="C553" s="349" t="inlineStr">
        <is>
          <t>Garrett</t>
        </is>
      </c>
      <c r="D553" s="349" t="inlineStr">
        <is>
          <t>TA3103</t>
        </is>
      </c>
      <c r="E553" s="349" t="inlineStr">
        <is>
          <t>S4D95/S6D95</t>
        </is>
      </c>
      <c r="F553" s="350" t="inlineStr">
        <is>
          <t>6205-81-8150/6205-81-8110/6205-81-8120
465636-0117/465636-0206/465636-0209/465636-0216</t>
        </is>
      </c>
      <c r="G553" s="349" t="n"/>
      <c r="H553" s="351" t="inlineStr">
        <is>
          <t>SL</t>
        </is>
      </c>
      <c r="I553" s="352" t="n"/>
      <c r="J553" s="352" t="n"/>
      <c r="K553" s="352" t="n"/>
      <c r="L553" s="352">
        <f>IF(K553="","",K553*1.1)</f>
        <v/>
      </c>
      <c r="M553" s="353" t="n">
        <v>60.2</v>
      </c>
      <c r="N553" s="353" t="n">
        <v>42.5</v>
      </c>
      <c r="O553" s="353" t="inlineStr">
        <is>
          <t>6/6</t>
        </is>
      </c>
      <c r="P553" s="353" t="n">
        <v>65.2</v>
      </c>
      <c r="Q553" s="353" t="n">
        <v>49.4</v>
      </c>
      <c r="R553" s="353" t="n">
        <v>11</v>
      </c>
      <c r="T553" s="346">
        <f>UPPER(A553&amp;" "&amp;B553&amp;" "&amp;D553&amp;" "&amp;E553&amp;" "&amp;F553&amp;" "&amp;G553&amp;" "&amp;H553)</f>
        <v/>
      </c>
      <c r="U553" s="216">
        <f>IF(AND('TRA CỨU TỔNG HỢP'!$B$3&lt;&gt;"",ISNUMBER(SEARCH('TRA CỨU TỔNG HỢP'!$B$3,T553))),MAX($U$3:U552)+1,"")</f>
        <v/>
      </c>
    </row>
    <row r="554" ht="15" customHeight="1" s="217">
      <c r="A554" s="354" t="inlineStr">
        <is>
          <t>KOMATSU</t>
        </is>
      </c>
      <c r="B554" s="355" t="inlineStr">
        <is>
          <t>HH070598</t>
        </is>
      </c>
      <c r="C554" s="354" t="inlineStr">
        <is>
          <t>Holset</t>
        </is>
      </c>
      <c r="D554" s="354" t="inlineStr">
        <is>
          <t>HX30</t>
        </is>
      </c>
      <c r="E554" s="354" t="inlineStr">
        <is>
          <t>S4D102</t>
        </is>
      </c>
      <c r="F554" s="356" t="inlineStr">
        <is>
          <t>6732-81-8102
3539803/3539846
3539803/3539846/3590022
6732-81-8052/3590022</t>
        </is>
      </c>
      <c r="G554" s="354" t="n"/>
      <c r="H554" s="357" t="inlineStr">
        <is>
          <t>SL</t>
        </is>
      </c>
      <c r="I554" s="358" t="n"/>
      <c r="J554" s="358" t="n"/>
      <c r="K554" s="358" t="n"/>
      <c r="L554" s="358">
        <f>IF(K554="","",K554*1.1)</f>
        <v/>
      </c>
      <c r="M554" s="359" t="n">
        <v>83</v>
      </c>
      <c r="N554" s="359" t="n">
        <v>52</v>
      </c>
      <c r="O554" s="359" t="inlineStr">
        <is>
          <t>8/8</t>
        </is>
      </c>
      <c r="P554" s="359" t="n">
        <v>70</v>
      </c>
      <c r="Q554" s="359" t="n">
        <v>60</v>
      </c>
      <c r="R554" s="359" t="n">
        <v>12</v>
      </c>
      <c r="T554" s="346">
        <f>UPPER(A554&amp;" "&amp;B554&amp;" "&amp;D554&amp;" "&amp;E554&amp;" "&amp;F554&amp;" "&amp;G554&amp;" "&amp;H554)</f>
        <v/>
      </c>
      <c r="U554" s="216">
        <f>IF(AND('TRA CỨU TỔNG HỢP'!$B$3&lt;&gt;"",ISNUMBER(SEARCH('TRA CỨU TỔNG HỢP'!$B$3,T554))),MAX($U$3:U553)+1,"")</f>
        <v/>
      </c>
    </row>
    <row r="555" ht="15" customHeight="1" s="217">
      <c r="A555" s="354" t="inlineStr">
        <is>
          <t>KOMATSU</t>
        </is>
      </c>
      <c r="B555" s="355" t="inlineStr">
        <is>
          <t>HH075792</t>
        </is>
      </c>
      <c r="C555" s="354" t="inlineStr">
        <is>
          <t>Mitsubishi</t>
        </is>
      </c>
      <c r="D555" s="354" t="inlineStr">
        <is>
          <t>TD04L-10T</t>
        </is>
      </c>
      <c r="E555" s="354" t="inlineStr">
        <is>
          <t>S4D95 LE/ B3.3</t>
        </is>
      </c>
      <c r="F555" s="356" t="inlineStr">
        <is>
          <t>49377-01601
49177-08500 (ruột)
6205-81-8270
3800880/4089794/4089795
6205-81-8214/6205-81-8212/8M04-200-H91
49377-01500/49377-01502/49377-01503
49377-01504/49377-01510/49377-01511
49377-01512/49377-01520/49377-01522
49377-01530/49377-01531/49377-01541
49377-01550/49377-01590/49177-92702</t>
        </is>
      </c>
      <c r="G555" s="354" t="n"/>
      <c r="H555" s="357" t="inlineStr">
        <is>
          <t>JRONE</t>
        </is>
      </c>
      <c r="I555" s="358" t="n"/>
      <c r="J555" s="358" t="n"/>
      <c r="K555" s="358" t="n"/>
      <c r="L555" s="358">
        <f>IF(K555="","",K555*1.1)</f>
        <v/>
      </c>
      <c r="M555" s="359" t="n">
        <v>49</v>
      </c>
      <c r="N555" s="359" t="n">
        <v>35.5</v>
      </c>
      <c r="O555" s="359" t="inlineStr">
        <is>
          <t>6/6</t>
        </is>
      </c>
      <c r="P555" s="359" t="n">
        <v>47.1</v>
      </c>
      <c r="Q555" s="359" t="n">
        <v>41.2</v>
      </c>
      <c r="R555" s="359" t="n">
        <v>12</v>
      </c>
      <c r="T555" s="346">
        <f>UPPER(A555&amp;" "&amp;B555&amp;" "&amp;D555&amp;" "&amp;E555&amp;" "&amp;F555&amp;" "&amp;G555&amp;" "&amp;H555)</f>
        <v/>
      </c>
      <c r="U555" s="216">
        <f>IF(AND('TRA CỨU TỔNG HỢP'!$B$3&lt;&gt;"",ISNUMBER(SEARCH('TRA CỨU TỔNG HỢP'!$B$3,T555))),MAX($U$3:U554)+1,"")</f>
        <v/>
      </c>
    </row>
    <row r="556" ht="15" customHeight="1" s="217">
      <c r="A556" s="340" t="inlineStr">
        <is>
          <t>KOMATSU</t>
        </is>
      </c>
      <c r="B556" s="341" t="inlineStr">
        <is>
          <t>HH075390</t>
        </is>
      </c>
      <c r="C556" s="340" t="inlineStr">
        <is>
          <t>Mitsubishi</t>
        </is>
      </c>
      <c r="D556" s="340" t="inlineStr">
        <is>
          <t>TD04L-10</t>
        </is>
      </c>
      <c r="E556" s="340" t="inlineStr">
        <is>
          <t>S4D95LE</t>
        </is>
      </c>
      <c r="F556" s="342" t="inlineStr">
        <is>
          <t>49377-01611/49377-01610
6208-81-8100/6205-81-8250/8M04-200-892</t>
        </is>
      </c>
      <c r="G556" s="340" t="n"/>
      <c r="H556" s="343" t="n"/>
      <c r="I556" s="344" t="n"/>
      <c r="J556" s="344" t="n"/>
      <c r="K556" s="344" t="n"/>
      <c r="L556" s="344">
        <f>IF(K556="","",K556*1.1)</f>
        <v/>
      </c>
      <c r="M556" s="345" t="n">
        <v>51</v>
      </c>
      <c r="N556" s="345" t="n">
        <v>36.4</v>
      </c>
      <c r="O556" s="345" t="inlineStr">
        <is>
          <t>6/6</t>
        </is>
      </c>
      <c r="P556" s="345" t="n">
        <v>47.1</v>
      </c>
      <c r="Q556" s="345" t="n">
        <v>41.2</v>
      </c>
      <c r="R556" s="345" t="n">
        <v>12</v>
      </c>
      <c r="T556" s="346">
        <f>UPPER(A556&amp;" "&amp;B556&amp;" "&amp;D556&amp;" "&amp;E556&amp;" "&amp;F556&amp;" "&amp;G556&amp;" "&amp;H556)</f>
        <v/>
      </c>
      <c r="U556" s="216">
        <f>IF(AND('TRA CỨU TỔNG HỢP'!$B$3&lt;&gt;"",ISNUMBER(SEARCH('TRA CỨU TỔNG HỢP'!$B$3,T556))),MAX($U$3:U555)+1,"")</f>
        <v/>
      </c>
    </row>
    <row r="557" ht="15" customHeight="1" s="217">
      <c r="A557" s="347" t="inlineStr">
        <is>
          <t>KOMATSU</t>
        </is>
      </c>
      <c r="B557" s="348" t="inlineStr">
        <is>
          <t>HH080118</t>
        </is>
      </c>
      <c r="C557" s="349" t="inlineStr">
        <is>
          <t>Mitsubishi</t>
        </is>
      </c>
      <c r="D557" s="349" t="inlineStr">
        <is>
          <t>TD04L-10</t>
        </is>
      </c>
      <c r="E557" s="349" t="inlineStr">
        <is>
          <t>S4D95LE</t>
        </is>
      </c>
      <c r="F557" s="350" t="inlineStr">
        <is>
          <t>49377-01611/49377-01610
6208-81-8100/6205-81-8250/8M04-200-892</t>
        </is>
      </c>
      <c r="G557" s="349" t="n"/>
      <c r="H557" s="351" t="inlineStr">
        <is>
          <t>SL</t>
        </is>
      </c>
      <c r="I557" s="352" t="n"/>
      <c r="J557" s="352" t="n"/>
      <c r="K557" s="352" t="n"/>
      <c r="L557" s="352">
        <f>IF(K557="","",K557*1.1)</f>
        <v/>
      </c>
      <c r="M557" s="353" t="n">
        <v>51</v>
      </c>
      <c r="N557" s="353" t="n">
        <v>36.4</v>
      </c>
      <c r="O557" s="353" t="inlineStr">
        <is>
          <t>6/6</t>
        </is>
      </c>
      <c r="P557" s="353" t="n">
        <v>47.1</v>
      </c>
      <c r="Q557" s="353" t="n">
        <v>41.2</v>
      </c>
      <c r="R557" s="353" t="n">
        <v>12</v>
      </c>
      <c r="T557" s="346">
        <f>UPPER(A557&amp;" "&amp;B557&amp;" "&amp;D557&amp;" "&amp;E557&amp;" "&amp;F557&amp;" "&amp;G557&amp;" "&amp;H557)</f>
        <v/>
      </c>
      <c r="U557" s="216">
        <f>IF(AND('TRA CỨU TỔNG HỢP'!$B$3&lt;&gt;"",ISNUMBER(SEARCH('TRA CỨU TỔNG HỢP'!$B$3,T557))),MAX($U$3:U556)+1,"")</f>
        <v/>
      </c>
    </row>
    <row r="558" ht="15" customHeight="1" s="217">
      <c r="A558" s="340" t="inlineStr">
        <is>
          <t>KOMATSU</t>
        </is>
      </c>
      <c r="B558" s="341" t="inlineStr">
        <is>
          <t>HH071951</t>
        </is>
      </c>
      <c r="C558" s="340" t="inlineStr">
        <is>
          <t>Garrett</t>
        </is>
      </c>
      <c r="D558" s="340" t="inlineStr">
        <is>
          <t>TA4532</t>
        </is>
      </c>
      <c r="E558" s="340" t="inlineStr">
        <is>
          <t>S6D125</t>
        </is>
      </c>
      <c r="F558" s="342" t="inlineStr">
        <is>
          <t>465105-0002
8G04-100-394
6152818310
441398-0052
6152-81-8310/6152-81-8210/6152-81-8300/6152-82-8300/6152-81-8110/6152-82-8110/6152-81-8370</t>
        </is>
      </c>
      <c r="G558" s="340" t="n"/>
      <c r="H558" s="343" t="inlineStr">
        <is>
          <t>SL</t>
        </is>
      </c>
      <c r="I558" s="344" t="n"/>
      <c r="J558" s="344" t="n"/>
      <c r="K558" s="344" t="n"/>
      <c r="L558" s="344">
        <f>IF(K558="","",K558*1.1)</f>
        <v/>
      </c>
      <c r="M558" s="345" t="n">
        <v>84</v>
      </c>
      <c r="N558" s="345" t="n">
        <v>60.4</v>
      </c>
      <c r="O558" s="345" t="inlineStr">
        <is>
          <t>6/6</t>
        </is>
      </c>
      <c r="P558" s="345" t="n">
        <v>82</v>
      </c>
      <c r="Q558" s="345" t="n">
        <v>71.5</v>
      </c>
      <c r="R558" s="345" t="n">
        <v>11</v>
      </c>
      <c r="T558" s="346">
        <f>UPPER(A558&amp;" "&amp;B558&amp;" "&amp;D558&amp;" "&amp;E558&amp;" "&amp;F558&amp;" "&amp;G558&amp;" "&amp;H558)</f>
        <v/>
      </c>
      <c r="U558" s="216">
        <f>IF(AND('TRA CỨU TỔNG HỢP'!$B$3&lt;&gt;"",ISNUMBER(SEARCH('TRA CỨU TỔNG HỢP'!$B$3,T558))),MAX($U$3:U557)+1,"")</f>
        <v/>
      </c>
    </row>
    <row r="559" ht="15" customHeight="1" s="217">
      <c r="A559" s="347" t="inlineStr">
        <is>
          <t>KOMATSU</t>
        </is>
      </c>
      <c r="B559" s="348" t="inlineStr">
        <is>
          <t>HH080001</t>
        </is>
      </c>
      <c r="C559" s="349" t="inlineStr">
        <is>
          <t>Garrett</t>
        </is>
      </c>
      <c r="D559" s="349" t="inlineStr">
        <is>
          <t>TA4532</t>
        </is>
      </c>
      <c r="E559" s="349" t="inlineStr">
        <is>
          <t>S6D125</t>
        </is>
      </c>
      <c r="F559" s="350" t="inlineStr">
        <is>
          <t>465105-0002
8G04-100-394
6152818310
441398-0052
6152-81-8310/6152-81-8210/6152-81-8300/6152-82-8300/6152-81-8110/6152-82-8110/6152-81-8370</t>
        </is>
      </c>
      <c r="G559" s="349" t="n"/>
      <c r="H559" s="351" t="inlineStr">
        <is>
          <t>SL</t>
        </is>
      </c>
      <c r="I559" s="352" t="n"/>
      <c r="J559" s="352" t="n"/>
      <c r="K559" s="352" t="n"/>
      <c r="L559" s="352">
        <f>IF(K559="","",K559*1.1)</f>
        <v/>
      </c>
      <c r="M559" s="353" t="n">
        <v>84</v>
      </c>
      <c r="N559" s="353" t="n">
        <v>60.4</v>
      </c>
      <c r="O559" s="353" t="inlineStr">
        <is>
          <t>6/6</t>
        </is>
      </c>
      <c r="P559" s="353" t="n">
        <v>82</v>
      </c>
      <c r="Q559" s="353" t="n">
        <v>71.5</v>
      </c>
      <c r="R559" s="353" t="n">
        <v>11</v>
      </c>
      <c r="T559" s="346">
        <f>UPPER(A559&amp;" "&amp;B559&amp;" "&amp;D559&amp;" "&amp;E559&amp;" "&amp;F559&amp;" "&amp;G559&amp;" "&amp;H559)</f>
        <v/>
      </c>
      <c r="U559" s="216">
        <f>IF(AND('TRA CỨU TỔNG HỢP'!$B$3&lt;&gt;"",ISNUMBER(SEARCH('TRA CỨU TỔNG HỢP'!$B$3,T559))),MAX($U$3:U558)+1,"")</f>
        <v/>
      </c>
    </row>
    <row r="560" ht="15" customHeight="1" s="217">
      <c r="A560" s="347" t="inlineStr">
        <is>
          <t>KOMATSU</t>
        </is>
      </c>
      <c r="B560" s="348" t="inlineStr">
        <is>
          <t>HH074826</t>
        </is>
      </c>
      <c r="C560" s="349" t="inlineStr">
        <is>
          <t>Garrett</t>
        </is>
      </c>
      <c r="D560" s="349" t="inlineStr">
        <is>
          <t>TA4532</t>
        </is>
      </c>
      <c r="E560" s="349" t="inlineStr">
        <is>
          <t>S6D125</t>
        </is>
      </c>
      <c r="F560" s="350" t="inlineStr">
        <is>
          <t>465105-0002
8G04-100-394
6152818310
441398-0052
6152-81-8310/6152-81-8210/6152-81-8300/6152-82-8300/6152-81-8110/6152-82-8110/6152-81-8370</t>
        </is>
      </c>
      <c r="G560" s="349" t="n"/>
      <c r="H560" s="351" t="inlineStr">
        <is>
          <t>JRONE</t>
        </is>
      </c>
      <c r="I560" s="352" t="n"/>
      <c r="J560" s="352" t="n"/>
      <c r="K560" s="352" t="n"/>
      <c r="L560" s="352">
        <f>IF(K560="","",K560*1.1)</f>
        <v/>
      </c>
      <c r="M560" s="353" t="n">
        <v>84</v>
      </c>
      <c r="N560" s="353" t="n">
        <v>60.4</v>
      </c>
      <c r="O560" s="353" t="inlineStr">
        <is>
          <t>6/6</t>
        </is>
      </c>
      <c r="P560" s="353" t="n">
        <v>82</v>
      </c>
      <c r="Q560" s="353" t="n">
        <v>71.5</v>
      </c>
      <c r="R560" s="353" t="n">
        <v>11</v>
      </c>
      <c r="T560" s="346">
        <f>UPPER(A560&amp;" "&amp;B560&amp;" "&amp;D560&amp;" "&amp;E560&amp;" "&amp;F560&amp;" "&amp;G560&amp;" "&amp;H560)</f>
        <v/>
      </c>
      <c r="U560" s="216">
        <f>IF(AND('TRA CỨU TỔNG HỢP'!$B$3&lt;&gt;"",ISNUMBER(SEARCH('TRA CỨU TỔNG HỢP'!$B$3,T560))),MAX($U$3:U559)+1,"")</f>
        <v/>
      </c>
    </row>
    <row r="561" ht="15" customHeight="1" s="217">
      <c r="A561" s="354" t="inlineStr">
        <is>
          <t>KOMATSU</t>
        </is>
      </c>
      <c r="B561" s="355" t="inlineStr">
        <is>
          <t>HH082882</t>
        </is>
      </c>
      <c r="C561" s="354" t="inlineStr">
        <is>
          <t>BorgWarner</t>
        </is>
      </c>
      <c r="D561" s="354" t="inlineStr">
        <is>
          <t>S400</t>
        </is>
      </c>
      <c r="E561" s="354" t="inlineStr">
        <is>
          <t>S6D125E-3</t>
        </is>
      </c>
      <c r="F561" s="356" t="inlineStr">
        <is>
          <t>6156-81-8170</t>
        </is>
      </c>
      <c r="G561" s="354" t="n"/>
      <c r="H561" s="357" t="inlineStr">
        <is>
          <t>SL</t>
        </is>
      </c>
      <c r="I561" s="358" t="n"/>
      <c r="J561" s="358" t="n"/>
      <c r="K561" s="358" t="n"/>
      <c r="L561" s="358">
        <f>IF(K561="","",K561*1.1)</f>
        <v/>
      </c>
      <c r="M561" s="359" t="n">
        <v>96.589</v>
      </c>
      <c r="N561" s="359" t="n">
        <v>66.2</v>
      </c>
      <c r="O561" s="359" t="inlineStr">
        <is>
          <t>7/7</t>
        </is>
      </c>
      <c r="P561" s="359" t="n">
        <v>87.2</v>
      </c>
      <c r="Q561" s="359" t="n">
        <v>78.2</v>
      </c>
      <c r="R561" s="359" t="n">
        <v>10</v>
      </c>
      <c r="T561" s="216">
        <f>UPPER(A561&amp;" "&amp;B561&amp;" "&amp;D561&amp;" "&amp;E561&amp;" "&amp;F561&amp;" "&amp;G561&amp;" "&amp;H561)</f>
        <v/>
      </c>
      <c r="U561" s="216">
        <f>IF(AND('TRA CỨU TỔNG HỢP'!$B$3&lt;&gt;"",ISNUMBER(SEARCH('TRA CỨU TỔNG HỢP'!$B$3,T561))),MAX($U$3:U560)+1,"")</f>
        <v/>
      </c>
    </row>
    <row r="562" ht="15" customHeight="1" s="217">
      <c r="A562" s="354" t="inlineStr">
        <is>
          <t>KOMATSU</t>
        </is>
      </c>
      <c r="B562" s="355" t="inlineStr">
        <is>
          <t>HH079171</t>
        </is>
      </c>
      <c r="C562" s="354" t="inlineStr">
        <is>
          <t>IHI</t>
        </is>
      </c>
      <c r="D562" s="354" t="inlineStr">
        <is>
          <t>KTR90</t>
        </is>
      </c>
      <c r="E562" s="354" t="inlineStr">
        <is>
          <t>S6D125E-5</t>
        </is>
      </c>
      <c r="F562" s="356" t="inlineStr">
        <is>
          <t>6506-21-5020</t>
        </is>
      </c>
      <c r="G562" s="354" t="n"/>
      <c r="H562" s="357" t="inlineStr">
        <is>
          <t>1815</t>
        </is>
      </c>
      <c r="I562" s="358" t="n"/>
      <c r="J562" s="358" t="n"/>
      <c r="K562" s="358" t="n"/>
      <c r="L562" s="358">
        <f>IF(K562="","",K562*1.1)</f>
        <v/>
      </c>
      <c r="M562" s="359" t="n"/>
      <c r="N562" s="359" t="n"/>
      <c r="O562" s="359" t="n"/>
      <c r="P562" s="359" t="n"/>
      <c r="Q562" s="359" t="n"/>
      <c r="R562" s="359" t="n"/>
      <c r="T562" s="216">
        <f>UPPER(A562&amp;" "&amp;B562&amp;" "&amp;D562&amp;" "&amp;E562&amp;" "&amp;F562&amp;" "&amp;G562&amp;" "&amp;H562)</f>
        <v/>
      </c>
      <c r="U562" s="216">
        <f>IF(AND('TRA CỨU TỔNG HỢP'!$B$3&lt;&gt;"",ISNUMBER(SEARCH('TRA CỨU TỔNG HỢP'!$B$3,T562))),MAX($U$3:U561)+1,"")</f>
        <v/>
      </c>
    </row>
    <row r="563" ht="15" customHeight="1" s="217">
      <c r="A563" s="340" t="inlineStr">
        <is>
          <t>KOMATSU</t>
        </is>
      </c>
      <c r="B563" s="341" t="inlineStr">
        <is>
          <t>HH071777</t>
        </is>
      </c>
      <c r="C563" s="340" t="inlineStr">
        <is>
          <t>IHI</t>
        </is>
      </c>
      <c r="D563" s="340" t="inlineStr">
        <is>
          <t>KTR110</t>
        </is>
      </c>
      <c r="E563" s="340" t="inlineStr">
        <is>
          <t>S6D140E-1/-2C/2B/2D</t>
        </is>
      </c>
      <c r="F563" s="342" t="inlineStr">
        <is>
          <t>6505-52-5410</t>
        </is>
      </c>
      <c r="G563" s="340" t="n"/>
      <c r="H563" s="343" t="n"/>
      <c r="I563" s="344" t="n"/>
      <c r="J563" s="344" t="n"/>
      <c r="K563" s="344" t="n"/>
      <c r="L563" s="344">
        <f>IF(K563="","",K563*1.1)</f>
        <v/>
      </c>
      <c r="M563" s="345" t="n">
        <v>109</v>
      </c>
      <c r="N563" s="345" t="n">
        <v>72</v>
      </c>
      <c r="O563" s="345" t="inlineStr">
        <is>
          <t>8/8</t>
        </is>
      </c>
      <c r="P563" s="345" t="n">
        <v>102.8</v>
      </c>
      <c r="Q563" s="345" t="n">
        <v>86.3</v>
      </c>
      <c r="R563" s="345" t="inlineStr">
        <is>
          <t>11反</t>
        </is>
      </c>
      <c r="T563" s="216">
        <f>UPPER(A563&amp;" "&amp;B563&amp;" "&amp;D563&amp;" "&amp;E563&amp;" "&amp;F563&amp;" "&amp;G563&amp;" "&amp;H563)</f>
        <v/>
      </c>
      <c r="U563" s="216">
        <f>IF(AND('TRA CỨU TỔNG HỢP'!$B$3&lt;&gt;"",ISNUMBER(SEARCH('TRA CỨU TỔNG HỢP'!$B$3,T563))),MAX($U$3:U562)+1,"")</f>
        <v/>
      </c>
    </row>
    <row r="564" ht="15" customHeight="1" s="217">
      <c r="A564" s="347" t="inlineStr">
        <is>
          <t>KOMATSU</t>
        </is>
      </c>
      <c r="B564" s="348" t="inlineStr">
        <is>
          <t>HH080002</t>
        </is>
      </c>
      <c r="C564" s="349" t="inlineStr">
        <is>
          <t>IHI</t>
        </is>
      </c>
      <c r="D564" s="349" t="inlineStr">
        <is>
          <t>KTR110</t>
        </is>
      </c>
      <c r="E564" s="349" t="inlineStr">
        <is>
          <t>S6D140E-1/-2C/2B/2D</t>
        </is>
      </c>
      <c r="F564" s="350" t="inlineStr">
        <is>
          <t>6505-52-5410</t>
        </is>
      </c>
      <c r="G564" s="349" t="n"/>
      <c r="H564" s="351" t="n"/>
      <c r="I564" s="352" t="n"/>
      <c r="J564" s="352" t="n"/>
      <c r="K564" s="352" t="n"/>
      <c r="L564" s="352">
        <f>IF(K564="","",K564*1.1)</f>
        <v/>
      </c>
      <c r="M564" s="353" t="n">
        <v>109</v>
      </c>
      <c r="N564" s="353" t="n">
        <v>72</v>
      </c>
      <c r="O564" s="353" t="inlineStr">
        <is>
          <t>8/8</t>
        </is>
      </c>
      <c r="P564" s="353" t="n">
        <v>102.8</v>
      </c>
      <c r="Q564" s="353" t="n">
        <v>86.3</v>
      </c>
      <c r="R564" s="353" t="inlineStr">
        <is>
          <t>11反</t>
        </is>
      </c>
      <c r="T564" s="216">
        <f>UPPER(A564&amp;" "&amp;B564&amp;" "&amp;D564&amp;" "&amp;E564&amp;" "&amp;F564&amp;" "&amp;G564&amp;" "&amp;H564)</f>
        <v/>
      </c>
      <c r="U564" s="216">
        <f>IF(AND('TRA CỨU TỔNG HỢP'!$B$3&lt;&gt;"",ISNUMBER(SEARCH('TRA CỨU TỔNG HỢP'!$B$3,T564))),MAX($U$3:U563)+1,"")</f>
        <v/>
      </c>
    </row>
    <row r="565" ht="15" customHeight="1" s="217">
      <c r="A565" s="340" t="inlineStr">
        <is>
          <t>KOMATSU</t>
        </is>
      </c>
      <c r="B565" s="341" t="inlineStr">
        <is>
          <t>HH077186</t>
        </is>
      </c>
      <c r="C565" s="340" t="inlineStr">
        <is>
          <t>IHI</t>
        </is>
      </c>
      <c r="D565" s="340" t="inlineStr">
        <is>
          <t>KTR110/KTR113</t>
        </is>
      </c>
      <c r="E565" s="340" t="inlineStr">
        <is>
          <t>S6D140E-3/SAA6D170E-3A/3B/3D / SAA6D170</t>
        </is>
      </c>
      <c r="F565" s="342" t="inlineStr">
        <is>
          <t>6505-61-5030</t>
        </is>
      </c>
      <c r="G565" s="340" t="n"/>
      <c r="H565" s="343" t="n"/>
      <c r="I565" s="344" t="n"/>
      <c r="J565" s="344" t="n"/>
      <c r="K565" s="344" t="n"/>
      <c r="L565" s="344">
        <f>IF(K565="","",K565*1.1)</f>
        <v/>
      </c>
      <c r="M565" s="345" t="n">
        <v>113.2</v>
      </c>
      <c r="N565" s="345" t="n">
        <v>80</v>
      </c>
      <c r="O565" s="345" t="inlineStr">
        <is>
          <t>8/8（反）</t>
        </is>
      </c>
      <c r="P565" s="345" t="n">
        <v>105.5</v>
      </c>
      <c r="Q565" s="345" t="n">
        <v>96</v>
      </c>
      <c r="R565" s="345" t="inlineStr">
        <is>
          <t>11（反）</t>
        </is>
      </c>
      <c r="T565" s="216">
        <f>UPPER(A565&amp;" "&amp;B565&amp;" "&amp;D565&amp;" "&amp;E565&amp;" "&amp;F565&amp;" "&amp;G565&amp;" "&amp;H565)</f>
        <v/>
      </c>
      <c r="U565" s="216">
        <f>IF(AND('TRA CỨU TỔNG HỢP'!$B$3&lt;&gt;"",ISNUMBER(SEARCH('TRA CỨU TỔNG HỢP'!$B$3,T565))),MAX($U$3:U564)+1,"")</f>
        <v/>
      </c>
    </row>
    <row r="566" ht="15" customHeight="1" s="217">
      <c r="A566" s="347" t="inlineStr">
        <is>
          <t>KOMATSU</t>
        </is>
      </c>
      <c r="B566" s="348" t="inlineStr">
        <is>
          <t>HH080007</t>
        </is>
      </c>
      <c r="C566" s="349" t="inlineStr">
        <is>
          <t>IHI</t>
        </is>
      </c>
      <c r="D566" s="349" t="inlineStr">
        <is>
          <t>KTR110/KTR113</t>
        </is>
      </c>
      <c r="E566" s="349" t="inlineStr">
        <is>
          <t>S6D140E-3/SAA6D170E-3A/3B/3D / SAA6D170</t>
        </is>
      </c>
      <c r="F566" s="350" t="inlineStr">
        <is>
          <t>6505-61-5030</t>
        </is>
      </c>
      <c r="G566" s="349" t="n"/>
      <c r="H566" s="351" t="inlineStr">
        <is>
          <t>SL</t>
        </is>
      </c>
      <c r="I566" s="352" t="n"/>
      <c r="J566" s="352" t="n"/>
      <c r="K566" s="352" t="n"/>
      <c r="L566" s="352">
        <f>IF(K566="","",K566*1.1)</f>
        <v/>
      </c>
      <c r="M566" s="353" t="n">
        <v>113.2</v>
      </c>
      <c r="N566" s="353" t="n">
        <v>80</v>
      </c>
      <c r="O566" s="353" t="inlineStr">
        <is>
          <t>8/8（反）</t>
        </is>
      </c>
      <c r="P566" s="353" t="n">
        <v>105.5</v>
      </c>
      <c r="Q566" s="353" t="n">
        <v>96</v>
      </c>
      <c r="R566" s="353" t="inlineStr">
        <is>
          <t>11（反）</t>
        </is>
      </c>
      <c r="T566" s="216">
        <f>UPPER(A566&amp;" "&amp;B566&amp;" "&amp;D566&amp;" "&amp;E566&amp;" "&amp;F566&amp;" "&amp;G566&amp;" "&amp;H566)</f>
        <v/>
      </c>
      <c r="U566" s="216">
        <f>IF(AND('TRA CỨU TỔNG HỢP'!$B$3&lt;&gt;"",ISNUMBER(SEARCH('TRA CỨU TỔNG HỢP'!$B$3,T566))),MAX($U$3:U565)+1,"")</f>
        <v/>
      </c>
    </row>
    <row r="567" ht="15" customHeight="1" s="217">
      <c r="A567" s="340" t="inlineStr">
        <is>
          <t>KOMATSU</t>
        </is>
      </c>
      <c r="B567" s="341" t="inlineStr">
        <is>
          <t>HH078403</t>
        </is>
      </c>
      <c r="C567" s="340" t="inlineStr">
        <is>
          <t>IHI</t>
        </is>
      </c>
      <c r="D567" s="340" t="inlineStr">
        <is>
          <t>KTR110</t>
        </is>
      </c>
      <c r="E567" s="340" t="inlineStr">
        <is>
          <t>S6D140/SAA12V140/D155A</t>
        </is>
      </c>
      <c r="F567" s="342" t="inlineStr">
        <is>
          <t>6505-67-5040
6505-67-5030</t>
        </is>
      </c>
      <c r="G567" s="340" t="n"/>
      <c r="H567" s="343" t="inlineStr">
        <is>
          <t>SL</t>
        </is>
      </c>
      <c r="I567" s="344" t="n"/>
      <c r="J567" s="344" t="n"/>
      <c r="K567" s="344" t="n"/>
      <c r="L567" s="344">
        <f>IF(K567="","",K567*1.1)</f>
        <v/>
      </c>
      <c r="M567" s="345" t="n">
        <v>113.706</v>
      </c>
      <c r="N567" s="345" t="n">
        <v>82</v>
      </c>
      <c r="O567" s="345" t="inlineStr">
        <is>
          <t>9/9反</t>
        </is>
      </c>
      <c r="P567" s="345" t="n">
        <v>105.5</v>
      </c>
      <c r="Q567" s="345" t="n">
        <v>96</v>
      </c>
      <c r="R567" s="345" t="inlineStr">
        <is>
          <t>11反</t>
        </is>
      </c>
      <c r="T567" s="346">
        <f>UPPER(A567&amp;" "&amp;B567&amp;" "&amp;D567&amp;" "&amp;E567&amp;" "&amp;F567&amp;" "&amp;G567&amp;" "&amp;H567)</f>
        <v/>
      </c>
      <c r="U567" s="216">
        <f>IF(AND('TRA CỨU TỔNG HỢP'!$B$3&lt;&gt;"",ISNUMBER(SEARCH('TRA CỨU TỔNG HỢP'!$B$3,T567))),MAX($U$3:U566)+1,"")</f>
        <v/>
      </c>
    </row>
    <row r="568" ht="15" customHeight="1" s="217">
      <c r="A568" s="347" t="inlineStr">
        <is>
          <t>KOMATSU</t>
        </is>
      </c>
      <c r="B568" s="348" t="inlineStr">
        <is>
          <t>HH078713</t>
        </is>
      </c>
      <c r="C568" s="349" t="inlineStr">
        <is>
          <t>IHI</t>
        </is>
      </c>
      <c r="D568" s="349" t="inlineStr">
        <is>
          <t>KTR110</t>
        </is>
      </c>
      <c r="E568" s="349" t="inlineStr">
        <is>
          <t>S6D140/SAA12V140/D155A</t>
        </is>
      </c>
      <c r="F568" s="350" t="inlineStr">
        <is>
          <t>6505-67-5040
6505-67-5030</t>
        </is>
      </c>
      <c r="G568" s="349" t="n"/>
      <c r="H568" s="351" t="inlineStr">
        <is>
          <t>SL</t>
        </is>
      </c>
      <c r="I568" s="352" t="n"/>
      <c r="J568" s="352" t="n"/>
      <c r="K568" s="352" t="n"/>
      <c r="L568" s="352">
        <f>IF(K568="","",K568*1.1)</f>
        <v/>
      </c>
      <c r="M568" s="353" t="n">
        <v>113.706</v>
      </c>
      <c r="N568" s="353" t="n">
        <v>82</v>
      </c>
      <c r="O568" s="353" t="inlineStr">
        <is>
          <t>9/9反</t>
        </is>
      </c>
      <c r="P568" s="353" t="n">
        <v>105.5</v>
      </c>
      <c r="Q568" s="353" t="n">
        <v>96</v>
      </c>
      <c r="R568" s="353" t="inlineStr">
        <is>
          <t>11反</t>
        </is>
      </c>
      <c r="T568" s="346">
        <f>UPPER(A568&amp;" "&amp;B568&amp;" "&amp;D568&amp;" "&amp;E568&amp;" "&amp;F568&amp;" "&amp;G568&amp;" "&amp;H568)</f>
        <v/>
      </c>
      <c r="U568" s="216">
        <f>IF(AND('TRA CỨU TỔNG HỢP'!$B$3&lt;&gt;"",ISNUMBER(SEARCH('TRA CỨU TỔNG HỢP'!$B$3,T568))),MAX($U$3:U567)+1,"")</f>
        <v/>
      </c>
    </row>
    <row r="569" ht="15" customHeight="1" s="217">
      <c r="A569" s="354" t="inlineStr">
        <is>
          <t>KOMATSU</t>
        </is>
      </c>
      <c r="B569" s="355" t="inlineStr">
        <is>
          <t>HH075280</t>
        </is>
      </c>
      <c r="C569" s="354" t="inlineStr">
        <is>
          <t>IHI</t>
        </is>
      </c>
      <c r="D569" s="354" t="inlineStr">
        <is>
          <t>KTR100</t>
        </is>
      </c>
      <c r="E569" s="354" t="inlineStr">
        <is>
          <t>S4D120/S4D130</t>
        </is>
      </c>
      <c r="F569" s="356" t="inlineStr">
        <is>
          <t>6501-11-3100</t>
        </is>
      </c>
      <c r="G569" s="354" t="n"/>
      <c r="H569" s="357" t="inlineStr">
        <is>
          <t>MX</t>
        </is>
      </c>
      <c r="I569" s="358" t="n"/>
      <c r="J569" s="358" t="n"/>
      <c r="K569" s="358" t="n"/>
      <c r="L569" s="358">
        <f>IF(K569="","",K569*1.1)</f>
        <v/>
      </c>
      <c r="M569" s="359" t="n"/>
      <c r="N569" s="359" t="n"/>
      <c r="O569" s="359" t="n"/>
      <c r="P569" s="359" t="n"/>
      <c r="Q569" s="359" t="n"/>
      <c r="R569" s="359" t="n"/>
      <c r="T569" s="216">
        <f>UPPER(A569&amp;" "&amp;B569&amp;" "&amp;D569&amp;" "&amp;E569&amp;" "&amp;F569&amp;" "&amp;G569&amp;" "&amp;H569)</f>
        <v/>
      </c>
      <c r="U569" s="216">
        <f>IF(AND('TRA CỨU TỔNG HỢP'!$B$3&lt;&gt;"",ISNUMBER(SEARCH('TRA CỨU TỔNG HỢP'!$B$3,T569))),MAX($U$3:U568)+1,"")</f>
        <v/>
      </c>
    </row>
    <row r="570" ht="15" customHeight="1" s="217">
      <c r="A570" s="354" t="inlineStr">
        <is>
          <t>KOMATSU</t>
        </is>
      </c>
      <c r="B570" s="355" t="inlineStr">
        <is>
          <t>HH076790</t>
        </is>
      </c>
      <c r="C570" s="354" t="inlineStr">
        <is>
          <t>IHI</t>
        </is>
      </c>
      <c r="D570" s="354" t="inlineStr">
        <is>
          <t>KTR130</t>
        </is>
      </c>
      <c r="E570" s="354" t="inlineStr">
        <is>
          <t>S6D155</t>
        </is>
      </c>
      <c r="F570" s="356" t="inlineStr">
        <is>
          <t>6502-10-9004
6502-12-9003</t>
        </is>
      </c>
      <c r="G570" s="354" t="n"/>
      <c r="H570" s="357" t="inlineStr">
        <is>
          <t>MX</t>
        </is>
      </c>
      <c r="I570" s="358" t="n"/>
      <c r="J570" s="358" t="n"/>
      <c r="K570" s="358" t="n"/>
      <c r="L570" s="358">
        <f>IF(K570="","",K570*1.1)</f>
        <v/>
      </c>
      <c r="M570" s="359" t="n">
        <v>130</v>
      </c>
      <c r="N570" s="359" t="n">
        <v>80.59999999999999</v>
      </c>
      <c r="O570" s="359" t="inlineStr">
        <is>
          <t>8/8反</t>
        </is>
      </c>
      <c r="P570" s="359" t="n">
        <v>130</v>
      </c>
      <c r="Q570" s="359" t="n">
        <v>98</v>
      </c>
      <c r="R570" s="359" t="inlineStr">
        <is>
          <t>8/8反</t>
        </is>
      </c>
      <c r="T570" s="346">
        <f>UPPER(A570&amp;" "&amp;B570&amp;" "&amp;D570&amp;" "&amp;E570&amp;" "&amp;F570&amp;" "&amp;G570&amp;" "&amp;H570)</f>
        <v/>
      </c>
      <c r="U570" s="216">
        <f>IF(AND('TRA CỨU TỔNG HỢP'!$B$3&lt;&gt;"",ISNUMBER(SEARCH('TRA CỨU TỔNG HỢP'!$B$3,T570))),MAX($U$3:U569)+1,"")</f>
        <v/>
      </c>
    </row>
    <row r="571" ht="15" customHeight="1" s="217">
      <c r="A571" s="340" t="inlineStr">
        <is>
          <t>KOMATSU</t>
        </is>
      </c>
      <c r="B571" s="341" t="inlineStr">
        <is>
          <t>HH083045</t>
        </is>
      </c>
      <c r="C571" s="340" t="inlineStr">
        <is>
          <t>IHI</t>
        </is>
      </c>
      <c r="D571" s="340" t="inlineStr">
        <is>
          <t>KTR130</t>
        </is>
      </c>
      <c r="E571" s="340" t="inlineStr">
        <is>
          <t>S6D155</t>
        </is>
      </c>
      <c r="F571" s="342" t="inlineStr">
        <is>
          <t>6502-12-9005
319032</t>
        </is>
      </c>
      <c r="G571" s="340" t="n"/>
      <c r="H571" s="343" t="inlineStr">
        <is>
          <t>SL</t>
        </is>
      </c>
      <c r="I571" s="344" t="n"/>
      <c r="J571" s="344" t="n"/>
      <c r="K571" s="344" t="n"/>
      <c r="L571" s="344">
        <f>IF(K571="","",K571*1.1)</f>
        <v/>
      </c>
      <c r="M571" s="345" t="n">
        <v>130</v>
      </c>
      <c r="N571" s="345" t="n">
        <v>80.59999999999999</v>
      </c>
      <c r="O571" s="345" t="inlineStr">
        <is>
          <t>8/8反</t>
        </is>
      </c>
      <c r="P571" s="345" t="n">
        <v>130</v>
      </c>
      <c r="Q571" s="345" t="n">
        <v>98</v>
      </c>
      <c r="R571" s="345" t="inlineStr">
        <is>
          <t>8/8反</t>
        </is>
      </c>
      <c r="T571" s="346">
        <f>UPPER(A571&amp;" "&amp;B571&amp;" "&amp;D571&amp;" "&amp;E571&amp;" "&amp;F571&amp;" "&amp;G571&amp;" "&amp;H571)</f>
        <v/>
      </c>
      <c r="U571" s="216">
        <f>IF(AND('TRA CỨU TỔNG HỢP'!$B$3&lt;&gt;"",ISNUMBER(SEARCH('TRA CỨU TỔNG HỢP'!$B$3,T571))),MAX($U$3:U570)+1,"")</f>
        <v/>
      </c>
    </row>
    <row r="572" ht="15" customHeight="1" s="217">
      <c r="A572" s="347" t="inlineStr">
        <is>
          <t>KOMATSU</t>
        </is>
      </c>
      <c r="B572" s="348" t="inlineStr">
        <is>
          <t>HH083442</t>
        </is>
      </c>
      <c r="C572" s="349" t="inlineStr">
        <is>
          <t>IHI</t>
        </is>
      </c>
      <c r="D572" s="349" t="inlineStr">
        <is>
          <t>KTR130</t>
        </is>
      </c>
      <c r="E572" s="349" t="inlineStr">
        <is>
          <t>S6D155</t>
        </is>
      </c>
      <c r="F572" s="350" t="inlineStr">
        <is>
          <t>6502-12-9005
319032</t>
        </is>
      </c>
      <c r="G572" s="349" t="n"/>
      <c r="H572" s="351" t="inlineStr">
        <is>
          <t>SL</t>
        </is>
      </c>
      <c r="I572" s="352" t="n"/>
      <c r="J572" s="352" t="n"/>
      <c r="K572" s="352" t="n"/>
      <c r="L572" s="352">
        <f>IF(K572="","",K572*1.1)</f>
        <v/>
      </c>
      <c r="M572" s="353" t="n">
        <v>130</v>
      </c>
      <c r="N572" s="353" t="n">
        <v>80.59999999999999</v>
      </c>
      <c r="O572" s="353" t="inlineStr">
        <is>
          <t>8/8反</t>
        </is>
      </c>
      <c r="P572" s="353" t="n">
        <v>130</v>
      </c>
      <c r="Q572" s="353" t="n">
        <v>98</v>
      </c>
      <c r="R572" s="353" t="inlineStr">
        <is>
          <t>8/8反</t>
        </is>
      </c>
      <c r="T572" s="346">
        <f>UPPER(A572&amp;" "&amp;B572&amp;" "&amp;D572&amp;" "&amp;E572&amp;" "&amp;F572&amp;" "&amp;G572&amp;" "&amp;H572)</f>
        <v/>
      </c>
      <c r="U572" s="216">
        <f>IF(AND('TRA CỨU TỔNG HỢP'!$B$3&lt;&gt;"",ISNUMBER(SEARCH('TRA CỨU TỔNG HỢP'!$B$3,T572))),MAX($U$3:U571)+1,"")</f>
        <v/>
      </c>
    </row>
    <row r="573" ht="19.5" customHeight="1" s="217">
      <c r="A573" s="378" t="inlineStr">
        <is>
          <t xml:space="preserve">  🏭  KUBOTA   ·   10 loại turbo</t>
        </is>
      </c>
      <c r="U573" s="216">
        <f>IF(AND('TRA CỨU TỔNG HỢP'!$B$3&lt;&gt;"",ISNUMBER(SEARCH('TRA CỨU TỔNG HỢP'!$B$3,T573))),MAX($U$3:U572)+1,"")</f>
        <v/>
      </c>
    </row>
    <row r="574" ht="15" customHeight="1" s="217">
      <c r="A574" s="340" t="inlineStr">
        <is>
          <t>KUBOTA</t>
        </is>
      </c>
      <c r="B574" s="341" t="inlineStr">
        <is>
          <t>HH080916</t>
        </is>
      </c>
      <c r="C574" s="340" t="inlineStr">
        <is>
          <t>Mitsubishi</t>
        </is>
      </c>
      <c r="D574" s="340" t="inlineStr">
        <is>
          <t>TD04HL-13G</t>
        </is>
      </c>
      <c r="E574" s="340" t="inlineStr">
        <is>
          <t>V3800</t>
        </is>
      </c>
      <c r="F574" s="342" t="inlineStr">
        <is>
          <t>49189-00910</t>
        </is>
      </c>
      <c r="G574" s="340" t="n"/>
      <c r="H574" s="343" t="inlineStr">
        <is>
          <t>TBS</t>
        </is>
      </c>
      <c r="I574" s="344" t="n"/>
      <c r="J574" s="344" t="n"/>
      <c r="K574" s="344" t="n"/>
      <c r="L574" s="344">
        <f>IF(K574="","",K574*1.1)</f>
        <v/>
      </c>
      <c r="M574" s="345" t="n"/>
      <c r="N574" s="345" t="n"/>
      <c r="O574" s="345" t="n"/>
      <c r="P574" s="345" t="n"/>
      <c r="Q574" s="345" t="n"/>
      <c r="R574" s="345" t="n"/>
      <c r="T574" s="216">
        <f>UPPER(A574&amp;" "&amp;B574&amp;" "&amp;D574&amp;" "&amp;E574&amp;" "&amp;F574&amp;" "&amp;G574&amp;" "&amp;H574)</f>
        <v/>
      </c>
      <c r="U574" s="216">
        <f>IF(AND('TRA CỨU TỔNG HỢP'!$B$3&lt;&gt;"",ISNUMBER(SEARCH('TRA CỨU TỔNG HỢP'!$B$3,T574))),MAX($U$3:U573)+1,"")</f>
        <v/>
      </c>
    </row>
    <row r="575" ht="15" customHeight="1" s="217">
      <c r="A575" s="347" t="inlineStr">
        <is>
          <t>KUBOTA</t>
        </is>
      </c>
      <c r="B575" s="348" t="inlineStr">
        <is>
          <t>HH081575</t>
        </is>
      </c>
      <c r="C575" s="349" t="inlineStr">
        <is>
          <t>Mitsubishi</t>
        </is>
      </c>
      <c r="D575" s="349" t="inlineStr">
        <is>
          <t>TD04HL-13G</t>
        </is>
      </c>
      <c r="E575" s="349" t="inlineStr">
        <is>
          <t>V3800</t>
        </is>
      </c>
      <c r="F575" s="350" t="inlineStr">
        <is>
          <t>49189-00910</t>
        </is>
      </c>
      <c r="G575" s="349" t="n"/>
      <c r="H575" s="351" t="inlineStr">
        <is>
          <t>TBS</t>
        </is>
      </c>
      <c r="I575" s="352" t="n"/>
      <c r="J575" s="352" t="n"/>
      <c r="K575" s="352" t="n"/>
      <c r="L575" s="352">
        <f>IF(K575="","",K575*1.1)</f>
        <v/>
      </c>
      <c r="M575" s="353" t="n"/>
      <c r="N575" s="353" t="n"/>
      <c r="O575" s="353" t="n"/>
      <c r="P575" s="353" t="n"/>
      <c r="Q575" s="353" t="n"/>
      <c r="R575" s="353" t="n"/>
      <c r="T575" s="216">
        <f>UPPER(A575&amp;" "&amp;B575&amp;" "&amp;D575&amp;" "&amp;E575&amp;" "&amp;F575&amp;" "&amp;G575&amp;" "&amp;H575)</f>
        <v/>
      </c>
      <c r="U575" s="216">
        <f>IF(AND('TRA CỨU TỔNG HỢP'!$B$3&lt;&gt;"",ISNUMBER(SEARCH('TRA CỨU TỔNG HỢP'!$B$3,T575))),MAX($U$3:U574)+1,"")</f>
        <v/>
      </c>
    </row>
    <row r="576" ht="15" customHeight="1" s="217">
      <c r="A576" s="354" t="inlineStr">
        <is>
          <t>KUBOTA</t>
        </is>
      </c>
      <c r="B576" s="355" t="inlineStr">
        <is>
          <t>HH077144</t>
        </is>
      </c>
      <c r="C576" s="354" t="inlineStr">
        <is>
          <t>Mitsubishi</t>
        </is>
      </c>
      <c r="D576" s="354" t="inlineStr">
        <is>
          <t>TD04HL4</t>
        </is>
      </c>
      <c r="E576" s="354" t="inlineStr">
        <is>
          <t>4M50T</t>
        </is>
      </c>
      <c r="F576" s="356" t="inlineStr">
        <is>
          <t>49389-02140
ME444897
8M04-200-H83</t>
        </is>
      </c>
      <c r="G576" s="354" t="n"/>
      <c r="H576" s="357" t="inlineStr">
        <is>
          <t>JRONE</t>
        </is>
      </c>
      <c r="I576" s="358" t="n"/>
      <c r="J576" s="358" t="n"/>
      <c r="K576" s="358" t="n"/>
      <c r="L576" s="358">
        <f>IF(K576="","",K576*1.1)</f>
        <v/>
      </c>
      <c r="M576" s="359" t="n"/>
      <c r="N576" s="359" t="n"/>
      <c r="O576" s="359" t="n"/>
      <c r="P576" s="359" t="n"/>
      <c r="Q576" s="359" t="n"/>
      <c r="R576" s="359" t="n"/>
      <c r="T576" s="346">
        <f>UPPER(A576&amp;" "&amp;B576&amp;" "&amp;D576&amp;" "&amp;E576&amp;" "&amp;F576&amp;" "&amp;G576&amp;" "&amp;H576)</f>
        <v/>
      </c>
      <c r="U576" s="216">
        <f>IF(AND('TRA CỨU TỔNG HỢP'!$B$3&lt;&gt;"",ISNUMBER(SEARCH('TRA CỨU TỔNG HỢP'!$B$3,T576))),MAX($U$3:U575)+1,"")</f>
        <v/>
      </c>
    </row>
    <row r="577" ht="15" customHeight="1" s="217">
      <c r="A577" s="340" t="inlineStr">
        <is>
          <t>KUBOTA</t>
        </is>
      </c>
      <c r="B577" s="341" t="inlineStr">
        <is>
          <t>HH079126</t>
        </is>
      </c>
      <c r="C577" s="340" t="inlineStr">
        <is>
          <t>Mitsubishi</t>
        </is>
      </c>
      <c r="D577" s="340" t="inlineStr">
        <is>
          <t>TD025</t>
        </is>
      </c>
      <c r="E577" s="340" t="inlineStr">
        <is>
          <t>V1505</t>
        </is>
      </c>
      <c r="F577" s="342" t="inlineStr">
        <is>
          <t>49373-01100
49173-03010
03100
ME444897
8M02-200-N02
49173-03400</t>
        </is>
      </c>
      <c r="G577" s="340" t="n"/>
      <c r="H577" s="343" t="inlineStr">
        <is>
          <t>JRONE</t>
        </is>
      </c>
      <c r="I577" s="344" t="n"/>
      <c r="J577" s="344" t="n"/>
      <c r="K577" s="344" t="n"/>
      <c r="L577" s="344">
        <f>IF(K577="","",K577*1.1)</f>
        <v/>
      </c>
      <c r="M577" s="345" t="n">
        <v>40</v>
      </c>
      <c r="N577" s="345" t="n">
        <v>27.8</v>
      </c>
      <c r="O577" s="345" t="inlineStr">
        <is>
          <t>6/6</t>
        </is>
      </c>
      <c r="P577" s="345" t="n">
        <v>37</v>
      </c>
      <c r="Q577" s="345" t="n">
        <v>31.5</v>
      </c>
      <c r="R577" s="345" t="n">
        <v>12</v>
      </c>
      <c r="T577" s="346">
        <f>UPPER(A577&amp;" "&amp;B577&amp;" "&amp;D577&amp;" "&amp;E577&amp;" "&amp;F577&amp;" "&amp;G577&amp;" "&amp;H577)</f>
        <v/>
      </c>
      <c r="U577" s="216">
        <f>IF(AND('TRA CỨU TỔNG HỢP'!$B$3&lt;&gt;"",ISNUMBER(SEARCH('TRA CỨU TỔNG HỢP'!$B$3,T577))),MAX($U$3:U576)+1,"")</f>
        <v/>
      </c>
    </row>
    <row r="578" ht="15" customHeight="1" s="217">
      <c r="A578" s="347" t="inlineStr">
        <is>
          <t>KUBOTA</t>
        </is>
      </c>
      <c r="B578" s="348" t="inlineStr">
        <is>
          <t>HH080744</t>
        </is>
      </c>
      <c r="C578" s="349" t="inlineStr">
        <is>
          <t>Mitsubishi</t>
        </is>
      </c>
      <c r="D578" s="349" t="inlineStr">
        <is>
          <t>TD025</t>
        </is>
      </c>
      <c r="E578" s="349" t="inlineStr">
        <is>
          <t>V1505</t>
        </is>
      </c>
      <c r="F578" s="350" t="inlineStr">
        <is>
          <t>49373-01100
49173-03010
03100
ME444897
8M02-200-N02
49173-03400</t>
        </is>
      </c>
      <c r="G578" s="349" t="n"/>
      <c r="H578" s="351" t="inlineStr">
        <is>
          <t>SL</t>
        </is>
      </c>
      <c r="I578" s="352" t="n"/>
      <c r="J578" s="352" t="n"/>
      <c r="K578" s="352" t="n"/>
      <c r="L578" s="352">
        <f>IF(K578="","",K578*1.1)</f>
        <v/>
      </c>
      <c r="M578" s="353" t="n">
        <v>40</v>
      </c>
      <c r="N578" s="353" t="n">
        <v>27.8</v>
      </c>
      <c r="O578" s="353" t="inlineStr">
        <is>
          <t>6/6</t>
        </is>
      </c>
      <c r="P578" s="353" t="n">
        <v>37</v>
      </c>
      <c r="Q578" s="353" t="n">
        <v>31.5</v>
      </c>
      <c r="R578" s="353" t="n">
        <v>12</v>
      </c>
      <c r="T578" s="346">
        <f>UPPER(A578&amp;" "&amp;B578&amp;" "&amp;D578&amp;" "&amp;E578&amp;" "&amp;F578&amp;" "&amp;G578&amp;" "&amp;H578)</f>
        <v/>
      </c>
      <c r="U578" s="216">
        <f>IF(AND('TRA CỨU TỔNG HỢP'!$B$3&lt;&gt;"",ISNUMBER(SEARCH('TRA CỨU TỔNG HỢP'!$B$3,T578))),MAX($U$3:U577)+1,"")</f>
        <v/>
      </c>
    </row>
    <row r="579" ht="15" customHeight="1" s="217">
      <c r="A579" s="354" t="inlineStr">
        <is>
          <t>KUBOTA</t>
        </is>
      </c>
      <c r="B579" s="355" t="inlineStr">
        <is>
          <t>HH078444</t>
        </is>
      </c>
      <c r="C579" s="354" t="inlineStr">
        <is>
          <t>IHI</t>
        </is>
      </c>
      <c r="D579" s="354" t="inlineStr">
        <is>
          <t>RHF3</t>
        </is>
      </c>
      <c r="E579" s="354" t="inlineStr">
        <is>
          <t>V2607</t>
        </is>
      </c>
      <c r="F579" s="356" t="inlineStr">
        <is>
          <t>1J700-17010</t>
        </is>
      </c>
      <c r="G579" s="354" t="n"/>
      <c r="H579" s="357" t="inlineStr">
        <is>
          <t>VIDARIR</t>
        </is>
      </c>
      <c r="I579" s="358" t="n"/>
      <c r="J579" s="358" t="n"/>
      <c r="K579" s="358" t="n"/>
      <c r="L579" s="358">
        <f>IF(K579="","",K579*1.1)</f>
        <v/>
      </c>
      <c r="M579" s="359" t="n"/>
      <c r="N579" s="359" t="n"/>
      <c r="O579" s="359" t="n"/>
      <c r="P579" s="359" t="n"/>
      <c r="Q579" s="359" t="n"/>
      <c r="R579" s="359" t="n"/>
      <c r="T579" s="216">
        <f>UPPER(A579&amp;" "&amp;B579&amp;" "&amp;D579&amp;" "&amp;E579&amp;" "&amp;F579&amp;" "&amp;G579&amp;" "&amp;H579)</f>
        <v/>
      </c>
      <c r="U579" s="216">
        <f>IF(AND('TRA CỨU TỔNG HỢP'!$B$3&lt;&gt;"",ISNUMBER(SEARCH('TRA CỨU TỔNG HỢP'!$B$3,T579))),MAX($U$3:U578)+1,"")</f>
        <v/>
      </c>
    </row>
    <row r="580" ht="15" customHeight="1" s="217">
      <c r="A580" s="340" t="inlineStr">
        <is>
          <t>KUBOTA</t>
        </is>
      </c>
      <c r="B580" s="341" t="inlineStr">
        <is>
          <t>HH079688</t>
        </is>
      </c>
      <c r="C580" s="340" t="inlineStr">
        <is>
          <t>Mitsubishi</t>
        </is>
      </c>
      <c r="D580" s="340" t="inlineStr">
        <is>
          <t>TD03-07T /SJ440Q</t>
        </is>
      </c>
      <c r="E580" s="340" t="inlineStr">
        <is>
          <t>V2003 /QC480ZLQ</t>
        </is>
      </c>
      <c r="F580" s="342" t="inlineStr">
        <is>
          <t>49173-04100
49173-04000
8935279050949</t>
        </is>
      </c>
      <c r="G580" s="340" t="n"/>
      <c r="H580" s="343" t="inlineStr">
        <is>
          <t>VIDARIR</t>
        </is>
      </c>
      <c r="I580" s="344" t="n"/>
      <c r="J580" s="344" t="n"/>
      <c r="K580" s="344" t="n"/>
      <c r="L580" s="344">
        <f>IF(K580="","",K580*1.1)</f>
        <v/>
      </c>
      <c r="M580" s="345" t="n"/>
      <c r="N580" s="345" t="n"/>
      <c r="O580" s="345" t="n"/>
      <c r="P580" s="345" t="n"/>
      <c r="Q580" s="345" t="n"/>
      <c r="R580" s="345" t="n"/>
      <c r="T580" s="346">
        <f>UPPER(A580&amp;" "&amp;B580&amp;" "&amp;D580&amp;" "&amp;E580&amp;" "&amp;F580&amp;" "&amp;G580&amp;" "&amp;H580)</f>
        <v/>
      </c>
      <c r="U580" s="216">
        <f>IF(AND('TRA CỨU TỔNG HỢP'!$B$3&lt;&gt;"",ISNUMBER(SEARCH('TRA CỨU TỔNG HỢP'!$B$3,T580))),MAX($U$3:U579)+1,"")</f>
        <v/>
      </c>
    </row>
    <row r="581" ht="15" customHeight="1" s="217">
      <c r="A581" s="347" t="inlineStr">
        <is>
          <t>KUBOTA</t>
        </is>
      </c>
      <c r="B581" s="348" t="inlineStr">
        <is>
          <t>HH080914</t>
        </is>
      </c>
      <c r="C581" s="349" t="inlineStr">
        <is>
          <t>Mitsubishi</t>
        </is>
      </c>
      <c r="D581" s="349" t="inlineStr">
        <is>
          <t>TD03-07T /SJ440Q</t>
        </is>
      </c>
      <c r="E581" s="349" t="inlineStr">
        <is>
          <t>V2003 /QC480ZLQ</t>
        </is>
      </c>
      <c r="F581" s="350" t="inlineStr">
        <is>
          <t>49173-04100
49173-04000
8935279050949</t>
        </is>
      </c>
      <c r="G581" s="349" t="n"/>
      <c r="H581" s="351" t="inlineStr">
        <is>
          <t>VIDARIR</t>
        </is>
      </c>
      <c r="I581" s="352" t="n"/>
      <c r="J581" s="352" t="n"/>
      <c r="K581" s="352" t="n"/>
      <c r="L581" s="352">
        <f>IF(K581="","",K581*1.1)</f>
        <v/>
      </c>
      <c r="M581" s="353" t="n"/>
      <c r="N581" s="353" t="n"/>
      <c r="O581" s="353" t="n"/>
      <c r="P581" s="353" t="n"/>
      <c r="Q581" s="353" t="n"/>
      <c r="R581" s="353" t="n"/>
      <c r="T581" s="346">
        <f>UPPER(A581&amp;" "&amp;B581&amp;" "&amp;D581&amp;" "&amp;E581&amp;" "&amp;F581&amp;" "&amp;G581&amp;" "&amp;H581)</f>
        <v/>
      </c>
      <c r="U581" s="216">
        <f>IF(AND('TRA CỨU TỔNG HỢP'!$B$3&lt;&gt;"",ISNUMBER(SEARCH('TRA CỨU TỔNG HỢP'!$B$3,T581))),MAX($U$3:U580)+1,"")</f>
        <v/>
      </c>
    </row>
    <row r="582" ht="15" customHeight="1" s="217">
      <c r="A582" s="340" t="inlineStr">
        <is>
          <t>KUBOTA</t>
        </is>
      </c>
      <c r="B582" s="341" t="inlineStr">
        <is>
          <t>HH078443</t>
        </is>
      </c>
      <c r="C582" s="340" t="inlineStr">
        <is>
          <t>Mitsubishi</t>
        </is>
      </c>
      <c r="D582" s="340" t="inlineStr">
        <is>
          <t>TD03-7</t>
        </is>
      </c>
      <c r="E582" s="340" t="inlineStr">
        <is>
          <t>V2003</t>
        </is>
      </c>
      <c r="F582" s="342" t="inlineStr">
        <is>
          <t>49131-02030
1G622-17012
17012-1G622</t>
        </is>
      </c>
      <c r="G582" s="340" t="n"/>
      <c r="H582" s="343" t="inlineStr">
        <is>
          <t>VIDARIR</t>
        </is>
      </c>
      <c r="I582" s="344" t="n"/>
      <c r="J582" s="344" t="n"/>
      <c r="K582" s="344" t="n"/>
      <c r="L582" s="344">
        <f>IF(K582="","",K582*1.1)</f>
        <v/>
      </c>
      <c r="M582" s="345" t="n"/>
      <c r="N582" s="345" t="n"/>
      <c r="O582" s="345" t="n"/>
      <c r="P582" s="345" t="n"/>
      <c r="Q582" s="345" t="n"/>
      <c r="R582" s="345" t="n"/>
      <c r="T582" s="346">
        <f>UPPER(A582&amp;" "&amp;B582&amp;" "&amp;D582&amp;" "&amp;E582&amp;" "&amp;F582&amp;" "&amp;G582&amp;" "&amp;H582)</f>
        <v/>
      </c>
      <c r="U582" s="216">
        <f>IF(AND('TRA CỨU TỔNG HỢP'!$B$3&lt;&gt;"",ISNUMBER(SEARCH('TRA CỨU TỔNG HỢP'!$B$3,T582))),MAX($U$3:U581)+1,"")</f>
        <v/>
      </c>
    </row>
    <row r="583" ht="15" customHeight="1" s="217">
      <c r="A583" s="347" t="inlineStr">
        <is>
          <t>KUBOTA</t>
        </is>
      </c>
      <c r="B583" s="348" t="inlineStr">
        <is>
          <t>HH081618</t>
        </is>
      </c>
      <c r="C583" s="349" t="inlineStr">
        <is>
          <t>Mitsubishi</t>
        </is>
      </c>
      <c r="D583" s="349" t="inlineStr">
        <is>
          <t>TD03-7</t>
        </is>
      </c>
      <c r="E583" s="349" t="inlineStr">
        <is>
          <t>V2003</t>
        </is>
      </c>
      <c r="F583" s="350" t="inlineStr">
        <is>
          <t>49131-02030
1G622-17012
17012-1G622</t>
        </is>
      </c>
      <c r="G583" s="349" t="n"/>
      <c r="H583" s="351" t="inlineStr">
        <is>
          <t>VIDARIR</t>
        </is>
      </c>
      <c r="I583" s="352" t="n"/>
      <c r="J583" s="352" t="n"/>
      <c r="K583" s="352" t="n"/>
      <c r="L583" s="352">
        <f>IF(K583="","",K583*1.1)</f>
        <v/>
      </c>
      <c r="M583" s="353" t="n"/>
      <c r="N583" s="353" t="n"/>
      <c r="O583" s="353" t="n"/>
      <c r="P583" s="353" t="n"/>
      <c r="Q583" s="353" t="n"/>
      <c r="R583" s="353" t="n"/>
      <c r="T583" s="346">
        <f>UPPER(A583&amp;" "&amp;B583&amp;" "&amp;D583&amp;" "&amp;E583&amp;" "&amp;F583&amp;" "&amp;G583&amp;" "&amp;H583)</f>
        <v/>
      </c>
      <c r="U583" s="216">
        <f>IF(AND('TRA CỨU TỔNG HỢP'!$B$3&lt;&gt;"",ISNUMBER(SEARCH('TRA CỨU TỔNG HỢP'!$B$3,T583))),MAX($U$3:U582)+1,"")</f>
        <v/>
      </c>
    </row>
    <row r="584" ht="15" customHeight="1" s="217">
      <c r="A584" s="354" t="inlineStr">
        <is>
          <t>KUBOTA</t>
        </is>
      </c>
      <c r="B584" s="355" t="inlineStr">
        <is>
          <t>HH079266</t>
        </is>
      </c>
      <c r="C584" s="354" t="inlineStr">
        <is>
          <t>Mitsubishi</t>
        </is>
      </c>
      <c r="D584" s="354" t="inlineStr">
        <is>
          <t>TD04-12T</t>
        </is>
      </c>
      <c r="E584" s="354" t="inlineStr">
        <is>
          <t>V3300</t>
        </is>
      </c>
      <c r="F584" s="356" t="inlineStr">
        <is>
          <t>49177-03130</t>
        </is>
      </c>
      <c r="G584" s="354" t="n"/>
      <c r="H584" s="357" t="inlineStr">
        <is>
          <t>VIDARIR</t>
        </is>
      </c>
      <c r="I584" s="358" t="n"/>
      <c r="J584" s="358" t="n"/>
      <c r="K584" s="358" t="n"/>
      <c r="L584" s="358">
        <f>IF(K584="","",K584*1.1)</f>
        <v/>
      </c>
      <c r="M584" s="359" t="n"/>
      <c r="N584" s="359" t="n"/>
      <c r="O584" s="359" t="n"/>
      <c r="P584" s="359" t="n"/>
      <c r="Q584" s="359" t="n"/>
      <c r="R584" s="359" t="n"/>
      <c r="T584" s="216">
        <f>UPPER(A584&amp;" "&amp;B584&amp;" "&amp;D584&amp;" "&amp;E584&amp;" "&amp;F584&amp;" "&amp;G584&amp;" "&amp;H584)</f>
        <v/>
      </c>
      <c r="U584" s="216">
        <f>IF(AND('TRA CỨU TỔNG HỢP'!$B$3&lt;&gt;"",ISNUMBER(SEARCH('TRA CỨU TỔNG HỢP'!$B$3,T584))),MAX($U$3:U583)+1,"")</f>
        <v/>
      </c>
    </row>
    <row r="585" ht="15" customHeight="1" s="217">
      <c r="A585" s="340" t="inlineStr">
        <is>
          <t>KUBOTA</t>
        </is>
      </c>
      <c r="B585" s="341" t="inlineStr">
        <is>
          <t>HH073982</t>
        </is>
      </c>
      <c r="C585" s="340" t="inlineStr">
        <is>
          <t>IHI</t>
        </is>
      </c>
      <c r="D585" s="340" t="inlineStr">
        <is>
          <t>RHF3</t>
        </is>
      </c>
      <c r="E585" s="340" t="inlineStr">
        <is>
          <t>4D87</t>
        </is>
      </c>
      <c r="F585" s="342" t="inlineStr">
        <is>
          <t>1G491-17011
VA410164</t>
        </is>
      </c>
      <c r="G585" s="340" t="n"/>
      <c r="H585" s="343" t="inlineStr">
        <is>
          <t>SL</t>
        </is>
      </c>
      <c r="I585" s="344" t="n"/>
      <c r="J585" s="344" t="n"/>
      <c r="K585" s="344" t="n"/>
      <c r="L585" s="344">
        <f>IF(K585="","",K585*1.1)</f>
        <v/>
      </c>
      <c r="M585" s="345" t="n">
        <v>40.1</v>
      </c>
      <c r="N585" s="345" t="n">
        <v>29.2</v>
      </c>
      <c r="O585" s="345" t="inlineStr">
        <is>
          <t>4/4</t>
        </is>
      </c>
      <c r="P585" s="345" t="n">
        <v>37.9</v>
      </c>
      <c r="Q585" s="345" t="n">
        <v>30</v>
      </c>
      <c r="R585" s="345" t="n">
        <v>11</v>
      </c>
      <c r="T585" s="346">
        <f>UPPER(A585&amp;" "&amp;B585&amp;" "&amp;D585&amp;" "&amp;E585&amp;" "&amp;F585&amp;" "&amp;G585&amp;" "&amp;H585)</f>
        <v/>
      </c>
      <c r="U585" s="216">
        <f>IF(AND('TRA CỨU TỔNG HỢP'!$B$3&lt;&gt;"",ISNUMBER(SEARCH('TRA CỨU TỔNG HỢP'!$B$3,T585))),MAX($U$3:U584)+1,"")</f>
        <v/>
      </c>
    </row>
    <row r="586" ht="15" customHeight="1" s="217">
      <c r="A586" s="347" t="inlineStr">
        <is>
          <t>KUBOTA</t>
        </is>
      </c>
      <c r="B586" s="348" t="inlineStr">
        <is>
          <t>HH081337</t>
        </is>
      </c>
      <c r="C586" s="349" t="inlineStr">
        <is>
          <t>IHI</t>
        </is>
      </c>
      <c r="D586" s="349" t="inlineStr">
        <is>
          <t>RHF3</t>
        </is>
      </c>
      <c r="E586" s="349" t="inlineStr">
        <is>
          <t>4D87</t>
        </is>
      </c>
      <c r="F586" s="350" t="inlineStr">
        <is>
          <t>1G491-17011
VA410164</t>
        </is>
      </c>
      <c r="G586" s="349" t="n"/>
      <c r="H586" s="351" t="inlineStr">
        <is>
          <t>VIDARIR</t>
        </is>
      </c>
      <c r="I586" s="352" t="n"/>
      <c r="J586" s="352" t="n"/>
      <c r="K586" s="352" t="n"/>
      <c r="L586" s="352">
        <f>IF(K586="","",K586*1.1)</f>
        <v/>
      </c>
      <c r="M586" s="353" t="n">
        <v>40.1</v>
      </c>
      <c r="N586" s="353" t="n">
        <v>29.2</v>
      </c>
      <c r="O586" s="353" t="inlineStr">
        <is>
          <t>4/4</t>
        </is>
      </c>
      <c r="P586" s="353" t="n">
        <v>37.9</v>
      </c>
      <c r="Q586" s="353" t="n">
        <v>30</v>
      </c>
      <c r="R586" s="353" t="n">
        <v>11</v>
      </c>
      <c r="T586" s="346">
        <f>UPPER(A586&amp;" "&amp;B586&amp;" "&amp;D586&amp;" "&amp;E586&amp;" "&amp;F586&amp;" "&amp;G586&amp;" "&amp;H586)</f>
        <v/>
      </c>
      <c r="U586" s="216">
        <f>IF(AND('TRA CỨU TỔNG HỢP'!$B$3&lt;&gt;"",ISNUMBER(SEARCH('TRA CỨU TỔNG HỢP'!$B$3,T586))),MAX($U$3:U585)+1,"")</f>
        <v/>
      </c>
    </row>
    <row r="587" ht="15" customHeight="1" s="217">
      <c r="A587" s="347" t="inlineStr">
        <is>
          <t>KUBOTA</t>
        </is>
      </c>
      <c r="B587" s="348" t="inlineStr">
        <is>
          <t>HH079003</t>
        </is>
      </c>
      <c r="C587" s="349" t="inlineStr">
        <is>
          <t>IHI</t>
        </is>
      </c>
      <c r="D587" s="349" t="inlineStr">
        <is>
          <t>RHF3</t>
        </is>
      </c>
      <c r="E587" s="349" t="inlineStr">
        <is>
          <t>4D87</t>
        </is>
      </c>
      <c r="F587" s="350" t="inlineStr">
        <is>
          <t>1G491-17011
VA410164</t>
        </is>
      </c>
      <c r="G587" s="349" t="n"/>
      <c r="H587" s="351" t="inlineStr">
        <is>
          <t>SL</t>
        </is>
      </c>
      <c r="I587" s="352" t="n"/>
      <c r="J587" s="352" t="n"/>
      <c r="K587" s="352" t="n"/>
      <c r="L587" s="352">
        <f>IF(K587="","",K587*1.1)</f>
        <v/>
      </c>
      <c r="M587" s="353" t="n">
        <v>40.1</v>
      </c>
      <c r="N587" s="353" t="n">
        <v>29.2</v>
      </c>
      <c r="O587" s="353" t="inlineStr">
        <is>
          <t>4/4</t>
        </is>
      </c>
      <c r="P587" s="353" t="n">
        <v>37.9</v>
      </c>
      <c r="Q587" s="353" t="n">
        <v>30</v>
      </c>
      <c r="R587" s="353" t="n">
        <v>11</v>
      </c>
      <c r="T587" s="346">
        <f>UPPER(A587&amp;" "&amp;B587&amp;" "&amp;D587&amp;" "&amp;E587&amp;" "&amp;F587&amp;" "&amp;G587&amp;" "&amp;H587)</f>
        <v/>
      </c>
      <c r="U587" s="216">
        <f>IF(AND('TRA CỨU TỔNG HỢP'!$B$3&lt;&gt;"",ISNUMBER(SEARCH('TRA CỨU TỔNG HỢP'!$B$3,T587))),MAX($U$3:U586)+1,"")</f>
        <v/>
      </c>
    </row>
    <row r="588" ht="15" customHeight="1" s="217">
      <c r="A588" s="340" t="inlineStr">
        <is>
          <t>KUBOTA</t>
        </is>
      </c>
      <c r="B588" s="341" t="inlineStr">
        <is>
          <t>HH083399</t>
        </is>
      </c>
      <c r="C588" s="340" t="inlineStr">
        <is>
          <t>IHI</t>
        </is>
      </c>
      <c r="D588" s="340" t="inlineStr">
        <is>
          <t>RHF3</t>
        </is>
      </c>
      <c r="E588" s="340" t="inlineStr">
        <is>
          <t>4D87</t>
        </is>
      </c>
      <c r="F588" s="342" t="inlineStr">
        <is>
          <t>1G924-17011</t>
        </is>
      </c>
      <c r="G588" s="340" t="n"/>
      <c r="H588" s="343" t="inlineStr">
        <is>
          <t>EE</t>
        </is>
      </c>
      <c r="I588" s="344" t="n"/>
      <c r="J588" s="344" t="n"/>
      <c r="K588" s="344" t="n"/>
      <c r="L588" s="344">
        <f>IF(K588="","",K588*1.1)</f>
        <v/>
      </c>
      <c r="M588" s="345" t="n">
        <v>40</v>
      </c>
      <c r="N588" s="345" t="n">
        <v>30.9</v>
      </c>
      <c r="O588" s="345" t="inlineStr">
        <is>
          <t>5/5</t>
        </is>
      </c>
      <c r="P588" s="345" t="n">
        <v>39.7</v>
      </c>
      <c r="Q588" s="345" t="n">
        <v>34.7</v>
      </c>
      <c r="R588" s="345" t="n">
        <v>9</v>
      </c>
      <c r="T588" s="216">
        <f>UPPER(A588&amp;" "&amp;B588&amp;" "&amp;D588&amp;" "&amp;E588&amp;" "&amp;F588&amp;" "&amp;G588&amp;" "&amp;H588)</f>
        <v/>
      </c>
      <c r="U588" s="216">
        <f>IF(AND('TRA CỨU TỔNG HỢP'!$B$3&lt;&gt;"",ISNUMBER(SEARCH('TRA CỨU TỔNG HỢP'!$B$3,T588))),MAX($U$3:U587)+1,"")</f>
        <v/>
      </c>
    </row>
    <row r="589" ht="15" customHeight="1" s="217">
      <c r="A589" s="347" t="inlineStr">
        <is>
          <t>KUBOTA</t>
        </is>
      </c>
      <c r="B589" s="348" t="inlineStr">
        <is>
          <t>HH080005</t>
        </is>
      </c>
      <c r="C589" s="349" t="inlineStr">
        <is>
          <t>IHI</t>
        </is>
      </c>
      <c r="D589" s="349" t="inlineStr">
        <is>
          <t>RHF3</t>
        </is>
      </c>
      <c r="E589" s="349" t="inlineStr">
        <is>
          <t>4D87</t>
        </is>
      </c>
      <c r="F589" s="350" t="inlineStr">
        <is>
          <t>1G924-17011</t>
        </is>
      </c>
      <c r="G589" s="349" t="n"/>
      <c r="H589" s="351" t="inlineStr">
        <is>
          <t>SL</t>
        </is>
      </c>
      <c r="I589" s="352" t="n"/>
      <c r="J589" s="352" t="n"/>
      <c r="K589" s="352" t="n"/>
      <c r="L589" s="352">
        <f>IF(K589="","",K589*1.1)</f>
        <v/>
      </c>
      <c r="M589" s="353" t="n">
        <v>40</v>
      </c>
      <c r="N589" s="353" t="n">
        <v>30.9</v>
      </c>
      <c r="O589" s="353" t="inlineStr">
        <is>
          <t>5/5</t>
        </is>
      </c>
      <c r="P589" s="353" t="n">
        <v>39.7</v>
      </c>
      <c r="Q589" s="353" t="n">
        <v>34.7</v>
      </c>
      <c r="R589" s="353" t="n">
        <v>9</v>
      </c>
      <c r="T589" s="216">
        <f>UPPER(A589&amp;" "&amp;B589&amp;" "&amp;D589&amp;" "&amp;E589&amp;" "&amp;F589&amp;" "&amp;G589&amp;" "&amp;H589)</f>
        <v/>
      </c>
      <c r="U589" s="216">
        <f>IF(AND('TRA CỨU TỔNG HỢP'!$B$3&lt;&gt;"",ISNUMBER(SEARCH('TRA CỨU TỔNG HỢP'!$B$3,T589))),MAX($U$3:U588)+1,"")</f>
        <v/>
      </c>
    </row>
    <row r="590" ht="15" customHeight="1" s="217">
      <c r="A590" s="367" t="inlineStr">
        <is>
          <t>KUBOTA</t>
        </is>
      </c>
      <c r="B590" s="368" t="n"/>
      <c r="C590" s="367" t="inlineStr">
        <is>
          <t>Mitsubishi</t>
        </is>
      </c>
      <c r="D590" s="367" t="inlineStr">
        <is>
          <t>TD03L4</t>
        </is>
      </c>
      <c r="E590" s="367" t="inlineStr">
        <is>
          <t>V3307</t>
        </is>
      </c>
      <c r="F590" s="369" t="inlineStr">
        <is>
          <t>49131-02606</t>
        </is>
      </c>
      <c r="G590" s="367" t="n"/>
      <c r="H590" s="370" t="n"/>
      <c r="I590" s="371" t="n"/>
      <c r="J590" s="371" t="n"/>
      <c r="K590" s="371" t="n"/>
      <c r="L590" s="371">
        <f>IF(K590="","",K590*1.1)</f>
        <v/>
      </c>
      <c r="M590" s="372" t="n"/>
      <c r="N590" s="372" t="n"/>
      <c r="O590" s="372" t="n"/>
      <c r="P590" s="372" t="n"/>
      <c r="Q590" s="372" t="n"/>
      <c r="R590" s="372" t="n"/>
      <c r="T590" s="216">
        <f>UPPER(A590&amp;" "&amp;B590&amp;" "&amp;D590&amp;" "&amp;E590&amp;" "&amp;F590&amp;" "&amp;G590&amp;" "&amp;H590)</f>
        <v/>
      </c>
      <c r="U590" s="216">
        <f>IF(AND('TRA CỨU TỔNG HỢP'!$B$3&lt;&gt;"",ISNUMBER(SEARCH('TRA CỨU TỔNG HỢP'!$B$3,T590))),MAX($U$3:U589)+1,"")</f>
        <v/>
      </c>
    </row>
    <row r="591" ht="19.5" customHeight="1" s="217">
      <c r="A591" s="378" t="inlineStr">
        <is>
          <t xml:space="preserve">  🏭  MAXXFORCE   ·   1 loại turbo</t>
        </is>
      </c>
      <c r="U591" s="216">
        <f>IF(AND('TRA CỨU TỔNG HỢP'!$B$3&lt;&gt;"",ISNUMBER(SEARCH('TRA CỨU TỔNG HỢP'!$B$3,T591))),MAX($U$3:U590)+1,"")</f>
        <v/>
      </c>
    </row>
    <row r="592" ht="15" customHeight="1" s="217">
      <c r="A592" s="340" t="inlineStr">
        <is>
          <t>MAXXFORCE</t>
        </is>
      </c>
      <c r="B592" s="341" t="inlineStr">
        <is>
          <t>HH078004</t>
        </is>
      </c>
      <c r="C592" s="340" t="inlineStr">
        <is>
          <t>BorgWarner</t>
        </is>
      </c>
      <c r="D592" s="340" t="inlineStr">
        <is>
          <t>B1UG</t>
        </is>
      </c>
      <c r="E592" s="340" t="n"/>
      <c r="F592" s="342" t="inlineStr">
        <is>
          <t>1155-990-0047
8S01-200-J36</t>
        </is>
      </c>
      <c r="G592" s="340" t="inlineStr">
        <is>
          <t>Maxxforce 7.6, Đầu kéo Iternational - Jrone 8S01-200-J36</t>
        </is>
      </c>
      <c r="H592" s="343" t="inlineStr">
        <is>
          <t>JRONE</t>
        </is>
      </c>
      <c r="I592" s="344" t="n"/>
      <c r="J592" s="344" t="n"/>
      <c r="K592" s="344" t="n"/>
      <c r="L592" s="344">
        <f>IF(K592="","",K592*1.1)</f>
        <v/>
      </c>
      <c r="M592" s="345" t="n"/>
      <c r="N592" s="345" t="n"/>
      <c r="O592" s="345" t="n"/>
      <c r="P592" s="345" t="n"/>
      <c r="Q592" s="345" t="n"/>
      <c r="R592" s="345" t="n"/>
      <c r="T592" s="346">
        <f>UPPER(A592&amp;" "&amp;B592&amp;" "&amp;D592&amp;" "&amp;E592&amp;" "&amp;F592&amp;" "&amp;G592&amp;" "&amp;H592)</f>
        <v/>
      </c>
      <c r="U592" s="216">
        <f>IF(AND('TRA CỨU TỔNG HỢP'!$B$3&lt;&gt;"",ISNUMBER(SEARCH('TRA CỨU TỔNG HỢP'!$B$3,T592))),MAX($U$3:U591)+1,"")</f>
        <v/>
      </c>
    </row>
    <row r="593" ht="15" customHeight="1" s="217">
      <c r="A593" s="347" t="inlineStr">
        <is>
          <t>MAXXFORCE</t>
        </is>
      </c>
      <c r="B593" s="348" t="inlineStr">
        <is>
          <t>HH077597</t>
        </is>
      </c>
      <c r="C593" s="349" t="inlineStr">
        <is>
          <t>BorgWarner</t>
        </is>
      </c>
      <c r="D593" s="349" t="inlineStr">
        <is>
          <t>B1UG</t>
        </is>
      </c>
      <c r="E593" s="349" t="n"/>
      <c r="F593" s="350" t="inlineStr">
        <is>
          <t>1155-990-0047
8S01-200-J36</t>
        </is>
      </c>
      <c r="G593" s="349" t="inlineStr">
        <is>
          <t>Maxxforce 7.6, Đầu kéo Iternational - Jrone 8S01-200-J36</t>
        </is>
      </c>
      <c r="H593" s="351" t="inlineStr">
        <is>
          <t>JRONE</t>
        </is>
      </c>
      <c r="I593" s="352" t="n"/>
      <c r="J593" s="352" t="n"/>
      <c r="K593" s="352" t="n"/>
      <c r="L593" s="352">
        <f>IF(K593="","",K593*1.1)</f>
        <v/>
      </c>
      <c r="M593" s="353" t="n"/>
      <c r="N593" s="353" t="n"/>
      <c r="O593" s="353" t="n"/>
      <c r="P593" s="353" t="n"/>
      <c r="Q593" s="353" t="n"/>
      <c r="R593" s="353" t="n"/>
      <c r="T593" s="346">
        <f>UPPER(A593&amp;" "&amp;B593&amp;" "&amp;D593&amp;" "&amp;E593&amp;" "&amp;F593&amp;" "&amp;G593&amp;" "&amp;H593)</f>
        <v/>
      </c>
      <c r="U593" s="216">
        <f>IF(AND('TRA CỨU TỔNG HỢP'!$B$3&lt;&gt;"",ISNUMBER(SEARCH('TRA CỨU TỔNG HỢP'!$B$3,T593))),MAX($U$3:U592)+1,"")</f>
        <v/>
      </c>
    </row>
    <row r="594" ht="19.5" customHeight="1" s="217">
      <c r="A594" s="378" t="inlineStr">
        <is>
          <t xml:space="preserve">  🏭  MERCEDES   ·   5 loại turbo</t>
        </is>
      </c>
      <c r="U594" s="216">
        <f>IF(AND('TRA CỨU TỔNG HỢP'!$B$3&lt;&gt;"",ISNUMBER(SEARCH('TRA CỨU TỔNG HỢP'!$B$3,T594))),MAX($U$3:U593)+1,"")</f>
        <v/>
      </c>
    </row>
    <row r="595" ht="15" customHeight="1" s="217">
      <c r="A595" s="354" t="inlineStr">
        <is>
          <t>MERCEDES</t>
        </is>
      </c>
      <c r="B595" s="355" t="inlineStr">
        <is>
          <t>HH081247</t>
        </is>
      </c>
      <c r="C595" s="354" t="inlineStr">
        <is>
          <t>BorgWarner</t>
        </is>
      </c>
      <c r="D595" s="354" t="inlineStr">
        <is>
          <t>4LGZ</t>
        </is>
      </c>
      <c r="E595" s="354" t="inlineStr">
        <is>
          <t>OM355</t>
        </is>
      </c>
      <c r="F595" s="356" t="inlineStr">
        <is>
          <t>5232-970-3296/0020961399
0010968399/5232-710-0011</t>
        </is>
      </c>
      <c r="G595" s="354" t="n"/>
      <c r="H595" s="357" t="inlineStr">
        <is>
          <t>SL</t>
        </is>
      </c>
      <c r="I595" s="358" t="n"/>
      <c r="J595" s="358" t="n"/>
      <c r="K595" s="358" t="n"/>
      <c r="L595" s="358">
        <f>IF(K595="","",K595*1.1)</f>
        <v/>
      </c>
      <c r="M595" s="359" t="n">
        <v>93.90000000000001</v>
      </c>
      <c r="N595" s="359" t="n">
        <v>59.5</v>
      </c>
      <c r="O595" s="359" t="inlineStr">
        <is>
          <t>6/6</t>
        </is>
      </c>
      <c r="P595" s="359" t="n">
        <v>96.40000000000001</v>
      </c>
      <c r="Q595" s="359" t="n">
        <v>86.3</v>
      </c>
      <c r="R595" s="359" t="inlineStr">
        <is>
          <t>12</t>
        </is>
      </c>
      <c r="T595" s="346">
        <f>UPPER(A595&amp;" "&amp;B595&amp;" "&amp;D595&amp;" "&amp;E595&amp;" "&amp;F595&amp;" "&amp;G595&amp;" "&amp;H595)</f>
        <v/>
      </c>
      <c r="U595" s="216">
        <f>IF(AND('TRA CỨU TỔNG HỢP'!$B$3&lt;&gt;"",ISNUMBER(SEARCH('TRA CỨU TỔNG HỢP'!$B$3,T595))),MAX($U$3:U594)+1,"")</f>
        <v/>
      </c>
    </row>
    <row r="596" ht="15" customHeight="1" s="217">
      <c r="A596" s="354" t="inlineStr">
        <is>
          <t>MERCEDES</t>
        </is>
      </c>
      <c r="B596" s="355" t="inlineStr">
        <is>
          <t>HH083050</t>
        </is>
      </c>
      <c r="C596" s="354" t="inlineStr">
        <is>
          <t>Garrett</t>
        </is>
      </c>
      <c r="D596" s="354" t="inlineStr">
        <is>
          <t>GT2256V</t>
        </is>
      </c>
      <c r="E596" s="354" t="inlineStr">
        <is>
          <t>OM612</t>
        </is>
      </c>
      <c r="F596" s="356" t="inlineStr">
        <is>
          <t>709838-0001</t>
        </is>
      </c>
      <c r="G596" s="354" t="n"/>
      <c r="H596" s="357" t="inlineStr">
        <is>
          <t>SL</t>
        </is>
      </c>
      <c r="I596" s="358" t="n"/>
      <c r="J596" s="358" t="n"/>
      <c r="K596" s="358" t="n"/>
      <c r="L596" s="358">
        <f>IF(K596="","",K596*1.1)</f>
        <v/>
      </c>
      <c r="M596" s="359" t="n">
        <v>56</v>
      </c>
      <c r="N596" s="359" t="n">
        <v>39.6</v>
      </c>
      <c r="O596" s="359" t="inlineStr">
        <is>
          <t>6/6</t>
        </is>
      </c>
      <c r="P596" s="359" t="n">
        <v>50</v>
      </c>
      <c r="Q596" s="359" t="n">
        <v>42.7</v>
      </c>
      <c r="R596" s="359" t="n">
        <v>9</v>
      </c>
      <c r="T596" s="216">
        <f>UPPER(A596&amp;" "&amp;B596&amp;" "&amp;D596&amp;" "&amp;E596&amp;" "&amp;F596&amp;" "&amp;G596&amp;" "&amp;H596)</f>
        <v/>
      </c>
      <c r="U596" s="216">
        <f>IF(AND('TRA CỨU TỔNG HỢP'!$B$3&lt;&gt;"",ISNUMBER(SEARCH('TRA CỨU TỔNG HỢP'!$B$3,T596))),MAX($U$3:U595)+1,"")</f>
        <v/>
      </c>
    </row>
    <row r="597" ht="15" customHeight="1" s="217">
      <c r="A597" s="340" t="inlineStr">
        <is>
          <t>MERCEDES</t>
        </is>
      </c>
      <c r="B597" s="341" t="inlineStr">
        <is>
          <t>HH081967</t>
        </is>
      </c>
      <c r="C597" s="340" t="inlineStr">
        <is>
          <t>Garrett</t>
        </is>
      </c>
      <c r="D597" s="340" t="inlineStr">
        <is>
          <t>GT1852V</t>
        </is>
      </c>
      <c r="E597" s="340" t="n"/>
      <c r="F597" s="342" t="inlineStr">
        <is>
          <t>709836-0001
A6110961599</t>
        </is>
      </c>
      <c r="G597" s="340" t="n"/>
      <c r="H597" s="343" t="inlineStr">
        <is>
          <t>SL</t>
        </is>
      </c>
      <c r="I597" s="344" t="n"/>
      <c r="J597" s="344" t="n"/>
      <c r="K597" s="344" t="n"/>
      <c r="L597" s="344">
        <f>IF(K597="","",K597*1.1)</f>
        <v/>
      </c>
      <c r="M597" s="345" t="n">
        <v>52</v>
      </c>
      <c r="N597" s="345" t="n">
        <v>36.7</v>
      </c>
      <c r="O597" s="345" t="inlineStr">
        <is>
          <t>6/6</t>
        </is>
      </c>
      <c r="P597" s="345" t="n">
        <v>44.5</v>
      </c>
      <c r="Q597" s="345" t="n">
        <v>39.9</v>
      </c>
      <c r="R597" s="345" t="inlineStr">
        <is>
          <t>9</t>
        </is>
      </c>
      <c r="T597" s="346">
        <f>UPPER(A597&amp;" "&amp;B597&amp;" "&amp;D597&amp;" "&amp;E597&amp;" "&amp;F597&amp;" "&amp;G597&amp;" "&amp;H597)</f>
        <v/>
      </c>
      <c r="U597" s="216">
        <f>IF(AND('TRA CỨU TỔNG HỢP'!$B$3&lt;&gt;"",ISNUMBER(SEARCH('TRA CỨU TỔNG HỢP'!$B$3,T597))),MAX($U$3:U596)+1,"")</f>
        <v/>
      </c>
    </row>
    <row r="598" ht="15" customHeight="1" s="217">
      <c r="A598" s="347" t="inlineStr">
        <is>
          <t>MERCEDES</t>
        </is>
      </c>
      <c r="B598" s="348" t="inlineStr">
        <is>
          <t>HH080810</t>
        </is>
      </c>
      <c r="C598" s="349" t="inlineStr">
        <is>
          <t>Garrett</t>
        </is>
      </c>
      <c r="D598" s="349" t="inlineStr">
        <is>
          <t>GT1852V</t>
        </is>
      </c>
      <c r="E598" s="349" t="n"/>
      <c r="F598" s="350" t="inlineStr">
        <is>
          <t>709836-0001
A6110961599</t>
        </is>
      </c>
      <c r="G598" s="349" t="n"/>
      <c r="H598" s="351" t="inlineStr">
        <is>
          <t>SL</t>
        </is>
      </c>
      <c r="I598" s="352" t="n"/>
      <c r="J598" s="352" t="n"/>
      <c r="K598" s="352" t="n"/>
      <c r="L598" s="352">
        <f>IF(K598="","",K598*1.1)</f>
        <v/>
      </c>
      <c r="M598" s="353" t="n">
        <v>52</v>
      </c>
      <c r="N598" s="353" t="n">
        <v>36.7</v>
      </c>
      <c r="O598" s="353" t="inlineStr">
        <is>
          <t>6/6</t>
        </is>
      </c>
      <c r="P598" s="353" t="n">
        <v>44.5</v>
      </c>
      <c r="Q598" s="353" t="n">
        <v>39.9</v>
      </c>
      <c r="R598" s="353" t="inlineStr">
        <is>
          <t>9</t>
        </is>
      </c>
      <c r="T598" s="346">
        <f>UPPER(A598&amp;" "&amp;B598&amp;" "&amp;D598&amp;" "&amp;E598&amp;" "&amp;F598&amp;" "&amp;G598&amp;" "&amp;H598)</f>
        <v/>
      </c>
      <c r="U598" s="216">
        <f>IF(AND('TRA CỨU TỔNG HỢP'!$B$3&lt;&gt;"",ISNUMBER(SEARCH('TRA CỨU TỔNG HỢP'!$B$3,T598))),MAX($U$3:U597)+1,"")</f>
        <v/>
      </c>
    </row>
    <row r="599" ht="15" customHeight="1" s="217">
      <c r="A599" s="354" t="inlineStr">
        <is>
          <t>MERCEDES</t>
        </is>
      </c>
      <c r="B599" s="355" t="inlineStr">
        <is>
          <t>HH083049</t>
        </is>
      </c>
      <c r="C599" s="354" t="inlineStr">
        <is>
          <t>Garrett</t>
        </is>
      </c>
      <c r="D599" s="354" t="inlineStr">
        <is>
          <t>GT2538C</t>
        </is>
      </c>
      <c r="E599" s="354" t="inlineStr">
        <is>
          <t>OM602</t>
        </is>
      </c>
      <c r="F599" s="356" t="n">
        <v>6020900880</v>
      </c>
      <c r="G599" s="354" t="n"/>
      <c r="H599" s="357" t="inlineStr">
        <is>
          <t>SL</t>
        </is>
      </c>
      <c r="I599" s="358" t="n"/>
      <c r="J599" s="358" t="n"/>
      <c r="K599" s="358" t="n"/>
      <c r="L599" s="358">
        <f>IF(K599="","",K599*1.1)</f>
        <v/>
      </c>
      <c r="M599" s="359" t="n">
        <v>52.2</v>
      </c>
      <c r="N599" s="359" t="n">
        <v>38.7</v>
      </c>
      <c r="O599" s="359" t="inlineStr">
        <is>
          <t>6/6</t>
        </is>
      </c>
      <c r="P599" s="359" t="n">
        <v>53</v>
      </c>
      <c r="Q599" s="359" t="n">
        <v>38.6</v>
      </c>
      <c r="R599" s="359" t="n">
        <v>9</v>
      </c>
      <c r="T599" s="216">
        <f>UPPER(A599&amp;" "&amp;B599&amp;" "&amp;D599&amp;" "&amp;E599&amp;" "&amp;F599&amp;" "&amp;G599&amp;" "&amp;H599)</f>
        <v/>
      </c>
      <c r="U599" s="216">
        <f>IF(AND('TRA CỨU TỔNG HỢP'!$B$3&lt;&gt;"",ISNUMBER(SEARCH('TRA CỨU TỔNG HỢP'!$B$3,T599))),MAX($U$3:U598)+1,"")</f>
        <v/>
      </c>
    </row>
    <row r="600" ht="15" customHeight="1" s="217">
      <c r="A600" s="340" t="inlineStr">
        <is>
          <t>MERCEDES</t>
        </is>
      </c>
      <c r="B600" s="341" t="inlineStr">
        <is>
          <t>HH082513</t>
        </is>
      </c>
      <c r="C600" s="340" t="inlineStr">
        <is>
          <t>BorgWarner</t>
        </is>
      </c>
      <c r="D600" s="340" t="inlineStr">
        <is>
          <t>OM906</t>
        </is>
      </c>
      <c r="E600" s="340" t="inlineStr">
        <is>
          <t>OM906</t>
        </is>
      </c>
      <c r="F600" s="342" t="inlineStr">
        <is>
          <t>5327-970-7120</t>
        </is>
      </c>
      <c r="G600" s="340" t="n"/>
      <c r="H600" s="343" t="inlineStr">
        <is>
          <t>SL</t>
        </is>
      </c>
      <c r="I600" s="344" t="n"/>
      <c r="J600" s="344" t="n"/>
      <c r="K600" s="344" t="n"/>
      <c r="L600" s="344">
        <f>IF(K600="","",K600*1.1)</f>
        <v/>
      </c>
      <c r="M600" s="345" t="n">
        <v>77</v>
      </c>
      <c r="N600" s="345" t="n">
        <v>54.6</v>
      </c>
      <c r="O600" s="345" t="inlineStr">
        <is>
          <t>7/7</t>
        </is>
      </c>
      <c r="P600" s="345" t="n">
        <v>70</v>
      </c>
      <c r="Q600" s="345" t="n">
        <v>58.8</v>
      </c>
      <c r="R600" s="345" t="inlineStr">
        <is>
          <t>12</t>
        </is>
      </c>
      <c r="T600" s="216">
        <f>UPPER(A600&amp;" "&amp;B600&amp;" "&amp;D600&amp;" "&amp;E600&amp;" "&amp;F600&amp;" "&amp;G600&amp;" "&amp;H600)</f>
        <v/>
      </c>
      <c r="U600" s="216">
        <f>IF(AND('TRA CỨU TỔNG HỢP'!$B$3&lt;&gt;"",ISNUMBER(SEARCH('TRA CỨU TỔNG HỢP'!$B$3,T600))),MAX($U$3:U599)+1,"")</f>
        <v/>
      </c>
    </row>
    <row r="601" ht="15" customHeight="1" s="217">
      <c r="A601" s="347" t="inlineStr">
        <is>
          <t>MERCEDES</t>
        </is>
      </c>
      <c r="B601" s="348" t="inlineStr">
        <is>
          <t>HH082514</t>
        </is>
      </c>
      <c r="C601" s="349" t="inlineStr">
        <is>
          <t>BorgWarner</t>
        </is>
      </c>
      <c r="D601" s="349" t="inlineStr">
        <is>
          <t>OM906</t>
        </is>
      </c>
      <c r="E601" s="349" t="inlineStr">
        <is>
          <t>OM906</t>
        </is>
      </c>
      <c r="F601" s="350" t="inlineStr">
        <is>
          <t>5327-970-7120</t>
        </is>
      </c>
      <c r="G601" s="349" t="n"/>
      <c r="H601" s="351" t="inlineStr">
        <is>
          <t>SL</t>
        </is>
      </c>
      <c r="I601" s="352" t="n"/>
      <c r="J601" s="352" t="n"/>
      <c r="K601" s="352" t="n"/>
      <c r="L601" s="352">
        <f>IF(K601="","",K601*1.1)</f>
        <v/>
      </c>
      <c r="M601" s="353" t="n">
        <v>77</v>
      </c>
      <c r="N601" s="353" t="n">
        <v>54.6</v>
      </c>
      <c r="O601" s="353" t="inlineStr">
        <is>
          <t>7/7</t>
        </is>
      </c>
      <c r="P601" s="353" t="n">
        <v>70</v>
      </c>
      <c r="Q601" s="353" t="n">
        <v>58.8</v>
      </c>
      <c r="R601" s="353" t="inlineStr">
        <is>
          <t>12</t>
        </is>
      </c>
      <c r="T601" s="216">
        <f>UPPER(A601&amp;" "&amp;B601&amp;" "&amp;D601&amp;" "&amp;E601&amp;" "&amp;F601&amp;" "&amp;G601&amp;" "&amp;H601)</f>
        <v/>
      </c>
      <c r="U601" s="216">
        <f>IF(AND('TRA CỨU TỔNG HỢP'!$B$3&lt;&gt;"",ISNUMBER(SEARCH('TRA CỨU TỔNG HỢP'!$B$3,T601))),MAX($U$3:U600)+1,"")</f>
        <v/>
      </c>
    </row>
    <row r="602" ht="19.5" customHeight="1" s="217">
      <c r="A602" s="378" t="inlineStr">
        <is>
          <t xml:space="preserve">  🏭  MITSUBISHI   ·   8 loại turbo</t>
        </is>
      </c>
      <c r="U602" s="216">
        <f>IF(AND('TRA CỨU TỔNG HỢP'!$B$3&lt;&gt;"",ISNUMBER(SEARCH('TRA CỨU TỔNG HỢP'!$B$3,T602))),MAX($U$3:U601)+1,"")</f>
        <v/>
      </c>
    </row>
    <row r="603" ht="15" customHeight="1" s="217">
      <c r="A603" s="379" t="inlineStr">
        <is>
          <t>MITSUBISHI</t>
        </is>
      </c>
      <c r="B603" s="380" t="n"/>
      <c r="C603" s="379" t="inlineStr">
        <is>
          <t>Mitsubishi</t>
        </is>
      </c>
      <c r="D603" s="379" t="inlineStr">
        <is>
          <t>TD08-5</t>
        </is>
      </c>
      <c r="E603" s="379" t="inlineStr">
        <is>
          <t>8DC9T</t>
        </is>
      </c>
      <c r="F603" s="381" t="inlineStr">
        <is>
          <t>49174-00592</t>
        </is>
      </c>
      <c r="G603" s="379" t="n"/>
      <c r="H603" s="382" t="n"/>
      <c r="I603" s="383" t="n"/>
      <c r="J603" s="383" t="n"/>
      <c r="K603" s="383" t="n"/>
      <c r="L603" s="383">
        <f>IF(K603="","",K603*1.1)</f>
        <v/>
      </c>
      <c r="M603" s="384" t="n"/>
      <c r="N603" s="384" t="n"/>
      <c r="O603" s="384" t="n"/>
      <c r="P603" s="384" t="n"/>
      <c r="Q603" s="384" t="n"/>
      <c r="R603" s="384" t="n"/>
      <c r="T603" s="216">
        <f>UPPER(A603&amp;" "&amp;B603&amp;" "&amp;D603&amp;" "&amp;E603&amp;" "&amp;F603&amp;" "&amp;G603&amp;" "&amp;H603)</f>
        <v/>
      </c>
      <c r="U603" s="216">
        <f>IF(AND('TRA CỨU TỔNG HỢP'!$B$3&lt;&gt;"",ISNUMBER(SEARCH('TRA CỨU TỔNG HỢP'!$B$3,T603))),MAX($U$3:U602)+1,"")</f>
        <v/>
      </c>
    </row>
    <row r="604" ht="15" customHeight="1" s="217">
      <c r="A604" s="340" t="inlineStr">
        <is>
          <t>MITSUBISHI</t>
        </is>
      </c>
      <c r="B604" s="341" t="inlineStr">
        <is>
          <t>HH081730</t>
        </is>
      </c>
      <c r="C604" s="340" t="inlineStr">
        <is>
          <t>Mitsubishi</t>
        </is>
      </c>
      <c r="D604" s="340" t="inlineStr">
        <is>
          <t>TD13</t>
        </is>
      </c>
      <c r="E604" s="340" t="inlineStr">
        <is>
          <t>S6R</t>
        </is>
      </c>
      <c r="F604" s="342" t="inlineStr">
        <is>
          <t>49182-03520
 49182-03120</t>
        </is>
      </c>
      <c r="G604" s="340" t="n"/>
      <c r="H604" s="343" t="inlineStr">
        <is>
          <t>SL</t>
        </is>
      </c>
      <c r="I604" s="344" t="n"/>
      <c r="J604" s="344" t="n"/>
      <c r="K604" s="344" t="n"/>
      <c r="L604" s="344">
        <f>IF(K604="","",K604*1.1)</f>
        <v/>
      </c>
      <c r="M604" s="345" t="n">
        <v>160.2</v>
      </c>
      <c r="N604" s="345" t="n">
        <v>100</v>
      </c>
      <c r="O604" s="345" t="inlineStr">
        <is>
          <t>10/10</t>
        </is>
      </c>
      <c r="P604" s="345" t="n">
        <v>149.7</v>
      </c>
      <c r="Q604" s="345" t="n">
        <v>131</v>
      </c>
      <c r="R604" s="345" t="n">
        <v>12</v>
      </c>
      <c r="T604" s="346">
        <f>UPPER(A604&amp;" "&amp;B604&amp;" "&amp;D604&amp;" "&amp;E604&amp;" "&amp;F604&amp;" "&amp;G604&amp;" "&amp;H604)</f>
        <v/>
      </c>
      <c r="U604" s="216">
        <f>IF(AND('TRA CỨU TỔNG HỢP'!$B$3&lt;&gt;"",ISNUMBER(SEARCH('TRA CỨU TỔNG HỢP'!$B$3,T604))),MAX($U$3:U603)+1,"")</f>
        <v/>
      </c>
    </row>
    <row r="605" ht="15" customHeight="1" s="217">
      <c r="A605" s="347" t="inlineStr">
        <is>
          <t>MITSUBISHI</t>
        </is>
      </c>
      <c r="B605" s="348" t="inlineStr">
        <is>
          <t>HH081412</t>
        </is>
      </c>
      <c r="C605" s="349" t="inlineStr">
        <is>
          <t>Mitsubishi</t>
        </is>
      </c>
      <c r="D605" s="349" t="inlineStr">
        <is>
          <t>TD13</t>
        </is>
      </c>
      <c r="E605" s="349" t="inlineStr">
        <is>
          <t>S6R</t>
        </is>
      </c>
      <c r="F605" s="350" t="inlineStr">
        <is>
          <t>49182-03520
 49182-03120</t>
        </is>
      </c>
      <c r="G605" s="349" t="n"/>
      <c r="H605" s="351" t="inlineStr">
        <is>
          <t>SL</t>
        </is>
      </c>
      <c r="I605" s="352" t="n"/>
      <c r="J605" s="352" t="n"/>
      <c r="K605" s="352" t="n"/>
      <c r="L605" s="352">
        <f>IF(K605="","",K605*1.1)</f>
        <v/>
      </c>
      <c r="M605" s="353" t="n">
        <v>160.2</v>
      </c>
      <c r="N605" s="353" t="n">
        <v>100</v>
      </c>
      <c r="O605" s="353" t="inlineStr">
        <is>
          <t>10/10</t>
        </is>
      </c>
      <c r="P605" s="353" t="n">
        <v>149.7</v>
      </c>
      <c r="Q605" s="353" t="n">
        <v>131</v>
      </c>
      <c r="R605" s="353" t="n">
        <v>12</v>
      </c>
      <c r="T605" s="346">
        <f>UPPER(A605&amp;" "&amp;B605&amp;" "&amp;D605&amp;" "&amp;E605&amp;" "&amp;F605&amp;" "&amp;G605&amp;" "&amp;H605)</f>
        <v/>
      </c>
      <c r="U605" s="216">
        <f>IF(AND('TRA CỨU TỔNG HỢP'!$B$3&lt;&gt;"",ISNUMBER(SEARCH('TRA CỨU TỔNG HỢP'!$B$3,T605))),MAX($U$3:U604)+1,"")</f>
        <v/>
      </c>
    </row>
    <row r="606" ht="15" customHeight="1" s="217">
      <c r="A606" s="347" t="inlineStr">
        <is>
          <t>MITSUBISHI</t>
        </is>
      </c>
      <c r="B606" s="348" t="inlineStr">
        <is>
          <t>HH080019</t>
        </is>
      </c>
      <c r="C606" s="349" t="inlineStr">
        <is>
          <t>Mitsubishi</t>
        </is>
      </c>
      <c r="D606" s="349" t="inlineStr">
        <is>
          <t>TD13</t>
        </is>
      </c>
      <c r="E606" s="349" t="inlineStr">
        <is>
          <t>S6R</t>
        </is>
      </c>
      <c r="F606" s="350" t="inlineStr">
        <is>
          <t>49182-03520
 49182-03120</t>
        </is>
      </c>
      <c r="G606" s="349" t="n"/>
      <c r="H606" s="351" t="inlineStr">
        <is>
          <t>SL</t>
        </is>
      </c>
      <c r="I606" s="352" t="n"/>
      <c r="J606" s="352" t="n"/>
      <c r="K606" s="352" t="n"/>
      <c r="L606" s="352">
        <f>IF(K606="","",K606*1.1)</f>
        <v/>
      </c>
      <c r="M606" s="353" t="n">
        <v>160.2</v>
      </c>
      <c r="N606" s="353" t="n">
        <v>100</v>
      </c>
      <c r="O606" s="353" t="inlineStr">
        <is>
          <t>10/10</t>
        </is>
      </c>
      <c r="P606" s="353" t="n">
        <v>149.7</v>
      </c>
      <c r="Q606" s="353" t="n">
        <v>131</v>
      </c>
      <c r="R606" s="353" t="n">
        <v>12</v>
      </c>
      <c r="T606" s="346">
        <f>UPPER(A606&amp;" "&amp;B606&amp;" "&amp;D606&amp;" "&amp;E606&amp;" "&amp;F606&amp;" "&amp;G606&amp;" "&amp;H606)</f>
        <v/>
      </c>
      <c r="U606" s="216">
        <f>IF(AND('TRA CỨU TỔNG HỢP'!$B$3&lt;&gt;"",ISNUMBER(SEARCH('TRA CỨU TỔNG HỢP'!$B$3,T606))),MAX($U$3:U605)+1,"")</f>
        <v/>
      </c>
    </row>
    <row r="607" ht="15" customHeight="1" s="217">
      <c r="A607" s="340" t="inlineStr">
        <is>
          <t>MITSUBISHI</t>
        </is>
      </c>
      <c r="B607" s="341" t="inlineStr">
        <is>
          <t>HH077662</t>
        </is>
      </c>
      <c r="C607" s="340" t="inlineStr">
        <is>
          <t>Garrett</t>
        </is>
      </c>
      <c r="D607" s="340" t="inlineStr">
        <is>
          <t>GT22S</t>
        </is>
      </c>
      <c r="E607" s="340" t="inlineStr">
        <is>
          <t>4D34T</t>
        </is>
      </c>
      <c r="F607" s="342" t="inlineStr">
        <is>
          <t>836254-0002
A4300900080</t>
        </is>
      </c>
      <c r="G607" s="340" t="n"/>
      <c r="H607" s="343" t="inlineStr">
        <is>
          <t>SL</t>
        </is>
      </c>
      <c r="I607" s="344" t="n"/>
      <c r="J607" s="344" t="n"/>
      <c r="K607" s="344" t="n"/>
      <c r="L607" s="344">
        <f>IF(K607="","",K607*1.1)</f>
        <v/>
      </c>
      <c r="M607" s="345" t="n">
        <v>60.4</v>
      </c>
      <c r="N607" s="345" t="n">
        <v>44.5</v>
      </c>
      <c r="O607" s="345" t="inlineStr">
        <is>
          <t>7/7</t>
        </is>
      </c>
      <c r="P607" s="345" t="n">
        <v>50</v>
      </c>
      <c r="Q607" s="345" t="n">
        <v>43.7</v>
      </c>
      <c r="R607" s="345" t="n">
        <v>9</v>
      </c>
      <c r="T607" s="346">
        <f>UPPER(A607&amp;" "&amp;B607&amp;" "&amp;D607&amp;" "&amp;E607&amp;" "&amp;F607&amp;" "&amp;G607&amp;" "&amp;H607)</f>
        <v/>
      </c>
      <c r="U607" s="216">
        <f>IF(AND('TRA CỨU TỔNG HỢP'!$B$3&lt;&gt;"",ISNUMBER(SEARCH('TRA CỨU TỔNG HỢP'!$B$3,T607))),MAX($U$3:U606)+1,"")</f>
        <v/>
      </c>
    </row>
    <row r="608" ht="15" customHeight="1" s="217">
      <c r="A608" s="347" t="inlineStr">
        <is>
          <t>MITSUBISHI</t>
        </is>
      </c>
      <c r="B608" s="348" t="inlineStr">
        <is>
          <t>HH078002</t>
        </is>
      </c>
      <c r="C608" s="349" t="inlineStr">
        <is>
          <t>Garrett</t>
        </is>
      </c>
      <c r="D608" s="349" t="inlineStr">
        <is>
          <t>GT22S</t>
        </is>
      </c>
      <c r="E608" s="349" t="inlineStr">
        <is>
          <t>4D34T</t>
        </is>
      </c>
      <c r="F608" s="350" t="inlineStr">
        <is>
          <t>836254-0002
A4300900080</t>
        </is>
      </c>
      <c r="G608" s="349" t="n"/>
      <c r="H608" s="351" t="inlineStr">
        <is>
          <t>JRONE</t>
        </is>
      </c>
      <c r="I608" s="352" t="n"/>
      <c r="J608" s="352" t="n"/>
      <c r="K608" s="352" t="n"/>
      <c r="L608" s="352">
        <f>IF(K608="","",K608*1.1)</f>
        <v/>
      </c>
      <c r="M608" s="353" t="n">
        <v>60.4</v>
      </c>
      <c r="N608" s="353" t="n">
        <v>44.5</v>
      </c>
      <c r="O608" s="353" t="inlineStr">
        <is>
          <t>7/7</t>
        </is>
      </c>
      <c r="P608" s="353" t="n">
        <v>50</v>
      </c>
      <c r="Q608" s="353" t="n">
        <v>43.7</v>
      </c>
      <c r="R608" s="353" t="n">
        <v>9</v>
      </c>
      <c r="T608" s="346">
        <f>UPPER(A608&amp;" "&amp;B608&amp;" "&amp;D608&amp;" "&amp;E608&amp;" "&amp;F608&amp;" "&amp;G608&amp;" "&amp;H608)</f>
        <v/>
      </c>
      <c r="U608" s="216">
        <f>IF(AND('TRA CỨU TỔNG HỢP'!$B$3&lt;&gt;"",ISNUMBER(SEARCH('TRA CỨU TỔNG HỢP'!$B$3,T608))),MAX($U$3:U607)+1,"")</f>
        <v/>
      </c>
    </row>
    <row r="609" ht="15" customHeight="1" s="217">
      <c r="A609" s="340" t="inlineStr">
        <is>
          <t>MITSUBISHI</t>
        </is>
      </c>
      <c r="B609" s="341" t="inlineStr">
        <is>
          <t>HH083120</t>
        </is>
      </c>
      <c r="C609" s="340" t="inlineStr">
        <is>
          <t>Mitsubishi</t>
        </is>
      </c>
      <c r="D609" s="340" t="inlineStr">
        <is>
          <t>TD04HL-15T</t>
        </is>
      </c>
      <c r="E609" s="340" t="inlineStr">
        <is>
          <t>4D34T</t>
        </is>
      </c>
      <c r="F609" s="342" t="inlineStr">
        <is>
          <t>49189-02350/49S89-02320
49S89-02340/49189-08020
ME080904/ME217235
ME441592/VAME217235</t>
        </is>
      </c>
      <c r="G609" s="373" t="inlineStr">
        <is>
          <t>ruột dùng chung ME080904
49189-00511</t>
        </is>
      </c>
      <c r="H609" s="343" t="inlineStr">
        <is>
          <t>SL</t>
        </is>
      </c>
      <c r="I609" s="344" t="n"/>
      <c r="J609" s="344" t="n"/>
      <c r="K609" s="344" t="n"/>
      <c r="L609" s="344">
        <f>IF(K609="","",K609*1.1)</f>
        <v/>
      </c>
      <c r="M609" s="345" t="n">
        <v>56</v>
      </c>
      <c r="N609" s="345" t="n">
        <v>42</v>
      </c>
      <c r="O609" s="345" t="inlineStr">
        <is>
          <t>6/6</t>
        </is>
      </c>
      <c r="P609" s="345" t="n">
        <v>52</v>
      </c>
      <c r="Q609" s="345" t="n">
        <v>45.6</v>
      </c>
      <c r="R609" s="345" t="n">
        <v>12</v>
      </c>
      <c r="T609" s="346">
        <f>UPPER(A609&amp;" "&amp;B609&amp;" "&amp;D609&amp;" "&amp;E609&amp;" "&amp;F609&amp;" "&amp;G609&amp;" "&amp;H609)</f>
        <v/>
      </c>
      <c r="U609" s="216">
        <f>IF(AND('TRA CỨU TỔNG HỢP'!$B$3&lt;&gt;"",ISNUMBER(SEARCH('TRA CỨU TỔNG HỢP'!$B$3,T609))),MAX($U$3:U608)+1,"")</f>
        <v/>
      </c>
    </row>
    <row r="610" ht="15" customHeight="1" s="217">
      <c r="A610" s="347" t="inlineStr">
        <is>
          <t>MITSUBISHI</t>
        </is>
      </c>
      <c r="B610" s="348" t="inlineStr">
        <is>
          <t>HH083121</t>
        </is>
      </c>
      <c r="C610" s="349" t="inlineStr">
        <is>
          <t>Mitsubishi</t>
        </is>
      </c>
      <c r="D610" s="349" t="inlineStr">
        <is>
          <t>TD04HL-15T</t>
        </is>
      </c>
      <c r="E610" s="349" t="inlineStr">
        <is>
          <t>4D34T</t>
        </is>
      </c>
      <c r="F610" s="350" t="inlineStr">
        <is>
          <t>49189-02350/49S89-02320
49S89-02340/49189-08020
ME080904/ME217235
ME441592/VAME217235</t>
        </is>
      </c>
      <c r="G610" s="374" t="inlineStr">
        <is>
          <t>ruột dùng chung ME080904
49189-00511</t>
        </is>
      </c>
      <c r="H610" s="351" t="inlineStr">
        <is>
          <t>SL</t>
        </is>
      </c>
      <c r="I610" s="352" t="n"/>
      <c r="J610" s="352" t="n"/>
      <c r="K610" s="352" t="n"/>
      <c r="L610" s="352">
        <f>IF(K610="","",K610*1.1)</f>
        <v/>
      </c>
      <c r="M610" s="353" t="n">
        <v>56</v>
      </c>
      <c r="N610" s="353" t="n">
        <v>42</v>
      </c>
      <c r="O610" s="353" t="inlineStr">
        <is>
          <t>6/6</t>
        </is>
      </c>
      <c r="P610" s="353" t="n">
        <v>52</v>
      </c>
      <c r="Q610" s="353" t="n">
        <v>45.6</v>
      </c>
      <c r="R610" s="353" t="n">
        <v>12</v>
      </c>
      <c r="T610" s="346">
        <f>UPPER(A610&amp;" "&amp;B610&amp;" "&amp;D610&amp;" "&amp;E610&amp;" "&amp;F610&amp;" "&amp;G610&amp;" "&amp;H610)</f>
        <v/>
      </c>
      <c r="U610" s="216">
        <f>IF(AND('TRA CỨU TỔNG HỢP'!$B$3&lt;&gt;"",ISNUMBER(SEARCH('TRA CỨU TỔNG HỢP'!$B$3,T610))),MAX($U$3:U609)+1,"")</f>
        <v/>
      </c>
    </row>
    <row r="611" ht="15" customHeight="1" s="217">
      <c r="A611" s="354" t="inlineStr">
        <is>
          <t>MITSUBISHI</t>
        </is>
      </c>
      <c r="B611" s="355" t="inlineStr">
        <is>
          <t>HH071812</t>
        </is>
      </c>
      <c r="C611" s="354" t="inlineStr">
        <is>
          <t>Mitsubishi</t>
        </is>
      </c>
      <c r="D611" s="354" t="inlineStr">
        <is>
          <t>TE06H-16M</t>
        </is>
      </c>
      <c r="E611" s="354" t="inlineStr">
        <is>
          <t>S6K/3066</t>
        </is>
      </c>
      <c r="F611" s="356" t="inlineStr">
        <is>
          <t>49179-02300</t>
        </is>
      </c>
      <c r="G611" s="354" t="inlineStr">
        <is>
          <t>Mitsu</t>
        </is>
      </c>
      <c r="H611" s="357" t="inlineStr">
        <is>
          <t>SL</t>
        </is>
      </c>
      <c r="I611" s="358" t="n"/>
      <c r="J611" s="358" t="n"/>
      <c r="K611" s="358" t="n"/>
      <c r="L611" s="358">
        <f>IF(K611="","",K611*1.1)</f>
        <v/>
      </c>
      <c r="M611" s="359" t="n"/>
      <c r="N611" s="359" t="n"/>
      <c r="O611" s="359" t="n"/>
      <c r="P611" s="359" t="n"/>
      <c r="Q611" s="359" t="n"/>
      <c r="R611" s="359" t="n"/>
      <c r="T611" s="216">
        <f>UPPER(A611&amp;" "&amp;B611&amp;" "&amp;D611&amp;" "&amp;E611&amp;" "&amp;F611&amp;" "&amp;G611&amp;" "&amp;H611)</f>
        <v/>
      </c>
      <c r="U611" s="216">
        <f>IF(AND('TRA CỨU TỔNG HỢP'!$B$3&lt;&gt;"",ISNUMBER(SEARCH('TRA CỨU TỔNG HỢP'!$B$3,T611))),MAX($U$3:U610)+1,"")</f>
        <v/>
      </c>
    </row>
    <row r="612" ht="15" customHeight="1" s="217">
      <c r="A612" s="340" t="inlineStr">
        <is>
          <t>MITSUBISHI</t>
        </is>
      </c>
      <c r="B612" s="341" t="inlineStr">
        <is>
          <t>HH083056</t>
        </is>
      </c>
      <c r="C612" s="340" t="inlineStr">
        <is>
          <t>Mitsubishi</t>
        </is>
      </c>
      <c r="D612" s="340" t="inlineStr">
        <is>
          <t>TD04-12T</t>
        </is>
      </c>
      <c r="E612" s="340" t="inlineStr">
        <is>
          <t>4M40</t>
        </is>
      </c>
      <c r="F612" s="342" t="inlineStr">
        <is>
          <t>49377-03040
ME200898
ME201258
49377-08130</t>
        </is>
      </c>
      <c r="G612" s="340" t="n"/>
      <c r="H612" s="343" t="inlineStr">
        <is>
          <t>SL</t>
        </is>
      </c>
      <c r="I612" s="344" t="n"/>
      <c r="J612" s="344" t="n"/>
      <c r="K612" s="344" t="n"/>
      <c r="L612" s="344">
        <f>IF(K612="","",K612*1.1)</f>
        <v/>
      </c>
      <c r="M612" s="345" t="n"/>
      <c r="N612" s="345" t="n"/>
      <c r="O612" s="345" t="n"/>
      <c r="P612" s="345" t="n"/>
      <c r="Q612" s="345" t="n"/>
      <c r="R612" s="345" t="n"/>
      <c r="T612" s="346">
        <f>UPPER(A612&amp;" "&amp;B612&amp;" "&amp;D612&amp;" "&amp;E612&amp;" "&amp;F612&amp;" "&amp;G612&amp;" "&amp;H612)</f>
        <v/>
      </c>
      <c r="U612" s="216">
        <f>IF(AND('TRA CỨU TỔNG HỢP'!$B$3&lt;&gt;"",ISNUMBER(SEARCH('TRA CỨU TỔNG HỢP'!$B$3,T612))),MAX($U$3:U611)+1,"")</f>
        <v/>
      </c>
    </row>
    <row r="613" ht="15" customHeight="1" s="217">
      <c r="A613" s="347" t="inlineStr">
        <is>
          <t>MITSUBISHI</t>
        </is>
      </c>
      <c r="B613" s="348" t="inlineStr">
        <is>
          <t>HH083057</t>
        </is>
      </c>
      <c r="C613" s="349" t="inlineStr">
        <is>
          <t>Mitsubishi</t>
        </is>
      </c>
      <c r="D613" s="349" t="inlineStr">
        <is>
          <t>TD04-12T</t>
        </is>
      </c>
      <c r="E613" s="349" t="inlineStr">
        <is>
          <t>4M40</t>
        </is>
      </c>
      <c r="F613" s="350" t="inlineStr">
        <is>
          <t>49377-03040
ME200898
ME201258
49377-08130</t>
        </is>
      </c>
      <c r="G613" s="349" t="n"/>
      <c r="H613" s="351" t="inlineStr">
        <is>
          <t>SL</t>
        </is>
      </c>
      <c r="I613" s="352" t="n"/>
      <c r="J613" s="352" t="n"/>
      <c r="K613" s="352" t="n"/>
      <c r="L613" s="352">
        <f>IF(K613="","",K613*1.1)</f>
        <v/>
      </c>
      <c r="M613" s="353" t="n"/>
      <c r="N613" s="353" t="n"/>
      <c r="O613" s="353" t="n"/>
      <c r="P613" s="353" t="n"/>
      <c r="Q613" s="353" t="n"/>
      <c r="R613" s="353" t="n"/>
      <c r="T613" s="346">
        <f>UPPER(A613&amp;" "&amp;B613&amp;" "&amp;D613&amp;" "&amp;E613&amp;" "&amp;F613&amp;" "&amp;G613&amp;" "&amp;H613)</f>
        <v/>
      </c>
      <c r="U613" s="216">
        <f>IF(AND('TRA CỨU TỔNG HỢP'!$B$3&lt;&gt;"",ISNUMBER(SEARCH('TRA CỨU TỔNG HỢP'!$B$3,T613))),MAX($U$3:U612)+1,"")</f>
        <v/>
      </c>
    </row>
    <row r="614" ht="15" customHeight="1" s="217">
      <c r="A614" s="354" t="inlineStr">
        <is>
          <t>MITSUBISHI</t>
        </is>
      </c>
      <c r="B614" s="355" t="inlineStr">
        <is>
          <t>HH078209</t>
        </is>
      </c>
      <c r="C614" s="354" t="inlineStr">
        <is>
          <t>Mitsubishi</t>
        </is>
      </c>
      <c r="D614" s="354" t="inlineStr">
        <is>
          <t>TD07S</t>
        </is>
      </c>
      <c r="E614" s="354" t="inlineStr">
        <is>
          <t>6D16T</t>
        </is>
      </c>
      <c r="F614" s="356" t="inlineStr">
        <is>
          <t>49187-00271/49187-00270
49187-00250/4918700271
4918700270/4918700250
ME073935</t>
        </is>
      </c>
      <c r="G614" s="354" t="n"/>
      <c r="H614" s="357" t="inlineStr">
        <is>
          <t>SL</t>
        </is>
      </c>
      <c r="I614" s="358" t="n"/>
      <c r="J614" s="358" t="n"/>
      <c r="K614" s="358" t="n"/>
      <c r="L614" s="358">
        <f>IF(K614="","",K614*1.1)</f>
        <v/>
      </c>
      <c r="M614" s="359" t="n">
        <v>78</v>
      </c>
      <c r="N614" s="359" t="n">
        <v>55.6</v>
      </c>
      <c r="O614" s="359" t="inlineStr">
        <is>
          <t>12</t>
        </is>
      </c>
      <c r="P614" s="359" t="n">
        <v>74.09999999999999</v>
      </c>
      <c r="Q614" s="359" t="n">
        <v>63</v>
      </c>
      <c r="R614" s="359" t="n">
        <v>12</v>
      </c>
      <c r="T614" s="346">
        <f>UPPER(A614&amp;" "&amp;B614&amp;" "&amp;D614&amp;" "&amp;E614&amp;" "&amp;F614&amp;" "&amp;G614&amp;" "&amp;H614)</f>
        <v/>
      </c>
      <c r="U614" s="216">
        <f>IF(AND('TRA CỨU TỔNG HỢP'!$B$3&lt;&gt;"",ISNUMBER(SEARCH('TRA CỨU TỔNG HỢP'!$B$3,T614))),MAX($U$3:U613)+1,"")</f>
        <v/>
      </c>
    </row>
    <row r="615" ht="15" customHeight="1" s="217">
      <c r="A615" s="354" t="inlineStr">
        <is>
          <t>MITSUBISHI</t>
        </is>
      </c>
      <c r="B615" s="355" t="inlineStr">
        <is>
          <t>HH078445</t>
        </is>
      </c>
      <c r="C615" s="354" t="inlineStr">
        <is>
          <t>Mitsubishi</t>
        </is>
      </c>
      <c r="D615" s="354" t="inlineStr">
        <is>
          <t>TD06</t>
        </is>
      </c>
      <c r="E615" s="354" t="inlineStr">
        <is>
          <t>4D34T / 4D34T/ 6D16T</t>
        </is>
      </c>
      <c r="F615" s="356" t="inlineStr">
        <is>
          <t>49179-00260/4917900260
49179-00261/49179-00270
49179-00280/49179-00290</t>
        </is>
      </c>
      <c r="G615" s="354" t="n"/>
      <c r="H615" s="357" t="inlineStr">
        <is>
          <t>VIDARIR</t>
        </is>
      </c>
      <c r="I615" s="358" t="n"/>
      <c r="J615" s="358" t="n"/>
      <c r="K615" s="358" t="n"/>
      <c r="L615" s="358">
        <f>IF(K615="","",K615*1.1)</f>
        <v/>
      </c>
      <c r="M615" s="359" t="n"/>
      <c r="N615" s="359" t="n"/>
      <c r="O615" s="359" t="n"/>
      <c r="P615" s="359" t="n"/>
      <c r="Q615" s="359" t="n"/>
      <c r="R615" s="359" t="n"/>
      <c r="T615" s="346">
        <f>UPPER(A615&amp;" "&amp;B615&amp;" "&amp;D615&amp;" "&amp;E615&amp;" "&amp;F615&amp;" "&amp;G615&amp;" "&amp;H615)</f>
        <v/>
      </c>
      <c r="U615" s="216">
        <f>IF(AND('TRA CỨU TỔNG HỢP'!$B$3&lt;&gt;"",ISNUMBER(SEARCH('TRA CỨU TỔNG HỢP'!$B$3,T615))),MAX($U$3:U614)+1,"")</f>
        <v/>
      </c>
    </row>
    <row r="616" ht="19.5" customHeight="1" s="217">
      <c r="A616" s="378" t="inlineStr">
        <is>
          <t xml:space="preserve">  🏭  NISSAN   ·   11 loại turbo</t>
        </is>
      </c>
      <c r="U616" s="216">
        <f>IF(AND('TRA CỨU TỔNG HỢP'!$B$3&lt;&gt;"",ISNUMBER(SEARCH('TRA CỨU TỔNG HỢP'!$B$3,T616))),MAX($U$3:U615)+1,"")</f>
        <v/>
      </c>
    </row>
    <row r="617" ht="15" customHeight="1" s="217">
      <c r="A617" s="340" t="inlineStr">
        <is>
          <t>NISSAN</t>
        </is>
      </c>
      <c r="B617" s="341" t="inlineStr">
        <is>
          <t>HH082505</t>
        </is>
      </c>
      <c r="C617" s="340" t="inlineStr">
        <is>
          <t>BorgWarner</t>
        </is>
      </c>
      <c r="D617" s="340" t="inlineStr">
        <is>
          <t>BV45</t>
        </is>
      </c>
      <c r="E617" s="340" t="n"/>
      <c r="F617" s="342" t="inlineStr">
        <is>
          <t>5303-970-0337</t>
        </is>
      </c>
      <c r="G617" s="340" t="n"/>
      <c r="H617" s="343" t="inlineStr">
        <is>
          <t>SL</t>
        </is>
      </c>
      <c r="I617" s="344" t="n"/>
      <c r="J617" s="344" t="n"/>
      <c r="K617" s="344" t="n"/>
      <c r="L617" s="344">
        <f>IF(K617="","",K617*1.1)</f>
        <v/>
      </c>
      <c r="M617" s="345" t="n">
        <v>52.9</v>
      </c>
      <c r="N617" s="345" t="n">
        <v>41</v>
      </c>
      <c r="O617" s="345" t="inlineStr">
        <is>
          <t>6/6</t>
        </is>
      </c>
      <c r="P617" s="345" t="n">
        <v>45</v>
      </c>
      <c r="Q617" s="345" t="n">
        <v>40</v>
      </c>
      <c r="R617" s="345" t="inlineStr">
        <is>
          <t>10</t>
        </is>
      </c>
      <c r="T617" s="216">
        <f>UPPER(A617&amp;" "&amp;B617&amp;" "&amp;D617&amp;" "&amp;E617&amp;" "&amp;F617&amp;" "&amp;G617&amp;" "&amp;H617)</f>
        <v/>
      </c>
      <c r="U617" s="216">
        <f>IF(AND('TRA CỨU TỔNG HỢP'!$B$3&lt;&gt;"",ISNUMBER(SEARCH('TRA CỨU TỔNG HỢP'!$B$3,T617))),MAX($U$3:U616)+1,"")</f>
        <v/>
      </c>
    </row>
    <row r="618" ht="15" customHeight="1" s="217">
      <c r="A618" s="347" t="inlineStr">
        <is>
          <t>NISSAN</t>
        </is>
      </c>
      <c r="B618" s="348" t="inlineStr">
        <is>
          <t>HH082507</t>
        </is>
      </c>
      <c r="C618" s="349" t="inlineStr">
        <is>
          <t>BorgWarner</t>
        </is>
      </c>
      <c r="D618" s="349" t="inlineStr">
        <is>
          <t>BV45</t>
        </is>
      </c>
      <c r="E618" s="349" t="n"/>
      <c r="F618" s="350" t="inlineStr">
        <is>
          <t>5303-970-0337</t>
        </is>
      </c>
      <c r="G618" s="349" t="n"/>
      <c r="H618" s="351" t="inlineStr">
        <is>
          <t>SL</t>
        </is>
      </c>
      <c r="I618" s="352" t="n"/>
      <c r="J618" s="352" t="n"/>
      <c r="K618" s="352" t="n"/>
      <c r="L618" s="352">
        <f>IF(K618="","",K618*1.1)</f>
        <v/>
      </c>
      <c r="M618" s="353" t="n">
        <v>52.9</v>
      </c>
      <c r="N618" s="353" t="n">
        <v>41</v>
      </c>
      <c r="O618" s="353" t="inlineStr">
        <is>
          <t>6/6</t>
        </is>
      </c>
      <c r="P618" s="353" t="n">
        <v>45</v>
      </c>
      <c r="Q618" s="353" t="n">
        <v>40</v>
      </c>
      <c r="R618" s="353" t="inlineStr">
        <is>
          <t>10</t>
        </is>
      </c>
      <c r="T618" s="216">
        <f>UPPER(A618&amp;" "&amp;B618&amp;" "&amp;D618&amp;" "&amp;E618&amp;" "&amp;F618&amp;" "&amp;G618&amp;" "&amp;H618)</f>
        <v/>
      </c>
      <c r="U618" s="216">
        <f>IF(AND('TRA CỨU TỔNG HỢP'!$B$3&lt;&gt;"",ISNUMBER(SEARCH('TRA CỨU TỔNG HỢP'!$B$3,T618))),MAX($U$3:U617)+1,"")</f>
        <v/>
      </c>
    </row>
    <row r="619" ht="15" customHeight="1" s="217">
      <c r="A619" s="347" t="inlineStr">
        <is>
          <t>NISSAN</t>
        </is>
      </c>
      <c r="B619" s="348" t="inlineStr">
        <is>
          <t>HH082506</t>
        </is>
      </c>
      <c r="C619" s="349" t="inlineStr">
        <is>
          <t>BorgWarner</t>
        </is>
      </c>
      <c r="D619" s="349" t="inlineStr">
        <is>
          <t>BV45</t>
        </is>
      </c>
      <c r="E619" s="349" t="n"/>
      <c r="F619" s="350" t="inlineStr">
        <is>
          <t>5303-970-0337</t>
        </is>
      </c>
      <c r="G619" s="349" t="n"/>
      <c r="H619" s="351" t="inlineStr">
        <is>
          <t>SL</t>
        </is>
      </c>
      <c r="I619" s="352" t="n"/>
      <c r="J619" s="352" t="n"/>
      <c r="K619" s="352" t="n"/>
      <c r="L619" s="352">
        <f>IF(K619="","",K619*1.1)</f>
        <v/>
      </c>
      <c r="M619" s="353" t="n">
        <v>52.9</v>
      </c>
      <c r="N619" s="353" t="n">
        <v>41</v>
      </c>
      <c r="O619" s="353" t="inlineStr">
        <is>
          <t>6/6</t>
        </is>
      </c>
      <c r="P619" s="353" t="n">
        <v>45</v>
      </c>
      <c r="Q619" s="353" t="n">
        <v>40</v>
      </c>
      <c r="R619" s="353" t="inlineStr">
        <is>
          <t>10</t>
        </is>
      </c>
      <c r="T619" s="216">
        <f>UPPER(A619&amp;" "&amp;B619&amp;" "&amp;D619&amp;" "&amp;E619&amp;" "&amp;F619&amp;" "&amp;G619&amp;" "&amp;H619)</f>
        <v/>
      </c>
      <c r="U619" s="216">
        <f>IF(AND('TRA CỨU TỔNG HỢP'!$B$3&lt;&gt;"",ISNUMBER(SEARCH('TRA CỨU TỔNG HỢP'!$B$3,T619))),MAX($U$3:U618)+1,"")</f>
        <v/>
      </c>
    </row>
    <row r="620" ht="15" customHeight="1" s="217">
      <c r="A620" s="367" t="inlineStr">
        <is>
          <t>NISSAN</t>
        </is>
      </c>
      <c r="B620" s="368" t="n"/>
      <c r="C620" s="367" t="inlineStr">
        <is>
          <t>IHI</t>
        </is>
      </c>
      <c r="D620" s="367" t="inlineStr">
        <is>
          <t>RHC6</t>
        </is>
      </c>
      <c r="E620" s="367" t="inlineStr">
        <is>
          <t>FE6</t>
        </is>
      </c>
      <c r="F620" s="369" t="inlineStr">
        <is>
          <t>24100-5613</t>
        </is>
      </c>
      <c r="G620" s="367" t="n"/>
      <c r="H620" s="370" t="n"/>
      <c r="I620" s="371" t="n"/>
      <c r="J620" s="371" t="n"/>
      <c r="K620" s="371" t="n"/>
      <c r="L620" s="371">
        <f>IF(K620="","",K620*1.1)</f>
        <v/>
      </c>
      <c r="M620" s="372" t="n"/>
      <c r="N620" s="372" t="n"/>
      <c r="O620" s="372" t="n"/>
      <c r="P620" s="372" t="n"/>
      <c r="Q620" s="372" t="n"/>
      <c r="R620" s="372" t="n"/>
      <c r="T620" s="216">
        <f>UPPER(A620&amp;" "&amp;B620&amp;" "&amp;D620&amp;" "&amp;E620&amp;" "&amp;F620&amp;" "&amp;G620&amp;" "&amp;H620)</f>
        <v/>
      </c>
      <c r="U620" s="216">
        <f>IF(AND('TRA CỨU TỔNG HỢP'!$B$3&lt;&gt;"",ISNUMBER(SEARCH('TRA CỨU TỔNG HỢP'!$B$3,T620))),MAX($U$3:U619)+1,"")</f>
        <v/>
      </c>
    </row>
    <row r="621" ht="15" customHeight="1" s="217">
      <c r="A621" s="340" t="inlineStr">
        <is>
          <t>NISSAN</t>
        </is>
      </c>
      <c r="B621" s="341" t="inlineStr">
        <is>
          <t>HH081067</t>
        </is>
      </c>
      <c r="C621" s="340" t="inlineStr">
        <is>
          <t>Garrett</t>
        </is>
      </c>
      <c r="D621" s="340" t="inlineStr">
        <is>
          <t>GT1749V</t>
        </is>
      </c>
      <c r="E621" s="340" t="inlineStr">
        <is>
          <t>ZD30</t>
        </is>
      </c>
      <c r="F621" s="342" t="inlineStr">
        <is>
          <t>14411-VZ20A</t>
        </is>
      </c>
      <c r="G621" s="340" t="n"/>
      <c r="H621" s="343" t="inlineStr">
        <is>
          <t>SL</t>
        </is>
      </c>
      <c r="I621" s="344" t="n"/>
      <c r="J621" s="344" t="n"/>
      <c r="K621" s="344" t="n"/>
      <c r="L621" s="344">
        <f>IF(K621="","",K621*1.1)</f>
        <v/>
      </c>
      <c r="M621" s="345" t="n">
        <v>52</v>
      </c>
      <c r="N621" s="345" t="n">
        <v>38.6</v>
      </c>
      <c r="O621" s="345" t="inlineStr">
        <is>
          <t>5/5</t>
        </is>
      </c>
      <c r="P621" s="345" t="n">
        <v>44.5</v>
      </c>
      <c r="Q621" s="345" t="n">
        <v>39.6</v>
      </c>
      <c r="R621" s="345" t="n">
        <v>9</v>
      </c>
      <c r="T621" s="216">
        <f>UPPER(A621&amp;" "&amp;B621&amp;" "&amp;D621&amp;" "&amp;E621&amp;" "&amp;F621&amp;" "&amp;G621&amp;" "&amp;H621)</f>
        <v/>
      </c>
      <c r="U621" s="216">
        <f>IF(AND('TRA CỨU TỔNG HỢP'!$B$3&lt;&gt;"",ISNUMBER(SEARCH('TRA CỨU TỔNG HỢP'!$B$3,T621))),MAX($U$3:U620)+1,"")</f>
        <v/>
      </c>
    </row>
    <row r="622" ht="15" customHeight="1" s="217">
      <c r="A622" s="347" t="inlineStr">
        <is>
          <t>NISSAN</t>
        </is>
      </c>
      <c r="B622" s="348" t="inlineStr">
        <is>
          <t>HH081248</t>
        </is>
      </c>
      <c r="C622" s="349" t="inlineStr">
        <is>
          <t>Garrett</t>
        </is>
      </c>
      <c r="D622" s="349" t="inlineStr">
        <is>
          <t>GT1749V</t>
        </is>
      </c>
      <c r="E622" s="349" t="inlineStr">
        <is>
          <t>ZD30</t>
        </is>
      </c>
      <c r="F622" s="350" t="inlineStr">
        <is>
          <t>14411-VZ20A</t>
        </is>
      </c>
      <c r="G622" s="349" t="n"/>
      <c r="H622" s="351" t="inlineStr">
        <is>
          <t>SL</t>
        </is>
      </c>
      <c r="I622" s="352" t="n"/>
      <c r="J622" s="352" t="n"/>
      <c r="K622" s="352" t="n"/>
      <c r="L622" s="352">
        <f>IF(K622="","",K622*1.1)</f>
        <v/>
      </c>
      <c r="M622" s="353" t="n">
        <v>52</v>
      </c>
      <c r="N622" s="353" t="n">
        <v>38.6</v>
      </c>
      <c r="O622" s="353" t="inlineStr">
        <is>
          <t>5/5</t>
        </is>
      </c>
      <c r="P622" s="353" t="n">
        <v>44.5</v>
      </c>
      <c r="Q622" s="353" t="n">
        <v>39.6</v>
      </c>
      <c r="R622" s="353" t="n">
        <v>9</v>
      </c>
      <c r="T622" s="216">
        <f>UPPER(A622&amp;" "&amp;B622&amp;" "&amp;D622&amp;" "&amp;E622&amp;" "&amp;F622&amp;" "&amp;G622&amp;" "&amp;H622)</f>
        <v/>
      </c>
      <c r="U622" s="216">
        <f>IF(AND('TRA CỨU TỔNG HỢP'!$B$3&lt;&gt;"",ISNUMBER(SEARCH('TRA CỨU TỔNG HỢP'!$B$3,T622))),MAX($U$3:U621)+1,"")</f>
        <v/>
      </c>
    </row>
    <row r="623" ht="15" customHeight="1" s="217">
      <c r="A623" s="340" t="inlineStr">
        <is>
          <t>NISSAN</t>
        </is>
      </c>
      <c r="B623" s="341" t="inlineStr">
        <is>
          <t>HH083042</t>
        </is>
      </c>
      <c r="C623" s="340" t="inlineStr">
        <is>
          <t>Holset</t>
        </is>
      </c>
      <c r="D623" s="340" t="inlineStr">
        <is>
          <t>HT12-19</t>
        </is>
      </c>
      <c r="E623" s="340" t="inlineStr">
        <is>
          <t>ZD30</t>
        </is>
      </c>
      <c r="F623" s="342" t="inlineStr">
        <is>
          <t>14411-9S000</t>
        </is>
      </c>
      <c r="G623" s="340" t="n"/>
      <c r="H623" s="343" t="inlineStr">
        <is>
          <t>SL</t>
        </is>
      </c>
      <c r="I623" s="344" t="n"/>
      <c r="J623" s="344" t="n"/>
      <c r="K623" s="344" t="n"/>
      <c r="L623" s="344">
        <f>IF(K623="","",K623*1.1)</f>
        <v/>
      </c>
      <c r="M623" s="345" t="n">
        <v>54</v>
      </c>
      <c r="N623" s="345" t="n">
        <v>41</v>
      </c>
      <c r="O623" s="345" t="n">
        <v>5</v>
      </c>
      <c r="P623" s="345" t="n">
        <v>44</v>
      </c>
      <c r="Q623" s="345" t="n">
        <v>37.3</v>
      </c>
      <c r="R623" s="345" t="n">
        <v>9</v>
      </c>
      <c r="T623" s="216">
        <f>UPPER(A623&amp;" "&amp;B623&amp;" "&amp;D623&amp;" "&amp;E623&amp;" "&amp;F623&amp;" "&amp;G623&amp;" "&amp;H623)</f>
        <v/>
      </c>
      <c r="U623" s="216">
        <f>IF(AND('TRA CỨU TỔNG HỢP'!$B$3&lt;&gt;"",ISNUMBER(SEARCH('TRA CỨU TỔNG HỢP'!$B$3,T623))),MAX($U$3:U622)+1,"")</f>
        <v/>
      </c>
    </row>
    <row r="624" ht="15" customHeight="1" s="217">
      <c r="A624" s="347" t="inlineStr">
        <is>
          <t>NISSAN</t>
        </is>
      </c>
      <c r="B624" s="348" t="inlineStr">
        <is>
          <t>HH083043</t>
        </is>
      </c>
      <c r="C624" s="349" t="inlineStr">
        <is>
          <t>Holset</t>
        </is>
      </c>
      <c r="D624" s="349" t="inlineStr">
        <is>
          <t>HT12-19</t>
        </is>
      </c>
      <c r="E624" s="349" t="inlineStr">
        <is>
          <t>ZD30</t>
        </is>
      </c>
      <c r="F624" s="350" t="inlineStr">
        <is>
          <t>14411-9S000</t>
        </is>
      </c>
      <c r="G624" s="349" t="n"/>
      <c r="H624" s="351" t="inlineStr">
        <is>
          <t>SL</t>
        </is>
      </c>
      <c r="I624" s="352" t="n"/>
      <c r="J624" s="352" t="n"/>
      <c r="K624" s="352" t="n"/>
      <c r="L624" s="352">
        <f>IF(K624="","",K624*1.1)</f>
        <v/>
      </c>
      <c r="M624" s="353" t="n">
        <v>54</v>
      </c>
      <c r="N624" s="353" t="n">
        <v>41</v>
      </c>
      <c r="O624" s="353" t="n">
        <v>5</v>
      </c>
      <c r="P624" s="353" t="n">
        <v>44</v>
      </c>
      <c r="Q624" s="353" t="n">
        <v>37.3</v>
      </c>
      <c r="R624" s="353" t="n">
        <v>9</v>
      </c>
      <c r="T624" s="216">
        <f>UPPER(A624&amp;" "&amp;B624&amp;" "&amp;D624&amp;" "&amp;E624&amp;" "&amp;F624&amp;" "&amp;G624&amp;" "&amp;H624)</f>
        <v/>
      </c>
      <c r="U624" s="216">
        <f>IF(AND('TRA CỨU TỔNG HỢP'!$B$3&lt;&gt;"",ISNUMBER(SEARCH('TRA CỨU TỔNG HỢP'!$B$3,T624))),MAX($U$3:U623)+1,"")</f>
        <v/>
      </c>
    </row>
    <row r="625" ht="15" customHeight="1" s="217">
      <c r="A625" s="379" t="inlineStr">
        <is>
          <t>NISSAN</t>
        </is>
      </c>
      <c r="B625" s="380" t="n"/>
      <c r="C625" s="379" t="inlineStr">
        <is>
          <t>Garrett</t>
        </is>
      </c>
      <c r="D625" s="379" t="inlineStr">
        <is>
          <t>TA4507</t>
        </is>
      </c>
      <c r="E625" s="379" t="inlineStr">
        <is>
          <t>PE6T</t>
        </is>
      </c>
      <c r="F625" s="381" t="inlineStr">
        <is>
          <t>466314-0002</t>
        </is>
      </c>
      <c r="G625" s="379" t="n"/>
      <c r="H625" s="382" t="n"/>
      <c r="I625" s="383" t="n"/>
      <c r="J625" s="383" t="n"/>
      <c r="K625" s="383" t="n"/>
      <c r="L625" s="383">
        <f>IF(K625="","",K625*1.1)</f>
        <v/>
      </c>
      <c r="M625" s="384" t="n"/>
      <c r="N625" s="384" t="n"/>
      <c r="O625" s="384" t="n"/>
      <c r="P625" s="384" t="n"/>
      <c r="Q625" s="384" t="n"/>
      <c r="R625" s="384" t="n"/>
      <c r="T625" s="216">
        <f>UPPER(A625&amp;" "&amp;B625&amp;" "&amp;D625&amp;" "&amp;E625&amp;" "&amp;F625&amp;" "&amp;G625&amp;" "&amp;H625)</f>
        <v/>
      </c>
      <c r="U625" s="216">
        <f>IF(AND('TRA CỨU TỔNG HỢP'!$B$3&lt;&gt;"",ISNUMBER(SEARCH('TRA CỨU TỔNG HỢP'!$B$3,T625))),MAX($U$3:U624)+1,"")</f>
        <v/>
      </c>
    </row>
    <row r="626" ht="15" customHeight="1" s="217">
      <c r="A626" s="340" t="n"/>
      <c r="B626" s="341" t="inlineStr">
        <is>
          <t>HH0627</t>
        </is>
      </c>
      <c r="C626" s="340" t="n"/>
      <c r="D626" s="340" t="inlineStr">
        <is>
          <t>GT2252S</t>
        </is>
      </c>
      <c r="E626" s="340" t="inlineStr">
        <is>
          <t>BD30T</t>
        </is>
      </c>
      <c r="F626" s="342" t="inlineStr">
        <is>
          <t xml:space="preserve">14411-69T00/452187-0001 | 452187-0003 | 452187-0005 | 452187-0006 | 452187-1 | 452187-3 | 452187-5 | 452187-6 | 452187-5001S | 452187-5003S | 452187-5005S | 452187-5006S | 14411-69T00 | 14411-69500 ​​| 14411-69500
</t>
        </is>
      </c>
      <c r="G626" s="340" t="inlineStr">
        <is>
          <t>Làm mát bằng nhớt/h/a có tanboress</t>
        </is>
      </c>
      <c r="H626" s="343" t="inlineStr">
        <is>
          <t>SL</t>
        </is>
      </c>
      <c r="I626" s="344" t="n"/>
      <c r="J626" s="344" t="n"/>
      <c r="K626" s="344" t="n"/>
      <c r="L626" s="344">
        <f>IF(K626="","",K626*1.1)</f>
        <v/>
      </c>
      <c r="M626" s="345" t="n"/>
      <c r="N626" s="345" t="n"/>
      <c r="O626" s="345" t="n"/>
      <c r="P626" s="345" t="n"/>
      <c r="Q626" s="345" t="n"/>
      <c r="R626" s="345" t="n"/>
      <c r="T626" s="346">
        <f>UPPER(A626&amp;" "&amp;B626&amp;" "&amp;D626&amp;" "&amp;E626&amp;" "&amp;F626&amp;" "&amp;G626&amp;" "&amp;H626)</f>
        <v/>
      </c>
      <c r="U626" s="216">
        <f>IF(AND('TRA CỨU TỔNG HỢP'!$B$3&lt;&gt;"",ISNUMBER(SEARCH('TRA CỨU TỔNG HỢP'!$B$3,T626))),MAX($U$3:U625)+1,"")</f>
        <v/>
      </c>
    </row>
    <row r="627" ht="15" customHeight="1" s="217">
      <c r="A627" s="347" t="n"/>
      <c r="B627" s="348" t="inlineStr">
        <is>
          <t>HH068758</t>
        </is>
      </c>
      <c r="C627" s="349" t="n"/>
      <c r="D627" s="349" t="inlineStr">
        <is>
          <t>GT2252S</t>
        </is>
      </c>
      <c r="E627" s="349" t="inlineStr">
        <is>
          <t>BD30T</t>
        </is>
      </c>
      <c r="F627" s="350" t="inlineStr">
        <is>
          <t xml:space="preserve">14411-69T00/452187-0001 | 452187-0003 | 452187-0005 | 452187-0006 | 452187-1 | 452187-3 | 452187-5 | 452187-6 | 452187-5001S | 452187-5003S | 452187-5005S | 452187-5006S | 14411-69T00 | 14411-69500 ​​| 14411-69500
</t>
        </is>
      </c>
      <c r="G627" s="349" t="inlineStr">
        <is>
          <t>Làm mát bằng nhớt/h/a có tanboress</t>
        </is>
      </c>
      <c r="H627" s="351" t="inlineStr">
        <is>
          <t>SL</t>
        </is>
      </c>
      <c r="I627" s="352" t="n"/>
      <c r="J627" s="352" t="n"/>
      <c r="K627" s="352" t="n"/>
      <c r="L627" s="352">
        <f>IF(K627="","",K627*1.1)</f>
        <v/>
      </c>
      <c r="M627" s="353" t="n"/>
      <c r="N627" s="353" t="n"/>
      <c r="O627" s="353" t="n"/>
      <c r="P627" s="353" t="n"/>
      <c r="Q627" s="353" t="n"/>
      <c r="R627" s="353" t="n"/>
      <c r="T627" s="346">
        <f>UPPER(A627&amp;" "&amp;B627&amp;" "&amp;D627&amp;" "&amp;E627&amp;" "&amp;F627&amp;" "&amp;G627&amp;" "&amp;H627)</f>
        <v/>
      </c>
      <c r="U627" s="216">
        <f>IF(AND('TRA CỨU TỔNG HỢP'!$B$3&lt;&gt;"",ISNUMBER(SEARCH('TRA CỨU TỔNG HỢP'!$B$3,T627))),MAX($U$3:U626)+1,"")</f>
        <v/>
      </c>
    </row>
    <row r="628" ht="15" customHeight="1" s="217">
      <c r="A628" s="354" t="inlineStr">
        <is>
          <t>NISSAN</t>
        </is>
      </c>
      <c r="B628" s="355" t="inlineStr">
        <is>
          <t>HH081341</t>
        </is>
      </c>
      <c r="C628" s="354" t="inlineStr">
        <is>
          <t>IHI</t>
        </is>
      </c>
      <c r="D628" s="354" t="inlineStr">
        <is>
          <t>PD6-T</t>
        </is>
      </c>
      <c r="E628" s="354" t="inlineStr">
        <is>
          <t>KATO</t>
        </is>
      </c>
      <c r="F628" s="356" t="inlineStr">
        <is>
          <t>406130-0005</t>
        </is>
      </c>
      <c r="G628" s="354" t="n"/>
      <c r="H628" s="357" t="inlineStr">
        <is>
          <t>FIRE</t>
        </is>
      </c>
      <c r="I628" s="358" t="n"/>
      <c r="J628" s="358" t="n"/>
      <c r="K628" s="358" t="n"/>
      <c r="L628" s="358">
        <f>IF(K628="","",K628*1.1)</f>
        <v/>
      </c>
      <c r="M628" s="359" t="n"/>
      <c r="N628" s="359" t="n"/>
      <c r="O628" s="359" t="n"/>
      <c r="P628" s="359" t="n"/>
      <c r="Q628" s="359" t="n"/>
      <c r="R628" s="359" t="n"/>
      <c r="T628" s="216">
        <f>UPPER(A628&amp;" "&amp;B628&amp;" "&amp;D628&amp;" "&amp;E628&amp;" "&amp;F628&amp;" "&amp;G628&amp;" "&amp;H628)</f>
        <v/>
      </c>
      <c r="U628" s="216">
        <f>IF(AND('TRA CỨU TỔNG HỢP'!$B$3&lt;&gt;"",ISNUMBER(SEARCH('TRA CỨU TỔNG HỢP'!$B$3,T628))),MAX($U$3:U627)+1,"")</f>
        <v/>
      </c>
    </row>
    <row r="629" ht="15" customHeight="1" s="217">
      <c r="A629" s="340" t="inlineStr">
        <is>
          <t>NISSAN</t>
        </is>
      </c>
      <c r="B629" s="341" t="inlineStr">
        <is>
          <t>HH081736</t>
        </is>
      </c>
      <c r="C629" s="340" t="inlineStr">
        <is>
          <t>Garrett</t>
        </is>
      </c>
      <c r="D629" s="340" t="inlineStr">
        <is>
          <t>GT2056V</t>
        </is>
      </c>
      <c r="E629" s="340" t="n"/>
      <c r="F629" s="342" t="inlineStr">
        <is>
          <t>751243-0002
14411-EB300</t>
        </is>
      </c>
      <c r="G629" s="340" t="n"/>
      <c r="H629" s="343" t="inlineStr">
        <is>
          <t>TBS</t>
        </is>
      </c>
      <c r="I629" s="344" t="n"/>
      <c r="J629" s="344" t="n"/>
      <c r="K629" s="344" t="n"/>
      <c r="L629" s="344">
        <f>IF(K629="","",K629*1.1)</f>
        <v/>
      </c>
      <c r="M629" s="345" t="n">
        <v>56.2</v>
      </c>
      <c r="N629" s="345" t="n">
        <v>39.6</v>
      </c>
      <c r="O629" s="345" t="inlineStr">
        <is>
          <t>6/6</t>
        </is>
      </c>
      <c r="P629" s="345" t="n">
        <v>47.3</v>
      </c>
      <c r="Q629" s="345" t="n">
        <v>39.9</v>
      </c>
      <c r="R629" s="345" t="n">
        <v>9</v>
      </c>
      <c r="T629" s="346">
        <f>UPPER(A629&amp;" "&amp;B629&amp;" "&amp;D629&amp;" "&amp;E629&amp;" "&amp;F629&amp;" "&amp;G629&amp;" "&amp;H629)</f>
        <v/>
      </c>
      <c r="U629" s="216">
        <f>IF(AND('TRA CỨU TỔNG HỢP'!$B$3&lt;&gt;"",ISNUMBER(SEARCH('TRA CỨU TỔNG HỢP'!$B$3,T629))),MAX($U$3:U628)+1,"")</f>
        <v/>
      </c>
    </row>
    <row r="630" ht="15" customHeight="1" s="217">
      <c r="A630" s="347" t="inlineStr">
        <is>
          <t>NISSAN</t>
        </is>
      </c>
      <c r="B630" s="348" t="inlineStr">
        <is>
          <t>HH081737</t>
        </is>
      </c>
      <c r="C630" s="349" t="inlineStr">
        <is>
          <t>Garrett</t>
        </is>
      </c>
      <c r="D630" s="349" t="inlineStr">
        <is>
          <t>GT2056V</t>
        </is>
      </c>
      <c r="E630" s="349" t="n"/>
      <c r="F630" s="350" t="inlineStr">
        <is>
          <t>751243-0002
14411-EB300</t>
        </is>
      </c>
      <c r="G630" s="349" t="n"/>
      <c r="H630" s="351" t="inlineStr">
        <is>
          <t>TBS</t>
        </is>
      </c>
      <c r="I630" s="352" t="n"/>
      <c r="J630" s="352" t="n"/>
      <c r="K630" s="352" t="n"/>
      <c r="L630" s="352">
        <f>IF(K630="","",K630*1.1)</f>
        <v/>
      </c>
      <c r="M630" s="353" t="n">
        <v>56.2</v>
      </c>
      <c r="N630" s="353" t="n">
        <v>39.6</v>
      </c>
      <c r="O630" s="353" t="inlineStr">
        <is>
          <t>6/6</t>
        </is>
      </c>
      <c r="P630" s="353" t="n">
        <v>47.3</v>
      </c>
      <c r="Q630" s="353" t="n">
        <v>39.9</v>
      </c>
      <c r="R630" s="353" t="n">
        <v>9</v>
      </c>
      <c r="T630" s="346">
        <f>UPPER(A630&amp;" "&amp;B630&amp;" "&amp;D630&amp;" "&amp;E630&amp;" "&amp;F630&amp;" "&amp;G630&amp;" "&amp;H630)</f>
        <v/>
      </c>
      <c r="U630" s="216">
        <f>IF(AND('TRA CỨU TỔNG HỢP'!$B$3&lt;&gt;"",ISNUMBER(SEARCH('TRA CỨU TỔNG HỢP'!$B$3,T630))),MAX($U$3:U629)+1,"")</f>
        <v/>
      </c>
    </row>
    <row r="631" ht="15" customHeight="1" s="217">
      <c r="A631" s="354" t="inlineStr">
        <is>
          <t>NISSAN</t>
        </is>
      </c>
      <c r="B631" s="355" t="inlineStr">
        <is>
          <t>HH080808</t>
        </is>
      </c>
      <c r="C631" s="354" t="inlineStr">
        <is>
          <t>Mitsubishi</t>
        </is>
      </c>
      <c r="D631" s="354" t="inlineStr">
        <is>
          <t>TD04L</t>
        </is>
      </c>
      <c r="E631" s="354" t="inlineStr">
        <is>
          <t>QD32T</t>
        </is>
      </c>
      <c r="F631" s="356" t="inlineStr">
        <is>
          <t>14411-7T600
49377-02600</t>
        </is>
      </c>
      <c r="G631" s="354" t="n"/>
      <c r="H631" s="357" t="inlineStr">
        <is>
          <t>SL</t>
        </is>
      </c>
      <c r="I631" s="358" t="n"/>
      <c r="J631" s="358" t="n"/>
      <c r="K631" s="358" t="n"/>
      <c r="L631" s="358">
        <f>IF(K631="","",K631*1.1)</f>
        <v/>
      </c>
      <c r="M631" s="359" t="n">
        <v>56</v>
      </c>
      <c r="N631" s="359" t="n">
        <v>41</v>
      </c>
      <c r="O631" s="359" t="inlineStr">
        <is>
          <t>6/6</t>
        </is>
      </c>
      <c r="P631" s="359" t="n">
        <v>48.5</v>
      </c>
      <c r="Q631" s="359" t="n">
        <v>40.9</v>
      </c>
      <c r="R631" s="359" t="n">
        <v>10</v>
      </c>
      <c r="T631" s="346">
        <f>UPPER(A631&amp;" "&amp;B631&amp;" "&amp;D631&amp;" "&amp;E631&amp;" "&amp;F631&amp;" "&amp;G631&amp;" "&amp;H631)</f>
        <v/>
      </c>
      <c r="U631" s="216">
        <f>IF(AND('TRA CỨU TỔNG HỢP'!$B$3&lt;&gt;"",ISNUMBER(SEARCH('TRA CỨU TỔNG HỢP'!$B$3,T631))),MAX($U$3:U630)+1,"")</f>
        <v/>
      </c>
    </row>
    <row r="632" ht="15" customHeight="1" s="217">
      <c r="A632" s="340" t="inlineStr">
        <is>
          <t>NISSAN</t>
        </is>
      </c>
      <c r="B632" s="341" t="inlineStr">
        <is>
          <t>HH078405</t>
        </is>
      </c>
      <c r="C632" s="340" t="inlineStr">
        <is>
          <t>Garrett</t>
        </is>
      </c>
      <c r="D632" s="340" t="inlineStr">
        <is>
          <t>GT2056V</t>
        </is>
      </c>
      <c r="E632" s="340" t="inlineStr">
        <is>
          <t>YD25</t>
        </is>
      </c>
      <c r="F632" s="342" t="inlineStr">
        <is>
          <t>14111-EB70A/14411-EB70B
14411-EB70C/14411-EB70D
14411-EC00B/14411-EC00C
14411-EC00E/769708-0001
769708-0002/769708-0003
769708-0004/764327-0001</t>
        </is>
      </c>
      <c r="G632" s="340" t="n"/>
      <c r="H632" s="343" t="inlineStr">
        <is>
          <t>SL</t>
        </is>
      </c>
      <c r="I632" s="344" t="n"/>
      <c r="J632" s="344" t="n"/>
      <c r="K632" s="344" t="n"/>
      <c r="L632" s="344">
        <f>IF(K632="","",K632*1.1)</f>
        <v/>
      </c>
      <c r="M632" s="345" t="n">
        <v>56</v>
      </c>
      <c r="N632" s="345" t="n">
        <v>41.5</v>
      </c>
      <c r="O632" s="345" t="inlineStr">
        <is>
          <t>6/6</t>
        </is>
      </c>
      <c r="P632" s="345" t="n">
        <v>46.9</v>
      </c>
      <c r="Q632" s="345" t="n">
        <v>42.2</v>
      </c>
      <c r="R632" s="345" t="n">
        <v>9</v>
      </c>
      <c r="T632" s="346">
        <f>UPPER(A632&amp;" "&amp;B632&amp;" "&amp;D632&amp;" "&amp;E632&amp;" "&amp;F632&amp;" "&amp;G632&amp;" "&amp;H632)</f>
        <v/>
      </c>
      <c r="U632" s="216">
        <f>IF(AND('TRA CỨU TỔNG HỢP'!$B$3&lt;&gt;"",ISNUMBER(SEARCH('TRA CỨU TỔNG HỢP'!$B$3,T632))),MAX($U$3:U631)+1,"")</f>
        <v/>
      </c>
    </row>
    <row r="633" ht="15" customHeight="1" s="217">
      <c r="A633" s="347" t="inlineStr">
        <is>
          <t>NISSAN</t>
        </is>
      </c>
      <c r="B633" s="348" t="inlineStr">
        <is>
          <t>HH079995</t>
        </is>
      </c>
      <c r="C633" s="349" t="inlineStr">
        <is>
          <t>Garrett</t>
        </is>
      </c>
      <c r="D633" s="349" t="inlineStr">
        <is>
          <t>GT2056V</t>
        </is>
      </c>
      <c r="E633" s="349" t="inlineStr">
        <is>
          <t>YD25</t>
        </is>
      </c>
      <c r="F633" s="350" t="inlineStr">
        <is>
          <t>14111-EB70A/14411-EB70B
14411-EB70C/14411-EB70D
14411-EC00B/14411-EC00C
14411-EC00E/769708-0001
769708-0002/769708-0003
769708-0004/764327-0001</t>
        </is>
      </c>
      <c r="G633" s="349" t="n"/>
      <c r="H633" s="351" t="inlineStr">
        <is>
          <t>SL</t>
        </is>
      </c>
      <c r="I633" s="352" t="n"/>
      <c r="J633" s="352" t="n"/>
      <c r="K633" s="352" t="n"/>
      <c r="L633" s="352">
        <f>IF(K633="","",K633*1.1)</f>
        <v/>
      </c>
      <c r="M633" s="353" t="n">
        <v>56</v>
      </c>
      <c r="N633" s="353" t="n">
        <v>41.5</v>
      </c>
      <c r="O633" s="353" t="inlineStr">
        <is>
          <t>6/6</t>
        </is>
      </c>
      <c r="P633" s="353" t="n">
        <v>46.9</v>
      </c>
      <c r="Q633" s="353" t="n">
        <v>42.2</v>
      </c>
      <c r="R633" s="353" t="n">
        <v>9</v>
      </c>
      <c r="T633" s="346">
        <f>UPPER(A633&amp;" "&amp;B633&amp;" "&amp;D633&amp;" "&amp;E633&amp;" "&amp;F633&amp;" "&amp;G633&amp;" "&amp;H633)</f>
        <v/>
      </c>
      <c r="U633" s="216">
        <f>IF(AND('TRA CỨU TỔNG HỢP'!$B$3&lt;&gt;"",ISNUMBER(SEARCH('TRA CỨU TỔNG HỢP'!$B$3,T633))),MAX($U$3:U632)+1,"")</f>
        <v/>
      </c>
    </row>
    <row r="634" ht="15" customHeight="1" s="217">
      <c r="A634" s="354" t="inlineStr">
        <is>
          <t>NISSAN</t>
        </is>
      </c>
      <c r="B634" s="355" t="inlineStr">
        <is>
          <t>HH075590</t>
        </is>
      </c>
      <c r="C634" s="354" t="inlineStr">
        <is>
          <t>Garrett</t>
        </is>
      </c>
      <c r="D634" s="354" t="inlineStr">
        <is>
          <t>GT3576DL</t>
        </is>
      </c>
      <c r="E634" s="354" t="inlineStr">
        <is>
          <t>FE6T</t>
        </is>
      </c>
      <c r="F634" s="356" t="inlineStr">
        <is>
          <t>702172-0012
8G35-200-744/702172-0002
0003
0005
0006
14201-Z5905</t>
        </is>
      </c>
      <c r="G634" s="354" t="n"/>
      <c r="H634" s="357" t="inlineStr">
        <is>
          <t>JRONE</t>
        </is>
      </c>
      <c r="I634" s="358" t="n"/>
      <c r="J634" s="358" t="n"/>
      <c r="K634" s="358" t="n"/>
      <c r="L634" s="358">
        <f>IF(K634="","",K634*1.1)</f>
        <v/>
      </c>
      <c r="M634" s="359" t="n">
        <v>76.2</v>
      </c>
      <c r="N634" s="359" t="n">
        <v>57</v>
      </c>
      <c r="O634" s="359" t="inlineStr">
        <is>
          <t>6/6</t>
        </is>
      </c>
      <c r="P634" s="359" t="n">
        <v>68</v>
      </c>
      <c r="Q634" s="359" t="n">
        <v>60</v>
      </c>
      <c r="R634" s="359" t="n">
        <v>10</v>
      </c>
      <c r="T634" s="346">
        <f>UPPER(A634&amp;" "&amp;B634&amp;" "&amp;D634&amp;" "&amp;E634&amp;" "&amp;F634&amp;" "&amp;G634&amp;" "&amp;H634)</f>
        <v/>
      </c>
      <c r="U634" s="216">
        <f>IF(AND('TRA CỨU TỔNG HỢP'!$B$3&lt;&gt;"",ISNUMBER(SEARCH('TRA CỨU TỔNG HỢP'!$B$3,T634))),MAX($U$3:U633)+1,"")</f>
        <v/>
      </c>
    </row>
    <row r="635" ht="15" customHeight="1" s="217">
      <c r="A635" s="340" t="inlineStr">
        <is>
          <t>NISSAN</t>
        </is>
      </c>
      <c r="B635" s="341" t="inlineStr">
        <is>
          <t>HH079544</t>
        </is>
      </c>
      <c r="C635" s="340" t="inlineStr">
        <is>
          <t>Garrett</t>
        </is>
      </c>
      <c r="D635" s="340" t="inlineStr">
        <is>
          <t>TB2505</t>
        </is>
      </c>
      <c r="E635" s="340" t="inlineStr">
        <is>
          <t>FD46</t>
        </is>
      </c>
      <c r="F635" s="342" t="inlineStr">
        <is>
          <t>471024-7B
14411-24D00</t>
        </is>
      </c>
      <c r="G635" s="340" t="n"/>
      <c r="H635" s="343" t="inlineStr">
        <is>
          <t>SL</t>
        </is>
      </c>
      <c r="I635" s="344" t="n"/>
      <c r="J635" s="344" t="n"/>
      <c r="K635" s="344" t="n"/>
      <c r="L635" s="344">
        <f>IF(K635="","",K635*1.1)</f>
        <v/>
      </c>
      <c r="M635" s="345" t="n">
        <v>60.2</v>
      </c>
      <c r="N635" s="345" t="n">
        <v>46.4</v>
      </c>
      <c r="O635" s="345" t="inlineStr">
        <is>
          <t>6/6</t>
        </is>
      </c>
      <c r="P635" s="345" t="n">
        <v>53</v>
      </c>
      <c r="Q635" s="345" t="n">
        <v>47.3</v>
      </c>
      <c r="R635" s="345" t="n">
        <v>10</v>
      </c>
      <c r="T635" s="346">
        <f>UPPER(A635&amp;" "&amp;B635&amp;" "&amp;D635&amp;" "&amp;E635&amp;" "&amp;F635&amp;" "&amp;G635&amp;" "&amp;H635)</f>
        <v/>
      </c>
      <c r="U635" s="216">
        <f>IF(AND('TRA CỨU TỔNG HỢP'!$B$3&lt;&gt;"",ISNUMBER(SEARCH('TRA CỨU TỔNG HỢP'!$B$3,T635))),MAX($U$3:U634)+1,"")</f>
        <v/>
      </c>
    </row>
    <row r="636" ht="15" customHeight="1" s="217">
      <c r="A636" s="347" t="inlineStr">
        <is>
          <t>NISSAN</t>
        </is>
      </c>
      <c r="B636" s="348" t="inlineStr">
        <is>
          <t>HH082679</t>
        </is>
      </c>
      <c r="C636" s="349" t="inlineStr">
        <is>
          <t>Garrett</t>
        </is>
      </c>
      <c r="D636" s="349" t="inlineStr">
        <is>
          <t>TB2505</t>
        </is>
      </c>
      <c r="E636" s="349" t="inlineStr">
        <is>
          <t>FD46</t>
        </is>
      </c>
      <c r="F636" s="350" t="inlineStr">
        <is>
          <t>471024-7B
14411-24D00</t>
        </is>
      </c>
      <c r="G636" s="349" t="n"/>
      <c r="H636" s="351" t="inlineStr">
        <is>
          <t>SL</t>
        </is>
      </c>
      <c r="I636" s="352" t="n"/>
      <c r="J636" s="352" t="n"/>
      <c r="K636" s="352" t="n"/>
      <c r="L636" s="352">
        <f>IF(K636="","",K636*1.1)</f>
        <v/>
      </c>
      <c r="M636" s="353" t="n">
        <v>60.2</v>
      </c>
      <c r="N636" s="353" t="n">
        <v>46.4</v>
      </c>
      <c r="O636" s="353" t="inlineStr">
        <is>
          <t>6/6</t>
        </is>
      </c>
      <c r="P636" s="353" t="n">
        <v>53</v>
      </c>
      <c r="Q636" s="353" t="n">
        <v>47.3</v>
      </c>
      <c r="R636" s="353" t="n">
        <v>10</v>
      </c>
      <c r="T636" s="346">
        <f>UPPER(A636&amp;" "&amp;B636&amp;" "&amp;D636&amp;" "&amp;E636&amp;" "&amp;F636&amp;" "&amp;G636&amp;" "&amp;H636)</f>
        <v/>
      </c>
      <c r="U636" s="216">
        <f>IF(AND('TRA CỨU TỔNG HỢP'!$B$3&lt;&gt;"",ISNUMBER(SEARCH('TRA CỨU TỔNG HỢP'!$B$3,T636))),MAX($U$3:U635)+1,"")</f>
        <v/>
      </c>
    </row>
    <row r="637" ht="15" customHeight="1" s="217">
      <c r="A637" s="347" t="inlineStr">
        <is>
          <t>NISSAN</t>
        </is>
      </c>
      <c r="B637" s="348" t="inlineStr">
        <is>
          <t>HH081921</t>
        </is>
      </c>
      <c r="C637" s="349" t="inlineStr">
        <is>
          <t>Garrett</t>
        </is>
      </c>
      <c r="D637" s="349" t="inlineStr">
        <is>
          <t>TB2505</t>
        </is>
      </c>
      <c r="E637" s="349" t="inlineStr">
        <is>
          <t>FD46</t>
        </is>
      </c>
      <c r="F637" s="350" t="inlineStr">
        <is>
          <t>471024-7B
14411-24D00</t>
        </is>
      </c>
      <c r="G637" s="349" t="n"/>
      <c r="H637" s="351" t="inlineStr">
        <is>
          <t>SL</t>
        </is>
      </c>
      <c r="I637" s="352" t="n"/>
      <c r="J637" s="352" t="n"/>
      <c r="K637" s="352" t="n"/>
      <c r="L637" s="352">
        <f>IF(K637="","",K637*1.1)</f>
        <v/>
      </c>
      <c r="M637" s="353" t="n">
        <v>60.2</v>
      </c>
      <c r="N637" s="353" t="n">
        <v>46.4</v>
      </c>
      <c r="O637" s="353" t="inlineStr">
        <is>
          <t>6/6</t>
        </is>
      </c>
      <c r="P637" s="353" t="n">
        <v>53</v>
      </c>
      <c r="Q637" s="353" t="n">
        <v>47.3</v>
      </c>
      <c r="R637" s="353" t="n">
        <v>10</v>
      </c>
      <c r="T637" s="346">
        <f>UPPER(A637&amp;" "&amp;B637&amp;" "&amp;D637&amp;" "&amp;E637&amp;" "&amp;F637&amp;" "&amp;G637&amp;" "&amp;H637)</f>
        <v/>
      </c>
      <c r="U637" s="216">
        <f>IF(AND('TRA CỨU TỔNG HỢP'!$B$3&lt;&gt;"",ISNUMBER(SEARCH('TRA CỨU TỔNG HỢP'!$B$3,T637))),MAX($U$3:U636)+1,"")</f>
        <v/>
      </c>
    </row>
    <row r="638" ht="19.5" customHeight="1" s="217">
      <c r="A638" s="378" t="inlineStr">
        <is>
          <t xml:space="preserve">  🏭  PERKINS   ·   12 loại turbo</t>
        </is>
      </c>
      <c r="U638" s="216">
        <f>IF(AND('TRA CỨU TỔNG HỢP'!$B$3&lt;&gt;"",ISNUMBER(SEARCH('TRA CỨU TỔNG HỢP'!$B$3,T638))),MAX($U$3:U637)+1,"")</f>
        <v/>
      </c>
    </row>
    <row r="639" ht="15" customHeight="1" s="217">
      <c r="A639" s="340" t="inlineStr">
        <is>
          <t>PERKINS</t>
        </is>
      </c>
      <c r="B639" s="341" t="inlineStr">
        <is>
          <t>HH079174</t>
        </is>
      </c>
      <c r="C639" s="340" t="inlineStr">
        <is>
          <t>Garrett</t>
        </is>
      </c>
      <c r="D639" s="340" t="inlineStr">
        <is>
          <t>GT2556S</t>
        </is>
      </c>
      <c r="E639" s="340" t="inlineStr">
        <is>
          <t>PERKINS 4.4</t>
        </is>
      </c>
      <c r="F639" s="342" t="inlineStr">
        <is>
          <t>711736-0026
 2674A226
8G25-200-737</t>
        </is>
      </c>
      <c r="G639" s="340" t="n"/>
      <c r="H639" s="343" t="inlineStr">
        <is>
          <t>0432</t>
        </is>
      </c>
      <c r="I639" s="344" t="n"/>
      <c r="J639" s="344" t="n"/>
      <c r="K639" s="344" t="n"/>
      <c r="L639" s="344">
        <f>IF(K639="","",K639*1.1)</f>
        <v/>
      </c>
      <c r="M639" s="345" t="n">
        <v>56</v>
      </c>
      <c r="N639" s="345" t="n">
        <v>37.6</v>
      </c>
      <c r="O639" s="345" t="inlineStr">
        <is>
          <t>6/6</t>
        </is>
      </c>
      <c r="P639" s="345" t="n">
        <v>54</v>
      </c>
      <c r="Q639" s="345" t="n">
        <v>45.8</v>
      </c>
      <c r="R639" s="345" t="n">
        <v>12</v>
      </c>
      <c r="T639" s="346">
        <f>UPPER(A639&amp;" "&amp;B639&amp;" "&amp;D639&amp;" "&amp;E639&amp;" "&amp;F639&amp;" "&amp;G639&amp;" "&amp;H639)</f>
        <v/>
      </c>
      <c r="U639" s="216">
        <f>IF(AND('TRA CỨU TỔNG HỢP'!$B$3&lt;&gt;"",ISNUMBER(SEARCH('TRA CỨU TỔNG HỢP'!$B$3,T639))),MAX($U$3:U638)+1,"")</f>
        <v/>
      </c>
    </row>
    <row r="640" ht="15" customHeight="1" s="217">
      <c r="A640" s="347" t="inlineStr">
        <is>
          <t>PERKINS</t>
        </is>
      </c>
      <c r="B640" s="348" t="inlineStr">
        <is>
          <t>HH076778</t>
        </is>
      </c>
      <c r="C640" s="349" t="inlineStr">
        <is>
          <t>Garrett</t>
        </is>
      </c>
      <c r="D640" s="349" t="inlineStr">
        <is>
          <t>GT2556S</t>
        </is>
      </c>
      <c r="E640" s="349" t="inlineStr">
        <is>
          <t>PERKINS 4.4</t>
        </is>
      </c>
      <c r="F640" s="350" t="inlineStr">
        <is>
          <t>711736-0026
 2674A226
8G25-200-737</t>
        </is>
      </c>
      <c r="G640" s="349" t="n"/>
      <c r="H640" s="351" t="inlineStr">
        <is>
          <t>JRONE</t>
        </is>
      </c>
      <c r="I640" s="352" t="n"/>
      <c r="J640" s="352" t="n"/>
      <c r="K640" s="352" t="n"/>
      <c r="L640" s="352">
        <f>IF(K640="","",K640*1.1)</f>
        <v/>
      </c>
      <c r="M640" s="353" t="n">
        <v>56</v>
      </c>
      <c r="N640" s="353" t="n">
        <v>37.6</v>
      </c>
      <c r="O640" s="353" t="inlineStr">
        <is>
          <t>6/6</t>
        </is>
      </c>
      <c r="P640" s="353" t="n">
        <v>54</v>
      </c>
      <c r="Q640" s="353" t="n">
        <v>45.8</v>
      </c>
      <c r="R640" s="353" t="n">
        <v>12</v>
      </c>
      <c r="T640" s="346">
        <f>UPPER(A640&amp;" "&amp;B640&amp;" "&amp;D640&amp;" "&amp;E640&amp;" "&amp;F640&amp;" "&amp;G640&amp;" "&amp;H640)</f>
        <v/>
      </c>
      <c r="U640" s="216">
        <f>IF(AND('TRA CỨU TỔNG HỢP'!$B$3&lt;&gt;"",ISNUMBER(SEARCH('TRA CỨU TỔNG HỢP'!$B$3,T640))),MAX($U$3:U639)+1,"")</f>
        <v/>
      </c>
    </row>
    <row r="641" ht="15" customHeight="1" s="217">
      <c r="A641" s="354" t="inlineStr">
        <is>
          <t>PERKINS</t>
        </is>
      </c>
      <c r="B641" s="355" t="inlineStr">
        <is>
          <t>HH075386</t>
        </is>
      </c>
      <c r="C641" s="354" t="inlineStr">
        <is>
          <t>Garrett</t>
        </is>
      </c>
      <c r="D641" s="354" t="inlineStr">
        <is>
          <t>GT2556S</t>
        </is>
      </c>
      <c r="E641" s="354" t="inlineStr">
        <is>
          <t>PERKINS 4.4</t>
        </is>
      </c>
      <c r="F641" s="356" t="inlineStr">
        <is>
          <t>711736-0024/711736-0023
8G25-200-H84</t>
        </is>
      </c>
      <c r="G641" s="354" t="n"/>
      <c r="H641" s="357" t="inlineStr">
        <is>
          <t>JRONE</t>
        </is>
      </c>
      <c r="I641" s="358" t="n"/>
      <c r="J641" s="358" t="n"/>
      <c r="K641" s="358" t="n"/>
      <c r="L641" s="358">
        <f>IF(K641="","",K641*1.1)</f>
        <v/>
      </c>
      <c r="M641" s="359" t="n">
        <v>56</v>
      </c>
      <c r="N641" s="359" t="n">
        <v>39.6</v>
      </c>
      <c r="O641" s="359" t="inlineStr">
        <is>
          <t>6/6</t>
        </is>
      </c>
      <c r="P641" s="359" t="n">
        <v>54</v>
      </c>
      <c r="Q641" s="359" t="n">
        <v>45.8</v>
      </c>
      <c r="R641" s="359" t="inlineStr">
        <is>
          <t>12</t>
        </is>
      </c>
      <c r="T641" s="346">
        <f>UPPER(A641&amp;" "&amp;B641&amp;" "&amp;D641&amp;" "&amp;E641&amp;" "&amp;F641&amp;" "&amp;G641&amp;" "&amp;H641)</f>
        <v/>
      </c>
      <c r="U641" s="216">
        <f>IF(AND('TRA CỨU TỔNG HỢP'!$B$3&lt;&gt;"",ISNUMBER(SEARCH('TRA CỨU TỔNG HỢP'!$B$3,T641))),MAX($U$3:U640)+1,"")</f>
        <v/>
      </c>
    </row>
    <row r="642" ht="15" customHeight="1" s="217">
      <c r="A642" s="354" t="inlineStr">
        <is>
          <t>PERKINS</t>
        </is>
      </c>
      <c r="B642" s="355" t="inlineStr">
        <is>
          <t>HH081639</t>
        </is>
      </c>
      <c r="C642" s="354" t="inlineStr">
        <is>
          <t>Garrett</t>
        </is>
      </c>
      <c r="D642" s="354" t="inlineStr">
        <is>
          <t>GT3571S</t>
        </is>
      </c>
      <c r="E642" s="354" t="inlineStr">
        <is>
          <t>Perkins 1106</t>
        </is>
      </c>
      <c r="F642" s="356" t="inlineStr">
        <is>
          <t>2674A349
709942-0008</t>
        </is>
      </c>
      <c r="G642" s="354" t="n"/>
      <c r="H642" s="357" t="inlineStr">
        <is>
          <t>FIRE</t>
        </is>
      </c>
      <c r="I642" s="358" t="n"/>
      <c r="J642" s="358" t="n"/>
      <c r="K642" s="358" t="n"/>
      <c r="L642" s="358">
        <f>IF(K642="","",K642*1.1)</f>
        <v/>
      </c>
      <c r="M642" s="359" t="n">
        <v>71</v>
      </c>
      <c r="N642" s="359" t="n">
        <v>49.1</v>
      </c>
      <c r="O642" s="359" t="inlineStr">
        <is>
          <t>6/6</t>
        </is>
      </c>
      <c r="P642" s="359" t="n">
        <v>68</v>
      </c>
      <c r="Q642" s="359" t="n">
        <v>57.8</v>
      </c>
      <c r="R642" s="359" t="n">
        <v>12</v>
      </c>
      <c r="T642" s="346">
        <f>UPPER(A642&amp;" "&amp;B642&amp;" "&amp;D642&amp;" "&amp;E642&amp;" "&amp;F642&amp;" "&amp;G642&amp;" "&amp;H642)</f>
        <v/>
      </c>
      <c r="U642" s="216">
        <f>IF(AND('TRA CỨU TỔNG HỢP'!$B$3&lt;&gt;"",ISNUMBER(SEARCH('TRA CỨU TỔNG HỢP'!$B$3,T642))),MAX($U$3:U641)+1,"")</f>
        <v/>
      </c>
    </row>
    <row r="643" ht="15" customHeight="1" s="217">
      <c r="A643" s="354" t="inlineStr">
        <is>
          <t>PERKINS</t>
        </is>
      </c>
      <c r="B643" s="355" t="inlineStr">
        <is>
          <t>HH079272</t>
        </is>
      </c>
      <c r="C643" s="354" t="inlineStr">
        <is>
          <t>Garrett</t>
        </is>
      </c>
      <c r="D643" s="354" t="inlineStr">
        <is>
          <t>GT2052S</t>
        </is>
      </c>
      <c r="E643" s="354" t="n">
        <v>1004</v>
      </c>
      <c r="F643" s="356" t="inlineStr">
        <is>
          <t>2674A323</t>
        </is>
      </c>
      <c r="G643" s="354" t="n"/>
      <c r="H643" s="357" t="inlineStr">
        <is>
          <t>VIDARIR</t>
        </is>
      </c>
      <c r="I643" s="358" t="n"/>
      <c r="J643" s="358" t="n"/>
      <c r="K643" s="358" t="n"/>
      <c r="L643" s="358">
        <f>IF(K643="","",K643*1.1)</f>
        <v/>
      </c>
      <c r="M643" s="359" t="n"/>
      <c r="N643" s="359" t="n"/>
      <c r="O643" s="359" t="n"/>
      <c r="P643" s="359" t="n"/>
      <c r="Q643" s="359" t="n"/>
      <c r="R643" s="359" t="n"/>
      <c r="T643" s="216">
        <f>UPPER(A643&amp;" "&amp;B643&amp;" "&amp;D643&amp;" "&amp;E643&amp;" "&amp;F643&amp;" "&amp;G643&amp;" "&amp;H643)</f>
        <v/>
      </c>
      <c r="U643" s="216">
        <f>IF(AND('TRA CỨU TỔNG HỢP'!$B$3&lt;&gt;"",ISNUMBER(SEARCH('TRA CỨU TỔNG HỢP'!$B$3,T643))),MAX($U$3:U642)+1,"")</f>
        <v/>
      </c>
    </row>
    <row r="644" ht="15" customHeight="1" s="217">
      <c r="A644" s="354" t="inlineStr">
        <is>
          <t>PERKINS</t>
        </is>
      </c>
      <c r="B644" s="355" t="inlineStr">
        <is>
          <t>HH082799</t>
        </is>
      </c>
      <c r="C644" s="354" t="inlineStr">
        <is>
          <t>Garrett</t>
        </is>
      </c>
      <c r="D644" s="354" t="inlineStr">
        <is>
          <t>TBP419</t>
        </is>
      </c>
      <c r="E644" s="354" t="n">
        <v>1106</v>
      </c>
      <c r="F644" s="356" t="inlineStr">
        <is>
          <t>2674A059
452089-0003</t>
        </is>
      </c>
      <c r="G644" s="354" t="inlineStr">
        <is>
          <t>PERKINS 1106, 2674A059</t>
        </is>
      </c>
      <c r="H644" s="357" t="inlineStr">
        <is>
          <t>FIRE</t>
        </is>
      </c>
      <c r="I644" s="358" t="n"/>
      <c r="J644" s="358" t="n"/>
      <c r="K644" s="358" t="n"/>
      <c r="L644" s="358">
        <f>IF(K644="","",K644*1.1)</f>
        <v/>
      </c>
      <c r="M644" s="359" t="n"/>
      <c r="N644" s="359" t="n"/>
      <c r="O644" s="359" t="n"/>
      <c r="P644" s="359" t="n"/>
      <c r="Q644" s="359" t="n"/>
      <c r="R644" s="359" t="n"/>
      <c r="T644" s="346">
        <f>UPPER(A644&amp;" "&amp;B644&amp;" "&amp;D644&amp;" "&amp;E644&amp;" "&amp;F644&amp;" "&amp;G644&amp;" "&amp;H644)</f>
        <v/>
      </c>
      <c r="U644" s="216">
        <f>IF(AND('TRA CỨU TỔNG HỢP'!$B$3&lt;&gt;"",ISNUMBER(SEARCH('TRA CỨU TỔNG HỢP'!$B$3,T644))),MAX($U$3:U643)+1,"")</f>
        <v/>
      </c>
    </row>
    <row r="645" ht="15" customHeight="1" s="217">
      <c r="A645" s="354" t="inlineStr">
        <is>
          <t>PERKINS</t>
        </is>
      </c>
      <c r="B645" s="355" t="inlineStr">
        <is>
          <t>HH082794</t>
        </is>
      </c>
      <c r="C645" s="354" t="inlineStr">
        <is>
          <t>BorgWarner</t>
        </is>
      </c>
      <c r="D645" s="354" t="inlineStr">
        <is>
          <t>S2A</t>
        </is>
      </c>
      <c r="E645" s="354" t="n"/>
      <c r="F645" s="356" t="inlineStr">
        <is>
          <t>2674A027</t>
        </is>
      </c>
      <c r="G645" s="354" t="n"/>
      <c r="H645" s="357" t="inlineStr">
        <is>
          <t>SL</t>
        </is>
      </c>
      <c r="I645" s="358" t="n"/>
      <c r="J645" s="358" t="n"/>
      <c r="K645" s="358" t="n"/>
      <c r="L645" s="358">
        <f>IF(K645="","",K645*1.1)</f>
        <v/>
      </c>
      <c r="M645" s="359" t="n">
        <v>60.9</v>
      </c>
      <c r="N645" s="359" t="n">
        <v>35.5</v>
      </c>
      <c r="O645" s="359" t="inlineStr">
        <is>
          <t>7/7</t>
        </is>
      </c>
      <c r="P645" s="359" t="n">
        <v>60.7</v>
      </c>
      <c r="Q645" s="359" t="n">
        <v>48.7</v>
      </c>
      <c r="R645" s="359" t="n">
        <v>11</v>
      </c>
      <c r="T645" s="216">
        <f>UPPER(A645&amp;" "&amp;B645&amp;" "&amp;D645&amp;" "&amp;E645&amp;" "&amp;F645&amp;" "&amp;G645&amp;" "&amp;H645)</f>
        <v/>
      </c>
      <c r="U645" s="216">
        <f>IF(AND('TRA CỨU TỔNG HỢP'!$B$3&lt;&gt;"",ISNUMBER(SEARCH('TRA CỨU TỔNG HỢP'!$B$3,T645))),MAX($U$3:U644)+1,"")</f>
        <v/>
      </c>
    </row>
    <row r="646" ht="15" customHeight="1" s="217">
      <c r="A646" s="354" t="inlineStr">
        <is>
          <t>PERKINS</t>
        </is>
      </c>
      <c r="B646" s="355" t="inlineStr">
        <is>
          <t>HH081639</t>
        </is>
      </c>
      <c r="C646" s="354" t="inlineStr">
        <is>
          <t>Garrett</t>
        </is>
      </c>
      <c r="D646" s="354" t="inlineStr">
        <is>
          <t>GT3571S</t>
        </is>
      </c>
      <c r="E646" s="354" t="inlineStr">
        <is>
          <t>Perkins 1106</t>
        </is>
      </c>
      <c r="F646" s="356" t="inlineStr">
        <is>
          <t>709942-0008/2674A349</t>
        </is>
      </c>
      <c r="G646" s="354" t="inlineStr">
        <is>
          <t>Perkins 1106, 2674A349</t>
        </is>
      </c>
      <c r="H646" s="357" t="inlineStr">
        <is>
          <t>FIRE</t>
        </is>
      </c>
      <c r="I646" s="358" t="n"/>
      <c r="J646" s="358" t="n"/>
      <c r="K646" s="358" t="n"/>
      <c r="L646" s="358">
        <f>IF(K646="","",K646*1.1)</f>
        <v/>
      </c>
      <c r="M646" s="359" t="n">
        <v>71</v>
      </c>
      <c r="N646" s="359" t="n">
        <v>49.1</v>
      </c>
      <c r="O646" s="359" t="inlineStr">
        <is>
          <t>6/6</t>
        </is>
      </c>
      <c r="P646" s="359" t="n">
        <v>68</v>
      </c>
      <c r="Q646" s="359" t="n">
        <v>57.8</v>
      </c>
      <c r="R646" s="359" t="n">
        <v>12</v>
      </c>
      <c r="T646" s="216">
        <f>UPPER(A646&amp;" "&amp;B646&amp;" "&amp;D646&amp;" "&amp;E646&amp;" "&amp;F646&amp;" "&amp;G646&amp;" "&amp;H646)</f>
        <v/>
      </c>
      <c r="U646" s="216">
        <f>IF(AND('TRA CỨU TỔNG HỢP'!$B$3&lt;&gt;"",ISNUMBER(SEARCH('TRA CỨU TỔNG HỢP'!$B$3,T646))),MAX($U$3:U645)+1,"")</f>
        <v/>
      </c>
    </row>
    <row r="647" ht="15" customHeight="1" s="217">
      <c r="A647" s="340" t="inlineStr">
        <is>
          <t>PERKINS</t>
        </is>
      </c>
      <c r="B647" s="341" t="inlineStr">
        <is>
          <t>HH082045</t>
        </is>
      </c>
      <c r="C647" s="340" t="inlineStr">
        <is>
          <t>Garrett</t>
        </is>
      </c>
      <c r="D647" s="340" t="inlineStr">
        <is>
          <t>GT3571S</t>
        </is>
      </c>
      <c r="E647" s="340" t="inlineStr">
        <is>
          <t>Perkins 1106</t>
        </is>
      </c>
      <c r="F647" s="342" t="inlineStr">
        <is>
          <t>2674A342</t>
        </is>
      </c>
      <c r="G647" s="340" t="n"/>
      <c r="H647" s="343" t="inlineStr">
        <is>
          <t>2410</t>
        </is>
      </c>
      <c r="I647" s="344" t="n"/>
      <c r="J647" s="344" t="n"/>
      <c r="K647" s="344" t="n"/>
      <c r="L647" s="344">
        <f>IF(K647="","",K647*1.1)</f>
        <v/>
      </c>
      <c r="M647" s="345" t="n"/>
      <c r="N647" s="345" t="n"/>
      <c r="O647" s="345" t="n"/>
      <c r="P647" s="345" t="n"/>
      <c r="Q647" s="345" t="n"/>
      <c r="R647" s="345" t="n"/>
      <c r="T647" s="216">
        <f>UPPER(A647&amp;" "&amp;B647&amp;" "&amp;D647&amp;" "&amp;E647&amp;" "&amp;F647&amp;" "&amp;G647&amp;" "&amp;H647)</f>
        <v/>
      </c>
      <c r="U647" s="216">
        <f>IF(AND('TRA CỨU TỔNG HỢP'!$B$3&lt;&gt;"",ISNUMBER(SEARCH('TRA CỨU TỔNG HỢP'!$B$3,T647))),MAX($U$3:U646)+1,"")</f>
        <v/>
      </c>
    </row>
    <row r="648" ht="15" customHeight="1" s="217">
      <c r="A648" s="347" t="inlineStr">
        <is>
          <t>PERKINS</t>
        </is>
      </c>
      <c r="B648" s="348" t="inlineStr">
        <is>
          <t>HH082046</t>
        </is>
      </c>
      <c r="C648" s="349" t="inlineStr">
        <is>
          <t>Garrett</t>
        </is>
      </c>
      <c r="D648" s="349" t="inlineStr">
        <is>
          <t>GT3571S</t>
        </is>
      </c>
      <c r="E648" s="349" t="inlineStr">
        <is>
          <t>Perkins 1106</t>
        </is>
      </c>
      <c r="F648" s="350" t="inlineStr">
        <is>
          <t>2674A342</t>
        </is>
      </c>
      <c r="G648" s="349" t="n"/>
      <c r="H648" s="351" t="inlineStr">
        <is>
          <t>02G-2410</t>
        </is>
      </c>
      <c r="I648" s="352" t="n"/>
      <c r="J648" s="352" t="n"/>
      <c r="K648" s="352" t="n"/>
      <c r="L648" s="352">
        <f>IF(K648="","",K648*1.1)</f>
        <v/>
      </c>
      <c r="M648" s="353" t="n"/>
      <c r="N648" s="353" t="n"/>
      <c r="O648" s="353" t="n"/>
      <c r="P648" s="353" t="n"/>
      <c r="Q648" s="353" t="n"/>
      <c r="R648" s="353" t="n"/>
      <c r="T648" s="216">
        <f>UPPER(A648&amp;" "&amp;B648&amp;" "&amp;D648&amp;" "&amp;E648&amp;" "&amp;F648&amp;" "&amp;G648&amp;" "&amp;H648)</f>
        <v/>
      </c>
      <c r="U648" s="216">
        <f>IF(AND('TRA CỨU TỔNG HỢP'!$B$3&lt;&gt;"",ISNUMBER(SEARCH('TRA CỨU TỔNG HỢP'!$B$3,T648))),MAX($U$3:U647)+1,"")</f>
        <v/>
      </c>
    </row>
    <row r="649" ht="15" customHeight="1" s="217">
      <c r="A649" s="354" t="inlineStr">
        <is>
          <t>PERKINS</t>
        </is>
      </c>
      <c r="B649" s="355" t="inlineStr">
        <is>
          <t>HH082799</t>
        </is>
      </c>
      <c r="C649" s="354" t="inlineStr">
        <is>
          <t>Garrett</t>
        </is>
      </c>
      <c r="D649" s="354" t="inlineStr">
        <is>
          <t>TBP419</t>
        </is>
      </c>
      <c r="E649" s="354" t="inlineStr">
        <is>
          <t>PERKINS 1106</t>
        </is>
      </c>
      <c r="F649" s="356" t="inlineStr">
        <is>
          <t>2674A059
452089-0003</t>
        </is>
      </c>
      <c r="G649" s="354" t="n"/>
      <c r="H649" s="357" t="inlineStr">
        <is>
          <t>FIRE</t>
        </is>
      </c>
      <c r="I649" s="358" t="n"/>
      <c r="J649" s="358" t="n"/>
      <c r="K649" s="358" t="n"/>
      <c r="L649" s="358">
        <f>IF(K649="","",K649*1.1)</f>
        <v/>
      </c>
      <c r="M649" s="359" t="n"/>
      <c r="N649" s="359" t="n"/>
      <c r="O649" s="359" t="n"/>
      <c r="P649" s="359" t="n"/>
      <c r="Q649" s="359" t="n"/>
      <c r="R649" s="359" t="n"/>
      <c r="T649" s="346">
        <f>UPPER(A649&amp;" "&amp;B649&amp;" "&amp;D649&amp;" "&amp;E649&amp;" "&amp;F649&amp;" "&amp;G649&amp;" "&amp;H649)</f>
        <v/>
      </c>
      <c r="U649" s="216">
        <f>IF(AND('TRA CỨU TỔNG HỢP'!$B$3&lt;&gt;"",ISNUMBER(SEARCH('TRA CỨU TỔNG HỢP'!$B$3,T649))),MAX($U$3:U648)+1,"")</f>
        <v/>
      </c>
    </row>
    <row r="650" ht="15" customHeight="1" s="217">
      <c r="A650" s="354" t="inlineStr">
        <is>
          <t>PERKINS</t>
        </is>
      </c>
      <c r="B650" s="355" t="inlineStr">
        <is>
          <t>HH082670</t>
        </is>
      </c>
      <c r="C650" s="354" t="inlineStr">
        <is>
          <t>Garrett</t>
        </is>
      </c>
      <c r="D650" s="354" t="inlineStr">
        <is>
          <t>GT2052S</t>
        </is>
      </c>
      <c r="E650" s="354" t="inlineStr">
        <is>
          <t>Perkins 1004</t>
        </is>
      </c>
      <c r="F650" s="356" t="inlineStr">
        <is>
          <t>727266-0001</t>
        </is>
      </c>
      <c r="G650" s="354" t="n"/>
      <c r="H650" s="357" t="inlineStr">
        <is>
          <t>SL</t>
        </is>
      </c>
      <c r="I650" s="358" t="n"/>
      <c r="J650" s="358" t="n"/>
      <c r="K650" s="358" t="n"/>
      <c r="L650" s="358">
        <f>IF(K650="","",K650*1.1)</f>
        <v/>
      </c>
      <c r="M650" s="359" t="n">
        <v>49</v>
      </c>
      <c r="N650" s="359" t="n">
        <v>37.6</v>
      </c>
      <c r="O650" s="359" t="inlineStr">
        <is>
          <t>6/6</t>
        </is>
      </c>
      <c r="P650" s="359" t="n">
        <v>47</v>
      </c>
      <c r="Q650" s="359" t="n">
        <v>40.2</v>
      </c>
      <c r="R650" s="359" t="inlineStr">
        <is>
          <t>12</t>
        </is>
      </c>
      <c r="T650" s="216">
        <f>UPPER(A650&amp;" "&amp;B650&amp;" "&amp;D650&amp;" "&amp;E650&amp;" "&amp;F650&amp;" "&amp;G650&amp;" "&amp;H650)</f>
        <v/>
      </c>
      <c r="U650" s="216">
        <f>IF(AND('TRA CỨU TỔNG HỢP'!$B$3&lt;&gt;"",ISNUMBER(SEARCH('TRA CỨU TỔNG HỢP'!$B$3,T650))),MAX($U$3:U649)+1,"")</f>
        <v/>
      </c>
    </row>
    <row r="651" ht="15" customHeight="1" s="217">
      <c r="A651" s="354" t="inlineStr">
        <is>
          <t>PERKINS</t>
        </is>
      </c>
      <c r="B651" s="355" t="inlineStr">
        <is>
          <t>HH079070</t>
        </is>
      </c>
      <c r="C651" s="354" t="inlineStr">
        <is>
          <t>Garrett</t>
        </is>
      </c>
      <c r="D651" s="354" t="inlineStr">
        <is>
          <t>TB2558</t>
        </is>
      </c>
      <c r="E651" s="354" t="inlineStr">
        <is>
          <t>Perkins 4.0115Ti</t>
        </is>
      </c>
      <c r="F651" s="356" t="inlineStr">
        <is>
          <t>452065-0003</t>
        </is>
      </c>
      <c r="G651" s="354" t="n"/>
      <c r="H651" s="357" t="inlineStr">
        <is>
          <t>SL</t>
        </is>
      </c>
      <c r="I651" s="358" t="n"/>
      <c r="J651" s="358" t="n"/>
      <c r="K651" s="358" t="n"/>
      <c r="L651" s="358">
        <f>IF(K651="","",K651*1.1)</f>
        <v/>
      </c>
      <c r="M651" s="359" t="n">
        <v>56</v>
      </c>
      <c r="N651" s="359" t="n">
        <v>41.5</v>
      </c>
      <c r="O651" s="359" t="inlineStr">
        <is>
          <t>6/6</t>
        </is>
      </c>
      <c r="P651" s="359" t="n">
        <v>53</v>
      </c>
      <c r="Q651" s="359" t="n">
        <v>46.2</v>
      </c>
      <c r="R651" s="359" t="n">
        <v>10</v>
      </c>
      <c r="T651" s="216">
        <f>UPPER(A651&amp;" "&amp;B651&amp;" "&amp;D651&amp;" "&amp;E651&amp;" "&amp;F651&amp;" "&amp;G651&amp;" "&amp;H651)</f>
        <v/>
      </c>
      <c r="U651" s="216">
        <f>IF(AND('TRA CỨU TỔNG HỢP'!$B$3&lt;&gt;"",ISNUMBER(SEARCH('TRA CỨU TỔNG HỢP'!$B$3,T651))),MAX($U$3:U650)+1,"")</f>
        <v/>
      </c>
    </row>
    <row r="652" ht="15" customHeight="1" s="217">
      <c r="A652" s="354" t="inlineStr">
        <is>
          <t>PERKINS</t>
        </is>
      </c>
      <c r="B652" s="355" t="inlineStr">
        <is>
          <t>HH075395</t>
        </is>
      </c>
      <c r="C652" s="354" t="inlineStr">
        <is>
          <t>BorgWarner</t>
        </is>
      </c>
      <c r="D652" s="354" t="inlineStr">
        <is>
          <t>B2G</t>
        </is>
      </c>
      <c r="E652" s="354" t="n">
        <v>1106</v>
      </c>
      <c r="F652" s="356" t="inlineStr">
        <is>
          <t>8S02-200-835
2674A256/315-9810/ 1070-197-0002</t>
        </is>
      </c>
      <c r="G652" s="354" t="inlineStr">
        <is>
          <t>8S02-200-835, điều tốc ở giữa 2 sò</t>
        </is>
      </c>
      <c r="H652" s="357" t="inlineStr">
        <is>
          <t>JRONE</t>
        </is>
      </c>
      <c r="I652" s="358" t="n"/>
      <c r="J652" s="358" t="n"/>
      <c r="K652" s="358" t="n"/>
      <c r="L652" s="358">
        <f>IF(K652="","",K652*1.1)</f>
        <v/>
      </c>
      <c r="M652" s="359" t="n">
        <v>78.59999999999999</v>
      </c>
      <c r="N652" s="359" t="n">
        <v>51.8</v>
      </c>
      <c r="O652" s="359" t="inlineStr">
        <is>
          <t>7/7</t>
        </is>
      </c>
      <c r="P652" s="359" t="n">
        <v>69.59999999999999</v>
      </c>
      <c r="Q652" s="359" t="n">
        <v>55.9</v>
      </c>
      <c r="R652" s="359" t="n">
        <v>10</v>
      </c>
      <c r="T652" s="346">
        <f>UPPER(A652&amp;" "&amp;B652&amp;" "&amp;D652&amp;" "&amp;E652&amp;" "&amp;F652&amp;" "&amp;G652&amp;" "&amp;H652)</f>
        <v/>
      </c>
      <c r="U652" s="216">
        <f>IF(AND('TRA CỨU TỔNG HỢP'!$B$3&lt;&gt;"",ISNUMBER(SEARCH('TRA CỨU TỔNG HỢP'!$B$3,T652))),MAX($U$3:U651)+1,"")</f>
        <v/>
      </c>
    </row>
    <row r="653" ht="19.5" customHeight="1" s="217">
      <c r="A653" s="378" t="inlineStr">
        <is>
          <t xml:space="preserve">  🏭  QUANCHAI   ·   1 loại turbo</t>
        </is>
      </c>
      <c r="U653" s="216">
        <f>IF(AND('TRA CỨU TỔNG HỢP'!$B$3&lt;&gt;"",ISNUMBER(SEARCH('TRA CỨU TỔNG HỢP'!$B$3,T653))),MAX($U$3:U652)+1,"")</f>
        <v/>
      </c>
    </row>
    <row r="654" ht="15" customHeight="1" s="217">
      <c r="A654" s="367" t="inlineStr">
        <is>
          <t>QUANCHAI</t>
        </is>
      </c>
      <c r="B654" s="368" t="n"/>
      <c r="C654" s="367" t="inlineStr">
        <is>
          <t>BorgWarner</t>
        </is>
      </c>
      <c r="D654" s="367" t="inlineStr">
        <is>
          <t>JP50</t>
        </is>
      </c>
      <c r="E654" s="367" t="n"/>
      <c r="F654" s="369" t="inlineStr">
        <is>
          <t>1408506300103</t>
        </is>
      </c>
      <c r="G654" s="367" t="n"/>
      <c r="H654" s="370" t="n"/>
      <c r="I654" s="371" t="n"/>
      <c r="J654" s="371" t="n"/>
      <c r="K654" s="371" t="n"/>
      <c r="L654" s="371">
        <f>IF(K654="","",K654*1.1)</f>
        <v/>
      </c>
      <c r="M654" s="372" t="n"/>
      <c r="N654" s="372" t="n"/>
      <c r="O654" s="372" t="n"/>
      <c r="P654" s="372" t="n"/>
      <c r="Q654" s="372" t="n"/>
      <c r="R654" s="372" t="n"/>
      <c r="T654" s="216">
        <f>UPPER(A654&amp;" "&amp;B654&amp;" "&amp;D654&amp;" "&amp;E654&amp;" "&amp;F654&amp;" "&amp;G654&amp;" "&amp;H654)</f>
        <v/>
      </c>
      <c r="U654" s="216">
        <f>IF(AND('TRA CỨU TỔNG HỢP'!$B$3&lt;&gt;"",ISNUMBER(SEARCH('TRA CỨU TỔNG HỢP'!$B$3,T654))),MAX($U$3:U653)+1,"")</f>
        <v/>
      </c>
    </row>
    <row r="655" ht="19.5" customHeight="1" s="217">
      <c r="A655" s="378" t="inlineStr">
        <is>
          <t xml:space="preserve">  🏭  SUMITOMO   ·   4 loại turbo</t>
        </is>
      </c>
      <c r="U655" s="216">
        <f>IF(AND('TRA CỨU TỔNG HỢP'!$B$3&lt;&gt;"",ISNUMBER(SEARCH('TRA CỨU TỔNG HỢP'!$B$3,T655))),MAX($U$3:U654)+1,"")</f>
        <v/>
      </c>
    </row>
    <row r="656" ht="15" customHeight="1" s="217">
      <c r="A656" s="340" t="inlineStr">
        <is>
          <t>SUMITOMO</t>
        </is>
      </c>
      <c r="B656" s="341" t="inlineStr">
        <is>
          <t>HH070621</t>
        </is>
      </c>
      <c r="C656" s="340" t="inlineStr">
        <is>
          <t>Mitsubishi</t>
        </is>
      </c>
      <c r="D656" s="340" t="inlineStr">
        <is>
          <t>TD05-10A</t>
        </is>
      </c>
      <c r="E656" s="340" t="inlineStr">
        <is>
          <t>4D31T/4D56Q</t>
        </is>
      </c>
      <c r="F656" s="342" t="inlineStr">
        <is>
          <t>49178-00500/49178-00510
49178-00520 /49178-00530 
49178-00540 /49178-00550
M013134/ME080098</t>
        </is>
      </c>
      <c r="G656" s="340" t="n"/>
      <c r="H656" s="343" t="inlineStr">
        <is>
          <t>SL</t>
        </is>
      </c>
      <c r="I656" s="344" t="n"/>
      <c r="J656" s="344" t="n"/>
      <c r="K656" s="344" t="n"/>
      <c r="L656" s="344">
        <f>IF(K656="","",K656*1.1)</f>
        <v/>
      </c>
      <c r="M656" s="345" t="n">
        <v>54</v>
      </c>
      <c r="N656" s="345" t="n">
        <v>37</v>
      </c>
      <c r="O656" s="345" t="inlineStr">
        <is>
          <t>7/7</t>
        </is>
      </c>
      <c r="P656" s="345" t="n">
        <v>56.4</v>
      </c>
      <c r="Q656" s="345" t="n">
        <v>47.6</v>
      </c>
      <c r="R656" s="345" t="n">
        <v>12</v>
      </c>
      <c r="T656" s="346">
        <f>UPPER(A656&amp;" "&amp;B656&amp;" "&amp;D656&amp;" "&amp;E656&amp;" "&amp;F656&amp;" "&amp;G656&amp;" "&amp;H656)</f>
        <v/>
      </c>
      <c r="U656" s="216">
        <f>IF(AND('TRA CỨU TỔNG HỢP'!$B$3&lt;&gt;"",ISNUMBER(SEARCH('TRA CỨU TỔNG HỢP'!$B$3,T656))),MAX($U$3:U655)+1,"")</f>
        <v/>
      </c>
    </row>
    <row r="657" ht="15" customHeight="1" s="217">
      <c r="A657" s="347" t="inlineStr">
        <is>
          <t>SUMITOMO</t>
        </is>
      </c>
      <c r="B657" s="348" t="inlineStr">
        <is>
          <t>HH080008</t>
        </is>
      </c>
      <c r="C657" s="349" t="inlineStr">
        <is>
          <t>Mitsubishi</t>
        </is>
      </c>
      <c r="D657" s="349" t="inlineStr">
        <is>
          <t>TD05-10A</t>
        </is>
      </c>
      <c r="E657" s="349" t="inlineStr">
        <is>
          <t>4D31T/4D56Q</t>
        </is>
      </c>
      <c r="F657" s="350" t="inlineStr">
        <is>
          <t>49178-00500/49178-00510
49178-00520 /49178-00530 
49178-00540 /49178-00550
M013134/ME080098</t>
        </is>
      </c>
      <c r="G657" s="349" t="n"/>
      <c r="H657" s="351" t="inlineStr">
        <is>
          <t>SL</t>
        </is>
      </c>
      <c r="I657" s="352" t="n"/>
      <c r="J657" s="352" t="n"/>
      <c r="K657" s="352" t="n"/>
      <c r="L657" s="352">
        <f>IF(K657="","",K657*1.1)</f>
        <v/>
      </c>
      <c r="M657" s="353" t="n">
        <v>54</v>
      </c>
      <c r="N657" s="353" t="n">
        <v>37</v>
      </c>
      <c r="O657" s="353" t="inlineStr">
        <is>
          <t>7/7</t>
        </is>
      </c>
      <c r="P657" s="353" t="n">
        <v>56.4</v>
      </c>
      <c r="Q657" s="353" t="n">
        <v>47.6</v>
      </c>
      <c r="R657" s="353" t="n">
        <v>12</v>
      </c>
      <c r="T657" s="346">
        <f>UPPER(A657&amp;" "&amp;B657&amp;" "&amp;D657&amp;" "&amp;E657&amp;" "&amp;F657&amp;" "&amp;G657&amp;" "&amp;H657)</f>
        <v/>
      </c>
      <c r="U657" s="216">
        <f>IF(AND('TRA CỨU TỔNG HỢP'!$B$3&lt;&gt;"",ISNUMBER(SEARCH('TRA CỨU TỔNG HỢP'!$B$3,T657))),MAX($U$3:U656)+1,"")</f>
        <v/>
      </c>
    </row>
    <row r="658" ht="15" customHeight="1" s="217">
      <c r="A658" s="347" t="inlineStr">
        <is>
          <t>SUMITOMO</t>
        </is>
      </c>
      <c r="B658" s="348" t="inlineStr">
        <is>
          <t>HH081735</t>
        </is>
      </c>
      <c r="C658" s="349" t="inlineStr">
        <is>
          <t>Mitsubishi</t>
        </is>
      </c>
      <c r="D658" s="349" t="inlineStr">
        <is>
          <t>TD05-10A</t>
        </is>
      </c>
      <c r="E658" s="349" t="inlineStr">
        <is>
          <t>4D31T/4D56Q</t>
        </is>
      </c>
      <c r="F658" s="350" t="inlineStr">
        <is>
          <t>49178-00500/49178-00510
49178-00520 /49178-00530 
49178-00540 /49178-00550
M013134/ME080098</t>
        </is>
      </c>
      <c r="G658" s="349" t="n"/>
      <c r="H658" s="351" t="inlineStr">
        <is>
          <t>TBS</t>
        </is>
      </c>
      <c r="I658" s="352" t="n"/>
      <c r="J658" s="352" t="n"/>
      <c r="K658" s="352" t="n"/>
      <c r="L658" s="352">
        <f>IF(K658="","",K658*1.1)</f>
        <v/>
      </c>
      <c r="M658" s="353" t="n">
        <v>54</v>
      </c>
      <c r="N658" s="353" t="n">
        <v>37</v>
      </c>
      <c r="O658" s="353" t="inlineStr">
        <is>
          <t>7/7</t>
        </is>
      </c>
      <c r="P658" s="353" t="n">
        <v>56.4</v>
      </c>
      <c r="Q658" s="353" t="n">
        <v>47.6</v>
      </c>
      <c r="R658" s="353" t="n">
        <v>12</v>
      </c>
      <c r="T658" s="346">
        <f>UPPER(A658&amp;" "&amp;B658&amp;" "&amp;D658&amp;" "&amp;E658&amp;" "&amp;F658&amp;" "&amp;G658&amp;" "&amp;H658)</f>
        <v/>
      </c>
      <c r="U658" s="216">
        <f>IF(AND('TRA CỨU TỔNG HỢP'!$B$3&lt;&gt;"",ISNUMBER(SEARCH('TRA CỨU TỔNG HỢP'!$B$3,T658))),MAX($U$3:U657)+1,"")</f>
        <v/>
      </c>
    </row>
    <row r="659" ht="15" customHeight="1" s="217">
      <c r="A659" s="354" t="inlineStr">
        <is>
          <t>SUMITOMO</t>
        </is>
      </c>
      <c r="B659" s="355" t="inlineStr">
        <is>
          <t>HH084185</t>
        </is>
      </c>
      <c r="C659" s="354" t="inlineStr">
        <is>
          <t>Mitsubishi</t>
        </is>
      </c>
      <c r="D659" s="354" t="inlineStr">
        <is>
          <t>TD06</t>
        </is>
      </c>
      <c r="E659" s="354" t="inlineStr">
        <is>
          <t>4D31</t>
        </is>
      </c>
      <c r="F659" s="356" t="inlineStr">
        <is>
          <t>ME013734/ 49179-00230</t>
        </is>
      </c>
      <c r="G659" s="354" t="inlineStr">
        <is>
          <t>có H/A</t>
        </is>
      </c>
      <c r="H659" s="357" t="inlineStr">
        <is>
          <t>SL</t>
        </is>
      </c>
      <c r="I659" s="358" t="n"/>
      <c r="J659" s="358" t="n"/>
      <c r="K659" s="358" t="n"/>
      <c r="L659" s="358">
        <f>IF(K659="","",K659*1.1)</f>
        <v/>
      </c>
      <c r="M659" s="359" t="n"/>
      <c r="N659" s="359" t="n"/>
      <c r="O659" s="359" t="n"/>
      <c r="P659" s="359" t="n"/>
      <c r="Q659" s="359" t="n"/>
      <c r="R659" s="359" t="n"/>
      <c r="T659" s="216">
        <f>UPPER(A659&amp;" "&amp;B659&amp;" "&amp;D659&amp;" "&amp;E659&amp;" "&amp;F659&amp;" "&amp;G659&amp;" "&amp;H659)</f>
        <v/>
      </c>
      <c r="U659" s="216">
        <f>IF(AND('TRA CỨU TỔNG HỢP'!$B$3&lt;&gt;"",ISNUMBER(SEARCH('TRA CỨU TỔNG HỢP'!$B$3,T659))),MAX($U$3:U658)+1,"")</f>
        <v/>
      </c>
    </row>
    <row r="660" ht="15" customHeight="1" s="217">
      <c r="A660" s="340" t="inlineStr">
        <is>
          <t>SUMITOMO</t>
        </is>
      </c>
      <c r="B660" s="341" t="inlineStr">
        <is>
          <t>HH073014</t>
        </is>
      </c>
      <c r="C660" s="340" t="inlineStr">
        <is>
          <t>Mitsubishi</t>
        </is>
      </c>
      <c r="D660" s="340" t="inlineStr">
        <is>
          <t>TD04H-13G</t>
        </is>
      </c>
      <c r="E660" s="340" t="inlineStr">
        <is>
          <t>4D31T</t>
        </is>
      </c>
      <c r="F660" s="342" t="inlineStr">
        <is>
          <t>ME080442/49189-00800/49189-00810
ME080443</t>
        </is>
      </c>
      <c r="G660" s="340" t="n"/>
      <c r="H660" s="343" t="inlineStr">
        <is>
          <t>SL</t>
        </is>
      </c>
      <c r="I660" s="344" t="n"/>
      <c r="J660" s="344" t="n"/>
      <c r="K660" s="344" t="n"/>
      <c r="L660" s="344">
        <f>IF(K660="","",K660*1.1)</f>
        <v/>
      </c>
      <c r="M660" s="345" t="n">
        <v>54</v>
      </c>
      <c r="N660" s="345" t="n">
        <v>37</v>
      </c>
      <c r="O660" s="345" t="inlineStr">
        <is>
          <t>7/7</t>
        </is>
      </c>
      <c r="P660" s="345" t="n">
        <v>56.4</v>
      </c>
      <c r="Q660" s="345" t="n">
        <v>47.6</v>
      </c>
      <c r="R660" s="345" t="n">
        <v>12</v>
      </c>
      <c r="T660" s="346">
        <f>UPPER(A660&amp;" "&amp;B660&amp;" "&amp;D660&amp;" "&amp;E660&amp;" "&amp;F660&amp;" "&amp;G660&amp;" "&amp;H660)</f>
        <v/>
      </c>
      <c r="U660" s="216">
        <f>IF(AND('TRA CỨU TỔNG HỢP'!$B$3&lt;&gt;"",ISNUMBER(SEARCH('TRA CỨU TỔNG HỢP'!$B$3,T660))),MAX($U$3:U659)+1,"")</f>
        <v/>
      </c>
    </row>
    <row r="661" ht="15" customHeight="1" s="217">
      <c r="A661" s="347" t="inlineStr">
        <is>
          <t>SUMITOMO</t>
        </is>
      </c>
      <c r="B661" s="348" t="inlineStr">
        <is>
          <t>HH080009</t>
        </is>
      </c>
      <c r="C661" s="349" t="inlineStr">
        <is>
          <t>Mitsubishi</t>
        </is>
      </c>
      <c r="D661" s="349" t="inlineStr">
        <is>
          <t>TD04H-13G</t>
        </is>
      </c>
      <c r="E661" s="349" t="inlineStr">
        <is>
          <t>4D31T</t>
        </is>
      </c>
      <c r="F661" s="350" t="inlineStr">
        <is>
          <t>ME080442/49189-00800/49189-00810
ME080443</t>
        </is>
      </c>
      <c r="G661" s="349" t="n"/>
      <c r="H661" s="351" t="n"/>
      <c r="I661" s="352" t="n"/>
      <c r="J661" s="352" t="n"/>
      <c r="K661" s="352" t="n"/>
      <c r="L661" s="352">
        <f>IF(K661="","",K661*1.1)</f>
        <v/>
      </c>
      <c r="M661" s="353" t="n">
        <v>54</v>
      </c>
      <c r="N661" s="353" t="n">
        <v>37</v>
      </c>
      <c r="O661" s="353" t="inlineStr">
        <is>
          <t>7/7</t>
        </is>
      </c>
      <c r="P661" s="353" t="n">
        <v>56.4</v>
      </c>
      <c r="Q661" s="353" t="n">
        <v>47.6</v>
      </c>
      <c r="R661" s="353" t="n">
        <v>12</v>
      </c>
      <c r="T661" s="346">
        <f>UPPER(A661&amp;" "&amp;B661&amp;" "&amp;D661&amp;" "&amp;E661&amp;" "&amp;F661&amp;" "&amp;G661&amp;" "&amp;H661)</f>
        <v/>
      </c>
      <c r="U661" s="216">
        <f>IF(AND('TRA CỨU TỔNG HỢP'!$B$3&lt;&gt;"",ISNUMBER(SEARCH('TRA CỨU TỔNG HỢP'!$B$3,T661))),MAX($U$3:U660)+1,"")</f>
        <v/>
      </c>
    </row>
    <row r="662" ht="15" customHeight="1" s="217">
      <c r="A662" s="340" t="inlineStr">
        <is>
          <t>SUMITOMO</t>
        </is>
      </c>
      <c r="B662" s="341" t="inlineStr">
        <is>
          <t>HH070613</t>
        </is>
      </c>
      <c r="C662" s="340" t="inlineStr">
        <is>
          <t>Garrett</t>
        </is>
      </c>
      <c r="D662" s="340" t="inlineStr">
        <is>
          <t>TB4150/RHB7</t>
        </is>
      </c>
      <c r="E662" s="340" t="inlineStr">
        <is>
          <t>6BD1</t>
        </is>
      </c>
      <c r="F662" s="342"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62" s="340" t="n"/>
      <c r="H662" s="343" t="inlineStr">
        <is>
          <t>SL</t>
        </is>
      </c>
      <c r="I662" s="344" t="n"/>
      <c r="J662" s="344" t="n"/>
      <c r="K662" s="344" t="n"/>
      <c r="L662" s="344">
        <f>IF(K662="","",K662*1.1)</f>
        <v/>
      </c>
      <c r="M662" s="345" t="n"/>
      <c r="N662" s="345" t="n"/>
      <c r="O662" s="345" t="n"/>
      <c r="P662" s="345" t="n"/>
      <c r="Q662" s="345" t="n"/>
      <c r="R662" s="345" t="n"/>
      <c r="T662" s="346">
        <f>UPPER(A662&amp;" "&amp;B662&amp;" "&amp;D662&amp;" "&amp;E662&amp;" "&amp;F662&amp;" "&amp;G662&amp;" "&amp;H662)</f>
        <v/>
      </c>
      <c r="U662" s="216">
        <f>IF(AND('TRA CỨU TỔNG HỢP'!$B$3&lt;&gt;"",ISNUMBER(SEARCH('TRA CỨU TỔNG HỢP'!$B$3,T662))),MAX($U$3:U661)+1,"")</f>
        <v/>
      </c>
    </row>
    <row r="663" ht="15" customHeight="1" s="217">
      <c r="A663" s="347" t="inlineStr">
        <is>
          <t>SUMITOMO</t>
        </is>
      </c>
      <c r="B663" s="348" t="inlineStr">
        <is>
          <t>HH081576</t>
        </is>
      </c>
      <c r="C663" s="349" t="inlineStr">
        <is>
          <t>Garrett</t>
        </is>
      </c>
      <c r="D663" s="349" t="inlineStr">
        <is>
          <t>TB4150/RHB7</t>
        </is>
      </c>
      <c r="E663" s="349" t="inlineStr">
        <is>
          <t>6BD1</t>
        </is>
      </c>
      <c r="F663" s="350"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63" s="349" t="n"/>
      <c r="H663" s="351" t="inlineStr">
        <is>
          <t>TBS</t>
        </is>
      </c>
      <c r="I663" s="352" t="n"/>
      <c r="J663" s="352" t="n"/>
      <c r="K663" s="352" t="n"/>
      <c r="L663" s="352">
        <f>IF(K663="","",K663*1.1)</f>
        <v/>
      </c>
      <c r="M663" s="353" t="n"/>
      <c r="N663" s="353" t="n"/>
      <c r="O663" s="353" t="n"/>
      <c r="P663" s="353" t="n"/>
      <c r="Q663" s="353" t="n"/>
      <c r="R663" s="353" t="n"/>
      <c r="T663" s="346">
        <f>UPPER(A663&amp;" "&amp;B663&amp;" "&amp;D663&amp;" "&amp;E663&amp;" "&amp;F663&amp;" "&amp;G663&amp;" "&amp;H663)</f>
        <v/>
      </c>
      <c r="U663" s="216">
        <f>IF(AND('TRA CỨU TỔNG HỢP'!$B$3&lt;&gt;"",ISNUMBER(SEARCH('TRA CỨU TỔNG HỢP'!$B$3,T663))),MAX($U$3:U662)+1,"")</f>
        <v/>
      </c>
    </row>
    <row r="664" ht="15" customHeight="1" s="217">
      <c r="A664" s="347" t="inlineStr">
        <is>
          <t>SUMITOMO</t>
        </is>
      </c>
      <c r="B664" s="348" t="inlineStr">
        <is>
          <t>HH080010</t>
        </is>
      </c>
      <c r="C664" s="349" t="inlineStr">
        <is>
          <t>Garrett</t>
        </is>
      </c>
      <c r="D664" s="349" t="inlineStr">
        <is>
          <t>TB4150/RHB7</t>
        </is>
      </c>
      <c r="E664" s="349" t="inlineStr">
        <is>
          <t>6BD1</t>
        </is>
      </c>
      <c r="F664" s="350" t="inlineStr">
        <is>
          <t>114400-1070
VA150021/ 447450-0209 | 447450-209 | 447450-5209S | VA830011 | 705739-0001 | 705739-1 | 705739-5001S | CI12 | CI-12 | RHB7CI12 | NN170020 | VA150021 | VB150021 | VC150021 | 114400-1070 | 1144001070 | 1-14400-107-0 | 114400-1071 | 1144001071 | 1-14400-107-1 | 7T-533 | 318732 | B71CND-S0021B | B71CND-S0021G</t>
        </is>
      </c>
      <c r="G664" s="349" t="n"/>
      <c r="H664" s="351" t="n"/>
      <c r="I664" s="352" t="n"/>
      <c r="J664" s="352" t="n"/>
      <c r="K664" s="352" t="n"/>
      <c r="L664" s="352">
        <f>IF(K664="","",K664*1.1)</f>
        <v/>
      </c>
      <c r="M664" s="353" t="n"/>
      <c r="N664" s="353" t="n"/>
      <c r="O664" s="353" t="n"/>
      <c r="P664" s="353" t="n"/>
      <c r="Q664" s="353" t="n"/>
      <c r="R664" s="353" t="n"/>
      <c r="T664" s="346">
        <f>UPPER(A664&amp;" "&amp;B664&amp;" "&amp;D664&amp;" "&amp;E664&amp;" "&amp;F664&amp;" "&amp;G664&amp;" "&amp;H664)</f>
        <v/>
      </c>
      <c r="U664" s="216">
        <f>IF(AND('TRA CỨU TỔNG HỢP'!$B$3&lt;&gt;"",ISNUMBER(SEARCH('TRA CỨU TỔNG HỢP'!$B$3,T664))),MAX($U$3:U663)+1,"")</f>
        <v/>
      </c>
    </row>
    <row r="665" ht="15" customHeight="1" s="217">
      <c r="A665" s="379" t="inlineStr">
        <is>
          <t>SUMITOMO</t>
        </is>
      </c>
      <c r="B665" s="380" t="n"/>
      <c r="C665" s="379" t="inlineStr">
        <is>
          <t>IHI</t>
        </is>
      </c>
      <c r="D665" s="379" t="inlineStr">
        <is>
          <t>RHF55</t>
        </is>
      </c>
      <c r="E665" s="379" t="inlineStr">
        <is>
          <t>4HK1</t>
        </is>
      </c>
      <c r="F665" s="381" t="inlineStr">
        <is>
          <t>VA440051, 8980302170, 8980302171</t>
        </is>
      </c>
      <c r="G665" s="379" t="inlineStr">
        <is>
          <t>có hàng jrone</t>
        </is>
      </c>
      <c r="H665" s="382" t="n"/>
      <c r="I665" s="383" t="n"/>
      <c r="J665" s="383" t="n"/>
      <c r="K665" s="383" t="n"/>
      <c r="L665" s="383">
        <f>IF(K665="","",K665*1.1)</f>
        <v/>
      </c>
      <c r="M665" s="384" t="n">
        <v>60</v>
      </c>
      <c r="N665" s="384" t="n">
        <v>43</v>
      </c>
      <c r="O665" s="384" t="inlineStr">
        <is>
          <t>6/6</t>
        </is>
      </c>
      <c r="P665" s="384" t="n">
        <v>56</v>
      </c>
      <c r="Q665" s="384" t="n">
        <v>50.9</v>
      </c>
      <c r="R665" s="384" t="n">
        <v>11</v>
      </c>
      <c r="T665" s="216">
        <f>UPPER(A665&amp;" "&amp;B665&amp;" "&amp;D665&amp;" "&amp;E665&amp;" "&amp;F665&amp;" "&amp;G665&amp;" "&amp;H665)</f>
        <v/>
      </c>
      <c r="U665" s="216">
        <f>IF(AND('TRA CỨU TỔNG HỢP'!$B$3&lt;&gt;"",ISNUMBER(SEARCH('TRA CỨU TỔNG HỢP'!$B$3,T665))),MAX($U$3:U664)+1,"")</f>
        <v/>
      </c>
    </row>
    <row r="666" ht="19.5" customHeight="1" s="217">
      <c r="A666" s="378" t="inlineStr">
        <is>
          <t xml:space="preserve">  🏭  TOYOTA   ·   6 loại turbo</t>
        </is>
      </c>
      <c r="U666" s="216">
        <f>IF(AND('TRA CỨU TỔNG HỢP'!$B$3&lt;&gt;"",ISNUMBER(SEARCH('TRA CỨU TỔNG HỢP'!$B$3,T666))),MAX($U$3:U665)+1,"")</f>
        <v/>
      </c>
    </row>
    <row r="667" ht="15" customHeight="1" s="217">
      <c r="A667" s="340" t="inlineStr">
        <is>
          <t>TOYOTA</t>
        </is>
      </c>
      <c r="B667" s="341" t="inlineStr">
        <is>
          <t>HH078577</t>
        </is>
      </c>
      <c r="C667" s="340" t="inlineStr">
        <is>
          <t>IHI</t>
        </is>
      </c>
      <c r="D667" s="340" t="inlineStr">
        <is>
          <t>CT16</t>
        </is>
      </c>
      <c r="E667" s="340" t="inlineStr">
        <is>
          <t>2KD-FTV</t>
        </is>
      </c>
      <c r="F667" s="342" t="inlineStr">
        <is>
          <t>17201-30080</t>
        </is>
      </c>
      <c r="G667" s="340" t="inlineStr">
        <is>
          <t>xem hình trên TBS</t>
        </is>
      </c>
      <c r="H667" s="343" t="inlineStr">
        <is>
          <t>SL</t>
        </is>
      </c>
      <c r="I667" s="344" t="n"/>
      <c r="J667" s="344" t="n"/>
      <c r="K667" s="344" t="n"/>
      <c r="L667" s="344">
        <f>IF(K667="","",K667*1.1)</f>
        <v/>
      </c>
      <c r="M667" s="345" t="n"/>
      <c r="N667" s="345" t="n"/>
      <c r="O667" s="345" t="n"/>
      <c r="P667" s="345" t="n"/>
      <c r="Q667" s="345" t="n"/>
      <c r="R667" s="345" t="n"/>
      <c r="T667" s="216">
        <f>UPPER(A667&amp;" "&amp;B667&amp;" "&amp;D667&amp;" "&amp;E667&amp;" "&amp;F667&amp;" "&amp;G667&amp;" "&amp;H667)</f>
        <v/>
      </c>
      <c r="U667" s="216">
        <f>IF(AND('TRA CỨU TỔNG HỢP'!$B$3&lt;&gt;"",ISNUMBER(SEARCH('TRA CỨU TỔNG HỢP'!$B$3,T667))),MAX($U$3:U666)+1,"")</f>
        <v/>
      </c>
    </row>
    <row r="668" ht="15" customHeight="1" s="217">
      <c r="A668" s="347" t="inlineStr">
        <is>
          <t>TOYOTA</t>
        </is>
      </c>
      <c r="B668" s="348" t="inlineStr">
        <is>
          <t>HH079549</t>
        </is>
      </c>
      <c r="C668" s="349" t="inlineStr">
        <is>
          <t>IHI</t>
        </is>
      </c>
      <c r="D668" s="349" t="inlineStr">
        <is>
          <t>CT16</t>
        </is>
      </c>
      <c r="E668" s="349" t="inlineStr">
        <is>
          <t>2KD-FTV</t>
        </is>
      </c>
      <c r="F668" s="350" t="inlineStr">
        <is>
          <t>17201-30080</t>
        </is>
      </c>
      <c r="G668" s="349" t="inlineStr">
        <is>
          <t>xem hình trên TBS</t>
        </is>
      </c>
      <c r="H668" s="351" t="inlineStr">
        <is>
          <t>SL</t>
        </is>
      </c>
      <c r="I668" s="352" t="n"/>
      <c r="J668" s="352" t="n"/>
      <c r="K668" s="352" t="n"/>
      <c r="L668" s="352">
        <f>IF(K668="","",K668*1.1)</f>
        <v/>
      </c>
      <c r="M668" s="353" t="n"/>
      <c r="N668" s="353" t="n"/>
      <c r="O668" s="353" t="n"/>
      <c r="P668" s="353" t="n"/>
      <c r="Q668" s="353" t="n"/>
      <c r="R668" s="353" t="n"/>
      <c r="T668" s="216">
        <f>UPPER(A668&amp;" "&amp;B668&amp;" "&amp;D668&amp;" "&amp;E668&amp;" "&amp;F668&amp;" "&amp;G668&amp;" "&amp;H668)</f>
        <v/>
      </c>
      <c r="U668" s="216">
        <f>IF(AND('TRA CỨU TỔNG HỢP'!$B$3&lt;&gt;"",ISNUMBER(SEARCH('TRA CỨU TỔNG HỢP'!$B$3,T668))),MAX($U$3:U667)+1,"")</f>
        <v/>
      </c>
    </row>
    <row r="669" ht="15" customHeight="1" s="217">
      <c r="A669" s="354" t="inlineStr">
        <is>
          <t>TOYOTA</t>
        </is>
      </c>
      <c r="B669" s="355" t="inlineStr">
        <is>
          <t>HH082355</t>
        </is>
      </c>
      <c r="C669" s="354" t="inlineStr">
        <is>
          <t>IHI</t>
        </is>
      </c>
      <c r="D669" s="354" t="inlineStr">
        <is>
          <t>CT16</t>
        </is>
      </c>
      <c r="E669" s="354" t="inlineStr">
        <is>
          <t>2KD-FTV</t>
        </is>
      </c>
      <c r="F669" s="356" t="inlineStr">
        <is>
          <t>17201-OL030
17202-0L030</t>
        </is>
      </c>
      <c r="G669" s="354" t="n"/>
      <c r="H669" s="357" t="inlineStr">
        <is>
          <t>SL</t>
        </is>
      </c>
      <c r="I669" s="358" t="n"/>
      <c r="J669" s="358" t="n"/>
      <c r="K669" s="358" t="n"/>
      <c r="L669" s="358">
        <f>IF(K669="","",K669*1.1)</f>
        <v/>
      </c>
      <c r="M669" s="359" t="n">
        <v>51</v>
      </c>
      <c r="N669" s="359" t="n">
        <v>36</v>
      </c>
      <c r="O669" s="359" t="inlineStr">
        <is>
          <t>6/6</t>
        </is>
      </c>
      <c r="P669" s="359" t="n">
        <v>45.7</v>
      </c>
      <c r="Q669" s="359" t="n">
        <v>38</v>
      </c>
      <c r="R669" s="359" t="inlineStr">
        <is>
          <t>9</t>
        </is>
      </c>
      <c r="T669" s="346">
        <f>UPPER(A669&amp;" "&amp;B669&amp;" "&amp;D669&amp;" "&amp;E669&amp;" "&amp;F669&amp;" "&amp;G669&amp;" "&amp;H669)</f>
        <v/>
      </c>
      <c r="U669" s="216">
        <f>IF(AND('TRA CỨU TỔNG HỢP'!$B$3&lt;&gt;"",ISNUMBER(SEARCH('TRA CỨU TỔNG HỢP'!$B$3,T669))),MAX($U$3:U668)+1,"")</f>
        <v/>
      </c>
    </row>
    <row r="670" ht="15" customHeight="1" s="217">
      <c r="A670" s="340" t="inlineStr">
        <is>
          <t>TOYOTA</t>
        </is>
      </c>
      <c r="B670" s="341" t="inlineStr">
        <is>
          <t>HH079002</t>
        </is>
      </c>
      <c r="C670" s="340" t="inlineStr">
        <is>
          <t>IHI</t>
        </is>
      </c>
      <c r="D670" s="340" t="inlineStr">
        <is>
          <t>CT16V</t>
        </is>
      </c>
      <c r="E670" s="340" t="inlineStr">
        <is>
          <t>1KD</t>
        </is>
      </c>
      <c r="F670" s="342" t="inlineStr">
        <is>
          <t>17201-0L040/17201-30101
17201-30110/17202-90040</t>
        </is>
      </c>
      <c r="G670" s="340" t="n"/>
      <c r="H670" s="343" t="inlineStr">
        <is>
          <t>SL</t>
        </is>
      </c>
      <c r="I670" s="344" t="n"/>
      <c r="J670" s="344" t="n"/>
      <c r="K670" s="344" t="n"/>
      <c r="L670" s="344">
        <f>IF(K670="","",K670*1.1)</f>
        <v/>
      </c>
      <c r="M670" s="345" t="n">
        <v>58</v>
      </c>
      <c r="N670" s="345" t="n">
        <v>39</v>
      </c>
      <c r="O670" s="345" t="inlineStr">
        <is>
          <t>6/6</t>
        </is>
      </c>
      <c r="P670" s="345" t="n">
        <v>51.7</v>
      </c>
      <c r="Q670" s="345" t="n">
        <v>48</v>
      </c>
      <c r="R670" s="345" t="inlineStr">
        <is>
          <t>11</t>
        </is>
      </c>
      <c r="T670" s="346">
        <f>UPPER(A670&amp;" "&amp;B670&amp;" "&amp;D670&amp;" "&amp;E670&amp;" "&amp;F670&amp;" "&amp;G670&amp;" "&amp;H670)</f>
        <v/>
      </c>
      <c r="U670" s="216">
        <f>IF(AND('TRA CỨU TỔNG HỢP'!$B$3&lt;&gt;"",ISNUMBER(SEARCH('TRA CỨU TỔNG HỢP'!$B$3,T670))),MAX($U$3:U669)+1,"")</f>
        <v/>
      </c>
    </row>
    <row r="671" ht="15" customHeight="1" s="217">
      <c r="A671" s="347" t="inlineStr">
        <is>
          <t>TOYOTA</t>
        </is>
      </c>
      <c r="B671" s="348" t="inlineStr">
        <is>
          <t>HH080319</t>
        </is>
      </c>
      <c r="C671" s="349" t="inlineStr">
        <is>
          <t>IHI</t>
        </is>
      </c>
      <c r="D671" s="349" t="inlineStr">
        <is>
          <t>CT16V</t>
        </is>
      </c>
      <c r="E671" s="349" t="inlineStr">
        <is>
          <t>1KD</t>
        </is>
      </c>
      <c r="F671" s="350" t="inlineStr">
        <is>
          <t>17201-0L040/17201-30101
17201-30110/17202-90040</t>
        </is>
      </c>
      <c r="G671" s="349" t="n"/>
      <c r="H671" s="351" t="inlineStr">
        <is>
          <t>SL</t>
        </is>
      </c>
      <c r="I671" s="352" t="n"/>
      <c r="J671" s="352" t="n"/>
      <c r="K671" s="352" t="n"/>
      <c r="L671" s="352">
        <f>IF(K671="","",K671*1.1)</f>
        <v/>
      </c>
      <c r="M671" s="353" t="n">
        <v>58</v>
      </c>
      <c r="N671" s="353" t="n">
        <v>39</v>
      </c>
      <c r="O671" s="353" t="inlineStr">
        <is>
          <t>6/6</t>
        </is>
      </c>
      <c r="P671" s="353" t="n">
        <v>51.7</v>
      </c>
      <c r="Q671" s="353" t="n">
        <v>48</v>
      </c>
      <c r="R671" s="353" t="inlineStr">
        <is>
          <t>11</t>
        </is>
      </c>
      <c r="T671" s="346">
        <f>UPPER(A671&amp;" "&amp;B671&amp;" "&amp;D671&amp;" "&amp;E671&amp;" "&amp;F671&amp;" "&amp;G671&amp;" "&amp;H671)</f>
        <v/>
      </c>
      <c r="U671" s="216">
        <f>IF(AND('TRA CỨU TỔNG HỢP'!$B$3&lt;&gt;"",ISNUMBER(SEARCH('TRA CỨU TỔNG HỢP'!$B$3,T671))),MAX($U$3:U670)+1,"")</f>
        <v/>
      </c>
    </row>
    <row r="672" ht="15" customHeight="1" s="217">
      <c r="A672" s="340" t="inlineStr">
        <is>
          <t>TOYOTA</t>
        </is>
      </c>
      <c r="B672" s="341" t="inlineStr">
        <is>
          <t>HH081332</t>
        </is>
      </c>
      <c r="C672" s="340" t="inlineStr">
        <is>
          <t>IHI</t>
        </is>
      </c>
      <c r="D672" s="340" t="inlineStr">
        <is>
          <t>CT16V</t>
        </is>
      </c>
      <c r="E672" s="340" t="inlineStr">
        <is>
          <t>2GD-FTV</t>
        </is>
      </c>
      <c r="F672" s="342" t="inlineStr">
        <is>
          <t>17201-11070</t>
        </is>
      </c>
      <c r="G672" s="340" t="n"/>
      <c r="H672" s="343" t="inlineStr">
        <is>
          <t>SL</t>
        </is>
      </c>
      <c r="I672" s="344" t="n"/>
      <c r="J672" s="344" t="n"/>
      <c r="K672" s="344" t="n"/>
      <c r="L672" s="344">
        <f>IF(K672="","",K672*1.1)</f>
        <v/>
      </c>
      <c r="M672" s="345" t="n">
        <v>45</v>
      </c>
      <c r="N672" s="345" t="n">
        <v>32</v>
      </c>
      <c r="O672" s="345" t="inlineStr">
        <is>
          <t>6/6</t>
        </is>
      </c>
      <c r="P672" s="345" t="n">
        <v>37.8</v>
      </c>
      <c r="Q672" s="345" t="n">
        <v>34.8</v>
      </c>
      <c r="R672" s="345" t="n">
        <v>9</v>
      </c>
      <c r="T672" s="216">
        <f>UPPER(A672&amp;" "&amp;B672&amp;" "&amp;D672&amp;" "&amp;E672&amp;" "&amp;F672&amp;" "&amp;G672&amp;" "&amp;H672)</f>
        <v/>
      </c>
      <c r="U672" s="216">
        <f>IF(AND('TRA CỨU TỔNG HỢP'!$B$3&lt;&gt;"",ISNUMBER(SEARCH('TRA CỨU TỔNG HỢP'!$B$3,T672))),MAX($U$3:U671)+1,"")</f>
        <v/>
      </c>
    </row>
    <row r="673" ht="15" customHeight="1" s="217">
      <c r="A673" s="347" t="inlineStr">
        <is>
          <t>TOYOTA</t>
        </is>
      </c>
      <c r="B673" s="348" t="inlineStr">
        <is>
          <t>HH082676</t>
        </is>
      </c>
      <c r="C673" s="349" t="inlineStr">
        <is>
          <t>IHI</t>
        </is>
      </c>
      <c r="D673" s="349" t="inlineStr">
        <is>
          <t>CT16V</t>
        </is>
      </c>
      <c r="E673" s="349" t="inlineStr">
        <is>
          <t>2GD-FTV</t>
        </is>
      </c>
      <c r="F673" s="350" t="inlineStr">
        <is>
          <t>17201-11070</t>
        </is>
      </c>
      <c r="G673" s="349" t="n"/>
      <c r="H673" s="351" t="inlineStr">
        <is>
          <t>SL</t>
        </is>
      </c>
      <c r="I673" s="352" t="n"/>
      <c r="J673" s="352" t="n"/>
      <c r="K673" s="352" t="n"/>
      <c r="L673" s="352">
        <f>IF(K673="","",K673*1.1)</f>
        <v/>
      </c>
      <c r="M673" s="353" t="n">
        <v>45</v>
      </c>
      <c r="N673" s="353" t="n">
        <v>32</v>
      </c>
      <c r="O673" s="353" t="inlineStr">
        <is>
          <t>6/6</t>
        </is>
      </c>
      <c r="P673" s="353" t="n">
        <v>37.8</v>
      </c>
      <c r="Q673" s="353" t="n">
        <v>34.8</v>
      </c>
      <c r="R673" s="353" t="n">
        <v>9</v>
      </c>
      <c r="T673" s="216">
        <f>UPPER(A673&amp;" "&amp;B673&amp;" "&amp;D673&amp;" "&amp;E673&amp;" "&amp;F673&amp;" "&amp;G673&amp;" "&amp;H673)</f>
        <v/>
      </c>
      <c r="U673" s="216">
        <f>IF(AND('TRA CỨU TỔNG HỢP'!$B$3&lt;&gt;"",ISNUMBER(SEARCH('TRA CỨU TỔNG HỢP'!$B$3,T673))),MAX($U$3:U672)+1,"")</f>
        <v/>
      </c>
    </row>
    <row r="674" ht="15" customHeight="1" s="217">
      <c r="A674" s="340" t="inlineStr">
        <is>
          <t>TOYOTA</t>
        </is>
      </c>
      <c r="B674" s="341" t="inlineStr">
        <is>
          <t>HH084197</t>
        </is>
      </c>
      <c r="C674" s="340" t="inlineStr">
        <is>
          <t>IHI</t>
        </is>
      </c>
      <c r="D674" s="340" t="inlineStr">
        <is>
          <t>VB31</t>
        </is>
      </c>
      <c r="E674" s="340" t="inlineStr">
        <is>
          <t>2KD-FTV | 2KD</t>
        </is>
      </c>
      <c r="F674" s="342" t="inlineStr">
        <is>
          <t>17201-0L070 | 17201-0L071 | 17201-OL070 | 17201-OL071 | 172010L070 | 172010L071 | 17201OL070 | 17201OL071</t>
        </is>
      </c>
      <c r="G674" s="340" t="inlineStr">
        <is>
          <t>chưa nhập xem hình trên TBS</t>
        </is>
      </c>
      <c r="H674" s="343" t="inlineStr">
        <is>
          <t>EE</t>
        </is>
      </c>
      <c r="I674" s="344" t="n"/>
      <c r="J674" s="344" t="n"/>
      <c r="K674" s="344" t="n"/>
      <c r="L674" s="344">
        <f>IF(K674="","",K674*1.1)</f>
        <v/>
      </c>
      <c r="M674" s="345" t="n">
        <v>51</v>
      </c>
      <c r="N674" s="345" t="n">
        <v>37.6</v>
      </c>
      <c r="O674" s="345" t="inlineStr">
        <is>
          <t>6/6</t>
        </is>
      </c>
      <c r="P674" s="345" t="n">
        <v>44.6</v>
      </c>
      <c r="Q674" s="345" t="n">
        <v>41.6</v>
      </c>
      <c r="R674" s="345" t="n">
        <v>9</v>
      </c>
      <c r="T674" s="216">
        <f>UPPER(A674&amp;" "&amp;B674&amp;" "&amp;D674&amp;" "&amp;E674&amp;" "&amp;F674&amp;" "&amp;G674&amp;" "&amp;H674)</f>
        <v/>
      </c>
      <c r="U674" s="216">
        <f>IF(AND('TRA CỨU TỔNG HỢP'!$B$3&lt;&gt;"",ISNUMBER(SEARCH('TRA CỨU TỔNG HỢP'!$B$3,T674))),MAX($U$3:U673)+1,"")</f>
        <v/>
      </c>
    </row>
    <row r="675" ht="15" customHeight="1" s="217">
      <c r="A675" s="347" t="inlineStr">
        <is>
          <t>TOYOTA</t>
        </is>
      </c>
      <c r="B675" s="348" t="inlineStr">
        <is>
          <t>HH069930</t>
        </is>
      </c>
      <c r="C675" s="349" t="inlineStr">
        <is>
          <t>IHI</t>
        </is>
      </c>
      <c r="D675" s="349" t="inlineStr">
        <is>
          <t>VB31</t>
        </is>
      </c>
      <c r="E675" s="349" t="inlineStr">
        <is>
          <t>2KD-FTV | 2KD</t>
        </is>
      </c>
      <c r="F675" s="350" t="inlineStr">
        <is>
          <t>17201-0L070 | 17201-0L071 | 17201-OL070 | 17201-OL071 | 172010L070 | 172010L071 | 17201OL070 | 17201OL071</t>
        </is>
      </c>
      <c r="G675" s="349" t="inlineStr">
        <is>
          <t>chưa nhập xem hình trên TBS</t>
        </is>
      </c>
      <c r="H675" s="351" t="inlineStr">
        <is>
          <t>SL</t>
        </is>
      </c>
      <c r="I675" s="352" t="n"/>
      <c r="J675" s="352" t="n"/>
      <c r="K675" s="352" t="n"/>
      <c r="L675" s="352">
        <f>IF(K675="","",K675*1.1)</f>
        <v/>
      </c>
      <c r="M675" s="353" t="n">
        <v>51</v>
      </c>
      <c r="N675" s="353" t="n">
        <v>37.6</v>
      </c>
      <c r="O675" s="353" t="inlineStr">
        <is>
          <t>6/6</t>
        </is>
      </c>
      <c r="P675" s="353" t="n">
        <v>44.6</v>
      </c>
      <c r="Q675" s="353" t="n">
        <v>41.6</v>
      </c>
      <c r="R675" s="353" t="n">
        <v>9</v>
      </c>
      <c r="T675" s="216">
        <f>UPPER(A675&amp;" "&amp;B675&amp;" "&amp;D675&amp;" "&amp;E675&amp;" "&amp;F675&amp;" "&amp;G675&amp;" "&amp;H675)</f>
        <v/>
      </c>
      <c r="U675" s="216">
        <f>IF(AND('TRA CỨU TỔNG HỢP'!$B$3&lt;&gt;"",ISNUMBER(SEARCH('TRA CỨU TỔNG HỢP'!$B$3,T675))),MAX($U$3:U674)+1,"")</f>
        <v/>
      </c>
    </row>
    <row r="676" ht="15" customHeight="1" s="217">
      <c r="A676" s="347" t="inlineStr">
        <is>
          <t>TOYOTA</t>
        </is>
      </c>
      <c r="B676" s="348" t="inlineStr">
        <is>
          <t>HH069931</t>
        </is>
      </c>
      <c r="C676" s="349" t="inlineStr">
        <is>
          <t>IHI</t>
        </is>
      </c>
      <c r="D676" s="349" t="inlineStr">
        <is>
          <t>VB31</t>
        </is>
      </c>
      <c r="E676" s="349" t="inlineStr">
        <is>
          <t>2KD-FTV | 2KD</t>
        </is>
      </c>
      <c r="F676" s="350" t="inlineStr">
        <is>
          <t>17201-0L070 | 17201-0L071 | 17201-OL070 | 17201-OL071 | 172010L070 | 172010L071 | 17201OL070 | 17201OL071</t>
        </is>
      </c>
      <c r="G676" s="349" t="inlineStr">
        <is>
          <t>chưa nhập xem hình trên TBS</t>
        </is>
      </c>
      <c r="H676" s="351" t="inlineStr">
        <is>
          <t>SL</t>
        </is>
      </c>
      <c r="I676" s="352" t="n"/>
      <c r="J676" s="352" t="n"/>
      <c r="K676" s="352" t="n"/>
      <c r="L676" s="352">
        <f>IF(K676="","",K676*1.1)</f>
        <v/>
      </c>
      <c r="M676" s="353" t="n">
        <v>51</v>
      </c>
      <c r="N676" s="353" t="n">
        <v>37.6</v>
      </c>
      <c r="O676" s="353" t="inlineStr">
        <is>
          <t>6/6</t>
        </is>
      </c>
      <c r="P676" s="353" t="n">
        <v>44.6</v>
      </c>
      <c r="Q676" s="353" t="n">
        <v>41.6</v>
      </c>
      <c r="R676" s="353" t="n">
        <v>9</v>
      </c>
      <c r="T676" s="216">
        <f>UPPER(A676&amp;" "&amp;B676&amp;" "&amp;D676&amp;" "&amp;E676&amp;" "&amp;F676&amp;" "&amp;G676&amp;" "&amp;H676)</f>
        <v/>
      </c>
      <c r="U676" s="216">
        <f>IF(AND('TRA CỨU TỔNG HỢP'!$B$3&lt;&gt;"",ISNUMBER(SEARCH('TRA CỨU TỔNG HỢP'!$B$3,T676))),MAX($U$3:U675)+1,"")</f>
        <v/>
      </c>
    </row>
    <row r="677" ht="15" customHeight="1" s="217">
      <c r="A677" s="379" t="inlineStr">
        <is>
          <t>TOYOTA</t>
        </is>
      </c>
      <c r="B677" s="380" t="n"/>
      <c r="C677" s="379" t="inlineStr">
        <is>
          <t>Garrett</t>
        </is>
      </c>
      <c r="D677" s="379" t="inlineStr">
        <is>
          <t>GT2359V</t>
        </is>
      </c>
      <c r="E677" s="379" t="n"/>
      <c r="F677" s="381" t="inlineStr">
        <is>
          <t>775095-0001
17201-51010</t>
        </is>
      </c>
      <c r="G677" s="379" t="n"/>
      <c r="H677" s="382" t="n"/>
      <c r="I677" s="383" t="n"/>
      <c r="J677" s="383" t="n"/>
      <c r="K677" s="383" t="n"/>
      <c r="L677" s="383">
        <f>IF(K677="","",K677*1.1)</f>
        <v/>
      </c>
      <c r="M677" s="384" t="n">
        <v>59.5</v>
      </c>
      <c r="N677" s="384" t="n">
        <v>44.5</v>
      </c>
      <c r="O677" s="384" t="inlineStr">
        <is>
          <t>6/6</t>
        </is>
      </c>
      <c r="P677" s="384" t="n">
        <v>51.2</v>
      </c>
      <c r="Q677" s="384" t="n">
        <v>47.1</v>
      </c>
      <c r="R677" s="384" t="n">
        <v>9</v>
      </c>
      <c r="T677" s="346">
        <f>UPPER(A677&amp;" "&amp;B677&amp;" "&amp;D677&amp;" "&amp;E677&amp;" "&amp;F677&amp;" "&amp;G677&amp;" "&amp;H677)</f>
        <v/>
      </c>
      <c r="U677" s="216">
        <f>IF(AND('TRA CỨU TỔNG HỢP'!$B$3&lt;&gt;"",ISNUMBER(SEARCH('TRA CỨU TỔNG HỢP'!$B$3,T677))),MAX($U$3:U676)+1,"")</f>
        <v/>
      </c>
    </row>
    <row r="678" ht="19.5" customHeight="1" s="217">
      <c r="A678" s="378" t="inlineStr">
        <is>
          <t xml:space="preserve">  🏭  WEICHAI   ·   1 loại turbo</t>
        </is>
      </c>
      <c r="U678" s="216">
        <f>IF(AND('TRA CỨU TỔNG HỢP'!$B$3&lt;&gt;"",ISNUMBER(SEARCH('TRA CỨU TỔNG HỢP'!$B$3,T678))),MAX($U$3:U677)+1,"")</f>
        <v/>
      </c>
    </row>
    <row r="679" ht="15" customHeight="1" s="217">
      <c r="A679" s="354" t="inlineStr">
        <is>
          <t>WEICHAI</t>
        </is>
      </c>
      <c r="B679" s="355" t="inlineStr">
        <is>
          <t>HH080650</t>
        </is>
      </c>
      <c r="C679" s="354" t="inlineStr">
        <is>
          <t>Holset</t>
        </is>
      </c>
      <c r="D679" s="354" t="inlineStr">
        <is>
          <t>H1F</t>
        </is>
      </c>
      <c r="E679" s="354" t="inlineStr">
        <is>
          <t>BF6L913/BF4L913</t>
        </is>
      </c>
      <c r="F679" s="356" t="inlineStr">
        <is>
          <t>3826322</t>
        </is>
      </c>
      <c r="G679" s="354" t="n"/>
      <c r="H679" s="357" t="inlineStr">
        <is>
          <t>FIRE</t>
        </is>
      </c>
      <c r="I679" s="358" t="n"/>
      <c r="J679" s="358" t="n"/>
      <c r="K679" s="358" t="n"/>
      <c r="L679" s="358">
        <f>IF(K679="","",K679*1.1)</f>
        <v/>
      </c>
      <c r="M679" s="359" t="n"/>
      <c r="N679" s="359" t="n"/>
      <c r="O679" s="359" t="n"/>
      <c r="P679" s="359" t="n"/>
      <c r="Q679" s="359" t="n"/>
      <c r="R679" s="359" t="n"/>
      <c r="T679" s="216">
        <f>UPPER(A679&amp;" "&amp;B679&amp;" "&amp;D679&amp;" "&amp;E679&amp;" "&amp;F679&amp;" "&amp;G679&amp;" "&amp;H679)</f>
        <v/>
      </c>
      <c r="U679" s="216">
        <f>IF(AND('TRA CỨU TỔNG HỢP'!$B$3&lt;&gt;"",ISNUMBER(SEARCH('TRA CỨU TỔNG HỢP'!$B$3,T679))),MAX($U$3:U678)+1,"")</f>
        <v/>
      </c>
    </row>
    <row r="680" ht="19.5" customHeight="1" s="217">
      <c r="A680" s="378" t="inlineStr">
        <is>
          <t xml:space="preserve">  🏭  XICHAI   ·   1 loại turbo</t>
        </is>
      </c>
      <c r="U680" s="216">
        <f>IF(AND('TRA CỨU TỔNG HỢP'!$B$3&lt;&gt;"",ISNUMBER(SEARCH('TRA CỨU TỔNG HỢP'!$B$3,T680))),MAX($U$3:U679)+1,"")</f>
        <v/>
      </c>
    </row>
    <row r="681" ht="15" customHeight="1" s="217">
      <c r="A681" s="340" t="inlineStr">
        <is>
          <t>XICHAI</t>
        </is>
      </c>
      <c r="B681" s="341" t="inlineStr">
        <is>
          <t>HH080318</t>
        </is>
      </c>
      <c r="C681" s="340" t="inlineStr">
        <is>
          <t>Garrett</t>
        </is>
      </c>
      <c r="D681" s="340" t="inlineStr">
        <is>
          <t>TB28</t>
        </is>
      </c>
      <c r="E681" s="340" t="inlineStr">
        <is>
          <t>CA4113/CA4110</t>
        </is>
      </c>
      <c r="F681" s="342" t="inlineStr">
        <is>
          <t>111801014BKZ/711380-0010</t>
        </is>
      </c>
      <c r="G681" s="340" t="n"/>
      <c r="H681" s="343" t="inlineStr">
        <is>
          <t>SL</t>
        </is>
      </c>
      <c r="I681" s="344" t="n"/>
      <c r="J681" s="344" t="n"/>
      <c r="K681" s="344" t="n"/>
      <c r="L681" s="344">
        <f>IF(K681="","",K681*1.1)</f>
        <v/>
      </c>
      <c r="M681" s="345" t="n">
        <v>59.5</v>
      </c>
      <c r="N681" s="345" t="n">
        <v>42.8</v>
      </c>
      <c r="O681" s="345" t="inlineStr">
        <is>
          <t>6/6</t>
        </is>
      </c>
      <c r="P681" s="345" t="n">
        <v>53</v>
      </c>
      <c r="Q681" s="345" t="n">
        <v>46.2</v>
      </c>
      <c r="R681" s="345" t="n">
        <v>10</v>
      </c>
      <c r="T681" s="216">
        <f>UPPER(A681&amp;" "&amp;B681&amp;" "&amp;D681&amp;" "&amp;E681&amp;" "&amp;F681&amp;" "&amp;G681&amp;" "&amp;H681)</f>
        <v/>
      </c>
      <c r="U681" s="216">
        <f>IF(AND('TRA CỨU TỔNG HỢP'!$B$3&lt;&gt;"",ISNUMBER(SEARCH('TRA CỨU TỔNG HỢP'!$B$3,T681))),MAX($U$3:U680)+1,"")</f>
        <v/>
      </c>
    </row>
    <row r="682" ht="15" customHeight="1" s="217">
      <c r="A682" s="347" t="inlineStr">
        <is>
          <t>XICHAI</t>
        </is>
      </c>
      <c r="B682" s="348" t="inlineStr">
        <is>
          <t>HH083864</t>
        </is>
      </c>
      <c r="C682" s="349" t="inlineStr">
        <is>
          <t>Garrett</t>
        </is>
      </c>
      <c r="D682" s="349" t="inlineStr">
        <is>
          <t>TB28</t>
        </is>
      </c>
      <c r="E682" s="349" t="inlineStr">
        <is>
          <t>CA4113/CA4110</t>
        </is>
      </c>
      <c r="F682" s="350" t="inlineStr">
        <is>
          <t>111801014BKZ/711380-0010</t>
        </is>
      </c>
      <c r="G682" s="349" t="n"/>
      <c r="H682" s="351" t="inlineStr">
        <is>
          <t>SL</t>
        </is>
      </c>
      <c r="I682" s="352" t="n"/>
      <c r="J682" s="352" t="n"/>
      <c r="K682" s="352" t="n"/>
      <c r="L682" s="352">
        <f>IF(K682="","",K682*1.1)</f>
        <v/>
      </c>
      <c r="M682" s="353" t="n">
        <v>59.5</v>
      </c>
      <c r="N682" s="353" t="n">
        <v>42.8</v>
      </c>
      <c r="O682" s="353" t="inlineStr">
        <is>
          <t>6/6</t>
        </is>
      </c>
      <c r="P682" s="353" t="n">
        <v>53</v>
      </c>
      <c r="Q682" s="353" t="n">
        <v>46.2</v>
      </c>
      <c r="R682" s="353" t="n">
        <v>10</v>
      </c>
      <c r="T682" s="216">
        <f>UPPER(A682&amp;" "&amp;B682&amp;" "&amp;D682&amp;" "&amp;E682&amp;" "&amp;F682&amp;" "&amp;G682&amp;" "&amp;H682)</f>
        <v/>
      </c>
      <c r="U682" s="216">
        <f>IF(AND('TRA CỨU TỔNG HỢP'!$B$3&lt;&gt;"",ISNUMBER(SEARCH('TRA CỨU TỔNG HỢP'!$B$3,T682))),MAX($U$3:U681)+1,"")</f>
        <v/>
      </c>
    </row>
    <row r="683" ht="19.5" customHeight="1" s="217">
      <c r="A683" s="378" t="inlineStr">
        <is>
          <t xml:space="preserve">  🏭  YANMAR   ·   4 loại turbo</t>
        </is>
      </c>
      <c r="U683" s="216">
        <f>IF(AND('TRA CỨU TỔNG HỢP'!$B$3&lt;&gt;"",ISNUMBER(SEARCH('TRA CỨU TỔNG HỢP'!$B$3,T683))),MAX($U$3:U682)+1,"")</f>
        <v/>
      </c>
    </row>
    <row r="684" ht="15" customHeight="1" s="217">
      <c r="A684" s="367" t="inlineStr">
        <is>
          <t>YANMAR</t>
        </is>
      </c>
      <c r="B684" s="368" t="n"/>
      <c r="C684" s="367" t="inlineStr">
        <is>
          <t>Garrett</t>
        </is>
      </c>
      <c r="D684" s="367" t="inlineStr">
        <is>
          <t>TA4514</t>
        </is>
      </c>
      <c r="E684" s="367" t="inlineStr">
        <is>
          <t>6CH</t>
        </is>
      </c>
      <c r="F684" s="369" t="inlineStr">
        <is>
          <t>466822-5001</t>
        </is>
      </c>
      <c r="G684" s="367" t="n"/>
      <c r="H684" s="370" t="n"/>
      <c r="I684" s="371" t="n"/>
      <c r="J684" s="371" t="n"/>
      <c r="K684" s="371" t="n"/>
      <c r="L684" s="371">
        <f>IF(K684="","",K684*1.1)</f>
        <v/>
      </c>
      <c r="M684" s="372" t="n"/>
      <c r="N684" s="372" t="n"/>
      <c r="O684" s="372" t="n"/>
      <c r="P684" s="372" t="n"/>
      <c r="Q684" s="372" t="n"/>
      <c r="R684" s="372" t="n"/>
      <c r="T684" s="216">
        <f>UPPER(A684&amp;" "&amp;B684&amp;" "&amp;D684&amp;" "&amp;E684&amp;" "&amp;F684&amp;" "&amp;G684&amp;" "&amp;H684)</f>
        <v/>
      </c>
      <c r="U684" s="216">
        <f>IF(AND('TRA CỨU TỔNG HỢP'!$B$3&lt;&gt;"",ISNUMBER(SEARCH('TRA CỨU TỔNG HỢP'!$B$3,T684))),MAX($U$3:U683)+1,"")</f>
        <v/>
      </c>
    </row>
    <row r="685" ht="15" customHeight="1" s="217">
      <c r="A685" s="354" t="inlineStr">
        <is>
          <t>YANMAR</t>
        </is>
      </c>
      <c r="B685" s="355" t="inlineStr">
        <is>
          <t>HH077146</t>
        </is>
      </c>
      <c r="C685" s="354" t="inlineStr">
        <is>
          <t>IHI</t>
        </is>
      </c>
      <c r="D685" s="354" t="inlineStr">
        <is>
          <t>RHF5</t>
        </is>
      </c>
      <c r="E685" s="354" t="inlineStr">
        <is>
          <t>4TNV98T</t>
        </is>
      </c>
      <c r="F685" s="356" t="inlineStr">
        <is>
          <t>VA430075
8I05-200-M09/F51CADS0075/12990818011
123945-18020/129908-18010/12990818010</t>
        </is>
      </c>
      <c r="G685" s="354" t="n"/>
      <c r="H685" s="357" t="inlineStr">
        <is>
          <t>JRONE</t>
        </is>
      </c>
      <c r="I685" s="358" t="n"/>
      <c r="J685" s="358" t="n"/>
      <c r="K685" s="358" t="n"/>
      <c r="L685" s="358">
        <f>IF(K685="","",K685*1.1)</f>
        <v/>
      </c>
      <c r="M685" s="359" t="n"/>
      <c r="N685" s="359" t="n"/>
      <c r="O685" s="359" t="n"/>
      <c r="P685" s="359" t="n"/>
      <c r="Q685" s="359" t="n"/>
      <c r="R685" s="359" t="n"/>
      <c r="T685" s="346">
        <f>UPPER(A685&amp;" "&amp;B685&amp;" "&amp;D685&amp;" "&amp;E685&amp;" "&amp;F685&amp;" "&amp;G685&amp;" "&amp;H685)</f>
        <v/>
      </c>
      <c r="U685" s="216">
        <f>IF(AND('TRA CỨU TỔNG HỢP'!$B$3&lt;&gt;"",ISNUMBER(SEARCH('TRA CỨU TỔNG HỢP'!$B$3,T685))),MAX($U$3:U684)+1,"")</f>
        <v/>
      </c>
    </row>
    <row r="686" ht="15" customHeight="1" s="217">
      <c r="A686" s="354" t="inlineStr">
        <is>
          <t>YANMAR</t>
        </is>
      </c>
      <c r="B686" s="355" t="inlineStr">
        <is>
          <t>HH00710</t>
        </is>
      </c>
      <c r="C686" s="354" t="inlineStr">
        <is>
          <t>IHI</t>
        </is>
      </c>
      <c r="D686" s="354" t="inlineStr">
        <is>
          <t>RHB52</t>
        </is>
      </c>
      <c r="E686" s="354" t="inlineStr">
        <is>
          <t>4TNV100/C240/W04DT</t>
        </is>
      </c>
      <c r="F686" s="356" t="inlineStr">
        <is>
          <t>241001880A/24100-1511/24100-1510A</t>
        </is>
      </c>
      <c r="G686" s="354" t="inlineStr">
        <is>
          <t>máy thủy nhiều</t>
        </is>
      </c>
      <c r="H686" s="357" t="inlineStr">
        <is>
          <t>MX</t>
        </is>
      </c>
      <c r="I686" s="358" t="n"/>
      <c r="J686" s="358" t="n"/>
      <c r="K686" s="358" t="n"/>
      <c r="L686" s="358">
        <f>IF(K686="","",K686*1.1)</f>
        <v/>
      </c>
      <c r="M686" s="359" t="n"/>
      <c r="N686" s="359" t="n"/>
      <c r="O686" s="359" t="n"/>
      <c r="P686" s="359" t="n"/>
      <c r="Q686" s="359" t="n"/>
      <c r="R686" s="359" t="n"/>
      <c r="T686" s="216">
        <f>UPPER(A686&amp;" "&amp;B686&amp;" "&amp;D686&amp;" "&amp;E686&amp;" "&amp;F686&amp;" "&amp;G686&amp;" "&amp;H686)</f>
        <v/>
      </c>
      <c r="U686" s="216">
        <f>IF(AND('TRA CỨU TỔNG HỢP'!$B$3&lt;&gt;"",ISNUMBER(SEARCH('TRA CỨU TỔNG HỢP'!$B$3,T686))),MAX($U$3:U685)+1,"")</f>
        <v/>
      </c>
    </row>
    <row r="687" ht="15" customHeight="1" s="217">
      <c r="A687" s="379" t="inlineStr">
        <is>
          <t>YANMAR</t>
        </is>
      </c>
      <c r="B687" s="380" t="n"/>
      <c r="C687" s="379" t="inlineStr">
        <is>
          <t>IHI</t>
        </is>
      </c>
      <c r="D687" s="379" t="inlineStr">
        <is>
          <t>RHB31</t>
        </is>
      </c>
      <c r="E687" s="379" t="inlineStr">
        <is>
          <t>4TNA78 3TN82/3TE82/84/3T84</t>
        </is>
      </c>
      <c r="F687" s="381" t="inlineStr">
        <is>
          <t>129403-18050
129189-18010</t>
        </is>
      </c>
      <c r="G687" s="379" t="n"/>
      <c r="H687" s="382" t="n"/>
      <c r="I687" s="383" t="n"/>
      <c r="J687" s="383" t="n"/>
      <c r="K687" s="383" t="n"/>
      <c r="L687" s="383">
        <f>IF(K687="","",K687*1.1)</f>
        <v/>
      </c>
      <c r="M687" s="384" t="n"/>
      <c r="N687" s="384" t="n"/>
      <c r="O687" s="384" t="n"/>
      <c r="P687" s="384" t="n"/>
      <c r="Q687" s="384" t="n"/>
      <c r="R687" s="384" t="n"/>
      <c r="T687" s="346">
        <f>UPPER(A687&amp;" "&amp;B687&amp;" "&amp;D687&amp;" "&amp;E687&amp;" "&amp;F687&amp;" "&amp;G687&amp;" "&amp;H687)</f>
        <v/>
      </c>
      <c r="U687" s="216">
        <f>IF(AND('TRA CỨU TỔNG HỢP'!$B$3&lt;&gt;"",ISNUMBER(SEARCH('TRA CỨU TỔNG HỢP'!$B$3,T687))),MAX($U$3:U686)+1,"")</f>
        <v/>
      </c>
    </row>
    <row r="688" ht="19.5" customHeight="1" s="217">
      <c r="A688" s="378" t="inlineStr">
        <is>
          <t xml:space="preserve">  🏭  YUCHAI   ·   4 loại turbo</t>
        </is>
      </c>
      <c r="U688" s="216">
        <f>IF(AND('TRA CỨU TỔNG HỢP'!$B$3&lt;&gt;"",ISNUMBER(SEARCH('TRA CỨU TỔNG HỢP'!$B$3,T688))),MAX($U$3:U687)+1,"")</f>
        <v/>
      </c>
    </row>
    <row r="689" ht="15" customHeight="1" s="217">
      <c r="A689" s="379" t="inlineStr">
        <is>
          <t>YUCHAI</t>
        </is>
      </c>
      <c r="B689" s="380" t="n"/>
      <c r="C689" s="379" t="inlineStr">
        <is>
          <t>Garrett</t>
        </is>
      </c>
      <c r="D689" s="379" t="inlineStr">
        <is>
          <t>TBP4</t>
        </is>
      </c>
      <c r="E689" s="379" t="inlineStr">
        <is>
          <t>YC6108ZQ / (475D)</t>
        </is>
      </c>
      <c r="F689" s="381" t="inlineStr">
        <is>
          <t>720669-5002
S150123042</t>
        </is>
      </c>
      <c r="G689" s="379" t="n"/>
      <c r="H689" s="382" t="n"/>
      <c r="I689" s="383" t="n"/>
      <c r="J689" s="383" t="n"/>
      <c r="K689" s="383" t="n"/>
      <c r="L689" s="383">
        <f>IF(K689="","",K689*1.1)</f>
        <v/>
      </c>
      <c r="M689" s="384" t="n"/>
      <c r="N689" s="384" t="n"/>
      <c r="O689" s="384" t="n"/>
      <c r="P689" s="384" t="n"/>
      <c r="Q689" s="384" t="n"/>
      <c r="R689" s="384" t="n"/>
      <c r="T689" s="346">
        <f>UPPER(A689&amp;" "&amp;B689&amp;" "&amp;D689&amp;" "&amp;E689&amp;" "&amp;F689&amp;" "&amp;G689&amp;" "&amp;H689)</f>
        <v/>
      </c>
      <c r="U689" s="216">
        <f>IF(AND('TRA CỨU TỔNG HỢP'!$B$3&lt;&gt;"",ISNUMBER(SEARCH('TRA CỨU TỔNG HỢP'!$B$3,T689))),MAX($U$3:U688)+1,"")</f>
        <v/>
      </c>
    </row>
    <row r="690" ht="15" customHeight="1" s="217">
      <c r="A690" s="340" t="inlineStr">
        <is>
          <t>YUCHAI</t>
        </is>
      </c>
      <c r="B690" s="341" t="inlineStr">
        <is>
          <t>HH080807</t>
        </is>
      </c>
      <c r="C690" s="340" t="inlineStr">
        <is>
          <t>BorgWarner</t>
        </is>
      </c>
      <c r="D690" s="340" t="inlineStr">
        <is>
          <t>JP60S/TB28</t>
        </is>
      </c>
      <c r="E690" s="340" t="inlineStr">
        <is>
          <t>CA498</t>
        </is>
      </c>
      <c r="F690" s="342" t="inlineStr">
        <is>
          <t>708353-0001
1118010X3</t>
        </is>
      </c>
      <c r="G690" s="340" t="n"/>
      <c r="H690" s="343" t="inlineStr">
        <is>
          <t>SL</t>
        </is>
      </c>
      <c r="I690" s="344" t="n"/>
      <c r="J690" s="344" t="n"/>
      <c r="K690" s="344" t="n"/>
      <c r="L690" s="344">
        <f>IF(K690="","",K690*1.1)</f>
        <v/>
      </c>
      <c r="M690" s="345" t="n">
        <v>60.2</v>
      </c>
      <c r="N690" s="345" t="n">
        <v>40.5</v>
      </c>
      <c r="O690" s="345" t="inlineStr">
        <is>
          <t>6/6</t>
        </is>
      </c>
      <c r="P690" s="345" t="n">
        <v>53</v>
      </c>
      <c r="Q690" s="345" t="n">
        <v>46.2</v>
      </c>
      <c r="R690" s="345" t="n">
        <v>10</v>
      </c>
      <c r="T690" s="346">
        <f>UPPER(A690&amp;" "&amp;B690&amp;" "&amp;D690&amp;" "&amp;E690&amp;" "&amp;F690&amp;" "&amp;G690&amp;" "&amp;H690)</f>
        <v/>
      </c>
      <c r="U690" s="216">
        <f>IF(AND('TRA CỨU TỔNG HỢP'!$B$3&lt;&gt;"",ISNUMBER(SEARCH('TRA CỨU TỔNG HỢP'!$B$3,T690))),MAX($U$3:U689)+1,"")</f>
        <v/>
      </c>
    </row>
    <row r="691" ht="15" customHeight="1" s="217">
      <c r="A691" s="347" t="inlineStr">
        <is>
          <t>YUCHAI</t>
        </is>
      </c>
      <c r="B691" s="348" t="inlineStr">
        <is>
          <t>HH083795</t>
        </is>
      </c>
      <c r="C691" s="349" t="inlineStr">
        <is>
          <t>BorgWarner</t>
        </is>
      </c>
      <c r="D691" s="349" t="inlineStr">
        <is>
          <t>JP60S/TB28</t>
        </is>
      </c>
      <c r="E691" s="349" t="inlineStr">
        <is>
          <t>CA498</t>
        </is>
      </c>
      <c r="F691" s="350" t="inlineStr">
        <is>
          <t>708353-0001
1118010X3</t>
        </is>
      </c>
      <c r="G691" s="349" t="n"/>
      <c r="H691" s="351" t="n"/>
      <c r="I691" s="352" t="n"/>
      <c r="J691" s="352" t="n"/>
      <c r="K691" s="352" t="n"/>
      <c r="L691" s="352">
        <f>IF(K691="","",K691*1.1)</f>
        <v/>
      </c>
      <c r="M691" s="353" t="n">
        <v>60.2</v>
      </c>
      <c r="N691" s="353" t="n">
        <v>40.5</v>
      </c>
      <c r="O691" s="353" t="inlineStr">
        <is>
          <t>6/6</t>
        </is>
      </c>
      <c r="P691" s="353" t="n">
        <v>53</v>
      </c>
      <c r="Q691" s="353" t="n">
        <v>46.2</v>
      </c>
      <c r="R691" s="353" t="n">
        <v>10</v>
      </c>
      <c r="T691" s="346">
        <f>UPPER(A691&amp;" "&amp;B691&amp;" "&amp;D691&amp;" "&amp;E691&amp;" "&amp;F691&amp;" "&amp;G691&amp;" "&amp;H691)</f>
        <v/>
      </c>
      <c r="U691" s="216">
        <f>IF(AND('TRA CỨU TỔNG HỢP'!$B$3&lt;&gt;"",ISNUMBER(SEARCH('TRA CỨU TỔNG HỢP'!$B$3,T691))),MAX($U$3:U690)+1,"")</f>
        <v/>
      </c>
    </row>
    <row r="692" ht="15" customHeight="1" s="217">
      <c r="A692" s="354" t="inlineStr">
        <is>
          <t>YUCHAI</t>
        </is>
      </c>
      <c r="B692" s="355" t="inlineStr">
        <is>
          <t>HH080314</t>
        </is>
      </c>
      <c r="C692" s="354" t="inlineStr">
        <is>
          <t>Garrett</t>
        </is>
      </c>
      <c r="D692" s="354" t="inlineStr">
        <is>
          <t>TB28</t>
        </is>
      </c>
      <c r="E692" s="354" t="inlineStr">
        <is>
          <t>YC4110ZQ/YC4108</t>
        </is>
      </c>
      <c r="F692" s="356" t="inlineStr">
        <is>
          <t>1575-1118020A</t>
        </is>
      </c>
      <c r="G692" s="354" t="n"/>
      <c r="H692" s="357" t="inlineStr">
        <is>
          <t>SL</t>
        </is>
      </c>
      <c r="I692" s="358" t="n"/>
      <c r="J692" s="358" t="n"/>
      <c r="K692" s="358" t="n"/>
      <c r="L692" s="358">
        <f>IF(K692="","",K692*1.1)</f>
        <v/>
      </c>
      <c r="M692" s="359" t="n">
        <v>60.1</v>
      </c>
      <c r="N692" s="359" t="n">
        <v>44.6</v>
      </c>
      <c r="O692" s="359" t="inlineStr">
        <is>
          <t>6/6</t>
        </is>
      </c>
      <c r="P692" s="359" t="n">
        <v>53</v>
      </c>
      <c r="Q692" s="359" t="n">
        <v>46.2</v>
      </c>
      <c r="R692" s="359" t="n">
        <v>12</v>
      </c>
      <c r="T692" s="216">
        <f>UPPER(A692&amp;" "&amp;B692&amp;" "&amp;D692&amp;" "&amp;E692&amp;" "&amp;F692&amp;" "&amp;G692&amp;" "&amp;H692)</f>
        <v/>
      </c>
      <c r="U692" s="216">
        <f>IF(AND('TRA CỨU TỔNG HỢP'!$B$3&lt;&gt;"",ISNUMBER(SEARCH('TRA CỨU TỔNG HỢP'!$B$3,T692))),MAX($U$3:U691)+1,"")</f>
        <v/>
      </c>
    </row>
    <row r="693" ht="15" customHeight="1" s="217">
      <c r="A693" s="354" t="inlineStr">
        <is>
          <t>YUCHAI</t>
        </is>
      </c>
      <c r="B693" s="355" t="inlineStr">
        <is>
          <t>HH079173</t>
        </is>
      </c>
      <c r="C693" s="354" t="inlineStr">
        <is>
          <t>Garrett</t>
        </is>
      </c>
      <c r="D693" s="354" t="inlineStr">
        <is>
          <t>TB28</t>
        </is>
      </c>
      <c r="E693" s="354" t="inlineStr">
        <is>
          <t>CY4102</t>
        </is>
      </c>
      <c r="F693" s="356" t="inlineStr">
        <is>
          <t>702365-0018/702365-18
702365-5018S/702365-50185</t>
        </is>
      </c>
      <c r="G693" s="354" t="n"/>
      <c r="H693" s="357" t="inlineStr">
        <is>
          <t>1815</t>
        </is>
      </c>
      <c r="I693" s="358" t="n"/>
      <c r="J693" s="358" t="n"/>
      <c r="K693" s="358" t="n"/>
      <c r="L693" s="358">
        <f>IF(K693="","",K693*1.1)</f>
        <v/>
      </c>
      <c r="M693" s="359" t="n"/>
      <c r="N693" s="359" t="n"/>
      <c r="O693" s="359" t="n"/>
      <c r="P693" s="359" t="n"/>
      <c r="Q693" s="359" t="n"/>
      <c r="R693" s="359" t="n"/>
      <c r="T693" s="346">
        <f>UPPER(A693&amp;" "&amp;B693&amp;" "&amp;D693&amp;" "&amp;E693&amp;" "&amp;F693&amp;" "&amp;G693&amp;" "&amp;H693)</f>
        <v/>
      </c>
      <c r="U693" s="216">
        <f>IF(AND('TRA CỨU TỔNG HỢP'!$B$3&lt;&gt;"",ISNUMBER(SEARCH('TRA CỨU TỔNG HỢP'!$B$3,T693))),MAX($U$3:U692)+1,"")</f>
        <v/>
      </c>
    </row>
    <row r="694" ht="15" customHeight="1" s="217">
      <c r="A694" s="367" t="n"/>
      <c r="B694" s="368" t="n"/>
      <c r="C694" s="367" t="n"/>
      <c r="D694" s="367" t="n"/>
      <c r="E694" s="367" t="n"/>
      <c r="F694" s="369" t="n"/>
      <c r="G694" s="367" t="n"/>
      <c r="H694" s="370" t="n"/>
      <c r="I694" s="371" t="n"/>
      <c r="J694" s="371" t="n"/>
      <c r="K694" s="371" t="n"/>
      <c r="L694" s="371">
        <f>IF(K694="","",K694*1.1)</f>
        <v/>
      </c>
      <c r="M694" s="372" t="n"/>
      <c r="N694" s="372" t="n"/>
      <c r="O694" s="372" t="n"/>
      <c r="P694" s="372" t="n"/>
      <c r="Q694" s="372" t="n"/>
      <c r="R694" s="372" t="n"/>
      <c r="T694" s="216">
        <f>UPPER(A694&amp;" "&amp;B694&amp;" "&amp;D694&amp;" "&amp;E694&amp;" "&amp;F694&amp;" "&amp;G694&amp;" "&amp;H694)</f>
        <v/>
      </c>
      <c r="U694" s="216">
        <f>IF(AND('TRA CỨU TỔNG HỢP'!$B$3&lt;&gt;"",ISNUMBER(SEARCH('TRA CỨU TỔNG HỢP'!$B$3,T694))),MAX($U$3:U693)+1,"")</f>
        <v/>
      </c>
    </row>
    <row r="695" ht="15" customHeight="1" s="217">
      <c r="A695" s="379" t="n"/>
      <c r="B695" s="380" t="n"/>
      <c r="C695" s="379" t="n"/>
      <c r="D695" s="379" t="n"/>
      <c r="E695" s="379" t="n"/>
      <c r="F695" s="381" t="n"/>
      <c r="G695" s="379" t="n"/>
      <c r="H695" s="382" t="n"/>
      <c r="I695" s="383" t="n"/>
      <c r="J695" s="383" t="n"/>
      <c r="K695" s="383" t="n"/>
      <c r="L695" s="383">
        <f>IF(K695="","",K695*1.1)</f>
        <v/>
      </c>
      <c r="M695" s="384" t="n"/>
      <c r="N695" s="384" t="n"/>
      <c r="O695" s="384" t="n"/>
      <c r="P695" s="384" t="n"/>
      <c r="Q695" s="384" t="n"/>
      <c r="R695" s="384" t="n"/>
      <c r="T695" s="216">
        <f>UPPER(A695&amp;" "&amp;B695&amp;" "&amp;D695&amp;" "&amp;E695&amp;" "&amp;F695&amp;" "&amp;G695&amp;" "&amp;H695)</f>
        <v/>
      </c>
      <c r="U695" s="216">
        <f>IF(AND('TRA CỨU TỔNG HỢP'!$B$3&lt;&gt;"",ISNUMBER(SEARCH('TRA CỨU TỔNG HỢP'!$B$3,T695))),MAX($U$3:U694)+1,"")</f>
        <v/>
      </c>
    </row>
    <row r="696" ht="15" customHeight="1" s="217">
      <c r="A696" s="367" t="n"/>
      <c r="B696" s="368" t="n"/>
      <c r="C696" s="367" t="n"/>
      <c r="D696" s="367" t="n"/>
      <c r="E696" s="367" t="n"/>
      <c r="F696" s="369" t="n"/>
      <c r="G696" s="367" t="n"/>
      <c r="H696" s="370" t="n"/>
      <c r="I696" s="371" t="n"/>
      <c r="J696" s="371" t="n"/>
      <c r="K696" s="371" t="n"/>
      <c r="L696" s="371">
        <f>IF(K696="","",K696*1.1)</f>
        <v/>
      </c>
      <c r="M696" s="372" t="n"/>
      <c r="N696" s="372" t="n"/>
      <c r="O696" s="372" t="n"/>
      <c r="P696" s="372" t="n"/>
      <c r="Q696" s="372" t="n"/>
      <c r="R696" s="372" t="n"/>
      <c r="T696" s="216">
        <f>UPPER(A696&amp;" "&amp;B696&amp;" "&amp;D696&amp;" "&amp;E696&amp;" "&amp;F696&amp;" "&amp;G696&amp;" "&amp;H696)</f>
        <v/>
      </c>
      <c r="U696" s="216">
        <f>IF(AND('TRA CỨU TỔNG HỢP'!$B$3&lt;&gt;"",ISNUMBER(SEARCH('TRA CỨU TỔNG HỢP'!$B$3,T696))),MAX($U$3:U695)+1,"")</f>
        <v/>
      </c>
    </row>
    <row r="697" ht="15" customHeight="1" s="217">
      <c r="A697" s="379" t="n"/>
      <c r="B697" s="380" t="n"/>
      <c r="C697" s="379" t="n"/>
      <c r="D697" s="379" t="n"/>
      <c r="E697" s="379" t="n"/>
      <c r="F697" s="381" t="n"/>
      <c r="G697" s="379" t="n"/>
      <c r="H697" s="382" t="n"/>
      <c r="I697" s="383" t="n"/>
      <c r="J697" s="383" t="n"/>
      <c r="K697" s="383" t="n"/>
      <c r="L697" s="383">
        <f>IF(K697="","",K697*1.1)</f>
        <v/>
      </c>
      <c r="M697" s="384" t="n"/>
      <c r="N697" s="384" t="n"/>
      <c r="O697" s="384" t="n"/>
      <c r="P697" s="384" t="n"/>
      <c r="Q697" s="384" t="n"/>
      <c r="R697" s="384" t="n"/>
      <c r="T697" s="216">
        <f>UPPER(A697&amp;" "&amp;B697&amp;" "&amp;D697&amp;" "&amp;E697&amp;" "&amp;F697&amp;" "&amp;G697&amp;" "&amp;H697)</f>
        <v/>
      </c>
      <c r="U697" s="216">
        <f>IF(AND('TRA CỨU TỔNG HỢP'!$B$3&lt;&gt;"",ISNUMBER(SEARCH('TRA CỨU TỔNG HỢP'!$B$3,T697))),MAX($U$3:U696)+1,"")</f>
        <v/>
      </c>
    </row>
    <row r="698" ht="15" customHeight="1" s="217">
      <c r="A698" s="367" t="n"/>
      <c r="B698" s="368" t="n"/>
      <c r="C698" s="367" t="n"/>
      <c r="D698" s="367" t="n"/>
      <c r="E698" s="367" t="n"/>
      <c r="F698" s="369" t="n"/>
      <c r="G698" s="367" t="n"/>
      <c r="H698" s="370" t="n"/>
      <c r="I698" s="371" t="n"/>
      <c r="J698" s="371" t="n"/>
      <c r="K698" s="371" t="n"/>
      <c r="L698" s="371">
        <f>IF(K698="","",K698*1.1)</f>
        <v/>
      </c>
      <c r="M698" s="372" t="n"/>
      <c r="N698" s="372" t="n"/>
      <c r="O698" s="372" t="n"/>
      <c r="P698" s="372" t="n"/>
      <c r="Q698" s="372" t="n"/>
      <c r="R698" s="372" t="n"/>
      <c r="T698" s="216">
        <f>UPPER(A698&amp;" "&amp;B698&amp;" "&amp;D698&amp;" "&amp;E698&amp;" "&amp;F698&amp;" "&amp;G698&amp;" "&amp;H698)</f>
        <v/>
      </c>
      <c r="U698" s="216">
        <f>IF(AND('TRA CỨU TỔNG HỢP'!$B$3&lt;&gt;"",ISNUMBER(SEARCH('TRA CỨU TỔNG HỢP'!$B$3,T698))),MAX($U$3:U697)+1,"")</f>
        <v/>
      </c>
    </row>
    <row r="699" ht="15" customHeight="1" s="217">
      <c r="A699" s="379" t="n"/>
      <c r="B699" s="380" t="n"/>
      <c r="C699" s="379" t="n"/>
      <c r="D699" s="379" t="n"/>
      <c r="E699" s="379" t="n"/>
      <c r="F699" s="381" t="n"/>
      <c r="G699" s="379" t="n"/>
      <c r="H699" s="382" t="n"/>
      <c r="I699" s="383" t="n"/>
      <c r="J699" s="383" t="n"/>
      <c r="K699" s="383" t="n"/>
      <c r="L699" s="383">
        <f>IF(K699="","",K699*1.1)</f>
        <v/>
      </c>
      <c r="M699" s="384" t="n"/>
      <c r="N699" s="384" t="n"/>
      <c r="O699" s="384" t="n"/>
      <c r="P699" s="384" t="n"/>
      <c r="Q699" s="384" t="n"/>
      <c r="R699" s="384" t="n"/>
      <c r="T699" s="216">
        <f>UPPER(A699&amp;" "&amp;B699&amp;" "&amp;D699&amp;" "&amp;E699&amp;" "&amp;F699&amp;" "&amp;G699&amp;" "&amp;H699)</f>
        <v/>
      </c>
      <c r="U699" s="216">
        <f>IF(AND('TRA CỨU TỔNG HỢP'!$B$3&lt;&gt;"",ISNUMBER(SEARCH('TRA CỨU TỔNG HỢP'!$B$3,T699))),MAX($U$3:U698)+1,"")</f>
        <v/>
      </c>
    </row>
    <row r="700" ht="15" customHeight="1" s="217">
      <c r="A700" s="367" t="n"/>
      <c r="B700" s="368" t="n"/>
      <c r="C700" s="367" t="n"/>
      <c r="D700" s="367" t="n"/>
      <c r="E700" s="367" t="n"/>
      <c r="F700" s="369" t="n"/>
      <c r="G700" s="367" t="n"/>
      <c r="H700" s="370" t="n"/>
      <c r="I700" s="371" t="n"/>
      <c r="J700" s="371" t="n"/>
      <c r="K700" s="371" t="n"/>
      <c r="L700" s="371">
        <f>IF(K700="","",K700*1.1)</f>
        <v/>
      </c>
      <c r="M700" s="372" t="n"/>
      <c r="N700" s="372" t="n"/>
      <c r="O700" s="372" t="n"/>
      <c r="P700" s="372" t="n"/>
      <c r="Q700" s="372" t="n"/>
      <c r="R700" s="372" t="n"/>
      <c r="T700" s="216">
        <f>UPPER(A700&amp;" "&amp;B700&amp;" "&amp;D700&amp;" "&amp;E700&amp;" "&amp;F700&amp;" "&amp;G700&amp;" "&amp;H700)</f>
        <v/>
      </c>
      <c r="U700" s="216">
        <f>IF(AND('TRA CỨU TỔNG HỢP'!$B$3&lt;&gt;"",ISNUMBER(SEARCH('TRA CỨU TỔNG HỢP'!$B$3,T700))),MAX($U$3:U699)+1,"")</f>
        <v/>
      </c>
    </row>
    <row r="701" ht="15" customHeight="1" s="217">
      <c r="A701" s="379" t="n"/>
      <c r="B701" s="380" t="n"/>
      <c r="C701" s="379" t="n"/>
      <c r="D701" s="379" t="n"/>
      <c r="E701" s="379" t="n"/>
      <c r="F701" s="381" t="n"/>
      <c r="G701" s="379" t="n"/>
      <c r="H701" s="382" t="n"/>
      <c r="I701" s="383" t="n"/>
      <c r="J701" s="383" t="n"/>
      <c r="K701" s="383" t="n"/>
      <c r="L701" s="383">
        <f>IF(K701="","",K701*1.1)</f>
        <v/>
      </c>
      <c r="M701" s="384" t="n"/>
      <c r="N701" s="384" t="n"/>
      <c r="O701" s="384" t="n"/>
      <c r="P701" s="384" t="n"/>
      <c r="Q701" s="384" t="n"/>
      <c r="R701" s="384" t="n"/>
      <c r="T701" s="216">
        <f>UPPER(A701&amp;" "&amp;B701&amp;" "&amp;D701&amp;" "&amp;E701&amp;" "&amp;F701&amp;" "&amp;G701&amp;" "&amp;H701)</f>
        <v/>
      </c>
      <c r="U701" s="216">
        <f>IF(AND('TRA CỨU TỔNG HỢP'!$B$3&lt;&gt;"",ISNUMBER(SEARCH('TRA CỨU TỔNG HỢP'!$B$3,T701))),MAX($U$3:U700)+1,"")</f>
        <v/>
      </c>
    </row>
    <row r="702" ht="15" customHeight="1" s="217">
      <c r="A702" s="367" t="n"/>
      <c r="B702" s="368" t="n"/>
      <c r="C702" s="367" t="n"/>
      <c r="D702" s="367" t="n"/>
      <c r="E702" s="367" t="n"/>
      <c r="F702" s="369" t="n"/>
      <c r="G702" s="367" t="n"/>
      <c r="H702" s="370" t="n"/>
      <c r="I702" s="371" t="n"/>
      <c r="J702" s="371" t="n"/>
      <c r="K702" s="371" t="n"/>
      <c r="L702" s="371">
        <f>IF(K702="","",K702*1.1)</f>
        <v/>
      </c>
      <c r="M702" s="372" t="n"/>
      <c r="N702" s="372" t="n"/>
      <c r="O702" s="372" t="n"/>
      <c r="P702" s="372" t="n"/>
      <c r="Q702" s="372" t="n"/>
      <c r="R702" s="372" t="n"/>
      <c r="T702" s="216">
        <f>UPPER(A702&amp;" "&amp;B702&amp;" "&amp;D702&amp;" "&amp;E702&amp;" "&amp;F702&amp;" "&amp;G702&amp;" "&amp;H702)</f>
        <v/>
      </c>
      <c r="U702" s="216">
        <f>IF(AND('TRA CỨU TỔNG HỢP'!$B$3&lt;&gt;"",ISNUMBER(SEARCH('TRA CỨU TỔNG HỢP'!$B$3,T702))),MAX($U$3:U701)+1,"")</f>
        <v/>
      </c>
    </row>
    <row r="703" ht="15" customHeight="1" s="217">
      <c r="A703" s="379" t="n"/>
      <c r="B703" s="380" t="n"/>
      <c r="C703" s="379" t="n"/>
      <c r="D703" s="379" t="n"/>
      <c r="E703" s="379" t="n"/>
      <c r="F703" s="381" t="n"/>
      <c r="G703" s="379" t="n"/>
      <c r="H703" s="382" t="n"/>
      <c r="I703" s="383" t="n"/>
      <c r="J703" s="383" t="n"/>
      <c r="K703" s="383" t="n"/>
      <c r="L703" s="383">
        <f>IF(K703="","",K703*1.1)</f>
        <v/>
      </c>
      <c r="M703" s="384" t="n"/>
      <c r="N703" s="384" t="n"/>
      <c r="O703" s="384" t="n"/>
      <c r="P703" s="384" t="n"/>
      <c r="Q703" s="384" t="n"/>
      <c r="R703" s="384" t="n"/>
      <c r="T703" s="216">
        <f>UPPER(A703&amp;" "&amp;B703&amp;" "&amp;D703&amp;" "&amp;E703&amp;" "&amp;F703&amp;" "&amp;G703&amp;" "&amp;H703)</f>
        <v/>
      </c>
      <c r="U703" s="216">
        <f>IF(AND('TRA CỨU TỔNG HỢP'!$B$3&lt;&gt;"",ISNUMBER(SEARCH('TRA CỨU TỔNG HỢP'!$B$3,T703))),MAX($U$3:U702)+1,"")</f>
        <v/>
      </c>
    </row>
    <row r="704" ht="15" customHeight="1" s="217">
      <c r="A704" s="367" t="n"/>
      <c r="B704" s="368" t="n"/>
      <c r="C704" s="367" t="n"/>
      <c r="D704" s="367" t="n"/>
      <c r="E704" s="367" t="n"/>
      <c r="F704" s="369" t="n"/>
      <c r="G704" s="367" t="n"/>
      <c r="H704" s="370" t="n"/>
      <c r="I704" s="371" t="n"/>
      <c r="J704" s="371" t="n"/>
      <c r="K704" s="371" t="n"/>
      <c r="L704" s="371">
        <f>IF(K704="","",K704*1.1)</f>
        <v/>
      </c>
      <c r="M704" s="372" t="n"/>
      <c r="N704" s="372" t="n"/>
      <c r="O704" s="372" t="n"/>
      <c r="P704" s="372" t="n"/>
      <c r="Q704" s="372" t="n"/>
      <c r="R704" s="372" t="n"/>
      <c r="T704" s="216">
        <f>UPPER(A704&amp;" "&amp;B704&amp;" "&amp;D704&amp;" "&amp;E704&amp;" "&amp;F704&amp;" "&amp;G704&amp;" "&amp;H704)</f>
        <v/>
      </c>
      <c r="U704" s="216">
        <f>IF(AND('TRA CỨU TỔNG HỢP'!$B$3&lt;&gt;"",ISNUMBER(SEARCH('TRA CỨU TỔNG HỢP'!$B$3,T704))),MAX($U$3:U703)+1,"")</f>
        <v/>
      </c>
    </row>
    <row r="705" ht="15" customHeight="1" s="217">
      <c r="A705" s="379" t="n"/>
      <c r="B705" s="380" t="n"/>
      <c r="C705" s="379" t="n"/>
      <c r="D705" s="379" t="n"/>
      <c r="E705" s="379" t="n"/>
      <c r="F705" s="381" t="n"/>
      <c r="G705" s="379" t="n"/>
      <c r="H705" s="382" t="n"/>
      <c r="I705" s="383" t="n"/>
      <c r="J705" s="383" t="n"/>
      <c r="K705" s="383" t="n"/>
      <c r="L705" s="383">
        <f>IF(K705="","",K705*1.1)</f>
        <v/>
      </c>
      <c r="M705" s="384" t="n"/>
      <c r="N705" s="384" t="n"/>
      <c r="O705" s="384" t="n"/>
      <c r="P705" s="384" t="n"/>
      <c r="Q705" s="384" t="n"/>
      <c r="R705" s="384" t="n"/>
      <c r="T705" s="216">
        <f>UPPER(A705&amp;" "&amp;B705&amp;" "&amp;D705&amp;" "&amp;E705&amp;" "&amp;F705&amp;" "&amp;G705&amp;" "&amp;H705)</f>
        <v/>
      </c>
      <c r="U705" s="216">
        <f>IF(AND('TRA CỨU TỔNG HỢP'!$B$3&lt;&gt;"",ISNUMBER(SEARCH('TRA CỨU TỔNG HỢP'!$B$3,T705))),MAX($U$3:U704)+1,"")</f>
        <v/>
      </c>
    </row>
    <row r="706" ht="15" customHeight="1" s="217">
      <c r="A706" s="367" t="n"/>
      <c r="B706" s="368" t="n"/>
      <c r="C706" s="367" t="n"/>
      <c r="D706" s="367" t="n"/>
      <c r="E706" s="367" t="n"/>
      <c r="F706" s="369" t="n"/>
      <c r="G706" s="367" t="n"/>
      <c r="H706" s="370" t="n"/>
      <c r="I706" s="371" t="n"/>
      <c r="J706" s="371" t="n"/>
      <c r="K706" s="371" t="n"/>
      <c r="L706" s="371">
        <f>IF(K706="","",K706*1.1)</f>
        <v/>
      </c>
      <c r="M706" s="372" t="n"/>
      <c r="N706" s="372" t="n"/>
      <c r="O706" s="372" t="n"/>
      <c r="P706" s="372" t="n"/>
      <c r="Q706" s="372" t="n"/>
      <c r="R706" s="372" t="n"/>
      <c r="T706" s="216">
        <f>UPPER(A706&amp;" "&amp;B706&amp;" "&amp;D706&amp;" "&amp;E706&amp;" "&amp;F706&amp;" "&amp;G706&amp;" "&amp;H706)</f>
        <v/>
      </c>
      <c r="U706" s="216">
        <f>IF(AND('TRA CỨU TỔNG HỢP'!$B$3&lt;&gt;"",ISNUMBER(SEARCH('TRA CỨU TỔNG HỢP'!$B$3,T706))),MAX($U$3:U705)+1,"")</f>
        <v/>
      </c>
    </row>
    <row r="707" ht="15" customHeight="1" s="217">
      <c r="A707" s="379" t="n"/>
      <c r="B707" s="380" t="n"/>
      <c r="C707" s="379" t="n"/>
      <c r="D707" s="379" t="n"/>
      <c r="E707" s="379" t="n"/>
      <c r="F707" s="381" t="n"/>
      <c r="G707" s="379" t="n"/>
      <c r="H707" s="382" t="n"/>
      <c r="I707" s="383" t="n"/>
      <c r="J707" s="383" t="n"/>
      <c r="K707" s="383" t="n"/>
      <c r="L707" s="383">
        <f>IF(K707="","",K707*1.1)</f>
        <v/>
      </c>
      <c r="M707" s="384" t="n"/>
      <c r="N707" s="384" t="n"/>
      <c r="O707" s="384" t="n"/>
      <c r="P707" s="384" t="n"/>
      <c r="Q707" s="384" t="n"/>
      <c r="R707" s="384" t="n"/>
      <c r="T707" s="216">
        <f>UPPER(A707&amp;" "&amp;B707&amp;" "&amp;D707&amp;" "&amp;E707&amp;" "&amp;F707&amp;" "&amp;G707&amp;" "&amp;H707)</f>
        <v/>
      </c>
      <c r="U707" s="216">
        <f>IF(AND('TRA CỨU TỔNG HỢP'!$B$3&lt;&gt;"",ISNUMBER(SEARCH('TRA CỨU TỔNG HỢP'!$B$3,T707))),MAX($U$3:U706)+1,"")</f>
        <v/>
      </c>
    </row>
    <row r="708" ht="15" customHeight="1" s="217">
      <c r="A708" s="367" t="n"/>
      <c r="B708" s="368" t="n"/>
      <c r="C708" s="367" t="n"/>
      <c r="D708" s="367" t="n"/>
      <c r="E708" s="367" t="n"/>
      <c r="F708" s="369" t="n"/>
      <c r="G708" s="367" t="n"/>
      <c r="H708" s="370" t="n"/>
      <c r="I708" s="371" t="n"/>
      <c r="J708" s="371" t="n"/>
      <c r="K708" s="371" t="n"/>
      <c r="L708" s="371">
        <f>IF(K708="","",K708*1.1)</f>
        <v/>
      </c>
      <c r="M708" s="372" t="n"/>
      <c r="N708" s="372" t="n"/>
      <c r="O708" s="372" t="n"/>
      <c r="P708" s="372" t="n"/>
      <c r="Q708" s="372" t="n"/>
      <c r="R708" s="372" t="n"/>
      <c r="T708" s="216">
        <f>UPPER(A708&amp;" "&amp;B708&amp;" "&amp;D708&amp;" "&amp;E708&amp;" "&amp;F708&amp;" "&amp;G708&amp;" "&amp;H708)</f>
        <v/>
      </c>
      <c r="U708" s="216">
        <f>IF(AND('TRA CỨU TỔNG HỢP'!$B$3&lt;&gt;"",ISNUMBER(SEARCH('TRA CỨU TỔNG HỢP'!$B$3,T708))),MAX($U$3:U707)+1,"")</f>
        <v/>
      </c>
    </row>
    <row r="709" ht="15" customHeight="1" s="217">
      <c r="A709" s="379" t="n"/>
      <c r="B709" s="380" t="n"/>
      <c r="C709" s="379" t="n"/>
      <c r="D709" s="379" t="n"/>
      <c r="E709" s="379" t="n"/>
      <c r="F709" s="381" t="n"/>
      <c r="G709" s="379" t="n"/>
      <c r="H709" s="382" t="n"/>
      <c r="I709" s="383" t="n"/>
      <c r="J709" s="383" t="n"/>
      <c r="K709" s="383" t="n"/>
      <c r="L709" s="383">
        <f>IF(K709="","",K709*1.1)</f>
        <v/>
      </c>
      <c r="M709" s="384" t="n"/>
      <c r="N709" s="384" t="n"/>
      <c r="O709" s="384" t="n"/>
      <c r="P709" s="384" t="n"/>
      <c r="Q709" s="384" t="n"/>
      <c r="R709" s="384" t="n"/>
      <c r="T709" s="216">
        <f>UPPER(A709&amp;" "&amp;B709&amp;" "&amp;D709&amp;" "&amp;E709&amp;" "&amp;F709&amp;" "&amp;G709&amp;" "&amp;H709)</f>
        <v/>
      </c>
      <c r="U709" s="216">
        <f>IF(AND('TRA CỨU TỔNG HỢP'!$B$3&lt;&gt;"",ISNUMBER(SEARCH('TRA CỨU TỔNG HỢP'!$B$3,T709))),MAX($U$3:U708)+1,"")</f>
        <v/>
      </c>
    </row>
    <row r="710" ht="15" customHeight="1" s="217">
      <c r="A710" s="367" t="n"/>
      <c r="B710" s="368" t="n"/>
      <c r="C710" s="367" t="n"/>
      <c r="D710" s="367" t="n"/>
      <c r="E710" s="367" t="n"/>
      <c r="F710" s="369" t="n"/>
      <c r="G710" s="367" t="n"/>
      <c r="H710" s="370" t="n"/>
      <c r="I710" s="371" t="n"/>
      <c r="J710" s="371" t="n"/>
      <c r="K710" s="371" t="n"/>
      <c r="L710" s="371">
        <f>IF(K710="","",K710*1.1)</f>
        <v/>
      </c>
      <c r="M710" s="372" t="n"/>
      <c r="N710" s="372" t="n"/>
      <c r="O710" s="372" t="n"/>
      <c r="P710" s="372" t="n"/>
      <c r="Q710" s="372" t="n"/>
      <c r="R710" s="372" t="n"/>
      <c r="T710" s="216">
        <f>UPPER(A710&amp;" "&amp;B710&amp;" "&amp;D710&amp;" "&amp;E710&amp;" "&amp;F710&amp;" "&amp;G710&amp;" "&amp;H710)</f>
        <v/>
      </c>
      <c r="U710" s="216">
        <f>IF(AND('TRA CỨU TỔNG HỢP'!$B$3&lt;&gt;"",ISNUMBER(SEARCH('TRA CỨU TỔNG HỢP'!$B$3,T710))),MAX($U$3:U709)+1,"")</f>
        <v/>
      </c>
    </row>
    <row r="711" ht="15" customHeight="1" s="217">
      <c r="A711" s="379" t="n"/>
      <c r="B711" s="380" t="n"/>
      <c r="C711" s="379" t="n"/>
      <c r="D711" s="379" t="n"/>
      <c r="E711" s="379" t="n"/>
      <c r="F711" s="381" t="n"/>
      <c r="G711" s="379" t="n"/>
      <c r="H711" s="382" t="n"/>
      <c r="I711" s="383" t="n"/>
      <c r="J711" s="383" t="n"/>
      <c r="K711" s="383" t="n"/>
      <c r="L711" s="383">
        <f>IF(K711="","",K711*1.1)</f>
        <v/>
      </c>
      <c r="M711" s="384" t="n"/>
      <c r="N711" s="384" t="n"/>
      <c r="O711" s="384" t="n"/>
      <c r="P711" s="384" t="n"/>
      <c r="Q711" s="384" t="n"/>
      <c r="R711" s="384" t="n"/>
      <c r="T711" s="216">
        <f>UPPER(A711&amp;" "&amp;B711&amp;" "&amp;D711&amp;" "&amp;E711&amp;" "&amp;F711&amp;" "&amp;G711&amp;" "&amp;H711)</f>
        <v/>
      </c>
      <c r="U711" s="216">
        <f>IF(AND('TRA CỨU TỔNG HỢP'!$B$3&lt;&gt;"",ISNUMBER(SEARCH('TRA CỨU TỔNG HỢP'!$B$3,T711))),MAX($U$3:U710)+1,"")</f>
        <v/>
      </c>
    </row>
    <row r="712" ht="15" customHeight="1" s="217">
      <c r="A712" s="367" t="n"/>
      <c r="B712" s="368" t="n"/>
      <c r="C712" s="367" t="n"/>
      <c r="D712" s="367" t="n"/>
      <c r="E712" s="367" t="n"/>
      <c r="F712" s="369" t="n"/>
      <c r="G712" s="367" t="n"/>
      <c r="H712" s="370" t="n"/>
      <c r="I712" s="371" t="n"/>
      <c r="J712" s="371" t="n"/>
      <c r="K712" s="371" t="n"/>
      <c r="L712" s="371">
        <f>IF(K712="","",K712*1.1)</f>
        <v/>
      </c>
      <c r="M712" s="372" t="n"/>
      <c r="N712" s="372" t="n"/>
      <c r="O712" s="372" t="n"/>
      <c r="P712" s="372" t="n"/>
      <c r="Q712" s="372" t="n"/>
      <c r="R712" s="372" t="n"/>
      <c r="T712" s="216">
        <f>UPPER(A712&amp;" "&amp;B712&amp;" "&amp;D712&amp;" "&amp;E712&amp;" "&amp;F712&amp;" "&amp;G712&amp;" "&amp;H712)</f>
        <v/>
      </c>
      <c r="U712" s="216">
        <f>IF(AND('TRA CỨU TỔNG HỢP'!$B$3&lt;&gt;"",ISNUMBER(SEARCH('TRA CỨU TỔNG HỢP'!$B$3,T712))),MAX($U$3:U711)+1,"")</f>
        <v/>
      </c>
    </row>
    <row r="713" ht="15" customHeight="1" s="217">
      <c r="A713" s="379" t="n"/>
      <c r="B713" s="380" t="n"/>
      <c r="C713" s="379" t="n"/>
      <c r="D713" s="379" t="n"/>
      <c r="E713" s="379" t="n"/>
      <c r="F713" s="381" t="n"/>
      <c r="G713" s="379" t="n"/>
      <c r="H713" s="382" t="n"/>
      <c r="I713" s="383" t="n"/>
      <c r="J713" s="383" t="n"/>
      <c r="K713" s="383" t="n"/>
      <c r="L713" s="383">
        <f>IF(K713="","",K713*1.1)</f>
        <v/>
      </c>
      <c r="M713" s="384" t="n"/>
      <c r="N713" s="384" t="n"/>
      <c r="O713" s="384" t="n"/>
      <c r="P713" s="384" t="n"/>
      <c r="Q713" s="384" t="n"/>
      <c r="R713" s="384" t="n"/>
      <c r="T713" s="216">
        <f>UPPER(A713&amp;" "&amp;B713&amp;" "&amp;D713&amp;" "&amp;E713&amp;" "&amp;F713&amp;" "&amp;G713&amp;" "&amp;H713)</f>
        <v/>
      </c>
      <c r="U713" s="216">
        <f>IF(AND('TRA CỨU TỔNG HỢP'!$B$3&lt;&gt;"",ISNUMBER(SEARCH('TRA CỨU TỔNG HỢP'!$B$3,T713))),MAX($U$3:U712)+1,"")</f>
        <v/>
      </c>
    </row>
    <row r="714" ht="15" customHeight="1" s="217">
      <c r="A714" s="367" t="n"/>
      <c r="B714" s="368" t="n"/>
      <c r="C714" s="367" t="n"/>
      <c r="D714" s="367" t="n"/>
      <c r="E714" s="367" t="n"/>
      <c r="F714" s="369" t="n"/>
      <c r="G714" s="367" t="n"/>
      <c r="H714" s="370" t="n"/>
      <c r="I714" s="371" t="n"/>
      <c r="J714" s="371" t="n"/>
      <c r="K714" s="371" t="n"/>
      <c r="L714" s="371">
        <f>IF(K714="","",K714*1.1)</f>
        <v/>
      </c>
      <c r="M714" s="372" t="n"/>
      <c r="N714" s="372" t="n"/>
      <c r="O714" s="372" t="n"/>
      <c r="P714" s="372" t="n"/>
      <c r="Q714" s="372" t="n"/>
      <c r="R714" s="372" t="n"/>
      <c r="T714" s="216">
        <f>UPPER(A714&amp;" "&amp;B714&amp;" "&amp;D714&amp;" "&amp;E714&amp;" "&amp;F714&amp;" "&amp;G714&amp;" "&amp;H714)</f>
        <v/>
      </c>
      <c r="U714" s="216">
        <f>IF(AND('TRA CỨU TỔNG HỢP'!$B$3&lt;&gt;"",ISNUMBER(SEARCH('TRA CỨU TỔNG HỢP'!$B$3,T714))),MAX($U$3:U713)+1,"")</f>
        <v/>
      </c>
    </row>
    <row r="715" ht="15" customHeight="1" s="217">
      <c r="A715" s="379" t="n"/>
      <c r="B715" s="380" t="n"/>
      <c r="C715" s="379" t="n"/>
      <c r="D715" s="379" t="n"/>
      <c r="E715" s="379" t="n"/>
      <c r="F715" s="381" t="n"/>
      <c r="G715" s="379" t="n"/>
      <c r="H715" s="382" t="n"/>
      <c r="I715" s="383" t="n"/>
      <c r="J715" s="383" t="n"/>
      <c r="K715" s="383" t="n"/>
      <c r="L715" s="383">
        <f>IF(K715="","",K715*1.1)</f>
        <v/>
      </c>
      <c r="M715" s="384" t="n"/>
      <c r="N715" s="384" t="n"/>
      <c r="O715" s="384" t="n"/>
      <c r="P715" s="384" t="n"/>
      <c r="Q715" s="384" t="n"/>
      <c r="R715" s="384" t="n"/>
      <c r="T715" s="216">
        <f>UPPER(A715&amp;" "&amp;B715&amp;" "&amp;D715&amp;" "&amp;E715&amp;" "&amp;F715&amp;" "&amp;G715&amp;" "&amp;H715)</f>
        <v/>
      </c>
      <c r="U715" s="216">
        <f>IF(AND('TRA CỨU TỔNG HỢP'!$B$3&lt;&gt;"",ISNUMBER(SEARCH('TRA CỨU TỔNG HỢP'!$B$3,T715))),MAX($U$3:U714)+1,"")</f>
        <v/>
      </c>
    </row>
    <row r="716" ht="15" customHeight="1" s="217">
      <c r="A716" s="367" t="n"/>
      <c r="B716" s="368" t="n"/>
      <c r="C716" s="367" t="n"/>
      <c r="D716" s="367" t="n"/>
      <c r="E716" s="367" t="n"/>
      <c r="F716" s="369" t="n"/>
      <c r="G716" s="367" t="n"/>
      <c r="H716" s="370" t="n"/>
      <c r="I716" s="371" t="n"/>
      <c r="J716" s="371" t="n"/>
      <c r="K716" s="371" t="n"/>
      <c r="L716" s="371">
        <f>IF(K716="","",K716*1.1)</f>
        <v/>
      </c>
      <c r="M716" s="372" t="n"/>
      <c r="N716" s="372" t="n"/>
      <c r="O716" s="372" t="n"/>
      <c r="P716" s="372" t="n"/>
      <c r="Q716" s="372" t="n"/>
      <c r="R716" s="372" t="n"/>
      <c r="T716" s="216">
        <f>UPPER(A716&amp;" "&amp;B716&amp;" "&amp;D716&amp;" "&amp;E716&amp;" "&amp;F716&amp;" "&amp;G716&amp;" "&amp;H716)</f>
        <v/>
      </c>
      <c r="U716" s="216">
        <f>IF(AND('TRA CỨU TỔNG HỢP'!$B$3&lt;&gt;"",ISNUMBER(SEARCH('TRA CỨU TỔNG HỢP'!$B$3,T716))),MAX($U$3:U715)+1,"")</f>
        <v/>
      </c>
    </row>
    <row r="717" ht="15" customHeight="1" s="217">
      <c r="A717" s="379" t="n"/>
      <c r="B717" s="380" t="n"/>
      <c r="C717" s="379" t="n"/>
      <c r="D717" s="379" t="n"/>
      <c r="E717" s="379" t="n"/>
      <c r="F717" s="381" t="n"/>
      <c r="G717" s="379" t="n"/>
      <c r="H717" s="382" t="n"/>
      <c r="I717" s="383" t="n"/>
      <c r="J717" s="383" t="n"/>
      <c r="K717" s="383" t="n"/>
      <c r="L717" s="383">
        <f>IF(K717="","",K717*1.1)</f>
        <v/>
      </c>
      <c r="M717" s="384" t="n"/>
      <c r="N717" s="384" t="n"/>
      <c r="O717" s="384" t="n"/>
      <c r="P717" s="384" t="n"/>
      <c r="Q717" s="384" t="n"/>
      <c r="R717" s="384" t="n"/>
      <c r="T717" s="216">
        <f>UPPER(A717&amp;" "&amp;B717&amp;" "&amp;D717&amp;" "&amp;E717&amp;" "&amp;F717&amp;" "&amp;G717&amp;" "&amp;H717)</f>
        <v/>
      </c>
      <c r="U717" s="216">
        <f>IF(AND('TRA CỨU TỔNG HỢP'!$B$3&lt;&gt;"",ISNUMBER(SEARCH('TRA CỨU TỔNG HỢP'!$B$3,T717))),MAX($U$3:U716)+1,"")</f>
        <v/>
      </c>
    </row>
    <row r="718" ht="15" customHeight="1" s="217">
      <c r="A718" s="367" t="n"/>
      <c r="B718" s="368" t="n"/>
      <c r="C718" s="367" t="n"/>
      <c r="D718" s="367" t="n"/>
      <c r="E718" s="367" t="n"/>
      <c r="F718" s="369" t="n"/>
      <c r="G718" s="367" t="n"/>
      <c r="H718" s="370" t="n"/>
      <c r="I718" s="371" t="n"/>
      <c r="J718" s="371" t="n"/>
      <c r="K718" s="371" t="n"/>
      <c r="L718" s="371">
        <f>IF(K718="","",K718*1.1)</f>
        <v/>
      </c>
      <c r="M718" s="372" t="n"/>
      <c r="N718" s="372" t="n"/>
      <c r="O718" s="372" t="n"/>
      <c r="P718" s="372" t="n"/>
      <c r="Q718" s="372" t="n"/>
      <c r="R718" s="372" t="n"/>
      <c r="T718" s="216">
        <f>UPPER(A718&amp;" "&amp;B718&amp;" "&amp;D718&amp;" "&amp;E718&amp;" "&amp;F718&amp;" "&amp;G718&amp;" "&amp;H718)</f>
        <v/>
      </c>
      <c r="U718" s="216">
        <f>IF(AND('TRA CỨU TỔNG HỢP'!$B$3&lt;&gt;"",ISNUMBER(SEARCH('TRA CỨU TỔNG HỢP'!$B$3,T718))),MAX($U$3:U717)+1,"")</f>
        <v/>
      </c>
    </row>
    <row r="719" ht="15" customHeight="1" s="217">
      <c r="A719" s="379" t="n"/>
      <c r="B719" s="380" t="n"/>
      <c r="C719" s="379" t="n"/>
      <c r="D719" s="379" t="n"/>
      <c r="E719" s="379" t="n"/>
      <c r="F719" s="381" t="n"/>
      <c r="G719" s="379" t="n"/>
      <c r="H719" s="382" t="n"/>
      <c r="I719" s="383" t="n"/>
      <c r="J719" s="383" t="n"/>
      <c r="K719" s="383" t="n"/>
      <c r="L719" s="383">
        <f>IF(K719="","",K719*1.1)</f>
        <v/>
      </c>
      <c r="M719" s="384" t="n"/>
      <c r="N719" s="384" t="n"/>
      <c r="O719" s="384" t="n"/>
      <c r="P719" s="384" t="n"/>
      <c r="Q719" s="384" t="n"/>
      <c r="R719" s="384" t="n"/>
      <c r="T719" s="216">
        <f>UPPER(A719&amp;" "&amp;B719&amp;" "&amp;D719&amp;" "&amp;E719&amp;" "&amp;F719&amp;" "&amp;G719&amp;" "&amp;H719)</f>
        <v/>
      </c>
      <c r="U719" s="216">
        <f>IF(AND('TRA CỨU TỔNG HỢP'!$B$3&lt;&gt;"",ISNUMBER(SEARCH('TRA CỨU TỔNG HỢP'!$B$3,T719))),MAX($U$3:U718)+1,"")</f>
        <v/>
      </c>
    </row>
    <row r="720" ht="15" customHeight="1" s="217">
      <c r="A720" s="367" t="n"/>
      <c r="B720" s="368" t="n"/>
      <c r="C720" s="367" t="n"/>
      <c r="D720" s="367" t="n"/>
      <c r="E720" s="367" t="n"/>
      <c r="F720" s="369" t="n"/>
      <c r="G720" s="367" t="n"/>
      <c r="H720" s="370" t="n"/>
      <c r="I720" s="371" t="n"/>
      <c r="J720" s="371" t="n"/>
      <c r="K720" s="371" t="n"/>
      <c r="L720" s="371">
        <f>IF(K720="","",K720*1.1)</f>
        <v/>
      </c>
      <c r="M720" s="372" t="n"/>
      <c r="N720" s="372" t="n"/>
      <c r="O720" s="372" t="n"/>
      <c r="P720" s="372" t="n"/>
      <c r="Q720" s="372" t="n"/>
      <c r="R720" s="372" t="n"/>
      <c r="T720" s="216">
        <f>UPPER(A720&amp;" "&amp;B720&amp;" "&amp;D720&amp;" "&amp;E720&amp;" "&amp;F720&amp;" "&amp;G720&amp;" "&amp;H720)</f>
        <v/>
      </c>
      <c r="U720" s="216">
        <f>IF(AND('TRA CỨU TỔNG HỢP'!$B$3&lt;&gt;"",ISNUMBER(SEARCH('TRA CỨU TỔNG HỢP'!$B$3,T720))),MAX($U$3:U719)+1,"")</f>
        <v/>
      </c>
    </row>
    <row r="721" ht="15" customHeight="1" s="217">
      <c r="A721" s="379" t="n"/>
      <c r="B721" s="380" t="n"/>
      <c r="C721" s="379" t="n"/>
      <c r="D721" s="379" t="n"/>
      <c r="E721" s="379" t="n"/>
      <c r="F721" s="381" t="n"/>
      <c r="G721" s="379" t="n"/>
      <c r="H721" s="382" t="n"/>
      <c r="I721" s="383" t="n"/>
      <c r="J721" s="383" t="n"/>
      <c r="K721" s="383" t="n"/>
      <c r="L721" s="383">
        <f>IF(K721="","",K721*1.1)</f>
        <v/>
      </c>
      <c r="M721" s="384" t="n"/>
      <c r="N721" s="384" t="n"/>
      <c r="O721" s="384" t="n"/>
      <c r="P721" s="384" t="n"/>
      <c r="Q721" s="384" t="n"/>
      <c r="R721" s="384" t="n"/>
      <c r="T721" s="216">
        <f>UPPER(A721&amp;" "&amp;B721&amp;" "&amp;D721&amp;" "&amp;E721&amp;" "&amp;F721&amp;" "&amp;G721&amp;" "&amp;H721)</f>
        <v/>
      </c>
      <c r="U721" s="216">
        <f>IF(AND('TRA CỨU TỔNG HỢP'!$B$3&lt;&gt;"",ISNUMBER(SEARCH('TRA CỨU TỔNG HỢP'!$B$3,T721))),MAX($U$3:U720)+1,"")</f>
        <v/>
      </c>
    </row>
    <row r="722" ht="15" customHeight="1" s="217">
      <c r="A722" s="367" t="n"/>
      <c r="B722" s="368" t="n"/>
      <c r="C722" s="367" t="n"/>
      <c r="D722" s="367" t="n"/>
      <c r="E722" s="367" t="n"/>
      <c r="F722" s="369" t="n"/>
      <c r="G722" s="367" t="n"/>
      <c r="H722" s="370" t="n"/>
      <c r="I722" s="371" t="n"/>
      <c r="J722" s="371" t="n"/>
      <c r="K722" s="371" t="n"/>
      <c r="L722" s="371">
        <f>IF(K722="","",K722*1.1)</f>
        <v/>
      </c>
      <c r="M722" s="372" t="n"/>
      <c r="N722" s="372" t="n"/>
      <c r="O722" s="372" t="n"/>
      <c r="P722" s="372" t="n"/>
      <c r="Q722" s="372" t="n"/>
      <c r="R722" s="372" t="n"/>
      <c r="T722" s="216">
        <f>UPPER(A722&amp;" "&amp;B722&amp;" "&amp;D722&amp;" "&amp;E722&amp;" "&amp;F722&amp;" "&amp;G722&amp;" "&amp;H722)</f>
        <v/>
      </c>
      <c r="U722" s="216">
        <f>IF(AND('TRA CỨU TỔNG HỢP'!$B$3&lt;&gt;"",ISNUMBER(SEARCH('TRA CỨU TỔNG HỢP'!$B$3,T722))),MAX($U$3:U721)+1,"")</f>
        <v/>
      </c>
    </row>
    <row r="723" ht="15" customHeight="1" s="217">
      <c r="A723" s="379" t="n"/>
      <c r="B723" s="380" t="n"/>
      <c r="C723" s="379" t="n"/>
      <c r="D723" s="379" t="n"/>
      <c r="E723" s="379" t="n"/>
      <c r="F723" s="381" t="n"/>
      <c r="G723" s="379" t="n"/>
      <c r="H723" s="382" t="n"/>
      <c r="I723" s="383" t="n"/>
      <c r="J723" s="383" t="n"/>
      <c r="K723" s="383" t="n"/>
      <c r="L723" s="383">
        <f>IF(K723="","",K723*1.1)</f>
        <v/>
      </c>
      <c r="M723" s="384" t="n"/>
      <c r="N723" s="384" t="n"/>
      <c r="O723" s="384" t="n"/>
      <c r="P723" s="384" t="n"/>
      <c r="Q723" s="384" t="n"/>
      <c r="R723" s="384" t="n"/>
      <c r="T723" s="216">
        <f>UPPER(A723&amp;" "&amp;B723&amp;" "&amp;D723&amp;" "&amp;E723&amp;" "&amp;F723&amp;" "&amp;G723&amp;" "&amp;H723)</f>
        <v/>
      </c>
      <c r="U723" s="216">
        <f>IF(AND('TRA CỨU TỔNG HỢP'!$B$3&lt;&gt;"",ISNUMBER(SEARCH('TRA CỨU TỔNG HỢP'!$B$3,T723))),MAX($U$3:U722)+1,"")</f>
        <v/>
      </c>
    </row>
    <row r="724" ht="15" customHeight="1" s="217">
      <c r="A724" s="367" t="n"/>
      <c r="B724" s="368" t="n"/>
      <c r="C724" s="367" t="n"/>
      <c r="D724" s="367" t="n"/>
      <c r="E724" s="367" t="n"/>
      <c r="F724" s="369" t="n"/>
      <c r="G724" s="367" t="n"/>
      <c r="H724" s="370" t="n"/>
      <c r="I724" s="371" t="n"/>
      <c r="J724" s="371" t="n"/>
      <c r="K724" s="371" t="n"/>
      <c r="L724" s="371">
        <f>IF(K724="","",K724*1.1)</f>
        <v/>
      </c>
      <c r="M724" s="372" t="n"/>
      <c r="N724" s="372" t="n"/>
      <c r="O724" s="372" t="n"/>
      <c r="P724" s="372" t="n"/>
      <c r="Q724" s="372" t="n"/>
      <c r="R724" s="372" t="n"/>
      <c r="T724" s="216">
        <f>UPPER(A724&amp;" "&amp;B724&amp;" "&amp;D724&amp;" "&amp;E724&amp;" "&amp;F724&amp;" "&amp;G724&amp;" "&amp;H724)</f>
        <v/>
      </c>
      <c r="U724" s="216">
        <f>IF(AND('TRA CỨU TỔNG HỢP'!$B$3&lt;&gt;"",ISNUMBER(SEARCH('TRA CỨU TỔNG HỢP'!$B$3,T724))),MAX($U$3:U723)+1,"")</f>
        <v/>
      </c>
    </row>
    <row r="725" ht="15" customHeight="1" s="217">
      <c r="A725" s="379" t="n"/>
      <c r="B725" s="380" t="n"/>
      <c r="C725" s="379" t="n"/>
      <c r="D725" s="379" t="n"/>
      <c r="E725" s="379" t="n"/>
      <c r="F725" s="381" t="n"/>
      <c r="G725" s="379" t="n"/>
      <c r="H725" s="382" t="n"/>
      <c r="I725" s="383" t="n"/>
      <c r="J725" s="383" t="n"/>
      <c r="K725" s="383" t="n"/>
      <c r="L725" s="383">
        <f>IF(K725="","",K725*1.1)</f>
        <v/>
      </c>
      <c r="M725" s="384" t="n"/>
      <c r="N725" s="384" t="n"/>
      <c r="O725" s="384" t="n"/>
      <c r="P725" s="384" t="n"/>
      <c r="Q725" s="384" t="n"/>
      <c r="R725" s="384" t="n"/>
      <c r="T725" s="216">
        <f>UPPER(A725&amp;" "&amp;B725&amp;" "&amp;D725&amp;" "&amp;E725&amp;" "&amp;F725&amp;" "&amp;G725&amp;" "&amp;H725)</f>
        <v/>
      </c>
      <c r="U725" s="216">
        <f>IF(AND('TRA CỨU TỔNG HỢP'!$B$3&lt;&gt;"",ISNUMBER(SEARCH('TRA CỨU TỔNG HỢP'!$B$3,T725))),MAX($U$3:U724)+1,"")</f>
        <v/>
      </c>
    </row>
    <row r="726" ht="15" customHeight="1" s="217">
      <c r="A726" s="367" t="n"/>
      <c r="B726" s="368" t="n"/>
      <c r="C726" s="367" t="n"/>
      <c r="D726" s="367" t="n"/>
      <c r="E726" s="367" t="n"/>
      <c r="F726" s="369" t="n"/>
      <c r="G726" s="367" t="n"/>
      <c r="H726" s="370" t="n"/>
      <c r="I726" s="371" t="n"/>
      <c r="J726" s="371" t="n"/>
      <c r="K726" s="371" t="n"/>
      <c r="L726" s="371">
        <f>IF(K726="","",K726*1.1)</f>
        <v/>
      </c>
      <c r="M726" s="372" t="n"/>
      <c r="N726" s="372" t="n"/>
      <c r="O726" s="372" t="n"/>
      <c r="P726" s="372" t="n"/>
      <c r="Q726" s="372" t="n"/>
      <c r="R726" s="372" t="n"/>
      <c r="T726" s="216">
        <f>UPPER(A726&amp;" "&amp;B726&amp;" "&amp;D726&amp;" "&amp;E726&amp;" "&amp;F726&amp;" "&amp;G726&amp;" "&amp;H726)</f>
        <v/>
      </c>
      <c r="U726" s="216">
        <f>IF(AND('TRA CỨU TỔNG HỢP'!$B$3&lt;&gt;"",ISNUMBER(SEARCH('TRA CỨU TỔNG HỢP'!$B$3,T726))),MAX($U$3:U725)+1,"")</f>
        <v/>
      </c>
    </row>
    <row r="727" ht="15" customHeight="1" s="217">
      <c r="A727" s="379" t="n"/>
      <c r="B727" s="380" t="n"/>
      <c r="C727" s="379" t="n"/>
      <c r="D727" s="379" t="n"/>
      <c r="E727" s="379" t="n"/>
      <c r="F727" s="381" t="n"/>
      <c r="G727" s="379" t="n"/>
      <c r="H727" s="382" t="n"/>
      <c r="I727" s="383" t="n"/>
      <c r="J727" s="383" t="n"/>
      <c r="K727" s="383" t="n"/>
      <c r="L727" s="383">
        <f>IF(K727="","",K727*1.1)</f>
        <v/>
      </c>
      <c r="M727" s="384" t="n"/>
      <c r="N727" s="384" t="n"/>
      <c r="O727" s="384" t="n"/>
      <c r="P727" s="384" t="n"/>
      <c r="Q727" s="384" t="n"/>
      <c r="R727" s="384" t="n"/>
      <c r="T727" s="216">
        <f>UPPER(A727&amp;" "&amp;B727&amp;" "&amp;D727&amp;" "&amp;E727&amp;" "&amp;F727&amp;" "&amp;G727&amp;" "&amp;H727)</f>
        <v/>
      </c>
      <c r="U727" s="216">
        <f>IF(AND('TRA CỨU TỔNG HỢP'!$B$3&lt;&gt;"",ISNUMBER(SEARCH('TRA CỨU TỔNG HỢP'!$B$3,T727))),MAX($U$3:U726)+1,"")</f>
        <v/>
      </c>
    </row>
    <row r="728" ht="15" customHeight="1" s="217">
      <c r="A728" s="367" t="n"/>
      <c r="B728" s="368" t="n"/>
      <c r="C728" s="367" t="n"/>
      <c r="D728" s="367" t="n"/>
      <c r="E728" s="367" t="n"/>
      <c r="F728" s="369" t="n"/>
      <c r="G728" s="367" t="n"/>
      <c r="H728" s="370" t="n"/>
      <c r="I728" s="371" t="n"/>
      <c r="J728" s="371" t="n"/>
      <c r="K728" s="371" t="n"/>
      <c r="L728" s="371">
        <f>IF(K728="","",K728*1.1)</f>
        <v/>
      </c>
      <c r="M728" s="372" t="n"/>
      <c r="N728" s="372" t="n"/>
      <c r="O728" s="372" t="n"/>
      <c r="P728" s="372" t="n"/>
      <c r="Q728" s="372" t="n"/>
      <c r="R728" s="372" t="n"/>
      <c r="T728" s="216">
        <f>UPPER(A728&amp;" "&amp;B728&amp;" "&amp;D728&amp;" "&amp;E728&amp;" "&amp;F728&amp;" "&amp;G728&amp;" "&amp;H728)</f>
        <v/>
      </c>
      <c r="U728" s="216">
        <f>IF(AND('TRA CỨU TỔNG HỢP'!$B$3&lt;&gt;"",ISNUMBER(SEARCH('TRA CỨU TỔNG HỢP'!$B$3,T728))),MAX($U$3:U727)+1,"")</f>
        <v/>
      </c>
    </row>
    <row r="729" ht="15" customHeight="1" s="217">
      <c r="A729" s="379" t="n"/>
      <c r="B729" s="380" t="n"/>
      <c r="C729" s="379" t="n"/>
      <c r="D729" s="379" t="n"/>
      <c r="E729" s="379" t="n"/>
      <c r="F729" s="381" t="n"/>
      <c r="G729" s="379" t="n"/>
      <c r="H729" s="382" t="n"/>
      <c r="I729" s="383" t="n"/>
      <c r="J729" s="383" t="n"/>
      <c r="K729" s="383" t="n"/>
      <c r="L729" s="383">
        <f>IF(K729="","",K729*1.1)</f>
        <v/>
      </c>
      <c r="M729" s="384" t="n"/>
      <c r="N729" s="384" t="n"/>
      <c r="O729" s="384" t="n"/>
      <c r="P729" s="384" t="n"/>
      <c r="Q729" s="384" t="n"/>
      <c r="R729" s="384" t="n"/>
      <c r="T729" s="216">
        <f>UPPER(A729&amp;" "&amp;B729&amp;" "&amp;D729&amp;" "&amp;E729&amp;" "&amp;F729&amp;" "&amp;G729&amp;" "&amp;H729)</f>
        <v/>
      </c>
      <c r="U729" s="216">
        <f>IF(AND('TRA CỨU TỔNG HỢP'!$B$3&lt;&gt;"",ISNUMBER(SEARCH('TRA CỨU TỔNG HỢP'!$B$3,T729))),MAX($U$3:U728)+1,"")</f>
        <v/>
      </c>
    </row>
    <row r="730" ht="15" customHeight="1" s="217">
      <c r="A730" s="367" t="n"/>
      <c r="B730" s="368" t="n"/>
      <c r="C730" s="367" t="n"/>
      <c r="D730" s="367" t="n"/>
      <c r="E730" s="367" t="n"/>
      <c r="F730" s="369" t="n"/>
      <c r="G730" s="367" t="n"/>
      <c r="H730" s="370" t="n"/>
      <c r="I730" s="371" t="n"/>
      <c r="J730" s="371" t="n"/>
      <c r="K730" s="371" t="n"/>
      <c r="L730" s="371">
        <f>IF(K730="","",K730*1.1)</f>
        <v/>
      </c>
      <c r="M730" s="372" t="n"/>
      <c r="N730" s="372" t="n"/>
      <c r="O730" s="372" t="n"/>
      <c r="P730" s="372" t="n"/>
      <c r="Q730" s="372" t="n"/>
      <c r="R730" s="372" t="n"/>
      <c r="T730" s="216">
        <f>UPPER(A730&amp;" "&amp;B730&amp;" "&amp;D730&amp;" "&amp;E730&amp;" "&amp;F730&amp;" "&amp;G730&amp;" "&amp;H730)</f>
        <v/>
      </c>
      <c r="U730" s="216">
        <f>IF(AND('TRA CỨU TỔNG HỢP'!$B$3&lt;&gt;"",ISNUMBER(SEARCH('TRA CỨU TỔNG HỢP'!$B$3,T730))),MAX($U$3:U729)+1,"")</f>
        <v/>
      </c>
    </row>
    <row r="731" ht="15" customHeight="1" s="217">
      <c r="A731" s="379" t="n"/>
      <c r="B731" s="380" t="n"/>
      <c r="C731" s="379" t="n"/>
      <c r="D731" s="379" t="n"/>
      <c r="E731" s="379" t="n"/>
      <c r="F731" s="381" t="n"/>
      <c r="G731" s="379" t="n"/>
      <c r="H731" s="382" t="n"/>
      <c r="I731" s="383" t="n"/>
      <c r="J731" s="383" t="n"/>
      <c r="K731" s="383" t="n"/>
      <c r="L731" s="383">
        <f>IF(K731="","",K731*1.1)</f>
        <v/>
      </c>
      <c r="M731" s="384" t="n"/>
      <c r="N731" s="384" t="n"/>
      <c r="O731" s="384" t="n"/>
      <c r="P731" s="384" t="n"/>
      <c r="Q731" s="384" t="n"/>
      <c r="R731" s="384" t="n"/>
      <c r="T731" s="216">
        <f>UPPER(A731&amp;" "&amp;B731&amp;" "&amp;D731&amp;" "&amp;E731&amp;" "&amp;F731&amp;" "&amp;G731&amp;" "&amp;H731)</f>
        <v/>
      </c>
      <c r="U731" s="216">
        <f>IF(AND('TRA CỨU TỔNG HỢP'!$B$3&lt;&gt;"",ISNUMBER(SEARCH('TRA CỨU TỔNG HỢP'!$B$3,T731))),MAX($U$3:U730)+1,"")</f>
        <v/>
      </c>
    </row>
    <row r="732" ht="15" customHeight="1" s="217">
      <c r="A732" s="367" t="n"/>
      <c r="B732" s="368" t="n"/>
      <c r="C732" s="367" t="n"/>
      <c r="D732" s="367" t="n"/>
      <c r="E732" s="367" t="n"/>
      <c r="F732" s="369" t="n"/>
      <c r="G732" s="367" t="n"/>
      <c r="H732" s="370" t="n"/>
      <c r="I732" s="371" t="n"/>
      <c r="J732" s="371" t="n"/>
      <c r="K732" s="371" t="n"/>
      <c r="L732" s="371">
        <f>IF(K732="","",K732*1.1)</f>
        <v/>
      </c>
      <c r="M732" s="372" t="n"/>
      <c r="N732" s="372" t="n"/>
      <c r="O732" s="372" t="n"/>
      <c r="P732" s="372" t="n"/>
      <c r="Q732" s="372" t="n"/>
      <c r="R732" s="372" t="n"/>
      <c r="T732" s="216">
        <f>UPPER(A732&amp;" "&amp;B732&amp;" "&amp;D732&amp;" "&amp;E732&amp;" "&amp;F732&amp;" "&amp;G732&amp;" "&amp;H732)</f>
        <v/>
      </c>
      <c r="U732" s="216">
        <f>IF(AND('TRA CỨU TỔNG HỢP'!$B$3&lt;&gt;"",ISNUMBER(SEARCH('TRA CỨU TỔNG HỢP'!$B$3,T732))),MAX($U$3:U731)+1,"")</f>
        <v/>
      </c>
    </row>
    <row r="733" ht="15" customHeight="1" s="217">
      <c r="A733" s="379" t="n"/>
      <c r="B733" s="380" t="n"/>
      <c r="C733" s="379" t="n"/>
      <c r="D733" s="379" t="n"/>
      <c r="E733" s="379" t="n"/>
      <c r="F733" s="381" t="n"/>
      <c r="G733" s="379" t="n"/>
      <c r="H733" s="382" t="n"/>
      <c r="I733" s="383" t="n"/>
      <c r="J733" s="383" t="n"/>
      <c r="K733" s="383" t="n"/>
      <c r="L733" s="383">
        <f>IF(K733="","",K733*1.1)</f>
        <v/>
      </c>
      <c r="M733" s="384" t="n"/>
      <c r="N733" s="384" t="n"/>
      <c r="O733" s="384" t="n"/>
      <c r="P733" s="384" t="n"/>
      <c r="Q733" s="384" t="n"/>
      <c r="R733" s="384" t="n"/>
      <c r="T733" s="216">
        <f>UPPER(A733&amp;" "&amp;B733&amp;" "&amp;D733&amp;" "&amp;E733&amp;" "&amp;F733&amp;" "&amp;G733&amp;" "&amp;H733)</f>
        <v/>
      </c>
      <c r="U733" s="216">
        <f>IF(AND('TRA CỨU TỔNG HỢP'!$B$3&lt;&gt;"",ISNUMBER(SEARCH('TRA CỨU TỔNG HỢP'!$B$3,T733))),MAX($U$3:U732)+1,"")</f>
        <v/>
      </c>
    </row>
    <row r="734" ht="15" customHeight="1" s="217">
      <c r="A734" s="367" t="n"/>
      <c r="B734" s="368" t="n"/>
      <c r="C734" s="367" t="n"/>
      <c r="D734" s="367" t="n"/>
      <c r="E734" s="367" t="n"/>
      <c r="F734" s="369" t="n"/>
      <c r="G734" s="367" t="n"/>
      <c r="H734" s="370" t="n"/>
      <c r="I734" s="371" t="n"/>
      <c r="J734" s="371" t="n"/>
      <c r="K734" s="371" t="n"/>
      <c r="L734" s="371">
        <f>IF(K734="","",K734*1.1)</f>
        <v/>
      </c>
      <c r="M734" s="372" t="n"/>
      <c r="N734" s="372" t="n"/>
      <c r="O734" s="372" t="n"/>
      <c r="P734" s="372" t="n"/>
      <c r="Q734" s="372" t="n"/>
      <c r="R734" s="372" t="n"/>
      <c r="T734" s="216">
        <f>UPPER(A734&amp;" "&amp;B734&amp;" "&amp;D734&amp;" "&amp;E734&amp;" "&amp;F734&amp;" "&amp;G734&amp;" "&amp;H734)</f>
        <v/>
      </c>
      <c r="U734" s="216">
        <f>IF(AND('TRA CỨU TỔNG HỢP'!$B$3&lt;&gt;"",ISNUMBER(SEARCH('TRA CỨU TỔNG HỢP'!$B$3,T734))),MAX($U$3:U733)+1,"")</f>
        <v/>
      </c>
    </row>
    <row r="735" ht="15" customHeight="1" s="217">
      <c r="A735" s="379" t="n"/>
      <c r="B735" s="380" t="n"/>
      <c r="C735" s="379" t="n"/>
      <c r="D735" s="379" t="n"/>
      <c r="E735" s="379" t="n"/>
      <c r="F735" s="381" t="n"/>
      <c r="G735" s="379" t="n"/>
      <c r="H735" s="382" t="n"/>
      <c r="I735" s="383" t="n"/>
      <c r="J735" s="383" t="n"/>
      <c r="K735" s="383" t="n"/>
      <c r="L735" s="383">
        <f>IF(K735="","",K735*1.1)</f>
        <v/>
      </c>
      <c r="M735" s="384" t="n"/>
      <c r="N735" s="384" t="n"/>
      <c r="O735" s="384" t="n"/>
      <c r="P735" s="384" t="n"/>
      <c r="Q735" s="384" t="n"/>
      <c r="R735" s="384" t="n"/>
      <c r="T735" s="216">
        <f>UPPER(A735&amp;" "&amp;B735&amp;" "&amp;D735&amp;" "&amp;E735&amp;" "&amp;F735&amp;" "&amp;G735&amp;" "&amp;H735)</f>
        <v/>
      </c>
      <c r="U735" s="216">
        <f>IF(AND('TRA CỨU TỔNG HỢP'!$B$3&lt;&gt;"",ISNUMBER(SEARCH('TRA CỨU TỔNG HỢP'!$B$3,T735))),MAX($U$3:U734)+1,"")</f>
        <v/>
      </c>
    </row>
    <row r="736" ht="15" customHeight="1" s="217">
      <c r="A736" s="367" t="n"/>
      <c r="B736" s="368" t="n"/>
      <c r="C736" s="367" t="n"/>
      <c r="D736" s="367" t="n"/>
      <c r="E736" s="367" t="n"/>
      <c r="F736" s="369" t="n"/>
      <c r="G736" s="367" t="n"/>
      <c r="H736" s="370" t="n"/>
      <c r="I736" s="371" t="n"/>
      <c r="J736" s="371" t="n"/>
      <c r="K736" s="371" t="n"/>
      <c r="L736" s="371">
        <f>IF(K736="","",K736*1.1)</f>
        <v/>
      </c>
      <c r="M736" s="372" t="n"/>
      <c r="N736" s="372" t="n"/>
      <c r="O736" s="372" t="n"/>
      <c r="P736" s="372" t="n"/>
      <c r="Q736" s="372" t="n"/>
      <c r="R736" s="372" t="n"/>
      <c r="T736" s="216">
        <f>UPPER(A736&amp;" "&amp;B736&amp;" "&amp;D736&amp;" "&amp;E736&amp;" "&amp;F736&amp;" "&amp;G736&amp;" "&amp;H736)</f>
        <v/>
      </c>
      <c r="U736" s="216">
        <f>IF(AND('TRA CỨU TỔNG HỢP'!$B$3&lt;&gt;"",ISNUMBER(SEARCH('TRA CỨU TỔNG HỢP'!$B$3,T736))),MAX($U$3:U735)+1,"")</f>
        <v/>
      </c>
    </row>
    <row r="737" ht="15" customHeight="1" s="217">
      <c r="A737" s="379" t="n"/>
      <c r="B737" s="380" t="n"/>
      <c r="C737" s="379" t="n"/>
      <c r="D737" s="379" t="n"/>
      <c r="E737" s="379" t="n"/>
      <c r="F737" s="381" t="n"/>
      <c r="G737" s="379" t="n"/>
      <c r="H737" s="382" t="n"/>
      <c r="I737" s="383" t="n"/>
      <c r="J737" s="383" t="n"/>
      <c r="K737" s="383" t="n"/>
      <c r="L737" s="383">
        <f>IF(K737="","",K737*1.1)</f>
        <v/>
      </c>
      <c r="M737" s="384" t="n"/>
      <c r="N737" s="384" t="n"/>
      <c r="O737" s="384" t="n"/>
      <c r="P737" s="384" t="n"/>
      <c r="Q737" s="384" t="n"/>
      <c r="R737" s="384" t="n"/>
      <c r="T737" s="216">
        <f>UPPER(A737&amp;" "&amp;B737&amp;" "&amp;D737&amp;" "&amp;E737&amp;" "&amp;F737&amp;" "&amp;G737&amp;" "&amp;H737)</f>
        <v/>
      </c>
      <c r="U737" s="216">
        <f>IF(AND('TRA CỨU TỔNG HỢP'!$B$3&lt;&gt;"",ISNUMBER(SEARCH('TRA CỨU TỔNG HỢP'!$B$3,T737))),MAX($U$3:U736)+1,"")</f>
        <v/>
      </c>
    </row>
    <row r="738" ht="15" customHeight="1" s="217">
      <c r="A738" s="367" t="n"/>
      <c r="B738" s="368" t="n"/>
      <c r="C738" s="367" t="n"/>
      <c r="D738" s="367" t="n"/>
      <c r="E738" s="367" t="n"/>
      <c r="F738" s="369" t="n"/>
      <c r="G738" s="367" t="n"/>
      <c r="H738" s="370" t="n"/>
      <c r="I738" s="371" t="n"/>
      <c r="J738" s="371" t="n"/>
      <c r="K738" s="371" t="n"/>
      <c r="L738" s="371">
        <f>IF(K738="","",K738*1.1)</f>
        <v/>
      </c>
      <c r="M738" s="372" t="n"/>
      <c r="N738" s="372" t="n"/>
      <c r="O738" s="372" t="n"/>
      <c r="P738" s="372" t="n"/>
      <c r="Q738" s="372" t="n"/>
      <c r="R738" s="372" t="n"/>
      <c r="T738" s="216">
        <f>UPPER(A738&amp;" "&amp;B738&amp;" "&amp;D738&amp;" "&amp;E738&amp;" "&amp;F738&amp;" "&amp;G738&amp;" "&amp;H738)</f>
        <v/>
      </c>
      <c r="U738" s="216">
        <f>IF(AND('TRA CỨU TỔNG HỢP'!$B$3&lt;&gt;"",ISNUMBER(SEARCH('TRA CỨU TỔNG HỢP'!$B$3,T738))),MAX($U$3:U737)+1,"")</f>
        <v/>
      </c>
    </row>
    <row r="739" ht="15" customHeight="1" s="217">
      <c r="A739" s="379" t="n"/>
      <c r="B739" s="380" t="n"/>
      <c r="C739" s="379" t="n"/>
      <c r="D739" s="379" t="n"/>
      <c r="E739" s="379" t="n"/>
      <c r="F739" s="381" t="n"/>
      <c r="G739" s="379" t="n"/>
      <c r="H739" s="382" t="n"/>
      <c r="I739" s="383" t="n"/>
      <c r="J739" s="383" t="n"/>
      <c r="K739" s="383" t="n"/>
      <c r="L739" s="383">
        <f>IF(K739="","",K739*1.1)</f>
        <v/>
      </c>
      <c r="M739" s="384" t="n"/>
      <c r="N739" s="384" t="n"/>
      <c r="O739" s="384" t="n"/>
      <c r="P739" s="384" t="n"/>
      <c r="Q739" s="384" t="n"/>
      <c r="R739" s="384" t="n"/>
      <c r="T739" s="216">
        <f>UPPER(A739&amp;" "&amp;B739&amp;" "&amp;D739&amp;" "&amp;E739&amp;" "&amp;F739&amp;" "&amp;G739&amp;" "&amp;H739)</f>
        <v/>
      </c>
      <c r="U739" s="216">
        <f>IF(AND('TRA CỨU TỔNG HỢP'!$B$3&lt;&gt;"",ISNUMBER(SEARCH('TRA CỨU TỔNG HỢP'!$B$3,T739))),MAX($U$3:U738)+1,"")</f>
        <v/>
      </c>
    </row>
    <row r="740" ht="15" customHeight="1" s="217">
      <c r="A740" s="367" t="n"/>
      <c r="B740" s="368" t="n"/>
      <c r="C740" s="367" t="n"/>
      <c r="D740" s="367" t="n"/>
      <c r="E740" s="367" t="n"/>
      <c r="F740" s="369" t="n"/>
      <c r="G740" s="367" t="n"/>
      <c r="H740" s="370" t="n"/>
      <c r="I740" s="371" t="n"/>
      <c r="J740" s="371" t="n"/>
      <c r="K740" s="371" t="n"/>
      <c r="L740" s="371">
        <f>IF(K740="","",K740*1.1)</f>
        <v/>
      </c>
      <c r="M740" s="372" t="n"/>
      <c r="N740" s="372" t="n"/>
      <c r="O740" s="372" t="n"/>
      <c r="P740" s="372" t="n"/>
      <c r="Q740" s="372" t="n"/>
      <c r="R740" s="372" t="n"/>
      <c r="T740" s="216">
        <f>UPPER(A740&amp;" "&amp;B740&amp;" "&amp;D740&amp;" "&amp;E740&amp;" "&amp;F740&amp;" "&amp;G740&amp;" "&amp;H740)</f>
        <v/>
      </c>
      <c r="U740" s="216">
        <f>IF(AND('TRA CỨU TỔNG HỢP'!$B$3&lt;&gt;"",ISNUMBER(SEARCH('TRA CỨU TỔNG HỢP'!$B$3,T740))),MAX($U$3:U739)+1,"")</f>
        <v/>
      </c>
    </row>
    <row r="741" ht="15" customHeight="1" s="217">
      <c r="A741" s="379" t="n"/>
      <c r="B741" s="380" t="n"/>
      <c r="C741" s="379" t="n"/>
      <c r="D741" s="379" t="n"/>
      <c r="E741" s="379" t="n"/>
      <c r="F741" s="381" t="n"/>
      <c r="G741" s="379" t="n"/>
      <c r="H741" s="382" t="n"/>
      <c r="I741" s="383" t="n"/>
      <c r="J741" s="383" t="n"/>
      <c r="K741" s="383" t="n"/>
      <c r="L741" s="383">
        <f>IF(K741="","",K741*1.1)</f>
        <v/>
      </c>
      <c r="M741" s="384" t="n"/>
      <c r="N741" s="384" t="n"/>
      <c r="O741" s="384" t="n"/>
      <c r="P741" s="384" t="n"/>
      <c r="Q741" s="384" t="n"/>
      <c r="R741" s="384" t="n"/>
      <c r="T741" s="216">
        <f>UPPER(A741&amp;" "&amp;B741&amp;" "&amp;D741&amp;" "&amp;E741&amp;" "&amp;F741&amp;" "&amp;G741&amp;" "&amp;H741)</f>
        <v/>
      </c>
      <c r="U741" s="216">
        <f>IF(AND('TRA CỨU TỔNG HỢP'!$B$3&lt;&gt;"",ISNUMBER(SEARCH('TRA CỨU TỔNG HỢP'!$B$3,T741))),MAX($U$3:U740)+1,"")</f>
        <v/>
      </c>
    </row>
    <row r="742" ht="15" customHeight="1" s="217">
      <c r="A742" s="367" t="n"/>
      <c r="B742" s="368" t="n"/>
      <c r="C742" s="367" t="n"/>
      <c r="D742" s="367" t="n"/>
      <c r="E742" s="367" t="n"/>
      <c r="F742" s="369" t="n"/>
      <c r="G742" s="367" t="n"/>
      <c r="H742" s="370" t="n"/>
      <c r="I742" s="371" t="n"/>
      <c r="J742" s="371" t="n"/>
      <c r="K742" s="371" t="n"/>
      <c r="L742" s="371">
        <f>IF(K742="","",K742*1.1)</f>
        <v/>
      </c>
      <c r="M742" s="372" t="n"/>
      <c r="N742" s="372" t="n"/>
      <c r="O742" s="372" t="n"/>
      <c r="P742" s="372" t="n"/>
      <c r="Q742" s="372" t="n"/>
      <c r="R742" s="372" t="n"/>
      <c r="T742" s="216">
        <f>UPPER(A742&amp;" "&amp;B742&amp;" "&amp;D742&amp;" "&amp;E742&amp;" "&amp;F742&amp;" "&amp;G742&amp;" "&amp;H742)</f>
        <v/>
      </c>
      <c r="U742" s="216">
        <f>IF(AND('TRA CỨU TỔNG HỢP'!$B$3&lt;&gt;"",ISNUMBER(SEARCH('TRA CỨU TỔNG HỢP'!$B$3,T742))),MAX($U$3:U741)+1,"")</f>
        <v/>
      </c>
    </row>
    <row r="743" ht="15" customHeight="1" s="217">
      <c r="A743" s="379" t="n"/>
      <c r="B743" s="380" t="n"/>
      <c r="C743" s="379" t="n"/>
      <c r="D743" s="379" t="n"/>
      <c r="E743" s="379" t="n"/>
      <c r="F743" s="381" t="n"/>
      <c r="G743" s="379" t="n"/>
      <c r="H743" s="382" t="n"/>
      <c r="I743" s="383" t="n"/>
      <c r="J743" s="383" t="n"/>
      <c r="K743" s="383" t="n"/>
      <c r="L743" s="383">
        <f>IF(K743="","",K743*1.1)</f>
        <v/>
      </c>
      <c r="M743" s="384" t="n"/>
      <c r="N743" s="384" t="n"/>
      <c r="O743" s="384" t="n"/>
      <c r="P743" s="384" t="n"/>
      <c r="Q743" s="384" t="n"/>
      <c r="R743" s="384" t="n"/>
      <c r="T743" s="216">
        <f>UPPER(A743&amp;" "&amp;B743&amp;" "&amp;D743&amp;" "&amp;E743&amp;" "&amp;F743&amp;" "&amp;G743&amp;" "&amp;H743)</f>
        <v/>
      </c>
      <c r="U743" s="216">
        <f>IF(AND('TRA CỨU TỔNG HỢP'!$B$3&lt;&gt;"",ISNUMBER(SEARCH('TRA CỨU TỔNG HỢP'!$B$3,T743))),MAX($U$3:U742)+1,"")</f>
        <v/>
      </c>
    </row>
    <row r="744" ht="15" customHeight="1" s="217">
      <c r="A744" s="367" t="n"/>
      <c r="B744" s="368" t="n"/>
      <c r="C744" s="367" t="n"/>
      <c r="D744" s="367" t="n"/>
      <c r="E744" s="367" t="n"/>
      <c r="F744" s="369" t="n"/>
      <c r="G744" s="367" t="n"/>
      <c r="H744" s="370" t="n"/>
      <c r="I744" s="371" t="n"/>
      <c r="J744" s="371" t="n"/>
      <c r="K744" s="371" t="n"/>
      <c r="L744" s="371">
        <f>IF(K744="","",K744*1.1)</f>
        <v/>
      </c>
      <c r="M744" s="372" t="n"/>
      <c r="N744" s="372" t="n"/>
      <c r="O744" s="372" t="n"/>
      <c r="P744" s="372" t="n"/>
      <c r="Q744" s="372" t="n"/>
      <c r="R744" s="372" t="n"/>
      <c r="T744" s="216">
        <f>UPPER(A744&amp;" "&amp;B744&amp;" "&amp;D744&amp;" "&amp;E744&amp;" "&amp;F744&amp;" "&amp;G744&amp;" "&amp;H744)</f>
        <v/>
      </c>
      <c r="U744" s="216">
        <f>IF(AND('TRA CỨU TỔNG HỢP'!$B$3&lt;&gt;"",ISNUMBER(SEARCH('TRA CỨU TỔNG HỢP'!$B$3,T744))),MAX($U$3:U743)+1,"")</f>
        <v/>
      </c>
    </row>
    <row r="745" ht="15" customHeight="1" s="217">
      <c r="A745" s="379" t="n"/>
      <c r="B745" s="380" t="n"/>
      <c r="C745" s="379" t="n"/>
      <c r="D745" s="379" t="n"/>
      <c r="E745" s="379" t="n"/>
      <c r="F745" s="381" t="n"/>
      <c r="G745" s="379" t="n"/>
      <c r="H745" s="382" t="n"/>
      <c r="I745" s="383" t="n"/>
      <c r="J745" s="383" t="n"/>
      <c r="K745" s="383" t="n"/>
      <c r="L745" s="383">
        <f>IF(K745="","",K745*1.1)</f>
        <v/>
      </c>
      <c r="M745" s="384" t="n"/>
      <c r="N745" s="384" t="n"/>
      <c r="O745" s="384" t="n"/>
      <c r="P745" s="384" t="n"/>
      <c r="Q745" s="384" t="n"/>
      <c r="R745" s="384" t="n"/>
      <c r="T745" s="216">
        <f>UPPER(A745&amp;" "&amp;B745&amp;" "&amp;D745&amp;" "&amp;E745&amp;" "&amp;F745&amp;" "&amp;G745&amp;" "&amp;H745)</f>
        <v/>
      </c>
      <c r="U745" s="216">
        <f>IF(AND('TRA CỨU TỔNG HỢP'!$B$3&lt;&gt;"",ISNUMBER(SEARCH('TRA CỨU TỔNG HỢP'!$B$3,T745))),MAX($U$3:U744)+1,"")</f>
        <v/>
      </c>
    </row>
    <row r="746" ht="15" customHeight="1" s="217">
      <c r="A746" s="367" t="n"/>
      <c r="B746" s="368" t="n"/>
      <c r="C746" s="367" t="n"/>
      <c r="D746" s="367" t="n"/>
      <c r="E746" s="367" t="n"/>
      <c r="F746" s="369" t="n"/>
      <c r="G746" s="367" t="n"/>
      <c r="H746" s="370" t="n"/>
      <c r="I746" s="371" t="n"/>
      <c r="J746" s="371" t="n"/>
      <c r="K746" s="371" t="n"/>
      <c r="L746" s="371">
        <f>IF(K746="","",K746*1.1)</f>
        <v/>
      </c>
      <c r="M746" s="372" t="n"/>
      <c r="N746" s="372" t="n"/>
      <c r="O746" s="372" t="n"/>
      <c r="P746" s="372" t="n"/>
      <c r="Q746" s="372" t="n"/>
      <c r="R746" s="372" t="n"/>
      <c r="T746" s="216">
        <f>UPPER(A746&amp;" "&amp;B746&amp;" "&amp;D746&amp;" "&amp;E746&amp;" "&amp;F746&amp;" "&amp;G746&amp;" "&amp;H746)</f>
        <v/>
      </c>
      <c r="U746" s="216">
        <f>IF(AND('TRA CỨU TỔNG HỢP'!$B$3&lt;&gt;"",ISNUMBER(SEARCH('TRA CỨU TỔNG HỢP'!$B$3,T746))),MAX($U$3:U745)+1,"")</f>
        <v/>
      </c>
    </row>
    <row r="747" ht="15" customHeight="1" s="217">
      <c r="A747" s="379" t="n"/>
      <c r="B747" s="380" t="n"/>
      <c r="C747" s="379" t="n"/>
      <c r="D747" s="379" t="n"/>
      <c r="E747" s="379" t="n"/>
      <c r="F747" s="381" t="n"/>
      <c r="G747" s="379" t="n"/>
      <c r="H747" s="382" t="n"/>
      <c r="I747" s="383" t="n"/>
      <c r="J747" s="383" t="n"/>
      <c r="K747" s="383" t="n"/>
      <c r="L747" s="383">
        <f>IF(K747="","",K747*1.1)</f>
        <v/>
      </c>
      <c r="M747" s="384" t="n"/>
      <c r="N747" s="384" t="n"/>
      <c r="O747" s="384" t="n"/>
      <c r="P747" s="384" t="n"/>
      <c r="Q747" s="384" t="n"/>
      <c r="R747" s="384" t="n"/>
      <c r="T747" s="216">
        <f>UPPER(A747&amp;" "&amp;B747&amp;" "&amp;D747&amp;" "&amp;E747&amp;" "&amp;F747&amp;" "&amp;G747&amp;" "&amp;H747)</f>
        <v/>
      </c>
      <c r="U747" s="216">
        <f>IF(AND('TRA CỨU TỔNG HỢP'!$B$3&lt;&gt;"",ISNUMBER(SEARCH('TRA CỨU TỔNG HỢP'!$B$3,T747))),MAX($U$3:U746)+1,"")</f>
        <v/>
      </c>
    </row>
    <row r="748" ht="15" customHeight="1" s="217">
      <c r="A748" s="367" t="n"/>
      <c r="B748" s="368" t="n"/>
      <c r="C748" s="367" t="n"/>
      <c r="D748" s="367" t="n"/>
      <c r="E748" s="367" t="n"/>
      <c r="F748" s="369" t="n"/>
      <c r="G748" s="367" t="n"/>
      <c r="H748" s="370" t="n"/>
      <c r="I748" s="371" t="n"/>
      <c r="J748" s="371" t="n"/>
      <c r="K748" s="371" t="n"/>
      <c r="L748" s="371">
        <f>IF(K748="","",K748*1.1)</f>
        <v/>
      </c>
      <c r="M748" s="372" t="n"/>
      <c r="N748" s="372" t="n"/>
      <c r="O748" s="372" t="n"/>
      <c r="P748" s="372" t="n"/>
      <c r="Q748" s="372" t="n"/>
      <c r="R748" s="372" t="n"/>
      <c r="T748" s="216">
        <f>UPPER(A748&amp;" "&amp;B748&amp;" "&amp;D748&amp;" "&amp;E748&amp;" "&amp;F748&amp;" "&amp;G748&amp;" "&amp;H748)</f>
        <v/>
      </c>
      <c r="U748" s="216">
        <f>IF(AND('TRA CỨU TỔNG HỢP'!$B$3&lt;&gt;"",ISNUMBER(SEARCH('TRA CỨU TỔNG HỢP'!$B$3,T748))),MAX($U$3:U747)+1,"")</f>
        <v/>
      </c>
    </row>
    <row r="749" ht="15" customHeight="1" s="217">
      <c r="A749" s="379" t="n"/>
      <c r="B749" s="380" t="n"/>
      <c r="C749" s="379" t="n"/>
      <c r="D749" s="379" t="n"/>
      <c r="E749" s="379" t="n"/>
      <c r="F749" s="381" t="n"/>
      <c r="G749" s="379" t="n"/>
      <c r="H749" s="382" t="n"/>
      <c r="I749" s="383" t="n"/>
      <c r="J749" s="383" t="n"/>
      <c r="K749" s="383" t="n"/>
      <c r="L749" s="383">
        <f>IF(K749="","",K749*1.1)</f>
        <v/>
      </c>
      <c r="M749" s="384" t="n"/>
      <c r="N749" s="384" t="n"/>
      <c r="O749" s="384" t="n"/>
      <c r="P749" s="384" t="n"/>
      <c r="Q749" s="384" t="n"/>
      <c r="R749" s="384" t="n"/>
      <c r="T749" s="216">
        <f>UPPER(A749&amp;" "&amp;B749&amp;" "&amp;D749&amp;" "&amp;E749&amp;" "&amp;F749&amp;" "&amp;G749&amp;" "&amp;H749)</f>
        <v/>
      </c>
      <c r="U749" s="216">
        <f>IF(AND('TRA CỨU TỔNG HỢP'!$B$3&lt;&gt;"",ISNUMBER(SEARCH('TRA CỨU TỔNG HỢP'!$B$3,T749))),MAX($U$3:U748)+1,"")</f>
        <v/>
      </c>
    </row>
    <row r="750" ht="15" customHeight="1" s="217">
      <c r="A750" s="367" t="n"/>
      <c r="B750" s="368" t="n"/>
      <c r="C750" s="367" t="n"/>
      <c r="D750" s="367" t="n"/>
      <c r="E750" s="367" t="n"/>
      <c r="F750" s="369" t="n"/>
      <c r="G750" s="367" t="n"/>
      <c r="H750" s="370" t="n"/>
      <c r="I750" s="371" t="n"/>
      <c r="J750" s="371" t="n"/>
      <c r="K750" s="371" t="n"/>
      <c r="L750" s="371">
        <f>IF(K750="","",K750*1.1)</f>
        <v/>
      </c>
      <c r="M750" s="372" t="n"/>
      <c r="N750" s="372" t="n"/>
      <c r="O750" s="372" t="n"/>
      <c r="P750" s="372" t="n"/>
      <c r="Q750" s="372" t="n"/>
      <c r="R750" s="372" t="n"/>
      <c r="T750" s="216">
        <f>UPPER(A750&amp;" "&amp;B750&amp;" "&amp;D750&amp;" "&amp;E750&amp;" "&amp;F750&amp;" "&amp;G750&amp;" "&amp;H750)</f>
        <v/>
      </c>
      <c r="U750" s="216">
        <f>IF(AND('TRA CỨU TỔNG HỢP'!$B$3&lt;&gt;"",ISNUMBER(SEARCH('TRA CỨU TỔNG HỢP'!$B$3,T750))),MAX($U$3:U749)+1,"")</f>
        <v/>
      </c>
    </row>
    <row r="751" ht="15" customHeight="1" s="217">
      <c r="A751" s="379" t="n"/>
      <c r="B751" s="380" t="n"/>
      <c r="C751" s="379" t="n"/>
      <c r="D751" s="379" t="n"/>
      <c r="E751" s="379" t="n"/>
      <c r="F751" s="381" t="n"/>
      <c r="G751" s="379" t="n"/>
      <c r="H751" s="382" t="n"/>
      <c r="I751" s="383" t="n"/>
      <c r="J751" s="383" t="n"/>
      <c r="K751" s="383" t="n"/>
      <c r="L751" s="383">
        <f>IF(K751="","",K751*1.1)</f>
        <v/>
      </c>
      <c r="M751" s="384" t="n"/>
      <c r="N751" s="384" t="n"/>
      <c r="O751" s="384" t="n"/>
      <c r="P751" s="384" t="n"/>
      <c r="Q751" s="384" t="n"/>
      <c r="R751" s="384" t="n"/>
      <c r="T751" s="216">
        <f>UPPER(A751&amp;" "&amp;B751&amp;" "&amp;D751&amp;" "&amp;E751&amp;" "&amp;F751&amp;" "&amp;G751&amp;" "&amp;H751)</f>
        <v/>
      </c>
      <c r="U751" s="216">
        <f>IF(AND('TRA CỨU TỔNG HỢP'!$B$3&lt;&gt;"",ISNUMBER(SEARCH('TRA CỨU TỔNG HỢP'!$B$3,T751))),MAX($U$3:U750)+1,"")</f>
        <v/>
      </c>
    </row>
    <row r="752" ht="15" customHeight="1" s="217">
      <c r="A752" s="367" t="n"/>
      <c r="B752" s="368" t="n"/>
      <c r="C752" s="367" t="n"/>
      <c r="D752" s="367" t="n"/>
      <c r="E752" s="367" t="n"/>
      <c r="F752" s="369" t="n"/>
      <c r="G752" s="367" t="n"/>
      <c r="H752" s="370" t="n"/>
      <c r="I752" s="371" t="n"/>
      <c r="J752" s="371" t="n"/>
      <c r="K752" s="371" t="n"/>
      <c r="L752" s="371">
        <f>IF(K752="","",K752*1.1)</f>
        <v/>
      </c>
      <c r="M752" s="372" t="n"/>
      <c r="N752" s="372" t="n"/>
      <c r="O752" s="372" t="n"/>
      <c r="P752" s="372" t="n"/>
      <c r="Q752" s="372" t="n"/>
      <c r="R752" s="372" t="n"/>
      <c r="T752" s="216">
        <f>UPPER(A752&amp;" "&amp;B752&amp;" "&amp;D752&amp;" "&amp;E752&amp;" "&amp;F752&amp;" "&amp;G752&amp;" "&amp;H752)</f>
        <v/>
      </c>
      <c r="U752" s="216">
        <f>IF(AND('TRA CỨU TỔNG HỢP'!$B$3&lt;&gt;"",ISNUMBER(SEARCH('TRA CỨU TỔNG HỢP'!$B$3,T752))),MAX($U$3:U751)+1,"")</f>
        <v/>
      </c>
    </row>
    <row r="753" ht="15" customHeight="1" s="217">
      <c r="A753" s="379" t="n"/>
      <c r="B753" s="380" t="n"/>
      <c r="C753" s="379" t="n"/>
      <c r="D753" s="379" t="n"/>
      <c r="E753" s="379" t="n"/>
      <c r="F753" s="381" t="n"/>
      <c r="G753" s="379" t="n"/>
      <c r="H753" s="382" t="n"/>
      <c r="I753" s="383" t="n"/>
      <c r="J753" s="383" t="n"/>
      <c r="K753" s="383" t="n"/>
      <c r="L753" s="383">
        <f>IF(K753="","",K753*1.1)</f>
        <v/>
      </c>
      <c r="M753" s="384" t="n"/>
      <c r="N753" s="384" t="n"/>
      <c r="O753" s="384" t="n"/>
      <c r="P753" s="384" t="n"/>
      <c r="Q753" s="384" t="n"/>
      <c r="R753" s="384" t="n"/>
      <c r="T753" s="216">
        <f>UPPER(A753&amp;" "&amp;B753&amp;" "&amp;D753&amp;" "&amp;E753&amp;" "&amp;F753&amp;" "&amp;G753&amp;" "&amp;H753)</f>
        <v/>
      </c>
      <c r="U753" s="216">
        <f>IF(AND('TRA CỨU TỔNG HỢP'!$B$3&lt;&gt;"",ISNUMBER(SEARCH('TRA CỨU TỔNG HỢP'!$B$3,T753))),MAX($U$3:U752)+1,"")</f>
        <v/>
      </c>
    </row>
    <row r="754" ht="15" customHeight="1" s="217">
      <c r="A754" s="367" t="n"/>
      <c r="B754" s="368" t="n"/>
      <c r="C754" s="367" t="n"/>
      <c r="D754" s="367" t="n"/>
      <c r="E754" s="367" t="n"/>
      <c r="F754" s="369" t="n"/>
      <c r="G754" s="367" t="n"/>
      <c r="H754" s="370" t="n"/>
      <c r="I754" s="371" t="n"/>
      <c r="J754" s="371" t="n"/>
      <c r="K754" s="371" t="n"/>
      <c r="L754" s="371">
        <f>IF(K754="","",K754*1.1)</f>
        <v/>
      </c>
      <c r="M754" s="372" t="n"/>
      <c r="N754" s="372" t="n"/>
      <c r="O754" s="372" t="n"/>
      <c r="P754" s="372" t="n"/>
      <c r="Q754" s="372" t="n"/>
      <c r="R754" s="372" t="n"/>
      <c r="T754" s="216">
        <f>UPPER(A754&amp;" "&amp;B754&amp;" "&amp;D754&amp;" "&amp;E754&amp;" "&amp;F754&amp;" "&amp;G754&amp;" "&amp;H754)</f>
        <v/>
      </c>
      <c r="U754" s="216">
        <f>IF(AND('TRA CỨU TỔNG HỢP'!$B$3&lt;&gt;"",ISNUMBER(SEARCH('TRA CỨU TỔNG HỢP'!$B$3,T754))),MAX($U$3:U753)+1,"")</f>
        <v/>
      </c>
    </row>
    <row r="755" ht="15" customHeight="1" s="217">
      <c r="A755" s="379" t="n"/>
      <c r="B755" s="380" t="n"/>
      <c r="C755" s="379" t="n"/>
      <c r="D755" s="379" t="n"/>
      <c r="E755" s="379" t="n"/>
      <c r="F755" s="381" t="n"/>
      <c r="G755" s="379" t="n"/>
      <c r="H755" s="382" t="n"/>
      <c r="I755" s="383" t="n"/>
      <c r="J755" s="383" t="n"/>
      <c r="K755" s="383" t="n"/>
      <c r="L755" s="383">
        <f>IF(K755="","",K755*1.1)</f>
        <v/>
      </c>
      <c r="M755" s="384" t="n"/>
      <c r="N755" s="384" t="n"/>
      <c r="O755" s="384" t="n"/>
      <c r="P755" s="384" t="n"/>
      <c r="Q755" s="384" t="n"/>
      <c r="R755" s="384" t="n"/>
      <c r="T755" s="216">
        <f>UPPER(A755&amp;" "&amp;B755&amp;" "&amp;D755&amp;" "&amp;E755&amp;" "&amp;F755&amp;" "&amp;G755&amp;" "&amp;H755)</f>
        <v/>
      </c>
      <c r="U755" s="216">
        <f>IF(AND('TRA CỨU TỔNG HỢP'!$B$3&lt;&gt;"",ISNUMBER(SEARCH('TRA CỨU TỔNG HỢP'!$B$3,T755))),MAX($U$3:U754)+1,"")</f>
        <v/>
      </c>
    </row>
    <row r="756" ht="15" customHeight="1" s="217">
      <c r="A756" s="367" t="n"/>
      <c r="B756" s="368" t="n"/>
      <c r="C756" s="367" t="n"/>
      <c r="D756" s="367" t="n"/>
      <c r="E756" s="367" t="n"/>
      <c r="F756" s="369" t="n"/>
      <c r="G756" s="367" t="n"/>
      <c r="H756" s="370" t="n"/>
      <c r="I756" s="371" t="n"/>
      <c r="J756" s="371" t="n"/>
      <c r="K756" s="371" t="n"/>
      <c r="L756" s="371">
        <f>IF(K756="","",K756*1.1)</f>
        <v/>
      </c>
      <c r="M756" s="372" t="n"/>
      <c r="N756" s="372" t="n"/>
      <c r="O756" s="372" t="n"/>
      <c r="P756" s="372" t="n"/>
      <c r="Q756" s="372" t="n"/>
      <c r="R756" s="372" t="n"/>
      <c r="T756" s="216">
        <f>UPPER(A756&amp;" "&amp;B756&amp;" "&amp;D756&amp;" "&amp;E756&amp;" "&amp;F756&amp;" "&amp;G756&amp;" "&amp;H756)</f>
        <v/>
      </c>
      <c r="U756" s="216">
        <f>IF(AND('TRA CỨU TỔNG HỢP'!$B$3&lt;&gt;"",ISNUMBER(SEARCH('TRA CỨU TỔNG HỢP'!$B$3,T756))),MAX($U$3:U755)+1,"")</f>
        <v/>
      </c>
    </row>
    <row r="757" ht="15" customHeight="1" s="217">
      <c r="A757" s="379" t="n"/>
      <c r="B757" s="380" t="n"/>
      <c r="C757" s="379" t="n"/>
      <c r="D757" s="379" t="n"/>
      <c r="E757" s="379" t="n"/>
      <c r="F757" s="381" t="n"/>
      <c r="G757" s="379" t="n"/>
      <c r="H757" s="382" t="n"/>
      <c r="I757" s="383" t="n"/>
      <c r="J757" s="383" t="n"/>
      <c r="K757" s="383" t="n"/>
      <c r="L757" s="383">
        <f>IF(K757="","",K757*1.1)</f>
        <v/>
      </c>
      <c r="M757" s="384" t="n"/>
      <c r="N757" s="384" t="n"/>
      <c r="O757" s="384" t="n"/>
      <c r="P757" s="384" t="n"/>
      <c r="Q757" s="384" t="n"/>
      <c r="R757" s="384" t="n"/>
      <c r="T757" s="216">
        <f>UPPER(A757&amp;" "&amp;B757&amp;" "&amp;D757&amp;" "&amp;E757&amp;" "&amp;F757&amp;" "&amp;G757&amp;" "&amp;H757)</f>
        <v/>
      </c>
      <c r="U757" s="216">
        <f>IF(AND('TRA CỨU TỔNG HỢP'!$B$3&lt;&gt;"",ISNUMBER(SEARCH('TRA CỨU TỔNG HỢP'!$B$3,T757))),MAX($U$3:U756)+1,"")</f>
        <v/>
      </c>
    </row>
    <row r="758" ht="15" customHeight="1" s="217">
      <c r="A758" s="367" t="n"/>
      <c r="B758" s="368" t="n"/>
      <c r="C758" s="367" t="n"/>
      <c r="D758" s="367" t="n"/>
      <c r="E758" s="367" t="n"/>
      <c r="F758" s="369" t="n"/>
      <c r="G758" s="367" t="n"/>
      <c r="H758" s="370" t="n"/>
      <c r="I758" s="371" t="n"/>
      <c r="J758" s="371" t="n"/>
      <c r="K758" s="371" t="n"/>
      <c r="L758" s="371">
        <f>IF(K758="","",K758*1.1)</f>
        <v/>
      </c>
      <c r="M758" s="372" t="n"/>
      <c r="N758" s="372" t="n"/>
      <c r="O758" s="372" t="n"/>
      <c r="P758" s="372" t="n"/>
      <c r="Q758" s="372" t="n"/>
      <c r="R758" s="372" t="n"/>
      <c r="T758" s="216">
        <f>UPPER(A758&amp;" "&amp;B758&amp;" "&amp;D758&amp;" "&amp;E758&amp;" "&amp;F758&amp;" "&amp;G758&amp;" "&amp;H758)</f>
        <v/>
      </c>
      <c r="U758" s="216">
        <f>IF(AND('TRA CỨU TỔNG HỢP'!$B$3&lt;&gt;"",ISNUMBER(SEARCH('TRA CỨU TỔNG HỢP'!$B$3,T758))),MAX($U$3:U757)+1,"")</f>
        <v/>
      </c>
    </row>
    <row r="759" ht="15" customHeight="1" s="217">
      <c r="A759" s="379" t="n"/>
      <c r="B759" s="380" t="n"/>
      <c r="C759" s="379" t="n"/>
      <c r="D759" s="379" t="n"/>
      <c r="E759" s="379" t="n"/>
      <c r="F759" s="381" t="n"/>
      <c r="G759" s="379" t="n"/>
      <c r="H759" s="382" t="n"/>
      <c r="I759" s="383" t="n"/>
      <c r="J759" s="383" t="n"/>
      <c r="K759" s="383" t="n"/>
      <c r="L759" s="383">
        <f>IF(K759="","",K759*1.1)</f>
        <v/>
      </c>
      <c r="M759" s="384" t="n"/>
      <c r="N759" s="384" t="n"/>
      <c r="O759" s="384" t="n"/>
      <c r="P759" s="384" t="n"/>
      <c r="Q759" s="384" t="n"/>
      <c r="R759" s="384" t="n"/>
      <c r="T759" s="216">
        <f>UPPER(A759&amp;" "&amp;B759&amp;" "&amp;D759&amp;" "&amp;E759&amp;" "&amp;F759&amp;" "&amp;G759&amp;" "&amp;H759)</f>
        <v/>
      </c>
      <c r="U759" s="216">
        <f>IF(AND('TRA CỨU TỔNG HỢP'!$B$3&lt;&gt;"",ISNUMBER(SEARCH('TRA CỨU TỔNG HỢP'!$B$3,T759))),MAX($U$3:U758)+1,"")</f>
        <v/>
      </c>
    </row>
    <row r="760" ht="15" customHeight="1" s="217">
      <c r="A760" s="367" t="n"/>
      <c r="B760" s="368" t="n"/>
      <c r="C760" s="367" t="n"/>
      <c r="D760" s="367" t="n"/>
      <c r="E760" s="367" t="n"/>
      <c r="F760" s="369" t="n"/>
      <c r="G760" s="367" t="n"/>
      <c r="H760" s="370" t="n"/>
      <c r="I760" s="371" t="n"/>
      <c r="J760" s="371" t="n"/>
      <c r="K760" s="371" t="n"/>
      <c r="L760" s="371">
        <f>IF(K760="","",K760*1.1)</f>
        <v/>
      </c>
      <c r="M760" s="372" t="n"/>
      <c r="N760" s="372" t="n"/>
      <c r="O760" s="372" t="n"/>
      <c r="P760" s="372" t="n"/>
      <c r="Q760" s="372" t="n"/>
      <c r="R760" s="372" t="n"/>
      <c r="T760" s="216">
        <f>UPPER(A760&amp;" "&amp;B760&amp;" "&amp;D760&amp;" "&amp;E760&amp;" "&amp;F760&amp;" "&amp;G760&amp;" "&amp;H760)</f>
        <v/>
      </c>
      <c r="U760" s="216">
        <f>IF(AND('TRA CỨU TỔNG HỢP'!$B$3&lt;&gt;"",ISNUMBER(SEARCH('TRA CỨU TỔNG HỢP'!$B$3,T760))),MAX($U$3:U759)+1,"")</f>
        <v/>
      </c>
    </row>
    <row r="761" ht="15" customHeight="1" s="217">
      <c r="A761" s="379" t="n"/>
      <c r="B761" s="380" t="n"/>
      <c r="C761" s="379" t="n"/>
      <c r="D761" s="379" t="n"/>
      <c r="E761" s="379" t="n"/>
      <c r="F761" s="381" t="n"/>
      <c r="G761" s="379" t="n"/>
      <c r="H761" s="382" t="n"/>
      <c r="I761" s="383" t="n"/>
      <c r="J761" s="383" t="n"/>
      <c r="K761" s="383" t="n"/>
      <c r="L761" s="383">
        <f>IF(K761="","",K761*1.1)</f>
        <v/>
      </c>
      <c r="M761" s="384" t="n"/>
      <c r="N761" s="384" t="n"/>
      <c r="O761" s="384" t="n"/>
      <c r="P761" s="384" t="n"/>
      <c r="Q761" s="384" t="n"/>
      <c r="R761" s="384" t="n"/>
      <c r="T761" s="216">
        <f>UPPER(A761&amp;" "&amp;B761&amp;" "&amp;D761&amp;" "&amp;E761&amp;" "&amp;F761&amp;" "&amp;G761&amp;" "&amp;H761)</f>
        <v/>
      </c>
      <c r="U761" s="216">
        <f>IF(AND('TRA CỨU TỔNG HỢP'!$B$3&lt;&gt;"",ISNUMBER(SEARCH('TRA CỨU TỔNG HỢP'!$B$3,T761))),MAX($U$3:U760)+1,"")</f>
        <v/>
      </c>
    </row>
    <row r="762" ht="15" customHeight="1" s="217">
      <c r="A762" s="367" t="n"/>
      <c r="B762" s="368" t="n"/>
      <c r="C762" s="367" t="n"/>
      <c r="D762" s="367" t="n"/>
      <c r="E762" s="367" t="n"/>
      <c r="F762" s="369" t="n"/>
      <c r="G762" s="367" t="n"/>
      <c r="H762" s="370" t="n"/>
      <c r="I762" s="371" t="n"/>
      <c r="J762" s="371" t="n"/>
      <c r="K762" s="371" t="n"/>
      <c r="L762" s="371">
        <f>IF(K762="","",K762*1.1)</f>
        <v/>
      </c>
      <c r="M762" s="372" t="n"/>
      <c r="N762" s="372" t="n"/>
      <c r="O762" s="372" t="n"/>
      <c r="P762" s="372" t="n"/>
      <c r="Q762" s="372" t="n"/>
      <c r="R762" s="372" t="n"/>
      <c r="T762" s="216">
        <f>UPPER(A762&amp;" "&amp;B762&amp;" "&amp;D762&amp;" "&amp;E762&amp;" "&amp;F762&amp;" "&amp;G762&amp;" "&amp;H762)</f>
        <v/>
      </c>
      <c r="U762" s="216">
        <f>IF(AND('TRA CỨU TỔNG HỢP'!$B$3&lt;&gt;"",ISNUMBER(SEARCH('TRA CỨU TỔNG HỢP'!$B$3,T762))),MAX($U$3:U761)+1,"")</f>
        <v/>
      </c>
    </row>
    <row r="763" ht="15" customHeight="1" s="217">
      <c r="A763" s="379" t="n"/>
      <c r="B763" s="380" t="n"/>
      <c r="C763" s="379" t="n"/>
      <c r="D763" s="379" t="n"/>
      <c r="E763" s="379" t="n"/>
      <c r="F763" s="381" t="n"/>
      <c r="G763" s="379" t="n"/>
      <c r="H763" s="382" t="n"/>
      <c r="I763" s="383" t="n"/>
      <c r="J763" s="383" t="n"/>
      <c r="K763" s="383" t="n"/>
      <c r="L763" s="383">
        <f>IF(K763="","",K763*1.1)</f>
        <v/>
      </c>
      <c r="M763" s="384" t="n"/>
      <c r="N763" s="384" t="n"/>
      <c r="O763" s="384" t="n"/>
      <c r="P763" s="384" t="n"/>
      <c r="Q763" s="384" t="n"/>
      <c r="R763" s="384" t="n"/>
      <c r="T763" s="216">
        <f>UPPER(A763&amp;" "&amp;B763&amp;" "&amp;D763&amp;" "&amp;E763&amp;" "&amp;F763&amp;" "&amp;G763&amp;" "&amp;H763)</f>
        <v/>
      </c>
      <c r="U763" s="216">
        <f>IF(AND('TRA CỨU TỔNG HỢP'!$B$3&lt;&gt;"",ISNUMBER(SEARCH('TRA CỨU TỔNG HỢP'!$B$3,T763))),MAX($U$3:U762)+1,"")</f>
        <v/>
      </c>
    </row>
    <row r="764" ht="15" customHeight="1" s="217">
      <c r="A764" s="367" t="n"/>
      <c r="B764" s="368" t="n"/>
      <c r="C764" s="367" t="n"/>
      <c r="D764" s="367" t="n"/>
      <c r="E764" s="367" t="n"/>
      <c r="F764" s="369" t="n"/>
      <c r="G764" s="367" t="n"/>
      <c r="H764" s="370" t="n"/>
      <c r="I764" s="371" t="n"/>
      <c r="J764" s="371" t="n"/>
      <c r="K764" s="371" t="n"/>
      <c r="L764" s="371">
        <f>IF(K764="","",K764*1.1)</f>
        <v/>
      </c>
      <c r="M764" s="372" t="n"/>
      <c r="N764" s="372" t="n"/>
      <c r="O764" s="372" t="n"/>
      <c r="P764" s="372" t="n"/>
      <c r="Q764" s="372" t="n"/>
      <c r="R764" s="372" t="n"/>
      <c r="T764" s="216">
        <f>UPPER(A764&amp;" "&amp;B764&amp;" "&amp;D764&amp;" "&amp;E764&amp;" "&amp;F764&amp;" "&amp;G764&amp;" "&amp;H764)</f>
        <v/>
      </c>
      <c r="U764" s="216">
        <f>IF(AND('TRA CỨU TỔNG HỢP'!$B$3&lt;&gt;"",ISNUMBER(SEARCH('TRA CỨU TỔNG HỢP'!$B$3,T764))),MAX($U$3:U763)+1,"")</f>
        <v/>
      </c>
    </row>
    <row r="765" ht="15" customHeight="1" s="217">
      <c r="A765" s="379" t="n"/>
      <c r="B765" s="380" t="n"/>
      <c r="C765" s="379" t="n"/>
      <c r="D765" s="379" t="n"/>
      <c r="E765" s="379" t="n"/>
      <c r="F765" s="381" t="n"/>
      <c r="G765" s="379" t="n"/>
      <c r="H765" s="382" t="n"/>
      <c r="I765" s="383" t="n"/>
      <c r="J765" s="383" t="n"/>
      <c r="K765" s="383" t="n"/>
      <c r="L765" s="383">
        <f>IF(K765="","",K765*1.1)</f>
        <v/>
      </c>
      <c r="M765" s="384" t="n"/>
      <c r="N765" s="384" t="n"/>
      <c r="O765" s="384" t="n"/>
      <c r="P765" s="384" t="n"/>
      <c r="Q765" s="384" t="n"/>
      <c r="R765" s="384" t="n"/>
      <c r="T765" s="216">
        <f>UPPER(A765&amp;" "&amp;B765&amp;" "&amp;D765&amp;" "&amp;E765&amp;" "&amp;F765&amp;" "&amp;G765&amp;" "&amp;H765)</f>
        <v/>
      </c>
      <c r="U765" s="216">
        <f>IF(AND('TRA CỨU TỔNG HỢP'!$B$3&lt;&gt;"",ISNUMBER(SEARCH('TRA CỨU TỔNG HỢP'!$B$3,T765))),MAX($U$3:U764)+1,"")</f>
        <v/>
      </c>
    </row>
    <row r="766" ht="15" customHeight="1" s="217">
      <c r="A766" s="367" t="n"/>
      <c r="B766" s="368" t="n"/>
      <c r="C766" s="367" t="n"/>
      <c r="D766" s="367" t="n"/>
      <c r="E766" s="367" t="n"/>
      <c r="F766" s="369" t="n"/>
      <c r="G766" s="367" t="n"/>
      <c r="H766" s="370" t="n"/>
      <c r="I766" s="371" t="n"/>
      <c r="J766" s="371" t="n"/>
      <c r="K766" s="371" t="n"/>
      <c r="L766" s="371">
        <f>IF(K766="","",K766*1.1)</f>
        <v/>
      </c>
      <c r="M766" s="372" t="n"/>
      <c r="N766" s="372" t="n"/>
      <c r="O766" s="372" t="n"/>
      <c r="P766" s="372" t="n"/>
      <c r="Q766" s="372" t="n"/>
      <c r="R766" s="372" t="n"/>
      <c r="T766" s="216">
        <f>UPPER(A766&amp;" "&amp;B766&amp;" "&amp;D766&amp;" "&amp;E766&amp;" "&amp;F766&amp;" "&amp;G766&amp;" "&amp;H766)</f>
        <v/>
      </c>
      <c r="U766" s="216">
        <f>IF(AND('TRA CỨU TỔNG HỢP'!$B$3&lt;&gt;"",ISNUMBER(SEARCH('TRA CỨU TỔNG HỢP'!$B$3,T766))),MAX($U$3:U765)+1,"")</f>
        <v/>
      </c>
    </row>
    <row r="767" ht="15" customHeight="1" s="217">
      <c r="A767" s="379" t="n"/>
      <c r="B767" s="380" t="n"/>
      <c r="C767" s="379" t="n"/>
      <c r="D767" s="379" t="n"/>
      <c r="E767" s="379" t="n"/>
      <c r="F767" s="381" t="n"/>
      <c r="G767" s="379" t="n"/>
      <c r="H767" s="382" t="n"/>
      <c r="I767" s="383" t="n"/>
      <c r="J767" s="383" t="n"/>
      <c r="K767" s="383" t="n"/>
      <c r="L767" s="383">
        <f>IF(K767="","",K767*1.1)</f>
        <v/>
      </c>
      <c r="M767" s="384" t="n"/>
      <c r="N767" s="384" t="n"/>
      <c r="O767" s="384" t="n"/>
      <c r="P767" s="384" t="n"/>
      <c r="Q767" s="384" t="n"/>
      <c r="R767" s="384" t="n"/>
      <c r="T767" s="216">
        <f>UPPER(A767&amp;" "&amp;B767&amp;" "&amp;D767&amp;" "&amp;E767&amp;" "&amp;F767&amp;" "&amp;G767&amp;" "&amp;H767)</f>
        <v/>
      </c>
      <c r="U767" s="216">
        <f>IF(AND('TRA CỨU TỔNG HỢP'!$B$3&lt;&gt;"",ISNUMBER(SEARCH('TRA CỨU TỔNG HỢP'!$B$3,T767))),MAX($U$3:U766)+1,"")</f>
        <v/>
      </c>
    </row>
    <row r="768" ht="15" customHeight="1" s="217">
      <c r="A768" s="367" t="n"/>
      <c r="B768" s="368" t="n"/>
      <c r="C768" s="367" t="n"/>
      <c r="D768" s="367" t="n"/>
      <c r="E768" s="367" t="n"/>
      <c r="F768" s="369" t="n"/>
      <c r="G768" s="367" t="n"/>
      <c r="H768" s="370" t="n"/>
      <c r="I768" s="371" t="n"/>
      <c r="J768" s="371" t="n"/>
      <c r="K768" s="371" t="n"/>
      <c r="L768" s="371">
        <f>IF(K768="","",K768*1.1)</f>
        <v/>
      </c>
      <c r="M768" s="372" t="n"/>
      <c r="N768" s="372" t="n"/>
      <c r="O768" s="372" t="n"/>
      <c r="P768" s="372" t="n"/>
      <c r="Q768" s="372" t="n"/>
      <c r="R768" s="372" t="n"/>
      <c r="T768" s="216">
        <f>UPPER(A768&amp;" "&amp;B768&amp;" "&amp;D768&amp;" "&amp;E768&amp;" "&amp;F768&amp;" "&amp;G768&amp;" "&amp;H768)</f>
        <v/>
      </c>
      <c r="U768" s="216">
        <f>IF(AND('TRA CỨU TỔNG HỢP'!$B$3&lt;&gt;"",ISNUMBER(SEARCH('TRA CỨU TỔNG HỢP'!$B$3,T768))),MAX($U$3:U767)+1,"")</f>
        <v/>
      </c>
    </row>
    <row r="769" ht="15" customHeight="1" s="217">
      <c r="A769" s="379" t="n"/>
      <c r="B769" s="380" t="n"/>
      <c r="C769" s="379" t="n"/>
      <c r="D769" s="379" t="n"/>
      <c r="E769" s="379" t="n"/>
      <c r="F769" s="381" t="n"/>
      <c r="G769" s="379" t="n"/>
      <c r="H769" s="382" t="n"/>
      <c r="I769" s="383" t="n"/>
      <c r="J769" s="383" t="n"/>
      <c r="K769" s="383" t="n"/>
      <c r="L769" s="383">
        <f>IF(K769="","",K769*1.1)</f>
        <v/>
      </c>
      <c r="M769" s="384" t="n"/>
      <c r="N769" s="384" t="n"/>
      <c r="O769" s="384" t="n"/>
      <c r="P769" s="384" t="n"/>
      <c r="Q769" s="384" t="n"/>
      <c r="R769" s="384" t="n"/>
      <c r="T769" s="216">
        <f>UPPER(A769&amp;" "&amp;B769&amp;" "&amp;D769&amp;" "&amp;E769&amp;" "&amp;F769&amp;" "&amp;G769&amp;" "&amp;H769)</f>
        <v/>
      </c>
      <c r="U769" s="216">
        <f>IF(AND('TRA CỨU TỔNG HỢP'!$B$3&lt;&gt;"",ISNUMBER(SEARCH('TRA CỨU TỔNG HỢP'!$B$3,T769))),MAX($U$3:U768)+1,"")</f>
        <v/>
      </c>
    </row>
    <row r="770" ht="15" customHeight="1" s="217">
      <c r="A770" s="367" t="n"/>
      <c r="B770" s="368" t="n"/>
      <c r="C770" s="367" t="n"/>
      <c r="D770" s="367" t="n"/>
      <c r="E770" s="367" t="n"/>
      <c r="F770" s="369" t="n"/>
      <c r="G770" s="367" t="n"/>
      <c r="H770" s="370" t="n"/>
      <c r="I770" s="371" t="n"/>
      <c r="J770" s="371" t="n"/>
      <c r="K770" s="371" t="n"/>
      <c r="L770" s="371">
        <f>IF(K770="","",K770*1.1)</f>
        <v/>
      </c>
      <c r="M770" s="372" t="n"/>
      <c r="N770" s="372" t="n"/>
      <c r="O770" s="372" t="n"/>
      <c r="P770" s="372" t="n"/>
      <c r="Q770" s="372" t="n"/>
      <c r="R770" s="372" t="n"/>
      <c r="T770" s="216">
        <f>UPPER(A770&amp;" "&amp;B770&amp;" "&amp;D770&amp;" "&amp;E770&amp;" "&amp;F770&amp;" "&amp;G770&amp;" "&amp;H770)</f>
        <v/>
      </c>
      <c r="U770" s="216">
        <f>IF(AND('TRA CỨU TỔNG HỢP'!$B$3&lt;&gt;"",ISNUMBER(SEARCH('TRA CỨU TỔNG HỢP'!$B$3,T770))),MAX($U$3:U769)+1,"")</f>
        <v/>
      </c>
    </row>
    <row r="771" ht="15" customHeight="1" s="217">
      <c r="A771" s="379" t="n"/>
      <c r="B771" s="380" t="n"/>
      <c r="C771" s="379" t="n"/>
      <c r="D771" s="379" t="n"/>
      <c r="E771" s="379" t="n"/>
      <c r="F771" s="381" t="n"/>
      <c r="G771" s="379" t="n"/>
      <c r="H771" s="382" t="n"/>
      <c r="I771" s="383" t="n"/>
      <c r="J771" s="383" t="n"/>
      <c r="K771" s="383" t="n"/>
      <c r="L771" s="383">
        <f>IF(K771="","",K771*1.1)</f>
        <v/>
      </c>
      <c r="M771" s="384" t="n"/>
      <c r="N771" s="384" t="n"/>
      <c r="O771" s="384" t="n"/>
      <c r="P771" s="384" t="n"/>
      <c r="Q771" s="384" t="n"/>
      <c r="R771" s="384" t="n"/>
      <c r="T771" s="216">
        <f>UPPER(A771&amp;" "&amp;B771&amp;" "&amp;D771&amp;" "&amp;E771&amp;" "&amp;F771&amp;" "&amp;G771&amp;" "&amp;H771)</f>
        <v/>
      </c>
      <c r="U771" s="216">
        <f>IF(AND('TRA CỨU TỔNG HỢP'!$B$3&lt;&gt;"",ISNUMBER(SEARCH('TRA CỨU TỔNG HỢP'!$B$3,T771))),MAX($U$3:U770)+1,"")</f>
        <v/>
      </c>
    </row>
    <row r="772" ht="15" customHeight="1" s="217">
      <c r="A772" s="367" t="n"/>
      <c r="B772" s="368" t="n"/>
      <c r="C772" s="367" t="n"/>
      <c r="D772" s="367" t="n"/>
      <c r="E772" s="367" t="n"/>
      <c r="F772" s="369" t="n"/>
      <c r="G772" s="367" t="n"/>
      <c r="H772" s="370" t="n"/>
      <c r="I772" s="371" t="n"/>
      <c r="J772" s="371" t="n"/>
      <c r="K772" s="371" t="n"/>
      <c r="L772" s="371">
        <f>IF(K772="","",K772*1.1)</f>
        <v/>
      </c>
      <c r="M772" s="372" t="n"/>
      <c r="N772" s="372" t="n"/>
      <c r="O772" s="372" t="n"/>
      <c r="P772" s="372" t="n"/>
      <c r="Q772" s="372" t="n"/>
      <c r="R772" s="372" t="n"/>
      <c r="T772" s="216">
        <f>UPPER(A772&amp;" "&amp;B772&amp;" "&amp;D772&amp;" "&amp;E772&amp;" "&amp;F772&amp;" "&amp;G772&amp;" "&amp;H772)</f>
        <v/>
      </c>
      <c r="U772" s="216">
        <f>IF(AND('TRA CỨU TỔNG HỢP'!$B$3&lt;&gt;"",ISNUMBER(SEARCH('TRA CỨU TỔNG HỢP'!$B$3,T772))),MAX($U$3:U771)+1,"")</f>
        <v/>
      </c>
    </row>
    <row r="773" ht="15" customHeight="1" s="217">
      <c r="A773" s="379" t="n"/>
      <c r="B773" s="380" t="n"/>
      <c r="C773" s="379" t="n"/>
      <c r="D773" s="379" t="n"/>
      <c r="E773" s="379" t="n"/>
      <c r="F773" s="381" t="n"/>
      <c r="G773" s="379" t="n"/>
      <c r="H773" s="382" t="n"/>
      <c r="I773" s="383" t="n"/>
      <c r="J773" s="383" t="n"/>
      <c r="K773" s="383" t="n"/>
      <c r="L773" s="383">
        <f>IF(K773="","",K773*1.1)</f>
        <v/>
      </c>
      <c r="M773" s="384" t="n"/>
      <c r="N773" s="384" t="n"/>
      <c r="O773" s="384" t="n"/>
      <c r="P773" s="384" t="n"/>
      <c r="Q773" s="384" t="n"/>
      <c r="R773" s="384" t="n"/>
      <c r="T773" s="216">
        <f>UPPER(A773&amp;" "&amp;B773&amp;" "&amp;D773&amp;" "&amp;E773&amp;" "&amp;F773&amp;" "&amp;G773&amp;" "&amp;H773)</f>
        <v/>
      </c>
      <c r="U773" s="216">
        <f>IF(AND('TRA CỨU TỔNG HỢP'!$B$3&lt;&gt;"",ISNUMBER(SEARCH('TRA CỨU TỔNG HỢP'!$B$3,T773))),MAX($U$3:U772)+1,"")</f>
        <v/>
      </c>
    </row>
    <row r="774" ht="15" customHeight="1" s="217">
      <c r="A774" s="367" t="n"/>
      <c r="B774" s="368" t="n"/>
      <c r="C774" s="367" t="n"/>
      <c r="D774" s="367" t="n"/>
      <c r="E774" s="367" t="n"/>
      <c r="F774" s="369" t="n"/>
      <c r="G774" s="367" t="n"/>
      <c r="H774" s="370" t="n"/>
      <c r="I774" s="371" t="n"/>
      <c r="J774" s="371" t="n"/>
      <c r="K774" s="371" t="n"/>
      <c r="L774" s="371">
        <f>IF(K774="","",K774*1.1)</f>
        <v/>
      </c>
      <c r="M774" s="372" t="n"/>
      <c r="N774" s="372" t="n"/>
      <c r="O774" s="372" t="n"/>
      <c r="P774" s="372" t="n"/>
      <c r="Q774" s="372" t="n"/>
      <c r="R774" s="372" t="n"/>
      <c r="T774" s="216">
        <f>UPPER(A774&amp;" "&amp;B774&amp;" "&amp;D774&amp;" "&amp;E774&amp;" "&amp;F774&amp;" "&amp;G774&amp;" "&amp;H774)</f>
        <v/>
      </c>
      <c r="U774" s="216">
        <f>IF(AND('TRA CỨU TỔNG HỢP'!$B$3&lt;&gt;"",ISNUMBER(SEARCH('TRA CỨU TỔNG HỢP'!$B$3,T774))),MAX($U$3:U773)+1,"")</f>
        <v/>
      </c>
    </row>
    <row r="775" ht="15" customHeight="1" s="217">
      <c r="A775" s="379" t="n"/>
      <c r="B775" s="380" t="n"/>
      <c r="C775" s="379" t="n"/>
      <c r="D775" s="379" t="n"/>
      <c r="E775" s="379" t="n"/>
      <c r="F775" s="381" t="n"/>
      <c r="G775" s="379" t="n"/>
      <c r="H775" s="382" t="n"/>
      <c r="I775" s="383" t="n"/>
      <c r="J775" s="383" t="n"/>
      <c r="K775" s="383" t="n"/>
      <c r="L775" s="383">
        <f>IF(K775="","",K775*1.1)</f>
        <v/>
      </c>
      <c r="M775" s="384" t="n"/>
      <c r="N775" s="384" t="n"/>
      <c r="O775" s="384" t="n"/>
      <c r="P775" s="384" t="n"/>
      <c r="Q775" s="384" t="n"/>
      <c r="R775" s="384" t="n"/>
      <c r="T775" s="216">
        <f>UPPER(A775&amp;" "&amp;B775&amp;" "&amp;D775&amp;" "&amp;E775&amp;" "&amp;F775&amp;" "&amp;G775&amp;" "&amp;H775)</f>
        <v/>
      </c>
      <c r="U775" s="216">
        <f>IF(AND('TRA CỨU TỔNG HỢP'!$B$3&lt;&gt;"",ISNUMBER(SEARCH('TRA CỨU TỔNG HỢP'!$B$3,T775))),MAX($U$3:U774)+1,"")</f>
        <v/>
      </c>
    </row>
    <row r="776" ht="15" customHeight="1" s="217">
      <c r="A776" s="367" t="n"/>
      <c r="B776" s="368" t="n"/>
      <c r="C776" s="367" t="n"/>
      <c r="D776" s="367" t="n"/>
      <c r="E776" s="367" t="n"/>
      <c r="F776" s="369" t="n"/>
      <c r="G776" s="367" t="n"/>
      <c r="H776" s="370" t="n"/>
      <c r="I776" s="371" t="n"/>
      <c r="J776" s="371" t="n"/>
      <c r="K776" s="371" t="n"/>
      <c r="L776" s="371">
        <f>IF(K776="","",K776*1.1)</f>
        <v/>
      </c>
      <c r="M776" s="372" t="n"/>
      <c r="N776" s="372" t="n"/>
      <c r="O776" s="372" t="n"/>
      <c r="P776" s="372" t="n"/>
      <c r="Q776" s="372" t="n"/>
      <c r="R776" s="372" t="n"/>
      <c r="T776" s="216">
        <f>UPPER(A776&amp;" "&amp;B776&amp;" "&amp;D776&amp;" "&amp;E776&amp;" "&amp;F776&amp;" "&amp;G776&amp;" "&amp;H776)</f>
        <v/>
      </c>
      <c r="U776" s="216">
        <f>IF(AND('TRA CỨU TỔNG HỢP'!$B$3&lt;&gt;"",ISNUMBER(SEARCH('TRA CỨU TỔNG HỢP'!$B$3,T776))),MAX($U$3:U775)+1,"")</f>
        <v/>
      </c>
    </row>
    <row r="777" ht="15" customHeight="1" s="217">
      <c r="A777" s="379" t="n"/>
      <c r="B777" s="380" t="n"/>
      <c r="C777" s="379" t="n"/>
      <c r="D777" s="379" t="n"/>
      <c r="E777" s="379" t="n"/>
      <c r="F777" s="381" t="n"/>
      <c r="G777" s="379" t="n"/>
      <c r="H777" s="382" t="n"/>
      <c r="I777" s="383" t="n"/>
      <c r="J777" s="383" t="n"/>
      <c r="K777" s="383" t="n"/>
      <c r="L777" s="383">
        <f>IF(K777="","",K777*1.1)</f>
        <v/>
      </c>
      <c r="M777" s="384" t="n"/>
      <c r="N777" s="384" t="n"/>
      <c r="O777" s="384" t="n"/>
      <c r="P777" s="384" t="n"/>
      <c r="Q777" s="384" t="n"/>
      <c r="R777" s="384" t="n"/>
      <c r="T777" s="216">
        <f>UPPER(A777&amp;" "&amp;B777&amp;" "&amp;D777&amp;" "&amp;E777&amp;" "&amp;F777&amp;" "&amp;G777&amp;" "&amp;H777)</f>
        <v/>
      </c>
      <c r="U777" s="216">
        <f>IF(AND('TRA CỨU TỔNG HỢP'!$B$3&lt;&gt;"",ISNUMBER(SEARCH('TRA CỨU TỔNG HỢP'!$B$3,T777))),MAX($U$3:U776)+1,"")</f>
        <v/>
      </c>
    </row>
    <row r="778" ht="15" customHeight="1" s="217">
      <c r="A778" s="367" t="n"/>
      <c r="B778" s="368" t="n"/>
      <c r="C778" s="367" t="n"/>
      <c r="D778" s="367" t="n"/>
      <c r="E778" s="367" t="n"/>
      <c r="F778" s="369" t="n"/>
      <c r="G778" s="367" t="n"/>
      <c r="H778" s="370" t="n"/>
      <c r="I778" s="371" t="n"/>
      <c r="J778" s="371" t="n"/>
      <c r="K778" s="371" t="n"/>
      <c r="L778" s="371">
        <f>IF(K778="","",K778*1.1)</f>
        <v/>
      </c>
      <c r="M778" s="372" t="n"/>
      <c r="N778" s="372" t="n"/>
      <c r="O778" s="372" t="n"/>
      <c r="P778" s="372" t="n"/>
      <c r="Q778" s="372" t="n"/>
      <c r="R778" s="372" t="n"/>
      <c r="T778" s="216">
        <f>UPPER(A778&amp;" "&amp;B778&amp;" "&amp;D778&amp;" "&amp;E778&amp;" "&amp;F778&amp;" "&amp;G778&amp;" "&amp;H778)</f>
        <v/>
      </c>
      <c r="U778" s="216">
        <f>IF(AND('TRA CỨU TỔNG HỢP'!$B$3&lt;&gt;"",ISNUMBER(SEARCH('TRA CỨU TỔNG HỢP'!$B$3,T778))),MAX($U$3:U777)+1,"")</f>
        <v/>
      </c>
    </row>
    <row r="779" ht="15" customHeight="1" s="217">
      <c r="A779" s="379" t="n"/>
      <c r="B779" s="380" t="n"/>
      <c r="C779" s="379" t="n"/>
      <c r="D779" s="379" t="n"/>
      <c r="E779" s="379" t="n"/>
      <c r="F779" s="381" t="n"/>
      <c r="G779" s="379" t="n"/>
      <c r="H779" s="382" t="n"/>
      <c r="I779" s="383" t="n"/>
      <c r="J779" s="383" t="n"/>
      <c r="K779" s="383" t="n"/>
      <c r="L779" s="383">
        <f>IF(K779="","",K779*1.1)</f>
        <v/>
      </c>
      <c r="M779" s="384" t="n"/>
      <c r="N779" s="384" t="n"/>
      <c r="O779" s="384" t="n"/>
      <c r="P779" s="384" t="n"/>
      <c r="Q779" s="384" t="n"/>
      <c r="R779" s="384" t="n"/>
      <c r="T779" s="216">
        <f>UPPER(A779&amp;" "&amp;B779&amp;" "&amp;D779&amp;" "&amp;E779&amp;" "&amp;F779&amp;" "&amp;G779&amp;" "&amp;H779)</f>
        <v/>
      </c>
      <c r="U779" s="216">
        <f>IF(AND('TRA CỨU TỔNG HỢP'!$B$3&lt;&gt;"",ISNUMBER(SEARCH('TRA CỨU TỔNG HỢP'!$B$3,T779))),MAX($U$3:U778)+1,"")</f>
        <v/>
      </c>
    </row>
    <row r="780" ht="15" customHeight="1" s="217">
      <c r="A780" s="367" t="n"/>
      <c r="B780" s="368" t="n"/>
      <c r="C780" s="367" t="n"/>
      <c r="D780" s="367" t="n"/>
      <c r="E780" s="367" t="n"/>
      <c r="F780" s="369" t="n"/>
      <c r="G780" s="367" t="n"/>
      <c r="H780" s="370" t="n"/>
      <c r="I780" s="371" t="n"/>
      <c r="J780" s="371" t="n"/>
      <c r="K780" s="371" t="n"/>
      <c r="L780" s="371">
        <f>IF(K780="","",K780*1.1)</f>
        <v/>
      </c>
      <c r="M780" s="372" t="n"/>
      <c r="N780" s="372" t="n"/>
      <c r="O780" s="372" t="n"/>
      <c r="P780" s="372" t="n"/>
      <c r="Q780" s="372" t="n"/>
      <c r="R780" s="372" t="n"/>
      <c r="T780" s="216">
        <f>UPPER(A780&amp;" "&amp;B780&amp;" "&amp;D780&amp;" "&amp;E780&amp;" "&amp;F780&amp;" "&amp;G780&amp;" "&amp;H780)</f>
        <v/>
      </c>
      <c r="U780" s="216">
        <f>IF(AND('TRA CỨU TỔNG HỢP'!$B$3&lt;&gt;"",ISNUMBER(SEARCH('TRA CỨU TỔNG HỢP'!$B$3,T780))),MAX($U$3:U779)+1,"")</f>
        <v/>
      </c>
    </row>
    <row r="781" ht="15" customHeight="1" s="217">
      <c r="A781" s="379" t="n"/>
      <c r="B781" s="380" t="n"/>
      <c r="C781" s="379" t="n"/>
      <c r="D781" s="379" t="n"/>
      <c r="E781" s="379" t="n"/>
      <c r="F781" s="381" t="n"/>
      <c r="G781" s="379" t="n"/>
      <c r="H781" s="382" t="n"/>
      <c r="I781" s="383" t="n"/>
      <c r="J781" s="383" t="n"/>
      <c r="K781" s="383" t="n"/>
      <c r="L781" s="383">
        <f>IF(K781="","",K781*1.1)</f>
        <v/>
      </c>
      <c r="M781" s="384" t="n"/>
      <c r="N781" s="384" t="n"/>
      <c r="O781" s="384" t="n"/>
      <c r="P781" s="384" t="n"/>
      <c r="Q781" s="384" t="n"/>
      <c r="R781" s="384" t="n"/>
      <c r="T781" s="216">
        <f>UPPER(A781&amp;" "&amp;B781&amp;" "&amp;D781&amp;" "&amp;E781&amp;" "&amp;F781&amp;" "&amp;G781&amp;" "&amp;H781)</f>
        <v/>
      </c>
      <c r="U781" s="216">
        <f>IF(AND('TRA CỨU TỔNG HỢP'!$B$3&lt;&gt;"",ISNUMBER(SEARCH('TRA CỨU TỔNG HỢP'!$B$3,T781))),MAX($U$3:U780)+1,"")</f>
        <v/>
      </c>
    </row>
    <row r="782" ht="15" customHeight="1" s="217">
      <c r="A782" s="367" t="n"/>
      <c r="B782" s="368" t="n"/>
      <c r="C782" s="367" t="n"/>
      <c r="D782" s="367" t="n"/>
      <c r="E782" s="367" t="n"/>
      <c r="F782" s="369" t="n"/>
      <c r="G782" s="367" t="n"/>
      <c r="H782" s="370" t="n"/>
      <c r="I782" s="371" t="n"/>
      <c r="J782" s="371" t="n"/>
      <c r="K782" s="371" t="n"/>
      <c r="L782" s="371">
        <f>IF(K782="","",K782*1.1)</f>
        <v/>
      </c>
      <c r="M782" s="372" t="n"/>
      <c r="N782" s="372" t="n"/>
      <c r="O782" s="372" t="n"/>
      <c r="P782" s="372" t="n"/>
      <c r="Q782" s="372" t="n"/>
      <c r="R782" s="372" t="n"/>
      <c r="T782" s="216">
        <f>UPPER(A782&amp;" "&amp;B782&amp;" "&amp;D782&amp;" "&amp;E782&amp;" "&amp;F782&amp;" "&amp;G782&amp;" "&amp;H782)</f>
        <v/>
      </c>
      <c r="U782" s="216">
        <f>IF(AND('TRA CỨU TỔNG HỢP'!$B$3&lt;&gt;"",ISNUMBER(SEARCH('TRA CỨU TỔNG HỢP'!$B$3,T782))),MAX($U$3:U781)+1,"")</f>
        <v/>
      </c>
    </row>
    <row r="783" ht="15" customHeight="1" s="217">
      <c r="A783" s="379" t="n"/>
      <c r="B783" s="380" t="n"/>
      <c r="C783" s="379" t="n"/>
      <c r="D783" s="379" t="n"/>
      <c r="E783" s="379" t="n"/>
      <c r="F783" s="381" t="n"/>
      <c r="G783" s="379" t="n"/>
      <c r="H783" s="382" t="n"/>
      <c r="I783" s="383" t="n"/>
      <c r="J783" s="383" t="n"/>
      <c r="K783" s="383" t="n"/>
      <c r="L783" s="383">
        <f>IF(K783="","",K783*1.1)</f>
        <v/>
      </c>
      <c r="M783" s="384" t="n"/>
      <c r="N783" s="384" t="n"/>
      <c r="O783" s="384" t="n"/>
      <c r="P783" s="384" t="n"/>
      <c r="Q783" s="384" t="n"/>
      <c r="R783" s="384" t="n"/>
      <c r="T783" s="216">
        <f>UPPER(A783&amp;" "&amp;B783&amp;" "&amp;D783&amp;" "&amp;E783&amp;" "&amp;F783&amp;" "&amp;G783&amp;" "&amp;H783)</f>
        <v/>
      </c>
      <c r="U783" s="216">
        <f>IF(AND('TRA CỨU TỔNG HỢP'!$B$3&lt;&gt;"",ISNUMBER(SEARCH('TRA CỨU TỔNG HỢP'!$B$3,T783))),MAX($U$3:U782)+1,"")</f>
        <v/>
      </c>
    </row>
    <row r="784" ht="15" customHeight="1" s="217">
      <c r="A784" s="367" t="n"/>
      <c r="B784" s="368" t="n"/>
      <c r="C784" s="367" t="n"/>
      <c r="D784" s="367" t="n"/>
      <c r="E784" s="367" t="n"/>
      <c r="F784" s="369" t="n"/>
      <c r="G784" s="367" t="n"/>
      <c r="H784" s="370" t="n"/>
      <c r="I784" s="371" t="n"/>
      <c r="J784" s="371" t="n"/>
      <c r="K784" s="371" t="n"/>
      <c r="L784" s="371">
        <f>IF(K784="","",K784*1.1)</f>
        <v/>
      </c>
      <c r="M784" s="372" t="n"/>
      <c r="N784" s="372" t="n"/>
      <c r="O784" s="372" t="n"/>
      <c r="P784" s="372" t="n"/>
      <c r="Q784" s="372" t="n"/>
      <c r="R784" s="372" t="n"/>
      <c r="T784" s="216">
        <f>UPPER(A784&amp;" "&amp;B784&amp;" "&amp;D784&amp;" "&amp;E784&amp;" "&amp;F784&amp;" "&amp;G784&amp;" "&amp;H784)</f>
        <v/>
      </c>
      <c r="U784" s="216">
        <f>IF(AND('TRA CỨU TỔNG HỢP'!$B$3&lt;&gt;"",ISNUMBER(SEARCH('TRA CỨU TỔNG HỢP'!$B$3,T784))),MAX($U$3:U783)+1,"")</f>
        <v/>
      </c>
    </row>
    <row r="785" ht="15" customHeight="1" s="217">
      <c r="A785" s="379" t="n"/>
      <c r="B785" s="380" t="n"/>
      <c r="C785" s="379" t="n"/>
      <c r="D785" s="379" t="n"/>
      <c r="E785" s="379" t="n"/>
      <c r="F785" s="381" t="n"/>
      <c r="G785" s="379" t="n"/>
      <c r="H785" s="382" t="n"/>
      <c r="I785" s="383" t="n"/>
      <c r="J785" s="383" t="n"/>
      <c r="K785" s="383" t="n"/>
      <c r="L785" s="383">
        <f>IF(K785="","",K785*1.1)</f>
        <v/>
      </c>
      <c r="M785" s="384" t="n"/>
      <c r="N785" s="384" t="n"/>
      <c r="O785" s="384" t="n"/>
      <c r="P785" s="384" t="n"/>
      <c r="Q785" s="384" t="n"/>
      <c r="R785" s="384" t="n"/>
      <c r="T785" s="216">
        <f>UPPER(A785&amp;" "&amp;B785&amp;" "&amp;D785&amp;" "&amp;E785&amp;" "&amp;F785&amp;" "&amp;G785&amp;" "&amp;H785)</f>
        <v/>
      </c>
      <c r="U785" s="216">
        <f>IF(AND('TRA CỨU TỔNG HỢP'!$B$3&lt;&gt;"",ISNUMBER(SEARCH('TRA CỨU TỔNG HỢP'!$B$3,T785))),MAX($U$3:U784)+1,"")</f>
        <v/>
      </c>
    </row>
    <row r="786" ht="15" customHeight="1" s="217">
      <c r="A786" s="367" t="n"/>
      <c r="B786" s="368" t="n"/>
      <c r="C786" s="367" t="n"/>
      <c r="D786" s="367" t="n"/>
      <c r="E786" s="367" t="n"/>
      <c r="F786" s="369" t="n"/>
      <c r="G786" s="367" t="n"/>
      <c r="H786" s="370" t="n"/>
      <c r="I786" s="371" t="n"/>
      <c r="J786" s="371" t="n"/>
      <c r="K786" s="371" t="n"/>
      <c r="L786" s="371">
        <f>IF(K786="","",K786*1.1)</f>
        <v/>
      </c>
      <c r="M786" s="372" t="n"/>
      <c r="N786" s="372" t="n"/>
      <c r="O786" s="372" t="n"/>
      <c r="P786" s="372" t="n"/>
      <c r="Q786" s="372" t="n"/>
      <c r="R786" s="372" t="n"/>
      <c r="T786" s="216">
        <f>UPPER(A786&amp;" "&amp;B786&amp;" "&amp;D786&amp;" "&amp;E786&amp;" "&amp;F786&amp;" "&amp;G786&amp;" "&amp;H786)</f>
        <v/>
      </c>
      <c r="U786" s="216">
        <f>IF(AND('TRA CỨU TỔNG HỢP'!$B$3&lt;&gt;"",ISNUMBER(SEARCH('TRA CỨU TỔNG HỢP'!$B$3,T786))),MAX($U$3:U785)+1,"")</f>
        <v/>
      </c>
    </row>
    <row r="787" ht="15" customHeight="1" s="217">
      <c r="A787" s="379" t="n"/>
      <c r="B787" s="380" t="n"/>
      <c r="C787" s="379" t="n"/>
      <c r="D787" s="379" t="n"/>
      <c r="E787" s="379" t="n"/>
      <c r="F787" s="381" t="n"/>
      <c r="G787" s="379" t="n"/>
      <c r="H787" s="382" t="n"/>
      <c r="I787" s="383" t="n"/>
      <c r="J787" s="383" t="n"/>
      <c r="K787" s="383" t="n"/>
      <c r="L787" s="383">
        <f>IF(K787="","",K787*1.1)</f>
        <v/>
      </c>
      <c r="M787" s="384" t="n"/>
      <c r="N787" s="384" t="n"/>
      <c r="O787" s="384" t="n"/>
      <c r="P787" s="384" t="n"/>
      <c r="Q787" s="384" t="n"/>
      <c r="R787" s="384" t="n"/>
      <c r="T787" s="216">
        <f>UPPER(A787&amp;" "&amp;B787&amp;" "&amp;D787&amp;" "&amp;E787&amp;" "&amp;F787&amp;" "&amp;G787&amp;" "&amp;H787)</f>
        <v/>
      </c>
      <c r="U787" s="216">
        <f>IF(AND('TRA CỨU TỔNG HỢP'!$B$3&lt;&gt;"",ISNUMBER(SEARCH('TRA CỨU TỔNG HỢP'!$B$3,T787))),MAX($U$3:U786)+1,"")</f>
        <v/>
      </c>
    </row>
    <row r="788" ht="15" customHeight="1" s="217">
      <c r="A788" s="367" t="n"/>
      <c r="B788" s="368" t="n"/>
      <c r="C788" s="367" t="n"/>
      <c r="D788" s="367" t="n"/>
      <c r="E788" s="367" t="n"/>
      <c r="F788" s="369" t="n"/>
      <c r="G788" s="367" t="n"/>
      <c r="H788" s="370" t="n"/>
      <c r="I788" s="371" t="n"/>
      <c r="J788" s="371" t="n"/>
      <c r="K788" s="371" t="n"/>
      <c r="L788" s="371">
        <f>IF(K788="","",K788*1.1)</f>
        <v/>
      </c>
      <c r="M788" s="372" t="n"/>
      <c r="N788" s="372" t="n"/>
      <c r="O788" s="372" t="n"/>
      <c r="P788" s="372" t="n"/>
      <c r="Q788" s="372" t="n"/>
      <c r="R788" s="372" t="n"/>
      <c r="T788" s="216">
        <f>UPPER(A788&amp;" "&amp;B788&amp;" "&amp;D788&amp;" "&amp;E788&amp;" "&amp;F788&amp;" "&amp;G788&amp;" "&amp;H788)</f>
        <v/>
      </c>
      <c r="U788" s="216">
        <f>IF(AND('TRA CỨU TỔNG HỢP'!$B$3&lt;&gt;"",ISNUMBER(SEARCH('TRA CỨU TỔNG HỢP'!$B$3,T788))),MAX($U$3:U787)+1,"")</f>
        <v/>
      </c>
    </row>
    <row r="789" ht="15" customHeight="1" s="217">
      <c r="A789" s="379" t="n"/>
      <c r="B789" s="380" t="n"/>
      <c r="C789" s="379" t="n"/>
      <c r="D789" s="379" t="n"/>
      <c r="E789" s="379" t="n"/>
      <c r="F789" s="381" t="n"/>
      <c r="G789" s="379" t="n"/>
      <c r="H789" s="382" t="n"/>
      <c r="I789" s="383" t="n"/>
      <c r="J789" s="383" t="n"/>
      <c r="K789" s="383" t="n"/>
      <c r="L789" s="383">
        <f>IF(K789="","",K789*1.1)</f>
        <v/>
      </c>
      <c r="M789" s="384" t="n"/>
      <c r="N789" s="384" t="n"/>
      <c r="O789" s="384" t="n"/>
      <c r="P789" s="384" t="n"/>
      <c r="Q789" s="384" t="n"/>
      <c r="R789" s="384" t="n"/>
      <c r="T789" s="216">
        <f>UPPER(A789&amp;" "&amp;B789&amp;" "&amp;D789&amp;" "&amp;E789&amp;" "&amp;F789&amp;" "&amp;G789&amp;" "&amp;H789)</f>
        <v/>
      </c>
      <c r="U789" s="216">
        <f>IF(AND('TRA CỨU TỔNG HỢP'!$B$3&lt;&gt;"",ISNUMBER(SEARCH('TRA CỨU TỔNG HỢP'!$B$3,T789))),MAX($U$3:U788)+1,"")</f>
        <v/>
      </c>
    </row>
    <row r="790" ht="15" customHeight="1" s="217">
      <c r="A790" s="367" t="n"/>
      <c r="B790" s="368" t="n"/>
      <c r="C790" s="367" t="n"/>
      <c r="D790" s="367" t="n"/>
      <c r="E790" s="367" t="n"/>
      <c r="F790" s="369" t="n"/>
      <c r="G790" s="367" t="n"/>
      <c r="H790" s="370" t="n"/>
      <c r="I790" s="371" t="n"/>
      <c r="J790" s="371" t="n"/>
      <c r="K790" s="371" t="n"/>
      <c r="L790" s="371">
        <f>IF(K790="","",K790*1.1)</f>
        <v/>
      </c>
      <c r="M790" s="372" t="n"/>
      <c r="N790" s="372" t="n"/>
      <c r="O790" s="372" t="n"/>
      <c r="P790" s="372" t="n"/>
      <c r="Q790" s="372" t="n"/>
      <c r="R790" s="372" t="n"/>
      <c r="T790" s="216">
        <f>UPPER(A790&amp;" "&amp;B790&amp;" "&amp;D790&amp;" "&amp;E790&amp;" "&amp;F790&amp;" "&amp;G790&amp;" "&amp;H790)</f>
        <v/>
      </c>
      <c r="U790" s="216">
        <f>IF(AND('TRA CỨU TỔNG HỢP'!$B$3&lt;&gt;"",ISNUMBER(SEARCH('TRA CỨU TỔNG HỢP'!$B$3,T790))),MAX($U$3:U789)+1,"")</f>
        <v/>
      </c>
    </row>
    <row r="791" ht="15" customHeight="1" s="217">
      <c r="A791" s="379" t="n"/>
      <c r="B791" s="380" t="n"/>
      <c r="C791" s="379" t="n"/>
      <c r="D791" s="379" t="n"/>
      <c r="E791" s="379" t="n"/>
      <c r="F791" s="381" t="n"/>
      <c r="G791" s="379" t="n"/>
      <c r="H791" s="382" t="n"/>
      <c r="I791" s="383" t="n"/>
      <c r="J791" s="383" t="n"/>
      <c r="K791" s="383" t="n"/>
      <c r="L791" s="383">
        <f>IF(K791="","",K791*1.1)</f>
        <v/>
      </c>
      <c r="M791" s="384" t="n"/>
      <c r="N791" s="384" t="n"/>
      <c r="O791" s="384" t="n"/>
      <c r="P791" s="384" t="n"/>
      <c r="Q791" s="384" t="n"/>
      <c r="R791" s="384" t="n"/>
      <c r="T791" s="216">
        <f>UPPER(A791&amp;" "&amp;B791&amp;" "&amp;D791&amp;" "&amp;E791&amp;" "&amp;F791&amp;" "&amp;G791&amp;" "&amp;H791)</f>
        <v/>
      </c>
      <c r="U791" s="216">
        <f>IF(AND('TRA CỨU TỔNG HỢP'!$B$3&lt;&gt;"",ISNUMBER(SEARCH('TRA CỨU TỔNG HỢP'!$B$3,T791))),MAX($U$3:U790)+1,"")</f>
        <v/>
      </c>
    </row>
    <row r="792" ht="15" customHeight="1" s="217">
      <c r="A792" s="367" t="n"/>
      <c r="B792" s="368" t="n"/>
      <c r="C792" s="367" t="n"/>
      <c r="D792" s="367" t="n"/>
      <c r="E792" s="367" t="n"/>
      <c r="F792" s="369" t="n"/>
      <c r="G792" s="367" t="n"/>
      <c r="H792" s="370" t="n"/>
      <c r="I792" s="371" t="n"/>
      <c r="J792" s="371" t="n"/>
      <c r="K792" s="371" t="n"/>
      <c r="L792" s="371">
        <f>IF(K792="","",K792*1.1)</f>
        <v/>
      </c>
      <c r="M792" s="372" t="n"/>
      <c r="N792" s="372" t="n"/>
      <c r="O792" s="372" t="n"/>
      <c r="P792" s="372" t="n"/>
      <c r="Q792" s="372" t="n"/>
      <c r="R792" s="372" t="n"/>
      <c r="T792" s="216">
        <f>UPPER(A792&amp;" "&amp;B792&amp;" "&amp;D792&amp;" "&amp;E792&amp;" "&amp;F792&amp;" "&amp;G792&amp;" "&amp;H792)</f>
        <v/>
      </c>
      <c r="U792" s="216">
        <f>IF(AND('TRA CỨU TỔNG HỢP'!$B$3&lt;&gt;"",ISNUMBER(SEARCH('TRA CỨU TỔNG HỢP'!$B$3,T792))),MAX($U$3:U791)+1,"")</f>
        <v/>
      </c>
    </row>
    <row r="793" ht="15" customHeight="1" s="217">
      <c r="A793" s="379" t="n"/>
      <c r="B793" s="380" t="n"/>
      <c r="C793" s="379" t="n"/>
      <c r="D793" s="379" t="n"/>
      <c r="E793" s="379" t="n"/>
      <c r="F793" s="381" t="n"/>
      <c r="G793" s="379" t="n"/>
      <c r="H793" s="382" t="n"/>
      <c r="I793" s="383" t="n"/>
      <c r="J793" s="383" t="n"/>
      <c r="K793" s="383" t="n"/>
      <c r="L793" s="383">
        <f>IF(K793="","",K793*1.1)</f>
        <v/>
      </c>
      <c r="M793" s="384" t="n"/>
      <c r="N793" s="384" t="n"/>
      <c r="O793" s="384" t="n"/>
      <c r="P793" s="384" t="n"/>
      <c r="Q793" s="384" t="n"/>
      <c r="R793" s="384" t="n"/>
      <c r="T793" s="216">
        <f>UPPER(A793&amp;" "&amp;B793&amp;" "&amp;D793&amp;" "&amp;E793&amp;" "&amp;F793&amp;" "&amp;G793&amp;" "&amp;H793)</f>
        <v/>
      </c>
      <c r="U793" s="216">
        <f>IF(AND('TRA CỨU TỔNG HỢP'!$B$3&lt;&gt;"",ISNUMBER(SEARCH('TRA CỨU TỔNG HỢP'!$B$3,T793))),MAX($U$3:U792)+1,"")</f>
        <v/>
      </c>
    </row>
    <row r="794" ht="15" customHeight="1" s="217">
      <c r="A794" s="367" t="n"/>
      <c r="B794" s="368" t="n"/>
      <c r="C794" s="367" t="n"/>
      <c r="D794" s="367" t="n"/>
      <c r="E794" s="367" t="n"/>
      <c r="F794" s="369" t="n"/>
      <c r="G794" s="367" t="n"/>
      <c r="H794" s="370" t="n"/>
      <c r="I794" s="371" t="n"/>
      <c r="J794" s="371" t="n"/>
      <c r="K794" s="371" t="n"/>
      <c r="L794" s="371">
        <f>IF(K794="","",K794*1.1)</f>
        <v/>
      </c>
      <c r="M794" s="372" t="n"/>
      <c r="N794" s="372" t="n"/>
      <c r="O794" s="372" t="n"/>
      <c r="P794" s="372" t="n"/>
      <c r="Q794" s="372" t="n"/>
      <c r="R794" s="372" t="n"/>
      <c r="T794" s="216">
        <f>UPPER(A794&amp;" "&amp;B794&amp;" "&amp;D794&amp;" "&amp;E794&amp;" "&amp;F794&amp;" "&amp;G794&amp;" "&amp;H794)</f>
        <v/>
      </c>
      <c r="U794" s="216">
        <f>IF(AND('TRA CỨU TỔNG HỢP'!$B$3&lt;&gt;"",ISNUMBER(SEARCH('TRA CỨU TỔNG HỢP'!$B$3,T794))),MAX($U$3:U793)+1,"")</f>
        <v/>
      </c>
    </row>
    <row r="795" ht="15" customHeight="1" s="217">
      <c r="A795" s="379" t="n"/>
      <c r="B795" s="380" t="n"/>
      <c r="C795" s="379" t="n"/>
      <c r="D795" s="379" t="n"/>
      <c r="E795" s="379" t="n"/>
      <c r="F795" s="381" t="n"/>
      <c r="G795" s="379" t="n"/>
      <c r="H795" s="382" t="n"/>
      <c r="I795" s="383" t="n"/>
      <c r="J795" s="383" t="n"/>
      <c r="K795" s="383" t="n"/>
      <c r="L795" s="383">
        <f>IF(K795="","",K795*1.1)</f>
        <v/>
      </c>
      <c r="M795" s="384" t="n"/>
      <c r="N795" s="384" t="n"/>
      <c r="O795" s="384" t="n"/>
      <c r="P795" s="384" t="n"/>
      <c r="Q795" s="384" t="n"/>
      <c r="R795" s="384" t="n"/>
      <c r="T795" s="216">
        <f>UPPER(A795&amp;" "&amp;B795&amp;" "&amp;D795&amp;" "&amp;E795&amp;" "&amp;F795&amp;" "&amp;G795&amp;" "&amp;H795)</f>
        <v/>
      </c>
      <c r="U795" s="216">
        <f>IF(AND('TRA CỨU TỔNG HỢP'!$B$3&lt;&gt;"",ISNUMBER(SEARCH('TRA CỨU TỔNG HỢP'!$B$3,T795))),MAX($U$3:U794)+1,"")</f>
        <v/>
      </c>
    </row>
    <row r="796" ht="15" customHeight="1" s="217">
      <c r="A796" s="367" t="n"/>
      <c r="B796" s="368" t="n"/>
      <c r="C796" s="367" t="n"/>
      <c r="D796" s="367" t="n"/>
      <c r="E796" s="367" t="n"/>
      <c r="F796" s="369" t="n"/>
      <c r="G796" s="367" t="n"/>
      <c r="H796" s="370" t="n"/>
      <c r="I796" s="371" t="n"/>
      <c r="J796" s="371" t="n"/>
      <c r="K796" s="371" t="n"/>
      <c r="L796" s="371">
        <f>IF(K796="","",K796*1.1)</f>
        <v/>
      </c>
      <c r="M796" s="372" t="n"/>
      <c r="N796" s="372" t="n"/>
      <c r="O796" s="372" t="n"/>
      <c r="P796" s="372" t="n"/>
      <c r="Q796" s="372" t="n"/>
      <c r="R796" s="372" t="n"/>
      <c r="T796" s="216">
        <f>UPPER(A796&amp;" "&amp;B796&amp;" "&amp;D796&amp;" "&amp;E796&amp;" "&amp;F796&amp;" "&amp;G796&amp;" "&amp;H796)</f>
        <v/>
      </c>
      <c r="U796" s="216">
        <f>IF(AND('TRA CỨU TỔNG HỢP'!$B$3&lt;&gt;"",ISNUMBER(SEARCH('TRA CỨU TỔNG HỢP'!$B$3,T796))),MAX($U$3:U795)+1,"")</f>
        <v/>
      </c>
    </row>
    <row r="797" ht="15" customHeight="1" s="217">
      <c r="A797" s="379" t="n"/>
      <c r="B797" s="380" t="n"/>
      <c r="C797" s="379" t="n"/>
      <c r="D797" s="379" t="n"/>
      <c r="E797" s="379" t="n"/>
      <c r="F797" s="381" t="n"/>
      <c r="G797" s="379" t="n"/>
      <c r="H797" s="382" t="n"/>
      <c r="I797" s="383" t="n"/>
      <c r="J797" s="383" t="n"/>
      <c r="K797" s="383" t="n"/>
      <c r="L797" s="383">
        <f>IF(K797="","",K797*1.1)</f>
        <v/>
      </c>
      <c r="M797" s="384" t="n"/>
      <c r="N797" s="384" t="n"/>
      <c r="O797" s="384" t="n"/>
      <c r="P797" s="384" t="n"/>
      <c r="Q797" s="384" t="n"/>
      <c r="R797" s="384" t="n"/>
      <c r="T797" s="216">
        <f>UPPER(A797&amp;" "&amp;B797&amp;" "&amp;D797&amp;" "&amp;E797&amp;" "&amp;F797&amp;" "&amp;G797&amp;" "&amp;H797)</f>
        <v/>
      </c>
      <c r="U797" s="216">
        <f>IF(AND('TRA CỨU TỔNG HỢP'!$B$3&lt;&gt;"",ISNUMBER(SEARCH('TRA CỨU TỔNG HỢP'!$B$3,T797))),MAX($U$3:U796)+1,"")</f>
        <v/>
      </c>
    </row>
    <row r="798" ht="15" customHeight="1" s="217">
      <c r="A798" s="367" t="n"/>
      <c r="B798" s="368" t="n"/>
      <c r="C798" s="367" t="n"/>
      <c r="D798" s="367" t="n"/>
      <c r="E798" s="367" t="n"/>
      <c r="F798" s="369" t="n"/>
      <c r="G798" s="367" t="n"/>
      <c r="H798" s="370" t="n"/>
      <c r="I798" s="371" t="n"/>
      <c r="J798" s="371" t="n"/>
      <c r="K798" s="371" t="n"/>
      <c r="L798" s="371">
        <f>IF(K798="","",K798*1.1)</f>
        <v/>
      </c>
      <c r="M798" s="372" t="n"/>
      <c r="N798" s="372" t="n"/>
      <c r="O798" s="372" t="n"/>
      <c r="P798" s="372" t="n"/>
      <c r="Q798" s="372" t="n"/>
      <c r="R798" s="372" t="n"/>
      <c r="T798" s="216">
        <f>UPPER(A798&amp;" "&amp;B798&amp;" "&amp;D798&amp;" "&amp;E798&amp;" "&amp;F798&amp;" "&amp;G798&amp;" "&amp;H798)</f>
        <v/>
      </c>
      <c r="U798" s="216">
        <f>IF(AND('TRA CỨU TỔNG HỢP'!$B$3&lt;&gt;"",ISNUMBER(SEARCH('TRA CỨU TỔNG HỢP'!$B$3,T798))),MAX($U$3:U797)+1,"")</f>
        <v/>
      </c>
    </row>
    <row r="799" ht="15" customHeight="1" s="217">
      <c r="A799" s="379" t="n"/>
      <c r="B799" s="380" t="n"/>
      <c r="C799" s="379" t="n"/>
      <c r="D799" s="379" t="n"/>
      <c r="E799" s="379" t="n"/>
      <c r="F799" s="381" t="n"/>
      <c r="G799" s="379" t="n"/>
      <c r="H799" s="382" t="n"/>
      <c r="I799" s="383" t="n"/>
      <c r="J799" s="383" t="n"/>
      <c r="K799" s="383" t="n"/>
      <c r="L799" s="383">
        <f>IF(K799="","",K799*1.1)</f>
        <v/>
      </c>
      <c r="M799" s="384" t="n"/>
      <c r="N799" s="384" t="n"/>
      <c r="O799" s="384" t="n"/>
      <c r="P799" s="384" t="n"/>
      <c r="Q799" s="384" t="n"/>
      <c r="R799" s="384" t="n"/>
      <c r="T799" s="216">
        <f>UPPER(A799&amp;" "&amp;B799&amp;" "&amp;D799&amp;" "&amp;E799&amp;" "&amp;F799&amp;" "&amp;G799&amp;" "&amp;H799)</f>
        <v/>
      </c>
      <c r="U799" s="216">
        <f>IF(AND('TRA CỨU TỔNG HỢP'!$B$3&lt;&gt;"",ISNUMBER(SEARCH('TRA CỨU TỔNG HỢP'!$B$3,T799))),MAX($U$3:U798)+1,"")</f>
        <v/>
      </c>
    </row>
    <row r="800" ht="15" customHeight="1" s="217">
      <c r="A800" s="367" t="n"/>
      <c r="B800" s="368" t="n"/>
      <c r="C800" s="367" t="n"/>
      <c r="D800" s="367" t="n"/>
      <c r="E800" s="367" t="n"/>
      <c r="F800" s="369" t="n"/>
      <c r="G800" s="367" t="n"/>
      <c r="H800" s="370" t="n"/>
      <c r="I800" s="371" t="n"/>
      <c r="J800" s="371" t="n"/>
      <c r="K800" s="371" t="n"/>
      <c r="L800" s="371">
        <f>IF(K800="","",K800*1.1)</f>
        <v/>
      </c>
      <c r="M800" s="372" t="n"/>
      <c r="N800" s="372" t="n"/>
      <c r="O800" s="372" t="n"/>
      <c r="P800" s="372" t="n"/>
      <c r="Q800" s="372" t="n"/>
      <c r="R800" s="372" t="n"/>
      <c r="T800" s="216">
        <f>UPPER(A800&amp;" "&amp;B800&amp;" "&amp;D800&amp;" "&amp;E800&amp;" "&amp;F800&amp;" "&amp;G800&amp;" "&amp;H800)</f>
        <v/>
      </c>
      <c r="U800" s="216">
        <f>IF(AND('TRA CỨU TỔNG HỢP'!$B$3&lt;&gt;"",ISNUMBER(SEARCH('TRA CỨU TỔNG HỢP'!$B$3,T800))),MAX($U$3:U799)+1,"")</f>
        <v/>
      </c>
    </row>
    <row r="801" ht="15" customHeight="1" s="217">
      <c r="A801" s="379" t="n"/>
      <c r="B801" s="380" t="n"/>
      <c r="C801" s="379" t="n"/>
      <c r="D801" s="379" t="n"/>
      <c r="E801" s="379" t="n"/>
      <c r="F801" s="381" t="n"/>
      <c r="G801" s="379" t="n"/>
      <c r="H801" s="382" t="n"/>
      <c r="I801" s="383" t="n"/>
      <c r="J801" s="383" t="n"/>
      <c r="K801" s="383" t="n"/>
      <c r="L801" s="383">
        <f>IF(K801="","",K801*1.1)</f>
        <v/>
      </c>
      <c r="M801" s="384" t="n"/>
      <c r="N801" s="384" t="n"/>
      <c r="O801" s="384" t="n"/>
      <c r="P801" s="384" t="n"/>
      <c r="Q801" s="384" t="n"/>
      <c r="R801" s="384" t="n"/>
      <c r="T801" s="216">
        <f>UPPER(A801&amp;" "&amp;B801&amp;" "&amp;D801&amp;" "&amp;E801&amp;" "&amp;F801&amp;" "&amp;G801&amp;" "&amp;H801)</f>
        <v/>
      </c>
      <c r="U801" s="216">
        <f>IF(AND('TRA CỨU TỔNG HỢP'!$B$3&lt;&gt;"",ISNUMBER(SEARCH('TRA CỨU TỔNG HỢP'!$B$3,T801))),MAX($U$3:U800)+1,"")</f>
        <v/>
      </c>
    </row>
    <row r="802" ht="15" customHeight="1" s="217">
      <c r="A802" s="367" t="n"/>
      <c r="B802" s="368" t="n"/>
      <c r="C802" s="367" t="n"/>
      <c r="D802" s="367" t="n"/>
      <c r="E802" s="367" t="n"/>
      <c r="F802" s="369" t="n"/>
      <c r="G802" s="367" t="n"/>
      <c r="H802" s="370" t="n"/>
      <c r="I802" s="371" t="n"/>
      <c r="J802" s="371" t="n"/>
      <c r="K802" s="371" t="n"/>
      <c r="L802" s="371">
        <f>IF(K802="","",K802*1.1)</f>
        <v/>
      </c>
      <c r="M802" s="372" t="n"/>
      <c r="N802" s="372" t="n"/>
      <c r="O802" s="372" t="n"/>
      <c r="P802" s="372" t="n"/>
      <c r="Q802" s="372" t="n"/>
      <c r="R802" s="372" t="n"/>
      <c r="T802" s="216">
        <f>UPPER(A802&amp;" "&amp;B802&amp;" "&amp;D802&amp;" "&amp;E802&amp;" "&amp;F802&amp;" "&amp;G802&amp;" "&amp;H802)</f>
        <v/>
      </c>
      <c r="U802" s="216">
        <f>IF(AND('TRA CỨU TỔNG HỢP'!$B$3&lt;&gt;"",ISNUMBER(SEARCH('TRA CỨU TỔNG HỢP'!$B$3,T802))),MAX($U$3:U801)+1,"")</f>
        <v/>
      </c>
    </row>
    <row r="803" ht="15" customHeight="1" s="217">
      <c r="A803" s="379" t="n"/>
      <c r="B803" s="380" t="n"/>
      <c r="C803" s="379" t="n"/>
      <c r="D803" s="379" t="n"/>
      <c r="E803" s="379" t="n"/>
      <c r="F803" s="381" t="n"/>
      <c r="G803" s="379" t="n"/>
      <c r="H803" s="382" t="n"/>
      <c r="I803" s="383" t="n"/>
      <c r="J803" s="383" t="n"/>
      <c r="K803" s="383" t="n"/>
      <c r="L803" s="383">
        <f>IF(K803="","",K803*1.1)</f>
        <v/>
      </c>
      <c r="M803" s="384" t="n"/>
      <c r="N803" s="384" t="n"/>
      <c r="O803" s="384" t="n"/>
      <c r="P803" s="384" t="n"/>
      <c r="Q803" s="384" t="n"/>
      <c r="R803" s="384" t="n"/>
      <c r="T803" s="216">
        <f>UPPER(A803&amp;" "&amp;B803&amp;" "&amp;D803&amp;" "&amp;E803&amp;" "&amp;F803&amp;" "&amp;G803&amp;" "&amp;H803)</f>
        <v/>
      </c>
      <c r="U803" s="216">
        <f>IF(AND('TRA CỨU TỔNG HỢP'!$B$3&lt;&gt;"",ISNUMBER(SEARCH('TRA CỨU TỔNG HỢP'!$B$3,T803))),MAX($U$3:U802)+1,"")</f>
        <v/>
      </c>
    </row>
    <row r="804" ht="15" customHeight="1" s="217">
      <c r="A804" s="367" t="n"/>
      <c r="B804" s="368" t="n"/>
      <c r="C804" s="367" t="n"/>
      <c r="D804" s="367" t="n"/>
      <c r="E804" s="367" t="n"/>
      <c r="F804" s="369" t="n"/>
      <c r="G804" s="367" t="n"/>
      <c r="H804" s="370" t="n"/>
      <c r="I804" s="371" t="n"/>
      <c r="J804" s="371" t="n"/>
      <c r="K804" s="371" t="n"/>
      <c r="L804" s="371">
        <f>IF(K804="","",K804*1.1)</f>
        <v/>
      </c>
      <c r="M804" s="372" t="n"/>
      <c r="N804" s="372" t="n"/>
      <c r="O804" s="372" t="n"/>
      <c r="P804" s="372" t="n"/>
      <c r="Q804" s="372" t="n"/>
      <c r="R804" s="372" t="n"/>
      <c r="T804" s="216">
        <f>UPPER(A804&amp;" "&amp;B804&amp;" "&amp;D804&amp;" "&amp;E804&amp;" "&amp;F804&amp;" "&amp;G804&amp;" "&amp;H804)</f>
        <v/>
      </c>
      <c r="U804" s="216">
        <f>IF(AND('TRA CỨU TỔNG HỢP'!$B$3&lt;&gt;"",ISNUMBER(SEARCH('TRA CỨU TỔNG HỢP'!$B$3,T804))),MAX($U$3:U803)+1,"")</f>
        <v/>
      </c>
    </row>
    <row r="805" ht="15" customHeight="1" s="217">
      <c r="A805" s="379" t="n"/>
      <c r="B805" s="380" t="n"/>
      <c r="C805" s="379" t="n"/>
      <c r="D805" s="379" t="n"/>
      <c r="E805" s="379" t="n"/>
      <c r="F805" s="381" t="n"/>
      <c r="G805" s="379" t="n"/>
      <c r="H805" s="382" t="n"/>
      <c r="I805" s="383" t="n"/>
      <c r="J805" s="383" t="n"/>
      <c r="K805" s="383" t="n"/>
      <c r="L805" s="383">
        <f>IF(K805="","",K805*1.1)</f>
        <v/>
      </c>
      <c r="M805" s="384" t="n"/>
      <c r="N805" s="384" t="n"/>
      <c r="O805" s="384" t="n"/>
      <c r="P805" s="384" t="n"/>
      <c r="Q805" s="384" t="n"/>
      <c r="R805" s="384" t="n"/>
      <c r="T805" s="216">
        <f>UPPER(A805&amp;" "&amp;B805&amp;" "&amp;D805&amp;" "&amp;E805&amp;" "&amp;F805&amp;" "&amp;G805&amp;" "&amp;H805)</f>
        <v/>
      </c>
      <c r="U805" s="216">
        <f>IF(AND('TRA CỨU TỔNG HỢP'!$B$3&lt;&gt;"",ISNUMBER(SEARCH('TRA CỨU TỔNG HỢP'!$B$3,T805))),MAX($U$3:U804)+1,"")</f>
        <v/>
      </c>
    </row>
    <row r="806" ht="15" customHeight="1" s="217">
      <c r="A806" s="367" t="n"/>
      <c r="B806" s="368" t="n"/>
      <c r="C806" s="367" t="n"/>
      <c r="D806" s="367" t="n"/>
      <c r="E806" s="367" t="n"/>
      <c r="F806" s="369" t="n"/>
      <c r="G806" s="367" t="n"/>
      <c r="H806" s="370" t="n"/>
      <c r="I806" s="371" t="n"/>
      <c r="J806" s="371" t="n"/>
      <c r="K806" s="371" t="n"/>
      <c r="L806" s="371">
        <f>IF(K806="","",K806*1.1)</f>
        <v/>
      </c>
      <c r="M806" s="372" t="n"/>
      <c r="N806" s="372" t="n"/>
      <c r="O806" s="372" t="n"/>
      <c r="P806" s="372" t="n"/>
      <c r="Q806" s="372" t="n"/>
      <c r="R806" s="372" t="n"/>
      <c r="T806" s="216">
        <f>UPPER(A806&amp;" "&amp;B806&amp;" "&amp;D806&amp;" "&amp;E806&amp;" "&amp;F806&amp;" "&amp;G806&amp;" "&amp;H806)</f>
        <v/>
      </c>
      <c r="U806" s="216">
        <f>IF(AND('TRA CỨU TỔNG HỢP'!$B$3&lt;&gt;"",ISNUMBER(SEARCH('TRA CỨU TỔNG HỢP'!$B$3,T806))),MAX($U$3:U805)+1,"")</f>
        <v/>
      </c>
    </row>
    <row r="807" ht="15" customHeight="1" s="217">
      <c r="A807" s="379" t="n"/>
      <c r="B807" s="380" t="n"/>
      <c r="C807" s="379" t="n"/>
      <c r="D807" s="379" t="n"/>
      <c r="E807" s="379" t="n"/>
      <c r="F807" s="381" t="n"/>
      <c r="G807" s="379" t="n"/>
      <c r="H807" s="382" t="n"/>
      <c r="I807" s="383" t="n"/>
      <c r="J807" s="383" t="n"/>
      <c r="K807" s="383" t="n"/>
      <c r="L807" s="383">
        <f>IF(K807="","",K807*1.1)</f>
        <v/>
      </c>
      <c r="M807" s="384" t="n"/>
      <c r="N807" s="384" t="n"/>
      <c r="O807" s="384" t="n"/>
      <c r="P807" s="384" t="n"/>
      <c r="Q807" s="384" t="n"/>
      <c r="R807" s="384" t="n"/>
      <c r="T807" s="216">
        <f>UPPER(A807&amp;" "&amp;B807&amp;" "&amp;D807&amp;" "&amp;E807&amp;" "&amp;F807&amp;" "&amp;G807&amp;" "&amp;H807)</f>
        <v/>
      </c>
      <c r="U807" s="216">
        <f>IF(AND('TRA CỨU TỔNG HỢP'!$B$3&lt;&gt;"",ISNUMBER(SEARCH('TRA CỨU TỔNG HỢP'!$B$3,T807))),MAX($U$3:U806)+1,"")</f>
        <v/>
      </c>
    </row>
    <row r="808" ht="15" customHeight="1" s="217">
      <c r="A808" s="367" t="n"/>
      <c r="B808" s="368" t="n"/>
      <c r="C808" s="367" t="n"/>
      <c r="D808" s="367" t="n"/>
      <c r="E808" s="367" t="n"/>
      <c r="F808" s="369" t="n"/>
      <c r="G808" s="367" t="n"/>
      <c r="H808" s="370" t="n"/>
      <c r="I808" s="371" t="n"/>
      <c r="J808" s="371" t="n"/>
      <c r="K808" s="371" t="n"/>
      <c r="L808" s="371">
        <f>IF(K808="","",K808*1.1)</f>
        <v/>
      </c>
      <c r="M808" s="372" t="n"/>
      <c r="N808" s="372" t="n"/>
      <c r="O808" s="372" t="n"/>
      <c r="P808" s="372" t="n"/>
      <c r="Q808" s="372" t="n"/>
      <c r="R808" s="372" t="n"/>
      <c r="T808" s="216">
        <f>UPPER(A808&amp;" "&amp;B808&amp;" "&amp;D808&amp;" "&amp;E808&amp;" "&amp;F808&amp;" "&amp;G808&amp;" "&amp;H808)</f>
        <v/>
      </c>
      <c r="U808" s="216">
        <f>IF(AND('TRA CỨU TỔNG HỢP'!$B$3&lt;&gt;"",ISNUMBER(SEARCH('TRA CỨU TỔNG HỢP'!$B$3,T808))),MAX($U$3:U807)+1,"")</f>
        <v/>
      </c>
    </row>
    <row r="809" ht="15" customHeight="1" s="217">
      <c r="A809" s="379" t="n"/>
      <c r="B809" s="380" t="n"/>
      <c r="C809" s="379" t="n"/>
      <c r="D809" s="379" t="n"/>
      <c r="E809" s="379" t="n"/>
      <c r="F809" s="381" t="n"/>
      <c r="G809" s="379" t="n"/>
      <c r="H809" s="382" t="n"/>
      <c r="I809" s="383" t="n"/>
      <c r="J809" s="383" t="n"/>
      <c r="K809" s="383" t="n"/>
      <c r="L809" s="383">
        <f>IF(K809="","",K809*1.1)</f>
        <v/>
      </c>
      <c r="M809" s="384" t="n"/>
      <c r="N809" s="384" t="n"/>
      <c r="O809" s="384" t="n"/>
      <c r="P809" s="384" t="n"/>
      <c r="Q809" s="384" t="n"/>
      <c r="R809" s="384" t="n"/>
      <c r="T809" s="216">
        <f>UPPER(A809&amp;" "&amp;B809&amp;" "&amp;D809&amp;" "&amp;E809&amp;" "&amp;F809&amp;" "&amp;G809&amp;" "&amp;H809)</f>
        <v/>
      </c>
      <c r="U809" s="216">
        <f>IF(AND('TRA CỨU TỔNG HỢP'!$B$3&lt;&gt;"",ISNUMBER(SEARCH('TRA CỨU TỔNG HỢP'!$B$3,T809))),MAX($U$3:U808)+1,"")</f>
        <v/>
      </c>
    </row>
    <row r="810" ht="15" customHeight="1" s="217">
      <c r="A810" s="367" t="n"/>
      <c r="B810" s="368" t="n"/>
      <c r="C810" s="367" t="n"/>
      <c r="D810" s="367" t="n"/>
      <c r="E810" s="367" t="n"/>
      <c r="F810" s="369" t="n"/>
      <c r="G810" s="367" t="n"/>
      <c r="H810" s="370" t="n"/>
      <c r="I810" s="371" t="n"/>
      <c r="J810" s="371" t="n"/>
      <c r="K810" s="371" t="n"/>
      <c r="L810" s="371">
        <f>IF(K810="","",K810*1.1)</f>
        <v/>
      </c>
      <c r="M810" s="372" t="n"/>
      <c r="N810" s="372" t="n"/>
      <c r="O810" s="372" t="n"/>
      <c r="P810" s="372" t="n"/>
      <c r="Q810" s="372" t="n"/>
      <c r="R810" s="372" t="n"/>
      <c r="T810" s="216">
        <f>UPPER(A810&amp;" "&amp;B810&amp;" "&amp;D810&amp;" "&amp;E810&amp;" "&amp;F810&amp;" "&amp;G810&amp;" "&amp;H810)</f>
        <v/>
      </c>
      <c r="U810" s="216">
        <f>IF(AND('TRA CỨU TỔNG HỢP'!$B$3&lt;&gt;"",ISNUMBER(SEARCH('TRA CỨU TỔNG HỢP'!$B$3,T810))),MAX($U$3:U809)+1,"")</f>
        <v/>
      </c>
    </row>
    <row r="811" ht="15" customHeight="1" s="217">
      <c r="A811" s="379" t="n"/>
      <c r="B811" s="380" t="n"/>
      <c r="C811" s="379" t="n"/>
      <c r="D811" s="379" t="n"/>
      <c r="E811" s="379" t="n"/>
      <c r="F811" s="381" t="n"/>
      <c r="G811" s="379" t="n"/>
      <c r="H811" s="382" t="n"/>
      <c r="I811" s="383" t="n"/>
      <c r="J811" s="383" t="n"/>
      <c r="K811" s="383" t="n"/>
      <c r="L811" s="383">
        <f>IF(K811="","",K811*1.1)</f>
        <v/>
      </c>
      <c r="M811" s="384" t="n"/>
      <c r="N811" s="384" t="n"/>
      <c r="O811" s="384" t="n"/>
      <c r="P811" s="384" t="n"/>
      <c r="Q811" s="384" t="n"/>
      <c r="R811" s="384" t="n"/>
      <c r="T811" s="216">
        <f>UPPER(A811&amp;" "&amp;B811&amp;" "&amp;D811&amp;" "&amp;E811&amp;" "&amp;F811&amp;" "&amp;G811&amp;" "&amp;H811)</f>
        <v/>
      </c>
      <c r="U811" s="216">
        <f>IF(AND('TRA CỨU TỔNG HỢP'!$B$3&lt;&gt;"",ISNUMBER(SEARCH('TRA CỨU TỔNG HỢP'!$B$3,T811))),MAX($U$3:U810)+1,"")</f>
        <v/>
      </c>
    </row>
    <row r="812" ht="15" customHeight="1" s="217">
      <c r="A812" s="367" t="n"/>
      <c r="B812" s="368" t="n"/>
      <c r="C812" s="367" t="n"/>
      <c r="D812" s="367" t="n"/>
      <c r="E812" s="367" t="n"/>
      <c r="F812" s="369" t="n"/>
      <c r="G812" s="367" t="n"/>
      <c r="H812" s="370" t="n"/>
      <c r="I812" s="371" t="n"/>
      <c r="J812" s="371" t="n"/>
      <c r="K812" s="371" t="n"/>
      <c r="L812" s="371">
        <f>IF(K812="","",K812*1.1)</f>
        <v/>
      </c>
      <c r="M812" s="372" t="n"/>
      <c r="N812" s="372" t="n"/>
      <c r="O812" s="372" t="n"/>
      <c r="P812" s="372" t="n"/>
      <c r="Q812" s="372" t="n"/>
      <c r="R812" s="372" t="n"/>
      <c r="T812" s="216">
        <f>UPPER(A812&amp;" "&amp;B812&amp;" "&amp;D812&amp;" "&amp;E812&amp;" "&amp;F812&amp;" "&amp;G812&amp;" "&amp;H812)</f>
        <v/>
      </c>
      <c r="U812" s="216">
        <f>IF(AND('TRA CỨU TỔNG HỢP'!$B$3&lt;&gt;"",ISNUMBER(SEARCH('TRA CỨU TỔNG HỢP'!$B$3,T812))),MAX($U$3:U811)+1,"")</f>
        <v/>
      </c>
    </row>
    <row r="813" ht="15" customHeight="1" s="217">
      <c r="A813" s="379" t="n"/>
      <c r="B813" s="380" t="n"/>
      <c r="C813" s="379" t="n"/>
      <c r="D813" s="379" t="n"/>
      <c r="E813" s="379" t="n"/>
      <c r="F813" s="381" t="n"/>
      <c r="G813" s="379" t="n"/>
      <c r="H813" s="382" t="n"/>
      <c r="I813" s="383" t="n"/>
      <c r="J813" s="383" t="n"/>
      <c r="K813" s="383" t="n"/>
      <c r="L813" s="383">
        <f>IF(K813="","",K813*1.1)</f>
        <v/>
      </c>
      <c r="M813" s="384" t="n"/>
      <c r="N813" s="384" t="n"/>
      <c r="O813" s="384" t="n"/>
      <c r="P813" s="384" t="n"/>
      <c r="Q813" s="384" t="n"/>
      <c r="R813" s="384" t="n"/>
      <c r="T813" s="216">
        <f>UPPER(A813&amp;" "&amp;B813&amp;" "&amp;D813&amp;" "&amp;E813&amp;" "&amp;F813&amp;" "&amp;G813&amp;" "&amp;H813)</f>
        <v/>
      </c>
      <c r="U813" s="216">
        <f>IF(AND('TRA CỨU TỔNG HỢP'!$B$3&lt;&gt;"",ISNUMBER(SEARCH('TRA CỨU TỔNG HỢP'!$B$3,T813))),MAX($U$3:U812)+1,"")</f>
        <v/>
      </c>
    </row>
    <row r="814" ht="15" customHeight="1" s="217">
      <c r="A814" s="367" t="n"/>
      <c r="B814" s="368" t="n"/>
      <c r="C814" s="367" t="n"/>
      <c r="D814" s="367" t="n"/>
      <c r="E814" s="367" t="n"/>
      <c r="F814" s="369" t="n"/>
      <c r="G814" s="367" t="n"/>
      <c r="H814" s="370" t="n"/>
      <c r="I814" s="371" t="n"/>
      <c r="J814" s="371" t="n"/>
      <c r="K814" s="371" t="n"/>
      <c r="L814" s="371">
        <f>IF(K814="","",K814*1.1)</f>
        <v/>
      </c>
      <c r="M814" s="372" t="n"/>
      <c r="N814" s="372" t="n"/>
      <c r="O814" s="372" t="n"/>
      <c r="P814" s="372" t="n"/>
      <c r="Q814" s="372" t="n"/>
      <c r="R814" s="372" t="n"/>
      <c r="T814" s="216">
        <f>UPPER(A814&amp;" "&amp;B814&amp;" "&amp;D814&amp;" "&amp;E814&amp;" "&amp;F814&amp;" "&amp;G814&amp;" "&amp;H814)</f>
        <v/>
      </c>
      <c r="U814" s="216">
        <f>IF(AND('TRA CỨU TỔNG HỢP'!$B$3&lt;&gt;"",ISNUMBER(SEARCH('TRA CỨU TỔNG HỢP'!$B$3,T814))),MAX($U$3:U813)+1,"")</f>
        <v/>
      </c>
    </row>
    <row r="815" ht="15" customHeight="1" s="217">
      <c r="A815" s="379" t="n"/>
      <c r="B815" s="380" t="n"/>
      <c r="C815" s="379" t="n"/>
      <c r="D815" s="379" t="n"/>
      <c r="E815" s="379" t="n"/>
      <c r="F815" s="381" t="n"/>
      <c r="G815" s="379" t="n"/>
      <c r="H815" s="382" t="n"/>
      <c r="I815" s="383" t="n"/>
      <c r="J815" s="383" t="n"/>
      <c r="K815" s="383" t="n"/>
      <c r="L815" s="383">
        <f>IF(K815="","",K815*1.1)</f>
        <v/>
      </c>
      <c r="M815" s="384" t="n"/>
      <c r="N815" s="384" t="n"/>
      <c r="O815" s="384" t="n"/>
      <c r="P815" s="384" t="n"/>
      <c r="Q815" s="384" t="n"/>
      <c r="R815" s="384" t="n"/>
      <c r="T815" s="216">
        <f>UPPER(A815&amp;" "&amp;B815&amp;" "&amp;D815&amp;" "&amp;E815&amp;" "&amp;F815&amp;" "&amp;G815&amp;" "&amp;H815)</f>
        <v/>
      </c>
      <c r="U815" s="216">
        <f>IF(AND('TRA CỨU TỔNG HỢP'!$B$3&lt;&gt;"",ISNUMBER(SEARCH('TRA CỨU TỔNG HỢP'!$B$3,T815))),MAX($U$3:U814)+1,"")</f>
        <v/>
      </c>
    </row>
    <row r="816" ht="15" customHeight="1" s="217">
      <c r="A816" s="367" t="n"/>
      <c r="B816" s="368" t="n"/>
      <c r="C816" s="367" t="n"/>
      <c r="D816" s="367" t="n"/>
      <c r="E816" s="367" t="n"/>
      <c r="F816" s="369" t="n"/>
      <c r="G816" s="367" t="n"/>
      <c r="H816" s="370" t="n"/>
      <c r="I816" s="371" t="n"/>
      <c r="J816" s="371" t="n"/>
      <c r="K816" s="371" t="n"/>
      <c r="L816" s="371">
        <f>IF(K816="","",K816*1.1)</f>
        <v/>
      </c>
      <c r="M816" s="372" t="n"/>
      <c r="N816" s="372" t="n"/>
      <c r="O816" s="372" t="n"/>
      <c r="P816" s="372" t="n"/>
      <c r="Q816" s="372" t="n"/>
      <c r="R816" s="372" t="n"/>
      <c r="T816" s="216">
        <f>UPPER(A816&amp;" "&amp;B816&amp;" "&amp;D816&amp;" "&amp;E816&amp;" "&amp;F816&amp;" "&amp;G816&amp;" "&amp;H816)</f>
        <v/>
      </c>
      <c r="U816" s="216">
        <f>IF(AND('TRA CỨU TỔNG HỢP'!$B$3&lt;&gt;"",ISNUMBER(SEARCH('TRA CỨU TỔNG HỢP'!$B$3,T816))),MAX($U$3:U815)+1,"")</f>
        <v/>
      </c>
    </row>
    <row r="817" ht="15" customHeight="1" s="217">
      <c r="A817" s="379" t="n"/>
      <c r="B817" s="380" t="n"/>
      <c r="C817" s="379" t="n"/>
      <c r="D817" s="379" t="n"/>
      <c r="E817" s="379" t="n"/>
      <c r="F817" s="381" t="n"/>
      <c r="G817" s="379" t="n"/>
      <c r="H817" s="382" t="n"/>
      <c r="I817" s="383" t="n"/>
      <c r="J817" s="383" t="n"/>
      <c r="K817" s="383" t="n"/>
      <c r="L817" s="383">
        <f>IF(K817="","",K817*1.1)</f>
        <v/>
      </c>
      <c r="M817" s="384" t="n"/>
      <c r="N817" s="384" t="n"/>
      <c r="O817" s="384" t="n"/>
      <c r="P817" s="384" t="n"/>
      <c r="Q817" s="384" t="n"/>
      <c r="R817" s="384" t="n"/>
      <c r="T817" s="216">
        <f>UPPER(A817&amp;" "&amp;B817&amp;" "&amp;D817&amp;" "&amp;E817&amp;" "&amp;F817&amp;" "&amp;G817&amp;" "&amp;H817)</f>
        <v/>
      </c>
      <c r="U817" s="216">
        <f>IF(AND('TRA CỨU TỔNG HỢP'!$B$3&lt;&gt;"",ISNUMBER(SEARCH('TRA CỨU TỔNG HỢP'!$B$3,T817))),MAX($U$3:U816)+1,"")</f>
        <v/>
      </c>
    </row>
    <row r="818" ht="15" customHeight="1" s="217">
      <c r="A818" s="367" t="n"/>
      <c r="B818" s="368" t="n"/>
      <c r="C818" s="367" t="n"/>
      <c r="D818" s="367" t="n"/>
      <c r="E818" s="367" t="n"/>
      <c r="F818" s="369" t="n"/>
      <c r="G818" s="367" t="n"/>
      <c r="H818" s="370" t="n"/>
      <c r="I818" s="371" t="n"/>
      <c r="J818" s="371" t="n"/>
      <c r="K818" s="371" t="n"/>
      <c r="L818" s="371">
        <f>IF(K818="","",K818*1.1)</f>
        <v/>
      </c>
      <c r="M818" s="372" t="n"/>
      <c r="N818" s="372" t="n"/>
      <c r="O818" s="372" t="n"/>
      <c r="P818" s="372" t="n"/>
      <c r="Q818" s="372" t="n"/>
      <c r="R818" s="372" t="n"/>
      <c r="T818" s="216">
        <f>UPPER(A818&amp;" "&amp;B818&amp;" "&amp;D818&amp;" "&amp;E818&amp;" "&amp;F818&amp;" "&amp;G818&amp;" "&amp;H818)</f>
        <v/>
      </c>
      <c r="U818" s="216">
        <f>IF(AND('TRA CỨU TỔNG HỢP'!$B$3&lt;&gt;"",ISNUMBER(SEARCH('TRA CỨU TỔNG HỢP'!$B$3,T818))),MAX($U$3:U817)+1,"")</f>
        <v/>
      </c>
    </row>
    <row r="819" ht="15" customHeight="1" s="217">
      <c r="A819" s="379" t="n"/>
      <c r="B819" s="380" t="n"/>
      <c r="C819" s="379" t="n"/>
      <c r="D819" s="379" t="n"/>
      <c r="E819" s="379" t="n"/>
      <c r="F819" s="381" t="n"/>
      <c r="G819" s="379" t="n"/>
      <c r="H819" s="382" t="n"/>
      <c r="I819" s="383" t="n"/>
      <c r="J819" s="383" t="n"/>
      <c r="K819" s="383" t="n"/>
      <c r="L819" s="383">
        <f>IF(K819="","",K819*1.1)</f>
        <v/>
      </c>
      <c r="M819" s="384" t="n"/>
      <c r="N819" s="384" t="n"/>
      <c r="O819" s="384" t="n"/>
      <c r="P819" s="384" t="n"/>
      <c r="Q819" s="384" t="n"/>
      <c r="R819" s="384" t="n"/>
      <c r="T819" s="216">
        <f>UPPER(A819&amp;" "&amp;B819&amp;" "&amp;D819&amp;" "&amp;E819&amp;" "&amp;F819&amp;" "&amp;G819&amp;" "&amp;H819)</f>
        <v/>
      </c>
      <c r="U819" s="216">
        <f>IF(AND('TRA CỨU TỔNG HỢP'!$B$3&lt;&gt;"",ISNUMBER(SEARCH('TRA CỨU TỔNG HỢP'!$B$3,T819))),MAX($U$3:U818)+1,"")</f>
        <v/>
      </c>
    </row>
    <row r="820" ht="15" customHeight="1" s="217">
      <c r="A820" s="367" t="n"/>
      <c r="B820" s="368" t="n"/>
      <c r="C820" s="367" t="n"/>
      <c r="D820" s="367" t="n"/>
      <c r="E820" s="367" t="n"/>
      <c r="F820" s="369" t="n"/>
      <c r="G820" s="367" t="n"/>
      <c r="H820" s="370" t="n"/>
      <c r="I820" s="371" t="n"/>
      <c r="J820" s="371" t="n"/>
      <c r="K820" s="371" t="n"/>
      <c r="L820" s="371">
        <f>IF(K820="","",K820*1.1)</f>
        <v/>
      </c>
      <c r="M820" s="372" t="n"/>
      <c r="N820" s="372" t="n"/>
      <c r="O820" s="372" t="n"/>
      <c r="P820" s="372" t="n"/>
      <c r="Q820" s="372" t="n"/>
      <c r="R820" s="372" t="n"/>
      <c r="T820" s="216">
        <f>UPPER(A820&amp;" "&amp;B820&amp;" "&amp;D820&amp;" "&amp;E820&amp;" "&amp;F820&amp;" "&amp;G820&amp;" "&amp;H820)</f>
        <v/>
      </c>
      <c r="U820" s="216">
        <f>IF(AND('TRA CỨU TỔNG HỢP'!$B$3&lt;&gt;"",ISNUMBER(SEARCH('TRA CỨU TỔNG HỢP'!$B$3,T820))),MAX($U$3:U819)+1,"")</f>
        <v/>
      </c>
    </row>
    <row r="821" ht="15" customHeight="1" s="217">
      <c r="A821" s="379" t="n"/>
      <c r="B821" s="380" t="n"/>
      <c r="C821" s="379" t="n"/>
      <c r="D821" s="379" t="n"/>
      <c r="E821" s="379" t="n"/>
      <c r="F821" s="381" t="n"/>
      <c r="G821" s="379" t="n"/>
      <c r="H821" s="382" t="n"/>
      <c r="I821" s="383" t="n"/>
      <c r="J821" s="383" t="n"/>
      <c r="K821" s="383" t="n"/>
      <c r="L821" s="383">
        <f>IF(K821="","",K821*1.1)</f>
        <v/>
      </c>
      <c r="M821" s="384" t="n"/>
      <c r="N821" s="384" t="n"/>
      <c r="O821" s="384" t="n"/>
      <c r="P821" s="384" t="n"/>
      <c r="Q821" s="384" t="n"/>
      <c r="R821" s="384" t="n"/>
      <c r="T821" s="216">
        <f>UPPER(A821&amp;" "&amp;B821&amp;" "&amp;D821&amp;" "&amp;E821&amp;" "&amp;F821&amp;" "&amp;G821&amp;" "&amp;H821)</f>
        <v/>
      </c>
      <c r="U821" s="216">
        <f>IF(AND('TRA CỨU TỔNG HỢP'!$B$3&lt;&gt;"",ISNUMBER(SEARCH('TRA CỨU TỔNG HỢP'!$B$3,T821))),MAX($U$3:U820)+1,"")</f>
        <v/>
      </c>
    </row>
    <row r="822" ht="15" customHeight="1" s="217">
      <c r="A822" s="367" t="n"/>
      <c r="B822" s="368" t="n"/>
      <c r="C822" s="367" t="n"/>
      <c r="D822" s="367" t="n"/>
      <c r="E822" s="367" t="n"/>
      <c r="F822" s="369" t="n"/>
      <c r="G822" s="367" t="n"/>
      <c r="H822" s="370" t="n"/>
      <c r="I822" s="371" t="n"/>
      <c r="J822" s="371" t="n"/>
      <c r="K822" s="371" t="n"/>
      <c r="L822" s="371">
        <f>IF(K822="","",K822*1.1)</f>
        <v/>
      </c>
      <c r="M822" s="372" t="n"/>
      <c r="N822" s="372" t="n"/>
      <c r="O822" s="372" t="n"/>
      <c r="P822" s="372" t="n"/>
      <c r="Q822" s="372" t="n"/>
      <c r="R822" s="372" t="n"/>
      <c r="T822" s="216">
        <f>UPPER(A822&amp;" "&amp;B822&amp;" "&amp;D822&amp;" "&amp;E822&amp;" "&amp;F822&amp;" "&amp;G822&amp;" "&amp;H822)</f>
        <v/>
      </c>
      <c r="U822" s="216">
        <f>IF(AND('TRA CỨU TỔNG HỢP'!$B$3&lt;&gt;"",ISNUMBER(SEARCH('TRA CỨU TỔNG HỢP'!$B$3,T822))),MAX($U$3:U821)+1,"")</f>
        <v/>
      </c>
    </row>
    <row r="823" ht="15" customHeight="1" s="217">
      <c r="A823" s="379" t="n"/>
      <c r="B823" s="380" t="n"/>
      <c r="C823" s="379" t="n"/>
      <c r="D823" s="379" t="n"/>
      <c r="E823" s="379" t="n"/>
      <c r="F823" s="381" t="n"/>
      <c r="G823" s="379" t="n"/>
      <c r="H823" s="382" t="n"/>
      <c r="I823" s="383" t="n"/>
      <c r="J823" s="383" t="n"/>
      <c r="K823" s="383" t="n"/>
      <c r="L823" s="383">
        <f>IF(K823="","",K823*1.1)</f>
        <v/>
      </c>
      <c r="M823" s="384" t="n"/>
      <c r="N823" s="384" t="n"/>
      <c r="O823" s="384" t="n"/>
      <c r="P823" s="384" t="n"/>
      <c r="Q823" s="384" t="n"/>
      <c r="R823" s="384" t="n"/>
      <c r="T823" s="216">
        <f>UPPER(A823&amp;" "&amp;B823&amp;" "&amp;D823&amp;" "&amp;E823&amp;" "&amp;F823&amp;" "&amp;G823&amp;" "&amp;H823)</f>
        <v/>
      </c>
      <c r="U823" s="216">
        <f>IF(AND('TRA CỨU TỔNG HỢP'!$B$3&lt;&gt;"",ISNUMBER(SEARCH('TRA CỨU TỔNG HỢP'!$B$3,T823))),MAX($U$3:U822)+1,"")</f>
        <v/>
      </c>
    </row>
    <row r="824" ht="15" customHeight="1" s="217">
      <c r="A824" s="367" t="n"/>
      <c r="B824" s="368" t="n"/>
      <c r="C824" s="367" t="n"/>
      <c r="D824" s="367" t="n"/>
      <c r="E824" s="367" t="n"/>
      <c r="F824" s="369" t="n"/>
      <c r="G824" s="367" t="n"/>
      <c r="H824" s="370" t="n"/>
      <c r="I824" s="371" t="n"/>
      <c r="J824" s="371" t="n"/>
      <c r="K824" s="371" t="n"/>
      <c r="L824" s="371">
        <f>IF(K824="","",K824*1.1)</f>
        <v/>
      </c>
      <c r="M824" s="372" t="n"/>
      <c r="N824" s="372" t="n"/>
      <c r="O824" s="372" t="n"/>
      <c r="P824" s="372" t="n"/>
      <c r="Q824" s="372" t="n"/>
      <c r="R824" s="372" t="n"/>
      <c r="T824" s="216">
        <f>UPPER(A824&amp;" "&amp;B824&amp;" "&amp;D824&amp;" "&amp;E824&amp;" "&amp;F824&amp;" "&amp;G824&amp;" "&amp;H824)</f>
        <v/>
      </c>
      <c r="U824" s="216">
        <f>IF(AND('TRA CỨU TỔNG HỢP'!$B$3&lt;&gt;"",ISNUMBER(SEARCH('TRA CỨU TỔNG HỢP'!$B$3,T824))),MAX($U$3:U823)+1,"")</f>
        <v/>
      </c>
    </row>
    <row r="825" ht="15" customHeight="1" s="217">
      <c r="A825" s="379" t="n"/>
      <c r="B825" s="380" t="n"/>
      <c r="C825" s="379" t="n"/>
      <c r="D825" s="379" t="n"/>
      <c r="E825" s="379" t="n"/>
      <c r="F825" s="381" t="n"/>
      <c r="G825" s="379" t="n"/>
      <c r="H825" s="382" t="n"/>
      <c r="I825" s="383" t="n"/>
      <c r="J825" s="383" t="n"/>
      <c r="K825" s="383" t="n"/>
      <c r="L825" s="383">
        <f>IF(K825="","",K825*1.1)</f>
        <v/>
      </c>
      <c r="M825" s="384" t="n"/>
      <c r="N825" s="384" t="n"/>
      <c r="O825" s="384" t="n"/>
      <c r="P825" s="384" t="n"/>
      <c r="Q825" s="384" t="n"/>
      <c r="R825" s="384" t="n"/>
      <c r="T825" s="216">
        <f>UPPER(A825&amp;" "&amp;B825&amp;" "&amp;D825&amp;" "&amp;E825&amp;" "&amp;F825&amp;" "&amp;G825&amp;" "&amp;H825)</f>
        <v/>
      </c>
      <c r="U825" s="216">
        <f>IF(AND('TRA CỨU TỔNG HỢP'!$B$3&lt;&gt;"",ISNUMBER(SEARCH('TRA CỨU TỔNG HỢP'!$B$3,T825))),MAX($U$3:U824)+1,"")</f>
        <v/>
      </c>
    </row>
    <row r="826" ht="15" customHeight="1" s="217">
      <c r="A826" s="367" t="n"/>
      <c r="B826" s="368" t="n"/>
      <c r="C826" s="367" t="n"/>
      <c r="D826" s="367" t="n"/>
      <c r="E826" s="367" t="n"/>
      <c r="F826" s="369" t="n"/>
      <c r="G826" s="367" t="n"/>
      <c r="H826" s="370" t="n"/>
      <c r="I826" s="371" t="n"/>
      <c r="J826" s="371" t="n"/>
      <c r="K826" s="371" t="n"/>
      <c r="L826" s="371">
        <f>IF(K826="","",K826*1.1)</f>
        <v/>
      </c>
      <c r="M826" s="372" t="n"/>
      <c r="N826" s="372" t="n"/>
      <c r="O826" s="372" t="n"/>
      <c r="P826" s="372" t="n"/>
      <c r="Q826" s="372" t="n"/>
      <c r="R826" s="372" t="n"/>
      <c r="T826" s="216">
        <f>UPPER(A826&amp;" "&amp;B826&amp;" "&amp;D826&amp;" "&amp;E826&amp;" "&amp;F826&amp;" "&amp;G826&amp;" "&amp;H826)</f>
        <v/>
      </c>
      <c r="U826" s="216">
        <f>IF(AND('TRA CỨU TỔNG HỢP'!$B$3&lt;&gt;"",ISNUMBER(SEARCH('TRA CỨU TỔNG HỢP'!$B$3,T826))),MAX($U$3:U825)+1,"")</f>
        <v/>
      </c>
    </row>
    <row r="827" ht="15" customHeight="1" s="217">
      <c r="A827" s="379" t="n"/>
      <c r="B827" s="380" t="n"/>
      <c r="C827" s="379" t="n"/>
      <c r="D827" s="379" t="n"/>
      <c r="E827" s="379" t="n"/>
      <c r="F827" s="381" t="n"/>
      <c r="G827" s="379" t="n"/>
      <c r="H827" s="382" t="n"/>
      <c r="I827" s="383" t="n"/>
      <c r="J827" s="383" t="n"/>
      <c r="K827" s="383" t="n"/>
      <c r="L827" s="383">
        <f>IF(K827="","",K827*1.1)</f>
        <v/>
      </c>
      <c r="M827" s="384" t="n"/>
      <c r="N827" s="384" t="n"/>
      <c r="O827" s="384" t="n"/>
      <c r="P827" s="384" t="n"/>
      <c r="Q827" s="384" t="n"/>
      <c r="R827" s="384" t="n"/>
      <c r="T827" s="216">
        <f>UPPER(A827&amp;" "&amp;B827&amp;" "&amp;D827&amp;" "&amp;E827&amp;" "&amp;F827&amp;" "&amp;G827&amp;" "&amp;H827)</f>
        <v/>
      </c>
      <c r="U827" s="216">
        <f>IF(AND('TRA CỨU TỔNG HỢP'!$B$3&lt;&gt;"",ISNUMBER(SEARCH('TRA CỨU TỔNG HỢP'!$B$3,T827))),MAX($U$3:U826)+1,"")</f>
        <v/>
      </c>
    </row>
    <row r="828" ht="15" customHeight="1" s="217">
      <c r="A828" s="367" t="n"/>
      <c r="B828" s="368" t="n"/>
      <c r="C828" s="367" t="n"/>
      <c r="D828" s="367" t="n"/>
      <c r="E828" s="367" t="n"/>
      <c r="F828" s="369" t="n"/>
      <c r="G828" s="367" t="n"/>
      <c r="H828" s="370" t="n"/>
      <c r="I828" s="371" t="n"/>
      <c r="J828" s="371" t="n"/>
      <c r="K828" s="371" t="n"/>
      <c r="L828" s="371">
        <f>IF(K828="","",K828*1.1)</f>
        <v/>
      </c>
      <c r="M828" s="372" t="n"/>
      <c r="N828" s="372" t="n"/>
      <c r="O828" s="372" t="n"/>
      <c r="P828" s="372" t="n"/>
      <c r="Q828" s="372" t="n"/>
      <c r="R828" s="372" t="n"/>
      <c r="T828" s="216">
        <f>UPPER(A828&amp;" "&amp;B828&amp;" "&amp;D828&amp;" "&amp;E828&amp;" "&amp;F828&amp;" "&amp;G828&amp;" "&amp;H828)</f>
        <v/>
      </c>
      <c r="U828" s="216">
        <f>IF(AND('TRA CỨU TỔNG HỢP'!$B$3&lt;&gt;"",ISNUMBER(SEARCH('TRA CỨU TỔNG HỢP'!$B$3,T828))),MAX($U$3:U827)+1,"")</f>
        <v/>
      </c>
    </row>
    <row r="829" ht="15" customHeight="1" s="217">
      <c r="A829" s="379" t="n"/>
      <c r="B829" s="380" t="n"/>
      <c r="C829" s="379" t="n"/>
      <c r="D829" s="379" t="n"/>
      <c r="E829" s="379" t="n"/>
      <c r="F829" s="381" t="n"/>
      <c r="G829" s="379" t="n"/>
      <c r="H829" s="382" t="n"/>
      <c r="I829" s="383" t="n"/>
      <c r="J829" s="383" t="n"/>
      <c r="K829" s="383" t="n"/>
      <c r="L829" s="383">
        <f>IF(K829="","",K829*1.1)</f>
        <v/>
      </c>
      <c r="M829" s="384" t="n"/>
      <c r="N829" s="384" t="n"/>
      <c r="O829" s="384" t="n"/>
      <c r="P829" s="384" t="n"/>
      <c r="Q829" s="384" t="n"/>
      <c r="R829" s="384" t="n"/>
      <c r="T829" s="216">
        <f>UPPER(A829&amp;" "&amp;B829&amp;" "&amp;D829&amp;" "&amp;E829&amp;" "&amp;F829&amp;" "&amp;G829&amp;" "&amp;H829)</f>
        <v/>
      </c>
      <c r="U829" s="216">
        <f>IF(AND('TRA CỨU TỔNG HỢP'!$B$3&lt;&gt;"",ISNUMBER(SEARCH('TRA CỨU TỔNG HỢP'!$B$3,T829))),MAX($U$3:U828)+1,"")</f>
        <v/>
      </c>
    </row>
    <row r="830" ht="15" customHeight="1" s="217">
      <c r="A830" s="367" t="n"/>
      <c r="B830" s="368" t="n"/>
      <c r="C830" s="367" t="n"/>
      <c r="D830" s="367" t="n"/>
      <c r="E830" s="367" t="n"/>
      <c r="F830" s="369" t="n"/>
      <c r="G830" s="367" t="n"/>
      <c r="H830" s="370" t="n"/>
      <c r="I830" s="371" t="n"/>
      <c r="J830" s="371" t="n"/>
      <c r="K830" s="371" t="n"/>
      <c r="L830" s="371">
        <f>IF(K830="","",K830*1.1)</f>
        <v/>
      </c>
      <c r="M830" s="372" t="n"/>
      <c r="N830" s="372" t="n"/>
      <c r="O830" s="372" t="n"/>
      <c r="P830" s="372" t="n"/>
      <c r="Q830" s="372" t="n"/>
      <c r="R830" s="372" t="n"/>
      <c r="T830" s="216">
        <f>UPPER(A830&amp;" "&amp;B830&amp;" "&amp;D830&amp;" "&amp;E830&amp;" "&amp;F830&amp;" "&amp;G830&amp;" "&amp;H830)</f>
        <v/>
      </c>
      <c r="U830" s="216">
        <f>IF(AND('TRA CỨU TỔNG HỢP'!$B$3&lt;&gt;"",ISNUMBER(SEARCH('TRA CỨU TỔNG HỢP'!$B$3,T830))),MAX($U$3:U829)+1,"")</f>
        <v/>
      </c>
    </row>
    <row r="831" ht="15" customHeight="1" s="217">
      <c r="A831" s="379" t="n"/>
      <c r="B831" s="380" t="n"/>
      <c r="C831" s="379" t="n"/>
      <c r="D831" s="379" t="n"/>
      <c r="E831" s="379" t="n"/>
      <c r="F831" s="381" t="n"/>
      <c r="G831" s="379" t="n"/>
      <c r="H831" s="382" t="n"/>
      <c r="I831" s="383" t="n"/>
      <c r="J831" s="383" t="n"/>
      <c r="K831" s="383" t="n"/>
      <c r="L831" s="383">
        <f>IF(K831="","",K831*1.1)</f>
        <v/>
      </c>
      <c r="M831" s="384" t="n"/>
      <c r="N831" s="384" t="n"/>
      <c r="O831" s="384" t="n"/>
      <c r="P831" s="384" t="n"/>
      <c r="Q831" s="384" t="n"/>
      <c r="R831" s="384" t="n"/>
      <c r="T831" s="216">
        <f>UPPER(A831&amp;" "&amp;B831&amp;" "&amp;D831&amp;" "&amp;E831&amp;" "&amp;F831&amp;" "&amp;G831&amp;" "&amp;H831)</f>
        <v/>
      </c>
      <c r="U831" s="216">
        <f>IF(AND('TRA CỨU TỔNG HỢP'!$B$3&lt;&gt;"",ISNUMBER(SEARCH('TRA CỨU TỔNG HỢP'!$B$3,T831))),MAX($U$3:U830)+1,"")</f>
        <v/>
      </c>
    </row>
    <row r="832" ht="15" customHeight="1" s="217">
      <c r="A832" s="367" t="n"/>
      <c r="B832" s="368" t="n"/>
      <c r="C832" s="367" t="n"/>
      <c r="D832" s="367" t="n"/>
      <c r="E832" s="367" t="n"/>
      <c r="F832" s="369" t="n"/>
      <c r="G832" s="367" t="n"/>
      <c r="H832" s="370" t="n"/>
      <c r="I832" s="371" t="n"/>
      <c r="J832" s="371" t="n"/>
      <c r="K832" s="371" t="n"/>
      <c r="L832" s="371">
        <f>IF(K832="","",K832*1.1)</f>
        <v/>
      </c>
      <c r="M832" s="372" t="n"/>
      <c r="N832" s="372" t="n"/>
      <c r="O832" s="372" t="n"/>
      <c r="P832" s="372" t="n"/>
      <c r="Q832" s="372" t="n"/>
      <c r="R832" s="372" t="n"/>
      <c r="T832" s="216">
        <f>UPPER(A832&amp;" "&amp;B832&amp;" "&amp;D832&amp;" "&amp;E832&amp;" "&amp;F832&amp;" "&amp;G832&amp;" "&amp;H832)</f>
        <v/>
      </c>
      <c r="U832" s="216">
        <f>IF(AND('TRA CỨU TỔNG HỢP'!$B$3&lt;&gt;"",ISNUMBER(SEARCH('TRA CỨU TỔNG HỢP'!$B$3,T832))),MAX($U$3:U831)+1,"")</f>
        <v/>
      </c>
    </row>
    <row r="833" ht="15" customHeight="1" s="217">
      <c r="A833" s="379" t="n"/>
      <c r="B833" s="380" t="n"/>
      <c r="C833" s="379" t="n"/>
      <c r="D833" s="379" t="n"/>
      <c r="E833" s="379" t="n"/>
      <c r="F833" s="381" t="n"/>
      <c r="G833" s="379" t="n"/>
      <c r="H833" s="382" t="n"/>
      <c r="I833" s="383" t="n"/>
      <c r="J833" s="383" t="n"/>
      <c r="K833" s="383" t="n"/>
      <c r="L833" s="383">
        <f>IF(K833="","",K833*1.1)</f>
        <v/>
      </c>
      <c r="M833" s="384" t="n"/>
      <c r="N833" s="384" t="n"/>
      <c r="O833" s="384" t="n"/>
      <c r="P833" s="384" t="n"/>
      <c r="Q833" s="384" t="n"/>
      <c r="R833" s="384" t="n"/>
      <c r="T833" s="216">
        <f>UPPER(A833&amp;" "&amp;B833&amp;" "&amp;D833&amp;" "&amp;E833&amp;" "&amp;F833&amp;" "&amp;G833&amp;" "&amp;H833)</f>
        <v/>
      </c>
      <c r="U833" s="216">
        <f>IF(AND('TRA CỨU TỔNG HỢP'!$B$3&lt;&gt;"",ISNUMBER(SEARCH('TRA CỨU TỔNG HỢP'!$B$3,T833))),MAX($U$3:U832)+1,"")</f>
        <v/>
      </c>
    </row>
    <row r="834" ht="15" customHeight="1" s="217">
      <c r="A834" s="367" t="n"/>
      <c r="B834" s="368" t="n"/>
      <c r="C834" s="367" t="n"/>
      <c r="D834" s="367" t="n"/>
      <c r="E834" s="367" t="n"/>
      <c r="F834" s="369" t="n"/>
      <c r="G834" s="367" t="n"/>
      <c r="H834" s="370" t="n"/>
      <c r="I834" s="371" t="n"/>
      <c r="J834" s="371" t="n"/>
      <c r="K834" s="371" t="n"/>
      <c r="L834" s="371">
        <f>IF(K834="","",K834*1.1)</f>
        <v/>
      </c>
      <c r="M834" s="372" t="n"/>
      <c r="N834" s="372" t="n"/>
      <c r="O834" s="372" t="n"/>
      <c r="P834" s="372" t="n"/>
      <c r="Q834" s="372" t="n"/>
      <c r="R834" s="372" t="n"/>
      <c r="T834" s="216">
        <f>UPPER(A834&amp;" "&amp;B834&amp;" "&amp;D834&amp;" "&amp;E834&amp;" "&amp;F834&amp;" "&amp;G834&amp;" "&amp;H834)</f>
        <v/>
      </c>
      <c r="U834" s="216">
        <f>IF(AND('TRA CỨU TỔNG HỢP'!$B$3&lt;&gt;"",ISNUMBER(SEARCH('TRA CỨU TỔNG HỢP'!$B$3,T834))),MAX($U$3:U833)+1,"")</f>
        <v/>
      </c>
    </row>
    <row r="835" ht="15" customHeight="1" s="217">
      <c r="A835" s="379" t="n"/>
      <c r="B835" s="380" t="n"/>
      <c r="C835" s="379" t="n"/>
      <c r="D835" s="379" t="n"/>
      <c r="E835" s="379" t="n"/>
      <c r="F835" s="381" t="n"/>
      <c r="G835" s="379" t="n"/>
      <c r="H835" s="382" t="n"/>
      <c r="I835" s="383" t="n"/>
      <c r="J835" s="383" t="n"/>
      <c r="K835" s="383" t="n"/>
      <c r="L835" s="383">
        <f>IF(K835="","",K835*1.1)</f>
        <v/>
      </c>
      <c r="M835" s="384" t="n"/>
      <c r="N835" s="384" t="n"/>
      <c r="O835" s="384" t="n"/>
      <c r="P835" s="384" t="n"/>
      <c r="Q835" s="384" t="n"/>
      <c r="R835" s="384" t="n"/>
      <c r="T835" s="216">
        <f>UPPER(A835&amp;" "&amp;B835&amp;" "&amp;D835&amp;" "&amp;E835&amp;" "&amp;F835&amp;" "&amp;G835&amp;" "&amp;H835)</f>
        <v/>
      </c>
      <c r="U835" s="216">
        <f>IF(AND('TRA CỨU TỔNG HỢP'!$B$3&lt;&gt;"",ISNUMBER(SEARCH('TRA CỨU TỔNG HỢP'!$B$3,T835))),MAX($U$3:U834)+1,"")</f>
        <v/>
      </c>
    </row>
    <row r="836" ht="15" customHeight="1" s="217">
      <c r="A836" s="367" t="n"/>
      <c r="B836" s="368" t="n"/>
      <c r="C836" s="367" t="n"/>
      <c r="D836" s="367" t="n"/>
      <c r="E836" s="367" t="n"/>
      <c r="F836" s="369" t="n"/>
      <c r="G836" s="367" t="n"/>
      <c r="H836" s="370" t="n"/>
      <c r="I836" s="371" t="n"/>
      <c r="J836" s="371" t="n"/>
      <c r="K836" s="371" t="n"/>
      <c r="L836" s="371">
        <f>IF(K836="","",K836*1.1)</f>
        <v/>
      </c>
      <c r="M836" s="372" t="n"/>
      <c r="N836" s="372" t="n"/>
      <c r="O836" s="372" t="n"/>
      <c r="P836" s="372" t="n"/>
      <c r="Q836" s="372" t="n"/>
      <c r="R836" s="372" t="n"/>
      <c r="T836" s="216">
        <f>UPPER(A836&amp;" "&amp;B836&amp;" "&amp;D836&amp;" "&amp;E836&amp;" "&amp;F836&amp;" "&amp;G836&amp;" "&amp;H836)</f>
        <v/>
      </c>
      <c r="U836" s="216">
        <f>IF(AND('TRA CỨU TỔNG HỢP'!$B$3&lt;&gt;"",ISNUMBER(SEARCH('TRA CỨU TỔNG HỢP'!$B$3,T836))),MAX($U$3:U835)+1,"")</f>
        <v/>
      </c>
    </row>
    <row r="837" ht="15" customHeight="1" s="217">
      <c r="A837" s="379" t="n"/>
      <c r="B837" s="380" t="n"/>
      <c r="C837" s="379" t="n"/>
      <c r="D837" s="379" t="n"/>
      <c r="E837" s="379" t="n"/>
      <c r="F837" s="381" t="n"/>
      <c r="G837" s="379" t="n"/>
      <c r="H837" s="382" t="n"/>
      <c r="I837" s="383" t="n"/>
      <c r="J837" s="383" t="n"/>
      <c r="K837" s="383" t="n"/>
      <c r="L837" s="383">
        <f>IF(K837="","",K837*1.1)</f>
        <v/>
      </c>
      <c r="M837" s="384" t="n"/>
      <c r="N837" s="384" t="n"/>
      <c r="O837" s="384" t="n"/>
      <c r="P837" s="384" t="n"/>
      <c r="Q837" s="384" t="n"/>
      <c r="R837" s="384" t="n"/>
      <c r="T837" s="216">
        <f>UPPER(A837&amp;" "&amp;B837&amp;" "&amp;D837&amp;" "&amp;E837&amp;" "&amp;F837&amp;" "&amp;G837&amp;" "&amp;H837)</f>
        <v/>
      </c>
      <c r="U837" s="216">
        <f>IF(AND('TRA CỨU TỔNG HỢP'!$B$3&lt;&gt;"",ISNUMBER(SEARCH('TRA CỨU TỔNG HỢP'!$B$3,T837))),MAX($U$3:U836)+1,"")</f>
        <v/>
      </c>
    </row>
    <row r="838" ht="15" customHeight="1" s="217">
      <c r="A838" s="367" t="n"/>
      <c r="B838" s="368" t="n"/>
      <c r="C838" s="367" t="n"/>
      <c r="D838" s="367" t="n"/>
      <c r="E838" s="367" t="n"/>
      <c r="F838" s="369" t="n"/>
      <c r="G838" s="367" t="n"/>
      <c r="H838" s="370" t="n"/>
      <c r="I838" s="371" t="n"/>
      <c r="J838" s="371" t="n"/>
      <c r="K838" s="371" t="n"/>
      <c r="L838" s="371">
        <f>IF(K838="","",K838*1.1)</f>
        <v/>
      </c>
      <c r="M838" s="372" t="n"/>
      <c r="N838" s="372" t="n"/>
      <c r="O838" s="372" t="n"/>
      <c r="P838" s="372" t="n"/>
      <c r="Q838" s="372" t="n"/>
      <c r="R838" s="372" t="n"/>
      <c r="T838" s="216">
        <f>UPPER(A838&amp;" "&amp;B838&amp;" "&amp;D838&amp;" "&amp;E838&amp;" "&amp;F838&amp;" "&amp;G838&amp;" "&amp;H838)</f>
        <v/>
      </c>
      <c r="U838" s="216">
        <f>IF(AND('TRA CỨU TỔNG HỢP'!$B$3&lt;&gt;"",ISNUMBER(SEARCH('TRA CỨU TỔNG HỢP'!$B$3,T838))),MAX($U$3:U837)+1,"")</f>
        <v/>
      </c>
    </row>
    <row r="839" ht="15" customHeight="1" s="217">
      <c r="A839" s="379" t="n"/>
      <c r="B839" s="380" t="n"/>
      <c r="C839" s="379" t="n"/>
      <c r="D839" s="379" t="n"/>
      <c r="E839" s="379" t="n"/>
      <c r="F839" s="381" t="n"/>
      <c r="G839" s="379" t="n"/>
      <c r="H839" s="382" t="n"/>
      <c r="I839" s="383" t="n"/>
      <c r="J839" s="383" t="n"/>
      <c r="K839" s="383" t="n"/>
      <c r="L839" s="383">
        <f>IF(K839="","",K839*1.1)</f>
        <v/>
      </c>
      <c r="M839" s="384" t="n"/>
      <c r="N839" s="384" t="n"/>
      <c r="O839" s="384" t="n"/>
      <c r="P839" s="384" t="n"/>
      <c r="Q839" s="384" t="n"/>
      <c r="R839" s="384" t="n"/>
      <c r="T839" s="216">
        <f>UPPER(A839&amp;" "&amp;B839&amp;" "&amp;D839&amp;" "&amp;E839&amp;" "&amp;F839&amp;" "&amp;G839&amp;" "&amp;H839)</f>
        <v/>
      </c>
      <c r="U839" s="216">
        <f>IF(AND('TRA CỨU TỔNG HỢP'!$B$3&lt;&gt;"",ISNUMBER(SEARCH('TRA CỨU TỔNG HỢP'!$B$3,T839))),MAX($U$3:U838)+1,"")</f>
        <v/>
      </c>
    </row>
    <row r="840" ht="15" customHeight="1" s="217">
      <c r="A840" s="367" t="n"/>
      <c r="B840" s="368" t="n"/>
      <c r="C840" s="367" t="n"/>
      <c r="D840" s="367" t="n"/>
      <c r="E840" s="367" t="n"/>
      <c r="F840" s="369" t="n"/>
      <c r="G840" s="367" t="n"/>
      <c r="H840" s="370" t="n"/>
      <c r="I840" s="371" t="n"/>
      <c r="J840" s="371" t="n"/>
      <c r="K840" s="371" t="n"/>
      <c r="L840" s="371">
        <f>IF(K840="","",K840*1.1)</f>
        <v/>
      </c>
      <c r="M840" s="372" t="n"/>
      <c r="N840" s="372" t="n"/>
      <c r="O840" s="372" t="n"/>
      <c r="P840" s="372" t="n"/>
      <c r="Q840" s="372" t="n"/>
      <c r="R840" s="372" t="n"/>
      <c r="T840" s="216">
        <f>UPPER(A840&amp;" "&amp;B840&amp;" "&amp;D840&amp;" "&amp;E840&amp;" "&amp;F840&amp;" "&amp;G840&amp;" "&amp;H840)</f>
        <v/>
      </c>
      <c r="U840" s="216">
        <f>IF(AND('TRA CỨU TỔNG HỢP'!$B$3&lt;&gt;"",ISNUMBER(SEARCH('TRA CỨU TỔNG HỢP'!$B$3,T840))),MAX($U$3:U839)+1,"")</f>
        <v/>
      </c>
    </row>
    <row r="841" ht="15" customHeight="1" s="217">
      <c r="A841" s="379" t="n"/>
      <c r="B841" s="380" t="n"/>
      <c r="C841" s="379" t="n"/>
      <c r="D841" s="379" t="n"/>
      <c r="E841" s="379" t="n"/>
      <c r="F841" s="381" t="n"/>
      <c r="G841" s="379" t="n"/>
      <c r="H841" s="382" t="n"/>
      <c r="I841" s="383" t="n"/>
      <c r="J841" s="383" t="n"/>
      <c r="K841" s="383" t="n"/>
      <c r="L841" s="383">
        <f>IF(K841="","",K841*1.1)</f>
        <v/>
      </c>
      <c r="M841" s="384" t="n"/>
      <c r="N841" s="384" t="n"/>
      <c r="O841" s="384" t="n"/>
      <c r="P841" s="384" t="n"/>
      <c r="Q841" s="384" t="n"/>
      <c r="R841" s="384" t="n"/>
      <c r="T841" s="216">
        <f>UPPER(A841&amp;" "&amp;B841&amp;" "&amp;D841&amp;" "&amp;E841&amp;" "&amp;F841&amp;" "&amp;G841&amp;" "&amp;H841)</f>
        <v/>
      </c>
      <c r="U841" s="216">
        <f>IF(AND('TRA CỨU TỔNG HỢP'!$B$3&lt;&gt;"",ISNUMBER(SEARCH('TRA CỨU TỔNG HỢP'!$B$3,T841))),MAX($U$3:U840)+1,"")</f>
        <v/>
      </c>
    </row>
    <row r="842" ht="15" customHeight="1" s="217">
      <c r="A842" s="367" t="n"/>
      <c r="B842" s="368" t="n"/>
      <c r="C842" s="367" t="n"/>
      <c r="D842" s="367" t="n"/>
      <c r="E842" s="367" t="n"/>
      <c r="F842" s="369" t="n"/>
      <c r="G842" s="367" t="n"/>
      <c r="H842" s="370" t="n"/>
      <c r="I842" s="371" t="n"/>
      <c r="J842" s="371" t="n"/>
      <c r="K842" s="371" t="n"/>
      <c r="L842" s="371">
        <f>IF(K842="","",K842*1.1)</f>
        <v/>
      </c>
      <c r="M842" s="372" t="n"/>
      <c r="N842" s="372" t="n"/>
      <c r="O842" s="372" t="n"/>
      <c r="P842" s="372" t="n"/>
      <c r="Q842" s="372" t="n"/>
      <c r="R842" s="372" t="n"/>
      <c r="T842" s="216">
        <f>UPPER(A842&amp;" "&amp;B842&amp;" "&amp;D842&amp;" "&amp;E842&amp;" "&amp;F842&amp;" "&amp;G842&amp;" "&amp;H842)</f>
        <v/>
      </c>
      <c r="U842" s="216">
        <f>IF(AND('TRA CỨU TỔNG HỢP'!$B$3&lt;&gt;"",ISNUMBER(SEARCH('TRA CỨU TỔNG HỢP'!$B$3,T842))),MAX($U$3:U841)+1,"")</f>
        <v/>
      </c>
    </row>
    <row r="843" ht="15" customHeight="1" s="217">
      <c r="A843" s="379" t="n"/>
      <c r="B843" s="380" t="n"/>
      <c r="C843" s="379" t="n"/>
      <c r="D843" s="379" t="n"/>
      <c r="E843" s="379" t="n"/>
      <c r="F843" s="381" t="n"/>
      <c r="G843" s="379" t="n"/>
      <c r="H843" s="382" t="n"/>
      <c r="I843" s="383" t="n"/>
      <c r="J843" s="383" t="n"/>
      <c r="K843" s="383" t="n"/>
      <c r="L843" s="383">
        <f>IF(K843="","",K843*1.1)</f>
        <v/>
      </c>
      <c r="M843" s="384" t="n"/>
      <c r="N843" s="384" t="n"/>
      <c r="O843" s="384" t="n"/>
      <c r="P843" s="384" t="n"/>
      <c r="Q843" s="384" t="n"/>
      <c r="R843" s="384" t="n"/>
      <c r="T843" s="216">
        <f>UPPER(A843&amp;" "&amp;B843&amp;" "&amp;D843&amp;" "&amp;E843&amp;" "&amp;F843&amp;" "&amp;G843&amp;" "&amp;H843)</f>
        <v/>
      </c>
      <c r="U843" s="216">
        <f>IF(AND('TRA CỨU TỔNG HỢP'!$B$3&lt;&gt;"",ISNUMBER(SEARCH('TRA CỨU TỔNG HỢP'!$B$3,T843))),MAX($U$3:U842)+1,"")</f>
        <v/>
      </c>
    </row>
    <row r="844" ht="15" customHeight="1" s="217">
      <c r="A844" s="367" t="n"/>
      <c r="B844" s="368" t="n"/>
      <c r="C844" s="367" t="n"/>
      <c r="D844" s="367" t="n"/>
      <c r="E844" s="367" t="n"/>
      <c r="F844" s="369" t="n"/>
      <c r="G844" s="367" t="n"/>
      <c r="H844" s="370" t="n"/>
      <c r="I844" s="371" t="n"/>
      <c r="J844" s="371" t="n"/>
      <c r="K844" s="371" t="n"/>
      <c r="L844" s="371">
        <f>IF(K844="","",K844*1.1)</f>
        <v/>
      </c>
      <c r="M844" s="372" t="n"/>
      <c r="N844" s="372" t="n"/>
      <c r="O844" s="372" t="n"/>
      <c r="P844" s="372" t="n"/>
      <c r="Q844" s="372" t="n"/>
      <c r="R844" s="372" t="n"/>
      <c r="T844" s="216">
        <f>UPPER(A844&amp;" "&amp;B844&amp;" "&amp;D844&amp;" "&amp;E844&amp;" "&amp;F844&amp;" "&amp;G844&amp;" "&amp;H844)</f>
        <v/>
      </c>
      <c r="U844" s="216">
        <f>IF(AND('TRA CỨU TỔNG HỢP'!$B$3&lt;&gt;"",ISNUMBER(SEARCH('TRA CỨU TỔNG HỢP'!$B$3,T844))),MAX($U$3:U843)+1,"")</f>
        <v/>
      </c>
    </row>
    <row r="845" ht="15" customHeight="1" s="217">
      <c r="A845" s="379" t="n"/>
      <c r="B845" s="380" t="n"/>
      <c r="C845" s="379" t="n"/>
      <c r="D845" s="379" t="n"/>
      <c r="E845" s="379" t="n"/>
      <c r="F845" s="381" t="n"/>
      <c r="G845" s="379" t="n"/>
      <c r="H845" s="382" t="n"/>
      <c r="I845" s="383" t="n"/>
      <c r="J845" s="383" t="n"/>
      <c r="K845" s="383" t="n"/>
      <c r="L845" s="383">
        <f>IF(K845="","",K845*1.1)</f>
        <v/>
      </c>
      <c r="M845" s="384" t="n"/>
      <c r="N845" s="384" t="n"/>
      <c r="O845" s="384" t="n"/>
      <c r="P845" s="384" t="n"/>
      <c r="Q845" s="384" t="n"/>
      <c r="R845" s="384" t="n"/>
      <c r="T845" s="216">
        <f>UPPER(A845&amp;" "&amp;B845&amp;" "&amp;D845&amp;" "&amp;E845&amp;" "&amp;F845&amp;" "&amp;G845&amp;" "&amp;H845)</f>
        <v/>
      </c>
      <c r="U845" s="216">
        <f>IF(AND('TRA CỨU TỔNG HỢP'!$B$3&lt;&gt;"",ISNUMBER(SEARCH('TRA CỨU TỔNG HỢP'!$B$3,T845))),MAX($U$3:U844)+1,"")</f>
        <v/>
      </c>
    </row>
    <row r="846" ht="15" customHeight="1" s="217">
      <c r="A846" s="367" t="n"/>
      <c r="B846" s="368" t="n"/>
      <c r="C846" s="367" t="n"/>
      <c r="D846" s="367" t="n"/>
      <c r="E846" s="367" t="n"/>
      <c r="F846" s="369" t="n"/>
      <c r="G846" s="367" t="n"/>
      <c r="H846" s="370" t="n"/>
      <c r="I846" s="371" t="n"/>
      <c r="J846" s="371" t="n"/>
      <c r="K846" s="371" t="n"/>
      <c r="L846" s="371">
        <f>IF(K846="","",K846*1.1)</f>
        <v/>
      </c>
      <c r="M846" s="372" t="n"/>
      <c r="N846" s="372" t="n"/>
      <c r="O846" s="372" t="n"/>
      <c r="P846" s="372" t="n"/>
      <c r="Q846" s="372" t="n"/>
      <c r="R846" s="372" t="n"/>
      <c r="T846" s="216">
        <f>UPPER(A846&amp;" "&amp;B846&amp;" "&amp;D846&amp;" "&amp;E846&amp;" "&amp;F846&amp;" "&amp;G846&amp;" "&amp;H846)</f>
        <v/>
      </c>
      <c r="U846" s="216">
        <f>IF(AND('TRA CỨU TỔNG HỢP'!$B$3&lt;&gt;"",ISNUMBER(SEARCH('TRA CỨU TỔNG HỢP'!$B$3,T846))),MAX($U$3:U845)+1,"")</f>
        <v/>
      </c>
    </row>
    <row r="847" ht="15" customHeight="1" s="217">
      <c r="A847" s="379" t="n"/>
      <c r="B847" s="380" t="n"/>
      <c r="C847" s="379" t="n"/>
      <c r="D847" s="379" t="n"/>
      <c r="E847" s="379" t="n"/>
      <c r="F847" s="381" t="n"/>
      <c r="G847" s="379" t="n"/>
      <c r="H847" s="382" t="n"/>
      <c r="I847" s="383" t="n"/>
      <c r="J847" s="383" t="n"/>
      <c r="K847" s="383" t="n"/>
      <c r="L847" s="383">
        <f>IF(K847="","",K847*1.1)</f>
        <v/>
      </c>
      <c r="M847" s="384" t="n"/>
      <c r="N847" s="384" t="n"/>
      <c r="O847" s="384" t="n"/>
      <c r="P847" s="384" t="n"/>
      <c r="Q847" s="384" t="n"/>
      <c r="R847" s="384" t="n"/>
      <c r="T847" s="216">
        <f>UPPER(A847&amp;" "&amp;B847&amp;" "&amp;D847&amp;" "&amp;E847&amp;" "&amp;F847&amp;" "&amp;G847&amp;" "&amp;H847)</f>
        <v/>
      </c>
      <c r="U847" s="216">
        <f>IF(AND('TRA CỨU TỔNG HỢP'!$B$3&lt;&gt;"",ISNUMBER(SEARCH('TRA CỨU TỔNG HỢP'!$B$3,T847))),MAX($U$3:U846)+1,"")</f>
        <v/>
      </c>
    </row>
    <row r="848" ht="15" customHeight="1" s="217">
      <c r="A848" s="367" t="n"/>
      <c r="B848" s="368" t="n"/>
      <c r="C848" s="367" t="n"/>
      <c r="D848" s="367" t="n"/>
      <c r="E848" s="367" t="n"/>
      <c r="F848" s="369" t="n"/>
      <c r="G848" s="367" t="n"/>
      <c r="H848" s="370" t="n"/>
      <c r="I848" s="371" t="n"/>
      <c r="J848" s="371" t="n"/>
      <c r="K848" s="371" t="n"/>
      <c r="L848" s="371">
        <f>IF(K848="","",K848*1.1)</f>
        <v/>
      </c>
      <c r="M848" s="372" t="n"/>
      <c r="N848" s="372" t="n"/>
      <c r="O848" s="372" t="n"/>
      <c r="P848" s="372" t="n"/>
      <c r="Q848" s="372" t="n"/>
      <c r="R848" s="372" t="n"/>
      <c r="T848" s="216">
        <f>UPPER(A848&amp;" "&amp;B848&amp;" "&amp;D848&amp;" "&amp;E848&amp;" "&amp;F848&amp;" "&amp;G848&amp;" "&amp;H848)</f>
        <v/>
      </c>
      <c r="U848" s="216">
        <f>IF(AND('TRA CỨU TỔNG HỢP'!$B$3&lt;&gt;"",ISNUMBER(SEARCH('TRA CỨU TỔNG HỢP'!$B$3,T848))),MAX($U$3:U847)+1,"")</f>
        <v/>
      </c>
    </row>
    <row r="849" ht="15" customHeight="1" s="217">
      <c r="A849" s="379" t="n"/>
      <c r="B849" s="380" t="n"/>
      <c r="C849" s="379" t="n"/>
      <c r="D849" s="379" t="n"/>
      <c r="E849" s="379" t="n"/>
      <c r="F849" s="381" t="n"/>
      <c r="G849" s="379" t="n"/>
      <c r="H849" s="382" t="n"/>
      <c r="I849" s="383" t="n"/>
      <c r="J849" s="383" t="n"/>
      <c r="K849" s="383" t="n"/>
      <c r="L849" s="383">
        <f>IF(K849="","",K849*1.1)</f>
        <v/>
      </c>
      <c r="M849" s="384" t="n"/>
      <c r="N849" s="384" t="n"/>
      <c r="O849" s="384" t="n"/>
      <c r="P849" s="384" t="n"/>
      <c r="Q849" s="384" t="n"/>
      <c r="R849" s="384" t="n"/>
      <c r="T849" s="216">
        <f>UPPER(A849&amp;" "&amp;B849&amp;" "&amp;D849&amp;" "&amp;E849&amp;" "&amp;F849&amp;" "&amp;G849&amp;" "&amp;H849)</f>
        <v/>
      </c>
      <c r="U849" s="216">
        <f>IF(AND('TRA CỨU TỔNG HỢP'!$B$3&lt;&gt;"",ISNUMBER(SEARCH('TRA CỨU TỔNG HỢP'!$B$3,T849))),MAX($U$3:U848)+1,"")</f>
        <v/>
      </c>
    </row>
    <row r="850" ht="15" customHeight="1" s="217">
      <c r="A850" s="367" t="n"/>
      <c r="B850" s="368" t="n"/>
      <c r="C850" s="367" t="n"/>
      <c r="D850" s="367" t="n"/>
      <c r="E850" s="367" t="n"/>
      <c r="F850" s="369" t="n"/>
      <c r="G850" s="367" t="n"/>
      <c r="H850" s="370" t="n"/>
      <c r="I850" s="371" t="n"/>
      <c r="J850" s="371" t="n"/>
      <c r="K850" s="371" t="n"/>
      <c r="L850" s="371">
        <f>IF(K850="","",K850*1.1)</f>
        <v/>
      </c>
      <c r="M850" s="372" t="n"/>
      <c r="N850" s="372" t="n"/>
      <c r="O850" s="372" t="n"/>
      <c r="P850" s="372" t="n"/>
      <c r="Q850" s="372" t="n"/>
      <c r="R850" s="372" t="n"/>
      <c r="T850" s="216">
        <f>UPPER(A850&amp;" "&amp;B850&amp;" "&amp;D850&amp;" "&amp;E850&amp;" "&amp;F850&amp;" "&amp;G850&amp;" "&amp;H850)</f>
        <v/>
      </c>
      <c r="U850" s="216">
        <f>IF(AND('TRA CỨU TỔNG HỢP'!$B$3&lt;&gt;"",ISNUMBER(SEARCH('TRA CỨU TỔNG HỢP'!$B$3,T850))),MAX($U$3:U849)+1,"")</f>
        <v/>
      </c>
    </row>
    <row r="851" ht="15" customHeight="1" s="217">
      <c r="A851" s="379" t="n"/>
      <c r="B851" s="380" t="n"/>
      <c r="C851" s="379" t="n"/>
      <c r="D851" s="379" t="n"/>
      <c r="E851" s="379" t="n"/>
      <c r="F851" s="381" t="n"/>
      <c r="G851" s="379" t="n"/>
      <c r="H851" s="382" t="n"/>
      <c r="I851" s="383" t="n"/>
      <c r="J851" s="383" t="n"/>
      <c r="K851" s="383" t="n"/>
      <c r="L851" s="383">
        <f>IF(K851="","",K851*1.1)</f>
        <v/>
      </c>
      <c r="M851" s="384" t="n"/>
      <c r="N851" s="384" t="n"/>
      <c r="O851" s="384" t="n"/>
      <c r="P851" s="384" t="n"/>
      <c r="Q851" s="384" t="n"/>
      <c r="R851" s="384" t="n"/>
      <c r="T851" s="216">
        <f>UPPER(A851&amp;" "&amp;B851&amp;" "&amp;D851&amp;" "&amp;E851&amp;" "&amp;F851&amp;" "&amp;G851&amp;" "&amp;H851)</f>
        <v/>
      </c>
      <c r="U851" s="216">
        <f>IF(AND('TRA CỨU TỔNG HỢP'!$B$3&lt;&gt;"",ISNUMBER(SEARCH('TRA CỨU TỔNG HỢP'!$B$3,T851))),MAX($U$3:U850)+1,"")</f>
        <v/>
      </c>
    </row>
    <row r="852" ht="15" customHeight="1" s="217">
      <c r="A852" s="367" t="n"/>
      <c r="B852" s="368" t="n"/>
      <c r="C852" s="367" t="n"/>
      <c r="D852" s="367" t="n"/>
      <c r="E852" s="367" t="n"/>
      <c r="F852" s="369" t="n"/>
      <c r="G852" s="367" t="n"/>
      <c r="H852" s="370" t="n"/>
      <c r="I852" s="371" t="n"/>
      <c r="J852" s="371" t="n"/>
      <c r="K852" s="371" t="n"/>
      <c r="L852" s="371">
        <f>IF(K852="","",K852*1.1)</f>
        <v/>
      </c>
      <c r="M852" s="372" t="n"/>
      <c r="N852" s="372" t="n"/>
      <c r="O852" s="372" t="n"/>
      <c r="P852" s="372" t="n"/>
      <c r="Q852" s="372" t="n"/>
      <c r="R852" s="372" t="n"/>
      <c r="T852" s="216">
        <f>UPPER(A852&amp;" "&amp;B852&amp;" "&amp;D852&amp;" "&amp;E852&amp;" "&amp;F852&amp;" "&amp;G852&amp;" "&amp;H852)</f>
        <v/>
      </c>
      <c r="U852" s="216">
        <f>IF(AND('TRA CỨU TỔNG HỢP'!$B$3&lt;&gt;"",ISNUMBER(SEARCH('TRA CỨU TỔNG HỢP'!$B$3,T852))),MAX($U$3:U851)+1,"")</f>
        <v/>
      </c>
    </row>
    <row r="853" ht="15" customHeight="1" s="217">
      <c r="A853" s="379" t="n"/>
      <c r="B853" s="380" t="n"/>
      <c r="C853" s="379" t="n"/>
      <c r="D853" s="379" t="n"/>
      <c r="E853" s="379" t="n"/>
      <c r="F853" s="381" t="n"/>
      <c r="G853" s="379" t="n"/>
      <c r="H853" s="382" t="n"/>
      <c r="I853" s="383" t="n"/>
      <c r="J853" s="383" t="n"/>
      <c r="K853" s="383" t="n"/>
      <c r="L853" s="383">
        <f>IF(K853="","",K853*1.1)</f>
        <v/>
      </c>
      <c r="M853" s="384" t="n"/>
      <c r="N853" s="384" t="n"/>
      <c r="O853" s="384" t="n"/>
      <c r="P853" s="384" t="n"/>
      <c r="Q853" s="384" t="n"/>
      <c r="R853" s="384" t="n"/>
      <c r="T853" s="216">
        <f>UPPER(A853&amp;" "&amp;B853&amp;" "&amp;D853&amp;" "&amp;E853&amp;" "&amp;F853&amp;" "&amp;G853&amp;" "&amp;H853)</f>
        <v/>
      </c>
      <c r="U853" s="216">
        <f>IF(AND('TRA CỨU TỔNG HỢP'!$B$3&lt;&gt;"",ISNUMBER(SEARCH('TRA CỨU TỔNG HỢP'!$B$3,T853))),MAX($U$3:U852)+1,"")</f>
        <v/>
      </c>
    </row>
    <row r="854" ht="15" customHeight="1" s="217">
      <c r="A854" s="367" t="n"/>
      <c r="B854" s="368" t="n"/>
      <c r="C854" s="367" t="n"/>
      <c r="D854" s="367" t="n"/>
      <c r="E854" s="367" t="n"/>
      <c r="F854" s="369" t="n"/>
      <c r="G854" s="367" t="n"/>
      <c r="H854" s="370" t="n"/>
      <c r="I854" s="371" t="n"/>
      <c r="J854" s="371" t="n"/>
      <c r="K854" s="371" t="n"/>
      <c r="L854" s="371">
        <f>IF(K854="","",K854*1.1)</f>
        <v/>
      </c>
      <c r="M854" s="372" t="n"/>
      <c r="N854" s="372" t="n"/>
      <c r="O854" s="372" t="n"/>
      <c r="P854" s="372" t="n"/>
      <c r="Q854" s="372" t="n"/>
      <c r="R854" s="372" t="n"/>
      <c r="T854" s="216">
        <f>UPPER(A854&amp;" "&amp;B854&amp;" "&amp;D854&amp;" "&amp;E854&amp;" "&amp;F854&amp;" "&amp;G854&amp;" "&amp;H854)</f>
        <v/>
      </c>
      <c r="U854" s="216">
        <f>IF(AND('TRA CỨU TỔNG HỢP'!$B$3&lt;&gt;"",ISNUMBER(SEARCH('TRA CỨU TỔNG HỢP'!$B$3,T854))),MAX($U$3:U853)+1,"")</f>
        <v/>
      </c>
    </row>
    <row r="855" ht="15" customHeight="1" s="217">
      <c r="A855" s="379" t="n"/>
      <c r="B855" s="380" t="n"/>
      <c r="C855" s="379" t="n"/>
      <c r="D855" s="379" t="n"/>
      <c r="E855" s="379" t="n"/>
      <c r="F855" s="381" t="n"/>
      <c r="G855" s="379" t="n"/>
      <c r="H855" s="382" t="n"/>
      <c r="I855" s="383" t="n"/>
      <c r="J855" s="383" t="n"/>
      <c r="K855" s="383" t="n"/>
      <c r="L855" s="383">
        <f>IF(K855="","",K855*1.1)</f>
        <v/>
      </c>
      <c r="M855" s="384" t="n"/>
      <c r="N855" s="384" t="n"/>
      <c r="O855" s="384" t="n"/>
      <c r="P855" s="384" t="n"/>
      <c r="Q855" s="384" t="n"/>
      <c r="R855" s="384" t="n"/>
      <c r="T855" s="216">
        <f>UPPER(A855&amp;" "&amp;B855&amp;" "&amp;D855&amp;" "&amp;E855&amp;" "&amp;F855&amp;" "&amp;G855&amp;" "&amp;H855)</f>
        <v/>
      </c>
      <c r="U855" s="216">
        <f>IF(AND('TRA CỨU TỔNG HỢP'!$B$3&lt;&gt;"",ISNUMBER(SEARCH('TRA CỨU TỔNG HỢP'!$B$3,T855))),MAX($U$3:U854)+1,"")</f>
        <v/>
      </c>
    </row>
    <row r="856" ht="15" customHeight="1" s="217">
      <c r="A856" s="367" t="n"/>
      <c r="B856" s="368" t="n"/>
      <c r="C856" s="367" t="n"/>
      <c r="D856" s="367" t="n"/>
      <c r="E856" s="367" t="n"/>
      <c r="F856" s="369" t="n"/>
      <c r="G856" s="367" t="n"/>
      <c r="H856" s="370" t="n"/>
      <c r="I856" s="371" t="n"/>
      <c r="J856" s="371" t="n"/>
      <c r="K856" s="371" t="n"/>
      <c r="L856" s="371">
        <f>IF(K856="","",K856*1.1)</f>
        <v/>
      </c>
      <c r="M856" s="372" t="n"/>
      <c r="N856" s="372" t="n"/>
      <c r="O856" s="372" t="n"/>
      <c r="P856" s="372" t="n"/>
      <c r="Q856" s="372" t="n"/>
      <c r="R856" s="372" t="n"/>
      <c r="T856" s="216">
        <f>UPPER(A856&amp;" "&amp;B856&amp;" "&amp;D856&amp;" "&amp;E856&amp;" "&amp;F856&amp;" "&amp;G856&amp;" "&amp;H856)</f>
        <v/>
      </c>
      <c r="U856" s="216">
        <f>IF(AND('TRA CỨU TỔNG HỢP'!$B$3&lt;&gt;"",ISNUMBER(SEARCH('TRA CỨU TỔNG HỢP'!$B$3,T856))),MAX($U$3:U855)+1,"")</f>
        <v/>
      </c>
    </row>
    <row r="857" ht="15" customHeight="1" s="217">
      <c r="A857" s="379" t="n"/>
      <c r="B857" s="380" t="n"/>
      <c r="C857" s="379" t="n"/>
      <c r="D857" s="379" t="n"/>
      <c r="E857" s="379" t="n"/>
      <c r="F857" s="381" t="n"/>
      <c r="G857" s="379" t="n"/>
      <c r="H857" s="382" t="n"/>
      <c r="I857" s="383" t="n"/>
      <c r="J857" s="383" t="n"/>
      <c r="K857" s="383" t="n"/>
      <c r="L857" s="383">
        <f>IF(K857="","",K857*1.1)</f>
        <v/>
      </c>
      <c r="M857" s="384" t="n"/>
      <c r="N857" s="384" t="n"/>
      <c r="O857" s="384" t="n"/>
      <c r="P857" s="384" t="n"/>
      <c r="Q857" s="384" t="n"/>
      <c r="R857" s="384" t="n"/>
      <c r="T857" s="216">
        <f>UPPER(A857&amp;" "&amp;B857&amp;" "&amp;D857&amp;" "&amp;E857&amp;" "&amp;F857&amp;" "&amp;G857&amp;" "&amp;H857)</f>
        <v/>
      </c>
      <c r="U857" s="216">
        <f>IF(AND('TRA CỨU TỔNG HỢP'!$B$3&lt;&gt;"",ISNUMBER(SEARCH('TRA CỨU TỔNG HỢP'!$B$3,T857))),MAX($U$3:U856)+1,"")</f>
        <v/>
      </c>
    </row>
    <row r="858" ht="15" customHeight="1" s="217">
      <c r="A858" s="367" t="n"/>
      <c r="B858" s="368" t="n"/>
      <c r="C858" s="367" t="n"/>
      <c r="D858" s="367" t="n"/>
      <c r="E858" s="367" t="n"/>
      <c r="F858" s="369" t="n"/>
      <c r="G858" s="367" t="n"/>
      <c r="H858" s="370" t="n"/>
      <c r="I858" s="371" t="n"/>
      <c r="J858" s="371" t="n"/>
      <c r="K858" s="371" t="n"/>
      <c r="L858" s="371">
        <f>IF(K858="","",K858*1.1)</f>
        <v/>
      </c>
      <c r="M858" s="372" t="n"/>
      <c r="N858" s="372" t="n"/>
      <c r="O858" s="372" t="n"/>
      <c r="P858" s="372" t="n"/>
      <c r="Q858" s="372" t="n"/>
      <c r="R858" s="372" t="n"/>
      <c r="T858" s="216">
        <f>UPPER(A858&amp;" "&amp;B858&amp;" "&amp;D858&amp;" "&amp;E858&amp;" "&amp;F858&amp;" "&amp;G858&amp;" "&amp;H858)</f>
        <v/>
      </c>
      <c r="U858" s="216">
        <f>IF(AND('TRA CỨU TỔNG HỢP'!$B$3&lt;&gt;"",ISNUMBER(SEARCH('TRA CỨU TỔNG HỢP'!$B$3,T858))),MAX($U$3:U857)+1,"")</f>
        <v/>
      </c>
    </row>
    <row r="859" ht="15" customHeight="1" s="217">
      <c r="A859" s="379" t="n"/>
      <c r="B859" s="380" t="n"/>
      <c r="C859" s="379" t="n"/>
      <c r="D859" s="379" t="n"/>
      <c r="E859" s="379" t="n"/>
      <c r="F859" s="381" t="n"/>
      <c r="G859" s="379" t="n"/>
      <c r="H859" s="382" t="n"/>
      <c r="I859" s="383" t="n"/>
      <c r="J859" s="383" t="n"/>
      <c r="K859" s="383" t="n"/>
      <c r="L859" s="383">
        <f>IF(K859="","",K859*1.1)</f>
        <v/>
      </c>
      <c r="M859" s="384" t="n"/>
      <c r="N859" s="384" t="n"/>
      <c r="O859" s="384" t="n"/>
      <c r="P859" s="384" t="n"/>
      <c r="Q859" s="384" t="n"/>
      <c r="R859" s="384" t="n"/>
      <c r="T859" s="216">
        <f>UPPER(A859&amp;" "&amp;B859&amp;" "&amp;D859&amp;" "&amp;E859&amp;" "&amp;F859&amp;" "&amp;G859&amp;" "&amp;H859)</f>
        <v/>
      </c>
      <c r="U859" s="216">
        <f>IF(AND('TRA CỨU TỔNG HỢP'!$B$3&lt;&gt;"",ISNUMBER(SEARCH('TRA CỨU TỔNG HỢP'!$B$3,T859))),MAX($U$3:U858)+1,"")</f>
        <v/>
      </c>
    </row>
    <row r="860" ht="15" customHeight="1" s="217">
      <c r="A860" s="367" t="n"/>
      <c r="B860" s="368" t="n"/>
      <c r="C860" s="367" t="n"/>
      <c r="D860" s="367" t="n"/>
      <c r="E860" s="367" t="n"/>
      <c r="F860" s="369" t="n"/>
      <c r="G860" s="367" t="n"/>
      <c r="H860" s="370" t="n"/>
      <c r="I860" s="371" t="n"/>
      <c r="J860" s="371" t="n"/>
      <c r="K860" s="371" t="n"/>
      <c r="L860" s="371">
        <f>IF(K860="","",K860*1.1)</f>
        <v/>
      </c>
      <c r="M860" s="372" t="n"/>
      <c r="N860" s="372" t="n"/>
      <c r="O860" s="372" t="n"/>
      <c r="P860" s="372" t="n"/>
      <c r="Q860" s="372" t="n"/>
      <c r="R860" s="372" t="n"/>
      <c r="T860" s="216">
        <f>UPPER(A860&amp;" "&amp;B860&amp;" "&amp;D860&amp;" "&amp;E860&amp;" "&amp;F860&amp;" "&amp;G860&amp;" "&amp;H860)</f>
        <v/>
      </c>
      <c r="U860" s="216">
        <f>IF(AND('TRA CỨU TỔNG HỢP'!$B$3&lt;&gt;"",ISNUMBER(SEARCH('TRA CỨU TỔNG HỢP'!$B$3,T860))),MAX($U$3:U859)+1,"")</f>
        <v/>
      </c>
    </row>
    <row r="861" ht="15" customHeight="1" s="217">
      <c r="A861" s="379" t="n"/>
      <c r="B861" s="380" t="n"/>
      <c r="C861" s="379" t="n"/>
      <c r="D861" s="379" t="n"/>
      <c r="E861" s="379" t="n"/>
      <c r="F861" s="381" t="n"/>
      <c r="G861" s="379" t="n"/>
      <c r="H861" s="382" t="n"/>
      <c r="I861" s="383" t="n"/>
      <c r="J861" s="383" t="n"/>
      <c r="K861" s="383" t="n"/>
      <c r="L861" s="383">
        <f>IF(K861="","",K861*1.1)</f>
        <v/>
      </c>
      <c r="M861" s="384" t="n"/>
      <c r="N861" s="384" t="n"/>
      <c r="O861" s="384" t="n"/>
      <c r="P861" s="384" t="n"/>
      <c r="Q861" s="384" t="n"/>
      <c r="R861" s="384" t="n"/>
      <c r="T861" s="216">
        <f>UPPER(A861&amp;" "&amp;B861&amp;" "&amp;D861&amp;" "&amp;E861&amp;" "&amp;F861&amp;" "&amp;G861&amp;" "&amp;H861)</f>
        <v/>
      </c>
      <c r="U861" s="216">
        <f>IF(AND('TRA CỨU TỔNG HỢP'!$B$3&lt;&gt;"",ISNUMBER(SEARCH('TRA CỨU TỔNG HỢP'!$B$3,T861))),MAX($U$3:U860)+1,"")</f>
        <v/>
      </c>
    </row>
    <row r="862" ht="15" customHeight="1" s="217">
      <c r="A862" s="367" t="n"/>
      <c r="B862" s="368" t="n"/>
      <c r="C862" s="367" t="n"/>
      <c r="D862" s="367" t="n"/>
      <c r="E862" s="367" t="n"/>
      <c r="F862" s="369" t="n"/>
      <c r="G862" s="367" t="n"/>
      <c r="H862" s="370" t="n"/>
      <c r="I862" s="371" t="n"/>
      <c r="J862" s="371" t="n"/>
      <c r="K862" s="371" t="n"/>
      <c r="L862" s="371">
        <f>IF(K862="","",K862*1.1)</f>
        <v/>
      </c>
      <c r="M862" s="372" t="n"/>
      <c r="N862" s="372" t="n"/>
      <c r="O862" s="372" t="n"/>
      <c r="P862" s="372" t="n"/>
      <c r="Q862" s="372" t="n"/>
      <c r="R862" s="372" t="n"/>
      <c r="T862" s="216">
        <f>UPPER(A862&amp;" "&amp;B862&amp;" "&amp;D862&amp;" "&amp;E862&amp;" "&amp;F862&amp;" "&amp;G862&amp;" "&amp;H862)</f>
        <v/>
      </c>
      <c r="U862" s="216">
        <f>IF(AND('TRA CỨU TỔNG HỢP'!$B$3&lt;&gt;"",ISNUMBER(SEARCH('TRA CỨU TỔNG HỢP'!$B$3,T862))),MAX($U$3:U861)+1,"")</f>
        <v/>
      </c>
    </row>
    <row r="863" ht="15" customHeight="1" s="217">
      <c r="A863" s="379" t="n"/>
      <c r="B863" s="380" t="n"/>
      <c r="C863" s="379" t="n"/>
      <c r="D863" s="379" t="n"/>
      <c r="E863" s="379" t="n"/>
      <c r="F863" s="381" t="n"/>
      <c r="G863" s="379" t="n"/>
      <c r="H863" s="382" t="n"/>
      <c r="I863" s="383" t="n"/>
      <c r="J863" s="383" t="n"/>
      <c r="K863" s="383" t="n"/>
      <c r="L863" s="383">
        <f>IF(K863="","",K863*1.1)</f>
        <v/>
      </c>
      <c r="M863" s="384" t="n"/>
      <c r="N863" s="384" t="n"/>
      <c r="O863" s="384" t="n"/>
      <c r="P863" s="384" t="n"/>
      <c r="Q863" s="384" t="n"/>
      <c r="R863" s="384" t="n"/>
      <c r="T863" s="216">
        <f>UPPER(A863&amp;" "&amp;B863&amp;" "&amp;D863&amp;" "&amp;E863&amp;" "&amp;F863&amp;" "&amp;G863&amp;" "&amp;H863)</f>
        <v/>
      </c>
      <c r="U863" s="216">
        <f>IF(AND('TRA CỨU TỔNG HỢP'!$B$3&lt;&gt;"",ISNUMBER(SEARCH('TRA CỨU TỔNG HỢP'!$B$3,T863))),MAX($U$3:U862)+1,"")</f>
        <v/>
      </c>
    </row>
    <row r="864" ht="15" customHeight="1" s="217">
      <c r="A864" s="367" t="n"/>
      <c r="B864" s="368" t="n"/>
      <c r="C864" s="367" t="n"/>
      <c r="D864" s="367" t="n"/>
      <c r="E864" s="367" t="n"/>
      <c r="F864" s="369" t="n"/>
      <c r="G864" s="367" t="n"/>
      <c r="H864" s="370" t="n"/>
      <c r="I864" s="371" t="n"/>
      <c r="J864" s="371" t="n"/>
      <c r="K864" s="371" t="n"/>
      <c r="L864" s="371">
        <f>IF(K864="","",K864*1.1)</f>
        <v/>
      </c>
      <c r="M864" s="372" t="n"/>
      <c r="N864" s="372" t="n"/>
      <c r="O864" s="372" t="n"/>
      <c r="P864" s="372" t="n"/>
      <c r="Q864" s="372" t="n"/>
      <c r="R864" s="372" t="n"/>
      <c r="T864" s="216">
        <f>UPPER(A864&amp;" "&amp;B864&amp;" "&amp;D864&amp;" "&amp;E864&amp;" "&amp;F864&amp;" "&amp;G864&amp;" "&amp;H864)</f>
        <v/>
      </c>
      <c r="U864" s="216">
        <f>IF(AND('TRA CỨU TỔNG HỢP'!$B$3&lt;&gt;"",ISNUMBER(SEARCH('TRA CỨU TỔNG HỢP'!$B$3,T864))),MAX($U$3:U863)+1,"")</f>
        <v/>
      </c>
    </row>
    <row r="865" ht="15" customHeight="1" s="217">
      <c r="A865" s="379" t="n"/>
      <c r="B865" s="380" t="n"/>
      <c r="C865" s="379" t="n"/>
      <c r="D865" s="379" t="n"/>
      <c r="E865" s="379" t="n"/>
      <c r="F865" s="381" t="n"/>
      <c r="G865" s="379" t="n"/>
      <c r="H865" s="382" t="n"/>
      <c r="I865" s="383" t="n"/>
      <c r="J865" s="383" t="n"/>
      <c r="K865" s="383" t="n"/>
      <c r="L865" s="383">
        <f>IF(K865="","",K865*1.1)</f>
        <v/>
      </c>
      <c r="M865" s="384" t="n"/>
      <c r="N865" s="384" t="n"/>
      <c r="O865" s="384" t="n"/>
      <c r="P865" s="384" t="n"/>
      <c r="Q865" s="384" t="n"/>
      <c r="R865" s="384" t="n"/>
      <c r="T865" s="216">
        <f>UPPER(A865&amp;" "&amp;B865&amp;" "&amp;D865&amp;" "&amp;E865&amp;" "&amp;F865&amp;" "&amp;G865&amp;" "&amp;H865)</f>
        <v/>
      </c>
      <c r="U865" s="216">
        <f>IF(AND('TRA CỨU TỔNG HỢP'!$B$3&lt;&gt;"",ISNUMBER(SEARCH('TRA CỨU TỔNG HỢP'!$B$3,T865))),MAX($U$3:U864)+1,"")</f>
        <v/>
      </c>
    </row>
    <row r="866" ht="15" customHeight="1" s="217">
      <c r="A866" s="367" t="n"/>
      <c r="B866" s="368" t="n"/>
      <c r="C866" s="367" t="n"/>
      <c r="D866" s="367" t="n"/>
      <c r="E866" s="367" t="n"/>
      <c r="F866" s="369" t="n"/>
      <c r="G866" s="367" t="n"/>
      <c r="H866" s="370" t="n"/>
      <c r="I866" s="371" t="n"/>
      <c r="J866" s="371" t="n"/>
      <c r="K866" s="371" t="n"/>
      <c r="L866" s="371">
        <f>IF(K866="","",K866*1.1)</f>
        <v/>
      </c>
      <c r="M866" s="372" t="n"/>
      <c r="N866" s="372" t="n"/>
      <c r="O866" s="372" t="n"/>
      <c r="P866" s="372" t="n"/>
      <c r="Q866" s="372" t="n"/>
      <c r="R866" s="372" t="n"/>
      <c r="T866" s="216">
        <f>UPPER(A866&amp;" "&amp;B866&amp;" "&amp;D866&amp;" "&amp;E866&amp;" "&amp;F866&amp;" "&amp;G866&amp;" "&amp;H866)</f>
        <v/>
      </c>
      <c r="U866" s="216">
        <f>IF(AND('TRA CỨU TỔNG HỢP'!$B$3&lt;&gt;"",ISNUMBER(SEARCH('TRA CỨU TỔNG HỢP'!$B$3,T866))),MAX($U$3:U865)+1,"")</f>
        <v/>
      </c>
    </row>
    <row r="867" ht="15" customHeight="1" s="217">
      <c r="A867" s="379" t="n"/>
      <c r="B867" s="380" t="n"/>
      <c r="C867" s="379" t="n"/>
      <c r="D867" s="379" t="n"/>
      <c r="E867" s="379" t="n"/>
      <c r="F867" s="381" t="n"/>
      <c r="G867" s="379" t="n"/>
      <c r="H867" s="382" t="n"/>
      <c r="I867" s="383" t="n"/>
      <c r="J867" s="383" t="n"/>
      <c r="K867" s="383" t="n"/>
      <c r="L867" s="383">
        <f>IF(K867="","",K867*1.1)</f>
        <v/>
      </c>
      <c r="M867" s="384" t="n"/>
      <c r="N867" s="384" t="n"/>
      <c r="O867" s="384" t="n"/>
      <c r="P867" s="384" t="n"/>
      <c r="Q867" s="384" t="n"/>
      <c r="R867" s="384" t="n"/>
      <c r="T867" s="216">
        <f>UPPER(A867&amp;" "&amp;B867&amp;" "&amp;D867&amp;" "&amp;E867&amp;" "&amp;F867&amp;" "&amp;G867&amp;" "&amp;H867)</f>
        <v/>
      </c>
      <c r="U867" s="216">
        <f>IF(AND('TRA CỨU TỔNG HỢP'!$B$3&lt;&gt;"",ISNUMBER(SEARCH('TRA CỨU TỔNG HỢP'!$B$3,T867))),MAX($U$3:U866)+1,"")</f>
        <v/>
      </c>
    </row>
    <row r="868" ht="15" customHeight="1" s="217">
      <c r="A868" s="367" t="n"/>
      <c r="B868" s="368" t="n"/>
      <c r="C868" s="367" t="n"/>
      <c r="D868" s="367" t="n"/>
      <c r="E868" s="367" t="n"/>
      <c r="F868" s="369" t="n"/>
      <c r="G868" s="367" t="n"/>
      <c r="H868" s="370" t="n"/>
      <c r="I868" s="371" t="n"/>
      <c r="J868" s="371" t="n"/>
      <c r="K868" s="371" t="n"/>
      <c r="L868" s="371">
        <f>IF(K868="","",K868*1.1)</f>
        <v/>
      </c>
      <c r="M868" s="372" t="n"/>
      <c r="N868" s="372" t="n"/>
      <c r="O868" s="372" t="n"/>
      <c r="P868" s="372" t="n"/>
      <c r="Q868" s="372" t="n"/>
      <c r="R868" s="372" t="n"/>
      <c r="T868" s="216">
        <f>UPPER(A868&amp;" "&amp;B868&amp;" "&amp;D868&amp;" "&amp;E868&amp;" "&amp;F868&amp;" "&amp;G868&amp;" "&amp;H868)</f>
        <v/>
      </c>
      <c r="U868" s="216">
        <f>IF(AND('TRA CỨU TỔNG HỢP'!$B$3&lt;&gt;"",ISNUMBER(SEARCH('TRA CỨU TỔNG HỢP'!$B$3,T868))),MAX($U$3:U867)+1,"")</f>
        <v/>
      </c>
    </row>
    <row r="869" ht="15" customHeight="1" s="217">
      <c r="A869" s="379" t="n"/>
      <c r="B869" s="380" t="n"/>
      <c r="C869" s="379" t="n"/>
      <c r="D869" s="379" t="n"/>
      <c r="E869" s="379" t="n"/>
      <c r="F869" s="381" t="n"/>
      <c r="G869" s="379" t="n"/>
      <c r="H869" s="382" t="n"/>
      <c r="I869" s="383" t="n"/>
      <c r="J869" s="383" t="n"/>
      <c r="K869" s="383" t="n"/>
      <c r="L869" s="383">
        <f>IF(K869="","",K869*1.1)</f>
        <v/>
      </c>
      <c r="M869" s="384" t="n"/>
      <c r="N869" s="384" t="n"/>
      <c r="O869" s="384" t="n"/>
      <c r="P869" s="384" t="n"/>
      <c r="Q869" s="384" t="n"/>
      <c r="R869" s="384" t="n"/>
      <c r="T869" s="216">
        <f>UPPER(A869&amp;" "&amp;B869&amp;" "&amp;D869&amp;" "&amp;E869&amp;" "&amp;F869&amp;" "&amp;G869&amp;" "&amp;H869)</f>
        <v/>
      </c>
      <c r="U869" s="216">
        <f>IF(AND('TRA CỨU TỔNG HỢP'!$B$3&lt;&gt;"",ISNUMBER(SEARCH('TRA CỨU TỔNG HỢP'!$B$3,T869))),MAX($U$3:U868)+1,"")</f>
        <v/>
      </c>
    </row>
    <row r="870" ht="15" customHeight="1" s="217">
      <c r="A870" s="367" t="n"/>
      <c r="B870" s="368" t="n"/>
      <c r="C870" s="367" t="n"/>
      <c r="D870" s="367" t="n"/>
      <c r="E870" s="367" t="n"/>
      <c r="F870" s="369" t="n"/>
      <c r="G870" s="367" t="n"/>
      <c r="H870" s="370" t="n"/>
      <c r="I870" s="371" t="n"/>
      <c r="J870" s="371" t="n"/>
      <c r="K870" s="371" t="n"/>
      <c r="L870" s="371">
        <f>IF(K870="","",K870*1.1)</f>
        <v/>
      </c>
      <c r="M870" s="372" t="n"/>
      <c r="N870" s="372" t="n"/>
      <c r="O870" s="372" t="n"/>
      <c r="P870" s="372" t="n"/>
      <c r="Q870" s="372" t="n"/>
      <c r="R870" s="372" t="n"/>
      <c r="T870" s="216">
        <f>UPPER(A870&amp;" "&amp;B870&amp;" "&amp;D870&amp;" "&amp;E870&amp;" "&amp;F870&amp;" "&amp;G870&amp;" "&amp;H870)</f>
        <v/>
      </c>
      <c r="U870" s="216">
        <f>IF(AND('TRA CỨU TỔNG HỢP'!$B$3&lt;&gt;"",ISNUMBER(SEARCH('TRA CỨU TỔNG HỢP'!$B$3,T870))),MAX($U$3:U869)+1,"")</f>
        <v/>
      </c>
    </row>
    <row r="871" ht="15" customHeight="1" s="217">
      <c r="A871" s="379" t="n"/>
      <c r="B871" s="380" t="n"/>
      <c r="C871" s="379" t="n"/>
      <c r="D871" s="379" t="n"/>
      <c r="E871" s="379" t="n"/>
      <c r="F871" s="381" t="n"/>
      <c r="G871" s="379" t="n"/>
      <c r="H871" s="382" t="n"/>
      <c r="I871" s="383" t="n"/>
      <c r="J871" s="383" t="n"/>
      <c r="K871" s="383" t="n"/>
      <c r="L871" s="383">
        <f>IF(K871="","",K871*1.1)</f>
        <v/>
      </c>
      <c r="M871" s="384" t="n"/>
      <c r="N871" s="384" t="n"/>
      <c r="O871" s="384" t="n"/>
      <c r="P871" s="384" t="n"/>
      <c r="Q871" s="384" t="n"/>
      <c r="R871" s="384" t="n"/>
      <c r="T871" s="216">
        <f>UPPER(A871&amp;" "&amp;B871&amp;" "&amp;D871&amp;" "&amp;E871&amp;" "&amp;F871&amp;" "&amp;G871&amp;" "&amp;H871)</f>
        <v/>
      </c>
      <c r="U871" s="216">
        <f>IF(AND('TRA CỨU TỔNG HỢP'!$B$3&lt;&gt;"",ISNUMBER(SEARCH('TRA CỨU TỔNG HỢP'!$B$3,T871))),MAX($U$3:U870)+1,"")</f>
        <v/>
      </c>
    </row>
    <row r="872" ht="15" customHeight="1" s="217">
      <c r="A872" s="367" t="n"/>
      <c r="B872" s="368" t="n"/>
      <c r="C872" s="367" t="n"/>
      <c r="D872" s="367" t="n"/>
      <c r="E872" s="367" t="n"/>
      <c r="F872" s="369" t="n"/>
      <c r="G872" s="367" t="n"/>
      <c r="H872" s="370" t="n"/>
      <c r="I872" s="371" t="n"/>
      <c r="J872" s="371" t="n"/>
      <c r="K872" s="371" t="n"/>
      <c r="L872" s="371">
        <f>IF(K872="","",K872*1.1)</f>
        <v/>
      </c>
      <c r="M872" s="372" t="n"/>
      <c r="N872" s="372" t="n"/>
      <c r="O872" s="372" t="n"/>
      <c r="P872" s="372" t="n"/>
      <c r="Q872" s="372" t="n"/>
      <c r="R872" s="372" t="n"/>
      <c r="T872" s="216">
        <f>UPPER(A872&amp;" "&amp;B872&amp;" "&amp;D872&amp;" "&amp;E872&amp;" "&amp;F872&amp;" "&amp;G872&amp;" "&amp;H872)</f>
        <v/>
      </c>
      <c r="U872" s="216">
        <f>IF(AND('TRA CỨU TỔNG HỢP'!$B$3&lt;&gt;"",ISNUMBER(SEARCH('TRA CỨU TỔNG HỢP'!$B$3,T872))),MAX($U$3:U871)+1,"")</f>
        <v/>
      </c>
    </row>
    <row r="873" ht="15" customHeight="1" s="217">
      <c r="A873" s="379" t="n"/>
      <c r="B873" s="380" t="n"/>
      <c r="C873" s="379" t="n"/>
      <c r="D873" s="379" t="n"/>
      <c r="E873" s="379" t="n"/>
      <c r="F873" s="381" t="n"/>
      <c r="G873" s="379" t="n"/>
      <c r="H873" s="382" t="n"/>
      <c r="I873" s="383" t="n"/>
      <c r="J873" s="383" t="n"/>
      <c r="K873" s="383" t="n"/>
      <c r="L873" s="383">
        <f>IF(K873="","",K873*1.1)</f>
        <v/>
      </c>
      <c r="M873" s="384" t="n"/>
      <c r="N873" s="384" t="n"/>
      <c r="O873" s="384" t="n"/>
      <c r="P873" s="384" t="n"/>
      <c r="Q873" s="384" t="n"/>
      <c r="R873" s="384" t="n"/>
      <c r="T873" s="216">
        <f>UPPER(A873&amp;" "&amp;B873&amp;" "&amp;D873&amp;" "&amp;E873&amp;" "&amp;F873&amp;" "&amp;G873&amp;" "&amp;H873)</f>
        <v/>
      </c>
      <c r="U873" s="216">
        <f>IF(AND('TRA CỨU TỔNG HỢP'!$B$3&lt;&gt;"",ISNUMBER(SEARCH('TRA CỨU TỔNG HỢP'!$B$3,T873))),MAX($U$3:U872)+1,"")</f>
        <v/>
      </c>
    </row>
    <row r="874" ht="15" customHeight="1" s="217">
      <c r="A874" s="367" t="n"/>
      <c r="B874" s="368" t="n"/>
      <c r="C874" s="367" t="n"/>
      <c r="D874" s="367" t="n"/>
      <c r="E874" s="367" t="n"/>
      <c r="F874" s="369" t="n"/>
      <c r="G874" s="367" t="n"/>
      <c r="H874" s="370" t="n"/>
      <c r="I874" s="371" t="n"/>
      <c r="J874" s="371" t="n"/>
      <c r="K874" s="371" t="n"/>
      <c r="L874" s="371">
        <f>IF(K874="","",K874*1.1)</f>
        <v/>
      </c>
      <c r="M874" s="372" t="n"/>
      <c r="N874" s="372" t="n"/>
      <c r="O874" s="372" t="n"/>
      <c r="P874" s="372" t="n"/>
      <c r="Q874" s="372" t="n"/>
      <c r="R874" s="372" t="n"/>
      <c r="T874" s="216">
        <f>UPPER(A874&amp;" "&amp;B874&amp;" "&amp;D874&amp;" "&amp;E874&amp;" "&amp;F874&amp;" "&amp;G874&amp;" "&amp;H874)</f>
        <v/>
      </c>
      <c r="U874" s="216">
        <f>IF(AND('TRA CỨU TỔNG HỢP'!$B$3&lt;&gt;"",ISNUMBER(SEARCH('TRA CỨU TỔNG HỢP'!$B$3,T874))),MAX($U$3:U873)+1,"")</f>
        <v/>
      </c>
    </row>
    <row r="875" ht="15" customHeight="1" s="217">
      <c r="A875" s="379" t="n"/>
      <c r="B875" s="380" t="n"/>
      <c r="C875" s="379" t="n"/>
      <c r="D875" s="379" t="n"/>
      <c r="E875" s="379" t="n"/>
      <c r="F875" s="381" t="n"/>
      <c r="G875" s="379" t="n"/>
      <c r="H875" s="382" t="n"/>
      <c r="I875" s="383" t="n"/>
      <c r="J875" s="383" t="n"/>
      <c r="K875" s="383" t="n"/>
      <c r="L875" s="383">
        <f>IF(K875="","",K875*1.1)</f>
        <v/>
      </c>
      <c r="M875" s="384" t="n"/>
      <c r="N875" s="384" t="n"/>
      <c r="O875" s="384" t="n"/>
      <c r="P875" s="384" t="n"/>
      <c r="Q875" s="384" t="n"/>
      <c r="R875" s="384" t="n"/>
      <c r="T875" s="216">
        <f>UPPER(A875&amp;" "&amp;B875&amp;" "&amp;D875&amp;" "&amp;E875&amp;" "&amp;F875&amp;" "&amp;G875&amp;" "&amp;H875)</f>
        <v/>
      </c>
      <c r="U875" s="216">
        <f>IF(AND('TRA CỨU TỔNG HỢP'!$B$3&lt;&gt;"",ISNUMBER(SEARCH('TRA CỨU TỔNG HỢP'!$B$3,T875))),MAX($U$3:U874)+1,"")</f>
        <v/>
      </c>
    </row>
    <row r="876" ht="15" customHeight="1" s="217">
      <c r="A876" s="367" t="n"/>
      <c r="B876" s="368" t="n"/>
      <c r="C876" s="367" t="n"/>
      <c r="D876" s="367" t="n"/>
      <c r="E876" s="367" t="n"/>
      <c r="F876" s="369" t="n"/>
      <c r="G876" s="367" t="n"/>
      <c r="H876" s="370" t="n"/>
      <c r="I876" s="371" t="n"/>
      <c r="J876" s="371" t="n"/>
      <c r="K876" s="371" t="n"/>
      <c r="L876" s="371">
        <f>IF(K876="","",K876*1.1)</f>
        <v/>
      </c>
      <c r="M876" s="372" t="n"/>
      <c r="N876" s="372" t="n"/>
      <c r="O876" s="372" t="n"/>
      <c r="P876" s="372" t="n"/>
      <c r="Q876" s="372" t="n"/>
      <c r="R876" s="372" t="n"/>
      <c r="T876" s="216">
        <f>UPPER(A876&amp;" "&amp;B876&amp;" "&amp;D876&amp;" "&amp;E876&amp;" "&amp;F876&amp;" "&amp;G876&amp;" "&amp;H876)</f>
        <v/>
      </c>
      <c r="U876" s="216">
        <f>IF(AND('TRA CỨU TỔNG HỢP'!$B$3&lt;&gt;"",ISNUMBER(SEARCH('TRA CỨU TỔNG HỢP'!$B$3,T876))),MAX($U$3:U875)+1,"")</f>
        <v/>
      </c>
    </row>
    <row r="877" ht="15" customHeight="1" s="217">
      <c r="A877" s="379" t="n"/>
      <c r="B877" s="380" t="n"/>
      <c r="C877" s="379" t="n"/>
      <c r="D877" s="379" t="n"/>
      <c r="E877" s="379" t="n"/>
      <c r="F877" s="381" t="n"/>
      <c r="G877" s="379" t="n"/>
      <c r="H877" s="382" t="n"/>
      <c r="I877" s="383" t="n"/>
      <c r="J877" s="383" t="n"/>
      <c r="K877" s="383" t="n"/>
      <c r="L877" s="383">
        <f>IF(K877="","",K877*1.1)</f>
        <v/>
      </c>
      <c r="M877" s="384" t="n"/>
      <c r="N877" s="384" t="n"/>
      <c r="O877" s="384" t="n"/>
      <c r="P877" s="384" t="n"/>
      <c r="Q877" s="384" t="n"/>
      <c r="R877" s="384" t="n"/>
      <c r="T877" s="216">
        <f>UPPER(A877&amp;" "&amp;B877&amp;" "&amp;D877&amp;" "&amp;E877&amp;" "&amp;F877&amp;" "&amp;G877&amp;" "&amp;H877)</f>
        <v/>
      </c>
      <c r="U877" s="216">
        <f>IF(AND('TRA CỨU TỔNG HỢP'!$B$3&lt;&gt;"",ISNUMBER(SEARCH('TRA CỨU TỔNG HỢP'!$B$3,T877))),MAX($U$3:U876)+1,"")</f>
        <v/>
      </c>
    </row>
    <row r="878" ht="15" customHeight="1" s="217">
      <c r="A878" s="367" t="n"/>
      <c r="B878" s="368" t="n"/>
      <c r="C878" s="367" t="n"/>
      <c r="D878" s="367" t="n"/>
      <c r="E878" s="367" t="n"/>
      <c r="F878" s="369" t="n"/>
      <c r="G878" s="367" t="n"/>
      <c r="H878" s="370" t="n"/>
      <c r="I878" s="371" t="n"/>
      <c r="J878" s="371" t="n"/>
      <c r="K878" s="371" t="n"/>
      <c r="L878" s="371">
        <f>IF(K878="","",K878*1.1)</f>
        <v/>
      </c>
      <c r="M878" s="372" t="n"/>
      <c r="N878" s="372" t="n"/>
      <c r="O878" s="372" t="n"/>
      <c r="P878" s="372" t="n"/>
      <c r="Q878" s="372" t="n"/>
      <c r="R878" s="372" t="n"/>
      <c r="T878" s="216">
        <f>UPPER(A878&amp;" "&amp;B878&amp;" "&amp;D878&amp;" "&amp;E878&amp;" "&amp;F878&amp;" "&amp;G878&amp;" "&amp;H878)</f>
        <v/>
      </c>
      <c r="U878" s="216">
        <f>IF(AND('TRA CỨU TỔNG HỢP'!$B$3&lt;&gt;"",ISNUMBER(SEARCH('TRA CỨU TỔNG HỢP'!$B$3,T878))),MAX($U$3:U877)+1,"")</f>
        <v/>
      </c>
    </row>
    <row r="879" ht="15" customHeight="1" s="217">
      <c r="A879" s="379" t="n"/>
      <c r="B879" s="380" t="n"/>
      <c r="C879" s="379" t="n"/>
      <c r="D879" s="379" t="n"/>
      <c r="E879" s="379" t="n"/>
      <c r="F879" s="381" t="n"/>
      <c r="G879" s="379" t="n"/>
      <c r="H879" s="382" t="n"/>
      <c r="I879" s="383" t="n"/>
      <c r="J879" s="383" t="n"/>
      <c r="K879" s="383" t="n"/>
      <c r="L879" s="383">
        <f>IF(K879="","",K879*1.1)</f>
        <v/>
      </c>
      <c r="M879" s="384" t="n"/>
      <c r="N879" s="384" t="n"/>
      <c r="O879" s="384" t="n"/>
      <c r="P879" s="384" t="n"/>
      <c r="Q879" s="384" t="n"/>
      <c r="R879" s="384" t="n"/>
      <c r="T879" s="216">
        <f>UPPER(A879&amp;" "&amp;B879&amp;" "&amp;D879&amp;" "&amp;E879&amp;" "&amp;F879&amp;" "&amp;G879&amp;" "&amp;H879)</f>
        <v/>
      </c>
      <c r="U879" s="216">
        <f>IF(AND('TRA CỨU TỔNG HỢP'!$B$3&lt;&gt;"",ISNUMBER(SEARCH('TRA CỨU TỔNG HỢP'!$B$3,T879))),MAX($U$3:U878)+1,"")</f>
        <v/>
      </c>
    </row>
    <row r="880" ht="15" customHeight="1" s="217">
      <c r="A880" s="367" t="n"/>
      <c r="B880" s="368" t="n"/>
      <c r="C880" s="367" t="n"/>
      <c r="D880" s="367" t="n"/>
      <c r="E880" s="367" t="n"/>
      <c r="F880" s="369" t="n"/>
      <c r="G880" s="367" t="n"/>
      <c r="H880" s="370" t="n"/>
      <c r="I880" s="371" t="n"/>
      <c r="J880" s="371" t="n"/>
      <c r="K880" s="371" t="n"/>
      <c r="L880" s="371">
        <f>IF(K880="","",K880*1.1)</f>
        <v/>
      </c>
      <c r="M880" s="372" t="n"/>
      <c r="N880" s="372" t="n"/>
      <c r="O880" s="372" t="n"/>
      <c r="P880" s="372" t="n"/>
      <c r="Q880" s="372" t="n"/>
      <c r="R880" s="372" t="n"/>
      <c r="T880" s="216">
        <f>UPPER(A880&amp;" "&amp;B880&amp;" "&amp;D880&amp;" "&amp;E880&amp;" "&amp;F880&amp;" "&amp;G880&amp;" "&amp;H880)</f>
        <v/>
      </c>
      <c r="U880" s="216">
        <f>IF(AND('TRA CỨU TỔNG HỢP'!$B$3&lt;&gt;"",ISNUMBER(SEARCH('TRA CỨU TỔNG HỢP'!$B$3,T880))),MAX($U$3:U879)+1,"")</f>
        <v/>
      </c>
    </row>
    <row r="881" ht="15" customHeight="1" s="217">
      <c r="A881" s="379" t="n"/>
      <c r="B881" s="380" t="n"/>
      <c r="C881" s="379" t="n"/>
      <c r="D881" s="379" t="n"/>
      <c r="E881" s="379" t="n"/>
      <c r="F881" s="381" t="n"/>
      <c r="G881" s="379" t="n"/>
      <c r="H881" s="382" t="n"/>
      <c r="I881" s="383" t="n"/>
      <c r="J881" s="383" t="n"/>
      <c r="K881" s="383" t="n"/>
      <c r="L881" s="383">
        <f>IF(K881="","",K881*1.1)</f>
        <v/>
      </c>
      <c r="M881" s="384" t="n"/>
      <c r="N881" s="384" t="n"/>
      <c r="O881" s="384" t="n"/>
      <c r="P881" s="384" t="n"/>
      <c r="Q881" s="384" t="n"/>
      <c r="R881" s="384" t="n"/>
      <c r="T881" s="216">
        <f>UPPER(A881&amp;" "&amp;B881&amp;" "&amp;D881&amp;" "&amp;E881&amp;" "&amp;F881&amp;" "&amp;G881&amp;" "&amp;H881)</f>
        <v/>
      </c>
      <c r="U881" s="216">
        <f>IF(AND('TRA CỨU TỔNG HỢP'!$B$3&lt;&gt;"",ISNUMBER(SEARCH('TRA CỨU TỔNG HỢP'!$B$3,T881))),MAX($U$3:U880)+1,"")</f>
        <v/>
      </c>
    </row>
    <row r="882" ht="15" customHeight="1" s="217">
      <c r="A882" s="367" t="n"/>
      <c r="B882" s="368" t="n"/>
      <c r="C882" s="367" t="n"/>
      <c r="D882" s="367" t="n"/>
      <c r="E882" s="367" t="n"/>
      <c r="F882" s="369" t="n"/>
      <c r="G882" s="367" t="n"/>
      <c r="H882" s="370" t="n"/>
      <c r="I882" s="371" t="n"/>
      <c r="J882" s="371" t="n"/>
      <c r="K882" s="371" t="n"/>
      <c r="L882" s="371">
        <f>IF(K882="","",K882*1.1)</f>
        <v/>
      </c>
      <c r="M882" s="372" t="n"/>
      <c r="N882" s="372" t="n"/>
      <c r="O882" s="372" t="n"/>
      <c r="P882" s="372" t="n"/>
      <c r="Q882" s="372" t="n"/>
      <c r="R882" s="372" t="n"/>
      <c r="T882" s="216">
        <f>UPPER(A882&amp;" "&amp;B882&amp;" "&amp;D882&amp;" "&amp;E882&amp;" "&amp;F882&amp;" "&amp;G882&amp;" "&amp;H882)</f>
        <v/>
      </c>
      <c r="U882" s="216">
        <f>IF(AND('TRA CỨU TỔNG HỢP'!$B$3&lt;&gt;"",ISNUMBER(SEARCH('TRA CỨU TỔNG HỢP'!$B$3,T882))),MAX($U$3:U881)+1,"")</f>
        <v/>
      </c>
    </row>
    <row r="883" ht="15" customHeight="1" s="217">
      <c r="A883" s="379" t="n"/>
      <c r="B883" s="380" t="n"/>
      <c r="C883" s="379" t="n"/>
      <c r="D883" s="379" t="n"/>
      <c r="E883" s="379" t="n"/>
      <c r="F883" s="381" t="n"/>
      <c r="G883" s="379" t="n"/>
      <c r="H883" s="382" t="n"/>
      <c r="I883" s="383" t="n"/>
      <c r="J883" s="383" t="n"/>
      <c r="K883" s="383" t="n"/>
      <c r="L883" s="383">
        <f>IF(K883="","",K883*1.1)</f>
        <v/>
      </c>
      <c r="M883" s="384" t="n"/>
      <c r="N883" s="384" t="n"/>
      <c r="O883" s="384" t="n"/>
      <c r="P883" s="384" t="n"/>
      <c r="Q883" s="384" t="n"/>
      <c r="R883" s="384" t="n"/>
      <c r="T883" s="216">
        <f>UPPER(A883&amp;" "&amp;B883&amp;" "&amp;D883&amp;" "&amp;E883&amp;" "&amp;F883&amp;" "&amp;G883&amp;" "&amp;H883)</f>
        <v/>
      </c>
      <c r="U883" s="216">
        <f>IF(AND('TRA CỨU TỔNG HỢP'!$B$3&lt;&gt;"",ISNUMBER(SEARCH('TRA CỨU TỔNG HỢP'!$B$3,T883))),MAX($U$3:U882)+1,"")</f>
        <v/>
      </c>
    </row>
    <row r="884" ht="15" customHeight="1" s="217">
      <c r="A884" s="367" t="n"/>
      <c r="B884" s="368" t="n"/>
      <c r="C884" s="367" t="n"/>
      <c r="D884" s="367" t="n"/>
      <c r="E884" s="367" t="n"/>
      <c r="F884" s="369" t="n"/>
      <c r="G884" s="367" t="n"/>
      <c r="H884" s="370" t="n"/>
      <c r="I884" s="371" t="n"/>
      <c r="J884" s="371" t="n"/>
      <c r="K884" s="371" t="n"/>
      <c r="L884" s="371">
        <f>IF(K884="","",K884*1.1)</f>
        <v/>
      </c>
      <c r="M884" s="372" t="n"/>
      <c r="N884" s="372" t="n"/>
      <c r="O884" s="372" t="n"/>
      <c r="P884" s="372" t="n"/>
      <c r="Q884" s="372" t="n"/>
      <c r="R884" s="372" t="n"/>
      <c r="T884" s="216">
        <f>UPPER(A884&amp;" "&amp;B884&amp;" "&amp;D884&amp;" "&amp;E884&amp;" "&amp;F884&amp;" "&amp;G884&amp;" "&amp;H884)</f>
        <v/>
      </c>
      <c r="U884" s="216">
        <f>IF(AND('TRA CỨU TỔNG HỢP'!$B$3&lt;&gt;"",ISNUMBER(SEARCH('TRA CỨU TỔNG HỢP'!$B$3,T884))),MAX($U$3:U883)+1,"")</f>
        <v/>
      </c>
    </row>
    <row r="885" ht="15" customHeight="1" s="217">
      <c r="A885" s="379" t="n"/>
      <c r="B885" s="380" t="n"/>
      <c r="C885" s="379" t="n"/>
      <c r="D885" s="379" t="n"/>
      <c r="E885" s="379" t="n"/>
      <c r="F885" s="381" t="n"/>
      <c r="G885" s="379" t="n"/>
      <c r="H885" s="382" t="n"/>
      <c r="I885" s="383" t="n"/>
      <c r="J885" s="383" t="n"/>
      <c r="K885" s="383" t="n"/>
      <c r="L885" s="383">
        <f>IF(K885="","",K885*1.1)</f>
        <v/>
      </c>
      <c r="M885" s="384" t="n"/>
      <c r="N885" s="384" t="n"/>
      <c r="O885" s="384" t="n"/>
      <c r="P885" s="384" t="n"/>
      <c r="Q885" s="384" t="n"/>
      <c r="R885" s="384" t="n"/>
      <c r="T885" s="216">
        <f>UPPER(A885&amp;" "&amp;B885&amp;" "&amp;D885&amp;" "&amp;E885&amp;" "&amp;F885&amp;" "&amp;G885&amp;" "&amp;H885)</f>
        <v/>
      </c>
      <c r="U885" s="216">
        <f>IF(AND('TRA CỨU TỔNG HỢP'!$B$3&lt;&gt;"",ISNUMBER(SEARCH('TRA CỨU TỔNG HỢP'!$B$3,T885))),MAX($U$3:U884)+1,"")</f>
        <v/>
      </c>
    </row>
    <row r="886" ht="15" customHeight="1" s="217">
      <c r="A886" s="367" t="n"/>
      <c r="B886" s="368" t="n"/>
      <c r="C886" s="367" t="n"/>
      <c r="D886" s="367" t="n"/>
      <c r="E886" s="367" t="n"/>
      <c r="F886" s="369" t="n"/>
      <c r="G886" s="367" t="n"/>
      <c r="H886" s="370" t="n"/>
      <c r="I886" s="371" t="n"/>
      <c r="J886" s="371" t="n"/>
      <c r="K886" s="371" t="n"/>
      <c r="L886" s="371">
        <f>IF(K886="","",K886*1.1)</f>
        <v/>
      </c>
      <c r="M886" s="372" t="n"/>
      <c r="N886" s="372" t="n"/>
      <c r="O886" s="372" t="n"/>
      <c r="P886" s="372" t="n"/>
      <c r="Q886" s="372" t="n"/>
      <c r="R886" s="372" t="n"/>
      <c r="T886" s="216">
        <f>UPPER(A886&amp;" "&amp;B886&amp;" "&amp;D886&amp;" "&amp;E886&amp;" "&amp;F886&amp;" "&amp;G886&amp;" "&amp;H886)</f>
        <v/>
      </c>
      <c r="U886" s="216">
        <f>IF(AND('TRA CỨU TỔNG HỢP'!$B$3&lt;&gt;"",ISNUMBER(SEARCH('TRA CỨU TỔNG HỢP'!$B$3,T886))),MAX($U$3:U885)+1,"")</f>
        <v/>
      </c>
    </row>
    <row r="887" ht="15" customHeight="1" s="217">
      <c r="A887" s="379" t="n"/>
      <c r="B887" s="380" t="n"/>
      <c r="C887" s="379" t="n"/>
      <c r="D887" s="379" t="n"/>
      <c r="E887" s="379" t="n"/>
      <c r="F887" s="381" t="n"/>
      <c r="G887" s="379" t="n"/>
      <c r="H887" s="382" t="n"/>
      <c r="I887" s="383" t="n"/>
      <c r="J887" s="383" t="n"/>
      <c r="K887" s="383" t="n"/>
      <c r="L887" s="383">
        <f>IF(K887="","",K887*1.1)</f>
        <v/>
      </c>
      <c r="M887" s="384" t="n"/>
      <c r="N887" s="384" t="n"/>
      <c r="O887" s="384" t="n"/>
      <c r="P887" s="384" t="n"/>
      <c r="Q887" s="384" t="n"/>
      <c r="R887" s="384" t="n"/>
      <c r="T887" s="216">
        <f>UPPER(A887&amp;" "&amp;B887&amp;" "&amp;D887&amp;" "&amp;E887&amp;" "&amp;F887&amp;" "&amp;G887&amp;" "&amp;H887)</f>
        <v/>
      </c>
      <c r="U887" s="216">
        <f>IF(AND('TRA CỨU TỔNG HỢP'!$B$3&lt;&gt;"",ISNUMBER(SEARCH('TRA CỨU TỔNG HỢP'!$B$3,T887))),MAX($U$3:U886)+1,"")</f>
        <v/>
      </c>
    </row>
    <row r="888" ht="15" customHeight="1" s="217">
      <c r="A888" s="367" t="n"/>
      <c r="B888" s="368" t="n"/>
      <c r="C888" s="367" t="n"/>
      <c r="D888" s="367" t="n"/>
      <c r="E888" s="367" t="n"/>
      <c r="F888" s="369" t="n"/>
      <c r="G888" s="367" t="n"/>
      <c r="H888" s="370" t="n"/>
      <c r="I888" s="371" t="n"/>
      <c r="J888" s="371" t="n"/>
      <c r="K888" s="371" t="n"/>
      <c r="L888" s="371">
        <f>IF(K888="","",K888*1.1)</f>
        <v/>
      </c>
      <c r="M888" s="372" t="n"/>
      <c r="N888" s="372" t="n"/>
      <c r="O888" s="372" t="n"/>
      <c r="P888" s="372" t="n"/>
      <c r="Q888" s="372" t="n"/>
      <c r="R888" s="372" t="n"/>
      <c r="T888" s="216">
        <f>UPPER(A888&amp;" "&amp;B888&amp;" "&amp;D888&amp;" "&amp;E888&amp;" "&amp;F888&amp;" "&amp;G888&amp;" "&amp;H888)</f>
        <v/>
      </c>
      <c r="U888" s="216">
        <f>IF(AND('TRA CỨU TỔNG HỢP'!$B$3&lt;&gt;"",ISNUMBER(SEARCH('TRA CỨU TỔNG HỢP'!$B$3,T888))),MAX($U$3:U887)+1,"")</f>
        <v/>
      </c>
    </row>
    <row r="889" ht="15" customHeight="1" s="217">
      <c r="A889" s="379" t="n"/>
      <c r="B889" s="380" t="n"/>
      <c r="C889" s="379" t="n"/>
      <c r="D889" s="379" t="n"/>
      <c r="E889" s="379" t="n"/>
      <c r="F889" s="381" t="n"/>
      <c r="G889" s="379" t="n"/>
      <c r="H889" s="382" t="n"/>
      <c r="I889" s="383" t="n"/>
      <c r="J889" s="383" t="n"/>
      <c r="K889" s="383" t="n"/>
      <c r="L889" s="383">
        <f>IF(K889="","",K889*1.1)</f>
        <v/>
      </c>
      <c r="M889" s="384" t="n"/>
      <c r="N889" s="384" t="n"/>
      <c r="O889" s="384" t="n"/>
      <c r="P889" s="384" t="n"/>
      <c r="Q889" s="384" t="n"/>
      <c r="R889" s="384" t="n"/>
      <c r="T889" s="216">
        <f>UPPER(A889&amp;" "&amp;B889&amp;" "&amp;D889&amp;" "&amp;E889&amp;" "&amp;F889&amp;" "&amp;G889&amp;" "&amp;H889)</f>
        <v/>
      </c>
      <c r="U889" s="216">
        <f>IF(AND('TRA CỨU TỔNG HỢP'!$B$3&lt;&gt;"",ISNUMBER(SEARCH('TRA CỨU TỔNG HỢP'!$B$3,T889))),MAX($U$3:U888)+1,"")</f>
        <v/>
      </c>
    </row>
    <row r="890" ht="15" customHeight="1" s="217">
      <c r="A890" s="367" t="n"/>
      <c r="B890" s="368" t="n"/>
      <c r="C890" s="367" t="n"/>
      <c r="D890" s="367" t="n"/>
      <c r="E890" s="367" t="n"/>
      <c r="F890" s="369" t="n"/>
      <c r="G890" s="367" t="n"/>
      <c r="H890" s="370" t="n"/>
      <c r="I890" s="371" t="n"/>
      <c r="J890" s="371" t="n"/>
      <c r="K890" s="371" t="n"/>
      <c r="L890" s="371">
        <f>IF(K890="","",K890*1.1)</f>
        <v/>
      </c>
      <c r="M890" s="372" t="n"/>
      <c r="N890" s="372" t="n"/>
      <c r="O890" s="372" t="n"/>
      <c r="P890" s="372" t="n"/>
      <c r="Q890" s="372" t="n"/>
      <c r="R890" s="372" t="n"/>
      <c r="T890" s="216">
        <f>UPPER(A890&amp;" "&amp;B890&amp;" "&amp;D890&amp;" "&amp;E890&amp;" "&amp;F890&amp;" "&amp;G890&amp;" "&amp;H890)</f>
        <v/>
      </c>
      <c r="U890" s="216">
        <f>IF(AND('TRA CỨU TỔNG HỢP'!$B$3&lt;&gt;"",ISNUMBER(SEARCH('TRA CỨU TỔNG HỢP'!$B$3,T890))),MAX($U$3:U889)+1,"")</f>
        <v/>
      </c>
    </row>
    <row r="891" ht="15" customHeight="1" s="217">
      <c r="A891" s="379" t="n"/>
      <c r="B891" s="380" t="n"/>
      <c r="C891" s="379" t="n"/>
      <c r="D891" s="379" t="n"/>
      <c r="E891" s="379" t="n"/>
      <c r="F891" s="381" t="n"/>
      <c r="G891" s="379" t="n"/>
      <c r="H891" s="382" t="n"/>
      <c r="I891" s="383" t="n"/>
      <c r="J891" s="383" t="n"/>
      <c r="K891" s="383" t="n"/>
      <c r="L891" s="383">
        <f>IF(K891="","",K891*1.1)</f>
        <v/>
      </c>
      <c r="M891" s="384" t="n"/>
      <c r="N891" s="384" t="n"/>
      <c r="O891" s="384" t="n"/>
      <c r="P891" s="384" t="n"/>
      <c r="Q891" s="384" t="n"/>
      <c r="R891" s="384" t="n"/>
      <c r="T891" s="216">
        <f>UPPER(A891&amp;" "&amp;B891&amp;" "&amp;D891&amp;" "&amp;E891&amp;" "&amp;F891&amp;" "&amp;G891&amp;" "&amp;H891)</f>
        <v/>
      </c>
      <c r="U891" s="216">
        <f>IF(AND('TRA CỨU TỔNG HỢP'!$B$3&lt;&gt;"",ISNUMBER(SEARCH('TRA CỨU TỔNG HỢP'!$B$3,T891))),MAX($U$3:U890)+1,"")</f>
        <v/>
      </c>
    </row>
    <row r="892" ht="15" customHeight="1" s="217">
      <c r="A892" s="367" t="n"/>
      <c r="B892" s="368" t="n"/>
      <c r="C892" s="367" t="n"/>
      <c r="D892" s="367" t="n"/>
      <c r="E892" s="367" t="n"/>
      <c r="F892" s="369" t="n"/>
      <c r="G892" s="367" t="n"/>
      <c r="H892" s="370" t="n"/>
      <c r="I892" s="371" t="n"/>
      <c r="J892" s="371" t="n"/>
      <c r="K892" s="371" t="n"/>
      <c r="L892" s="371">
        <f>IF(K892="","",K892*1.1)</f>
        <v/>
      </c>
      <c r="M892" s="372" t="n"/>
      <c r="N892" s="372" t="n"/>
      <c r="O892" s="372" t="n"/>
      <c r="P892" s="372" t="n"/>
      <c r="Q892" s="372" t="n"/>
      <c r="R892" s="372" t="n"/>
      <c r="T892" s="216">
        <f>UPPER(A892&amp;" "&amp;B892&amp;" "&amp;D892&amp;" "&amp;E892&amp;" "&amp;F892&amp;" "&amp;G892&amp;" "&amp;H892)</f>
        <v/>
      </c>
      <c r="U892" s="216">
        <f>IF(AND('TRA CỨU TỔNG HỢP'!$B$3&lt;&gt;"",ISNUMBER(SEARCH('TRA CỨU TỔNG HỢP'!$B$3,T892))),MAX($U$3:U891)+1,"")</f>
        <v/>
      </c>
    </row>
  </sheetData>
  <mergeCells count="33">
    <mergeCell ref="A653:R653"/>
    <mergeCell ref="A678:R678"/>
    <mergeCell ref="A174:R174"/>
    <mergeCell ref="A655:R655"/>
    <mergeCell ref="A469:R469"/>
    <mergeCell ref="A602:R602"/>
    <mergeCell ref="A50:R50"/>
    <mergeCell ref="A683:R683"/>
    <mergeCell ref="A2:R2"/>
    <mergeCell ref="A666:R666"/>
    <mergeCell ref="A213:R213"/>
    <mergeCell ref="A616:R616"/>
    <mergeCell ref="A234:R234"/>
    <mergeCell ref="A591:R591"/>
    <mergeCell ref="A4:R4"/>
    <mergeCell ref="A573:R573"/>
    <mergeCell ref="A140:R140"/>
    <mergeCell ref="A209:R209"/>
    <mergeCell ref="A280:R280"/>
    <mergeCell ref="A416:R416"/>
    <mergeCell ref="A594:R594"/>
    <mergeCell ref="A161:R161"/>
    <mergeCell ref="A506:R506"/>
    <mergeCell ref="A475:R475"/>
    <mergeCell ref="A471:R471"/>
    <mergeCell ref="A680:R680"/>
    <mergeCell ref="A143:R143"/>
    <mergeCell ref="A48:R48"/>
    <mergeCell ref="A176:R176"/>
    <mergeCell ref="A688:R688"/>
    <mergeCell ref="A291:R291"/>
    <mergeCell ref="A638:R638"/>
    <mergeCell ref="A1:R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C55A11"/>
    <outlinePr summaryBelow="1" summaryRight="1"/>
    <pageSetUpPr fitToPage="0"/>
  </sheetPr>
  <dimension ref="A1:J4351"/>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04" activePane="bottomLeft" state="frozen"/>
      <selection pane="topLeft" activeCell="A1" activeCellId="0" sqref="A1"/>
      <selection pane="bottomLeft" activeCell="L323" activeCellId="0" sqref="L323"/>
    </sheetView>
  </sheetViews>
  <sheetFormatPr baseColWidth="8" defaultColWidth="8.6796875" defaultRowHeight="15" zeroHeight="0" outlineLevelRow="0"/>
  <cols>
    <col width="5" customWidth="1" style="216" min="1" max="1"/>
    <col width="10" customWidth="1" style="216" min="2" max="2"/>
    <col width="42" customWidth="1" style="216" min="3" max="3"/>
    <col width="15" customWidth="1" style="216" min="4" max="4"/>
    <col width="12" customWidth="1" style="216" min="5" max="5"/>
    <col width="38" customWidth="1" style="216" min="6" max="6"/>
    <col width="10" customWidth="1" style="216" min="7" max="7"/>
    <col width="18" customWidth="1" style="216" min="8" max="8"/>
    <col width="27.57" customWidth="1" style="216" min="9" max="9"/>
    <col hidden="1" width="0.11" customWidth="1" style="216" min="11" max="11"/>
  </cols>
  <sheetData>
    <row r="1" ht="31.5" customHeight="1" s="217">
      <c r="A1" s="386" t="inlineStr">
        <is>
          <t>👥  DANH SÁCH KHÁCH HÀNG — TỰ ĐỘNG CẬP NHẬT KHI THÊM MỚI</t>
        </is>
      </c>
    </row>
    <row r="2" ht="24" customHeight="1" s="217">
      <c r="A2" s="387" t="inlineStr">
        <is>
          <t>STT</t>
        </is>
      </c>
      <c r="B2" s="388" t="inlineStr">
        <is>
          <t>Mã KH</t>
        </is>
      </c>
      <c r="C2" s="389" t="inlineStr">
        <is>
          <t>Tên khách hàng</t>
        </is>
      </c>
      <c r="D2" s="389" t="inlineStr">
        <is>
          <t>Điện thoại</t>
        </is>
      </c>
      <c r="E2" s="390" t="inlineStr">
        <is>
          <t>Phân loại</t>
        </is>
      </c>
      <c r="F2" s="389" t="inlineStr">
        <is>
          <t>Địa chỉ</t>
        </is>
      </c>
      <c r="G2" s="389" t="inlineStr">
        <is>
          <t>Tỉnh/TP</t>
        </is>
      </c>
      <c r="H2" s="387" t="inlineStr">
        <is>
          <t>Ghi chú</t>
        </is>
      </c>
      <c r="I2" s="391" t="inlineStr">
        <is>
          <t>Nhà xe</t>
        </is>
      </c>
      <c r="J2" s="392" t="inlineStr">
        <is>
          <t>_SK</t>
        </is>
      </c>
    </row>
    <row r="3" ht="15.75" customHeight="1" s="217">
      <c r="A3" s="393" t="n">
        <v>1</v>
      </c>
      <c r="B3" s="393" t="inlineStr">
        <is>
          <t>KH3751</t>
        </is>
      </c>
      <c r="C3" s="394" t="inlineStr">
        <is>
          <t>Keishin Machinery - bình chánh</t>
        </is>
      </c>
      <c r="D3" s="395" t="n"/>
      <c r="E3" s="393" t="inlineStr">
        <is>
          <t>KHÁCH VIP</t>
        </is>
      </c>
      <c r="F3" s="396" t="n"/>
      <c r="G3" s="395" t="n"/>
      <c r="H3" s="395" t="n"/>
      <c r="J3" s="392">
        <f>IFERROR(UPPER(TRIM(B3))&amp;"|"&amp;UPPER(TRIM(C3))&amp;"|"&amp;UPPER(TRIM(D3)),"")</f>
        <v/>
      </c>
    </row>
    <row r="4" ht="15.75" customHeight="1" s="217">
      <c r="A4" s="397" t="n">
        <v>2</v>
      </c>
      <c r="B4" s="397" t="inlineStr">
        <is>
          <t>KH3724</t>
        </is>
      </c>
      <c r="C4" s="398" t="inlineStr">
        <is>
          <t>Anh Tuệ-Gia Lai/0335.786.077</t>
        </is>
      </c>
      <c r="D4" s="397" t="inlineStr">
        <is>
          <t>0335.786.077</t>
        </is>
      </c>
      <c r="E4" s="399" t="n"/>
      <c r="F4" s="398" t="inlineStr">
        <is>
          <t>Gia Lai</t>
        </is>
      </c>
      <c r="G4" s="397" t="inlineStr">
        <is>
          <t>GLAI</t>
        </is>
      </c>
      <c r="H4" s="399" t="n"/>
      <c r="J4" s="392">
        <f>IFERROR(UPPER(TRIM(B4))&amp;"|"&amp;UPPER(TRIM(C4))&amp;"|"&amp;UPPER(TRIM(D4)),"")</f>
        <v/>
      </c>
    </row>
    <row r="5" ht="15.75" customHeight="1" s="217">
      <c r="A5" s="400" t="n">
        <v>3</v>
      </c>
      <c r="B5" s="400" t="inlineStr">
        <is>
          <t>KH3723</t>
        </is>
      </c>
      <c r="C5" s="401" t="inlineStr">
        <is>
          <t>CH Phụ Tùng Ri Tuyền-Kiên Giang/ A Ri- 0961.616.170</t>
        </is>
      </c>
      <c r="D5" s="400" t="inlineStr">
        <is>
          <t>0961.616.170</t>
        </is>
      </c>
      <c r="E5" s="402" t="n"/>
      <c r="F5" s="401" t="inlineStr">
        <is>
          <t>Xã Hoà Chánh, Huyện U Minh Thượng, Kiên Giang</t>
        </is>
      </c>
      <c r="G5" s="400" t="inlineStr">
        <is>
          <t>KG</t>
        </is>
      </c>
      <c r="H5" s="402" t="n"/>
      <c r="J5" s="392">
        <f>IFERROR(UPPER(TRIM(B5))&amp;"|"&amp;UPPER(TRIM(C5))&amp;"|"&amp;UPPER(TRIM(D5)),"")</f>
        <v/>
      </c>
    </row>
    <row r="6" ht="15.75" customHeight="1" s="217">
      <c r="A6" s="397" t="n">
        <v>4</v>
      </c>
      <c r="B6" s="397" t="inlineStr">
        <is>
          <t>KH3721</t>
        </is>
      </c>
      <c r="C6" s="398" t="inlineStr">
        <is>
          <t>Xưởng Anh Quang -Biên Hoà/0967.873.236</t>
        </is>
      </c>
      <c r="D6" s="397" t="inlineStr">
        <is>
          <t>0967.873.236</t>
        </is>
      </c>
      <c r="E6" s="399" t="n"/>
      <c r="F6" s="398" t="inlineStr">
        <is>
          <t>Biên Hoà-Đồng Nai</t>
        </is>
      </c>
      <c r="G6" s="397" t="inlineStr">
        <is>
          <t>ÐNAI</t>
        </is>
      </c>
      <c r="H6" s="399" t="n"/>
      <c r="J6" s="392">
        <f>IFERROR(UPPER(TRIM(B6))&amp;"|"&amp;UPPER(TRIM(C6))&amp;"|"&amp;UPPER(TRIM(D6)),"")</f>
        <v/>
      </c>
    </row>
    <row r="7" ht="15.75" customHeight="1" s="217">
      <c r="A7" s="400" t="n">
        <v>5</v>
      </c>
      <c r="B7" s="400" t="inlineStr">
        <is>
          <t>KH3722</t>
        </is>
      </c>
      <c r="C7" s="401" t="inlineStr">
        <is>
          <t>Gara Thanh Toàn - Đăk Nông/ Anh Toàn: 0769.385.879</t>
        </is>
      </c>
      <c r="D7" s="400" t="inlineStr">
        <is>
          <t>0769.385.879</t>
        </is>
      </c>
      <c r="E7" s="402" t="n"/>
      <c r="F7" s="401" t="inlineStr">
        <is>
          <t>Trạm cân Quảng Phú - Đăk Nông</t>
        </is>
      </c>
      <c r="G7" s="400" t="inlineStr">
        <is>
          <t>DNONG</t>
        </is>
      </c>
      <c r="H7" s="402" t="n"/>
      <c r="J7" s="392">
        <f>IFERROR(UPPER(TRIM(B7))&amp;"|"&amp;UPPER(TRIM(C7))&amp;"|"&amp;UPPER(TRIM(D7)),"")</f>
        <v/>
      </c>
    </row>
    <row r="8" ht="15.75" customHeight="1" s="217">
      <c r="A8" s="397" t="n">
        <v>6</v>
      </c>
      <c r="B8" s="397" t="inlineStr">
        <is>
          <t>KH3719</t>
        </is>
      </c>
      <c r="C8" s="398" t="inlineStr">
        <is>
          <t>Cửa hàng Turbo Samdatec Bình Dương/Chị Lý - 0962.902.109</t>
        </is>
      </c>
      <c r="D8" s="397" t="inlineStr">
        <is>
          <t>0962.902.109</t>
        </is>
      </c>
      <c r="E8" s="399" t="n"/>
      <c r="F8" s="398" t="inlineStr">
        <is>
          <t>363 Phạm Ngọc Thạch , Phú Mỹ , Thủ Dầu , Bình Dương</t>
        </is>
      </c>
      <c r="G8" s="397" t="inlineStr">
        <is>
          <t>BDUONG</t>
        </is>
      </c>
      <c r="H8" s="399" t="n"/>
      <c r="J8" s="392">
        <f>IFERROR(UPPER(TRIM(B8))&amp;"|"&amp;UPPER(TRIM(C8))&amp;"|"&amp;UPPER(TRIM(D8)),"")</f>
        <v/>
      </c>
    </row>
    <row r="9" ht="15.75" customHeight="1" s="217">
      <c r="A9" s="400" t="n">
        <v>7</v>
      </c>
      <c r="B9" s="400" t="inlineStr">
        <is>
          <t>KH3720</t>
        </is>
      </c>
      <c r="C9" s="401" t="inlineStr">
        <is>
          <t>Xưởng Anh Lộc-Quận 9/ 0976.666.6975</t>
        </is>
      </c>
      <c r="D9" s="400" t="inlineStr">
        <is>
          <t>0976.666.6975</t>
        </is>
      </c>
      <c r="E9" s="402" t="n"/>
      <c r="F9" s="401" t="inlineStr">
        <is>
          <t>Cảng Phú Hữu-Quận 9-Sài Gòn</t>
        </is>
      </c>
      <c r="G9" s="400" t="inlineStr">
        <is>
          <t>SG/HCM</t>
        </is>
      </c>
      <c r="H9" s="402" t="n"/>
      <c r="J9" s="392">
        <f>IFERROR(UPPER(TRIM(B9))&amp;"|"&amp;UPPER(TRIM(C9))&amp;"|"&amp;UPPER(TRIM(D9)),"")</f>
        <v/>
      </c>
    </row>
    <row r="10" ht="15.75" customHeight="1" s="217">
      <c r="A10" s="397" t="n">
        <v>8</v>
      </c>
      <c r="B10" s="397" t="inlineStr">
        <is>
          <t>KH3718</t>
        </is>
      </c>
      <c r="C10" s="398" t="inlineStr">
        <is>
          <t>Công Ty Cp Đầu Tư Tân Đức-Tây Ninh/ 0937.958.361</t>
        </is>
      </c>
      <c r="D10" s="397" t="inlineStr">
        <is>
          <t>0937.958.361</t>
        </is>
      </c>
      <c r="E10" s="399" t="n"/>
      <c r="F10" s="398" t="inlineStr">
        <is>
          <t>Lô 8, Đường Đức Hòa Hạ, Kcn Tân Đức, Xã Đức Hòa, Tỉnh Tây Ninh</t>
        </is>
      </c>
      <c r="G10" s="397" t="inlineStr">
        <is>
          <t>TNINH</t>
        </is>
      </c>
      <c r="H10" s="399" t="n"/>
      <c r="J10" s="392">
        <f>IFERROR(UPPER(TRIM(B10))&amp;"|"&amp;UPPER(TRIM(C10))&amp;"|"&amp;UPPER(TRIM(D10)),"")</f>
        <v/>
      </c>
    </row>
    <row r="11" ht="15.75" customHeight="1" s="217">
      <c r="A11" s="400" t="n">
        <v>9</v>
      </c>
      <c r="B11" s="400" t="inlineStr">
        <is>
          <t>KH3717</t>
        </is>
      </c>
      <c r="C11" s="401" t="inlineStr">
        <is>
          <t>Xưởng Anh Quang -Quận 12/ 0367.177.307</t>
        </is>
      </c>
      <c r="D11" s="400" t="inlineStr">
        <is>
          <t>0367.177.307</t>
        </is>
      </c>
      <c r="E11" s="402" t="n"/>
      <c r="F11" s="401" t="inlineStr">
        <is>
          <t>Vườn Lài, Quận 12, Sài Gòn</t>
        </is>
      </c>
      <c r="G11" s="400" t="inlineStr">
        <is>
          <t>SG/HCM</t>
        </is>
      </c>
      <c r="H11" s="402" t="n"/>
      <c r="J11" s="392">
        <f>IFERROR(UPPER(TRIM(B11))&amp;"|"&amp;UPPER(TRIM(C11))&amp;"|"&amp;UPPER(TRIM(D11)),"")</f>
        <v/>
      </c>
    </row>
    <row r="12" ht="15.75" customHeight="1" s="217">
      <c r="A12" s="397" t="n">
        <v>10</v>
      </c>
      <c r="B12" s="397" t="inlineStr">
        <is>
          <t>MN63</t>
        </is>
      </c>
      <c r="C12" s="398" t="inlineStr">
        <is>
          <t>Trịnh Văn Thọ</t>
        </is>
      </c>
      <c r="D12" s="399" t="n"/>
      <c r="E12" s="399" t="n"/>
      <c r="F12" s="398" t="inlineStr">
        <is>
          <t>CTCP Thiết bị Cơ giới Miền Nam</t>
        </is>
      </c>
      <c r="G12" s="397" t="inlineStr">
        <is>
          <t>BPVC</t>
        </is>
      </c>
      <c r="H12" s="399" t="n"/>
      <c r="J12" s="392">
        <f>IFERROR(UPPER(TRIM(B12))&amp;"|"&amp;UPPER(TRIM(C12))&amp;"|"&amp;UPPER(TRIM(D12)),"")</f>
        <v/>
      </c>
    </row>
    <row r="13" ht="15.75" customHeight="1" s="217">
      <c r="A13" s="400" t="n">
        <v>11</v>
      </c>
      <c r="B13" s="400" t="inlineStr">
        <is>
          <t>KH3716</t>
        </is>
      </c>
      <c r="C13" s="401" t="inlineStr">
        <is>
          <t>Anh Phúc Chủ Máy - Bình Dương/ 0982.313.237</t>
        </is>
      </c>
      <c r="D13" s="400" t="inlineStr">
        <is>
          <t>0982.313.237</t>
        </is>
      </c>
      <c r="E13" s="402" t="n"/>
      <c r="F13" s="401" t="inlineStr">
        <is>
          <t>461/3 Hồ Văn Mên, Thuận An, Bình Dương</t>
        </is>
      </c>
      <c r="G13" s="400" t="inlineStr">
        <is>
          <t>BDUONG</t>
        </is>
      </c>
      <c r="H13" s="402" t="n"/>
      <c r="J13" s="392">
        <f>IFERROR(UPPER(TRIM(B13))&amp;"|"&amp;UPPER(TRIM(C13))&amp;"|"&amp;UPPER(TRIM(D13)),"")</f>
        <v/>
      </c>
    </row>
    <row r="14" ht="15.75" customHeight="1" s="217">
      <c r="A14" s="397" t="n">
        <v>12</v>
      </c>
      <c r="B14" s="397" t="inlineStr">
        <is>
          <t>KH3715</t>
        </is>
      </c>
      <c r="C14" s="398" t="inlineStr">
        <is>
          <t>Xưởng Hải Phát- anh Lâm - 0983.951.076</t>
        </is>
      </c>
      <c r="D14" s="397" t="inlineStr">
        <is>
          <t>0983.951.076</t>
        </is>
      </c>
      <c r="E14" s="399" t="n"/>
      <c r="F14" s="398" t="inlineStr">
        <is>
          <t>Dĩ An, Bình Dương</t>
        </is>
      </c>
      <c r="G14" s="397" t="inlineStr">
        <is>
          <t>BDUONG</t>
        </is>
      </c>
      <c r="H14" s="399" t="n"/>
      <c r="J14" s="392">
        <f>IFERROR(UPPER(TRIM(B14))&amp;"|"&amp;UPPER(TRIM(C14))&amp;"|"&amp;UPPER(TRIM(D14)),"")</f>
        <v/>
      </c>
    </row>
    <row r="15" ht="15.75" customHeight="1" s="217">
      <c r="A15" s="400" t="n">
        <v>13</v>
      </c>
      <c r="B15" s="400" t="inlineStr">
        <is>
          <t>KH3714</t>
        </is>
      </c>
      <c r="C15" s="401" t="inlineStr">
        <is>
          <t>Xưởng tiện Tuấn Huỳnh-Hà Nội/ 0362.862.368</t>
        </is>
      </c>
      <c r="D15" s="400" t="inlineStr">
        <is>
          <t>0362.862.368</t>
        </is>
      </c>
      <c r="E15" s="402" t="n"/>
      <c r="F15" s="401" t="inlineStr">
        <is>
          <t>158 Phan Trọng Tuệ, Thanh Liệt, Thanh Trì, Hà Nội</t>
        </is>
      </c>
      <c r="G15" s="400" t="inlineStr">
        <is>
          <t>HN</t>
        </is>
      </c>
      <c r="H15" s="402" t="n"/>
      <c r="J15" s="392">
        <f>IFERROR(UPPER(TRIM(B15))&amp;"|"&amp;UPPER(TRIM(C15))&amp;"|"&amp;UPPER(TRIM(D15)),"")</f>
        <v/>
      </c>
    </row>
    <row r="16" ht="15.75" customHeight="1" s="217">
      <c r="A16" s="397" t="n">
        <v>14</v>
      </c>
      <c r="B16" s="397" t="inlineStr">
        <is>
          <t>KH3713</t>
        </is>
      </c>
      <c r="C16" s="398" t="inlineStr">
        <is>
          <t>Ga Ra Anh Bé / Đồng Nai 0907.315.942</t>
        </is>
      </c>
      <c r="D16" s="397" t="inlineStr">
        <is>
          <t>0907.315.942</t>
        </is>
      </c>
      <c r="E16" s="399" t="n"/>
      <c r="F16" s="398" t="inlineStr">
        <is>
          <t>Quán Café Hải Anh,Ngã Ba Nhơn Trạch ,Đồng Nai</t>
        </is>
      </c>
      <c r="G16" s="397" t="inlineStr">
        <is>
          <t>ÐNAI</t>
        </is>
      </c>
      <c r="H16" s="399" t="n"/>
      <c r="J16" s="392">
        <f>IFERROR(UPPER(TRIM(B16))&amp;"|"&amp;UPPER(TRIM(C16))&amp;"|"&amp;UPPER(TRIM(D16)),"")</f>
        <v/>
      </c>
    </row>
    <row r="17" ht="15.75" customHeight="1" s="217">
      <c r="A17" s="400" t="n">
        <v>15</v>
      </c>
      <c r="B17" s="400" t="inlineStr">
        <is>
          <t>KH3711</t>
        </is>
      </c>
      <c r="C17" s="401" t="inlineStr">
        <is>
          <t>A Trung (chủ máy)/ 0937.161.198</t>
        </is>
      </c>
      <c r="D17" s="400" t="inlineStr">
        <is>
          <t>0937.161.198</t>
        </is>
      </c>
      <c r="E17" s="402" t="n"/>
      <c r="F17" s="401" t="inlineStr">
        <is>
          <t>23 Nguyễn Văn Tiết, Lái Thiêu, Thủ Dầu Một, Bình Dương</t>
        </is>
      </c>
      <c r="G17" s="400" t="inlineStr">
        <is>
          <t>SG/HCM</t>
        </is>
      </c>
      <c r="H17" s="402" t="n"/>
      <c r="J17" s="392">
        <f>IFERROR(UPPER(TRIM(B17))&amp;"|"&amp;UPPER(TRIM(C17))&amp;"|"&amp;UPPER(TRIM(D17)),"")</f>
        <v/>
      </c>
    </row>
    <row r="18" ht="15.75" customHeight="1" s="217">
      <c r="A18" s="397" t="n">
        <v>16</v>
      </c>
      <c r="B18" s="397" t="inlineStr">
        <is>
          <t>KH3712</t>
        </is>
      </c>
      <c r="C18" s="398" t="inlineStr">
        <is>
          <t>CH Ô Tô Hùng /Anh Bình - 0972.456.670</t>
        </is>
      </c>
      <c r="D18" s="397" t="inlineStr">
        <is>
          <t>0972.456.670</t>
        </is>
      </c>
      <c r="E18" s="399" t="n"/>
      <c r="F18" s="398" t="inlineStr">
        <is>
          <t>Địa Chỉ: 193 Hai Bà Trưng, Phường Cam Ly, Đà Lạt</t>
        </is>
      </c>
      <c r="G18" s="397" t="inlineStr">
        <is>
          <t>LDONG</t>
        </is>
      </c>
      <c r="H18" s="399" t="n"/>
      <c r="J18" s="392">
        <f>IFERROR(UPPER(TRIM(B18))&amp;"|"&amp;UPPER(TRIM(C18))&amp;"|"&amp;UPPER(TRIM(D18)),"")</f>
        <v/>
      </c>
    </row>
    <row r="19" ht="15.75" customHeight="1" s="217">
      <c r="A19" s="400" t="n">
        <v>17</v>
      </c>
      <c r="B19" s="400" t="inlineStr">
        <is>
          <t>KH3710</t>
        </is>
      </c>
      <c r="C19" s="401" t="inlineStr">
        <is>
          <t>Công ty Mạnh Phát-Long An /Anh Thuận-0905.053.376</t>
        </is>
      </c>
      <c r="D19" s="400" t="inlineStr">
        <is>
          <t>0905.053.376</t>
        </is>
      </c>
      <c r="E19" s="402" t="n"/>
      <c r="F19" s="401" t="inlineStr">
        <is>
          <t>Ấp 5-Xã Mỹ Hạnh-Tỉnh Long An</t>
        </is>
      </c>
      <c r="G19" s="400" t="inlineStr">
        <is>
          <t>LA</t>
        </is>
      </c>
      <c r="H19" s="402" t="n"/>
      <c r="J19" s="392">
        <f>IFERROR(UPPER(TRIM(B19))&amp;"|"&amp;UPPER(TRIM(C19))&amp;"|"&amp;UPPER(TRIM(D19)),"")</f>
        <v/>
      </c>
    </row>
    <row r="20" ht="15.75" customHeight="1" s="217">
      <c r="A20" s="397" t="n">
        <v>18</v>
      </c>
      <c r="B20" s="397" t="inlineStr">
        <is>
          <t>KH3708</t>
        </is>
      </c>
      <c r="C20" s="398" t="inlineStr">
        <is>
          <t>Cửa hàng Phụ Tùng Ô Tô Hòa Phát / 0939.873.766</t>
        </is>
      </c>
      <c r="D20" s="397" t="inlineStr">
        <is>
          <t>0939.873.766</t>
        </is>
      </c>
      <c r="E20" s="399" t="n"/>
      <c r="F20" s="398" t="inlineStr">
        <is>
          <t>985 Đường Bùi Hữu Nghĩa, Kv Bình Dương, Phường Long Tuyền, Tp Cần Thơ</t>
        </is>
      </c>
      <c r="G20" s="397" t="inlineStr">
        <is>
          <t>CTHO</t>
        </is>
      </c>
      <c r="H20" s="399" t="n"/>
      <c r="J20" s="392">
        <f>IFERROR(UPPER(TRIM(B20))&amp;"|"&amp;UPPER(TRIM(C20))&amp;"|"&amp;UPPER(TRIM(D20)),"")</f>
        <v/>
      </c>
    </row>
    <row r="21" ht="15.75" customHeight="1" s="217">
      <c r="A21" s="400" t="n">
        <v>19</v>
      </c>
      <c r="B21" s="400" t="inlineStr">
        <is>
          <t>KH3709</t>
        </is>
      </c>
      <c r="C21" s="401" t="inlineStr">
        <is>
          <t>Cty Xây Dựng Lộc Huy Hoàng/ A Chiến - 0972.464.504</t>
        </is>
      </c>
      <c r="D21" s="400" t="inlineStr">
        <is>
          <t>0972.464.504</t>
        </is>
      </c>
      <c r="E21" s="402" t="n"/>
      <c r="F21" s="401" t="inlineStr">
        <is>
          <t>TP Sóc Trăng</t>
        </is>
      </c>
      <c r="G21" s="400" t="inlineStr">
        <is>
          <t>STRANG</t>
        </is>
      </c>
      <c r="H21" s="402" t="n"/>
      <c r="J21" s="392">
        <f>IFERROR(UPPER(TRIM(B21))&amp;"|"&amp;UPPER(TRIM(C21))&amp;"|"&amp;UPPER(TRIM(D21)),"")</f>
        <v/>
      </c>
    </row>
    <row r="22" ht="15.75" customHeight="1" s="217">
      <c r="A22" s="397" t="n">
        <v>20</v>
      </c>
      <c r="B22" s="397" t="inlineStr">
        <is>
          <t>KH3706</t>
        </is>
      </c>
      <c r="C22" s="398" t="inlineStr">
        <is>
          <t>Xưởng Cơ Khí A Trường/ 0989.698.143</t>
        </is>
      </c>
      <c r="D22" s="397" t="inlineStr">
        <is>
          <t>0989.698.143</t>
        </is>
      </c>
      <c r="E22" s="399" t="n"/>
      <c r="F22" s="398" t="inlineStr">
        <is>
          <t>41 Vạn Kiếp, Pleiku, Gia Lai</t>
        </is>
      </c>
      <c r="G22" s="397" t="inlineStr">
        <is>
          <t>GLAI</t>
        </is>
      </c>
      <c r="H22" s="399" t="n"/>
      <c r="J22" s="392">
        <f>IFERROR(UPPER(TRIM(B22))&amp;"|"&amp;UPPER(TRIM(C22))&amp;"|"&amp;UPPER(TRIM(D22)),"")</f>
        <v/>
      </c>
    </row>
    <row r="23" ht="15.75" customHeight="1" s="217">
      <c r="A23" s="400" t="n">
        <v>21</v>
      </c>
      <c r="B23" s="400" t="inlineStr">
        <is>
          <t>KH3707</t>
        </is>
      </c>
      <c r="C23" s="401" t="inlineStr">
        <is>
          <t>Cửa hàng VLXD Thắng Lợi - Gia Lai/Anh Quang: 0337.175.968</t>
        </is>
      </c>
      <c r="D23" s="400" t="inlineStr">
        <is>
          <t>0337.175.968</t>
        </is>
      </c>
      <c r="E23" s="402" t="n"/>
      <c r="F23" s="401" t="inlineStr">
        <is>
          <t>Xã Bình Giáo, huyện Chư Prong, Tỉnh Gia Lai</t>
        </is>
      </c>
      <c r="G23" s="400" t="inlineStr">
        <is>
          <t>GLAI</t>
        </is>
      </c>
      <c r="H23" s="402" t="n"/>
      <c r="J23" s="392">
        <f>IFERROR(UPPER(TRIM(B23))&amp;"|"&amp;UPPER(TRIM(C23))&amp;"|"&amp;UPPER(TRIM(D23)),"")</f>
        <v/>
      </c>
    </row>
    <row r="24" ht="15.75" customHeight="1" s="217">
      <c r="A24" s="397" t="n">
        <v>22</v>
      </c>
      <c r="B24" s="397" t="inlineStr">
        <is>
          <t>KH3705</t>
        </is>
      </c>
      <c r="C24" s="398" t="inlineStr">
        <is>
          <t>ANH BẢY- CHỢ BẾN LỨC- 0985.011.256</t>
        </is>
      </c>
      <c r="D24" s="397" t="inlineStr">
        <is>
          <t>0985.011.256</t>
        </is>
      </c>
      <c r="E24" s="399" t="n"/>
      <c r="F24" s="398" t="inlineStr">
        <is>
          <t>Bến Lức, Long An</t>
        </is>
      </c>
      <c r="G24" s="397" t="inlineStr">
        <is>
          <t>LA</t>
        </is>
      </c>
      <c r="H24" s="399" t="n"/>
      <c r="J24" s="392">
        <f>IFERROR(UPPER(TRIM(B24))&amp;"|"&amp;UPPER(TRIM(C24))&amp;"|"&amp;UPPER(TRIM(D24)),"")</f>
        <v/>
      </c>
    </row>
    <row r="25" ht="15.75" customHeight="1" s="217">
      <c r="A25" s="400" t="n">
        <v>23</v>
      </c>
      <c r="B25" s="400" t="inlineStr">
        <is>
          <t>KH3703</t>
        </is>
      </c>
      <c r="C25" s="401" t="inlineStr">
        <is>
          <t>Cty Vĩnh Phát Bình Phước/ A Vui 0332.760.164</t>
        </is>
      </c>
      <c r="D25" s="400" t="inlineStr">
        <is>
          <t>0332.760.164</t>
        </is>
      </c>
      <c r="E25" s="402" t="n"/>
      <c r="F25" s="401" t="inlineStr">
        <is>
          <t>Chơn Thành, Bình Phước</t>
        </is>
      </c>
      <c r="G25" s="400" t="inlineStr">
        <is>
          <t>BP</t>
        </is>
      </c>
      <c r="H25" s="402" t="n"/>
      <c r="J25" s="392">
        <f>IFERROR(UPPER(TRIM(B25))&amp;"|"&amp;UPPER(TRIM(C25))&amp;"|"&amp;UPPER(TRIM(D25)),"")</f>
        <v/>
      </c>
    </row>
    <row r="26" ht="15.75" customHeight="1" s="217">
      <c r="A26" s="397" t="n">
        <v>24</v>
      </c>
      <c r="B26" s="397" t="inlineStr">
        <is>
          <t>KH3704</t>
        </is>
      </c>
      <c r="C26" s="398" t="inlineStr">
        <is>
          <t>Xưởng Anh Quyền – Tân Uyên, Bình Dương/ 0326.049.177</t>
        </is>
      </c>
      <c r="D26" s="397" t="inlineStr">
        <is>
          <t>0326.049.177</t>
        </is>
      </c>
      <c r="E26" s="399" t="n"/>
      <c r="F26" s="398" t="inlineStr">
        <is>
          <t>Tân Uyên, Bình Dương</t>
        </is>
      </c>
      <c r="G26" s="397" t="inlineStr">
        <is>
          <t>BDUONG</t>
        </is>
      </c>
      <c r="H26" s="399" t="n"/>
      <c r="J26" s="392">
        <f>IFERROR(UPPER(TRIM(B26))&amp;"|"&amp;UPPER(TRIM(C26))&amp;"|"&amp;UPPER(TRIM(D26)),"")</f>
        <v/>
      </c>
    </row>
    <row r="27" ht="15.75" customHeight="1" s="217">
      <c r="A27" s="400" t="n">
        <v>25</v>
      </c>
      <c r="B27" s="400" t="inlineStr">
        <is>
          <t>KH3702</t>
        </is>
      </c>
      <c r="C27" s="401" t="inlineStr">
        <is>
          <t>Xưởng Anh nhật - Tân Vạn 0913.651.339</t>
        </is>
      </c>
      <c r="D27" s="400" t="inlineStr">
        <is>
          <t>0913.651.339</t>
        </is>
      </c>
      <c r="E27" s="402" t="n"/>
      <c r="F27" s="401" t="inlineStr">
        <is>
          <t>Tân Vạn, Sài Gòn</t>
        </is>
      </c>
      <c r="G27" s="400" t="inlineStr">
        <is>
          <t>SG/HCM</t>
        </is>
      </c>
      <c r="H27" s="402" t="n"/>
      <c r="J27" s="392">
        <f>IFERROR(UPPER(TRIM(B27))&amp;"|"&amp;UPPER(TRIM(C27))&amp;"|"&amp;UPPER(TRIM(D27)),"")</f>
        <v/>
      </c>
    </row>
    <row r="28" ht="15.75" customHeight="1" s="217">
      <c r="A28" s="397" t="n">
        <v>26</v>
      </c>
      <c r="B28" s="397" t="inlineStr">
        <is>
          <t>KH3701</t>
        </is>
      </c>
      <c r="C28" s="398" t="inlineStr">
        <is>
          <t>Anh Giang (chủ máy)/ 0914.197.097</t>
        </is>
      </c>
      <c r="D28" s="397" t="inlineStr">
        <is>
          <t>0914.197.097</t>
        </is>
      </c>
      <c r="E28" s="399" t="n"/>
      <c r="F28" s="398" t="inlineStr">
        <is>
          <t>Cần Đước. Long An</t>
        </is>
      </c>
      <c r="G28" s="397" t="inlineStr">
        <is>
          <t>LA</t>
        </is>
      </c>
      <c r="H28" s="399" t="n"/>
      <c r="J28" s="392">
        <f>IFERROR(UPPER(TRIM(B28))&amp;"|"&amp;UPPER(TRIM(C28))&amp;"|"&amp;UPPER(TRIM(D28)),"")</f>
        <v/>
      </c>
    </row>
    <row r="29" ht="15.75" customHeight="1" s="217">
      <c r="A29" s="400" t="n">
        <v>27</v>
      </c>
      <c r="B29" s="400" t="inlineStr">
        <is>
          <t>KH3700</t>
        </is>
      </c>
      <c r="C29" s="401" t="inlineStr">
        <is>
          <t>Cửa hàng pt Ô TÔ Huyndai Anh Hiếu/ 0905.563.226</t>
        </is>
      </c>
      <c r="D29" s="400" t="inlineStr">
        <is>
          <t>0905.563.226</t>
        </is>
      </c>
      <c r="E29" s="402" t="n"/>
      <c r="F29" s="401" t="inlineStr">
        <is>
          <t>60 Hoa Cau- P7 -Phú Nhuận- HCM</t>
        </is>
      </c>
      <c r="G29" s="400" t="inlineStr">
        <is>
          <t>SG/HCM</t>
        </is>
      </c>
      <c r="H29" s="402" t="n"/>
      <c r="J29" s="392">
        <f>IFERROR(UPPER(TRIM(B29))&amp;"|"&amp;UPPER(TRIM(C29))&amp;"|"&amp;UPPER(TRIM(D29)),"")</f>
        <v/>
      </c>
    </row>
    <row r="30" ht="15.75" customHeight="1" s="217">
      <c r="A30" s="397" t="n">
        <v>28</v>
      </c>
      <c r="B30" s="397" t="inlineStr">
        <is>
          <t>KH3699</t>
        </is>
      </c>
      <c r="C30" s="398" t="inlineStr">
        <is>
          <t>Công ty TNHH Tập Đoàn xây dựng HG/A Sang: 0908.059.131</t>
        </is>
      </c>
      <c r="D30" s="397" t="inlineStr">
        <is>
          <t>0908.059.131</t>
        </is>
      </c>
      <c r="E30" s="399" t="n"/>
      <c r="F30" s="398" t="inlineStr">
        <is>
          <t>100/83 Thích Quảng Đức, P5,Q. Phú Nhuận, TP.HCM</t>
        </is>
      </c>
      <c r="G30" s="397" t="inlineStr">
        <is>
          <t>SG/HCM</t>
        </is>
      </c>
      <c r="H30" s="399" t="n"/>
      <c r="J30" s="392">
        <f>IFERROR(UPPER(TRIM(B30))&amp;"|"&amp;UPPER(TRIM(C30))&amp;"|"&amp;UPPER(TRIM(D30)),"")</f>
        <v/>
      </c>
    </row>
    <row r="31" ht="15.75" customHeight="1" s="217">
      <c r="A31" s="400" t="n">
        <v>29</v>
      </c>
      <c r="B31" s="400" t="inlineStr">
        <is>
          <t>KH3698</t>
        </is>
      </c>
      <c r="C31" s="401" t="inlineStr">
        <is>
          <t>Cửa Hàng Pt Ô Tô – Phong Phú/ 0948.675.353</t>
        </is>
      </c>
      <c r="D31" s="400" t="inlineStr">
        <is>
          <t>0948.675.353</t>
        </is>
      </c>
      <c r="E31" s="402" t="n"/>
      <c r="F31" s="401" t="inlineStr">
        <is>
          <t>Số 25-27, Ngô Gia Tự Nối Dài, Phường Tân Thành, Tỉnh Cà Mau</t>
        </is>
      </c>
      <c r="G31" s="400" t="inlineStr">
        <is>
          <t>CMAU</t>
        </is>
      </c>
      <c r="H31" s="402" t="n"/>
      <c r="J31" s="392">
        <f>IFERROR(UPPER(TRIM(B31))&amp;"|"&amp;UPPER(TRIM(C31))&amp;"|"&amp;UPPER(TRIM(D31)),"")</f>
        <v/>
      </c>
    </row>
    <row r="32" ht="15.75" customHeight="1" s="217">
      <c r="A32" s="397" t="n">
        <v>30</v>
      </c>
      <c r="B32" s="397" t="inlineStr">
        <is>
          <t>KH3697</t>
        </is>
      </c>
      <c r="C32" s="398" t="inlineStr">
        <is>
          <t>Anh Tình( thợ tự do)-Sài Gòn/  0392.253.960</t>
        </is>
      </c>
      <c r="D32" s="397" t="inlineStr">
        <is>
          <t>0392.253.960</t>
        </is>
      </c>
      <c r="E32" s="399" t="n"/>
      <c r="F32" s="398" t="inlineStr">
        <is>
          <t>Quận 12, Sài Gòn</t>
        </is>
      </c>
      <c r="G32" s="397" t="inlineStr">
        <is>
          <t>SG/HCM</t>
        </is>
      </c>
      <c r="H32" s="399" t="n"/>
      <c r="J32" s="392">
        <f>IFERROR(UPPER(TRIM(B32))&amp;"|"&amp;UPPER(TRIM(C32))&amp;"|"&amp;UPPER(TRIM(D32)),"")</f>
        <v/>
      </c>
    </row>
    <row r="33" ht="15.75" customHeight="1" s="217">
      <c r="A33" s="400" t="n">
        <v>31</v>
      </c>
      <c r="B33" s="400" t="inlineStr">
        <is>
          <t>KH3696</t>
        </is>
      </c>
      <c r="C33" s="401" t="inlineStr">
        <is>
          <t>Xưởng Anh Thắng - Bàu Bàng / 0919.403.324</t>
        </is>
      </c>
      <c r="D33" s="400" t="inlineStr">
        <is>
          <t>0919.403.324</t>
        </is>
      </c>
      <c r="E33" s="402" t="n"/>
      <c r="F33" s="401" t="inlineStr">
        <is>
          <t>Bàu Bàng, Bình Dương</t>
        </is>
      </c>
      <c r="G33" s="400" t="inlineStr">
        <is>
          <t>BDUONG</t>
        </is>
      </c>
      <c r="H33" s="402" t="n"/>
      <c r="J33" s="392">
        <f>IFERROR(UPPER(TRIM(B33))&amp;"|"&amp;UPPER(TRIM(C33))&amp;"|"&amp;UPPER(TRIM(D33)),"")</f>
        <v/>
      </c>
    </row>
    <row r="34" ht="15.75" customHeight="1" s="217">
      <c r="A34" s="397" t="n">
        <v>32</v>
      </c>
      <c r="B34" s="397" t="inlineStr">
        <is>
          <t>KH3695</t>
        </is>
      </c>
      <c r="C34" s="398" t="inlineStr">
        <is>
          <t>A Anh - Vĩnh Long/ 0939.333.151</t>
        </is>
      </c>
      <c r="D34" s="397" t="inlineStr">
        <is>
          <t>0939.333.151</t>
        </is>
      </c>
      <c r="E34" s="399" t="n"/>
      <c r="F34" s="398" t="inlineStr">
        <is>
          <t>TP Vĩnh Long</t>
        </is>
      </c>
      <c r="G34" s="397" t="inlineStr">
        <is>
          <t>VĨNH LONG</t>
        </is>
      </c>
      <c r="H34" s="399" t="n"/>
      <c r="J34" s="392">
        <f>IFERROR(UPPER(TRIM(B34))&amp;"|"&amp;UPPER(TRIM(C34))&amp;"|"&amp;UPPER(TRIM(D34)),"")</f>
        <v/>
      </c>
    </row>
    <row r="35" ht="15.75" customHeight="1" s="217">
      <c r="A35" s="400" t="n">
        <v>33</v>
      </c>
      <c r="B35" s="400" t="inlineStr">
        <is>
          <t>KH3694</t>
        </is>
      </c>
      <c r="C35" s="401" t="inlineStr">
        <is>
          <t>Xưởng Thanh Tú-Biên Hoà / 0907.947.220</t>
        </is>
      </c>
      <c r="D35" s="400" t="inlineStr">
        <is>
          <t>0907.947.220</t>
        </is>
      </c>
      <c r="E35" s="402" t="n"/>
      <c r="F35" s="401" t="inlineStr">
        <is>
          <t>Biên Hoà-Đồng Nai</t>
        </is>
      </c>
      <c r="G35" s="400" t="inlineStr">
        <is>
          <t>ÐNAI</t>
        </is>
      </c>
      <c r="H35" s="402" t="n"/>
      <c r="J35" s="392">
        <f>IFERROR(UPPER(TRIM(B35))&amp;"|"&amp;UPPER(TRIM(C35))&amp;"|"&amp;UPPER(TRIM(D35)),"")</f>
        <v/>
      </c>
    </row>
    <row r="36" ht="15.75" customHeight="1" s="217">
      <c r="A36" s="397" t="n">
        <v>34</v>
      </c>
      <c r="B36" s="397" t="inlineStr">
        <is>
          <t>KH3693</t>
        </is>
      </c>
      <c r="C36" s="398" t="inlineStr">
        <is>
          <t>Anh Sa (chủ máy) – Bình Định/ 0905.180.601</t>
        </is>
      </c>
      <c r="D36" s="397" t="inlineStr">
        <is>
          <t>0905.180.601</t>
        </is>
      </c>
      <c r="E36" s="399" t="n"/>
      <c r="F36" s="398" t="inlineStr">
        <is>
          <t>Phú Phong, Tây Sơn, Bình Định</t>
        </is>
      </c>
      <c r="G36" s="397" t="inlineStr">
        <is>
          <t>BDINH</t>
        </is>
      </c>
      <c r="H36" s="399" t="n"/>
      <c r="J36" s="392">
        <f>IFERROR(UPPER(TRIM(B36))&amp;"|"&amp;UPPER(TRIM(C36))&amp;"|"&amp;UPPER(TRIM(D36)),"")</f>
        <v/>
      </c>
    </row>
    <row r="37" ht="15.75" customHeight="1" s="217">
      <c r="A37" s="400" t="n">
        <v>35</v>
      </c>
      <c r="B37" s="400" t="inlineStr">
        <is>
          <t>KH3692</t>
        </is>
      </c>
      <c r="C37" s="401" t="inlineStr">
        <is>
          <t>Xưởng anh Phước - Suối tiên/ 0919.606.838</t>
        </is>
      </c>
      <c r="D37" s="400" t="inlineStr">
        <is>
          <t>0919.606.838</t>
        </is>
      </c>
      <c r="E37" s="402" t="n"/>
      <c r="F37" s="401" t="inlineStr">
        <is>
          <t>Suối tiên, TPHCM</t>
        </is>
      </c>
      <c r="G37" s="400" t="inlineStr">
        <is>
          <t>SG/HCM</t>
        </is>
      </c>
      <c r="H37" s="402" t="n"/>
      <c r="J37" s="392">
        <f>IFERROR(UPPER(TRIM(B37))&amp;"|"&amp;UPPER(TRIM(C37))&amp;"|"&amp;UPPER(TRIM(D37)),"")</f>
        <v/>
      </c>
    </row>
    <row r="38" ht="15.75" customHeight="1" s="217">
      <c r="A38" s="397" t="n">
        <v>36</v>
      </c>
      <c r="B38" s="397" t="inlineStr">
        <is>
          <t>KH3691</t>
        </is>
      </c>
      <c r="C38" s="398" t="inlineStr">
        <is>
          <t>Xưởng Anh Vân – Bình Dương/ 0918.706.023</t>
        </is>
      </c>
      <c r="D38" s="397" t="inlineStr">
        <is>
          <t>0918.706.023</t>
        </is>
      </c>
      <c r="E38" s="399" t="n"/>
      <c r="F38" s="398" t="inlineStr">
        <is>
          <t>Đình Bình Thắng, Dĩ An, Bình Dương</t>
        </is>
      </c>
      <c r="G38" s="397" t="inlineStr">
        <is>
          <t>SG/HCM</t>
        </is>
      </c>
      <c r="H38" s="399" t="n"/>
      <c r="J38" s="392">
        <f>IFERROR(UPPER(TRIM(B38))&amp;"|"&amp;UPPER(TRIM(C38))&amp;"|"&amp;UPPER(TRIM(D38)),"")</f>
        <v/>
      </c>
    </row>
    <row r="39" ht="15.75" customHeight="1" s="217">
      <c r="A39" s="400" t="n">
        <v>37</v>
      </c>
      <c r="B39" s="400" t="inlineStr">
        <is>
          <t>KH3689</t>
        </is>
      </c>
      <c r="C39" s="401" t="inlineStr">
        <is>
          <t>Cửa hàng Ron Tiến Thời-Đà Lạt/0909.856.657</t>
        </is>
      </c>
      <c r="D39" s="400" t="inlineStr">
        <is>
          <t>0909.856.657</t>
        </is>
      </c>
      <c r="E39" s="402" t="n"/>
      <c r="F39" s="401" t="inlineStr">
        <is>
          <t>59 Thiện Ý- TP Đà Lạt</t>
        </is>
      </c>
      <c r="G39" s="400" t="inlineStr">
        <is>
          <t>LDONG</t>
        </is>
      </c>
      <c r="H39" s="402" t="n"/>
      <c r="J39" s="392">
        <f>IFERROR(UPPER(TRIM(B39))&amp;"|"&amp;UPPER(TRIM(C39))&amp;"|"&amp;UPPER(TRIM(D39)),"")</f>
        <v/>
      </c>
    </row>
    <row r="40" ht="15.75" customHeight="1" s="217">
      <c r="A40" s="397" t="n">
        <v>38</v>
      </c>
      <c r="B40" s="397" t="inlineStr">
        <is>
          <t>KH3690</t>
        </is>
      </c>
      <c r="C40" s="398" t="inlineStr">
        <is>
          <t>Cơ Giới Hoàng – Trảng Bom, Đồng Nai/ 0356.158.158</t>
        </is>
      </c>
      <c r="D40" s="397" t="inlineStr">
        <is>
          <t>0356.158.158</t>
        </is>
      </c>
      <c r="E40" s="399" t="n"/>
      <c r="F40" s="398" t="inlineStr">
        <is>
          <t>Trảng Bom, Đồng Nai</t>
        </is>
      </c>
      <c r="G40" s="397" t="inlineStr">
        <is>
          <t>ÐNAI</t>
        </is>
      </c>
      <c r="H40" s="399" t="n"/>
      <c r="J40" s="392">
        <f>IFERROR(UPPER(TRIM(B40))&amp;"|"&amp;UPPER(TRIM(C40))&amp;"|"&amp;UPPER(TRIM(D40)),"")</f>
        <v/>
      </c>
    </row>
    <row r="41" ht="15.75" customHeight="1" s="217">
      <c r="A41" s="400" t="n">
        <v>39</v>
      </c>
      <c r="B41" s="400" t="inlineStr">
        <is>
          <t>KH3688</t>
        </is>
      </c>
      <c r="C41" s="401" t="inlineStr">
        <is>
          <t>Bãi máy Máy Công Nghiệp Sài Gòn/ A Tư - 0961.363.654</t>
        </is>
      </c>
      <c r="D41" s="400" t="inlineStr">
        <is>
          <t>0961.363.654</t>
        </is>
      </c>
      <c r="E41" s="402" t="n"/>
      <c r="F41" s="401" t="inlineStr">
        <is>
          <t>45/20 Tổ 20 Kh Phố Ngãi Thắng, Phường Bình Thắng, Dĩ An, Bình Dương</t>
        </is>
      </c>
      <c r="G41" s="400" t="inlineStr">
        <is>
          <t>SG/HCM</t>
        </is>
      </c>
      <c r="H41" s="402" t="n"/>
      <c r="J41" s="392">
        <f>IFERROR(UPPER(TRIM(B41))&amp;"|"&amp;UPPER(TRIM(C41))&amp;"|"&amp;UPPER(TRIM(D41)),"")</f>
        <v/>
      </c>
    </row>
    <row r="42" ht="15.75" customHeight="1" s="217">
      <c r="A42" s="397" t="n">
        <v>40</v>
      </c>
      <c r="B42" s="397" t="inlineStr">
        <is>
          <t>KH3687</t>
        </is>
      </c>
      <c r="C42" s="398" t="inlineStr">
        <is>
          <t>Công ty TNHH TM Và DV Kỹ Thuật Hoàng Kim/Anh Cầm- 0906.854.434</t>
        </is>
      </c>
      <c r="D42" s="397" t="inlineStr">
        <is>
          <t>0906.854.434</t>
        </is>
      </c>
      <c r="E42" s="399" t="n"/>
      <c r="F42" s="398" t="inlineStr">
        <is>
          <t>98C đường số 20, Phường An Nhơn, Thành phố Hồ Chí Minh</t>
        </is>
      </c>
      <c r="G42" s="397" t="inlineStr">
        <is>
          <t>SG/HCM</t>
        </is>
      </c>
      <c r="H42" s="399" t="n"/>
      <c r="J42" s="392">
        <f>IFERROR(UPPER(TRIM(B42))&amp;"|"&amp;UPPER(TRIM(C42))&amp;"|"&amp;UPPER(TRIM(D42)),"")</f>
        <v/>
      </c>
    </row>
    <row r="43" ht="15.75" customHeight="1" s="217">
      <c r="A43" s="400" t="n">
        <v>41</v>
      </c>
      <c r="B43" s="400" t="inlineStr">
        <is>
          <t>KH3686</t>
        </is>
      </c>
      <c r="C43" s="401" t="inlineStr">
        <is>
          <t>Gara Phong Phú- Sài Gòn/ 0902.912.971</t>
        </is>
      </c>
      <c r="D43" s="400" t="inlineStr">
        <is>
          <t>0902.912.971</t>
        </is>
      </c>
      <c r="E43" s="402" t="n"/>
      <c r="F43" s="401" t="inlineStr">
        <is>
          <t>Sài Gòn</t>
        </is>
      </c>
      <c r="G43" s="400" t="inlineStr">
        <is>
          <t>SG/HCM</t>
        </is>
      </c>
      <c r="H43" s="402" t="n"/>
      <c r="J43" s="392">
        <f>IFERROR(UPPER(TRIM(B43))&amp;"|"&amp;UPPER(TRIM(C43))&amp;"|"&amp;UPPER(TRIM(D43)),"")</f>
        <v/>
      </c>
    </row>
    <row r="44" ht="15.75" customHeight="1" s="217">
      <c r="A44" s="397" t="n">
        <v>42</v>
      </c>
      <c r="B44" s="397" t="inlineStr">
        <is>
          <t>KH3685</t>
        </is>
      </c>
      <c r="C44" s="398" t="inlineStr">
        <is>
          <t>GARA A Chiến - Đăk Nông/ 0935.740.780</t>
        </is>
      </c>
      <c r="D44" s="397" t="inlineStr">
        <is>
          <t>0935.740.780</t>
        </is>
      </c>
      <c r="E44" s="399" t="n"/>
      <c r="F44" s="398" t="inlineStr">
        <is>
          <t>Đăk Nông</t>
        </is>
      </c>
      <c r="G44" s="397" t="inlineStr">
        <is>
          <t>DNONG</t>
        </is>
      </c>
      <c r="H44" s="399" t="n"/>
      <c r="J44" s="392">
        <f>IFERROR(UPPER(TRIM(B44))&amp;"|"&amp;UPPER(TRIM(C44))&amp;"|"&amp;UPPER(TRIM(D44)),"")</f>
        <v/>
      </c>
    </row>
    <row r="45" ht="15.75" customHeight="1" s="217">
      <c r="A45" s="393" t="n">
        <v>43</v>
      </c>
      <c r="B45" s="393" t="inlineStr">
        <is>
          <t>KH3684</t>
        </is>
      </c>
      <c r="C45" s="394" t="inlineStr">
        <is>
          <t>Cửa Hàng Long Tuyết – Lagi/ 0913.843.623</t>
        </is>
      </c>
      <c r="D45" s="393" t="inlineStr">
        <is>
          <t>0913.843.623</t>
        </is>
      </c>
      <c r="E45" s="393" t="inlineStr">
        <is>
          <t>KHÁCH VIP</t>
        </is>
      </c>
      <c r="F45" s="394" t="inlineStr">
        <is>
          <t>223 Đường Lê Lợi, Phường Phước Hội, La Gi, Bình Thuận</t>
        </is>
      </c>
      <c r="G45" s="393" t="inlineStr">
        <is>
          <t>BTHUAN</t>
        </is>
      </c>
      <c r="H45" s="395" t="n"/>
      <c r="J45" s="392">
        <f>IFERROR(UPPER(TRIM(B45))&amp;"|"&amp;UPPER(TRIM(C45))&amp;"|"&amp;UPPER(TRIM(D45)),"")</f>
        <v/>
      </c>
    </row>
    <row r="46" ht="15.75" customHeight="1" s="217">
      <c r="A46" s="397" t="n">
        <v>44</v>
      </c>
      <c r="B46" s="397" t="inlineStr">
        <is>
          <t>KH3680</t>
        </is>
      </c>
      <c r="C46" s="398" t="inlineStr">
        <is>
          <t>Gara Nam An - Phú Yên/ Anh Nam: 0984.124.759</t>
        </is>
      </c>
      <c r="D46" s="397" t="inlineStr">
        <is>
          <t>0984.124.759</t>
        </is>
      </c>
      <c r="E46" s="399" t="n"/>
      <c r="F46" s="398" t="inlineStr">
        <is>
          <t>Quốc Lộ 1A, Phú Tân, An Cư, Tuy An, Phú Yên</t>
        </is>
      </c>
      <c r="G46" s="397" t="inlineStr">
        <is>
          <t>PYEN</t>
        </is>
      </c>
      <c r="H46" s="399" t="n"/>
      <c r="J46" s="392">
        <f>IFERROR(UPPER(TRIM(B46))&amp;"|"&amp;UPPER(TRIM(C46))&amp;"|"&amp;UPPER(TRIM(D46)),"")</f>
        <v/>
      </c>
    </row>
    <row r="47" ht="15.75" customHeight="1" s="217">
      <c r="A47" s="400" t="n">
        <v>45</v>
      </c>
      <c r="B47" s="400" t="inlineStr">
        <is>
          <t>KH3681</t>
        </is>
      </c>
      <c r="C47" s="401" t="inlineStr">
        <is>
          <t>Cửa Hàng Vĩnh Lộc – Sài Gòn/ 0907 182 220</t>
        </is>
      </c>
      <c r="D47" s="400" t="inlineStr">
        <is>
          <t>0907 182 220</t>
        </is>
      </c>
      <c r="E47" s="402" t="n"/>
      <c r="F47" s="401" t="inlineStr">
        <is>
          <t>234 Nguyên Công Trứ, Phường Bến Thành, TP HCM</t>
        </is>
      </c>
      <c r="G47" s="400" t="inlineStr">
        <is>
          <t>SG/HCM</t>
        </is>
      </c>
      <c r="H47" s="402" t="n"/>
      <c r="J47" s="392">
        <f>IFERROR(UPPER(TRIM(B47))&amp;"|"&amp;UPPER(TRIM(C47))&amp;"|"&amp;UPPER(TRIM(D47)),"")</f>
        <v/>
      </c>
    </row>
    <row r="48" ht="15.75" customHeight="1" s="217">
      <c r="A48" s="397" t="n">
        <v>46</v>
      </c>
      <c r="B48" s="397" t="inlineStr">
        <is>
          <t>KH3682</t>
        </is>
      </c>
      <c r="C48" s="398" t="inlineStr">
        <is>
          <t>CTY CPTMDV XÂY DỰNG THU HƯƠNG/ A Sáu - 0903.412.752</t>
        </is>
      </c>
      <c r="D48" s="397" t="inlineStr">
        <is>
          <t>0903.412.752</t>
        </is>
      </c>
      <c r="E48" s="399" t="n"/>
      <c r="F48" s="398" t="inlineStr">
        <is>
          <t>1073/63B Cách Mạng Tháng Tám, Phường Tân Sơn Nhất, TP Hồ Chí Minh</t>
        </is>
      </c>
      <c r="G48" s="397" t="inlineStr">
        <is>
          <t>SG/HCM</t>
        </is>
      </c>
      <c r="H48" s="399" t="n"/>
      <c r="J48" s="392">
        <f>IFERROR(UPPER(TRIM(B48))&amp;"|"&amp;UPPER(TRIM(C48))&amp;"|"&amp;UPPER(TRIM(D48)),"")</f>
        <v/>
      </c>
    </row>
    <row r="49" ht="15.75" customHeight="1" s="217">
      <c r="A49" s="400" t="n">
        <v>47</v>
      </c>
      <c r="B49" s="400" t="inlineStr">
        <is>
          <t>KH3683</t>
        </is>
      </c>
      <c r="C49" s="401" t="inlineStr">
        <is>
          <t>A Nghị, Chủ máy – Lâm Đồng/ 0822.910.986</t>
        </is>
      </c>
      <c r="D49" s="400" t="inlineStr">
        <is>
          <t>0822.910.986</t>
        </is>
      </c>
      <c r="E49" s="402" t="n"/>
      <c r="F49" s="401" t="inlineStr">
        <is>
          <t>Đinh Văn, Lâm Hà, Lâm Đồng</t>
        </is>
      </c>
      <c r="G49" s="400" t="inlineStr">
        <is>
          <t>LDONG</t>
        </is>
      </c>
      <c r="H49" s="402" t="n"/>
      <c r="J49" s="392">
        <f>IFERROR(UPPER(TRIM(B49))&amp;"|"&amp;UPPER(TRIM(C49))&amp;"|"&amp;UPPER(TRIM(D49)),"")</f>
        <v/>
      </c>
    </row>
    <row r="50" ht="15.75" customHeight="1" s="217">
      <c r="A50" s="393" t="n">
        <v>48</v>
      </c>
      <c r="B50" s="393" t="inlineStr">
        <is>
          <t>KH3679</t>
        </is>
      </c>
      <c r="C50" s="394" t="inlineStr">
        <is>
          <t>CH Phụ tùng Nông Ngư Cơ Tư Lê - Phan Thiết / 0918.591.690</t>
        </is>
      </c>
      <c r="D50" s="393" t="inlineStr">
        <is>
          <t>0918.591.690</t>
        </is>
      </c>
      <c r="E50" s="393" t="inlineStr">
        <is>
          <t>KHÁCH VIP</t>
        </is>
      </c>
      <c r="F50" s="394" t="inlineStr">
        <is>
          <t>44 Hà Huy Tập, Đức Thắng, TP Phan Thiết</t>
        </is>
      </c>
      <c r="G50" s="393" t="inlineStr">
        <is>
          <t>BTHUAN</t>
        </is>
      </c>
      <c r="H50" s="395" t="n"/>
      <c r="J50" s="392">
        <f>IFERROR(UPPER(TRIM(B50))&amp;"|"&amp;UPPER(TRIM(C50))&amp;"|"&amp;UPPER(TRIM(D50)),"")</f>
        <v/>
      </c>
    </row>
    <row r="51" ht="15.75" customHeight="1" s="217">
      <c r="A51" s="400" t="n">
        <v>49</v>
      </c>
      <c r="B51" s="400" t="inlineStr">
        <is>
          <t>KH3726</t>
        </is>
      </c>
      <c r="C51" s="401" t="inlineStr">
        <is>
          <t>CƠ giới sáu ngà</t>
        </is>
      </c>
      <c r="D51" s="402" t="n"/>
      <c r="E51" s="402" t="n"/>
      <c r="F51" s="403" t="n"/>
      <c r="G51" s="402" t="n"/>
      <c r="H51" s="400" t="inlineStr">
        <is>
          <t>chành bão phương đ/c 1648  Võ Văn Kiệt</t>
        </is>
      </c>
      <c r="J51" s="392">
        <f>IFERROR(UPPER(TRIM(B51))&amp;"|"&amp;UPPER(TRIM(C51))&amp;"|"&amp;UPPER(TRIM(D51)),"")</f>
        <v/>
      </c>
    </row>
    <row r="52" ht="15.75" customHeight="1" s="217">
      <c r="A52" s="397" t="n">
        <v>50</v>
      </c>
      <c r="B52" s="397" t="inlineStr">
        <is>
          <t>KH3678</t>
        </is>
      </c>
      <c r="C52" s="398" t="inlineStr">
        <is>
          <t>Xưởng A Ngãi - Kontum/ 0339.241.140</t>
        </is>
      </c>
      <c r="D52" s="397" t="inlineStr">
        <is>
          <t>0339.241.140</t>
        </is>
      </c>
      <c r="E52" s="399" t="n"/>
      <c r="F52" s="398" t="inlineStr">
        <is>
          <t>TP Kontum (gần bến xe)</t>
        </is>
      </c>
      <c r="G52" s="397" t="inlineStr">
        <is>
          <t>KTUM</t>
        </is>
      </c>
      <c r="H52" s="399" t="n"/>
      <c r="J52" s="392">
        <f>IFERROR(UPPER(TRIM(B52))&amp;"|"&amp;UPPER(TRIM(C52))&amp;"|"&amp;UPPER(TRIM(D52)),"")</f>
        <v/>
      </c>
    </row>
    <row r="53" ht="15.75" customHeight="1" s="217">
      <c r="A53" s="400" t="n">
        <v>51</v>
      </c>
      <c r="B53" s="400" t="inlineStr">
        <is>
          <t>KH3677</t>
        </is>
      </c>
      <c r="C53" s="401" t="inlineStr">
        <is>
          <t>Công ty TNHH MTV Cơ khí xây dựng Hiếu Phát - Bình Dương/ Chị Hồng: 0389.579.589</t>
        </is>
      </c>
      <c r="D53" s="400" t="inlineStr">
        <is>
          <t>0389.579.589</t>
        </is>
      </c>
      <c r="E53" s="402" t="n"/>
      <c r="F53" s="401" t="inlineStr">
        <is>
          <t>Số 01, Đường Hội Nghĩa, KP1, Phường Bình Cơ, TP Hồ Chí Minh</t>
        </is>
      </c>
      <c r="G53" s="400" t="inlineStr">
        <is>
          <t>BDUONG</t>
        </is>
      </c>
      <c r="H53" s="402" t="n"/>
      <c r="J53" s="392">
        <f>IFERROR(UPPER(TRIM(B53))&amp;"|"&amp;UPPER(TRIM(C53))&amp;"|"&amp;UPPER(TRIM(D53)),"")</f>
        <v/>
      </c>
    </row>
    <row r="54" ht="15.75" customHeight="1" s="217">
      <c r="A54" s="397" t="n">
        <v>52</v>
      </c>
      <c r="B54" s="397" t="inlineStr">
        <is>
          <t>KH3676</t>
        </is>
      </c>
      <c r="C54" s="398" t="inlineStr">
        <is>
          <t>Anh Duy - Bình Dương/0965.836.059</t>
        </is>
      </c>
      <c r="D54" s="397" t="inlineStr">
        <is>
          <t>0965.836.059</t>
        </is>
      </c>
      <c r="E54" s="399" t="n"/>
      <c r="F54" s="398" t="inlineStr">
        <is>
          <t>Bình Dương</t>
        </is>
      </c>
      <c r="G54" s="397" t="inlineStr">
        <is>
          <t>BDUONG</t>
        </is>
      </c>
      <c r="H54" s="399" t="n"/>
      <c r="J54" s="392">
        <f>IFERROR(UPPER(TRIM(B54))&amp;"|"&amp;UPPER(TRIM(C54))&amp;"|"&amp;UPPER(TRIM(D54)),"")</f>
        <v/>
      </c>
    </row>
    <row r="55" ht="15.75" customHeight="1" s="217">
      <c r="A55" s="400" t="n">
        <v>53</v>
      </c>
      <c r="B55" s="400" t="inlineStr">
        <is>
          <t>KH3675</t>
        </is>
      </c>
      <c r="C55" s="401" t="inlineStr">
        <is>
          <t>Anh Tự (Turbo), Bình Thạnh - 0982.456.944</t>
        </is>
      </c>
      <c r="D55" s="400" t="inlineStr">
        <is>
          <t>0982.456.944</t>
        </is>
      </c>
      <c r="E55" s="402" t="n"/>
      <c r="F55" s="401" t="inlineStr">
        <is>
          <t>340/42 Ung Văn Khiêm, Phường 25, Quận Bình Thạnh, TP. Hồ Chí Minh</t>
        </is>
      </c>
      <c r="G55" s="400" t="inlineStr">
        <is>
          <t>SG/HCM</t>
        </is>
      </c>
      <c r="H55" s="402" t="n"/>
      <c r="J55" s="392">
        <f>IFERROR(UPPER(TRIM(B55))&amp;"|"&amp;UPPER(TRIM(C55))&amp;"|"&amp;UPPER(TRIM(D55)),"")</f>
        <v/>
      </c>
    </row>
    <row r="56" ht="15.75" customHeight="1" s="217">
      <c r="A56" s="397" t="n">
        <v>54</v>
      </c>
      <c r="B56" s="397" t="inlineStr">
        <is>
          <t>KH3674</t>
        </is>
      </c>
      <c r="C56" s="398" t="inlineStr">
        <is>
          <t>Anh Bình (turbo) – Trà Vinh/ 0964.409.419</t>
        </is>
      </c>
      <c r="D56" s="397" t="inlineStr">
        <is>
          <t>0964.409.419</t>
        </is>
      </c>
      <c r="E56" s="399" t="n"/>
      <c r="F56" s="398" t="inlineStr">
        <is>
          <t>Quốc Lộ 54, Ấp Phú Nhiêu, Xã Mỹ Chánh, Huyện Châu Thành, Tỉnh Trà Vinh</t>
        </is>
      </c>
      <c r="G56" s="397" t="inlineStr">
        <is>
          <t>TV</t>
        </is>
      </c>
      <c r="H56" s="399" t="n"/>
      <c r="J56" s="392">
        <f>IFERROR(UPPER(TRIM(B56))&amp;"|"&amp;UPPER(TRIM(C56))&amp;"|"&amp;UPPER(TRIM(D56)),"")</f>
        <v/>
      </c>
    </row>
    <row r="57" ht="15.75" customHeight="1" s="217">
      <c r="A57" s="400" t="n">
        <v>55</v>
      </c>
      <c r="B57" s="400" t="inlineStr">
        <is>
          <t>KH3673</t>
        </is>
      </c>
      <c r="C57" s="401" t="inlineStr">
        <is>
          <t>CH Máy nông nghiệp Đại Việt - Thái Bình - 0866.388.022</t>
        </is>
      </c>
      <c r="D57" s="400" t="inlineStr">
        <is>
          <t>0866.388.022</t>
        </is>
      </c>
      <c r="E57" s="402" t="n"/>
      <c r="F57" s="401" t="inlineStr">
        <is>
          <t>Kiến Xương, Thái Bình</t>
        </is>
      </c>
      <c r="G57" s="400" t="inlineStr">
        <is>
          <t>HN</t>
        </is>
      </c>
      <c r="H57" s="402" t="n"/>
      <c r="J57" s="392">
        <f>IFERROR(UPPER(TRIM(B57))&amp;"|"&amp;UPPER(TRIM(C57))&amp;"|"&amp;UPPER(TRIM(D57)),"")</f>
        <v/>
      </c>
    </row>
    <row r="58" ht="15.75" customHeight="1" s="217">
      <c r="A58" s="397" t="n">
        <v>56</v>
      </c>
      <c r="B58" s="397" t="inlineStr">
        <is>
          <t>KH3672</t>
        </is>
      </c>
      <c r="C58" s="398" t="inlineStr">
        <is>
          <t>Cửa hàng Anh Dũng - Phú Yên/  0986.013.483</t>
        </is>
      </c>
      <c r="D58" s="397" t="inlineStr">
        <is>
          <t>0986.013.483</t>
        </is>
      </c>
      <c r="E58" s="399" t="n"/>
      <c r="F58" s="398" t="inlineStr">
        <is>
          <t>Thôn Tân An, Xã EA Ly, Huyện Sông Hinh, Phú Yên</t>
        </is>
      </c>
      <c r="G58" s="397" t="inlineStr">
        <is>
          <t>PYEN</t>
        </is>
      </c>
      <c r="H58" s="399" t="n"/>
      <c r="J58" s="392">
        <f>IFERROR(UPPER(TRIM(B58))&amp;"|"&amp;UPPER(TRIM(C58))&amp;"|"&amp;UPPER(TRIM(D58)),"")</f>
        <v/>
      </c>
    </row>
    <row r="59" ht="15.75" customHeight="1" s="217">
      <c r="A59" s="400" t="n">
        <v>57</v>
      </c>
      <c r="B59" s="400" t="inlineStr">
        <is>
          <t>KH3670</t>
        </is>
      </c>
      <c r="C59" s="401" t="inlineStr">
        <is>
          <t>Cửa Hàng Ron Dập- Anh Pháp/0975.607.657</t>
        </is>
      </c>
      <c r="D59" s="400" t="inlineStr">
        <is>
          <t>0975.607.657</t>
        </is>
      </c>
      <c r="E59" s="402" t="n"/>
      <c r="F59" s="401" t="inlineStr">
        <is>
          <t>305 Võ Nguyên Giáp, p.Trương Quang Trọng, Tỉnh Quảng Ngãi</t>
        </is>
      </c>
      <c r="G59" s="400" t="inlineStr">
        <is>
          <t>QUNGAI</t>
        </is>
      </c>
      <c r="H59" s="402" t="n"/>
      <c r="J59" s="392">
        <f>IFERROR(UPPER(TRIM(B59))&amp;"|"&amp;UPPER(TRIM(C59))&amp;"|"&amp;UPPER(TRIM(D59)),"")</f>
        <v/>
      </c>
    </row>
    <row r="60" ht="15.75" customHeight="1" s="217">
      <c r="A60" s="397" t="n">
        <v>58</v>
      </c>
      <c r="B60" s="397" t="inlineStr">
        <is>
          <t>KH3671</t>
        </is>
      </c>
      <c r="C60" s="398" t="inlineStr">
        <is>
          <t>CÔNG TY CỔ PHẦN ĐẦU TƯ XÂY DỰNG VÀ KỸ THUẬT VNCN E&amp;C/Anh Đại: 0908.162.189</t>
        </is>
      </c>
      <c r="D60" s="397" t="inlineStr">
        <is>
          <t>0908.162.189</t>
        </is>
      </c>
      <c r="E60" s="399" t="n"/>
      <c r="F60" s="398" t="inlineStr">
        <is>
          <t>Tầng 18 Toà nhà VINACONEX, Số 34 Láng Hạ, Phường Láng, Thành phố Hà Nội</t>
        </is>
      </c>
      <c r="G60" s="397" t="inlineStr">
        <is>
          <t>HN</t>
        </is>
      </c>
      <c r="H60" s="399" t="n"/>
      <c r="J60" s="392">
        <f>IFERROR(UPPER(TRIM(B60))&amp;"|"&amp;UPPER(TRIM(C60))&amp;"|"&amp;UPPER(TRIM(D60)),"")</f>
        <v/>
      </c>
    </row>
    <row r="61" ht="15.75" customHeight="1" s="217">
      <c r="A61" s="400" t="n">
        <v>59</v>
      </c>
      <c r="B61" s="400" t="inlineStr">
        <is>
          <t>KH3669</t>
        </is>
      </c>
      <c r="C61" s="401" t="inlineStr">
        <is>
          <t>Anh Bảo -Bình Thuận/  0941.495.195</t>
        </is>
      </c>
      <c r="D61" s="400" t="inlineStr">
        <is>
          <t>0941.495.195</t>
        </is>
      </c>
      <c r="E61" s="402" t="n"/>
      <c r="F61" s="401" t="inlineStr">
        <is>
          <t>Chợ lầu, Bắc Bình, Bình Thuận</t>
        </is>
      </c>
      <c r="G61" s="400" t="inlineStr">
        <is>
          <t>BTHUAN</t>
        </is>
      </c>
      <c r="H61" s="402" t="n"/>
      <c r="J61" s="392">
        <f>IFERROR(UPPER(TRIM(B61))&amp;"|"&amp;UPPER(TRIM(C61))&amp;"|"&amp;UPPER(TRIM(D61)),"")</f>
        <v/>
      </c>
    </row>
    <row r="62" ht="15.75" customHeight="1" s="217">
      <c r="A62" s="397" t="n">
        <v>60</v>
      </c>
      <c r="B62" s="397" t="inlineStr">
        <is>
          <t>KH3667</t>
        </is>
      </c>
      <c r="C62" s="398" t="inlineStr">
        <is>
          <t>Cửa hàng Xe nâng Anh Kiên-Bình Dương/ 0966.699.127</t>
        </is>
      </c>
      <c r="D62" s="397" t="inlineStr">
        <is>
          <t>0966.699.127</t>
        </is>
      </c>
      <c r="E62" s="399" t="n"/>
      <c r="F62" s="398" t="inlineStr">
        <is>
          <t>Aeon Bình Dương-Thuận An-Bình Dương</t>
        </is>
      </c>
      <c r="G62" s="397" t="inlineStr">
        <is>
          <t>BDUONG</t>
        </is>
      </c>
      <c r="H62" s="399" t="n"/>
      <c r="J62" s="392">
        <f>IFERROR(UPPER(TRIM(B62))&amp;"|"&amp;UPPER(TRIM(C62))&amp;"|"&amp;UPPER(TRIM(D62)),"")</f>
        <v/>
      </c>
    </row>
    <row r="63" ht="15.75" customHeight="1" s="217">
      <c r="A63" s="400" t="n">
        <v>61</v>
      </c>
      <c r="B63" s="400" t="inlineStr">
        <is>
          <t>KH3668</t>
        </is>
      </c>
      <c r="C63" s="401" t="inlineStr">
        <is>
          <t>Xưởng Động Cơ Máy Thủy Anh Tín – Tam Quan / 0388.001.328</t>
        </is>
      </c>
      <c r="D63" s="400" t="inlineStr">
        <is>
          <t>0388.001.328</t>
        </is>
      </c>
      <c r="E63" s="402" t="n"/>
      <c r="F63" s="401" t="inlineStr">
        <is>
          <t>Tam Quan, Bình Định</t>
        </is>
      </c>
      <c r="G63" s="400" t="inlineStr">
        <is>
          <t>BDINH</t>
        </is>
      </c>
      <c r="H63" s="402" t="n"/>
      <c r="J63" s="392">
        <f>IFERROR(UPPER(TRIM(B63))&amp;"|"&amp;UPPER(TRIM(C63))&amp;"|"&amp;UPPER(TRIM(D63)),"")</f>
        <v/>
      </c>
    </row>
    <row r="64" ht="15.75" customHeight="1" s="217">
      <c r="A64" s="397" t="n">
        <v>62</v>
      </c>
      <c r="B64" s="397" t="inlineStr">
        <is>
          <t>KH3666</t>
        </is>
      </c>
      <c r="C64" s="398" t="inlineStr">
        <is>
          <t>Xưởng Anh Hậu (Xe Nâng) - 0375.972.289</t>
        </is>
      </c>
      <c r="D64" s="397" t="inlineStr">
        <is>
          <t>0375.972.289</t>
        </is>
      </c>
      <c r="E64" s="399" t="n"/>
      <c r="F64" s="398" t="inlineStr">
        <is>
          <t>Dĩ An, Bình Dương</t>
        </is>
      </c>
      <c r="G64" s="397" t="inlineStr">
        <is>
          <t>BDUONG</t>
        </is>
      </c>
      <c r="H64" s="399" t="n"/>
      <c r="J64" s="392">
        <f>IFERROR(UPPER(TRIM(B64))&amp;"|"&amp;UPPER(TRIM(C64))&amp;"|"&amp;UPPER(TRIM(D64)),"")</f>
        <v/>
      </c>
    </row>
    <row r="65" ht="15.75" customHeight="1" s="217">
      <c r="A65" s="400" t="n">
        <v>63</v>
      </c>
      <c r="B65" s="400" t="inlineStr">
        <is>
          <t>KH3665</t>
        </is>
      </c>
      <c r="C65" s="401" t="inlineStr">
        <is>
          <t>Xưởng Anh Lâm - 621/ 0937.312.138</t>
        </is>
      </c>
      <c r="D65" s="400" t="inlineStr">
        <is>
          <t>0937.312.138</t>
        </is>
      </c>
      <c r="E65" s="402" t="n"/>
      <c r="F65" s="401" t="inlineStr">
        <is>
          <t>135/18, đường Vành Đai, Đại học Quốc gia, Hiệp Thắng, Dĩ An, Bình Dương</t>
        </is>
      </c>
      <c r="G65" s="400" t="inlineStr">
        <is>
          <t>SG/HCM</t>
        </is>
      </c>
      <c r="H65" s="402" t="n"/>
      <c r="J65" s="392">
        <f>IFERROR(UPPER(TRIM(B65))&amp;"|"&amp;UPPER(TRIM(C65))&amp;"|"&amp;UPPER(TRIM(D65)),"")</f>
        <v/>
      </c>
    </row>
    <row r="66" ht="15.75" customHeight="1" s="217">
      <c r="A66" s="397" t="n">
        <v>64</v>
      </c>
      <c r="B66" s="397" t="inlineStr">
        <is>
          <t>KH3664</t>
        </is>
      </c>
      <c r="C66" s="398" t="inlineStr">
        <is>
          <t>Công ty Thành Phát - Hà Nội/ Anh Vương: 0961.000.389</t>
        </is>
      </c>
      <c r="D66" s="397" t="inlineStr">
        <is>
          <t>0961.000.389</t>
        </is>
      </c>
      <c r="E66" s="399" t="n"/>
      <c r="F66" s="398" t="inlineStr">
        <is>
          <t>Số 16, hẻm 71/14/3 Hoàng Văn Thái, Khương Trung, Thanh Xuân, Hà Nội</t>
        </is>
      </c>
      <c r="G66" s="397" t="inlineStr">
        <is>
          <t>HN</t>
        </is>
      </c>
      <c r="H66" s="399" t="n"/>
      <c r="J66" s="392">
        <f>IFERROR(UPPER(TRIM(B66))&amp;"|"&amp;UPPER(TRIM(C66))&amp;"|"&amp;UPPER(TRIM(D66)),"")</f>
        <v/>
      </c>
    </row>
    <row r="67" ht="15.75" customHeight="1" s="217">
      <c r="A67" s="400" t="n">
        <v>65</v>
      </c>
      <c r="B67" s="400" t="inlineStr">
        <is>
          <t>KH3663</t>
        </is>
      </c>
      <c r="C67" s="401" t="inlineStr">
        <is>
          <t>A Phước (Công ty) - Thủ Dầu - 0977.488.880</t>
        </is>
      </c>
      <c r="D67" s="400" t="inlineStr">
        <is>
          <t>0977.488.880</t>
        </is>
      </c>
      <c r="E67" s="402" t="n"/>
      <c r="F67" s="401" t="inlineStr">
        <is>
          <t>405 Đường 30 tháng 4, Khu 8, Phường Thủ Dầu Một, Bình Dương</t>
        </is>
      </c>
      <c r="G67" s="400" t="inlineStr">
        <is>
          <t>SG/HCM</t>
        </is>
      </c>
      <c r="H67" s="402" t="n"/>
      <c r="J67" s="392">
        <f>IFERROR(UPPER(TRIM(B67))&amp;"|"&amp;UPPER(TRIM(C67))&amp;"|"&amp;UPPER(TRIM(D67)),"")</f>
        <v/>
      </c>
    </row>
    <row r="68" ht="15.75" customHeight="1" s="217">
      <c r="A68" s="397" t="n">
        <v>66</v>
      </c>
      <c r="B68" s="397" t="inlineStr">
        <is>
          <t>KH3662</t>
        </is>
      </c>
      <c r="C68" s="398" t="inlineStr">
        <is>
          <t>Xưởng Lê Phước-Hậu Giang/ 0984.111.163</t>
        </is>
      </c>
      <c r="D68" s="397" t="inlineStr">
        <is>
          <t>0984.111.163</t>
        </is>
      </c>
      <c r="E68" s="399" t="n"/>
      <c r="F68" s="398" t="inlineStr">
        <is>
          <t>TP. Vị Thanh, Hậu Giang</t>
        </is>
      </c>
      <c r="G68" s="397" t="inlineStr">
        <is>
          <t>HG</t>
        </is>
      </c>
      <c r="H68" s="399" t="n"/>
      <c r="J68" s="392">
        <f>IFERROR(UPPER(TRIM(B68))&amp;"|"&amp;UPPER(TRIM(C68))&amp;"|"&amp;UPPER(TRIM(D68)),"")</f>
        <v/>
      </c>
    </row>
    <row r="69" ht="15.75" customHeight="1" s="217">
      <c r="A69" s="400" t="n">
        <v>67</v>
      </c>
      <c r="B69" s="400" t="inlineStr">
        <is>
          <t>KH3659</t>
        </is>
      </c>
      <c r="C69" s="401" t="inlineStr">
        <is>
          <t>Xưởng Anh Vĩ - TP Hồ Chí Minh/0984.571.405</t>
        </is>
      </c>
      <c r="D69" s="400" t="inlineStr">
        <is>
          <t>0984.571.405</t>
        </is>
      </c>
      <c r="E69" s="402" t="n"/>
      <c r="F69" s="401" t="inlineStr">
        <is>
          <t>Thủ Đức, TP Hồ Chí Minh</t>
        </is>
      </c>
      <c r="G69" s="400" t="inlineStr">
        <is>
          <t>SG/HCM</t>
        </is>
      </c>
      <c r="H69" s="402" t="n"/>
      <c r="J69" s="392">
        <f>IFERROR(UPPER(TRIM(B69))&amp;"|"&amp;UPPER(TRIM(C69))&amp;"|"&amp;UPPER(TRIM(D69)),"")</f>
        <v/>
      </c>
    </row>
    <row r="70" ht="15.75" customHeight="1" s="217">
      <c r="A70" s="397" t="n">
        <v>68</v>
      </c>
      <c r="B70" s="397" t="inlineStr">
        <is>
          <t>KH3660</t>
        </is>
      </c>
      <c r="C70" s="398" t="inlineStr">
        <is>
          <t>Xưởng  A Dương/ Tây Ninh -  0974.779.644</t>
        </is>
      </c>
      <c r="D70" s="397" t="inlineStr">
        <is>
          <t>0974.779.644</t>
        </is>
      </c>
      <c r="E70" s="399" t="n"/>
      <c r="F70" s="398" t="inlineStr">
        <is>
          <t>P. Bình Minh, Tây Ninh</t>
        </is>
      </c>
      <c r="G70" s="397" t="inlineStr">
        <is>
          <t>TNINH</t>
        </is>
      </c>
      <c r="H70" s="399" t="n"/>
      <c r="J70" s="392">
        <f>IFERROR(UPPER(TRIM(B70))&amp;"|"&amp;UPPER(TRIM(C70))&amp;"|"&amp;UPPER(TRIM(D70)),"")</f>
        <v/>
      </c>
    </row>
    <row r="71" ht="15.75" customHeight="1" s="217">
      <c r="A71" s="400" t="n">
        <v>69</v>
      </c>
      <c r="B71" s="400" t="inlineStr">
        <is>
          <t>KH3661</t>
        </is>
      </c>
      <c r="C71" s="401" t="inlineStr">
        <is>
          <t>Xưởng tiện Anh Công-Biên Hoà /0933.071.042</t>
        </is>
      </c>
      <c r="D71" s="400" t="inlineStr">
        <is>
          <t>0933.071.042</t>
        </is>
      </c>
      <c r="E71" s="402" t="n"/>
      <c r="F71" s="401" t="inlineStr">
        <is>
          <t>2296 Tổ 20, ấp Cầu Hang, P. Biên Hoà, Đồng Nai( kế cây xăng 54)</t>
        </is>
      </c>
      <c r="G71" s="400" t="inlineStr">
        <is>
          <t>ÐNAI</t>
        </is>
      </c>
      <c r="H71" s="402" t="n"/>
      <c r="J71" s="392">
        <f>IFERROR(UPPER(TRIM(B71))&amp;"|"&amp;UPPER(TRIM(C71))&amp;"|"&amp;UPPER(TRIM(D71)),"")</f>
        <v/>
      </c>
    </row>
    <row r="72" ht="15.75" customHeight="1" s="217">
      <c r="A72" s="397" t="n">
        <v>70</v>
      </c>
      <c r="B72" s="397" t="inlineStr">
        <is>
          <t>EETURBO</t>
        </is>
      </c>
      <c r="C72" s="398" t="inlineStr">
        <is>
          <t>Changzhou E&amp;E Turbo-Power Co., Ltd</t>
        </is>
      </c>
      <c r="D72" s="399" t="n"/>
      <c r="E72" s="399" t="n"/>
      <c r="F72" s="398" t="inlineStr">
        <is>
          <t>No.80, Qinfen Road, New district, 213125 Changzhou, Jiangsu Pro., China</t>
        </is>
      </c>
      <c r="G72" s="399" t="n"/>
      <c r="H72" s="399" t="n"/>
      <c r="J72" s="392">
        <f>IFERROR(UPPER(TRIM(B72))&amp;"|"&amp;UPPER(TRIM(C72))&amp;"|"&amp;UPPER(TRIM(D72)),"")</f>
        <v/>
      </c>
    </row>
    <row r="73" ht="15.75" customHeight="1" s="217">
      <c r="A73" s="400" t="n">
        <v>71</v>
      </c>
      <c r="B73" s="400" t="inlineStr">
        <is>
          <t>KH3655</t>
        </is>
      </c>
      <c r="C73" s="401" t="inlineStr">
        <is>
          <t>Xưởng Phúc Anh-Gia Lai/ 0905.588.990</t>
        </is>
      </c>
      <c r="D73" s="400" t="inlineStr">
        <is>
          <t>0905.588.990</t>
        </is>
      </c>
      <c r="E73" s="402" t="n"/>
      <c r="F73" s="401" t="inlineStr">
        <is>
          <t>479 Lý Thái Tổ- Pleiku-Gia Lai</t>
        </is>
      </c>
      <c r="G73" s="400" t="inlineStr">
        <is>
          <t>GLAI</t>
        </is>
      </c>
      <c r="H73" s="402" t="n"/>
      <c r="J73" s="392">
        <f>IFERROR(UPPER(TRIM(B73))&amp;"|"&amp;UPPER(TRIM(C73))&amp;"|"&amp;UPPER(TRIM(D73)),"")</f>
        <v/>
      </c>
    </row>
    <row r="74" ht="15.75" customHeight="1" s="217">
      <c r="A74" s="397" t="n">
        <v>72</v>
      </c>
      <c r="B74" s="397" t="inlineStr">
        <is>
          <t>KH3656</t>
        </is>
      </c>
      <c r="C74" s="398" t="inlineStr">
        <is>
          <t>A Hải (chủ máy) - Lái Thiêu/ 0974.732.673</t>
        </is>
      </c>
      <c r="D74" s="397" t="inlineStr">
        <is>
          <t>0974.732.673</t>
        </is>
      </c>
      <c r="E74" s="399" t="n"/>
      <c r="F74" s="398" t="inlineStr">
        <is>
          <t>Lái Thiêu - Bình Dương</t>
        </is>
      </c>
      <c r="G74" s="397" t="inlineStr">
        <is>
          <t>BDUONG</t>
        </is>
      </c>
      <c r="H74" s="399" t="n"/>
      <c r="J74" s="392">
        <f>IFERROR(UPPER(TRIM(B74))&amp;"|"&amp;UPPER(TRIM(C74))&amp;"|"&amp;UPPER(TRIM(D74)),"")</f>
        <v/>
      </c>
    </row>
    <row r="75" ht="15.75" customHeight="1" s="217">
      <c r="A75" s="400" t="n">
        <v>73</v>
      </c>
      <c r="B75" s="400" t="inlineStr">
        <is>
          <t>KH3657</t>
        </is>
      </c>
      <c r="C75" s="401" t="inlineStr">
        <is>
          <t>Xưởng tiện Anh Vinh - Bình Hưng Hòa / 0946.864.235</t>
        </is>
      </c>
      <c r="D75" s="400" t="inlineStr">
        <is>
          <t>0946.864.235</t>
        </is>
      </c>
      <c r="E75" s="402" t="n"/>
      <c r="F75" s="401" t="inlineStr">
        <is>
          <t>18A, KP1, P. Bình Hưng Hòa A, Q. Bình Tân, TP. HCM</t>
        </is>
      </c>
      <c r="G75" s="400" t="inlineStr">
        <is>
          <t>SG/HCM</t>
        </is>
      </c>
      <c r="H75" s="402" t="n"/>
      <c r="J75" s="392">
        <f>IFERROR(UPPER(TRIM(B75))&amp;"|"&amp;UPPER(TRIM(C75))&amp;"|"&amp;UPPER(TRIM(D75)),"")</f>
        <v/>
      </c>
    </row>
    <row r="76" ht="15.75" customHeight="1" s="217">
      <c r="A76" s="397" t="n">
        <v>74</v>
      </c>
      <c r="B76" s="397" t="inlineStr">
        <is>
          <t>KH3658</t>
        </is>
      </c>
      <c r="C76" s="398" t="inlineStr">
        <is>
          <t>CH A Dũng - An Sương  0913.692.430</t>
        </is>
      </c>
      <c r="D76" s="397" t="inlineStr">
        <is>
          <t>0913.692.430</t>
        </is>
      </c>
      <c r="E76" s="399" t="n"/>
      <c r="F76" s="398" t="inlineStr">
        <is>
          <t>An Sương - TP HCM</t>
        </is>
      </c>
      <c r="G76" s="397" t="inlineStr">
        <is>
          <t>SG/HCM</t>
        </is>
      </c>
      <c r="H76" s="399" t="n"/>
      <c r="J76" s="392">
        <f>IFERROR(UPPER(TRIM(B76))&amp;"|"&amp;UPPER(TRIM(C76))&amp;"|"&amp;UPPER(TRIM(D76)),"")</f>
        <v/>
      </c>
    </row>
    <row r="77" ht="15.75" customHeight="1" s="217">
      <c r="A77" s="400" t="n">
        <v>75</v>
      </c>
      <c r="B77" s="400" t="inlineStr">
        <is>
          <t>KH3654</t>
        </is>
      </c>
      <c r="C77" s="401" t="inlineStr">
        <is>
          <t>Xưởng Minh Đức - Tân Uyên/ 0943.740.882</t>
        </is>
      </c>
      <c r="D77" s="400" t="inlineStr">
        <is>
          <t>0943.740.882</t>
        </is>
      </c>
      <c r="E77" s="402" t="n"/>
      <c r="F77" s="401" t="inlineStr">
        <is>
          <t>Tân Uyên, Bình Dương</t>
        </is>
      </c>
      <c r="G77" s="400" t="inlineStr">
        <is>
          <t>BDUONG</t>
        </is>
      </c>
      <c r="H77" s="402" t="n"/>
      <c r="J77" s="392">
        <f>IFERROR(UPPER(TRIM(B77))&amp;"|"&amp;UPPER(TRIM(C77))&amp;"|"&amp;UPPER(TRIM(D77)),"")</f>
        <v/>
      </c>
    </row>
    <row r="78" ht="15.75" customHeight="1" s="217">
      <c r="A78" s="397" t="n">
        <v>76</v>
      </c>
      <c r="B78" s="397" t="inlineStr">
        <is>
          <t>KH3653</t>
        </is>
      </c>
      <c r="C78" s="398" t="inlineStr">
        <is>
          <t>Công Ty TNHH TM-DV sửa chữa Tứ Hùng/ Anh Sơn: 0364.422.402</t>
        </is>
      </c>
      <c r="D78" s="397" t="inlineStr">
        <is>
          <t>0364.422.402</t>
        </is>
      </c>
      <c r="E78" s="399" t="n"/>
      <c r="F78" s="398" t="inlineStr">
        <is>
          <t>19 Hồ Đắc Di, Bình An, Dĩ An, Bình Dương</t>
        </is>
      </c>
      <c r="G78" s="397" t="inlineStr">
        <is>
          <t>SG/HCM</t>
        </is>
      </c>
      <c r="H78" s="399" t="n"/>
      <c r="J78" s="392">
        <f>IFERROR(UPPER(TRIM(B78))&amp;"|"&amp;UPPER(TRIM(C78))&amp;"|"&amp;UPPER(TRIM(D78)),"")</f>
        <v/>
      </c>
    </row>
    <row r="79" ht="15.75" customHeight="1" s="217">
      <c r="A79" s="400" t="n">
        <v>77</v>
      </c>
      <c r="B79" s="400" t="inlineStr">
        <is>
          <t>KH3651</t>
        </is>
      </c>
      <c r="C79" s="401" t="inlineStr">
        <is>
          <t>Của hàng  Cơ giới Vũ Tuấn - Bình Long/ Anh Tuấn: 0913.897.755</t>
        </is>
      </c>
      <c r="D79" s="400" t="inlineStr">
        <is>
          <t>0913.897.755</t>
        </is>
      </c>
      <c r="E79" s="402" t="n"/>
      <c r="F79" s="401" t="inlineStr">
        <is>
          <t>Tổ 4, KP Phụ Xuân, Phú Thịnh, Bình Long, Bình Phước</t>
        </is>
      </c>
      <c r="G79" s="400" t="inlineStr">
        <is>
          <t>BP</t>
        </is>
      </c>
      <c r="H79" s="402" t="n"/>
      <c r="J79" s="392">
        <f>IFERROR(UPPER(TRIM(B79))&amp;"|"&amp;UPPER(TRIM(C79))&amp;"|"&amp;UPPER(TRIM(D79)),"")</f>
        <v/>
      </c>
    </row>
    <row r="80" ht="15.75" customHeight="1" s="217">
      <c r="A80" s="397" t="n">
        <v>78</v>
      </c>
      <c r="B80" s="397" t="inlineStr">
        <is>
          <t>KH3652</t>
        </is>
      </c>
      <c r="C80" s="398" t="inlineStr">
        <is>
          <t>Anh Hoàng-Thủ Đức/0907.645.053</t>
        </is>
      </c>
      <c r="D80" s="397" t="inlineStr">
        <is>
          <t>0907.645.053</t>
        </is>
      </c>
      <c r="E80" s="399" t="n"/>
      <c r="F80" s="398" t="inlineStr">
        <is>
          <t>Thủ Đức-Sài Gòn</t>
        </is>
      </c>
      <c r="G80" s="397" t="inlineStr">
        <is>
          <t>SG/HCM</t>
        </is>
      </c>
      <c r="H80" s="399" t="n"/>
      <c r="J80" s="392">
        <f>IFERROR(UPPER(TRIM(B80))&amp;"|"&amp;UPPER(TRIM(C80))&amp;"|"&amp;UPPER(TRIM(D80)),"")</f>
        <v/>
      </c>
    </row>
    <row r="81" ht="15.75" customHeight="1" s="217">
      <c r="A81" s="400" t="n">
        <v>79</v>
      </c>
      <c r="B81" s="400" t="inlineStr">
        <is>
          <t>KH3650</t>
        </is>
      </c>
      <c r="C81" s="401" t="inlineStr">
        <is>
          <t>Xưởng A  Cường - Bình Chánh/  0981.098.430</t>
        </is>
      </c>
      <c r="D81" s="400" t="inlineStr">
        <is>
          <t>0981.098.430</t>
        </is>
      </c>
      <c r="E81" s="402" t="n"/>
      <c r="F81" s="401" t="inlineStr">
        <is>
          <t>Bình Chánh, Sài Gòn</t>
        </is>
      </c>
      <c r="G81" s="400" t="inlineStr">
        <is>
          <t>SG/HCM</t>
        </is>
      </c>
      <c r="H81" s="402" t="n"/>
      <c r="J81" s="392">
        <f>IFERROR(UPPER(TRIM(B81))&amp;"|"&amp;UPPER(TRIM(C81))&amp;"|"&amp;UPPER(TRIM(D81)),"")</f>
        <v/>
      </c>
    </row>
    <row r="82" ht="15.75" customHeight="1" s="217">
      <c r="A82" s="397" t="n">
        <v>80</v>
      </c>
      <c r="B82" s="397" t="inlineStr">
        <is>
          <t>KH3649</t>
        </is>
      </c>
      <c r="C82" s="398" t="inlineStr">
        <is>
          <t>Xưởng Anh Truyền-Q12 /0984.222.527</t>
        </is>
      </c>
      <c r="D82" s="397" t="inlineStr">
        <is>
          <t>0984.222.527</t>
        </is>
      </c>
      <c r="E82" s="399" t="n"/>
      <c r="F82" s="398" t="inlineStr">
        <is>
          <t>An Phú Đông-Q12- TP.HCM</t>
        </is>
      </c>
      <c r="G82" s="397" t="inlineStr">
        <is>
          <t>SG/HCM</t>
        </is>
      </c>
      <c r="H82" s="399" t="n"/>
      <c r="J82" s="392">
        <f>IFERROR(UPPER(TRIM(B82))&amp;"|"&amp;UPPER(TRIM(C82))&amp;"|"&amp;UPPER(TRIM(D82)),"")</f>
        <v/>
      </c>
    </row>
    <row r="83" ht="15.75" customHeight="1" s="217">
      <c r="A83" s="400" t="n">
        <v>81</v>
      </c>
      <c r="B83" s="400" t="inlineStr">
        <is>
          <t>KH3648</t>
        </is>
      </c>
      <c r="C83" s="401" t="inlineStr">
        <is>
          <t>Xưởng A Mèo - Dầu Tiếng / Bình Dương - 0393.269.509</t>
        </is>
      </c>
      <c r="D83" s="400" t="inlineStr">
        <is>
          <t>0393.269.509</t>
        </is>
      </c>
      <c r="E83" s="402" t="n"/>
      <c r="F83" s="401" t="inlineStr">
        <is>
          <t>Dầu Tiếng, Bình Dương</t>
        </is>
      </c>
      <c r="G83" s="400" t="inlineStr">
        <is>
          <t>BDUONG</t>
        </is>
      </c>
      <c r="H83" s="402" t="n"/>
      <c r="J83" s="392">
        <f>IFERROR(UPPER(TRIM(B83))&amp;"|"&amp;UPPER(TRIM(C83))&amp;"|"&amp;UPPER(TRIM(D83)),"")</f>
        <v/>
      </c>
    </row>
    <row r="84" ht="15.75" customHeight="1" s="217">
      <c r="A84" s="397" t="n">
        <v>82</v>
      </c>
      <c r="B84" s="397" t="inlineStr">
        <is>
          <t>KH3647</t>
        </is>
      </c>
      <c r="C84" s="398" t="inlineStr">
        <is>
          <t>Anh Lâm (Két nước) - Gia Lai/ 0393.980.779</t>
        </is>
      </c>
      <c r="D84" s="397" t="inlineStr">
        <is>
          <t>0393.980.779</t>
        </is>
      </c>
      <c r="E84" s="399" t="n"/>
      <c r="F84" s="398" t="inlineStr">
        <is>
          <t>Huyện KBang - Gia Lai</t>
        </is>
      </c>
      <c r="G84" s="397" t="inlineStr">
        <is>
          <t>GLAI</t>
        </is>
      </c>
      <c r="H84" s="399" t="n"/>
      <c r="J84" s="392">
        <f>IFERROR(UPPER(TRIM(B84))&amp;"|"&amp;UPPER(TRIM(C84))&amp;"|"&amp;UPPER(TRIM(D84)),"")</f>
        <v/>
      </c>
    </row>
    <row r="85" ht="15.75" customHeight="1" s="217">
      <c r="A85" s="400" t="n">
        <v>83</v>
      </c>
      <c r="B85" s="400" t="inlineStr">
        <is>
          <t>KH3646</t>
        </is>
      </c>
      <c r="C85" s="401" t="inlineStr">
        <is>
          <t>Xưởng bãi máy anh Hiệp-Biên Hoà/ 0986.019.935</t>
        </is>
      </c>
      <c r="D85" s="400" t="inlineStr">
        <is>
          <t>0986.019.935</t>
        </is>
      </c>
      <c r="E85" s="402" t="n"/>
      <c r="F85" s="401" t="inlineStr">
        <is>
          <t>Đường Bùi Hữu Nghĩa- Biên Hòa-Đồng Nai</t>
        </is>
      </c>
      <c r="G85" s="400" t="inlineStr">
        <is>
          <t>ÐNAI</t>
        </is>
      </c>
      <c r="H85" s="402" t="n"/>
      <c r="J85" s="392">
        <f>IFERROR(UPPER(TRIM(B85))&amp;"|"&amp;UPPER(TRIM(C85))&amp;"|"&amp;UPPER(TRIM(D85)),"")</f>
        <v/>
      </c>
    </row>
    <row r="86" ht="15.75" customHeight="1" s="217">
      <c r="A86" s="397" t="n">
        <v>84</v>
      </c>
      <c r="B86" s="397" t="inlineStr">
        <is>
          <t>KH3642</t>
        </is>
      </c>
      <c r="C86" s="398" t="inlineStr">
        <is>
          <t>Anh Dũng- Phụ Tùng DDP/ 0365.566.615</t>
        </is>
      </c>
      <c r="D86" s="397" t="inlineStr">
        <is>
          <t>0365.566.615</t>
        </is>
      </c>
      <c r="E86" s="399" t="n"/>
      <c r="F86" s="398" t="inlineStr">
        <is>
          <t>Quốc Lộ 13, Hiệp Bình Phước, Thủ Đức, TP.HCM</t>
        </is>
      </c>
      <c r="G86" s="397" t="inlineStr">
        <is>
          <t>SG/HCM</t>
        </is>
      </c>
      <c r="H86" s="399" t="n"/>
      <c r="J86" s="392">
        <f>IFERROR(UPPER(TRIM(B86))&amp;"|"&amp;UPPER(TRIM(C86))&amp;"|"&amp;UPPER(TRIM(D86)),"")</f>
        <v/>
      </c>
    </row>
    <row r="87" ht="15.75" customHeight="1" s="217">
      <c r="A87" s="400" t="n">
        <v>85</v>
      </c>
      <c r="B87" s="400" t="inlineStr">
        <is>
          <t>KH3643</t>
        </is>
      </c>
      <c r="C87" s="401" t="inlineStr">
        <is>
          <t>Doanh nghiệp tư nhân Thành Phúc - Tây Ninh/ Chú Điệp: 0918.623.945</t>
        </is>
      </c>
      <c r="D87" s="400" t="inlineStr">
        <is>
          <t>0918.623.945</t>
        </is>
      </c>
      <c r="E87" s="402" t="n"/>
      <c r="F87" s="401" t="inlineStr">
        <is>
          <t>177 Nguyễn Chí Thanh, TT. Dương Minh Châu, Tây Ninh</t>
        </is>
      </c>
      <c r="G87" s="400" t="inlineStr">
        <is>
          <t>TNINH</t>
        </is>
      </c>
      <c r="H87" s="402" t="n"/>
      <c r="J87" s="392">
        <f>IFERROR(UPPER(TRIM(B87))&amp;"|"&amp;UPPER(TRIM(C87))&amp;"|"&amp;UPPER(TRIM(D87)),"")</f>
        <v/>
      </c>
    </row>
    <row r="88" ht="15.75" customHeight="1" s="217">
      <c r="A88" s="397" t="n">
        <v>86</v>
      </c>
      <c r="B88" s="397" t="inlineStr">
        <is>
          <t>KH3644</t>
        </is>
      </c>
      <c r="C88" s="398" t="inlineStr">
        <is>
          <t>Anh Lũ - Hiệp Bình - TP Hồ Chí Minh/ Anh Lũ: 0918.798.202</t>
        </is>
      </c>
      <c r="D88" s="397" t="inlineStr">
        <is>
          <t>0918.798.202</t>
        </is>
      </c>
      <c r="E88" s="399" t="n"/>
      <c r="F88" s="398" t="inlineStr">
        <is>
          <t>Quốc lộ 13, Hiệp Bình, TP Hồ Chí Minh</t>
        </is>
      </c>
      <c r="G88" s="397" t="inlineStr">
        <is>
          <t>SG/HCM</t>
        </is>
      </c>
      <c r="H88" s="399" t="n"/>
      <c r="J88" s="392">
        <f>IFERROR(UPPER(TRIM(B88))&amp;"|"&amp;UPPER(TRIM(C88))&amp;"|"&amp;UPPER(TRIM(D88)),"")</f>
        <v/>
      </c>
    </row>
    <row r="89" ht="15.75" customHeight="1" s="217">
      <c r="A89" s="400" t="n">
        <v>87</v>
      </c>
      <c r="B89" s="400" t="inlineStr">
        <is>
          <t>KH3645</t>
        </is>
      </c>
      <c r="C89" s="401" t="inlineStr">
        <is>
          <t>Phụ Tùng Xe Nâng Bình Minh / 0972.511.739</t>
        </is>
      </c>
      <c r="D89" s="400" t="inlineStr">
        <is>
          <t>0972.511.739</t>
        </is>
      </c>
      <c r="E89" s="402" t="n"/>
      <c r="F89" s="401" t="inlineStr">
        <is>
          <t>Thủ đức</t>
        </is>
      </c>
      <c r="G89" s="400" t="inlineStr">
        <is>
          <t>SG/HCM</t>
        </is>
      </c>
      <c r="H89" s="402" t="n"/>
      <c r="J89" s="392">
        <f>IFERROR(UPPER(TRIM(B89))&amp;"|"&amp;UPPER(TRIM(C89))&amp;"|"&amp;UPPER(TRIM(D89)),"")</f>
        <v/>
      </c>
    </row>
    <row r="90" ht="15.75" customHeight="1" s="217">
      <c r="A90" s="397" t="n">
        <v>88</v>
      </c>
      <c r="B90" s="397" t="inlineStr">
        <is>
          <t>KH3641</t>
        </is>
      </c>
      <c r="C90" s="398" t="inlineStr">
        <is>
          <t>Cửa Hàng Phụ Tùng Ô Tô Thảo Yến/  0913.838.848</t>
        </is>
      </c>
      <c r="D90" s="397" t="inlineStr">
        <is>
          <t>0913.838.848</t>
        </is>
      </c>
      <c r="E90" s="399" t="n"/>
      <c r="F90" s="398" t="inlineStr">
        <is>
          <t>65 QL13, Lái Thiêu, Thuận An, Bình Dương</t>
        </is>
      </c>
      <c r="G90" s="397" t="inlineStr">
        <is>
          <t>BDUONG</t>
        </is>
      </c>
      <c r="H90" s="399" t="n"/>
      <c r="J90" s="392">
        <f>IFERROR(UPPER(TRIM(B90))&amp;"|"&amp;UPPER(TRIM(C90))&amp;"|"&amp;UPPER(TRIM(D90)),"")</f>
        <v/>
      </c>
    </row>
    <row r="91" ht="15.75" customHeight="1" s="217">
      <c r="A91" s="400" t="n">
        <v>89</v>
      </c>
      <c r="B91" s="400" t="inlineStr">
        <is>
          <t>KH3640</t>
        </is>
      </c>
      <c r="C91" s="401" t="inlineStr">
        <is>
          <t>CÔNG TY TNHH GIẢI PHÁP KỸ THUẬT DUY THỊNH - Hồ Chí Minh/ Ms. Thương: 0933.900.588 - A. Duy (KT): 0916.800.869</t>
        </is>
      </c>
      <c r="D91" s="400" t="inlineStr">
        <is>
          <t>0933.900.588 / 0916.800.869</t>
        </is>
      </c>
      <c r="E91" s="402" t="n"/>
      <c r="F91" s="401" t="inlineStr">
        <is>
          <t>36/9A Đường 12, Phường Tăng Nhơn Phú, Thành phố Hồ Chí Minh</t>
        </is>
      </c>
      <c r="G91" s="400" t="inlineStr">
        <is>
          <t>SG/HCM</t>
        </is>
      </c>
      <c r="H91" s="402" t="n"/>
      <c r="J91" s="392">
        <f>IFERROR(UPPER(TRIM(B91))&amp;"|"&amp;UPPER(TRIM(C91))&amp;"|"&amp;UPPER(TRIM(D91)),"")</f>
        <v/>
      </c>
    </row>
    <row r="92" ht="15.75" customHeight="1" s="217">
      <c r="A92" s="397" t="n">
        <v>90</v>
      </c>
      <c r="B92" s="397" t="inlineStr">
        <is>
          <t>KH3639</t>
        </is>
      </c>
      <c r="C92" s="398" t="inlineStr">
        <is>
          <t>Anh Khang- Q12/ 0972.353.957</t>
        </is>
      </c>
      <c r="D92" s="397" t="inlineStr">
        <is>
          <t>0972.353.957</t>
        </is>
      </c>
      <c r="E92" s="399" t="n"/>
      <c r="F92" s="398" t="inlineStr">
        <is>
          <t>Lê Thị Riêng-Quận 12-Sài Gòn</t>
        </is>
      </c>
      <c r="G92" s="397" t="inlineStr">
        <is>
          <t>SG/HCM</t>
        </is>
      </c>
      <c r="H92" s="399" t="n"/>
      <c r="J92" s="392">
        <f>IFERROR(UPPER(TRIM(B92))&amp;"|"&amp;UPPER(TRIM(C92))&amp;"|"&amp;UPPER(TRIM(D92)),"")</f>
        <v/>
      </c>
    </row>
    <row r="93" ht="15.75" customHeight="1" s="217">
      <c r="A93" s="400" t="n">
        <v>91</v>
      </c>
      <c r="B93" s="400" t="inlineStr">
        <is>
          <t>KH3638</t>
        </is>
      </c>
      <c r="C93" s="401" t="inlineStr">
        <is>
          <t>CH Cơ giới Hoàng Mai - Bình Phước/ Chị Mai: 0339.366.041</t>
        </is>
      </c>
      <c r="D93" s="400" t="inlineStr">
        <is>
          <t>0339.366.041</t>
        </is>
      </c>
      <c r="E93" s="402" t="n"/>
      <c r="F93" s="401" t="inlineStr">
        <is>
          <t>Chợ Minh Hưng, Bù Đăng, Bình Phước</t>
        </is>
      </c>
      <c r="G93" s="400" t="inlineStr">
        <is>
          <t>BP</t>
        </is>
      </c>
      <c r="H93" s="402" t="n"/>
      <c r="J93" s="392">
        <f>IFERROR(UPPER(TRIM(B93))&amp;"|"&amp;UPPER(TRIM(C93))&amp;"|"&amp;UPPER(TRIM(D93)),"")</f>
        <v/>
      </c>
    </row>
    <row r="94" ht="15.75" customHeight="1" s="217">
      <c r="A94" s="397" t="n">
        <v>92</v>
      </c>
      <c r="B94" s="397" t="inlineStr">
        <is>
          <t>KH3637</t>
        </is>
      </c>
      <c r="C94" s="398" t="inlineStr">
        <is>
          <t>Cửa hàng  Phụ tùng Xuân Cương - TP Hồ Chí Minh/ Anh Cương: 0988.715.258</t>
        </is>
      </c>
      <c r="D94" s="397" t="inlineStr">
        <is>
          <t>0988.715.258</t>
        </is>
      </c>
      <c r="E94" s="399" t="n"/>
      <c r="F94" s="398" t="inlineStr">
        <is>
          <t>92 Quốc Lộ 13, Phương 26, Bình Thạnh (Gần BX Miền Đông cũ)</t>
        </is>
      </c>
      <c r="G94" s="397" t="inlineStr">
        <is>
          <t>SG/HCM</t>
        </is>
      </c>
      <c r="H94" s="399" t="n"/>
      <c r="J94" s="392">
        <f>IFERROR(UPPER(TRIM(B94))&amp;"|"&amp;UPPER(TRIM(C94))&amp;"|"&amp;UPPER(TRIM(D94)),"")</f>
        <v/>
      </c>
    </row>
    <row r="95" ht="15.75" customHeight="1" s="217">
      <c r="A95" s="400" t="n">
        <v>93</v>
      </c>
      <c r="B95" s="400" t="inlineStr">
        <is>
          <t>KH3636</t>
        </is>
      </c>
      <c r="C95" s="401" t="inlineStr">
        <is>
          <t>Xưởng Minh Nhựt-Bình Long-Bình Phước/ 0937.613.080</t>
        </is>
      </c>
      <c r="D95" s="400" t="inlineStr">
        <is>
          <t>0937.613.080</t>
        </is>
      </c>
      <c r="E95" s="402" t="n"/>
      <c r="F95" s="401" t="inlineStr">
        <is>
          <t>Ngã tư ngân hàng Bình Long-Bình Phước</t>
        </is>
      </c>
      <c r="G95" s="400" t="inlineStr">
        <is>
          <t>BP</t>
        </is>
      </c>
      <c r="H95" s="402" t="n"/>
      <c r="J95" s="392">
        <f>IFERROR(UPPER(TRIM(B95))&amp;"|"&amp;UPPER(TRIM(C95))&amp;"|"&amp;UPPER(TRIM(D95)),"")</f>
        <v/>
      </c>
    </row>
    <row r="96" ht="15.75" customHeight="1" s="217">
      <c r="A96" s="397" t="n">
        <v>94</v>
      </c>
      <c r="B96" s="397" t="inlineStr">
        <is>
          <t>KH3635</t>
        </is>
      </c>
      <c r="C96" s="398" t="inlineStr">
        <is>
          <t>Công Ty Hoài Ân - Bình Dương/ Anh Quang: 0974.577.842</t>
        </is>
      </c>
      <c r="D96" s="397" t="inlineStr">
        <is>
          <t>0974.577.842</t>
        </is>
      </c>
      <c r="E96" s="399" t="n"/>
      <c r="F96" s="398" t="inlineStr">
        <is>
          <t>Đông Hòa, Dĩ An, Bình Dương</t>
        </is>
      </c>
      <c r="G96" s="397" t="inlineStr">
        <is>
          <t>BDUONG</t>
        </is>
      </c>
      <c r="H96" s="399" t="n"/>
      <c r="J96" s="392">
        <f>IFERROR(UPPER(TRIM(B96))&amp;"|"&amp;UPPER(TRIM(C96))&amp;"|"&amp;UPPER(TRIM(D96)),"")</f>
        <v/>
      </c>
    </row>
    <row r="97" ht="15.75" customHeight="1" s="217">
      <c r="A97" s="400" t="n">
        <v>95</v>
      </c>
      <c r="B97" s="400" t="inlineStr">
        <is>
          <t>KH3634</t>
        </is>
      </c>
      <c r="C97" s="401" t="inlineStr">
        <is>
          <t>Xưởng A Đức - Krông Bông/ 0974.882.482</t>
        </is>
      </c>
      <c r="D97" s="400" t="inlineStr">
        <is>
          <t>0974.882.482</t>
        </is>
      </c>
      <c r="E97" s="402" t="n"/>
      <c r="F97" s="401" t="inlineStr">
        <is>
          <t>Krông Bông, ĐắkLắk</t>
        </is>
      </c>
      <c r="G97" s="400" t="inlineStr">
        <is>
          <t>ÐL</t>
        </is>
      </c>
      <c r="H97" s="402" t="n"/>
      <c r="J97" s="392">
        <f>IFERROR(UPPER(TRIM(B97))&amp;"|"&amp;UPPER(TRIM(C97))&amp;"|"&amp;UPPER(TRIM(D97)),"")</f>
        <v/>
      </c>
    </row>
    <row r="98" ht="15.75" customHeight="1" s="217">
      <c r="A98" s="397" t="n">
        <v>96</v>
      </c>
      <c r="B98" s="397" t="inlineStr">
        <is>
          <t>KH3633</t>
        </is>
      </c>
      <c r="C98" s="398" t="inlineStr">
        <is>
          <t>Công ty Trung Viễn (kd phụ tùng) / A Phong 0522.223.355</t>
        </is>
      </c>
      <c r="D98" s="397" t="inlineStr">
        <is>
          <t>0522.223.355</t>
        </is>
      </c>
      <c r="E98" s="399" t="n"/>
      <c r="F98" s="398" t="inlineStr">
        <is>
          <t>D6/19, Ấp 4, Quốc lộ 1A, Bình Chánh, TP. Hồ Chí Minh</t>
        </is>
      </c>
      <c r="G98" s="397" t="inlineStr">
        <is>
          <t>SG/HCM</t>
        </is>
      </c>
      <c r="H98" s="399" t="n"/>
      <c r="J98" s="392">
        <f>IFERROR(UPPER(TRIM(B98))&amp;"|"&amp;UPPER(TRIM(C98))&amp;"|"&amp;UPPER(TRIM(D98)),"")</f>
        <v/>
      </c>
    </row>
    <row r="99" ht="15.75" customHeight="1" s="217">
      <c r="A99" s="400" t="n">
        <v>97</v>
      </c>
      <c r="B99" s="400" t="inlineStr">
        <is>
          <t>DAITU</t>
        </is>
      </c>
      <c r="C99" s="401" t="inlineStr">
        <is>
          <t>Phụ tùng Ô tô Đại Từ - Bình Dương/ 0971.841.001</t>
        </is>
      </c>
      <c r="D99" s="400" t="inlineStr">
        <is>
          <t>0971.841.001</t>
        </is>
      </c>
      <c r="E99" s="402" t="n"/>
      <c r="F99" s="401" t="inlineStr">
        <is>
          <t>196/2, ĐT743, Khu phố 1B, Thuận An, Bình Dương</t>
        </is>
      </c>
      <c r="G99" s="402" t="n"/>
      <c r="H99" s="402" t="n"/>
      <c r="J99" s="392">
        <f>IFERROR(UPPER(TRIM(B99))&amp;"|"&amp;UPPER(TRIM(C99))&amp;"|"&amp;UPPER(TRIM(D99)),"")</f>
        <v/>
      </c>
    </row>
    <row r="100" ht="15.75" customHeight="1" s="217">
      <c r="A100" s="397" t="n">
        <v>98</v>
      </c>
      <c r="B100" s="397" t="inlineStr">
        <is>
          <t>KH3631</t>
        </is>
      </c>
      <c r="C100" s="398" t="inlineStr">
        <is>
          <t>Xưởng An Tâm Phát- Phú Mỹ- Bà Rịa/ 0964.002.431</t>
        </is>
      </c>
      <c r="D100" s="397" t="inlineStr">
        <is>
          <t>0964.002.431</t>
        </is>
      </c>
      <c r="E100" s="399" t="n"/>
      <c r="F100" s="398" t="inlineStr">
        <is>
          <t>Ngã tư Trần Long-Phú Mỹ-Bà Rịa</t>
        </is>
      </c>
      <c r="G100" s="397" t="inlineStr">
        <is>
          <t>BRVT</t>
        </is>
      </c>
      <c r="H100" s="399" t="n"/>
      <c r="J100" s="392">
        <f>IFERROR(UPPER(TRIM(B100))&amp;"|"&amp;UPPER(TRIM(C100))&amp;"|"&amp;UPPER(TRIM(D100)),"")</f>
        <v/>
      </c>
    </row>
    <row r="101" ht="15.75" customHeight="1" s="217">
      <c r="A101" s="400" t="n">
        <v>99</v>
      </c>
      <c r="B101" s="400" t="inlineStr">
        <is>
          <t>KH3632</t>
        </is>
      </c>
      <c r="C101" s="401" t="inlineStr">
        <is>
          <t>CTY Xây Dựng Trọng hữu / A Long 0776.230.318</t>
        </is>
      </c>
      <c r="D101" s="400" t="inlineStr">
        <is>
          <t>0776.230.318</t>
        </is>
      </c>
      <c r="E101" s="402" t="n"/>
      <c r="F101" s="401" t="inlineStr">
        <is>
          <t>K5/014G, Tổ 67, Khu phố 3, Phường Biên Hòa, Tỉnh Đồng Nai</t>
        </is>
      </c>
      <c r="G101" s="400" t="inlineStr">
        <is>
          <t>ÐNAI</t>
        </is>
      </c>
      <c r="H101" s="402" t="n"/>
      <c r="J101" s="392">
        <f>IFERROR(UPPER(TRIM(B101))&amp;"|"&amp;UPPER(TRIM(C101))&amp;"|"&amp;UPPER(TRIM(D101)),"")</f>
        <v/>
      </c>
    </row>
    <row r="102" ht="15.75" customHeight="1" s="217">
      <c r="A102" s="397" t="n">
        <v>100</v>
      </c>
      <c r="B102" s="397" t="inlineStr">
        <is>
          <t>KH3630</t>
        </is>
      </c>
      <c r="C102" s="398" t="inlineStr">
        <is>
          <t>Anh Hiếu - Ngã Tư Bình Phước/ Anh Hiếu: 0909.436.017</t>
        </is>
      </c>
      <c r="D102" s="397" t="inlineStr">
        <is>
          <t>0909.436.017</t>
        </is>
      </c>
      <c r="E102" s="399" t="n"/>
      <c r="F102" s="398" t="inlineStr">
        <is>
          <t>Ngã tư Bình Phước - TP Hồ Chí Minh</t>
        </is>
      </c>
      <c r="G102" s="397" t="inlineStr">
        <is>
          <t>SG/HCM</t>
        </is>
      </c>
      <c r="H102" s="399" t="n"/>
      <c r="J102" s="392">
        <f>IFERROR(UPPER(TRIM(B102))&amp;"|"&amp;UPPER(TRIM(C102))&amp;"|"&amp;UPPER(TRIM(D102)),"")</f>
        <v/>
      </c>
    </row>
    <row r="103" ht="15.75" customHeight="1" s="217">
      <c r="A103" s="400" t="n">
        <v>101</v>
      </c>
      <c r="B103" s="400" t="inlineStr">
        <is>
          <t>KH3628</t>
        </is>
      </c>
      <c r="C103" s="401" t="inlineStr">
        <is>
          <t>Garage Út Phương- Bình Dương/ 0908.033.319</t>
        </is>
      </c>
      <c r="D103" s="400" t="inlineStr">
        <is>
          <t>0908.033.319</t>
        </is>
      </c>
      <c r="E103" s="402" t="n"/>
      <c r="F103" s="401" t="inlineStr">
        <is>
          <t>số 19-QL13- Cầu Đôi- Lai Hưng-Bàu Bàng-Bình Dương</t>
        </is>
      </c>
      <c r="G103" s="400" t="inlineStr">
        <is>
          <t>BDUONG</t>
        </is>
      </c>
      <c r="H103" s="402" t="n"/>
      <c r="J103" s="392">
        <f>IFERROR(UPPER(TRIM(B103))&amp;"|"&amp;UPPER(TRIM(C103))&amp;"|"&amp;UPPER(TRIM(D103)),"")</f>
        <v/>
      </c>
    </row>
    <row r="104" ht="15.75" customHeight="1" s="217">
      <c r="A104" s="397" t="n">
        <v>102</v>
      </c>
      <c r="B104" s="397" t="inlineStr">
        <is>
          <t>KH3629</t>
        </is>
      </c>
      <c r="C104" s="398" t="inlineStr">
        <is>
          <t>Xưởng Anh Phước-Gia Lai / 0914.099.978</t>
        </is>
      </c>
      <c r="D104" s="397" t="inlineStr">
        <is>
          <t>0914.099.978</t>
        </is>
      </c>
      <c r="E104" s="399" t="n"/>
      <c r="F104" s="398" t="inlineStr">
        <is>
          <t>211B Lý Thái Tổ, P Diên Hồng, Tỉnh Gia Lai</t>
        </is>
      </c>
      <c r="G104" s="397" t="inlineStr">
        <is>
          <t>GLAI</t>
        </is>
      </c>
      <c r="H104" s="399" t="n"/>
      <c r="J104" s="392">
        <f>IFERROR(UPPER(TRIM(B104))&amp;"|"&amp;UPPER(TRIM(C104))&amp;"|"&amp;UPPER(TRIM(D104)),"")</f>
        <v/>
      </c>
    </row>
    <row r="105" ht="15.75" customHeight="1" s="217">
      <c r="A105" s="400" t="n">
        <v>103</v>
      </c>
      <c r="B105" s="400" t="inlineStr">
        <is>
          <t>KH3626</t>
        </is>
      </c>
      <c r="C105" s="401" t="inlineStr">
        <is>
          <t>Phụ tùng Ô tô Bình Minh - Tân Châu/ 0865.037.957</t>
        </is>
      </c>
      <c r="D105" s="400" t="inlineStr">
        <is>
          <t>0865.037.957</t>
        </is>
      </c>
      <c r="E105" s="402" t="n"/>
      <c r="F105" s="401" t="inlineStr">
        <is>
          <t>Tân Châu, Tây Ninh</t>
        </is>
      </c>
      <c r="G105" s="400" t="inlineStr">
        <is>
          <t>TNINH</t>
        </is>
      </c>
      <c r="H105" s="402" t="n"/>
      <c r="J105" s="392">
        <f>IFERROR(UPPER(TRIM(B105))&amp;"|"&amp;UPPER(TRIM(C105))&amp;"|"&amp;UPPER(TRIM(D105)),"")</f>
        <v/>
      </c>
    </row>
    <row r="106" ht="15.75" customHeight="1" s="217">
      <c r="A106" s="397" t="n">
        <v>104</v>
      </c>
      <c r="B106" s="397" t="inlineStr">
        <is>
          <t>KH3627</t>
        </is>
      </c>
      <c r="C106" s="398" t="inlineStr">
        <is>
          <t>PT xe nâng Thiện Thành - Sài Gòn / 0901.424.087</t>
        </is>
      </c>
      <c r="D106" s="397" t="inlineStr">
        <is>
          <t>0901.424.087</t>
        </is>
      </c>
      <c r="E106" s="399" t="n"/>
      <c r="F106" s="398" t="inlineStr">
        <is>
          <t>Bến xe Miền Đông, Bình Thạnh, Sài Gòn</t>
        </is>
      </c>
      <c r="G106" s="397" t="inlineStr">
        <is>
          <t>SG/HCM</t>
        </is>
      </c>
      <c r="H106" s="399" t="n"/>
      <c r="J106" s="392">
        <f>IFERROR(UPPER(TRIM(B106))&amp;"|"&amp;UPPER(TRIM(C106))&amp;"|"&amp;UPPER(TRIM(D106)),"")</f>
        <v/>
      </c>
    </row>
    <row r="107" ht="15.75" customHeight="1" s="217">
      <c r="A107" s="400" t="n">
        <v>105</v>
      </c>
      <c r="B107" s="400" t="inlineStr">
        <is>
          <t>KH3625</t>
        </is>
      </c>
      <c r="C107" s="401" t="inlineStr">
        <is>
          <t>A Huy - Khánh Hòa (CÔNG TY CỔ PHẦN MỎ ĐÁ HÒN CẬU) - 0987.638.009</t>
        </is>
      </c>
      <c r="D107" s="400" t="inlineStr">
        <is>
          <t>0987.638.009</t>
        </is>
      </c>
      <c r="E107" s="402" t="n"/>
      <c r="F107" s="401" t="inlineStr">
        <is>
          <t>Thôn Khánh Thành, Xã Suối Dầu, Tỉnh Khánh Hòa, Việt Nam</t>
        </is>
      </c>
      <c r="G107" s="400" t="inlineStr">
        <is>
          <t>NTRANG</t>
        </is>
      </c>
      <c r="H107" s="402" t="n"/>
      <c r="J107" s="392">
        <f>IFERROR(UPPER(TRIM(B107))&amp;"|"&amp;UPPER(TRIM(C107))&amp;"|"&amp;UPPER(TRIM(D107)),"")</f>
        <v/>
      </c>
    </row>
    <row r="108" ht="15.75" customHeight="1" s="217">
      <c r="A108" s="397" t="n">
        <v>106</v>
      </c>
      <c r="B108" s="397" t="inlineStr">
        <is>
          <t>KH3624</t>
        </is>
      </c>
      <c r="C108" s="398" t="inlineStr">
        <is>
          <t>Xưởng Anh Nam -Phú Mỹ/ 0347.555.204</t>
        </is>
      </c>
      <c r="D108" s="397" t="inlineStr">
        <is>
          <t>0347.555.204</t>
        </is>
      </c>
      <c r="E108" s="399" t="n"/>
      <c r="F108" s="398" t="inlineStr">
        <is>
          <t>Chợ Ngọc Hà- Phú Mỹ-Bà Rịa</t>
        </is>
      </c>
      <c r="G108" s="397" t="inlineStr">
        <is>
          <t>BRVT</t>
        </is>
      </c>
      <c r="H108" s="399" t="n"/>
      <c r="J108" s="392">
        <f>IFERROR(UPPER(TRIM(B108))&amp;"|"&amp;UPPER(TRIM(C108))&amp;"|"&amp;UPPER(TRIM(D108)),"")</f>
        <v/>
      </c>
    </row>
    <row r="109" ht="15.75" customHeight="1" s="217">
      <c r="A109" s="400" t="n">
        <v>107</v>
      </c>
      <c r="B109" s="400" t="inlineStr">
        <is>
          <t>KH3623</t>
        </is>
      </c>
      <c r="C109" s="401" t="inlineStr">
        <is>
          <t>CH Phụ tùng Ô tô Xuyến / A. Duy 0907.772.763</t>
        </is>
      </c>
      <c r="D109" s="400" t="inlineStr">
        <is>
          <t>0907.772.763</t>
        </is>
      </c>
      <c r="E109" s="402" t="n"/>
      <c r="F109" s="401" t="inlineStr">
        <is>
          <t>Vườn Lài, Quận 12, Sài Gòn</t>
        </is>
      </c>
      <c r="G109" s="400" t="inlineStr">
        <is>
          <t>SG/HCM</t>
        </is>
      </c>
      <c r="H109" s="402" t="n"/>
      <c r="J109" s="392">
        <f>IFERROR(UPPER(TRIM(B109))&amp;"|"&amp;UPPER(TRIM(C109))&amp;"|"&amp;UPPER(TRIM(D109)),"")</f>
        <v/>
      </c>
    </row>
    <row r="110" ht="15.75" customHeight="1" s="217">
      <c r="A110" s="397" t="n">
        <v>108</v>
      </c>
      <c r="B110" s="397" t="inlineStr">
        <is>
          <t>KH3622</t>
        </is>
      </c>
      <c r="C110" s="398" t="inlineStr">
        <is>
          <t>A Cường thợ máy - Trường Trung Cấp Nghề Thủ Đức/ 0908.598.422</t>
        </is>
      </c>
      <c r="D110" s="397" t="inlineStr">
        <is>
          <t>0908.598.422</t>
        </is>
      </c>
      <c r="E110" s="399" t="n"/>
      <c r="F110" s="398" t="inlineStr">
        <is>
          <t>Ngã tư Thủ Đức, Sài Gòn</t>
        </is>
      </c>
      <c r="G110" s="397" t="inlineStr">
        <is>
          <t>SG/HCM</t>
        </is>
      </c>
      <c r="H110" s="399" t="n"/>
      <c r="J110" s="392">
        <f>IFERROR(UPPER(TRIM(B110))&amp;"|"&amp;UPPER(TRIM(C110))&amp;"|"&amp;UPPER(TRIM(D110)),"")</f>
        <v/>
      </c>
    </row>
    <row r="111" ht="15.75" customHeight="1" s="217">
      <c r="A111" s="400" t="n">
        <v>109</v>
      </c>
      <c r="B111" s="400" t="inlineStr">
        <is>
          <t>KH3621</t>
        </is>
      </c>
      <c r="C111" s="401" t="inlineStr">
        <is>
          <t>Cơ Giới Phú Trúc/ A Dũng 0989.259.768</t>
        </is>
      </c>
      <c r="D111" s="400" t="inlineStr">
        <is>
          <t>0989.259.768</t>
        </is>
      </c>
      <c r="E111" s="402" t="n"/>
      <c r="F111" s="401" t="inlineStr">
        <is>
          <t>236Q Phạm Văn Đồng, P. Thống Nhất, Pleiku, Gia Lai</t>
        </is>
      </c>
      <c r="G111" s="400" t="inlineStr">
        <is>
          <t>GLAI</t>
        </is>
      </c>
      <c r="H111" s="402" t="n"/>
      <c r="J111" s="392">
        <f>IFERROR(UPPER(TRIM(B111))&amp;"|"&amp;UPPER(TRIM(C111))&amp;"|"&amp;UPPER(TRIM(D111)),"")</f>
        <v/>
      </c>
    </row>
    <row r="112" ht="15.75" customHeight="1" s="217">
      <c r="A112" s="397" t="n">
        <v>110</v>
      </c>
      <c r="B112" s="397" t="inlineStr">
        <is>
          <t>ZYNP</t>
        </is>
      </c>
      <c r="C112" s="398" t="inlineStr">
        <is>
          <t>ZYNP CORP - HENAN DEWO INDUSTRIAL LIMITED COMPANY</t>
        </is>
      </c>
      <c r="D112" s="399" t="n"/>
      <c r="E112" s="399" t="n"/>
      <c r="F112" s="404" t="n"/>
      <c r="G112" s="399" t="n"/>
      <c r="H112" s="399" t="n"/>
      <c r="J112" s="392">
        <f>IFERROR(UPPER(TRIM(B112))&amp;"|"&amp;UPPER(TRIM(C112))&amp;"|"&amp;UPPER(TRIM(D112)),"")</f>
        <v/>
      </c>
    </row>
    <row r="113" ht="15.75" customHeight="1" s="217">
      <c r="A113" s="400" t="n">
        <v>111</v>
      </c>
      <c r="B113" s="400" t="inlineStr">
        <is>
          <t>KH3620</t>
        </is>
      </c>
      <c r="C113" s="401" t="inlineStr">
        <is>
          <t>Công ty TNHH TMDV XD Phước Hùng - Đồng Tháp/ Chị Quyên: 0392.837.132</t>
        </is>
      </c>
      <c r="D113" s="400" t="inlineStr">
        <is>
          <t>0392.837.132</t>
        </is>
      </c>
      <c r="E113" s="402" t="n"/>
      <c r="F113" s="401" t="inlineStr">
        <is>
          <t>Ấp Thạnh Thới, xã Đồng Sơn, tỉnh Đồng Tháp</t>
        </is>
      </c>
      <c r="G113" s="400" t="inlineStr">
        <is>
          <t>DTHAP</t>
        </is>
      </c>
      <c r="H113" s="402" t="n"/>
      <c r="J113" s="392">
        <f>IFERROR(UPPER(TRIM(B113))&amp;"|"&amp;UPPER(TRIM(C113))&amp;"|"&amp;UPPER(TRIM(D113)),"")</f>
        <v/>
      </c>
    </row>
    <row r="114" ht="15.75" customHeight="1" s="217">
      <c r="A114" s="397" t="n">
        <v>112</v>
      </c>
      <c r="B114" s="397" t="inlineStr">
        <is>
          <t>KH3618</t>
        </is>
      </c>
      <c r="C114" s="398" t="inlineStr">
        <is>
          <t>A Tuấn (vận tải) - Hooc Môn/ 0909.131.661</t>
        </is>
      </c>
      <c r="D114" s="397" t="inlineStr">
        <is>
          <t>0909.131.661</t>
        </is>
      </c>
      <c r="E114" s="399" t="n"/>
      <c r="F114" s="398" t="inlineStr">
        <is>
          <t>Hooc Môn, TP HCM</t>
        </is>
      </c>
      <c r="G114" s="397" t="inlineStr">
        <is>
          <t>SG/HCM</t>
        </is>
      </c>
      <c r="H114" s="399" t="n"/>
      <c r="J114" s="392">
        <f>IFERROR(UPPER(TRIM(B114))&amp;"|"&amp;UPPER(TRIM(C114))&amp;"|"&amp;UPPER(TRIM(D114)),"")</f>
        <v/>
      </c>
    </row>
    <row r="115" ht="15.75" customHeight="1" s="217">
      <c r="A115" s="400" t="n">
        <v>113</v>
      </c>
      <c r="B115" s="400" t="inlineStr">
        <is>
          <t>KH3619</t>
        </is>
      </c>
      <c r="C115" s="401" t="inlineStr">
        <is>
          <t>Bãi máy Anh Tiến - Quận 9/ Anh Tiến: 0934.424.524</t>
        </is>
      </c>
      <c r="D115" s="400" t="inlineStr">
        <is>
          <t>0934.424.524</t>
        </is>
      </c>
      <c r="E115" s="402" t="n"/>
      <c r="F115" s="401" t="inlineStr">
        <is>
          <t>60/9A Đường 100, KP1, Tân Phú, Quận 9</t>
        </is>
      </c>
      <c r="G115" s="400" t="inlineStr">
        <is>
          <t>SG/HCM</t>
        </is>
      </c>
      <c r="H115" s="402" t="n"/>
      <c r="J115" s="392">
        <f>IFERROR(UPPER(TRIM(B115))&amp;"|"&amp;UPPER(TRIM(C115))&amp;"|"&amp;UPPER(TRIM(D115)),"")</f>
        <v/>
      </c>
    </row>
    <row r="116" ht="15.75" customHeight="1" s="217">
      <c r="A116" s="397" t="n">
        <v>114</v>
      </c>
      <c r="B116" s="397" t="inlineStr">
        <is>
          <t>KH3617</t>
        </is>
      </c>
      <c r="C116" s="398" t="inlineStr">
        <is>
          <t>Xưởng Tiện Minh Phú-Bình Tân/ Anh Phú- 0913.909.148</t>
        </is>
      </c>
      <c r="D116" s="397" t="inlineStr">
        <is>
          <t>0913.909.148</t>
        </is>
      </c>
      <c r="E116" s="399" t="n"/>
      <c r="F116" s="398" t="inlineStr">
        <is>
          <t>1307 Quốc lộ 1A An Lạc, Bình Tân,TP.HCM (  Ngay vòng xuyến Vòng Xoay An Lạc)</t>
        </is>
      </c>
      <c r="G116" s="397" t="inlineStr">
        <is>
          <t>SG/HCM</t>
        </is>
      </c>
      <c r="H116" s="399" t="n"/>
      <c r="J116" s="392">
        <f>IFERROR(UPPER(TRIM(B116))&amp;"|"&amp;UPPER(TRIM(C116))&amp;"|"&amp;UPPER(TRIM(D116)),"")</f>
        <v/>
      </c>
    </row>
    <row r="117" ht="15.75" customHeight="1" s="217">
      <c r="A117" s="400" t="n">
        <v>115</v>
      </c>
      <c r="B117" s="400" t="inlineStr">
        <is>
          <t>KH3616</t>
        </is>
      </c>
      <c r="C117" s="401" t="inlineStr">
        <is>
          <t>Cửa hàng phụ tùng ô tô Trần Hoài / 0908.026.525</t>
        </is>
      </c>
      <c r="D117" s="400" t="inlineStr">
        <is>
          <t>0908.026.525</t>
        </is>
      </c>
      <c r="E117" s="402" t="n"/>
      <c r="F117" s="401" t="inlineStr">
        <is>
          <t>10 QL1A, Trung Mỹ Tây, Q12, TP.HCM</t>
        </is>
      </c>
      <c r="G117" s="400" t="inlineStr">
        <is>
          <t>SG/HCM</t>
        </is>
      </c>
      <c r="H117" s="402" t="n"/>
      <c r="J117" s="392">
        <f>IFERROR(UPPER(TRIM(B117))&amp;"|"&amp;UPPER(TRIM(C117))&amp;"|"&amp;UPPER(TRIM(D117)),"")</f>
        <v/>
      </c>
    </row>
    <row r="118" ht="15.75" customHeight="1" s="217">
      <c r="A118" s="397" t="n">
        <v>116</v>
      </c>
      <c r="B118" s="397" t="inlineStr">
        <is>
          <t>KH3615</t>
        </is>
      </c>
      <c r="C118" s="398" t="inlineStr">
        <is>
          <t>Xưởng chú Trung - Tây Ninh/ 0353.584.997</t>
        </is>
      </c>
      <c r="D118" s="397" t="inlineStr">
        <is>
          <t>0353.584.997</t>
        </is>
      </c>
      <c r="E118" s="399" t="n"/>
      <c r="F118" s="398" t="inlineStr">
        <is>
          <t>Phường Ninh Sơn, TP Tây Ninh</t>
        </is>
      </c>
      <c r="G118" s="397" t="inlineStr">
        <is>
          <t>TNINH</t>
        </is>
      </c>
      <c r="H118" s="399" t="n"/>
      <c r="J118" s="392">
        <f>IFERROR(UPPER(TRIM(B118))&amp;"|"&amp;UPPER(TRIM(C118))&amp;"|"&amp;UPPER(TRIM(D118)),"")</f>
        <v/>
      </c>
    </row>
    <row r="119" ht="15.75" customHeight="1" s="217">
      <c r="A119" s="400" t="n">
        <v>117</v>
      </c>
      <c r="B119" s="400" t="inlineStr">
        <is>
          <t>KH3614</t>
        </is>
      </c>
      <c r="C119" s="401" t="inlineStr">
        <is>
          <t>Cửa hàng phụ tùng ô tô Thanh Long 2- Đà Lạt/ 0918.816.758-0982.055.739</t>
        </is>
      </c>
      <c r="D119" s="400" t="inlineStr">
        <is>
          <t>0918.816.758-0982</t>
        </is>
      </c>
      <c r="E119" s="402" t="n"/>
      <c r="F119" s="401" t="inlineStr">
        <is>
          <t>Số 7- Nguyễn Đình Chiểu, phường chín, Đà Lạt</t>
        </is>
      </c>
      <c r="G119" s="400" t="inlineStr">
        <is>
          <t>LDONG</t>
        </is>
      </c>
      <c r="H119" s="402" t="n"/>
      <c r="J119" s="392">
        <f>IFERROR(UPPER(TRIM(B119))&amp;"|"&amp;UPPER(TRIM(C119))&amp;"|"&amp;UPPER(TRIM(D119)),"")</f>
        <v/>
      </c>
    </row>
    <row r="120" ht="15.75" customHeight="1" s="217">
      <c r="A120" s="397" t="n">
        <v>118</v>
      </c>
      <c r="B120" s="397" t="inlineStr">
        <is>
          <t>KH3613</t>
        </is>
      </c>
      <c r="C120" s="398" t="inlineStr">
        <is>
          <t>Anh Diễn-Cầu Bình Lợi-SG/ 0909.874.750</t>
        </is>
      </c>
      <c r="D120" s="397" t="inlineStr">
        <is>
          <t>0909.874.750</t>
        </is>
      </c>
      <c r="E120" s="399" t="n"/>
      <c r="F120" s="398" t="inlineStr">
        <is>
          <t>Cầu Bình Lợi-Sài Gòn</t>
        </is>
      </c>
      <c r="G120" s="397" t="inlineStr">
        <is>
          <t>SG/HCM</t>
        </is>
      </c>
      <c r="H120" s="399" t="n"/>
      <c r="J120" s="392">
        <f>IFERROR(UPPER(TRIM(B120))&amp;"|"&amp;UPPER(TRIM(C120))&amp;"|"&amp;UPPER(TRIM(D120)),"")</f>
        <v/>
      </c>
    </row>
    <row r="121" ht="15.75" customHeight="1" s="217">
      <c r="A121" s="400" t="n">
        <v>119</v>
      </c>
      <c r="B121" s="400" t="inlineStr">
        <is>
          <t>KH3612</t>
        </is>
      </c>
      <c r="C121" s="401" t="inlineStr">
        <is>
          <t>Công ty cổ phần xây lắp 368 -Nghệ An/ Tuấn Anh- 0799.070.907</t>
        </is>
      </c>
      <c r="D121" s="400" t="inlineStr">
        <is>
          <t>0799.070.907</t>
        </is>
      </c>
      <c r="E121" s="402" t="n"/>
      <c r="F121" s="401" t="inlineStr">
        <is>
          <t>Lô 01,03-LK02,Khu Đô thị Mới Đại Lộ V .I.Lê Nin, Phường Nghi Phú , TP Vinh,Nghệ An</t>
        </is>
      </c>
      <c r="G121" s="400" t="inlineStr">
        <is>
          <t>BPKD</t>
        </is>
      </c>
      <c r="H121" s="402" t="n"/>
      <c r="J121" s="392">
        <f>IFERROR(UPPER(TRIM(B121))&amp;"|"&amp;UPPER(TRIM(C121))&amp;"|"&amp;UPPER(TRIM(D121)),"")</f>
        <v/>
      </c>
    </row>
    <row r="122" ht="15.75" customHeight="1" s="217">
      <c r="A122" s="397" t="n">
        <v>120</v>
      </c>
      <c r="B122" s="397" t="inlineStr">
        <is>
          <t>KL</t>
        </is>
      </c>
      <c r="C122" s="398" t="inlineStr">
        <is>
          <t>Khách Lẻ-Không lấy Hoá Đơn</t>
        </is>
      </c>
      <c r="D122" s="399" t="n"/>
      <c r="E122" s="399" t="n"/>
      <c r="F122" s="404" t="n"/>
      <c r="G122" s="399" t="n"/>
      <c r="H122" s="399" t="n"/>
      <c r="J122" s="392">
        <f>IFERROR(UPPER(TRIM(B122))&amp;"|"&amp;UPPER(TRIM(C122))&amp;"|"&amp;UPPER(TRIM(D122)),"")</f>
        <v/>
      </c>
    </row>
    <row r="123" ht="15.75" customHeight="1" s="217">
      <c r="A123" s="400" t="n">
        <v>121</v>
      </c>
      <c r="B123" s="400" t="inlineStr">
        <is>
          <t>KH3611</t>
        </is>
      </c>
      <c r="C123" s="401" t="inlineStr">
        <is>
          <t>Cty xe nâng Hoàng Sương / A Trà - 0913.945.692</t>
        </is>
      </c>
      <c r="D123" s="400" t="inlineStr">
        <is>
          <t>0913.945.692</t>
        </is>
      </c>
      <c r="E123" s="402" t="n"/>
      <c r="F123" s="401" t="inlineStr">
        <is>
          <t>Quận 12, TP HCM</t>
        </is>
      </c>
      <c r="G123" s="400" t="inlineStr">
        <is>
          <t>SG/HCM</t>
        </is>
      </c>
      <c r="H123" s="402" t="n"/>
      <c r="J123" s="392">
        <f>IFERROR(UPPER(TRIM(B123))&amp;"|"&amp;UPPER(TRIM(C123))&amp;"|"&amp;UPPER(TRIM(D123)),"")</f>
        <v/>
      </c>
    </row>
    <row r="124" ht="15.75" customHeight="1" s="217">
      <c r="A124" s="397" t="n">
        <v>122</v>
      </c>
      <c r="B124" s="397" t="inlineStr">
        <is>
          <t>KH3610</t>
        </is>
      </c>
      <c r="C124" s="398" t="inlineStr">
        <is>
          <t>Xưởng Anh Vẹn-Long An/0913.577.168</t>
        </is>
      </c>
      <c r="D124" s="397" t="inlineStr">
        <is>
          <t>0913.577.168</t>
        </is>
      </c>
      <c r="E124" s="399" t="n"/>
      <c r="F124" s="398" t="inlineStr">
        <is>
          <t>Đông Thành- Cần Giuộc- Long An</t>
        </is>
      </c>
      <c r="G124" s="397" t="inlineStr">
        <is>
          <t>LA</t>
        </is>
      </c>
      <c r="H124" s="399" t="n"/>
      <c r="J124" s="392">
        <f>IFERROR(UPPER(TRIM(B124))&amp;"|"&amp;UPPER(TRIM(C124))&amp;"|"&amp;UPPER(TRIM(D124)),"")</f>
        <v/>
      </c>
    </row>
    <row r="125" ht="15.75" customHeight="1" s="217">
      <c r="A125" s="400" t="n">
        <v>123</v>
      </c>
      <c r="B125" s="400" t="inlineStr">
        <is>
          <t>KH3608</t>
        </is>
      </c>
      <c r="C125" s="401" t="inlineStr">
        <is>
          <t>Xưởng Cơ khí ô tô PULL - Sài Gòn/0903.603.857 - 0838.770.818</t>
        </is>
      </c>
      <c r="D125" s="400" t="inlineStr">
        <is>
          <t>0903.603.857 / 0838.770.818</t>
        </is>
      </c>
      <c r="E125" s="402" t="n"/>
      <c r="F125" s="401" t="inlineStr">
        <is>
          <t>945/25, Khu phố 1, An Lạc, Bình Tân, TP Hồ Chí Minh</t>
        </is>
      </c>
      <c r="G125" s="400" t="inlineStr">
        <is>
          <t>SG/HCM</t>
        </is>
      </c>
      <c r="H125" s="402" t="n"/>
      <c r="J125" s="392">
        <f>IFERROR(UPPER(TRIM(B125))&amp;"|"&amp;UPPER(TRIM(C125))&amp;"|"&amp;UPPER(TRIM(D125)),"")</f>
        <v/>
      </c>
    </row>
    <row r="126" ht="15.75" customHeight="1" s="217">
      <c r="A126" s="397" t="n">
        <v>124</v>
      </c>
      <c r="B126" s="397" t="inlineStr">
        <is>
          <t>KH3609</t>
        </is>
      </c>
      <c r="C126" s="398" t="inlineStr">
        <is>
          <t>Công ty TNHH Thiết Bị Cơ Giới Thăng Long Nghệ An / Anh Quang 0978.185.514</t>
        </is>
      </c>
      <c r="D126" s="397" t="inlineStr">
        <is>
          <t>0978.185.514</t>
        </is>
      </c>
      <c r="E126" s="399" t="n"/>
      <c r="F126" s="398" t="inlineStr">
        <is>
          <t>Số 15, Đường Thăng Long, Xã Nghi Liên, TP Vinh , Nghệ An</t>
        </is>
      </c>
      <c r="G126" s="397" t="inlineStr">
        <is>
          <t>BPKD</t>
        </is>
      </c>
      <c r="H126" s="399" t="n"/>
      <c r="J126" s="392">
        <f>IFERROR(UPPER(TRIM(B126))&amp;"|"&amp;UPPER(TRIM(C126))&amp;"|"&amp;UPPER(TRIM(D126)),"")</f>
        <v/>
      </c>
    </row>
    <row r="127" ht="15.75" customHeight="1" s="217">
      <c r="A127" s="400" t="n">
        <v>125</v>
      </c>
      <c r="B127" s="400" t="inlineStr">
        <is>
          <t>KH3607</t>
        </is>
      </c>
      <c r="C127" s="401" t="inlineStr">
        <is>
          <t>Cửa hàng phụ tùng Ô Tô Lập-Quận 5 / 0983.987.873</t>
        </is>
      </c>
      <c r="D127" s="400" t="inlineStr">
        <is>
          <t>0983.987.873</t>
        </is>
      </c>
      <c r="E127" s="402" t="n"/>
      <c r="F127" s="401" t="inlineStr">
        <is>
          <t>442 An Dương Vương,P4,Q5,TP.HCM</t>
        </is>
      </c>
      <c r="G127" s="400" t="inlineStr">
        <is>
          <t>SG/HCM</t>
        </is>
      </c>
      <c r="H127" s="402" t="n"/>
      <c r="J127" s="392">
        <f>IFERROR(UPPER(TRIM(B127))&amp;"|"&amp;UPPER(TRIM(C127))&amp;"|"&amp;UPPER(TRIM(D127)),"")</f>
        <v/>
      </c>
    </row>
    <row r="128" ht="15.75" customHeight="1" s="217">
      <c r="A128" s="397" t="n">
        <v>126</v>
      </c>
      <c r="B128" s="397" t="inlineStr">
        <is>
          <t>KH3606</t>
        </is>
      </c>
      <c r="C128" s="398" t="inlineStr">
        <is>
          <t>Cửa hàng Thành Long-Quận 9 /0966.400.055</t>
        </is>
      </c>
      <c r="D128" s="397" t="inlineStr">
        <is>
          <t>0966.400.055</t>
        </is>
      </c>
      <c r="E128" s="399" t="n"/>
      <c r="F128" s="398" t="inlineStr">
        <is>
          <t>282 Nguyễn Thị Tư, phường Phú Hữu, TP. Thủ Đức, Sài Gòn</t>
        </is>
      </c>
      <c r="G128" s="397" t="inlineStr">
        <is>
          <t>SG/HCM</t>
        </is>
      </c>
      <c r="H128" s="399" t="n"/>
      <c r="J128" s="392">
        <f>IFERROR(UPPER(TRIM(B128))&amp;"|"&amp;UPPER(TRIM(C128))&amp;"|"&amp;UPPER(TRIM(D128)),"")</f>
        <v/>
      </c>
    </row>
    <row r="129" ht="15.75" customHeight="1" s="217">
      <c r="A129" s="400" t="n">
        <v>127</v>
      </c>
      <c r="B129" s="400" t="inlineStr">
        <is>
          <t>KH3604</t>
        </is>
      </c>
      <c r="C129" s="401" t="inlineStr">
        <is>
          <t>Chị Linh - Thủ Đức - 0868.567.921</t>
        </is>
      </c>
      <c r="D129" s="400" t="inlineStr">
        <is>
          <t>0868.567.921</t>
        </is>
      </c>
      <c r="E129" s="402" t="n"/>
      <c r="F129" s="401" t="inlineStr">
        <is>
          <t>Thủ Đức, TPHCM</t>
        </is>
      </c>
      <c r="G129" s="400" t="inlineStr">
        <is>
          <t>SG/HCM</t>
        </is>
      </c>
      <c r="H129" s="402" t="n"/>
      <c r="J129" s="392">
        <f>IFERROR(UPPER(TRIM(B129))&amp;"|"&amp;UPPER(TRIM(C129))&amp;"|"&amp;UPPER(TRIM(D129)),"")</f>
        <v/>
      </c>
    </row>
    <row r="130" ht="15.75" customHeight="1" s="217">
      <c r="A130" s="397" t="n">
        <v>128</v>
      </c>
      <c r="B130" s="397" t="inlineStr">
        <is>
          <t>KH3605</t>
        </is>
      </c>
      <c r="C130" s="398" t="inlineStr">
        <is>
          <t>CH PHỤ TÙNG Ô TÔ A TUẤN - Phú Yên/ 0915.197.765</t>
        </is>
      </c>
      <c r="D130" s="397" t="inlineStr">
        <is>
          <t>0915.197.765</t>
        </is>
      </c>
      <c r="E130" s="399" t="n"/>
      <c r="F130" s="398" t="inlineStr">
        <is>
          <t>279 Phạm Văn Đồng, Phường Xuân Phú, Thị xã Sông Cầu, Tỉnh Phú Yên</t>
        </is>
      </c>
      <c r="G130" s="397" t="inlineStr">
        <is>
          <t>PYEN</t>
        </is>
      </c>
      <c r="H130" s="399" t="n"/>
      <c r="J130" s="392">
        <f>IFERROR(UPPER(TRIM(B130))&amp;"|"&amp;UPPER(TRIM(C130))&amp;"|"&amp;UPPER(TRIM(D130)),"")</f>
        <v/>
      </c>
    </row>
    <row r="131" ht="15.75" customHeight="1" s="217">
      <c r="A131" s="400" t="n">
        <v>129</v>
      </c>
      <c r="B131" s="400" t="inlineStr">
        <is>
          <t>KH3603</t>
        </is>
      </c>
      <c r="C131" s="401" t="inlineStr">
        <is>
          <t>Cửa Hàng Khánh Hòa - Đà Lạt/ 0971.715.123</t>
        </is>
      </c>
      <c r="D131" s="400" t="inlineStr">
        <is>
          <t>0971.715.123</t>
        </is>
      </c>
      <c r="E131" s="402" t="n"/>
      <c r="F131" s="401" t="inlineStr">
        <is>
          <t>Đ. Hùng Vương, Phường 9, TP. Đà Lạt, Lâm Đồng</t>
        </is>
      </c>
      <c r="G131" s="400" t="inlineStr">
        <is>
          <t>LDONG</t>
        </is>
      </c>
      <c r="H131" s="402" t="n"/>
      <c r="J131" s="392">
        <f>IFERROR(UPPER(TRIM(B131))&amp;"|"&amp;UPPER(TRIM(C131))&amp;"|"&amp;UPPER(TRIM(D131)),"")</f>
        <v/>
      </c>
    </row>
    <row r="132" ht="15.75" customHeight="1" s="217">
      <c r="A132" s="397" t="n">
        <v>130</v>
      </c>
      <c r="B132" s="397" t="inlineStr">
        <is>
          <t>KH3602</t>
        </is>
      </c>
      <c r="C132" s="398" t="inlineStr">
        <is>
          <t>X. Anh Phúc - Gò Vấp /  0908.703.228</t>
        </is>
      </c>
      <c r="D132" s="397" t="inlineStr">
        <is>
          <t>0908.703.228</t>
        </is>
      </c>
      <c r="E132" s="399" t="n"/>
      <c r="F132" s="398" t="inlineStr">
        <is>
          <t>Gò Vấp, TP. Hồ Chí Minh</t>
        </is>
      </c>
      <c r="G132" s="397" t="inlineStr">
        <is>
          <t>SG/HCM</t>
        </is>
      </c>
      <c r="H132" s="399" t="n"/>
      <c r="J132" s="392">
        <f>IFERROR(UPPER(TRIM(B132))&amp;"|"&amp;UPPER(TRIM(C132))&amp;"|"&amp;UPPER(TRIM(D132)),"")</f>
        <v/>
      </c>
    </row>
    <row r="133" ht="15.75" customHeight="1" s="217">
      <c r="A133" s="400" t="n">
        <v>131</v>
      </c>
      <c r="B133" s="400" t="inlineStr">
        <is>
          <t>KH3601</t>
        </is>
      </c>
      <c r="C133" s="401" t="inlineStr">
        <is>
          <t>A Tú - QL13 (X. Nghệ Quang) - Sài Gòn/ 0902.670.095</t>
        </is>
      </c>
      <c r="D133" s="400" t="inlineStr">
        <is>
          <t>0902.670.095</t>
        </is>
      </c>
      <c r="E133" s="402" t="n"/>
      <c r="F133" s="401" t="inlineStr">
        <is>
          <t>Quốc Lộ 13, HCM</t>
        </is>
      </c>
      <c r="G133" s="400" t="inlineStr">
        <is>
          <t>SG/HCM</t>
        </is>
      </c>
      <c r="H133" s="402" t="n"/>
      <c r="J133" s="392">
        <f>IFERROR(UPPER(TRIM(B133))&amp;"|"&amp;UPPER(TRIM(C133))&amp;"|"&amp;UPPER(TRIM(D133)),"")</f>
        <v/>
      </c>
    </row>
    <row r="134" ht="15.75" customHeight="1" s="217">
      <c r="A134" s="397" t="n">
        <v>132</v>
      </c>
      <c r="B134" s="397" t="inlineStr">
        <is>
          <t>KH3600</t>
        </is>
      </c>
      <c r="C134" s="398" t="inlineStr">
        <is>
          <t>Anh Phong – Thợ Máy/ 0867.683.491</t>
        </is>
      </c>
      <c r="D134" s="397" t="inlineStr">
        <is>
          <t>0867.683.491</t>
        </is>
      </c>
      <c r="E134" s="399" t="n"/>
      <c r="F134" s="398" t="inlineStr">
        <is>
          <t>Thống Nhất, Đồng Nai</t>
        </is>
      </c>
      <c r="G134" s="397" t="inlineStr">
        <is>
          <t>ÐNAI</t>
        </is>
      </c>
      <c r="H134" s="399" t="n"/>
      <c r="J134" s="392">
        <f>IFERROR(UPPER(TRIM(B134))&amp;"|"&amp;UPPER(TRIM(C134))&amp;"|"&amp;UPPER(TRIM(D134)),"")</f>
        <v/>
      </c>
    </row>
    <row r="135" ht="15.75" customHeight="1" s="217">
      <c r="A135" s="400" t="n">
        <v>133</v>
      </c>
      <c r="B135" s="400" t="inlineStr">
        <is>
          <t>KH3599</t>
        </is>
      </c>
      <c r="C135" s="401" t="inlineStr">
        <is>
          <t>CH Chị Hương – Tuy Hoà / 0905.618.141</t>
        </is>
      </c>
      <c r="D135" s="400" t="inlineStr">
        <is>
          <t>0905.618.141</t>
        </is>
      </c>
      <c r="E135" s="402" t="n"/>
      <c r="F135" s="401" t="inlineStr">
        <is>
          <t>176 Nguyễn Tất Thành, P8, Tuy Hoà, Phú Yên</t>
        </is>
      </c>
      <c r="G135" s="400" t="inlineStr">
        <is>
          <t>PYEN</t>
        </is>
      </c>
      <c r="H135" s="402" t="n"/>
      <c r="J135" s="392">
        <f>IFERROR(UPPER(TRIM(B135))&amp;"|"&amp;UPPER(TRIM(C135))&amp;"|"&amp;UPPER(TRIM(D135)),"")</f>
        <v/>
      </c>
    </row>
    <row r="136" ht="15.75" customHeight="1" s="217">
      <c r="A136" s="397" t="n">
        <v>134</v>
      </c>
      <c r="B136" s="397" t="inlineStr">
        <is>
          <t>KH3598</t>
        </is>
      </c>
      <c r="C136" s="398" t="inlineStr">
        <is>
          <t>Xưởng Lê Trình- Trà Vinh/ 0967.478.308</t>
        </is>
      </c>
      <c r="D136" s="397" t="inlineStr">
        <is>
          <t>0967.478.308</t>
        </is>
      </c>
      <c r="E136" s="399" t="n"/>
      <c r="F136" s="398" t="inlineStr">
        <is>
          <t>Trà Vinh</t>
        </is>
      </c>
      <c r="G136" s="397" t="inlineStr">
        <is>
          <t>TV</t>
        </is>
      </c>
      <c r="H136" s="399" t="n"/>
      <c r="J136" s="392">
        <f>IFERROR(UPPER(TRIM(B136))&amp;"|"&amp;UPPER(TRIM(C136))&amp;"|"&amp;UPPER(TRIM(D136)),"")</f>
        <v/>
      </c>
    </row>
    <row r="137" ht="15.75" customHeight="1" s="217">
      <c r="A137" s="400" t="n">
        <v>135</v>
      </c>
      <c r="B137" s="400" t="inlineStr">
        <is>
          <t>KH3597</t>
        </is>
      </c>
      <c r="C137" s="401" t="inlineStr">
        <is>
          <t>Cửa hàng Anh Thanh - Sài Gòn/ 0374.525.332</t>
        </is>
      </c>
      <c r="D137" s="400" t="inlineStr">
        <is>
          <t>0374.525.332</t>
        </is>
      </c>
      <c r="E137" s="402" t="n"/>
      <c r="F137" s="401" t="inlineStr">
        <is>
          <t>162 Huỳnh Mẫn Đạt, Q5, Tp Hồ Chí Minh</t>
        </is>
      </c>
      <c r="G137" s="400" t="inlineStr">
        <is>
          <t>SG/HCM</t>
        </is>
      </c>
      <c r="H137" s="402" t="n"/>
      <c r="J137" s="392">
        <f>IFERROR(UPPER(TRIM(B137))&amp;"|"&amp;UPPER(TRIM(C137))&amp;"|"&amp;UPPER(TRIM(D137)),"")</f>
        <v/>
      </c>
    </row>
    <row r="138" ht="15.75" customHeight="1" s="217">
      <c r="A138" s="397" t="n">
        <v>136</v>
      </c>
      <c r="B138" s="397" t="inlineStr">
        <is>
          <t>KH3595</t>
        </is>
      </c>
      <c r="C138" s="398" t="inlineStr">
        <is>
          <t>Gara Hiệp Phát - Bình Dương/Anh Hiệp: 0982.769.659</t>
        </is>
      </c>
      <c r="D138" s="397" t="inlineStr">
        <is>
          <t>0982.769.659</t>
        </is>
      </c>
      <c r="E138" s="399" t="n"/>
      <c r="F138" s="398" t="inlineStr">
        <is>
          <t>T5/38 đường Thuận Giao 2, Thuận An, Bình Dương</t>
        </is>
      </c>
      <c r="G138" s="397" t="inlineStr">
        <is>
          <t>BDUONG</t>
        </is>
      </c>
      <c r="H138" s="399" t="n"/>
      <c r="J138" s="392">
        <f>IFERROR(UPPER(TRIM(B138))&amp;"|"&amp;UPPER(TRIM(C138))&amp;"|"&amp;UPPER(TRIM(D138)),"")</f>
        <v/>
      </c>
    </row>
    <row r="139" ht="15.75" customHeight="1" s="217">
      <c r="A139" s="400" t="n">
        <v>137</v>
      </c>
      <c r="B139" s="400" t="inlineStr">
        <is>
          <t>KH3596</t>
        </is>
      </c>
      <c r="C139" s="401" t="inlineStr">
        <is>
          <t>Anh Tưởng - Quảng Nam (Cty Phan Minh Tâm)/  0983.004.094</t>
        </is>
      </c>
      <c r="D139" s="400" t="inlineStr">
        <is>
          <t>0983.004.094</t>
        </is>
      </c>
      <c r="E139" s="402" t="n"/>
      <c r="F139" s="401" t="inlineStr">
        <is>
          <t>Khối phố Cẩm Sa, P. Điện Nam Bắc, TX. Điện Bàn, Quảng Nam</t>
        </is>
      </c>
      <c r="G139" s="400" t="inlineStr">
        <is>
          <t>QNAM</t>
        </is>
      </c>
      <c r="H139" s="402" t="n"/>
      <c r="J139" s="392">
        <f>IFERROR(UPPER(TRIM(B139))&amp;"|"&amp;UPPER(TRIM(C139))&amp;"|"&amp;UPPER(TRIM(D139)),"")</f>
        <v/>
      </c>
    </row>
    <row r="140" ht="15.75" customHeight="1" s="217">
      <c r="A140" s="397" t="n">
        <v>138</v>
      </c>
      <c r="B140" s="397" t="inlineStr">
        <is>
          <t>KH3594</t>
        </is>
      </c>
      <c r="C140" s="398" t="inlineStr">
        <is>
          <t>Công ty Thịnh Đức Tiến/ Chị Vân - Nha Trang - 0979.276.413</t>
        </is>
      </c>
      <c r="D140" s="397" t="inlineStr">
        <is>
          <t>0979.276.413</t>
        </is>
      </c>
      <c r="E140" s="399" t="n"/>
      <c r="F140" s="398" t="inlineStr">
        <is>
          <t>03 Nguyễn Đức Cảnh, Phước Long, Nha Trang, Khánh Hòa</t>
        </is>
      </c>
      <c r="G140" s="397" t="inlineStr">
        <is>
          <t>NTRANG</t>
        </is>
      </c>
      <c r="H140" s="399" t="n"/>
      <c r="J140" s="392">
        <f>IFERROR(UPPER(TRIM(B140))&amp;"|"&amp;UPPER(TRIM(C140))&amp;"|"&amp;UPPER(TRIM(D140)),"")</f>
        <v/>
      </c>
    </row>
    <row r="141" ht="15.75" customHeight="1" s="217">
      <c r="A141" s="400" t="n">
        <v>139</v>
      </c>
      <c r="B141" s="400" t="inlineStr">
        <is>
          <t>KH3593</t>
        </is>
      </c>
      <c r="C141" s="401" t="inlineStr">
        <is>
          <t>Xưởng Tiến Phượng-Krông Bông- Đắk Lắk/ 0941.324.847</t>
        </is>
      </c>
      <c r="D141" s="400" t="inlineStr">
        <is>
          <t>0941.324.847</t>
        </is>
      </c>
      <c r="E141" s="402" t="n"/>
      <c r="F141" s="401" t="inlineStr">
        <is>
          <t>Krông Bông- Đắk Lắk</t>
        </is>
      </c>
      <c r="G141" s="400" t="inlineStr">
        <is>
          <t>ÐL</t>
        </is>
      </c>
      <c r="H141" s="402" t="n"/>
      <c r="J141" s="392">
        <f>IFERROR(UPPER(TRIM(B141))&amp;"|"&amp;UPPER(TRIM(C141))&amp;"|"&amp;UPPER(TRIM(D141)),"")</f>
        <v/>
      </c>
    </row>
    <row r="142" ht="15.75" customHeight="1" s="217">
      <c r="A142" s="397" t="n">
        <v>140</v>
      </c>
      <c r="B142" s="397" t="inlineStr">
        <is>
          <t>KH3592</t>
        </is>
      </c>
      <c r="C142" s="398" t="inlineStr">
        <is>
          <t>Bãi máy A Thanh (Trung Lộc Phát) / 0972.279.363</t>
        </is>
      </c>
      <c r="D142" s="397" t="inlineStr">
        <is>
          <t>0972.279.363</t>
        </is>
      </c>
      <c r="E142" s="399" t="n"/>
      <c r="F142" s="398" t="inlineStr">
        <is>
          <t>73C Xa lộ Hà Nội, Bình Thắng, Dĩ An, Bình Dương</t>
        </is>
      </c>
      <c r="G142" s="397" t="inlineStr">
        <is>
          <t>SG/HCM</t>
        </is>
      </c>
      <c r="H142" s="399" t="n"/>
      <c r="J142" s="392">
        <f>IFERROR(UPPER(TRIM(B142))&amp;"|"&amp;UPPER(TRIM(C142))&amp;"|"&amp;UPPER(TRIM(D142)),"")</f>
        <v/>
      </c>
    </row>
    <row r="143" ht="15.75" customHeight="1" s="217">
      <c r="A143" s="400" t="n">
        <v>141</v>
      </c>
      <c r="B143" s="400" t="inlineStr">
        <is>
          <t>KH3591</t>
        </is>
      </c>
      <c r="C143" s="401" t="inlineStr">
        <is>
          <t>CH Thanh Hiếu - Tây Ninh/ 0764.044.482</t>
        </is>
      </c>
      <c r="D143" s="400" t="inlineStr">
        <is>
          <t>0764.044.482</t>
        </is>
      </c>
      <c r="E143" s="402" t="n"/>
      <c r="F143" s="401" t="inlineStr">
        <is>
          <t>Ấp Dinh, Xã Mỏ Công, Huyện Tân Biên, Tỉnh Tây Ninh</t>
        </is>
      </c>
      <c r="G143" s="400" t="inlineStr">
        <is>
          <t>TNINH</t>
        </is>
      </c>
      <c r="H143" s="402" t="n"/>
      <c r="J143" s="392">
        <f>IFERROR(UPPER(TRIM(B143))&amp;"|"&amp;UPPER(TRIM(C143))&amp;"|"&amp;UPPER(TRIM(D143)),"")</f>
        <v/>
      </c>
    </row>
    <row r="144" ht="15.75" customHeight="1" s="217">
      <c r="A144" s="397" t="n">
        <v>142</v>
      </c>
      <c r="B144" s="397" t="inlineStr">
        <is>
          <t>KH3590</t>
        </is>
      </c>
      <c r="C144" s="398" t="inlineStr">
        <is>
          <t>Anh Hoàng (Cty Hoàng Vũ) - Đắk Lăk/ 0913.435.910</t>
        </is>
      </c>
      <c r="D144" s="397" t="inlineStr">
        <is>
          <t>0913.435.910</t>
        </is>
      </c>
      <c r="E144" s="399" t="n"/>
      <c r="F144" s="398" t="inlineStr">
        <is>
          <t>249 Y Jút, P. Thành Công, TP. Buôn Ma Thuột, Đắk Lắk</t>
        </is>
      </c>
      <c r="G144" s="397" t="inlineStr">
        <is>
          <t>ÐL</t>
        </is>
      </c>
      <c r="H144" s="399" t="n"/>
      <c r="J144" s="392">
        <f>IFERROR(UPPER(TRIM(B144))&amp;"|"&amp;UPPER(TRIM(C144))&amp;"|"&amp;UPPER(TRIM(D144)),"")</f>
        <v/>
      </c>
    </row>
    <row r="145" ht="15.75" customHeight="1" s="217">
      <c r="A145" s="400" t="n">
        <v>143</v>
      </c>
      <c r="B145" s="400" t="inlineStr">
        <is>
          <t>KH3589</t>
        </is>
      </c>
      <c r="C145" s="401" t="inlineStr">
        <is>
          <t>Anh Nhã-Tri Tôn-An Giang/ 0966.393.968</t>
        </is>
      </c>
      <c r="D145" s="400" t="inlineStr">
        <is>
          <t>0966.393.968</t>
        </is>
      </c>
      <c r="E145" s="402" t="n"/>
      <c r="F145" s="401" t="inlineStr">
        <is>
          <t>Tri Tôn-An Giang</t>
        </is>
      </c>
      <c r="G145" s="400" t="inlineStr">
        <is>
          <t>ANGIANG</t>
        </is>
      </c>
      <c r="H145" s="402" t="n"/>
      <c r="J145" s="392">
        <f>IFERROR(UPPER(TRIM(B145))&amp;"|"&amp;UPPER(TRIM(C145))&amp;"|"&amp;UPPER(TRIM(D145)),"")</f>
        <v/>
      </c>
    </row>
    <row r="146" ht="15.75" customHeight="1" s="217">
      <c r="A146" s="397" t="n">
        <v>144</v>
      </c>
      <c r="B146" s="397" t="inlineStr">
        <is>
          <t>KH3588</t>
        </is>
      </c>
      <c r="C146" s="398" t="inlineStr">
        <is>
          <t>Công Ty Huy Hoàng-SG/ Anh Quân- 0903.178.345</t>
        </is>
      </c>
      <c r="D146" s="397" t="inlineStr">
        <is>
          <t>0903.178.345</t>
        </is>
      </c>
      <c r="E146" s="399" t="n"/>
      <c r="F146" s="398" t="inlineStr">
        <is>
          <t>142 Hà Huy Giáp-Q12-SG</t>
        </is>
      </c>
      <c r="G146" s="397" t="inlineStr">
        <is>
          <t>SG/HCM</t>
        </is>
      </c>
      <c r="H146" s="399" t="n"/>
      <c r="J146" s="392">
        <f>IFERROR(UPPER(TRIM(B146))&amp;"|"&amp;UPPER(TRIM(C146))&amp;"|"&amp;UPPER(TRIM(D146)),"")</f>
        <v/>
      </c>
    </row>
    <row r="147" ht="15.75" customHeight="1" s="217">
      <c r="A147" s="400" t="n">
        <v>145</v>
      </c>
      <c r="B147" s="400" t="inlineStr">
        <is>
          <t>KH3586</t>
        </is>
      </c>
      <c r="C147" s="401" t="inlineStr">
        <is>
          <t>Anh Dũng (thợ máy) - Suối Tiên/ 0903.327.932</t>
        </is>
      </c>
      <c r="D147" s="400" t="inlineStr">
        <is>
          <t>0903.327.932</t>
        </is>
      </c>
      <c r="E147" s="402" t="n"/>
      <c r="F147" s="401" t="inlineStr">
        <is>
          <t>Thủ Đức, Sài Gòn</t>
        </is>
      </c>
      <c r="G147" s="400" t="inlineStr">
        <is>
          <t>SG/HCM</t>
        </is>
      </c>
      <c r="H147" s="402" t="n"/>
      <c r="J147" s="392">
        <f>IFERROR(UPPER(TRIM(B147))&amp;"|"&amp;UPPER(TRIM(C147))&amp;"|"&amp;UPPER(TRIM(D147)),"")</f>
        <v/>
      </c>
    </row>
    <row r="148" ht="15.75" customHeight="1" s="217">
      <c r="A148" s="397" t="n">
        <v>146</v>
      </c>
      <c r="B148" s="397" t="inlineStr">
        <is>
          <t>KH3587</t>
        </is>
      </c>
      <c r="C148" s="398" t="inlineStr">
        <is>
          <t>A Tư (xưởng) - Bình Dương/ 0913.342.182</t>
        </is>
      </c>
      <c r="D148" s="397" t="inlineStr">
        <is>
          <t>0913.342.182</t>
        </is>
      </c>
      <c r="E148" s="399" t="n"/>
      <c r="F148" s="398" t="inlineStr">
        <is>
          <t>TP mới Bình Dương</t>
        </is>
      </c>
      <c r="G148" s="397" t="inlineStr">
        <is>
          <t>SG/HCM</t>
        </is>
      </c>
      <c r="H148" s="399" t="n"/>
      <c r="J148" s="392">
        <f>IFERROR(UPPER(TRIM(B148))&amp;"|"&amp;UPPER(TRIM(C148))&amp;"|"&amp;UPPER(TRIM(D148)),"")</f>
        <v/>
      </c>
    </row>
    <row r="149" ht="15.75" customHeight="1" s="217">
      <c r="A149" s="400" t="n">
        <v>147</v>
      </c>
      <c r="B149" s="400" t="inlineStr">
        <is>
          <t>KH3583</t>
        </is>
      </c>
      <c r="C149" s="401" t="inlineStr">
        <is>
          <t>Cơ Sở sửa chữa Cơ Giới Toàn Phát/ A.Toàn- 0917.892.089</t>
        </is>
      </c>
      <c r="D149" s="400" t="inlineStr">
        <is>
          <t>0917.892.089</t>
        </is>
      </c>
      <c r="E149" s="402" t="n"/>
      <c r="F149" s="401" t="inlineStr">
        <is>
          <t>Tổ 8 đường Võ Nguyên Giáp, Tân Cảng, Phước Tân, Biên Hoà, Đồng Nai</t>
        </is>
      </c>
      <c r="G149" s="400" t="inlineStr">
        <is>
          <t>ÐNAI</t>
        </is>
      </c>
      <c r="H149" s="402" t="n"/>
      <c r="J149" s="392">
        <f>IFERROR(UPPER(TRIM(B149))&amp;"|"&amp;UPPER(TRIM(C149))&amp;"|"&amp;UPPER(TRIM(D149)),"")</f>
        <v/>
      </c>
    </row>
    <row r="150" ht="15.75" customHeight="1" s="217">
      <c r="A150" s="397" t="n">
        <v>148</v>
      </c>
      <c r="B150" s="397" t="inlineStr">
        <is>
          <t>KH3584</t>
        </is>
      </c>
      <c r="C150" s="398" t="inlineStr">
        <is>
          <t>Anh Nguyên (chủ máy) Sài Gòn  - 0961.046.767</t>
        </is>
      </c>
      <c r="D150" s="397" t="inlineStr">
        <is>
          <t>0961.046.767</t>
        </is>
      </c>
      <c r="E150" s="399" t="n"/>
      <c r="F150" s="398" t="inlineStr">
        <is>
          <t>Sài Gòn</t>
        </is>
      </c>
      <c r="G150" s="397" t="inlineStr">
        <is>
          <t>SG/HCM</t>
        </is>
      </c>
      <c r="H150" s="399" t="n"/>
      <c r="J150" s="392">
        <f>IFERROR(UPPER(TRIM(B150))&amp;"|"&amp;UPPER(TRIM(C150))&amp;"|"&amp;UPPER(TRIM(D150)),"")</f>
        <v/>
      </c>
    </row>
    <row r="151" ht="15.75" customHeight="1" s="217">
      <c r="A151" s="400" t="n">
        <v>149</v>
      </c>
      <c r="B151" s="400" t="inlineStr">
        <is>
          <t>KH3585</t>
        </is>
      </c>
      <c r="C151" s="401" t="inlineStr">
        <is>
          <t>Xưởng tiện Minh Tuấn , Buôn Mê Thuột/ 0942.400.200</t>
        </is>
      </c>
      <c r="D151" s="400" t="inlineStr">
        <is>
          <t>0942.400.200</t>
        </is>
      </c>
      <c r="E151" s="402" t="n"/>
      <c r="F151" s="401" t="inlineStr">
        <is>
          <t>115 Đinh Tiên Hoàng, P Từ An, Buôn Mê Thuột, Đak Lak</t>
        </is>
      </c>
      <c r="G151" s="400" t="inlineStr">
        <is>
          <t>ÐL</t>
        </is>
      </c>
      <c r="H151" s="402" t="n"/>
      <c r="J151" s="392">
        <f>IFERROR(UPPER(TRIM(B151))&amp;"|"&amp;UPPER(TRIM(C151))&amp;"|"&amp;UPPER(TRIM(D151)),"")</f>
        <v/>
      </c>
    </row>
    <row r="152" ht="15.75" customHeight="1" s="217">
      <c r="A152" s="397" t="n">
        <v>150</v>
      </c>
      <c r="B152" s="397" t="inlineStr">
        <is>
          <t>KH3582</t>
        </is>
      </c>
      <c r="C152" s="398" t="inlineStr">
        <is>
          <t>Cửa hàng pt ô tô Hòa / 0908.006.824</t>
        </is>
      </c>
      <c r="D152" s="397" t="inlineStr">
        <is>
          <t>0908.006.824</t>
        </is>
      </c>
      <c r="E152" s="399" t="n"/>
      <c r="F152" s="398" t="inlineStr">
        <is>
          <t>36/1 Đông Lân , Bà Điểm , Hóc Môn, HCM</t>
        </is>
      </c>
      <c r="G152" s="397" t="inlineStr">
        <is>
          <t>SG/HCM</t>
        </is>
      </c>
      <c r="H152" s="399" t="n"/>
      <c r="J152" s="392">
        <f>IFERROR(UPPER(TRIM(B152))&amp;"|"&amp;UPPER(TRIM(C152))&amp;"|"&amp;UPPER(TRIM(D152)),"")</f>
        <v/>
      </c>
    </row>
    <row r="153" ht="15.75" customHeight="1" s="217">
      <c r="A153" s="400" t="n">
        <v>151</v>
      </c>
      <c r="B153" s="400" t="inlineStr">
        <is>
          <t>KH3581</t>
        </is>
      </c>
      <c r="C153" s="401" t="inlineStr">
        <is>
          <t>Xưởng Tiện Sơn- Long Khánh-0907.341.256</t>
        </is>
      </c>
      <c r="D153" s="400" t="inlineStr">
        <is>
          <t>0907.341.256</t>
        </is>
      </c>
      <c r="E153" s="402" t="n"/>
      <c r="F153" s="401" t="inlineStr">
        <is>
          <t>574 Phường Xuân Bình, TP. Long Khánh, Tỉnh Đồng Nai</t>
        </is>
      </c>
      <c r="G153" s="400" t="inlineStr">
        <is>
          <t>ÐNAI</t>
        </is>
      </c>
      <c r="H153" s="402" t="n"/>
      <c r="J153" s="392">
        <f>IFERROR(UPPER(TRIM(B153))&amp;"|"&amp;UPPER(TRIM(C153))&amp;"|"&amp;UPPER(TRIM(D153)),"")</f>
        <v/>
      </c>
    </row>
    <row r="154" ht="15.75" customHeight="1" s="217">
      <c r="A154" s="397" t="n">
        <v>152</v>
      </c>
      <c r="B154" s="397" t="inlineStr">
        <is>
          <t>KH3580</t>
        </is>
      </c>
      <c r="C154" s="398" t="inlineStr">
        <is>
          <t>Công ty xe nâng Minh Tuấn-Bình Dương/ Anh Minh- 0878.138.479</t>
        </is>
      </c>
      <c r="D154" s="397" t="inlineStr">
        <is>
          <t>0878.138.479</t>
        </is>
      </c>
      <c r="E154" s="399" t="n"/>
      <c r="F154" s="398" t="inlineStr">
        <is>
          <t>Định Hoà,Thủ Dầu Một, Bình Dương</t>
        </is>
      </c>
      <c r="G154" s="397" t="inlineStr">
        <is>
          <t>BDUONG</t>
        </is>
      </c>
      <c r="H154" s="399" t="n"/>
      <c r="J154" s="392">
        <f>IFERROR(UPPER(TRIM(B154))&amp;"|"&amp;UPPER(TRIM(C154))&amp;"|"&amp;UPPER(TRIM(D154)),"")</f>
        <v/>
      </c>
    </row>
    <row r="155" ht="15.75" customHeight="1" s="217">
      <c r="A155" s="400" t="n">
        <v>153</v>
      </c>
      <c r="B155" s="400" t="inlineStr">
        <is>
          <t>KH3577</t>
        </is>
      </c>
      <c r="C155" s="401" t="inlineStr">
        <is>
          <t>Anh Quynh-Đắk Lắk / 0975.794.799</t>
        </is>
      </c>
      <c r="D155" s="400" t="inlineStr">
        <is>
          <t>0975.794.799</t>
        </is>
      </c>
      <c r="E155" s="402" t="n"/>
      <c r="F155" s="401" t="inlineStr">
        <is>
          <t>Huyện Easup-Đắk Lắk</t>
        </is>
      </c>
      <c r="G155" s="400" t="inlineStr">
        <is>
          <t>ÐL</t>
        </is>
      </c>
      <c r="H155" s="402" t="n"/>
      <c r="J155" s="392">
        <f>IFERROR(UPPER(TRIM(B155))&amp;"|"&amp;UPPER(TRIM(C155))&amp;"|"&amp;UPPER(TRIM(D155)),"")</f>
        <v/>
      </c>
    </row>
    <row r="156" ht="15.75" customHeight="1" s="217">
      <c r="A156" s="397" t="n">
        <v>154</v>
      </c>
      <c r="B156" s="397" t="inlineStr">
        <is>
          <t>KH3578</t>
        </is>
      </c>
      <c r="C156" s="398" t="inlineStr">
        <is>
          <t>Két Nước Văn Quá - Hooc Môn / 0987.442.244</t>
        </is>
      </c>
      <c r="D156" s="397" t="inlineStr">
        <is>
          <t>0987.442.244</t>
        </is>
      </c>
      <c r="E156" s="399" t="n"/>
      <c r="F156" s="398" t="inlineStr">
        <is>
          <t>65/6a, Tân Xuân, Hooc Môn, TP HCM</t>
        </is>
      </c>
      <c r="G156" s="397" t="inlineStr">
        <is>
          <t>SG/HCM</t>
        </is>
      </c>
      <c r="H156" s="399" t="n"/>
      <c r="J156" s="392">
        <f>IFERROR(UPPER(TRIM(B156))&amp;"|"&amp;UPPER(TRIM(C156))&amp;"|"&amp;UPPER(TRIM(D156)),"")</f>
        <v/>
      </c>
    </row>
    <row r="157" ht="15.75" customHeight="1" s="217">
      <c r="A157" s="400" t="n">
        <v>155</v>
      </c>
      <c r="B157" s="400" t="inlineStr">
        <is>
          <t>KH3579</t>
        </is>
      </c>
      <c r="C157" s="401" t="inlineStr">
        <is>
          <t>Công Ty TNHH TM Thế Duy -Kiên Giang /Anh Nhật- 0917.008.000</t>
        </is>
      </c>
      <c r="D157" s="400" t="inlineStr">
        <is>
          <t>0917.008.000</t>
        </is>
      </c>
      <c r="E157" s="402" t="n"/>
      <c r="F157" s="401" t="inlineStr">
        <is>
          <t>Tổ 4, ấp Rẫy Mới, xã Bình An, Kiên Lương, Kiên Giang</t>
        </is>
      </c>
      <c r="G157" s="400" t="inlineStr">
        <is>
          <t>KG</t>
        </is>
      </c>
      <c r="H157" s="402" t="n"/>
      <c r="J157" s="392">
        <f>IFERROR(UPPER(TRIM(B157))&amp;"|"&amp;UPPER(TRIM(C157))&amp;"|"&amp;UPPER(TRIM(D157)),"")</f>
        <v/>
      </c>
    </row>
    <row r="158" ht="15.75" customHeight="1" s="217">
      <c r="A158" s="397" t="n">
        <v>156</v>
      </c>
      <c r="B158" s="397" t="inlineStr">
        <is>
          <t>KH3576</t>
        </is>
      </c>
      <c r="C158" s="398" t="inlineStr">
        <is>
          <t>Công ty TNHH TBVT thủy lực Tuấn Linh/ A Lệ 0937.971.668</t>
        </is>
      </c>
      <c r="D158" s="397" t="inlineStr">
        <is>
          <t>0937.971.668</t>
        </is>
      </c>
      <c r="E158" s="399" t="n"/>
      <c r="F158" s="398" t="inlineStr">
        <is>
          <t>87 Thân Nhân Trung, KP4C, P. Trảng Dài, TP.Biên Hòa, T. Đồng Nai</t>
        </is>
      </c>
      <c r="G158" s="397" t="inlineStr">
        <is>
          <t>ÐNAI</t>
        </is>
      </c>
      <c r="H158" s="399" t="n"/>
      <c r="J158" s="392">
        <f>IFERROR(UPPER(TRIM(B158))&amp;"|"&amp;UPPER(TRIM(C158))&amp;"|"&amp;UPPER(TRIM(D158)),"")</f>
        <v/>
      </c>
    </row>
    <row r="159" ht="15.75" customHeight="1" s="217">
      <c r="A159" s="400" t="n">
        <v>157</v>
      </c>
      <c r="B159" s="400" t="inlineStr">
        <is>
          <t>KH3575</t>
        </is>
      </c>
      <c r="C159" s="401" t="inlineStr">
        <is>
          <t>Ga Ra Quốc Mạnh - Chơn Thành / 0975.884.275</t>
        </is>
      </c>
      <c r="D159" s="400" t="inlineStr">
        <is>
          <t>0975.884.275</t>
        </is>
      </c>
      <c r="E159" s="402" t="n"/>
      <c r="F159" s="401" t="inlineStr">
        <is>
          <t>Chơn Thành-Bình Phước</t>
        </is>
      </c>
      <c r="G159" s="400" t="inlineStr">
        <is>
          <t>BP</t>
        </is>
      </c>
      <c r="H159" s="402" t="n"/>
      <c r="J159" s="392">
        <f>IFERROR(UPPER(TRIM(B159))&amp;"|"&amp;UPPER(TRIM(C159))&amp;"|"&amp;UPPER(TRIM(D159)),"")</f>
        <v/>
      </c>
    </row>
    <row r="160" ht="15.75" customHeight="1" s="217">
      <c r="A160" s="397" t="n">
        <v>158</v>
      </c>
      <c r="B160" s="397" t="inlineStr">
        <is>
          <t>KH3574</t>
        </is>
      </c>
      <c r="C160" s="398" t="inlineStr">
        <is>
          <t>PT Xe Nâng Phúc Nguyễn -Thủ Đức / 0978.711.349</t>
        </is>
      </c>
      <c r="D160" s="397" t="inlineStr">
        <is>
          <t>0978.711.349</t>
        </is>
      </c>
      <c r="E160" s="399" t="n"/>
      <c r="F160" s="398" t="inlineStr">
        <is>
          <t>9/5 Đường Số 21 KP1 Bình Chiểu Thủ Đức TPHCM</t>
        </is>
      </c>
      <c r="G160" s="397" t="inlineStr">
        <is>
          <t>BDUONG</t>
        </is>
      </c>
      <c r="H160" s="399" t="n"/>
      <c r="J160" s="392">
        <f>IFERROR(UPPER(TRIM(B160))&amp;"|"&amp;UPPER(TRIM(C160))&amp;"|"&amp;UPPER(TRIM(D160)),"")</f>
        <v/>
      </c>
    </row>
    <row r="161" ht="15.75" customHeight="1" s="217">
      <c r="A161" s="400" t="n">
        <v>159</v>
      </c>
      <c r="B161" s="400" t="inlineStr">
        <is>
          <t>KH3573</t>
        </is>
      </c>
      <c r="C161" s="401" t="inlineStr">
        <is>
          <t>A Tuân/ 0918.436.178 - Thủ Dầu</t>
        </is>
      </c>
      <c r="D161" s="400" t="inlineStr">
        <is>
          <t>0918.436.178</t>
        </is>
      </c>
      <c r="E161" s="402" t="n"/>
      <c r="F161" s="401" t="inlineStr">
        <is>
          <t>Bình Dương</t>
        </is>
      </c>
      <c r="G161" s="400" t="inlineStr">
        <is>
          <t>SG/HCM</t>
        </is>
      </c>
      <c r="H161" s="402" t="n"/>
      <c r="J161" s="392">
        <f>IFERROR(UPPER(TRIM(B161))&amp;"|"&amp;UPPER(TRIM(C161))&amp;"|"&amp;UPPER(TRIM(D161)),"")</f>
        <v/>
      </c>
    </row>
    <row r="162" ht="15.75" customHeight="1" s="217">
      <c r="A162" s="397" t="n">
        <v>160</v>
      </c>
      <c r="B162" s="397" t="inlineStr">
        <is>
          <t>KH3572</t>
        </is>
      </c>
      <c r="C162" s="398" t="inlineStr">
        <is>
          <t>Anh Hà -Tây Ninh / 0932.967.079</t>
        </is>
      </c>
      <c r="D162" s="397" t="inlineStr">
        <is>
          <t>0932.967.079</t>
        </is>
      </c>
      <c r="E162" s="399" t="n"/>
      <c r="F162" s="398" t="inlineStr">
        <is>
          <t>KCN Phước Đông, Gò Dầu, Tây Ninh</t>
        </is>
      </c>
      <c r="G162" s="397" t="inlineStr">
        <is>
          <t>TNINH</t>
        </is>
      </c>
      <c r="H162" s="399" t="n"/>
      <c r="J162" s="392">
        <f>IFERROR(UPPER(TRIM(B162))&amp;"|"&amp;UPPER(TRIM(C162))&amp;"|"&amp;UPPER(TRIM(D162)),"")</f>
        <v/>
      </c>
    </row>
    <row r="163" ht="15.75" customHeight="1" s="217">
      <c r="A163" s="400" t="n">
        <v>161</v>
      </c>
      <c r="B163" s="400" t="inlineStr">
        <is>
          <t>KH3571</t>
        </is>
      </c>
      <c r="C163" s="401" t="inlineStr">
        <is>
          <t>Gara Anh Thành - Đồng Nai/ Anh Thành: 0397.964.979</t>
        </is>
      </c>
      <c r="D163" s="400" t="inlineStr">
        <is>
          <t>0397.964.979</t>
        </is>
      </c>
      <c r="E163" s="402" t="n"/>
      <c r="F163" s="401" t="inlineStr">
        <is>
          <t>Ấp 6, Xuân Tây, Cẩm Mỹ, Đồng Nai</t>
        </is>
      </c>
      <c r="G163" s="400" t="inlineStr">
        <is>
          <t>ÐNAI</t>
        </is>
      </c>
      <c r="H163" s="402" t="n"/>
      <c r="J163" s="392">
        <f>IFERROR(UPPER(TRIM(B163))&amp;"|"&amp;UPPER(TRIM(C163))&amp;"|"&amp;UPPER(TRIM(D163)),"")</f>
        <v/>
      </c>
    </row>
    <row r="164" ht="15.75" customHeight="1" s="217">
      <c r="A164" s="397" t="n">
        <v>162</v>
      </c>
      <c r="B164" s="397" t="inlineStr">
        <is>
          <t>KH3569</t>
        </is>
      </c>
      <c r="C164" s="398" t="inlineStr">
        <is>
          <t>Gara Thảo Thuận - Phan Thiết/ 0363.626.792</t>
        </is>
      </c>
      <c r="D164" s="397" t="inlineStr">
        <is>
          <t>0363.626.792</t>
        </is>
      </c>
      <c r="E164" s="399" t="n"/>
      <c r="F164" s="398" t="inlineStr">
        <is>
          <t>Phan Thiết, Bình Thuận</t>
        </is>
      </c>
      <c r="G164" s="397" t="inlineStr">
        <is>
          <t>BTHUAN</t>
        </is>
      </c>
      <c r="H164" s="399" t="n"/>
      <c r="J164" s="392">
        <f>IFERROR(UPPER(TRIM(B164))&amp;"|"&amp;UPPER(TRIM(C164))&amp;"|"&amp;UPPER(TRIM(D164)),"")</f>
        <v/>
      </c>
    </row>
    <row r="165" ht="15.75" customHeight="1" s="217">
      <c r="A165" s="400" t="n">
        <v>163</v>
      </c>
      <c r="B165" s="400" t="inlineStr">
        <is>
          <t>KH3570</t>
        </is>
      </c>
      <c r="C165" s="401" t="inlineStr">
        <is>
          <t>Cơ Giới Khánh Hòa - A Tâm/ 0906.552.553</t>
        </is>
      </c>
      <c r="D165" s="400" t="inlineStr">
        <is>
          <t>0906.552.553</t>
        </is>
      </c>
      <c r="E165" s="402" t="n"/>
      <c r="F165" s="401" t="inlineStr">
        <is>
          <t>262, Đường tỉnh lộ 9, phường Ba Ngòi, TP Cam Ranh</t>
        </is>
      </c>
      <c r="G165" s="400" t="inlineStr">
        <is>
          <t>NTRANG</t>
        </is>
      </c>
      <c r="H165" s="402" t="n"/>
      <c r="J165" s="392">
        <f>IFERROR(UPPER(TRIM(B165))&amp;"|"&amp;UPPER(TRIM(C165))&amp;"|"&amp;UPPER(TRIM(D165)),"")</f>
        <v/>
      </c>
    </row>
    <row r="166" ht="15.75" customHeight="1" s="217">
      <c r="A166" s="397" t="n">
        <v>164</v>
      </c>
      <c r="B166" s="397" t="inlineStr">
        <is>
          <t>KH3567</t>
        </is>
      </c>
      <c r="C166" s="398" t="inlineStr">
        <is>
          <t>Công ty Xây dựng Trường Sơn - Hà Nội/ Anh Sơn: 0839.041.818</t>
        </is>
      </c>
      <c r="D166" s="397" t="inlineStr">
        <is>
          <t>0839.041.818</t>
        </is>
      </c>
      <c r="E166" s="399" t="n"/>
      <c r="F166" s="398" t="inlineStr">
        <is>
          <t>Đại Lộ Thăng Long, Tây Mỗ, Nam Từ Liêm, Hà Nội</t>
        </is>
      </c>
      <c r="G166" s="397" t="inlineStr">
        <is>
          <t>HN</t>
        </is>
      </c>
      <c r="H166" s="399" t="n"/>
      <c r="J166" s="392">
        <f>IFERROR(UPPER(TRIM(B166))&amp;"|"&amp;UPPER(TRIM(C166))&amp;"|"&amp;UPPER(TRIM(D166)),"")</f>
        <v/>
      </c>
    </row>
    <row r="167" ht="15.75" customHeight="1" s="217">
      <c r="A167" s="400" t="n">
        <v>165</v>
      </c>
      <c r="B167" s="400" t="inlineStr">
        <is>
          <t>KH3568</t>
        </is>
      </c>
      <c r="C167" s="401" t="inlineStr">
        <is>
          <t>Xưởng Phú Lâm - Sài Gòn/ 0775.115.900</t>
        </is>
      </c>
      <c r="D167" s="400" t="inlineStr">
        <is>
          <t>0775.115.900</t>
        </is>
      </c>
      <c r="E167" s="402" t="n"/>
      <c r="F167" s="401" t="inlineStr">
        <is>
          <t>91 đường số 3, khu dân cư Vĩnh Lộc, Bình Tân</t>
        </is>
      </c>
      <c r="G167" s="400" t="inlineStr">
        <is>
          <t>SG/HCM</t>
        </is>
      </c>
      <c r="H167" s="402" t="n"/>
      <c r="J167" s="392">
        <f>IFERROR(UPPER(TRIM(B167))&amp;"|"&amp;UPPER(TRIM(C167))&amp;"|"&amp;UPPER(TRIM(D167)),"")</f>
        <v/>
      </c>
    </row>
    <row r="168" ht="15.75" customHeight="1" s="217">
      <c r="A168" s="397" t="n">
        <v>166</v>
      </c>
      <c r="B168" s="397" t="inlineStr">
        <is>
          <t>KH3566</t>
        </is>
      </c>
      <c r="C168" s="398" t="inlineStr">
        <is>
          <t>Gara Ô tô Năm Được- Bình Dương/ 0971.718.139</t>
        </is>
      </c>
      <c r="D168" s="397" t="inlineStr">
        <is>
          <t>0971.718.139</t>
        </is>
      </c>
      <c r="E168" s="399" t="n"/>
      <c r="F168" s="398" t="inlineStr">
        <is>
          <t>Tân Uyên-Bình Dương</t>
        </is>
      </c>
      <c r="G168" s="397" t="inlineStr">
        <is>
          <t>BDUONG</t>
        </is>
      </c>
      <c r="H168" s="399" t="n"/>
      <c r="J168" s="392">
        <f>IFERROR(UPPER(TRIM(B168))&amp;"|"&amp;UPPER(TRIM(C168))&amp;"|"&amp;UPPER(TRIM(D168)),"")</f>
        <v/>
      </c>
    </row>
    <row r="169" ht="15.75" customHeight="1" s="217">
      <c r="A169" s="400" t="n">
        <v>167</v>
      </c>
      <c r="B169" s="400" t="inlineStr">
        <is>
          <t>KH3565</t>
        </is>
      </c>
      <c r="C169" s="401" t="inlineStr">
        <is>
          <t>Xưởng tiện Lâm Sơn - ĐắkLắk/ 0982.448.739</t>
        </is>
      </c>
      <c r="D169" s="400" t="inlineStr">
        <is>
          <t>0982.448.739</t>
        </is>
      </c>
      <c r="E169" s="402" t="n"/>
      <c r="F169" s="401" t="inlineStr">
        <is>
          <t>124 Đinh Tiên Hoàng, Buôn Ma Thuột, ĐắkLắk</t>
        </is>
      </c>
      <c r="G169" s="400" t="inlineStr">
        <is>
          <t>ÐL</t>
        </is>
      </c>
      <c r="H169" s="402" t="n"/>
      <c r="J169" s="392">
        <f>IFERROR(UPPER(TRIM(B169))&amp;"|"&amp;UPPER(TRIM(C169))&amp;"|"&amp;UPPER(TRIM(D169)),"")</f>
        <v/>
      </c>
    </row>
    <row r="170" ht="15.75" customHeight="1" s="217">
      <c r="A170" s="397" t="n">
        <v>168</v>
      </c>
      <c r="B170" s="397" t="inlineStr">
        <is>
          <t>MN62</t>
        </is>
      </c>
      <c r="C170" s="398" t="inlineStr">
        <is>
          <t>Mai Thị Lệ Thuỷ</t>
        </is>
      </c>
      <c r="D170" s="399" t="n"/>
      <c r="E170" s="399" t="n"/>
      <c r="F170" s="398" t="inlineStr">
        <is>
          <t>CTCP Thiết bị Cơ giới Miền Nam</t>
        </is>
      </c>
      <c r="G170" s="397" t="inlineStr">
        <is>
          <t>BPKT</t>
        </is>
      </c>
      <c r="H170" s="399" t="n"/>
      <c r="J170" s="392">
        <f>IFERROR(UPPER(TRIM(B170))&amp;"|"&amp;UPPER(TRIM(C170))&amp;"|"&amp;UPPER(TRIM(D170)),"")</f>
        <v/>
      </c>
    </row>
    <row r="171" ht="15.75" customHeight="1" s="217">
      <c r="A171" s="400" t="n">
        <v>169</v>
      </c>
      <c r="B171" s="400" t="inlineStr">
        <is>
          <t>KH3564</t>
        </is>
      </c>
      <c r="C171" s="401" t="inlineStr">
        <is>
          <t>Phụ Tùng Cơ Giới Đức Hoà -Buôn Mê Thuột/ 0773.417.878</t>
        </is>
      </c>
      <c r="D171" s="400" t="inlineStr">
        <is>
          <t>0773.417.878</t>
        </is>
      </c>
      <c r="E171" s="402" t="n"/>
      <c r="F171" s="401" t="inlineStr">
        <is>
          <t>46 Y Ngông nối dài-TP. Buôn Mê Thuột -Đắk Lắk</t>
        </is>
      </c>
      <c r="G171" s="400" t="inlineStr">
        <is>
          <t>ÐL</t>
        </is>
      </c>
      <c r="H171" s="402" t="n"/>
      <c r="J171" s="392">
        <f>IFERROR(UPPER(TRIM(B171))&amp;"|"&amp;UPPER(TRIM(C171))&amp;"|"&amp;UPPER(TRIM(D171)),"")</f>
        <v/>
      </c>
    </row>
    <row r="172" ht="15.75" customHeight="1" s="217">
      <c r="A172" s="393" t="n">
        <v>170</v>
      </c>
      <c r="B172" s="393" t="inlineStr">
        <is>
          <t>KH3563</t>
        </is>
      </c>
      <c r="C172" s="394" t="inlineStr">
        <is>
          <t>Cửa hàng Vạn Phú - Quy Nhơn/ 0905.221.038</t>
        </is>
      </c>
      <c r="D172" s="393" t="inlineStr">
        <is>
          <t>0905.221.038</t>
        </is>
      </c>
      <c r="E172" s="393" t="inlineStr">
        <is>
          <t>KHÁCH VIP</t>
        </is>
      </c>
      <c r="F172" s="394" t="inlineStr">
        <is>
          <t>51 Lê Thanh Nghị, P. Đống Đa, TP. Quy Nhơn</t>
        </is>
      </c>
      <c r="G172" s="393" t="inlineStr">
        <is>
          <t>BDINH</t>
        </is>
      </c>
      <c r="H172" s="393" t="inlineStr">
        <is>
          <t>1, Gửi xe mạnh mùi ( BXMD)
2, Chành Khang :1126 Quốc Lộ 1A / 0909.278.277</t>
        </is>
      </c>
      <c r="J172" s="392">
        <f>IFERROR(UPPER(TRIM(B172))&amp;"|"&amp;UPPER(TRIM(C172))&amp;"|"&amp;UPPER(TRIM(D172)),"")</f>
        <v/>
      </c>
    </row>
    <row r="173" ht="15.75" customHeight="1" s="217">
      <c r="A173" s="400" t="n">
        <v>171</v>
      </c>
      <c r="B173" s="400" t="inlineStr">
        <is>
          <t>KH3561</t>
        </is>
      </c>
      <c r="C173" s="401" t="inlineStr">
        <is>
          <t>Anh  Giang - Thanh Hóa/ 0973.188.177</t>
        </is>
      </c>
      <c r="D173" s="400" t="inlineStr">
        <is>
          <t>0973.188.177</t>
        </is>
      </c>
      <c r="E173" s="402" t="n"/>
      <c r="F173" s="401" t="inlineStr">
        <is>
          <t>Làng Sành, Xã Cẩm Ngọc, Cẩm Thủy, Thanh Hóa</t>
        </is>
      </c>
      <c r="G173" s="400" t="inlineStr">
        <is>
          <t>HN</t>
        </is>
      </c>
      <c r="H173" s="402" t="n"/>
      <c r="J173" s="392">
        <f>IFERROR(UPPER(TRIM(B173))&amp;"|"&amp;UPPER(TRIM(C173))&amp;"|"&amp;UPPER(TRIM(D173)),"")</f>
        <v/>
      </c>
    </row>
    <row r="174" ht="15.75" customHeight="1" s="217">
      <c r="A174" s="397" t="n">
        <v>172</v>
      </c>
      <c r="B174" s="397" t="inlineStr">
        <is>
          <t>KH3562</t>
        </is>
      </c>
      <c r="C174" s="398" t="inlineStr">
        <is>
          <t>Anh Lễ - Quận 8 - 0903.820.168</t>
        </is>
      </c>
      <c r="D174" s="397" t="inlineStr">
        <is>
          <t>0903.820.168</t>
        </is>
      </c>
      <c r="E174" s="399" t="n"/>
      <c r="F174" s="398" t="inlineStr">
        <is>
          <t>28 Trần Nguyên Hãn, P 13, Quận 8, TP HCM</t>
        </is>
      </c>
      <c r="G174" s="397" t="inlineStr">
        <is>
          <t>SG/HCM</t>
        </is>
      </c>
      <c r="H174" s="399" t="n"/>
      <c r="J174" s="392">
        <f>IFERROR(UPPER(TRIM(B174))&amp;"|"&amp;UPPER(TRIM(C174))&amp;"|"&amp;UPPER(TRIM(D174)),"")</f>
        <v/>
      </c>
    </row>
    <row r="175" ht="15.75" customHeight="1" s="217">
      <c r="A175" s="400" t="n">
        <v>173</v>
      </c>
      <c r="B175" s="400" t="inlineStr">
        <is>
          <t>KH3560</t>
        </is>
      </c>
      <c r="C175" s="401" t="inlineStr">
        <is>
          <t>Xưởng Anh Sang- Bình Thuận/ 0987.507.774</t>
        </is>
      </c>
      <c r="D175" s="400" t="inlineStr">
        <is>
          <t>0987.507.774</t>
        </is>
      </c>
      <c r="E175" s="402" t="n"/>
      <c r="F175" s="401" t="inlineStr">
        <is>
          <t>Ngã ba sông Luỹ-Huyện Bắc Bình-Tỉnh Bình Thuận</t>
        </is>
      </c>
      <c r="G175" s="400" t="inlineStr">
        <is>
          <t>BTHUAN</t>
        </is>
      </c>
      <c r="H175" s="402" t="n"/>
      <c r="J175" s="392">
        <f>IFERROR(UPPER(TRIM(B175))&amp;"|"&amp;UPPER(TRIM(C175))&amp;"|"&amp;UPPER(TRIM(D175)),"")</f>
        <v/>
      </c>
    </row>
    <row r="176" ht="15.75" customHeight="1" s="217">
      <c r="A176" s="397" t="n">
        <v>174</v>
      </c>
      <c r="B176" s="397" t="inlineStr">
        <is>
          <t>KH3559</t>
        </is>
      </c>
      <c r="C176" s="398" t="inlineStr">
        <is>
          <t>Cửa hàng Hoài Thương - Long Khánh/Hoài Thương - 0918.229.055</t>
        </is>
      </c>
      <c r="D176" s="397" t="inlineStr">
        <is>
          <t>0918.229.055</t>
        </is>
      </c>
      <c r="E176" s="399" t="n"/>
      <c r="F176" s="398" t="inlineStr">
        <is>
          <t>564 quốc lộ 1A - Long Khánh - Đồng Nai</t>
        </is>
      </c>
      <c r="G176" s="397" t="inlineStr">
        <is>
          <t>ÐNAI</t>
        </is>
      </c>
      <c r="H176" s="399" t="n"/>
      <c r="J176" s="392">
        <f>IFERROR(UPPER(TRIM(B176))&amp;"|"&amp;UPPER(TRIM(C176))&amp;"|"&amp;UPPER(TRIM(D176)),"")</f>
        <v/>
      </c>
    </row>
    <row r="177" ht="15.75" customHeight="1" s="217">
      <c r="A177" s="400" t="n">
        <v>175</v>
      </c>
      <c r="B177" s="400" t="inlineStr">
        <is>
          <t>KH3557</t>
        </is>
      </c>
      <c r="C177" s="401" t="inlineStr">
        <is>
          <t>Cty Thịnh Vượng  - Anh Thể 0337.376.234</t>
        </is>
      </c>
      <c r="D177" s="400" t="inlineStr">
        <is>
          <t>0337.376.234</t>
        </is>
      </c>
      <c r="E177" s="402" t="n"/>
      <c r="F177" s="401" t="inlineStr">
        <is>
          <t>An Phú Đông Q 12 .TPHCM</t>
        </is>
      </c>
      <c r="G177" s="400" t="inlineStr">
        <is>
          <t>SG/HCM</t>
        </is>
      </c>
      <c r="H177" s="402" t="n"/>
      <c r="J177" s="392">
        <f>IFERROR(UPPER(TRIM(B177))&amp;"|"&amp;UPPER(TRIM(C177))&amp;"|"&amp;UPPER(TRIM(D177)),"")</f>
        <v/>
      </c>
    </row>
    <row r="178" ht="15.75" customHeight="1" s="217">
      <c r="A178" s="397" t="n">
        <v>176</v>
      </c>
      <c r="B178" s="397" t="inlineStr">
        <is>
          <t>KH3558</t>
        </is>
      </c>
      <c r="C178" s="398" t="inlineStr">
        <is>
          <t>Cửa hàng A Tiến - Cà Mau/ 0945.565.919</t>
        </is>
      </c>
      <c r="D178" s="397" t="inlineStr">
        <is>
          <t>0945.565.919</t>
        </is>
      </c>
      <c r="E178" s="399" t="n"/>
      <c r="F178" s="398" t="inlineStr">
        <is>
          <t>Huyện Cái Nước, Cà Mau</t>
        </is>
      </c>
      <c r="G178" s="397" t="inlineStr">
        <is>
          <t>CMAU</t>
        </is>
      </c>
      <c r="H178" s="399" t="n"/>
      <c r="J178" s="392">
        <f>IFERROR(UPPER(TRIM(B178))&amp;"|"&amp;UPPER(TRIM(C178))&amp;"|"&amp;UPPER(TRIM(D178)),"")</f>
        <v/>
      </c>
    </row>
    <row r="179" ht="15.75" customHeight="1" s="217">
      <c r="A179" s="400" t="n">
        <v>177</v>
      </c>
      <c r="B179" s="400" t="inlineStr">
        <is>
          <t>KH3556</t>
        </is>
      </c>
      <c r="C179" s="401" t="inlineStr">
        <is>
          <t>CH Phụ tùng A Shin/ 0983.505.400</t>
        </is>
      </c>
      <c r="D179" s="400" t="inlineStr">
        <is>
          <t>0983.505.400</t>
        </is>
      </c>
      <c r="E179" s="402" t="n"/>
      <c r="F179" s="401" t="inlineStr">
        <is>
          <t>Ấp Bình Hòa, TT Bình Đại, Huyện Bình Đại, Bến Tre</t>
        </is>
      </c>
      <c r="G179" s="400" t="inlineStr">
        <is>
          <t>BTRE</t>
        </is>
      </c>
      <c r="H179" s="402" t="n"/>
      <c r="J179" s="392">
        <f>IFERROR(UPPER(TRIM(B179))&amp;"|"&amp;UPPER(TRIM(C179))&amp;"|"&amp;UPPER(TRIM(D179)),"")</f>
        <v/>
      </c>
    </row>
    <row r="180" ht="15.75" customHeight="1" s="217">
      <c r="A180" s="397" t="n">
        <v>178</v>
      </c>
      <c r="B180" s="397" t="inlineStr">
        <is>
          <t>KH3554</t>
        </is>
      </c>
      <c r="C180" s="398" t="inlineStr">
        <is>
          <t>Turbo Anh Tài- Tân Vạn-SG/ 0397.511.103</t>
        </is>
      </c>
      <c r="D180" s="397" t="inlineStr">
        <is>
          <t>0397.511.103</t>
        </is>
      </c>
      <c r="E180" s="399" t="n"/>
      <c r="F180" s="398" t="inlineStr">
        <is>
          <t>534 Khu Phố Đông Thành ,Đường Mỹ Phước, Tân Vạn, Sài Gòn</t>
        </is>
      </c>
      <c r="G180" s="397" t="inlineStr">
        <is>
          <t>SG/HCM</t>
        </is>
      </c>
      <c r="H180" s="399" t="n"/>
      <c r="J180" s="392">
        <f>IFERROR(UPPER(TRIM(B180))&amp;"|"&amp;UPPER(TRIM(C180))&amp;"|"&amp;UPPER(TRIM(D180)),"")</f>
        <v/>
      </c>
    </row>
    <row r="181" ht="15.75" customHeight="1" s="217">
      <c r="A181" s="400" t="n">
        <v>179</v>
      </c>
      <c r="B181" s="400" t="inlineStr">
        <is>
          <t>KH3555</t>
        </is>
      </c>
      <c r="C181" s="401" t="inlineStr">
        <is>
          <t>Phụ Tùng Cơ  Giới Chí Tiến - Dĩ An , Bình Dương / A Toại 0903.124.458</t>
        </is>
      </c>
      <c r="D181" s="400" t="inlineStr">
        <is>
          <t>0903.124.458</t>
        </is>
      </c>
      <c r="E181" s="402" t="n"/>
      <c r="F181" s="401" t="inlineStr">
        <is>
          <t>3/70 Nguyễn Xiển ,KP Quyết Thắng ,TP Dĩ An , Bình Dương</t>
        </is>
      </c>
      <c r="G181" s="400" t="inlineStr">
        <is>
          <t>SG/HCM</t>
        </is>
      </c>
      <c r="H181" s="402" t="n"/>
      <c r="J181" s="392">
        <f>IFERROR(UPPER(TRIM(B181))&amp;"|"&amp;UPPER(TRIM(C181))&amp;"|"&amp;UPPER(TRIM(D181)),"")</f>
        <v/>
      </c>
    </row>
    <row r="182" ht="15.75" customHeight="1" s="217">
      <c r="A182" s="397" t="n">
        <v>180</v>
      </c>
      <c r="B182" s="397" t="inlineStr">
        <is>
          <t>KH3551</t>
        </is>
      </c>
      <c r="C182" s="398" t="inlineStr">
        <is>
          <t>CTy Xe Nâng Thiên Phát/ 0961.397.989  A Tường</t>
        </is>
      </c>
      <c r="D182" s="397" t="inlineStr">
        <is>
          <t>0961.397.989</t>
        </is>
      </c>
      <c r="E182" s="399" t="n"/>
      <c r="F182" s="398" t="inlineStr">
        <is>
          <t>Số 78, DT 743C, KP Tân Long , P Tân Đông Hiệp , Dĩ An ,Bình Dương</t>
        </is>
      </c>
      <c r="G182" s="397" t="inlineStr">
        <is>
          <t>SG/HCM</t>
        </is>
      </c>
      <c r="H182" s="399" t="n"/>
      <c r="J182" s="392">
        <f>IFERROR(UPPER(TRIM(B182))&amp;"|"&amp;UPPER(TRIM(C182))&amp;"|"&amp;UPPER(TRIM(D182)),"")</f>
        <v/>
      </c>
    </row>
    <row r="183" ht="15.75" customHeight="1" s="217">
      <c r="A183" s="400" t="n">
        <v>181</v>
      </c>
      <c r="B183" s="400" t="inlineStr">
        <is>
          <t>KH3552</t>
        </is>
      </c>
      <c r="C183" s="401" t="inlineStr">
        <is>
          <t>Anh Long (Két nước) - Long An/0358.189.995</t>
        </is>
      </c>
      <c r="D183" s="400" t="inlineStr">
        <is>
          <t>0358.189.995</t>
        </is>
      </c>
      <c r="E183" s="402" t="n"/>
      <c r="F183" s="401" t="inlineStr">
        <is>
          <t>Đức Hòa - Long An</t>
        </is>
      </c>
      <c r="G183" s="400" t="inlineStr">
        <is>
          <t>LA</t>
        </is>
      </c>
      <c r="H183" s="402" t="n"/>
      <c r="J183" s="392">
        <f>IFERROR(UPPER(TRIM(B183))&amp;"|"&amp;UPPER(TRIM(C183))&amp;"|"&amp;UPPER(TRIM(D183)),"")</f>
        <v/>
      </c>
    </row>
    <row r="184" ht="15.75" customHeight="1" s="217">
      <c r="A184" s="397" t="n">
        <v>182</v>
      </c>
      <c r="B184" s="397" t="inlineStr">
        <is>
          <t>KH3553</t>
        </is>
      </c>
      <c r="C184" s="398" t="inlineStr">
        <is>
          <t>CH Nguyễn Hoàng - Bình Dương/Anh Hoàng: 0902.747.164</t>
        </is>
      </c>
      <c r="D184" s="397" t="inlineStr">
        <is>
          <t>0902.747.164</t>
        </is>
      </c>
      <c r="E184" s="399" t="n"/>
      <c r="F184" s="398" t="inlineStr">
        <is>
          <t>Ngã 3 Tân Vạn - Bình Dương</t>
        </is>
      </c>
      <c r="G184" s="397" t="inlineStr">
        <is>
          <t>BDUONG</t>
        </is>
      </c>
      <c r="H184" s="399" t="n"/>
      <c r="J184" s="392">
        <f>IFERROR(UPPER(TRIM(B184))&amp;"|"&amp;UPPER(TRIM(C184))&amp;"|"&amp;UPPER(TRIM(D184)),"")</f>
        <v/>
      </c>
    </row>
    <row r="185" ht="15.75" customHeight="1" s="217">
      <c r="A185" s="400" t="n">
        <v>183</v>
      </c>
      <c r="B185" s="400" t="inlineStr">
        <is>
          <t>KH3549</t>
        </is>
      </c>
      <c r="C185" s="401" t="inlineStr">
        <is>
          <t>Xưởng Minh Diệp-Dầu Giây / 0935.402.253</t>
        </is>
      </c>
      <c r="D185" s="400" t="inlineStr">
        <is>
          <t>0935.402.253</t>
        </is>
      </c>
      <c r="E185" s="402" t="n"/>
      <c r="F185" s="401" t="inlineStr">
        <is>
          <t>Trạm 97- Dầu Dây-Long Khánh-Đồng Nai</t>
        </is>
      </c>
      <c r="G185" s="400" t="inlineStr">
        <is>
          <t>ÐNAI</t>
        </is>
      </c>
      <c r="H185" s="402" t="n"/>
      <c r="J185" s="392">
        <f>IFERROR(UPPER(TRIM(B185))&amp;"|"&amp;UPPER(TRIM(C185))&amp;"|"&amp;UPPER(TRIM(D185)),"")</f>
        <v/>
      </c>
    </row>
    <row r="186" ht="15.75" customHeight="1" s="217">
      <c r="A186" s="397" t="n">
        <v>184</v>
      </c>
      <c r="B186" s="397" t="inlineStr">
        <is>
          <t>KH3550</t>
        </is>
      </c>
      <c r="C186" s="398" t="inlineStr">
        <is>
          <t>Xưởng A Phúc - Trà Vinh/ 0919.100.766</t>
        </is>
      </c>
      <c r="D186" s="397" t="inlineStr">
        <is>
          <t>0919.100.766</t>
        </is>
      </c>
      <c r="E186" s="399" t="n"/>
      <c r="F186" s="398" t="inlineStr">
        <is>
          <t>TP Trà Vinh</t>
        </is>
      </c>
      <c r="G186" s="397" t="inlineStr">
        <is>
          <t>TV</t>
        </is>
      </c>
      <c r="H186" s="399" t="n"/>
      <c r="J186" s="392">
        <f>IFERROR(UPPER(TRIM(B186))&amp;"|"&amp;UPPER(TRIM(C186))&amp;"|"&amp;UPPER(TRIM(D186)),"")</f>
        <v/>
      </c>
    </row>
    <row r="187" ht="15.75" customHeight="1" s="217">
      <c r="A187" s="400" t="n">
        <v>185</v>
      </c>
      <c r="B187" s="400" t="inlineStr">
        <is>
          <t>KH3547</t>
        </is>
      </c>
      <c r="C187" s="401" t="inlineStr">
        <is>
          <t>CTY TATA DAEWOO - Anh Khang/ Anh Khang: 0908.880.994</t>
        </is>
      </c>
      <c r="D187" s="400" t="inlineStr">
        <is>
          <t>0908.880.994</t>
        </is>
      </c>
      <c r="E187" s="402" t="n"/>
      <c r="F187" s="401" t="inlineStr">
        <is>
          <t>ĐT743, Bình Hoà, Thuận An, Bình Dương</t>
        </is>
      </c>
      <c r="G187" s="400" t="inlineStr">
        <is>
          <t>BDUONG</t>
        </is>
      </c>
      <c r="H187" s="402" t="n"/>
      <c r="J187" s="392">
        <f>IFERROR(UPPER(TRIM(B187))&amp;"|"&amp;UPPER(TRIM(C187))&amp;"|"&amp;UPPER(TRIM(D187)),"")</f>
        <v/>
      </c>
    </row>
    <row r="188" ht="15.75" customHeight="1" s="217">
      <c r="A188" s="397" t="n">
        <v>186</v>
      </c>
      <c r="B188" s="397" t="inlineStr">
        <is>
          <t>KH3548</t>
        </is>
      </c>
      <c r="C188" s="398" t="inlineStr">
        <is>
          <t>Anh Vinh - Quận 12 - 0907.255.116</t>
        </is>
      </c>
      <c r="D188" s="397" t="inlineStr">
        <is>
          <t>0907.255.116</t>
        </is>
      </c>
      <c r="E188" s="399" t="n"/>
      <c r="F188" s="398" t="inlineStr">
        <is>
          <t>158 đường Đông Hưng Thuận 42, p.Tân Hưng Thuận, Quận 12</t>
        </is>
      </c>
      <c r="G188" s="397" t="inlineStr">
        <is>
          <t>SG/HCM</t>
        </is>
      </c>
      <c r="H188" s="399" t="n"/>
      <c r="J188" s="392">
        <f>IFERROR(UPPER(TRIM(B188))&amp;"|"&amp;UPPER(TRIM(C188))&amp;"|"&amp;UPPER(TRIM(D188)),"")</f>
        <v/>
      </c>
    </row>
    <row r="189" ht="15.75" customHeight="1" s="217">
      <c r="A189" s="400" t="n">
        <v>187</v>
      </c>
      <c r="B189" s="400" t="inlineStr">
        <is>
          <t>KH3546</t>
        </is>
      </c>
      <c r="C189" s="401" t="inlineStr">
        <is>
          <t>Bãi máy Anh Sáng - 0902.649.494</t>
        </is>
      </c>
      <c r="D189" s="400" t="inlineStr">
        <is>
          <t>0902.649.494</t>
        </is>
      </c>
      <c r="E189" s="402" t="n"/>
      <c r="F189" s="401" t="inlineStr">
        <is>
          <t>Cầu Vượt  Linh Xuân, Sài Gòn</t>
        </is>
      </c>
      <c r="G189" s="400" t="inlineStr">
        <is>
          <t>SG/HCM</t>
        </is>
      </c>
      <c r="H189" s="402" t="n"/>
      <c r="J189" s="392">
        <f>IFERROR(UPPER(TRIM(B189))&amp;"|"&amp;UPPER(TRIM(C189))&amp;"|"&amp;UPPER(TRIM(D189)),"")</f>
        <v/>
      </c>
    </row>
    <row r="190" ht="15.75" customHeight="1" s="217">
      <c r="A190" s="397" t="n">
        <v>188</v>
      </c>
      <c r="B190" s="397" t="inlineStr">
        <is>
          <t>KH3545</t>
        </is>
      </c>
      <c r="C190" s="398" t="inlineStr">
        <is>
          <t>CH Thành Công - A Tú / Kiên Giang  0946.288.230</t>
        </is>
      </c>
      <c r="D190" s="397" t="inlineStr">
        <is>
          <t>0946.288.230</t>
        </is>
      </c>
      <c r="E190" s="397" t="inlineStr">
        <is>
          <t>KHÁCH ƯU ĐÃI</t>
        </is>
      </c>
      <c r="F190" s="398" t="inlineStr">
        <is>
          <t>549,Ấp Vĩnh Thành B , Châu Thành - Kiên Giang</t>
        </is>
      </c>
      <c r="G190" s="397" t="inlineStr">
        <is>
          <t>KG</t>
        </is>
      </c>
      <c r="H190" s="399" t="n"/>
      <c r="J190" s="392">
        <f>IFERROR(UPPER(TRIM(B190))&amp;"|"&amp;UPPER(TRIM(C190))&amp;"|"&amp;UPPER(TRIM(D190)),"")</f>
        <v/>
      </c>
    </row>
    <row r="191" ht="15.75" customHeight="1" s="217">
      <c r="A191" s="400" t="n">
        <v>189</v>
      </c>
      <c r="B191" s="400" t="inlineStr">
        <is>
          <t>KH3543</t>
        </is>
      </c>
      <c r="C191" s="401" t="inlineStr">
        <is>
          <t>Anh Vũ - Long An/ Anh Vũ: 0969.149.899</t>
        </is>
      </c>
      <c r="D191" s="400" t="inlineStr">
        <is>
          <t>0969.149.899</t>
        </is>
      </c>
      <c r="E191" s="402" t="n"/>
      <c r="F191" s="401" t="inlineStr">
        <is>
          <t>Long An</t>
        </is>
      </c>
      <c r="G191" s="400" t="inlineStr">
        <is>
          <t>LA</t>
        </is>
      </c>
      <c r="H191" s="402" t="n"/>
      <c r="J191" s="392">
        <f>IFERROR(UPPER(TRIM(B191))&amp;"|"&amp;UPPER(TRIM(C191))&amp;"|"&amp;UPPER(TRIM(D191)),"")</f>
        <v/>
      </c>
    </row>
    <row r="192" ht="15.75" customHeight="1" s="217">
      <c r="A192" s="397" t="n">
        <v>190</v>
      </c>
      <c r="B192" s="397" t="inlineStr">
        <is>
          <t>KH3544</t>
        </is>
      </c>
      <c r="C192" s="398" t="inlineStr">
        <is>
          <t>Gara Anh Bình - Khánh Hòa/ Anh Bình: 0914.008.535</t>
        </is>
      </c>
      <c r="D192" s="397" t="inlineStr">
        <is>
          <t>0914.008.535</t>
        </is>
      </c>
      <c r="E192" s="399" t="n"/>
      <c r="F192" s="398" t="inlineStr">
        <is>
          <t>Xã Ninh Phụng - TX Ninh Hòa - Khánh Hòa</t>
        </is>
      </c>
      <c r="G192" s="397" t="inlineStr">
        <is>
          <t>BDINH</t>
        </is>
      </c>
      <c r="H192" s="399" t="n"/>
      <c r="J192" s="392">
        <f>IFERROR(UPPER(TRIM(B192))&amp;"|"&amp;UPPER(TRIM(C192))&amp;"|"&amp;UPPER(TRIM(D192)),"")</f>
        <v/>
      </c>
    </row>
    <row r="193" ht="15.75" customHeight="1" s="217">
      <c r="A193" s="400" t="n">
        <v>191</v>
      </c>
      <c r="B193" s="400" t="inlineStr">
        <is>
          <t>LANQING</t>
        </is>
      </c>
      <c r="C193" s="401" t="inlineStr">
        <is>
          <t>TAIZHOU LANQING OIL PUMP CO., LTD  (DPOP)</t>
        </is>
      </c>
      <c r="D193" s="402" t="n"/>
      <c r="E193" s="402" t="n"/>
      <c r="F193" s="401" t="inlineStr">
        <is>
          <t>No. 699, Shifu Dadao, Taizhou, Zhejiang, 318000, China</t>
        </is>
      </c>
      <c r="G193" s="402" t="n"/>
      <c r="H193" s="402" t="n"/>
      <c r="J193" s="392">
        <f>IFERROR(UPPER(TRIM(B193))&amp;"|"&amp;UPPER(TRIM(C193))&amp;"|"&amp;UPPER(TRIM(D193)),"")</f>
        <v/>
      </c>
    </row>
    <row r="194" ht="15.75" customHeight="1" s="217">
      <c r="A194" s="397" t="n">
        <v>192</v>
      </c>
      <c r="B194" s="397" t="inlineStr">
        <is>
          <t>PROX</t>
        </is>
      </c>
      <c r="C194" s="398" t="inlineStr">
        <is>
          <t>PROXMANN MOTOR PARCALARI IMALAT SAN. TIC. LTD STI</t>
        </is>
      </c>
      <c r="D194" s="399" t="n"/>
      <c r="E194" s="399" t="n"/>
      <c r="F194" s="398" t="inlineStr">
        <is>
          <t>KONYA/ Turkey</t>
        </is>
      </c>
      <c r="G194" s="399" t="n"/>
      <c r="H194" s="399" t="n"/>
      <c r="J194" s="392">
        <f>IFERROR(UPPER(TRIM(B194))&amp;"|"&amp;UPPER(TRIM(C194))&amp;"|"&amp;UPPER(TRIM(D194)),"")</f>
        <v/>
      </c>
    </row>
    <row r="195" ht="15.75" customHeight="1" s="217">
      <c r="A195" s="400" t="n">
        <v>193</v>
      </c>
      <c r="B195" s="400" t="inlineStr">
        <is>
          <t>KH3542</t>
        </is>
      </c>
      <c r="C195" s="401" t="inlineStr">
        <is>
          <t>Cơ Khí Trí Thành - Cà Mau/ 0946.181.901</t>
        </is>
      </c>
      <c r="D195" s="400" t="inlineStr">
        <is>
          <t>0946.181.901</t>
        </is>
      </c>
      <c r="E195" s="402" t="n"/>
      <c r="F195" s="401" t="inlineStr">
        <is>
          <t>Thị trấn Sông Đốc, Huyện Trần Văn Thời, Cà Mau</t>
        </is>
      </c>
      <c r="G195" s="400" t="inlineStr">
        <is>
          <t>CMAU</t>
        </is>
      </c>
      <c r="H195" s="402" t="n"/>
      <c r="J195" s="392">
        <f>IFERROR(UPPER(TRIM(B195))&amp;"|"&amp;UPPER(TRIM(C195))&amp;"|"&amp;UPPER(TRIM(D195)),"")</f>
        <v/>
      </c>
    </row>
    <row r="196" ht="15.75" customHeight="1" s="217">
      <c r="A196" s="397" t="n">
        <v>194</v>
      </c>
      <c r="B196" s="397" t="inlineStr">
        <is>
          <t>KH3541</t>
        </is>
      </c>
      <c r="C196" s="398" t="inlineStr">
        <is>
          <t>Xưởng anh Vạn  - Đăk Lắc/Anh Vạn: 0978.293.393</t>
        </is>
      </c>
      <c r="D196" s="397" t="inlineStr">
        <is>
          <t>0978.293.393</t>
        </is>
      </c>
      <c r="E196" s="399" t="n"/>
      <c r="F196" s="398" t="inlineStr">
        <is>
          <t>Km68, Eaka, Đăk Lắc</t>
        </is>
      </c>
      <c r="G196" s="397" t="inlineStr">
        <is>
          <t>ÐL</t>
        </is>
      </c>
      <c r="H196" s="399" t="n"/>
      <c r="J196" s="392">
        <f>IFERROR(UPPER(TRIM(B196))&amp;"|"&amp;UPPER(TRIM(C196))&amp;"|"&amp;UPPER(TRIM(D196)),"")</f>
        <v/>
      </c>
    </row>
    <row r="197" ht="15.75" customHeight="1" s="217">
      <c r="A197" s="400" t="n">
        <v>195</v>
      </c>
      <c r="B197" s="400" t="inlineStr">
        <is>
          <t>KH3539</t>
        </is>
      </c>
      <c r="C197" s="401" t="inlineStr">
        <is>
          <t>Công Ty Vật Liệu Xây Dựng Bạc Mai -/ Anh Đức: 0975.289.721</t>
        </is>
      </c>
      <c r="D197" s="400" t="inlineStr">
        <is>
          <t>0975.289.721</t>
        </is>
      </c>
      <c r="E197" s="402" t="n"/>
      <c r="F197" s="401" t="inlineStr">
        <is>
          <t>Long Thành - Đồng Nai</t>
        </is>
      </c>
      <c r="G197" s="400" t="inlineStr">
        <is>
          <t>ÐNAI</t>
        </is>
      </c>
      <c r="H197" s="402" t="n"/>
      <c r="J197" s="392">
        <f>IFERROR(UPPER(TRIM(B197))&amp;"|"&amp;UPPER(TRIM(C197))&amp;"|"&amp;UPPER(TRIM(D197)),"")</f>
        <v/>
      </c>
    </row>
    <row r="198" ht="15.75" customHeight="1" s="217">
      <c r="A198" s="397" t="n">
        <v>196</v>
      </c>
      <c r="B198" s="397" t="inlineStr">
        <is>
          <t>KH3540</t>
        </is>
      </c>
      <c r="C198" s="398" t="inlineStr">
        <is>
          <t>Anh Bảy-Quốc Lộ 13/ 0902.745.343</t>
        </is>
      </c>
      <c r="D198" s="397" t="inlineStr">
        <is>
          <t>0902.745.343</t>
        </is>
      </c>
      <c r="E198" s="399" t="n"/>
      <c r="F198" s="398" t="inlineStr">
        <is>
          <t>Quốc lộ 13, Hiệp Bình Phước, Thủ Đức, Sài Gòn</t>
        </is>
      </c>
      <c r="G198" s="397" t="inlineStr">
        <is>
          <t>SG/HCM</t>
        </is>
      </c>
      <c r="H198" s="399" t="n"/>
      <c r="J198" s="392">
        <f>IFERROR(UPPER(TRIM(B198))&amp;"|"&amp;UPPER(TRIM(C198))&amp;"|"&amp;UPPER(TRIM(D198)),"")</f>
        <v/>
      </c>
    </row>
    <row r="199" ht="15.75" customHeight="1" s="217">
      <c r="A199" s="400" t="n">
        <v>197</v>
      </c>
      <c r="B199" s="400" t="inlineStr">
        <is>
          <t>KH3537</t>
        </is>
      </c>
      <c r="C199" s="401" t="inlineStr">
        <is>
          <t>Xưởng Chú Tâm - Gò Vấp/ Chú Tâm: 0913.925.574</t>
        </is>
      </c>
      <c r="D199" s="400" t="inlineStr">
        <is>
          <t>0913.925.574</t>
        </is>
      </c>
      <c r="E199" s="402" t="n"/>
      <c r="F199" s="401" t="inlineStr">
        <is>
          <t>Gò Vấp, TP Hồ Chí Minh</t>
        </is>
      </c>
      <c r="G199" s="400" t="inlineStr">
        <is>
          <t>SG/HCM</t>
        </is>
      </c>
      <c r="H199" s="402" t="n"/>
      <c r="J199" s="392">
        <f>IFERROR(UPPER(TRIM(B199))&amp;"|"&amp;UPPER(TRIM(C199))&amp;"|"&amp;UPPER(TRIM(D199)),"")</f>
        <v/>
      </c>
    </row>
    <row r="200" ht="15.75" customHeight="1" s="217">
      <c r="A200" s="397" t="n">
        <v>198</v>
      </c>
      <c r="B200" s="397" t="inlineStr">
        <is>
          <t>KH3538</t>
        </is>
      </c>
      <c r="C200" s="398" t="inlineStr">
        <is>
          <t>A Duyệt - Bù Đăng - Bình Phước / 0974.632.688</t>
        </is>
      </c>
      <c r="D200" s="397" t="inlineStr">
        <is>
          <t>0974.632.688</t>
        </is>
      </c>
      <c r="E200" s="399" t="n"/>
      <c r="F200" s="398" t="inlineStr">
        <is>
          <t>Bù Đăng, Bình Phước</t>
        </is>
      </c>
      <c r="G200" s="397" t="inlineStr">
        <is>
          <t>BP</t>
        </is>
      </c>
      <c r="H200" s="399" t="n"/>
      <c r="J200" s="392">
        <f>IFERROR(UPPER(TRIM(B200))&amp;"|"&amp;UPPER(TRIM(C200))&amp;"|"&amp;UPPER(TRIM(D200)),"")</f>
        <v/>
      </c>
    </row>
    <row r="201" ht="15.75" customHeight="1" s="217">
      <c r="A201" s="400" t="n">
        <v>199</v>
      </c>
      <c r="B201" s="400" t="inlineStr">
        <is>
          <t>KH3536</t>
        </is>
      </c>
      <c r="C201" s="401" t="inlineStr">
        <is>
          <t>Xưởng Anh Trung- Đăk  Nông / 0855.992.679</t>
        </is>
      </c>
      <c r="D201" s="400" t="inlineStr">
        <is>
          <t>0855.992.679</t>
        </is>
      </c>
      <c r="E201" s="402" t="n"/>
      <c r="F201" s="401" t="inlineStr">
        <is>
          <t>Tuy Đức- Đăk Nông</t>
        </is>
      </c>
      <c r="G201" s="400" t="inlineStr">
        <is>
          <t>DNONG</t>
        </is>
      </c>
      <c r="H201" s="402" t="n"/>
      <c r="J201" s="392">
        <f>IFERROR(UPPER(TRIM(B201))&amp;"|"&amp;UPPER(TRIM(C201))&amp;"|"&amp;UPPER(TRIM(D201)),"")</f>
        <v/>
      </c>
    </row>
    <row r="202" ht="15.75" customHeight="1" s="217">
      <c r="A202" s="397" t="n">
        <v>200</v>
      </c>
      <c r="B202" s="397" t="inlineStr">
        <is>
          <t>KH3534</t>
        </is>
      </c>
      <c r="C202" s="398" t="inlineStr">
        <is>
          <t>Anh Nhựt (Thợ máy) - Bình Dương/Anh Nhựt: 0907.012.323</t>
        </is>
      </c>
      <c r="D202" s="397" t="inlineStr">
        <is>
          <t>0907.012.323</t>
        </is>
      </c>
      <c r="E202" s="399" t="n"/>
      <c r="F202" s="398" t="inlineStr">
        <is>
          <t>Tân Uyên - Bình Dương</t>
        </is>
      </c>
      <c r="G202" s="397" t="inlineStr">
        <is>
          <t>BDUONG</t>
        </is>
      </c>
      <c r="H202" s="399" t="n"/>
      <c r="J202" s="392">
        <f>IFERROR(UPPER(TRIM(B202))&amp;"|"&amp;UPPER(TRIM(C202))&amp;"|"&amp;UPPER(TRIM(D202)),"")</f>
        <v/>
      </c>
    </row>
    <row r="203" ht="15.75" customHeight="1" s="217">
      <c r="A203" s="400" t="n">
        <v>201</v>
      </c>
      <c r="B203" s="400" t="inlineStr">
        <is>
          <t>KH3535</t>
        </is>
      </c>
      <c r="C203" s="401" t="inlineStr">
        <is>
          <t>Cửa hàng Thành Công-Gia Lai /Anh Tuấn-0349.192.763</t>
        </is>
      </c>
      <c r="D203" s="400" t="inlineStr">
        <is>
          <t>0349.192.763</t>
        </is>
      </c>
      <c r="E203" s="402" t="n"/>
      <c r="F203" s="401" t="inlineStr">
        <is>
          <t>129/01 Ngô Gia Khảm, Tổ 4, P. Trà Bá, TP Pleiku, Gia Lai</t>
        </is>
      </c>
      <c r="G203" s="400" t="inlineStr">
        <is>
          <t>GLAI</t>
        </is>
      </c>
      <c r="H203" s="402" t="n"/>
      <c r="J203" s="392">
        <f>IFERROR(UPPER(TRIM(B203))&amp;"|"&amp;UPPER(TRIM(C203))&amp;"|"&amp;UPPER(TRIM(D203)),"")</f>
        <v/>
      </c>
    </row>
    <row r="204" ht="15.75" customHeight="1" s="217">
      <c r="A204" s="397" t="n">
        <v>202</v>
      </c>
      <c r="B204" s="397" t="inlineStr">
        <is>
          <t>KH3531</t>
        </is>
      </c>
      <c r="C204" s="398" t="inlineStr">
        <is>
          <t>Xe Nâng Bùi Gia- Củ Chi/ A Tuấn-0343.150.652</t>
        </is>
      </c>
      <c r="D204" s="397" t="inlineStr">
        <is>
          <t>0343.150.652</t>
        </is>
      </c>
      <c r="E204" s="399" t="n"/>
      <c r="F204" s="398" t="inlineStr">
        <is>
          <t>Huyện Củ Chi-Sài Gòn</t>
        </is>
      </c>
      <c r="G204" s="397" t="inlineStr">
        <is>
          <t>SG/HCM</t>
        </is>
      </c>
      <c r="H204" s="399" t="n"/>
      <c r="J204" s="392">
        <f>IFERROR(UPPER(TRIM(B204))&amp;"|"&amp;UPPER(TRIM(C204))&amp;"|"&amp;UPPER(TRIM(D204)),"")</f>
        <v/>
      </c>
    </row>
    <row r="205" ht="15.75" customHeight="1" s="217">
      <c r="A205" s="400" t="n">
        <v>203</v>
      </c>
      <c r="B205" s="400" t="inlineStr">
        <is>
          <t>KH3532</t>
        </is>
      </c>
      <c r="C205" s="401" t="inlineStr">
        <is>
          <t>Xưởng Anh Phương- Gia Lai/ 0984.483.843</t>
        </is>
      </c>
      <c r="D205" s="400" t="inlineStr">
        <is>
          <t>0984.483.843</t>
        </is>
      </c>
      <c r="E205" s="402" t="n"/>
      <c r="F205" s="401" t="inlineStr">
        <is>
          <t>121/1 Lê Đại Hành- Pleiku-Gia Lai</t>
        </is>
      </c>
      <c r="G205" s="400" t="inlineStr">
        <is>
          <t>GLAI</t>
        </is>
      </c>
      <c r="H205" s="402" t="n"/>
      <c r="J205" s="392">
        <f>IFERROR(UPPER(TRIM(B205))&amp;"|"&amp;UPPER(TRIM(C205))&amp;"|"&amp;UPPER(TRIM(D205)),"")</f>
        <v/>
      </c>
    </row>
    <row r="206" ht="15.75" customHeight="1" s="217">
      <c r="A206" s="397" t="n">
        <v>204</v>
      </c>
      <c r="B206" s="397" t="inlineStr">
        <is>
          <t>KH3533</t>
        </is>
      </c>
      <c r="C206" s="398" t="inlineStr">
        <is>
          <t>Cửa hàng Turbo Thanh Duy/ A Kiệt - Cần Thơ/ 0918.932.907</t>
        </is>
      </c>
      <c r="D206" s="397" t="inlineStr">
        <is>
          <t>0918.932.907</t>
        </is>
      </c>
      <c r="E206" s="399" t="n"/>
      <c r="F206" s="398" t="inlineStr">
        <is>
          <t>347 KV Thới Hạnh 1, P thới Thuận ,Q Thốt Nốt - TP  Cần Thơ</t>
        </is>
      </c>
      <c r="G206" s="397" t="inlineStr">
        <is>
          <t>CTHO</t>
        </is>
      </c>
      <c r="H206" s="399" t="n"/>
      <c r="J206" s="392">
        <f>IFERROR(UPPER(TRIM(B206))&amp;"|"&amp;UPPER(TRIM(C206))&amp;"|"&amp;UPPER(TRIM(D206)),"")</f>
        <v/>
      </c>
    </row>
    <row r="207" ht="15.75" customHeight="1" s="217">
      <c r="A207" s="400" t="n">
        <v>205</v>
      </c>
      <c r="B207" s="400" t="inlineStr">
        <is>
          <t>KH3529</t>
        </is>
      </c>
      <c r="C207" s="401" t="inlineStr">
        <is>
          <t>Công ty Giao thông Thủy lợi Hà Nội / Anh Công: 0988.336.896</t>
        </is>
      </c>
      <c r="D207" s="400" t="inlineStr">
        <is>
          <t>0988.336.896</t>
        </is>
      </c>
      <c r="E207" s="402" t="n"/>
      <c r="F207" s="401" t="inlineStr">
        <is>
          <t>37/2C/6 đường C18, P.12, Q. Tân Bình, TP Hồ Chí Minh</t>
        </is>
      </c>
      <c r="G207" s="400" t="inlineStr">
        <is>
          <t>SG/HCM</t>
        </is>
      </c>
      <c r="H207" s="402" t="n"/>
      <c r="J207" s="392">
        <f>IFERROR(UPPER(TRIM(B207))&amp;"|"&amp;UPPER(TRIM(C207))&amp;"|"&amp;UPPER(TRIM(D207)),"")</f>
        <v/>
      </c>
    </row>
    <row r="208" ht="15.75" customHeight="1" s="217">
      <c r="A208" s="397" t="n">
        <v>206</v>
      </c>
      <c r="B208" s="397" t="inlineStr">
        <is>
          <t>KH3530</t>
        </is>
      </c>
      <c r="C208" s="398" t="inlineStr">
        <is>
          <t>Anh Vàng (Cty vận tải) - Long An/ 0912.400.800</t>
        </is>
      </c>
      <c r="D208" s="397" t="inlineStr">
        <is>
          <t>0912.400.800</t>
        </is>
      </c>
      <c r="E208" s="399" t="n"/>
      <c r="F208" s="398" t="inlineStr">
        <is>
          <t>Long An</t>
        </is>
      </c>
      <c r="G208" s="397" t="inlineStr">
        <is>
          <t>LA</t>
        </is>
      </c>
      <c r="H208" s="399" t="n"/>
      <c r="J208" s="392">
        <f>IFERROR(UPPER(TRIM(B208))&amp;"|"&amp;UPPER(TRIM(C208))&amp;"|"&amp;UPPER(TRIM(D208)),"")</f>
        <v/>
      </c>
    </row>
    <row r="209" ht="15.75" customHeight="1" s="217">
      <c r="A209" s="400" t="n">
        <v>207</v>
      </c>
      <c r="B209" s="400" t="inlineStr">
        <is>
          <t>KH3527</t>
        </is>
      </c>
      <c r="C209" s="401" t="inlineStr">
        <is>
          <t>Xưởng Anh Khẩn - Quận 12/ Anh Khẩn: 0912.584.379</t>
        </is>
      </c>
      <c r="D209" s="400" t="inlineStr">
        <is>
          <t>0912.584.379</t>
        </is>
      </c>
      <c r="E209" s="402" t="n"/>
      <c r="F209" s="401" t="inlineStr">
        <is>
          <t>An Phú Đông - Quận 12</t>
        </is>
      </c>
      <c r="G209" s="400" t="inlineStr">
        <is>
          <t>SG/HCM</t>
        </is>
      </c>
      <c r="H209" s="402" t="n"/>
      <c r="J209" s="392">
        <f>IFERROR(UPPER(TRIM(B209))&amp;"|"&amp;UPPER(TRIM(C209))&amp;"|"&amp;UPPER(TRIM(D209)),"")</f>
        <v/>
      </c>
    </row>
    <row r="210" ht="15.75" customHeight="1" s="217">
      <c r="A210" s="397" t="n">
        <v>208</v>
      </c>
      <c r="B210" s="397" t="inlineStr">
        <is>
          <t>KH3528</t>
        </is>
      </c>
      <c r="C210" s="398" t="inlineStr">
        <is>
          <t>Gara Anh Dần - Lâm Đồng/ Anh Dần: 0963.364.550</t>
        </is>
      </c>
      <c r="D210" s="397" t="inlineStr">
        <is>
          <t>0963.364.550</t>
        </is>
      </c>
      <c r="E210" s="399" t="n"/>
      <c r="F210" s="398" t="inlineStr">
        <is>
          <t>94 Trần Phú, Di Linh, Lâm Đồng</t>
        </is>
      </c>
      <c r="G210" s="397" t="inlineStr">
        <is>
          <t>LDONG</t>
        </is>
      </c>
      <c r="H210" s="399" t="n"/>
      <c r="J210" s="392">
        <f>IFERROR(UPPER(TRIM(B210))&amp;"|"&amp;UPPER(TRIM(C210))&amp;"|"&amp;UPPER(TRIM(D210)),"")</f>
        <v/>
      </c>
    </row>
    <row r="211" ht="15.75" customHeight="1" s="217">
      <c r="A211" s="400" t="n">
        <v>209</v>
      </c>
      <c r="B211" s="400" t="inlineStr">
        <is>
          <t>KH3526</t>
        </is>
      </c>
      <c r="C211" s="401" t="inlineStr">
        <is>
          <t>A Nam - Sài Gòn - 0368.787.566</t>
        </is>
      </c>
      <c r="D211" s="400" t="inlineStr">
        <is>
          <t>0368.787.566</t>
        </is>
      </c>
      <c r="E211" s="402" t="n"/>
      <c r="F211" s="401" t="inlineStr">
        <is>
          <t>Sài Gòn</t>
        </is>
      </c>
      <c r="G211" s="400" t="inlineStr">
        <is>
          <t>SG/HCM</t>
        </is>
      </c>
      <c r="H211" s="402" t="n"/>
      <c r="J211" s="392">
        <f>IFERROR(UPPER(TRIM(B211))&amp;"|"&amp;UPPER(TRIM(C211))&amp;"|"&amp;UPPER(TRIM(D211)),"")</f>
        <v/>
      </c>
    </row>
    <row r="212" ht="15.75" customHeight="1" s="217">
      <c r="A212" s="397" t="n">
        <v>210</v>
      </c>
      <c r="B212" s="397" t="inlineStr">
        <is>
          <t>KH3525</t>
        </is>
      </c>
      <c r="C212" s="398" t="inlineStr">
        <is>
          <t>KÉT NƯỚC HUY HOÀNG - QUẢNG NGÃI/ 0828.544.456</t>
        </is>
      </c>
      <c r="D212" s="397" t="inlineStr">
        <is>
          <t>0828.544.456</t>
        </is>
      </c>
      <c r="E212" s="399" t="n"/>
      <c r="F212" s="398" t="inlineStr">
        <is>
          <t>Ngã 3 Thạnh Trụ, MỘ ĐỨC , QUẢNG NGÃI</t>
        </is>
      </c>
      <c r="G212" s="397" t="inlineStr">
        <is>
          <t>QUNGAI</t>
        </is>
      </c>
      <c r="H212" s="399" t="n"/>
      <c r="J212" s="392">
        <f>IFERROR(UPPER(TRIM(B212))&amp;"|"&amp;UPPER(TRIM(C212))&amp;"|"&amp;UPPER(TRIM(D212)),"")</f>
        <v/>
      </c>
    </row>
    <row r="213" ht="15.75" customHeight="1" s="217">
      <c r="A213" s="400" t="n">
        <v>211</v>
      </c>
      <c r="B213" s="400" t="inlineStr">
        <is>
          <t>KH3523</t>
        </is>
      </c>
      <c r="C213" s="401" t="inlineStr">
        <is>
          <t>Cửa hàng Phụ Tùng ô tô Trọng Tín/ 0986.355.481</t>
        </is>
      </c>
      <c r="D213" s="400" t="inlineStr">
        <is>
          <t>0986.355.481</t>
        </is>
      </c>
      <c r="E213" s="402" t="n"/>
      <c r="F213" s="401" t="inlineStr">
        <is>
          <t>25/10 đại lộ Bình Dương, Lái Thiêu, Thuận An, Bình Dương</t>
        </is>
      </c>
      <c r="G213" s="400" t="inlineStr">
        <is>
          <t>BDUONG</t>
        </is>
      </c>
      <c r="H213" s="402" t="n"/>
      <c r="J213" s="392">
        <f>IFERROR(UPPER(TRIM(B213))&amp;"|"&amp;UPPER(TRIM(C213))&amp;"|"&amp;UPPER(TRIM(D213)),"")</f>
        <v/>
      </c>
    </row>
    <row r="214" ht="15.75" customHeight="1" s="217">
      <c r="A214" s="397" t="n">
        <v>212</v>
      </c>
      <c r="B214" s="397" t="inlineStr">
        <is>
          <t>KH3524</t>
        </is>
      </c>
      <c r="C214" s="398" t="inlineStr">
        <is>
          <t>CH Phụ Tùng Ô TÔ HỮU HẬU  / 0939.006.466</t>
        </is>
      </c>
      <c r="D214" s="397" t="inlineStr">
        <is>
          <t>0939.006.466</t>
        </is>
      </c>
      <c r="E214" s="399" t="n"/>
      <c r="F214" s="398" t="inlineStr">
        <is>
          <t>TP Long Xuyên, An Giang</t>
        </is>
      </c>
      <c r="G214" s="397" t="inlineStr">
        <is>
          <t>ANGIANG</t>
        </is>
      </c>
      <c r="H214" s="399" t="n"/>
      <c r="J214" s="392">
        <f>IFERROR(UPPER(TRIM(B214))&amp;"|"&amp;UPPER(TRIM(C214))&amp;"|"&amp;UPPER(TRIM(D214)),"")</f>
        <v/>
      </c>
    </row>
    <row r="215" ht="15.75" customHeight="1" s="217">
      <c r="A215" s="400" t="n">
        <v>213</v>
      </c>
      <c r="B215" s="400" t="inlineStr">
        <is>
          <t>KH3522</t>
        </is>
      </c>
      <c r="C215" s="401" t="inlineStr">
        <is>
          <t>Phụ Tùng Ô Tô Vân Khánh, Đức Trọng/ 0979.999.922</t>
        </is>
      </c>
      <c r="D215" s="400" t="inlineStr">
        <is>
          <t>0979.999.922</t>
        </is>
      </c>
      <c r="E215" s="402" t="n"/>
      <c r="F215" s="401" t="inlineStr">
        <is>
          <t>23 Hai Bà Trưng, Liên Nghĩa, Đức Trọng, Lâm Đồng</t>
        </is>
      </c>
      <c r="G215" s="400" t="inlineStr">
        <is>
          <t>LDONG</t>
        </is>
      </c>
      <c r="H215" s="402" t="n"/>
      <c r="J215" s="392">
        <f>IFERROR(UPPER(TRIM(B215))&amp;"|"&amp;UPPER(TRIM(C215))&amp;"|"&amp;UPPER(TRIM(D215)),"")</f>
        <v/>
      </c>
    </row>
    <row r="216" ht="15.75" customHeight="1" s="217">
      <c r="A216" s="397" t="n">
        <v>214</v>
      </c>
      <c r="B216" s="397" t="inlineStr">
        <is>
          <t>KH3520</t>
        </is>
      </c>
      <c r="C216" s="398" t="inlineStr">
        <is>
          <t>Cửa hàng Anh Tùng - Tây Ninh/ Anh Tùng: 0944.406.908</t>
        </is>
      </c>
      <c r="D216" s="397" t="inlineStr">
        <is>
          <t>0944.406.908</t>
        </is>
      </c>
      <c r="E216" s="399" t="n"/>
      <c r="F216" s="398" t="inlineStr">
        <is>
          <t>Khu phố 1, Thị trấn Châu Thành, Tây Ninh</t>
        </is>
      </c>
      <c r="G216" s="397" t="inlineStr">
        <is>
          <t>TNINH</t>
        </is>
      </c>
      <c r="H216" s="399" t="n"/>
      <c r="J216" s="392">
        <f>IFERROR(UPPER(TRIM(B216))&amp;"|"&amp;UPPER(TRIM(C216))&amp;"|"&amp;UPPER(TRIM(D216)),"")</f>
        <v/>
      </c>
    </row>
    <row r="217" ht="15.75" customHeight="1" s="217">
      <c r="A217" s="400" t="n">
        <v>215</v>
      </c>
      <c r="B217" s="400" t="inlineStr">
        <is>
          <t>KH3521</t>
        </is>
      </c>
      <c r="C217" s="401" t="inlineStr">
        <is>
          <t>Cửa Hàng Phụ Tùng SON KIM AUTO PARTS/  0987.199.989</t>
        </is>
      </c>
      <c r="D217" s="400" t="inlineStr">
        <is>
          <t>0987.199.989</t>
        </is>
      </c>
      <c r="E217" s="402" t="n"/>
      <c r="F217" s="401" t="inlineStr">
        <is>
          <t>115/52 Trần Đình Xu, Phường Nguyễn Cư Trinh, Quận 1, SG</t>
        </is>
      </c>
      <c r="G217" s="400" t="inlineStr">
        <is>
          <t>SG/HCM</t>
        </is>
      </c>
      <c r="H217" s="402" t="n"/>
      <c r="J217" s="392">
        <f>IFERROR(UPPER(TRIM(B217))&amp;"|"&amp;UPPER(TRIM(C217))&amp;"|"&amp;UPPER(TRIM(D217)),"")</f>
        <v/>
      </c>
    </row>
    <row r="218" ht="15.75" customHeight="1" s="217">
      <c r="A218" s="397" t="n">
        <v>216</v>
      </c>
      <c r="B218" s="397" t="inlineStr">
        <is>
          <t>KH3518</t>
        </is>
      </c>
      <c r="C218" s="398" t="inlineStr">
        <is>
          <t>Anh Hiệp (thợ máy) - Ninh Thuận/ Anh Hiệp: 0914.926.711</t>
        </is>
      </c>
      <c r="D218" s="397" t="inlineStr">
        <is>
          <t>0914.926.711</t>
        </is>
      </c>
      <c r="E218" s="399" t="n"/>
      <c r="F218" s="398" t="inlineStr">
        <is>
          <t>Phan Rang - Ninh Thuận</t>
        </is>
      </c>
      <c r="G218" s="397" t="inlineStr">
        <is>
          <t>NTHUAN</t>
        </is>
      </c>
      <c r="H218" s="399" t="n"/>
      <c r="J218" s="392">
        <f>IFERROR(UPPER(TRIM(B218))&amp;"|"&amp;UPPER(TRIM(C218))&amp;"|"&amp;UPPER(TRIM(D218)),"")</f>
        <v/>
      </c>
    </row>
    <row r="219" ht="15.75" customHeight="1" s="217">
      <c r="A219" s="400" t="n">
        <v>217</v>
      </c>
      <c r="B219" s="400" t="inlineStr">
        <is>
          <t>KH3519</t>
        </is>
      </c>
      <c r="C219" s="401" t="inlineStr">
        <is>
          <t>Anh Cao - Chơn Thành/ 0978.278.199</t>
        </is>
      </c>
      <c r="D219" s="400" t="inlineStr">
        <is>
          <t>0978.278.199</t>
        </is>
      </c>
      <c r="E219" s="402" t="n"/>
      <c r="F219" s="401" t="inlineStr">
        <is>
          <t>Chơn Thành, Bình Phước</t>
        </is>
      </c>
      <c r="G219" s="400" t="inlineStr">
        <is>
          <t>BP</t>
        </is>
      </c>
      <c r="H219" s="402" t="n"/>
      <c r="J219" s="392">
        <f>IFERROR(UPPER(TRIM(B219))&amp;"|"&amp;UPPER(TRIM(C219))&amp;"|"&amp;UPPER(TRIM(D219)),"")</f>
        <v/>
      </c>
    </row>
    <row r="220" ht="15.75" customHeight="1" s="217">
      <c r="A220" s="397" t="n">
        <v>218</v>
      </c>
      <c r="B220" s="397" t="inlineStr">
        <is>
          <t>KH3517</t>
        </is>
      </c>
      <c r="C220" s="398" t="inlineStr">
        <is>
          <t>Công TY CP  Đạt Phương -Đăk  Lắc / Anh  Thọ -0945.369.425</t>
        </is>
      </c>
      <c r="D220" s="397" t="inlineStr">
        <is>
          <t>0945.369.425</t>
        </is>
      </c>
      <c r="E220" s="399" t="n"/>
      <c r="F220" s="398" t="inlineStr">
        <is>
          <t>Buôn Mê Thuột- Đăk  Lắc</t>
        </is>
      </c>
      <c r="G220" s="397" t="inlineStr">
        <is>
          <t>ÐL</t>
        </is>
      </c>
      <c r="H220" s="399" t="n"/>
      <c r="J220" s="392">
        <f>IFERROR(UPPER(TRIM(B220))&amp;"|"&amp;UPPER(TRIM(C220))&amp;"|"&amp;UPPER(TRIM(D220)),"")</f>
        <v/>
      </c>
    </row>
    <row r="221" ht="15.75" customHeight="1" s="217">
      <c r="A221" s="400" t="n">
        <v>219</v>
      </c>
      <c r="B221" s="400" t="inlineStr">
        <is>
          <t>KH3516</t>
        </is>
      </c>
      <c r="C221" s="401" t="inlineStr">
        <is>
          <t>Cửa hàng Anh Hiếu - Bình Tân/ Anh Hiếu: 0903.663.330</t>
        </is>
      </c>
      <c r="D221" s="400" t="inlineStr">
        <is>
          <t>0903.663.330</t>
        </is>
      </c>
      <c r="E221" s="402" t="n"/>
      <c r="F221" s="401" t="inlineStr">
        <is>
          <t>Số 6/3 đường Bình Trị Đông, phường Bình Trị Đông, Bình Tân, TP Hồ Chí Minh</t>
        </is>
      </c>
      <c r="G221" s="400" t="inlineStr">
        <is>
          <t>SG/HCM</t>
        </is>
      </c>
      <c r="H221" s="402" t="n"/>
      <c r="J221" s="392">
        <f>IFERROR(UPPER(TRIM(B221))&amp;"|"&amp;UPPER(TRIM(C221))&amp;"|"&amp;UPPER(TRIM(D221)),"")</f>
        <v/>
      </c>
    </row>
    <row r="222" ht="15.75" customHeight="1" s="217">
      <c r="A222" s="397" t="n">
        <v>220</v>
      </c>
      <c r="B222" s="397" t="inlineStr">
        <is>
          <t>KH3514</t>
        </is>
      </c>
      <c r="C222" s="398" t="inlineStr">
        <is>
          <t>Công ty  CP Cơ khí ô tô Hòa Bình - Bình Thuận/ Chị Hiền: 0867.008.979</t>
        </is>
      </c>
      <c r="D222" s="397" t="inlineStr">
        <is>
          <t>0867.008.979</t>
        </is>
      </c>
      <c r="E222" s="399" t="n"/>
      <c r="F222" s="398" t="inlineStr">
        <is>
          <t>Km 1724 Quốc lộ 1A, thôn Minh Tiến, Hà Minh, Hàm Thuận Nam, Bình Thuận</t>
        </is>
      </c>
      <c r="G222" s="397" t="inlineStr">
        <is>
          <t>BTHUAN</t>
        </is>
      </c>
      <c r="H222" s="399" t="n"/>
      <c r="J222" s="392">
        <f>IFERROR(UPPER(TRIM(B222))&amp;"|"&amp;UPPER(TRIM(C222))&amp;"|"&amp;UPPER(TRIM(D222)),"")</f>
        <v/>
      </c>
    </row>
    <row r="223" ht="15.75" customHeight="1" s="217">
      <c r="A223" s="400" t="n">
        <v>221</v>
      </c>
      <c r="B223" s="400" t="inlineStr">
        <is>
          <t>KH3515</t>
        </is>
      </c>
      <c r="C223" s="401" t="inlineStr">
        <is>
          <t>Anh Hiếu-Cần Thơ / 0907.407.658</t>
        </is>
      </c>
      <c r="D223" s="400" t="inlineStr">
        <is>
          <t>0907.407.658</t>
        </is>
      </c>
      <c r="E223" s="402" t="n"/>
      <c r="F223" s="401" t="inlineStr">
        <is>
          <t>Cần Thơ</t>
        </is>
      </c>
      <c r="G223" s="400" t="inlineStr">
        <is>
          <t>CTHO</t>
        </is>
      </c>
      <c r="H223" s="402" t="n"/>
      <c r="J223" s="392">
        <f>IFERROR(UPPER(TRIM(B223))&amp;"|"&amp;UPPER(TRIM(C223))&amp;"|"&amp;UPPER(TRIM(D223)),"")</f>
        <v/>
      </c>
    </row>
    <row r="224" ht="15.75" customHeight="1" s="217">
      <c r="A224" s="397" t="n">
        <v>222</v>
      </c>
      <c r="B224" s="397" t="inlineStr">
        <is>
          <t>KH3513</t>
        </is>
      </c>
      <c r="C224" s="398" t="inlineStr">
        <is>
          <t>Anh Hùng - Long Xuyên/ 0987.770.770</t>
        </is>
      </c>
      <c r="D224" s="397" t="inlineStr">
        <is>
          <t>0987.770.770</t>
        </is>
      </c>
      <c r="E224" s="399" t="n"/>
      <c r="F224" s="398" t="inlineStr">
        <is>
          <t>Long Xuyên - An Giang</t>
        </is>
      </c>
      <c r="G224" s="397" t="inlineStr">
        <is>
          <t>ANGIANG</t>
        </is>
      </c>
      <c r="H224" s="399" t="n"/>
      <c r="J224" s="392">
        <f>IFERROR(UPPER(TRIM(B224))&amp;"|"&amp;UPPER(TRIM(C224))&amp;"|"&amp;UPPER(TRIM(D224)),"")</f>
        <v/>
      </c>
    </row>
    <row r="225" ht="15.75" customHeight="1" s="217">
      <c r="A225" s="400" t="n">
        <v>223</v>
      </c>
      <c r="B225" s="400" t="inlineStr">
        <is>
          <t>KH3512</t>
        </is>
      </c>
      <c r="C225" s="401" t="inlineStr">
        <is>
          <t>Anh Trường (Thợ máy) - Dĩ An - Bình Dương/ 0909.390.178</t>
        </is>
      </c>
      <c r="D225" s="400" t="inlineStr">
        <is>
          <t>0909.390.178</t>
        </is>
      </c>
      <c r="E225" s="402" t="n"/>
      <c r="F225" s="401" t="inlineStr">
        <is>
          <t>Dĩ An - Bình Dương</t>
        </is>
      </c>
      <c r="G225" s="400" t="inlineStr">
        <is>
          <t>BDUONG</t>
        </is>
      </c>
      <c r="H225" s="402" t="n"/>
      <c r="J225" s="392">
        <f>IFERROR(UPPER(TRIM(B225))&amp;"|"&amp;UPPER(TRIM(C225))&amp;"|"&amp;UPPER(TRIM(D225)),"")</f>
        <v/>
      </c>
    </row>
    <row r="226" ht="15.75" customHeight="1" s="217">
      <c r="A226" s="397" t="n">
        <v>224</v>
      </c>
      <c r="B226" s="397" t="inlineStr">
        <is>
          <t>KH3511</t>
        </is>
      </c>
      <c r="C226" s="398" t="inlineStr">
        <is>
          <t>Chú Dốn - Bình Định/ Chú Dốn: 0984.946.868</t>
        </is>
      </c>
      <c r="D226" s="397" t="inlineStr">
        <is>
          <t>0984.946.868</t>
        </is>
      </c>
      <c r="E226" s="399" t="n"/>
      <c r="F226" s="398" t="inlineStr">
        <is>
          <t>Ân Tường Đông, Hoài Ân, Bình Định</t>
        </is>
      </c>
      <c r="G226" s="397" t="inlineStr">
        <is>
          <t>BDINH</t>
        </is>
      </c>
      <c r="H226" s="399" t="n"/>
      <c r="J226" s="392">
        <f>IFERROR(UPPER(TRIM(B226))&amp;"|"&amp;UPPER(TRIM(C226))&amp;"|"&amp;UPPER(TRIM(D226)),"")</f>
        <v/>
      </c>
    </row>
    <row r="227" ht="15.75" customHeight="1" s="217">
      <c r="A227" s="400" t="n">
        <v>225</v>
      </c>
      <c r="B227" s="400" t="inlineStr">
        <is>
          <t>KH3509</t>
        </is>
      </c>
      <c r="C227" s="401" t="inlineStr">
        <is>
          <t>Cửa hàng PT ô tô Đinh Thành/Anh Thành: 0937.632.912</t>
        </is>
      </c>
      <c r="D227" s="400" t="inlineStr">
        <is>
          <t>0937.632.912</t>
        </is>
      </c>
      <c r="E227" s="402" t="n"/>
      <c r="F227" s="401" t="inlineStr">
        <is>
          <t>16/6B Quốc lộ 22, Ấp Chánh 2, Tân Xuân, Hóc Môn, TP Hồ Chí Minh</t>
        </is>
      </c>
      <c r="G227" s="400" t="inlineStr">
        <is>
          <t>SG/HCM</t>
        </is>
      </c>
      <c r="H227" s="402" t="n"/>
      <c r="J227" s="392">
        <f>IFERROR(UPPER(TRIM(B227))&amp;"|"&amp;UPPER(TRIM(C227))&amp;"|"&amp;UPPER(TRIM(D227)),"")</f>
        <v/>
      </c>
    </row>
    <row r="228" ht="15.75" customHeight="1" s="217">
      <c r="A228" s="397" t="n">
        <v>226</v>
      </c>
      <c r="B228" s="397" t="inlineStr">
        <is>
          <t>KH3510</t>
        </is>
      </c>
      <c r="C228" s="398" t="inlineStr">
        <is>
          <t>Anh Sơn - Phan Rang/ 0972.041.268</t>
        </is>
      </c>
      <c r="D228" s="397" t="inlineStr">
        <is>
          <t>0972.041.268</t>
        </is>
      </c>
      <c r="E228" s="399" t="n"/>
      <c r="F228" s="398" t="inlineStr">
        <is>
          <t>Phan Rang Tháp Chàm, Ninh Thuận</t>
        </is>
      </c>
      <c r="G228" s="397" t="inlineStr">
        <is>
          <t>NTHUAN</t>
        </is>
      </c>
      <c r="H228" s="399" t="n"/>
      <c r="J228" s="392">
        <f>IFERROR(UPPER(TRIM(B228))&amp;"|"&amp;UPPER(TRIM(C228))&amp;"|"&amp;UPPER(TRIM(D228)),"")</f>
        <v/>
      </c>
    </row>
    <row r="229" ht="15.75" customHeight="1" s="217">
      <c r="A229" s="400" t="n">
        <v>227</v>
      </c>
      <c r="B229" s="400" t="inlineStr">
        <is>
          <t>KH3508</t>
        </is>
      </c>
      <c r="C229" s="401" t="inlineStr">
        <is>
          <t>Công ty cổ phần Xây dựng Dịch vụ và Thương mại 68/ Anh Hoàn: 0968.427.817</t>
        </is>
      </c>
      <c r="D229" s="400" t="inlineStr">
        <is>
          <t>0968.427.817</t>
        </is>
      </c>
      <c r="E229" s="402" t="n"/>
      <c r="F229" s="401" t="inlineStr">
        <is>
          <t>Số 244 Kim Mã, Phường Kim Mã, Quận Ba Đình, Thành Phố Hà Nội</t>
        </is>
      </c>
      <c r="G229" s="400" t="inlineStr">
        <is>
          <t>HN</t>
        </is>
      </c>
      <c r="H229" s="402" t="n"/>
      <c r="J229" s="392">
        <f>IFERROR(UPPER(TRIM(B229))&amp;"|"&amp;UPPER(TRIM(C229))&amp;"|"&amp;UPPER(TRIM(D229)),"")</f>
        <v/>
      </c>
    </row>
    <row r="230" ht="15.75" customHeight="1" s="217">
      <c r="A230" s="397" t="n">
        <v>228</v>
      </c>
      <c r="B230" s="397" t="inlineStr">
        <is>
          <t>KH3507</t>
        </is>
      </c>
      <c r="C230" s="398" t="inlineStr">
        <is>
          <t>Công ty Tân Thuận Hưng/ A  Nhân - 0939.714.888</t>
        </is>
      </c>
      <c r="D230" s="397" t="inlineStr">
        <is>
          <t>0939.714.888</t>
        </is>
      </c>
      <c r="E230" s="399" t="n"/>
      <c r="F230" s="398" t="inlineStr">
        <is>
          <t>KCN Long Đức, đường Bùi Hữu Nghĩa, ấp Vĩnh Hưng, xã Long Đức, Tp Trà Vinh, Tĩnh Trà Vinh</t>
        </is>
      </c>
      <c r="G230" s="397" t="inlineStr">
        <is>
          <t>TV</t>
        </is>
      </c>
      <c r="H230" s="399" t="n"/>
      <c r="J230" s="392">
        <f>IFERROR(UPPER(TRIM(B230))&amp;"|"&amp;UPPER(TRIM(C230))&amp;"|"&amp;UPPER(TRIM(D230)),"")</f>
        <v/>
      </c>
    </row>
    <row r="231" ht="15.75" customHeight="1" s="217">
      <c r="A231" s="400" t="n">
        <v>229</v>
      </c>
      <c r="B231" s="400" t="inlineStr">
        <is>
          <t>HENWEIT</t>
        </is>
      </c>
      <c r="C231" s="401" t="inlineStr">
        <is>
          <t>SHENZHEN KUPOSI AUTO PARTS CO., LIMITED (HENWEIT)</t>
        </is>
      </c>
      <c r="D231" s="402" t="n"/>
      <c r="E231" s="402" t="n"/>
      <c r="F231" s="401" t="inlineStr">
        <is>
          <t>Room No.601, Tower C, Building 3, Cloud Park, Xuegang North Road, Bantian Street, Longgang District, Shenzhen City, Guangdong</t>
        </is>
      </c>
      <c r="G231" s="402" t="n"/>
      <c r="H231" s="402" t="n"/>
      <c r="J231" s="392">
        <f>IFERROR(UPPER(TRIM(B231))&amp;"|"&amp;UPPER(TRIM(C231))&amp;"|"&amp;UPPER(TRIM(D231)),"")</f>
        <v/>
      </c>
    </row>
    <row r="232" ht="15.75" customHeight="1" s="217">
      <c r="A232" s="397" t="n">
        <v>230</v>
      </c>
      <c r="B232" s="397" t="inlineStr">
        <is>
          <t>KH3505</t>
        </is>
      </c>
      <c r="C232" s="398" t="inlineStr">
        <is>
          <t>Gara Anh Trung - Long Thành/ Anh Trung: 0944.272.332</t>
        </is>
      </c>
      <c r="D232" s="397" t="inlineStr">
        <is>
          <t>0944.272.332</t>
        </is>
      </c>
      <c r="E232" s="399" t="n"/>
      <c r="F232" s="398" t="inlineStr">
        <is>
          <t>Long Thành - Đồng Nai</t>
        </is>
      </c>
      <c r="G232" s="397" t="inlineStr">
        <is>
          <t>ÐNAI</t>
        </is>
      </c>
      <c r="H232" s="399" t="n"/>
      <c r="J232" s="392">
        <f>IFERROR(UPPER(TRIM(B232))&amp;"|"&amp;UPPER(TRIM(C232))&amp;"|"&amp;UPPER(TRIM(D232)),"")</f>
        <v/>
      </c>
    </row>
    <row r="233" ht="15.75" customHeight="1" s="217">
      <c r="A233" s="400" t="n">
        <v>231</v>
      </c>
      <c r="B233" s="400" t="inlineStr">
        <is>
          <t>KH3506</t>
        </is>
      </c>
      <c r="C233" s="401" t="inlineStr">
        <is>
          <t>Xưởng Vân Tèo - An Giang/ 0918.341.209</t>
        </is>
      </c>
      <c r="D233" s="400" t="inlineStr">
        <is>
          <t>0918.341.209</t>
        </is>
      </c>
      <c r="E233" s="402" t="n"/>
      <c r="F233" s="401" t="inlineStr">
        <is>
          <t>Chợ mới, An Giang</t>
        </is>
      </c>
      <c r="G233" s="400" t="inlineStr">
        <is>
          <t>ANGIANG</t>
        </is>
      </c>
      <c r="H233" s="402" t="n"/>
      <c r="J233" s="392">
        <f>IFERROR(UPPER(TRIM(B233))&amp;"|"&amp;UPPER(TRIM(C233))&amp;"|"&amp;UPPER(TRIM(D233)),"")</f>
        <v/>
      </c>
    </row>
    <row r="234" ht="15.75" customHeight="1" s="217">
      <c r="A234" s="397" t="n">
        <v>232</v>
      </c>
      <c r="B234" s="397" t="inlineStr">
        <is>
          <t>KH3504</t>
        </is>
      </c>
      <c r="C234" s="398" t="inlineStr">
        <is>
          <t>Anh Mười Trần- Thợ Sửa chữa tự do-SG /0981.202.449</t>
        </is>
      </c>
      <c r="D234" s="397" t="inlineStr">
        <is>
          <t>0981.202.449</t>
        </is>
      </c>
      <c r="E234" s="399" t="n"/>
      <c r="F234" s="398" t="inlineStr">
        <is>
          <t>Sài Gòn</t>
        </is>
      </c>
      <c r="G234" s="397" t="inlineStr">
        <is>
          <t>SG/HCM</t>
        </is>
      </c>
      <c r="H234" s="399" t="n"/>
      <c r="J234" s="392">
        <f>IFERROR(UPPER(TRIM(B234))&amp;"|"&amp;UPPER(TRIM(C234))&amp;"|"&amp;UPPER(TRIM(D234)),"")</f>
        <v/>
      </c>
    </row>
    <row r="235" ht="15.75" customHeight="1" s="217">
      <c r="A235" s="400" t="n">
        <v>233</v>
      </c>
      <c r="B235" s="400" t="inlineStr">
        <is>
          <t>KH3503</t>
        </is>
      </c>
      <c r="C235" s="401" t="inlineStr">
        <is>
          <t>Cửa hàng Cơ Giới Minh Thịnh - Tây Ninh/ 0933.995.880</t>
        </is>
      </c>
      <c r="D235" s="400" t="inlineStr">
        <is>
          <t>0933.995.880</t>
        </is>
      </c>
      <c r="E235" s="402" t="n"/>
      <c r="F235" s="401" t="inlineStr">
        <is>
          <t>Ấp An Điền , Xã An Bình , Châu Thành - Tây Ninh</t>
        </is>
      </c>
      <c r="G235" s="400" t="inlineStr">
        <is>
          <t>TNINH</t>
        </is>
      </c>
      <c r="H235" s="402" t="n"/>
      <c r="J235" s="392">
        <f>IFERROR(UPPER(TRIM(B235))&amp;"|"&amp;UPPER(TRIM(C235))&amp;"|"&amp;UPPER(TRIM(D235)),"")</f>
        <v/>
      </c>
    </row>
    <row r="236" ht="15.75" customHeight="1" s="217">
      <c r="A236" s="397" t="n">
        <v>234</v>
      </c>
      <c r="B236" s="397" t="inlineStr">
        <is>
          <t>KH3502</t>
        </is>
      </c>
      <c r="C236" s="398" t="inlineStr">
        <is>
          <t>Gara Chí Vỹ - Bảo Lộc, Lâm Đồng /  0911.531.832</t>
        </is>
      </c>
      <c r="D236" s="397" t="inlineStr">
        <is>
          <t>0911.531.832</t>
        </is>
      </c>
      <c r="E236" s="399" t="n"/>
      <c r="F236" s="398" t="inlineStr">
        <is>
          <t>TP Bảo Lộc, Lâm Đồng</t>
        </is>
      </c>
      <c r="G236" s="397" t="inlineStr">
        <is>
          <t>LDONG</t>
        </is>
      </c>
      <c r="H236" s="399" t="n"/>
      <c r="J236" s="392">
        <f>IFERROR(UPPER(TRIM(B236))&amp;"|"&amp;UPPER(TRIM(C236))&amp;"|"&amp;UPPER(TRIM(D236)),"")</f>
        <v/>
      </c>
    </row>
    <row r="237" ht="15.75" customHeight="1" s="217">
      <c r="A237" s="400" t="n">
        <v>235</v>
      </c>
      <c r="B237" s="400" t="inlineStr">
        <is>
          <t>KH3500</t>
        </is>
      </c>
      <c r="C237" s="401" t="inlineStr">
        <is>
          <t>Chú Sáu - Hàng Xanh/0328.673.549</t>
        </is>
      </c>
      <c r="D237" s="400" t="inlineStr">
        <is>
          <t>0328.673.549</t>
        </is>
      </c>
      <c r="E237" s="402" t="n"/>
      <c r="F237" s="401" t="inlineStr">
        <is>
          <t>Hàng Xanh-Sài Gòn</t>
        </is>
      </c>
      <c r="G237" s="400" t="inlineStr">
        <is>
          <t>SG/HCM</t>
        </is>
      </c>
      <c r="H237" s="402" t="n"/>
      <c r="J237" s="392">
        <f>IFERROR(UPPER(TRIM(B237))&amp;"|"&amp;UPPER(TRIM(C237))&amp;"|"&amp;UPPER(TRIM(D237)),"")</f>
        <v/>
      </c>
    </row>
    <row r="238" ht="15.75" customHeight="1" s="217">
      <c r="A238" s="397" t="n">
        <v>236</v>
      </c>
      <c r="B238" s="397" t="inlineStr">
        <is>
          <t>KH3501</t>
        </is>
      </c>
      <c r="C238" s="398" t="inlineStr">
        <is>
          <t>Máy Công Trình  Minh Nguyễn/  0979.403.463</t>
        </is>
      </c>
      <c r="D238" s="397" t="inlineStr">
        <is>
          <t>0979.403.463</t>
        </is>
      </c>
      <c r="E238" s="399" t="n"/>
      <c r="F238" s="398" t="inlineStr">
        <is>
          <t>Đường DT 743, KP Ngãi Thắng , P Bình Thắng , Dĩ An , Bình Dương</t>
        </is>
      </c>
      <c r="G238" s="397" t="inlineStr">
        <is>
          <t>SG/HCM</t>
        </is>
      </c>
      <c r="H238" s="399" t="n"/>
      <c r="J238" s="392">
        <f>IFERROR(UPPER(TRIM(B238))&amp;"|"&amp;UPPER(TRIM(C238))&amp;"|"&amp;UPPER(TRIM(D238)),"")</f>
        <v/>
      </c>
    </row>
    <row r="239" ht="15.75" customHeight="1" s="217">
      <c r="A239" s="400" t="n">
        <v>237</v>
      </c>
      <c r="B239" s="400" t="inlineStr">
        <is>
          <t>KH3499</t>
        </is>
      </c>
      <c r="C239" s="401" t="inlineStr">
        <is>
          <t>Cơ Giới Quốc Chỉnh - Bà Rịa / 0377.005.367</t>
        </is>
      </c>
      <c r="D239" s="400" t="inlineStr">
        <is>
          <t>0377.005.367</t>
        </is>
      </c>
      <c r="E239" s="402" t="n"/>
      <c r="F239" s="401" t="inlineStr">
        <is>
          <t>Ql 51, Hải Sơn, Phước Hoà, Phú Mỹ, Bà Rịa - Vũng Tàu</t>
        </is>
      </c>
      <c r="G239" s="400" t="inlineStr">
        <is>
          <t>BRVT</t>
        </is>
      </c>
      <c r="H239" s="402" t="n"/>
      <c r="J239" s="392">
        <f>IFERROR(UPPER(TRIM(B239))&amp;"|"&amp;UPPER(TRIM(C239))&amp;"|"&amp;UPPER(TRIM(D239)),"")</f>
        <v/>
      </c>
    </row>
    <row r="240" ht="15.75" customHeight="1" s="217">
      <c r="A240" s="397" t="n">
        <v>238</v>
      </c>
      <c r="B240" s="397" t="inlineStr">
        <is>
          <t>KH3497</t>
        </is>
      </c>
      <c r="C240" s="398" t="inlineStr">
        <is>
          <t>Cơ giới Lê Minh - Phan Thiết/Anh Minh: 0984.852.379</t>
        </is>
      </c>
      <c r="D240" s="397" t="inlineStr">
        <is>
          <t>0984.852.379</t>
        </is>
      </c>
      <c r="E240" s="399" t="n"/>
      <c r="F240" s="398" t="inlineStr">
        <is>
          <t>Thôn Xuân Tài, xã Phong Nẫm, TP Phan Thiết, Bình Thuận</t>
        </is>
      </c>
      <c r="G240" s="397" t="inlineStr">
        <is>
          <t>BTHUAN</t>
        </is>
      </c>
      <c r="H240" s="399" t="n"/>
      <c r="J240" s="392">
        <f>IFERROR(UPPER(TRIM(B240))&amp;"|"&amp;UPPER(TRIM(C240))&amp;"|"&amp;UPPER(TRIM(D240)),"")</f>
        <v/>
      </c>
    </row>
    <row r="241" ht="15.75" customHeight="1" s="217">
      <c r="A241" s="400" t="n">
        <v>239</v>
      </c>
      <c r="B241" s="400" t="inlineStr">
        <is>
          <t>KH3498</t>
        </is>
      </c>
      <c r="C241" s="401" t="inlineStr">
        <is>
          <t>Anh Tâm (Turbo) - Bình Thạnh/ Anh Tâm: 0903.749.025</t>
        </is>
      </c>
      <c r="D241" s="400" t="inlineStr">
        <is>
          <t>0903.749.025</t>
        </is>
      </c>
      <c r="E241" s="402" t="n"/>
      <c r="F241" s="401" t="inlineStr">
        <is>
          <t>Bình Thạnh - TP Hồ Chí Minh</t>
        </is>
      </c>
      <c r="G241" s="400" t="inlineStr">
        <is>
          <t>SG/HCM</t>
        </is>
      </c>
      <c r="H241" s="402" t="n"/>
      <c r="J241" s="392">
        <f>IFERROR(UPPER(TRIM(B241))&amp;"|"&amp;UPPER(TRIM(C241))&amp;"|"&amp;UPPER(TRIM(D241)),"")</f>
        <v/>
      </c>
    </row>
    <row r="242" ht="15.75" customHeight="1" s="217">
      <c r="A242" s="397" t="n">
        <v>240</v>
      </c>
      <c r="B242" s="397" t="inlineStr">
        <is>
          <t>KH3496</t>
        </is>
      </c>
      <c r="C242" s="398" t="inlineStr">
        <is>
          <t>Xưởng Anh Gió - Khánh Hoà  /0905.240.259</t>
        </is>
      </c>
      <c r="D242" s="397" t="inlineStr">
        <is>
          <t>0905.240.259</t>
        </is>
      </c>
      <c r="E242" s="399" t="n"/>
      <c r="F242" s="398" t="inlineStr">
        <is>
          <t>Ninh Hoà-Khánh Hoà</t>
        </is>
      </c>
      <c r="G242" s="397" t="inlineStr">
        <is>
          <t>NTRANG</t>
        </is>
      </c>
      <c r="H242" s="399" t="n"/>
      <c r="J242" s="392">
        <f>IFERROR(UPPER(TRIM(B242))&amp;"|"&amp;UPPER(TRIM(C242))&amp;"|"&amp;UPPER(TRIM(D242)),"")</f>
        <v/>
      </c>
    </row>
    <row r="243" ht="15.75" customHeight="1" s="217">
      <c r="A243" s="400" t="n">
        <v>241</v>
      </c>
      <c r="B243" s="400" t="inlineStr">
        <is>
          <t>KH3495</t>
        </is>
      </c>
      <c r="C243" s="401" t="inlineStr">
        <is>
          <t>Xưởng Anh Tâm - Đồng Nai/ Anh Tâm: 0919.772.325</t>
        </is>
      </c>
      <c r="D243" s="400" t="inlineStr">
        <is>
          <t>0919.772.325</t>
        </is>
      </c>
      <c r="E243" s="402" t="n"/>
      <c r="F243" s="401" t="inlineStr">
        <is>
          <t>Tân Bình, Vĩnh Cửu, Đồng Nai</t>
        </is>
      </c>
      <c r="G243" s="400" t="inlineStr">
        <is>
          <t>ÐNAI</t>
        </is>
      </c>
      <c r="H243" s="402" t="n"/>
      <c r="J243" s="392">
        <f>IFERROR(UPPER(TRIM(B243))&amp;"|"&amp;UPPER(TRIM(C243))&amp;"|"&amp;UPPER(TRIM(D243)),"")</f>
        <v/>
      </c>
    </row>
    <row r="244" ht="15.75" customHeight="1" s="217">
      <c r="A244" s="397" t="n">
        <v>242</v>
      </c>
      <c r="B244" s="397" t="inlineStr">
        <is>
          <t>KH3492</t>
        </is>
      </c>
      <c r="C244" s="398" t="inlineStr">
        <is>
          <t>Xưởng A Trí - Nhà Bè/ 0903.160.905</t>
        </is>
      </c>
      <c r="D244" s="397" t="inlineStr">
        <is>
          <t>0903.160.905</t>
        </is>
      </c>
      <c r="E244" s="399" t="n"/>
      <c r="F244" s="398" t="inlineStr">
        <is>
          <t>Nhà Bè - TP HCM</t>
        </is>
      </c>
      <c r="G244" s="397" t="inlineStr">
        <is>
          <t>SG/HCM</t>
        </is>
      </c>
      <c r="H244" s="399" t="n"/>
      <c r="J244" s="392">
        <f>IFERROR(UPPER(TRIM(B244))&amp;"|"&amp;UPPER(TRIM(C244))&amp;"|"&amp;UPPER(TRIM(D244)),"")</f>
        <v/>
      </c>
    </row>
    <row r="245" ht="15.75" customHeight="1" s="217">
      <c r="A245" s="400" t="n">
        <v>243</v>
      </c>
      <c r="B245" s="400" t="inlineStr">
        <is>
          <t>KH3493</t>
        </is>
      </c>
      <c r="C245" s="401" t="inlineStr">
        <is>
          <t>Công ty CP Filler Masterbatch - A Khanh/ 0987.991.232</t>
        </is>
      </c>
      <c r="D245" s="400" t="inlineStr">
        <is>
          <t>0987.991.232</t>
        </is>
      </c>
      <c r="E245" s="402" t="n"/>
      <c r="F245" s="401" t="inlineStr">
        <is>
          <t>Lục Ngạn , Yên Bái</t>
        </is>
      </c>
      <c r="G245" s="400" t="inlineStr">
        <is>
          <t>HN</t>
        </is>
      </c>
      <c r="H245" s="402" t="n"/>
      <c r="J245" s="392">
        <f>IFERROR(UPPER(TRIM(B245))&amp;"|"&amp;UPPER(TRIM(C245))&amp;"|"&amp;UPPER(TRIM(D245)),"")</f>
        <v/>
      </c>
    </row>
    <row r="246" ht="15.75" customHeight="1" s="217">
      <c r="A246" s="397" t="n">
        <v>244</v>
      </c>
      <c r="B246" s="397" t="inlineStr">
        <is>
          <t>KH3494</t>
        </is>
      </c>
      <c r="C246" s="398" t="inlineStr">
        <is>
          <t>CH Tân Thành Lợi - Lagi Bình Thuận / A Thức 0377.261.884</t>
        </is>
      </c>
      <c r="D246" s="397" t="inlineStr">
        <is>
          <t>0377.261.884</t>
        </is>
      </c>
      <c r="E246" s="399" t="n"/>
      <c r="F246" s="398" t="inlineStr">
        <is>
          <t>08 trần hưng đạo, TX, Lagi, Bình Thuận</t>
        </is>
      </c>
      <c r="G246" s="397" t="inlineStr">
        <is>
          <t>BTHUAN</t>
        </is>
      </c>
      <c r="H246" s="399" t="n"/>
      <c r="J246" s="392">
        <f>IFERROR(UPPER(TRIM(B246))&amp;"|"&amp;UPPER(TRIM(C246))&amp;"|"&amp;UPPER(TRIM(D246)),"")</f>
        <v/>
      </c>
    </row>
    <row r="247" ht="15.75" customHeight="1" s="217">
      <c r="A247" s="400" t="n">
        <v>245</v>
      </c>
      <c r="B247" s="400" t="inlineStr">
        <is>
          <t>TNH</t>
        </is>
      </c>
      <c r="C247" s="401" t="inlineStr">
        <is>
          <t>Công ty Thụy Ngọc Hà - chuyên vòng bi bạc đạn - C Tâm. 0968.98.97.96</t>
        </is>
      </c>
      <c r="D247" s="402" t="n"/>
      <c r="E247" s="402" t="n"/>
      <c r="F247" s="401" t="inlineStr">
        <is>
          <t>354/83 Phan Văn Trị, P11, Q Bình Thạnh, TP HCM</t>
        </is>
      </c>
      <c r="G247" s="402" t="n"/>
      <c r="H247" s="402" t="n"/>
      <c r="J247" s="392">
        <f>IFERROR(UPPER(TRIM(B247))&amp;"|"&amp;UPPER(TRIM(C247))&amp;"|"&amp;UPPER(TRIM(D247)),"")</f>
        <v/>
      </c>
    </row>
    <row r="248" ht="15.75" customHeight="1" s="217">
      <c r="A248" s="397" t="n">
        <v>246</v>
      </c>
      <c r="B248" s="397" t="inlineStr">
        <is>
          <t>KH3491</t>
        </is>
      </c>
      <c r="C248" s="398" t="inlineStr">
        <is>
          <t>A Dũng - Hải Phòng / 0982.811.235</t>
        </is>
      </c>
      <c r="D248" s="397" t="inlineStr">
        <is>
          <t>0982.811.235</t>
        </is>
      </c>
      <c r="E248" s="399" t="n"/>
      <c r="F248" s="398" t="inlineStr">
        <is>
          <t>Hải Phòng</t>
        </is>
      </c>
      <c r="G248" s="399" t="n"/>
      <c r="H248" s="399" t="n"/>
      <c r="J248" s="392">
        <f>IFERROR(UPPER(TRIM(B248))&amp;"|"&amp;UPPER(TRIM(C248))&amp;"|"&amp;UPPER(TRIM(D248)),"")</f>
        <v/>
      </c>
    </row>
    <row r="249" ht="15.75" customHeight="1" s="217">
      <c r="A249" s="400" t="n">
        <v>247</v>
      </c>
      <c r="B249" s="400" t="inlineStr">
        <is>
          <t>KH3490</t>
        </is>
      </c>
      <c r="C249" s="401" t="inlineStr">
        <is>
          <t>Cửa Hàng Chị Phương-Sài Gòn/ 0949.265.537-0395.198.253</t>
        </is>
      </c>
      <c r="D249" s="400" t="inlineStr">
        <is>
          <t>0949.265.537-0395</t>
        </is>
      </c>
      <c r="E249" s="402" t="n"/>
      <c r="F249" s="401" t="inlineStr">
        <is>
          <t>1025 nguyễn trãi-Phường 14, Quận 5, TP HCM</t>
        </is>
      </c>
      <c r="G249" s="400" t="inlineStr">
        <is>
          <t>SG/HCM</t>
        </is>
      </c>
      <c r="H249" s="402" t="n"/>
      <c r="J249" s="392">
        <f>IFERROR(UPPER(TRIM(B249))&amp;"|"&amp;UPPER(TRIM(C249))&amp;"|"&amp;UPPER(TRIM(D249)),"")</f>
        <v/>
      </c>
    </row>
    <row r="250" ht="15.75" customHeight="1" s="217">
      <c r="A250" s="397" t="n">
        <v>248</v>
      </c>
      <c r="B250" s="397" t="inlineStr">
        <is>
          <t>KH3487</t>
        </is>
      </c>
      <c r="C250" s="398" t="inlineStr">
        <is>
          <t>Cửa hàng phụ tùng ô tô Biên Hoà- Anh Cảnh/0973.251.900</t>
        </is>
      </c>
      <c r="D250" s="397" t="inlineStr">
        <is>
          <t>0973.251.900</t>
        </is>
      </c>
      <c r="E250" s="399" t="n"/>
      <c r="F250" s="398" t="inlineStr">
        <is>
          <t>A37.Khu Phố 1,P.Bửu Long,Biên Hòa ,Đồng Nai</t>
        </is>
      </c>
      <c r="G250" s="397" t="inlineStr">
        <is>
          <t>ÐNAI</t>
        </is>
      </c>
      <c r="H250" s="399" t="n"/>
      <c r="J250" s="392">
        <f>IFERROR(UPPER(TRIM(B250))&amp;"|"&amp;UPPER(TRIM(C250))&amp;"|"&amp;UPPER(TRIM(D250)),"")</f>
        <v/>
      </c>
    </row>
    <row r="251" ht="15.75" customHeight="1" s="217">
      <c r="A251" s="400" t="n">
        <v>249</v>
      </c>
      <c r="B251" s="400" t="inlineStr">
        <is>
          <t>KH3488</t>
        </is>
      </c>
      <c r="C251" s="401" t="inlineStr">
        <is>
          <t>Cửa hàng Phụ Tùng Ô TÔ Ford  Minh Vàng Sài Gòn /0934.009.629</t>
        </is>
      </c>
      <c r="D251" s="400" t="inlineStr">
        <is>
          <t>0934.009.629</t>
        </is>
      </c>
      <c r="E251" s="402" t="n"/>
      <c r="F251" s="401" t="inlineStr">
        <is>
          <t>9/17 Hồ Thị Kỷ , P1 Quận 10 ,TP Hồ Chí Minh</t>
        </is>
      </c>
      <c r="G251" s="400" t="inlineStr">
        <is>
          <t>SG/HCM</t>
        </is>
      </c>
      <c r="H251" s="402" t="n"/>
      <c r="J251" s="392">
        <f>IFERROR(UPPER(TRIM(B251))&amp;"|"&amp;UPPER(TRIM(C251))&amp;"|"&amp;UPPER(TRIM(D251)),"")</f>
        <v/>
      </c>
    </row>
    <row r="252" ht="15.75" customHeight="1" s="217">
      <c r="A252" s="397" t="n">
        <v>250</v>
      </c>
      <c r="B252" s="397" t="inlineStr">
        <is>
          <t>KH3489</t>
        </is>
      </c>
      <c r="C252" s="398" t="inlineStr">
        <is>
          <t>Turbo Anh Lương - TP Quảng Ngãi / 0984.287.367</t>
        </is>
      </c>
      <c r="D252" s="397" t="inlineStr">
        <is>
          <t>0914.226.839 / 0984.287.367</t>
        </is>
      </c>
      <c r="E252" s="399" t="n"/>
      <c r="F252" s="398" t="inlineStr">
        <is>
          <t>281 Quang Trung ,TP Quảng Ngãi</t>
        </is>
      </c>
      <c r="G252" s="397" t="inlineStr">
        <is>
          <t>QUNGAI</t>
        </is>
      </c>
      <c r="H252" s="397" t="inlineStr">
        <is>
          <t>gửi xe Bình Tâm</t>
        </is>
      </c>
      <c r="J252" s="392">
        <f>IFERROR(UPPER(TRIM(B252))&amp;"|"&amp;UPPER(TRIM(C252))&amp;"|"&amp;UPPER(TRIM(D252)),"")</f>
        <v/>
      </c>
    </row>
    <row r="253" ht="15.75" customHeight="1" s="217">
      <c r="A253" s="400" t="n">
        <v>251</v>
      </c>
      <c r="B253" s="400" t="inlineStr">
        <is>
          <t>KH3486</t>
        </is>
      </c>
      <c r="C253" s="401" t="inlineStr">
        <is>
          <t>Xưởng Anh Trường - Ba Tri , Bến Tre / 0359.559.571</t>
        </is>
      </c>
      <c r="D253" s="400" t="inlineStr">
        <is>
          <t>0359.559.571</t>
        </is>
      </c>
      <c r="E253" s="402" t="n"/>
      <c r="F253" s="401" t="inlineStr">
        <is>
          <t>Ba Tri , Bến Tre</t>
        </is>
      </c>
      <c r="G253" s="400" t="inlineStr">
        <is>
          <t>BTRE</t>
        </is>
      </c>
      <c r="H253" s="402" t="n"/>
      <c r="J253" s="392">
        <f>IFERROR(UPPER(TRIM(B253))&amp;"|"&amp;UPPER(TRIM(C253))&amp;"|"&amp;UPPER(TRIM(D253)),"")</f>
        <v/>
      </c>
    </row>
    <row r="254" ht="15.75" customHeight="1" s="217">
      <c r="A254" s="397" t="n">
        <v>252</v>
      </c>
      <c r="B254" s="397" t="inlineStr">
        <is>
          <t>KH3484</t>
        </is>
      </c>
      <c r="C254" s="398" t="inlineStr">
        <is>
          <t>Gara Thành Đạt-Phú Giáo/ 0971.929.161</t>
        </is>
      </c>
      <c r="D254" s="397" t="inlineStr">
        <is>
          <t>0971.929.161</t>
        </is>
      </c>
      <c r="E254" s="399" t="n"/>
      <c r="F254" s="398" t="inlineStr">
        <is>
          <t>Phú Giáo-Bình Dương</t>
        </is>
      </c>
      <c r="G254" s="397" t="inlineStr">
        <is>
          <t>BDUONG</t>
        </is>
      </c>
      <c r="H254" s="399" t="n"/>
      <c r="J254" s="392">
        <f>IFERROR(UPPER(TRIM(B254))&amp;"|"&amp;UPPER(TRIM(C254))&amp;"|"&amp;UPPER(TRIM(D254)),"")</f>
        <v/>
      </c>
    </row>
    <row r="255" ht="15.75" customHeight="1" s="217">
      <c r="A255" s="400" t="n">
        <v>253</v>
      </c>
      <c r="B255" s="400" t="inlineStr">
        <is>
          <t>KH3485</t>
        </is>
      </c>
      <c r="C255" s="401" t="inlineStr">
        <is>
          <t>Anh Tâm - Công ty TNHH LEFT DTA- SG / 0979.971.306</t>
        </is>
      </c>
      <c r="D255" s="400" t="inlineStr">
        <is>
          <t>0979.971.306</t>
        </is>
      </c>
      <c r="E255" s="402" t="n"/>
      <c r="F255" s="401" t="inlineStr">
        <is>
          <t>16/5 đường Thạnh Xuân, Quận 12, TP Hồ chí Minh</t>
        </is>
      </c>
      <c r="G255" s="400" t="inlineStr">
        <is>
          <t>SG/HCM</t>
        </is>
      </c>
      <c r="H255" s="402" t="n"/>
      <c r="J255" s="392">
        <f>IFERROR(UPPER(TRIM(B255))&amp;"|"&amp;UPPER(TRIM(C255))&amp;"|"&amp;UPPER(TRIM(D255)),"")</f>
        <v/>
      </c>
    </row>
    <row r="256" ht="15.75" customHeight="1" s="217">
      <c r="A256" s="397" t="n">
        <v>254</v>
      </c>
      <c r="B256" s="397" t="inlineStr">
        <is>
          <t>KH3483</t>
        </is>
      </c>
      <c r="C256" s="398" t="inlineStr">
        <is>
          <t>Xưởng Anh Trực - Bình Dương/ Anh Trực: 0902.789.412</t>
        </is>
      </c>
      <c r="D256" s="397" t="inlineStr">
        <is>
          <t>0902.789.412</t>
        </is>
      </c>
      <c r="E256" s="399" t="n"/>
      <c r="F256" s="398" t="inlineStr">
        <is>
          <t>Vĩnh Phú 22, Thuận An, Bình Dương</t>
        </is>
      </c>
      <c r="G256" s="397" t="inlineStr">
        <is>
          <t>BDUONG</t>
        </is>
      </c>
      <c r="H256" s="399" t="n"/>
      <c r="J256" s="392">
        <f>IFERROR(UPPER(TRIM(B256))&amp;"|"&amp;UPPER(TRIM(C256))&amp;"|"&amp;UPPER(TRIM(D256)),"")</f>
        <v/>
      </c>
    </row>
    <row r="257" ht="15.75" customHeight="1" s="217">
      <c r="A257" s="400" t="n">
        <v>255</v>
      </c>
      <c r="B257" s="400" t="inlineStr">
        <is>
          <t>KH3480</t>
        </is>
      </c>
      <c r="C257" s="401" t="inlineStr">
        <is>
          <t>Anh Sáu - Tây Ninh / 0338.168.839</t>
        </is>
      </c>
      <c r="D257" s="400" t="inlineStr">
        <is>
          <t>0338.168.839</t>
        </is>
      </c>
      <c r="E257" s="402" t="n"/>
      <c r="F257" s="401" t="inlineStr">
        <is>
          <t>Tây Ninh</t>
        </is>
      </c>
      <c r="G257" s="400" t="inlineStr">
        <is>
          <t>TNINH</t>
        </is>
      </c>
      <c r="H257" s="402" t="n"/>
      <c r="J257" s="392">
        <f>IFERROR(UPPER(TRIM(B257))&amp;"|"&amp;UPPER(TRIM(C257))&amp;"|"&amp;UPPER(TRIM(D257)),"")</f>
        <v/>
      </c>
    </row>
    <row r="258" ht="15.75" customHeight="1" s="217">
      <c r="A258" s="397" t="n">
        <v>256</v>
      </c>
      <c r="B258" s="397" t="inlineStr">
        <is>
          <t>KH3481</t>
        </is>
      </c>
      <c r="C258" s="398" t="inlineStr">
        <is>
          <t>CH Yến Lợi - Vĩnh Long/ 0982.872.529</t>
        </is>
      </c>
      <c r="D258" s="397" t="inlineStr">
        <is>
          <t>0982.872.529</t>
        </is>
      </c>
      <c r="E258" s="399" t="n"/>
      <c r="F258" s="398" t="inlineStr">
        <is>
          <t>Quốc lộ 53, Vũng Liêm, Vĩnh Long</t>
        </is>
      </c>
      <c r="G258" s="397" t="inlineStr">
        <is>
          <t>VĨNH LONG</t>
        </is>
      </c>
      <c r="H258" s="399" t="n"/>
      <c r="J258" s="392">
        <f>IFERROR(UPPER(TRIM(B258))&amp;"|"&amp;UPPER(TRIM(C258))&amp;"|"&amp;UPPER(TRIM(D258)),"")</f>
        <v/>
      </c>
    </row>
    <row r="259" ht="15.75" customHeight="1" s="217">
      <c r="A259" s="400" t="n">
        <v>257</v>
      </c>
      <c r="B259" s="400" t="inlineStr">
        <is>
          <t>KH3482</t>
        </is>
      </c>
      <c r="C259" s="401" t="inlineStr">
        <is>
          <t>Công ty CP xây lắp 368 - Anh Duy/0915.051.598</t>
        </is>
      </c>
      <c r="D259" s="400" t="inlineStr">
        <is>
          <t>0915.051.598</t>
        </is>
      </c>
      <c r="E259" s="402" t="n"/>
      <c r="F259" s="401" t="inlineStr">
        <is>
          <t>Đồng Nai</t>
        </is>
      </c>
      <c r="G259" s="400" t="inlineStr">
        <is>
          <t>ÐNAI</t>
        </is>
      </c>
      <c r="H259" s="402" t="n"/>
      <c r="J259" s="392">
        <f>IFERROR(UPPER(TRIM(B259))&amp;"|"&amp;UPPER(TRIM(C259))&amp;"|"&amp;UPPER(TRIM(D259)),"")</f>
        <v/>
      </c>
    </row>
    <row r="260" ht="15.75" customHeight="1" s="217">
      <c r="A260" s="397" t="n">
        <v>258</v>
      </c>
      <c r="B260" s="397" t="inlineStr">
        <is>
          <t>KH3478</t>
        </is>
      </c>
      <c r="C260" s="398" t="inlineStr">
        <is>
          <t>Xưởng Anh Thiện-Quận 12/ 0334.367.479</t>
        </is>
      </c>
      <c r="D260" s="397" t="inlineStr">
        <is>
          <t>0334.367.479</t>
        </is>
      </c>
      <c r="E260" s="399" t="n"/>
      <c r="F260" s="398" t="inlineStr">
        <is>
          <t>Quận 12, TP HCM</t>
        </is>
      </c>
      <c r="G260" s="397" t="inlineStr">
        <is>
          <t>SG/HCM</t>
        </is>
      </c>
      <c r="H260" s="399" t="n"/>
      <c r="J260" s="392">
        <f>IFERROR(UPPER(TRIM(B260))&amp;"|"&amp;UPPER(TRIM(C260))&amp;"|"&amp;UPPER(TRIM(D260)),"")</f>
        <v/>
      </c>
    </row>
    <row r="261" ht="15.75" customHeight="1" s="217">
      <c r="A261" s="400" t="n">
        <v>259</v>
      </c>
      <c r="B261" s="400" t="inlineStr">
        <is>
          <t>KH3479</t>
        </is>
      </c>
      <c r="C261" s="401" t="inlineStr">
        <is>
          <t>A Hải - Công ty Vĩnh Phú, Biên Hòa / 0978.716.542</t>
        </is>
      </c>
      <c r="D261" s="400" t="inlineStr">
        <is>
          <t>0978.716.542</t>
        </is>
      </c>
      <c r="E261" s="402" t="n"/>
      <c r="F261" s="401" t="inlineStr">
        <is>
          <t>990 Xa lộ Hà Nội, KP2, P. Bình Đa, TP Biên Hòa</t>
        </is>
      </c>
      <c r="G261" s="400" t="inlineStr">
        <is>
          <t>ÐNAI</t>
        </is>
      </c>
      <c r="H261" s="402" t="n"/>
      <c r="J261" s="392">
        <f>IFERROR(UPPER(TRIM(B261))&amp;"|"&amp;UPPER(TRIM(C261))&amp;"|"&amp;UPPER(TRIM(D261)),"")</f>
        <v/>
      </c>
    </row>
    <row r="262" ht="15.75" customHeight="1" s="217">
      <c r="A262" s="397" t="n">
        <v>260</v>
      </c>
      <c r="B262" s="397" t="inlineStr">
        <is>
          <t>KH3477</t>
        </is>
      </c>
      <c r="C262" s="398" t="inlineStr">
        <is>
          <t>Anh Vững - Long An / 0908.338.317</t>
        </is>
      </c>
      <c r="D262" s="397" t="inlineStr">
        <is>
          <t>0908.338.317</t>
        </is>
      </c>
      <c r="E262" s="399" t="n"/>
      <c r="F262" s="398" t="inlineStr">
        <is>
          <t>Đức Hòa, Long An</t>
        </is>
      </c>
      <c r="G262" s="397" t="inlineStr">
        <is>
          <t>LA</t>
        </is>
      </c>
      <c r="H262" s="399" t="n"/>
      <c r="J262" s="392">
        <f>IFERROR(UPPER(TRIM(B262))&amp;"|"&amp;UPPER(TRIM(C262))&amp;"|"&amp;UPPER(TRIM(D262)),"")</f>
        <v/>
      </c>
    </row>
    <row r="263" ht="15.75" customHeight="1" s="217">
      <c r="A263" s="400" t="n">
        <v>261</v>
      </c>
      <c r="B263" s="400" t="inlineStr">
        <is>
          <t>KH3476</t>
        </is>
      </c>
      <c r="C263" s="401" t="inlineStr">
        <is>
          <t>Công ty Trương Trung Bắc/ 0983.799.722</t>
        </is>
      </c>
      <c r="D263" s="400" t="inlineStr">
        <is>
          <t>0983.799.722</t>
        </is>
      </c>
      <c r="E263" s="402" t="n"/>
      <c r="F263" s="401" t="inlineStr">
        <is>
          <t>Bình Triệu, Thủ Đức, Sài Gòn</t>
        </is>
      </c>
      <c r="G263" s="400" t="inlineStr">
        <is>
          <t>SG/HCM</t>
        </is>
      </c>
      <c r="H263" s="402" t="n"/>
      <c r="J263" s="392">
        <f>IFERROR(UPPER(TRIM(B263))&amp;"|"&amp;UPPER(TRIM(C263))&amp;"|"&amp;UPPER(TRIM(D263)),"")</f>
        <v/>
      </c>
    </row>
    <row r="264" ht="15.75" customHeight="1" s="217">
      <c r="A264" s="397" t="n">
        <v>262</v>
      </c>
      <c r="B264" s="397" t="inlineStr">
        <is>
          <t>KH3475</t>
        </is>
      </c>
      <c r="C264" s="398" t="inlineStr">
        <is>
          <t>CÔNG TY CỔ PHẦN ĐẠI THIÊN TRƯỜNG - Anh Hùng/ 0982.148.300</t>
        </is>
      </c>
      <c r="D264" s="397" t="inlineStr">
        <is>
          <t>0982.148.300</t>
        </is>
      </c>
      <c r="E264" s="399" t="n"/>
      <c r="F264" s="398" t="inlineStr">
        <is>
          <t>Số 176A Nguyễn Đình Hoàn, Phường Nghĩa Đô, Quận Cầu Giấy, Thành phố Hà Nội</t>
        </is>
      </c>
      <c r="G264" s="397" t="inlineStr">
        <is>
          <t>HN</t>
        </is>
      </c>
      <c r="H264" s="397" t="inlineStr">
        <is>
          <t>báo giá có VAT 
1, Phiếu Thu
2, Hóa Đơn VAT
mã hàng  1+2 phải đồng bọ</t>
        </is>
      </c>
      <c r="J264" s="392">
        <f>IFERROR(UPPER(TRIM(B264))&amp;"|"&amp;UPPER(TRIM(C264))&amp;"|"&amp;UPPER(TRIM(D264)),"")</f>
        <v/>
      </c>
    </row>
    <row r="265" ht="15.75" customHeight="1" s="217">
      <c r="A265" s="400" t="n">
        <v>263</v>
      </c>
      <c r="B265" s="400" t="inlineStr">
        <is>
          <t>KH3473</t>
        </is>
      </c>
      <c r="C265" s="401" t="inlineStr">
        <is>
          <t>CH Thanh Liêm - Đồng Tháp/ Anh Liêm: 0907.558.157</t>
        </is>
      </c>
      <c r="D265" s="400" t="inlineStr">
        <is>
          <t>0907.558.157</t>
        </is>
      </c>
      <c r="E265" s="402" t="n"/>
      <c r="F265" s="401" t="inlineStr">
        <is>
          <t>TP Cao Lãnh - Đồng Tháp</t>
        </is>
      </c>
      <c r="G265" s="400" t="inlineStr">
        <is>
          <t>DTHAP</t>
        </is>
      </c>
      <c r="H265" s="402" t="n"/>
      <c r="J265" s="392">
        <f>IFERROR(UPPER(TRIM(B265))&amp;"|"&amp;UPPER(TRIM(C265))&amp;"|"&amp;UPPER(TRIM(D265)),"")</f>
        <v/>
      </c>
    </row>
    <row r="266" ht="15.75" customHeight="1" s="217">
      <c r="A266" s="397" t="n">
        <v>264</v>
      </c>
      <c r="B266" s="397" t="inlineStr">
        <is>
          <t>KH3474</t>
        </is>
      </c>
      <c r="C266" s="398" t="inlineStr">
        <is>
          <t>Ga ra Lê Trí - Đức Trọng  - 0817.647.777</t>
        </is>
      </c>
      <c r="D266" s="397" t="inlineStr">
        <is>
          <t>0817.647.777</t>
        </is>
      </c>
      <c r="E266" s="399" t="n"/>
      <c r="F266" s="398" t="inlineStr">
        <is>
          <t>920 Quốc Lộ 20 - Đức Trọng, Lâm Đồng</t>
        </is>
      </c>
      <c r="G266" s="397" t="inlineStr">
        <is>
          <t>LDONG</t>
        </is>
      </c>
      <c r="H266" s="399" t="n"/>
      <c r="J266" s="392">
        <f>IFERROR(UPPER(TRIM(B266))&amp;"|"&amp;UPPER(TRIM(C266))&amp;"|"&amp;UPPER(TRIM(D266)),"")</f>
        <v/>
      </c>
    </row>
    <row r="267" ht="15.75" customHeight="1" s="217">
      <c r="A267" s="400" t="n">
        <v>265</v>
      </c>
      <c r="B267" s="400" t="inlineStr">
        <is>
          <t>KH3472</t>
        </is>
      </c>
      <c r="C267" s="401" t="inlineStr">
        <is>
          <t>Xưởng tiện Anh Lộc-Long Khánh-Đồng Nai /0948.769.596</t>
        </is>
      </c>
      <c r="D267" s="400" t="inlineStr">
        <is>
          <t>0948.769.596</t>
        </is>
      </c>
      <c r="E267" s="402" t="n"/>
      <c r="F267" s="401" t="inlineStr">
        <is>
          <t>Đồng Nai</t>
        </is>
      </c>
      <c r="G267" s="400" t="inlineStr">
        <is>
          <t>ÐNAI</t>
        </is>
      </c>
      <c r="H267" s="402" t="n"/>
      <c r="J267" s="392">
        <f>IFERROR(UPPER(TRIM(B267))&amp;"|"&amp;UPPER(TRIM(C267))&amp;"|"&amp;UPPER(TRIM(D267)),"")</f>
        <v/>
      </c>
    </row>
    <row r="268" ht="15.75" customHeight="1" s="217">
      <c r="A268" s="397" t="n">
        <v>266</v>
      </c>
      <c r="B268" s="397" t="inlineStr">
        <is>
          <t>KH3471</t>
        </is>
      </c>
      <c r="C268" s="398" t="inlineStr">
        <is>
          <t>Cửa Hàng phụ tùng cơ giới Minh Trí - Phan Thiết/ 0393.316.886</t>
        </is>
      </c>
      <c r="D268" s="397" t="inlineStr">
        <is>
          <t>0393.316.886</t>
        </is>
      </c>
      <c r="E268" s="399" t="n"/>
      <c r="F268" s="398" t="inlineStr">
        <is>
          <t>QL 1 A TP Phan Thiết, Bình Thuận</t>
        </is>
      </c>
      <c r="G268" s="397" t="inlineStr">
        <is>
          <t>BTHUAN</t>
        </is>
      </c>
      <c r="H268" s="399" t="n"/>
      <c r="J268" s="392">
        <f>IFERROR(UPPER(TRIM(B268))&amp;"|"&amp;UPPER(TRIM(C268))&amp;"|"&amp;UPPER(TRIM(D268)),"")</f>
        <v/>
      </c>
    </row>
    <row r="269" ht="15.75" customHeight="1" s="217">
      <c r="A269" s="400" t="n">
        <v>267</v>
      </c>
      <c r="B269" s="400" t="inlineStr">
        <is>
          <t>KH3470</t>
        </is>
      </c>
      <c r="C269" s="401" t="inlineStr">
        <is>
          <t>Công ty Vật liệu xây dựng Vân Hà - Q12 / 0917.507.779</t>
        </is>
      </c>
      <c r="D269" s="400" t="inlineStr">
        <is>
          <t>0917.507.779</t>
        </is>
      </c>
      <c r="E269" s="402" t="n"/>
      <c r="F269" s="401" t="inlineStr">
        <is>
          <t>Số 6 Hà Huy Giáp , P Thạnh Lộc , Quận 12 - TPHCM</t>
        </is>
      </c>
      <c r="G269" s="400" t="inlineStr">
        <is>
          <t>SG/HCM</t>
        </is>
      </c>
      <c r="H269" s="402" t="n"/>
      <c r="J269" s="392">
        <f>IFERROR(UPPER(TRIM(B269))&amp;"|"&amp;UPPER(TRIM(C269))&amp;"|"&amp;UPPER(TRIM(D269)),"")</f>
        <v/>
      </c>
    </row>
    <row r="270" ht="15.75" customHeight="1" s="217">
      <c r="A270" s="397" t="n">
        <v>268</v>
      </c>
      <c r="B270" s="397" t="inlineStr">
        <is>
          <t>KH3468</t>
        </is>
      </c>
      <c r="C270" s="398" t="inlineStr">
        <is>
          <t>Xưởng tiện Thành Nhân / A Thành - 0977.980.625</t>
        </is>
      </c>
      <c r="D270" s="397" t="inlineStr">
        <is>
          <t>0977.980.625</t>
        </is>
      </c>
      <c r="E270" s="399" t="n"/>
      <c r="F270" s="398" t="inlineStr">
        <is>
          <t>Ngã tư Mỹ Phước , Tân Vạn, Bình Dương</t>
        </is>
      </c>
      <c r="G270" s="397" t="inlineStr">
        <is>
          <t>BDUONG</t>
        </is>
      </c>
      <c r="H270" s="399" t="n"/>
      <c r="J270" s="392">
        <f>IFERROR(UPPER(TRIM(B270))&amp;"|"&amp;UPPER(TRIM(C270))&amp;"|"&amp;UPPER(TRIM(D270)),"")</f>
        <v/>
      </c>
    </row>
    <row r="271" ht="15.75" customHeight="1" s="217">
      <c r="A271" s="400" t="n">
        <v>269</v>
      </c>
      <c r="B271" s="400" t="inlineStr">
        <is>
          <t>KH3469</t>
        </is>
      </c>
      <c r="C271" s="401" t="inlineStr">
        <is>
          <t>Công ty Việt Hưng Thịnh - Anh Đức/ 0986.436.256</t>
        </is>
      </c>
      <c r="D271" s="400" t="inlineStr">
        <is>
          <t>0986.436.256</t>
        </is>
      </c>
      <c r="E271" s="402" t="n"/>
      <c r="F271" s="401" t="inlineStr">
        <is>
          <t>12/4G/9 Đường số 8, Phường Hiệp Bình Phước, TP. Thủ Đức, TP. Hồ Chí Minh</t>
        </is>
      </c>
      <c r="G271" s="400" t="inlineStr">
        <is>
          <t>SG/HCM</t>
        </is>
      </c>
      <c r="H271" s="402" t="n"/>
      <c r="J271" s="392">
        <f>IFERROR(UPPER(TRIM(B271))&amp;"|"&amp;UPPER(TRIM(C271))&amp;"|"&amp;UPPER(TRIM(D271)),"")</f>
        <v/>
      </c>
    </row>
    <row r="272" ht="15.75" customHeight="1" s="217">
      <c r="A272" s="397" t="n">
        <v>270</v>
      </c>
      <c r="B272" s="397" t="inlineStr">
        <is>
          <t>KH3467</t>
        </is>
      </c>
      <c r="C272" s="398" t="inlineStr">
        <is>
          <t>Xưởng Đức Quang Lộc/ 0949.945.849</t>
        </is>
      </c>
      <c r="D272" s="397" t="inlineStr">
        <is>
          <t>0949.945.849</t>
        </is>
      </c>
      <c r="E272" s="399" t="n"/>
      <c r="F272" s="398" t="inlineStr">
        <is>
          <t>Xuân Lộc - Đồng Nai</t>
        </is>
      </c>
      <c r="G272" s="397" t="inlineStr">
        <is>
          <t>ÐNAI</t>
        </is>
      </c>
      <c r="H272" s="399" t="n"/>
      <c r="J272" s="392">
        <f>IFERROR(UPPER(TRIM(B272))&amp;"|"&amp;UPPER(TRIM(C272))&amp;"|"&amp;UPPER(TRIM(D272)),"")</f>
        <v/>
      </c>
    </row>
    <row r="273" ht="15.75" customHeight="1" s="217">
      <c r="A273" s="400" t="n">
        <v>271</v>
      </c>
      <c r="B273" s="400" t="inlineStr">
        <is>
          <t>KH3466</t>
        </is>
      </c>
      <c r="C273" s="401" t="inlineStr">
        <is>
          <t>Cửa hàng Quách Đại Dương - Bình Chánh/ Anh Trung: 0902.361.444 - 0915.663.730</t>
        </is>
      </c>
      <c r="D273" s="400" t="inlineStr">
        <is>
          <t>0902.361.444 / 0915.663.730</t>
        </is>
      </c>
      <c r="E273" s="402" t="n"/>
      <c r="F273" s="401" t="inlineStr">
        <is>
          <t>A13/39A, đường Thiên Giang, Bình Chánh, TP HCM</t>
        </is>
      </c>
      <c r="G273" s="400" t="inlineStr">
        <is>
          <t>SG/HCM</t>
        </is>
      </c>
      <c r="H273" s="402" t="n"/>
      <c r="J273" s="392">
        <f>IFERROR(UPPER(TRIM(B273))&amp;"|"&amp;UPPER(TRIM(C273))&amp;"|"&amp;UPPER(TRIM(D273)),"")</f>
        <v/>
      </c>
    </row>
    <row r="274" ht="15.75" customHeight="1" s="217">
      <c r="A274" s="397" t="n">
        <v>272</v>
      </c>
      <c r="B274" s="397" t="inlineStr">
        <is>
          <t>KH3464</t>
        </is>
      </c>
      <c r="C274" s="398" t="inlineStr">
        <is>
          <t>Gara Tuấn Kiệt - Bình Dương/ 0913.663.107</t>
        </is>
      </c>
      <c r="D274" s="397" t="inlineStr">
        <is>
          <t>0913.663.107</t>
        </is>
      </c>
      <c r="E274" s="399" t="n"/>
      <c r="F274" s="398" t="inlineStr">
        <is>
          <t>113 Nguyễn Du, KP Đông Tân, TP Dĩ An, Bình Dương</t>
        </is>
      </c>
      <c r="G274" s="397" t="inlineStr">
        <is>
          <t>BDUONG</t>
        </is>
      </c>
      <c r="H274" s="399" t="n"/>
      <c r="J274" s="392">
        <f>IFERROR(UPPER(TRIM(B274))&amp;"|"&amp;UPPER(TRIM(C274))&amp;"|"&amp;UPPER(TRIM(D274)),"")</f>
        <v/>
      </c>
    </row>
    <row r="275" ht="15.75" customHeight="1" s="217">
      <c r="A275" s="400" t="n">
        <v>273</v>
      </c>
      <c r="B275" s="400" t="inlineStr">
        <is>
          <t>KH3465</t>
        </is>
      </c>
      <c r="C275" s="401" t="inlineStr">
        <is>
          <t>Anh Hậu (Thợ máy) - Tây Ninh/ 0869.396.773</t>
        </is>
      </c>
      <c r="D275" s="400" t="inlineStr">
        <is>
          <t>0869.396.773</t>
        </is>
      </c>
      <c r="E275" s="402" t="n"/>
      <c r="F275" s="401" t="inlineStr">
        <is>
          <t>Ngã 3 Mỹ Thương - Tây Ninh</t>
        </is>
      </c>
      <c r="G275" s="400" t="inlineStr">
        <is>
          <t>TNINH</t>
        </is>
      </c>
      <c r="H275" s="402" t="n"/>
      <c r="J275" s="392">
        <f>IFERROR(UPPER(TRIM(B275))&amp;"|"&amp;UPPER(TRIM(C275))&amp;"|"&amp;UPPER(TRIM(D275)),"")</f>
        <v/>
      </c>
    </row>
    <row r="276" ht="15.75" customHeight="1" s="217">
      <c r="A276" s="397" t="n">
        <v>274</v>
      </c>
      <c r="B276" s="397" t="inlineStr">
        <is>
          <t>KH3463</t>
        </is>
      </c>
      <c r="C276" s="398" t="inlineStr">
        <is>
          <t>Anh Quang - Hooc Môn, Sài Gòn / 0777.900.226</t>
        </is>
      </c>
      <c r="D276" s="397" t="inlineStr">
        <is>
          <t>0777.900.226</t>
        </is>
      </c>
      <c r="E276" s="399" t="n"/>
      <c r="F276" s="398" t="inlineStr">
        <is>
          <t>Sài Gòn</t>
        </is>
      </c>
      <c r="G276" s="397" t="inlineStr">
        <is>
          <t>SG/HCM</t>
        </is>
      </c>
      <c r="H276" s="399" t="n"/>
      <c r="J276" s="392">
        <f>IFERROR(UPPER(TRIM(B276))&amp;"|"&amp;UPPER(TRIM(C276))&amp;"|"&amp;UPPER(TRIM(D276)),"")</f>
        <v/>
      </c>
    </row>
    <row r="277" ht="15.75" customHeight="1" s="217">
      <c r="A277" s="400" t="n">
        <v>275</v>
      </c>
      <c r="B277" s="400" t="inlineStr">
        <is>
          <t>KH3460</t>
        </is>
      </c>
      <c r="C277" s="401" t="inlineStr">
        <is>
          <t>Cty Huỳnh Thiên Kim / A. Anh - Cần Thơ/ 0909.645.225</t>
        </is>
      </c>
      <c r="D277" s="400" t="inlineStr">
        <is>
          <t>0909.645.225</t>
        </is>
      </c>
      <c r="E277" s="402" t="n"/>
      <c r="F277" s="401" t="inlineStr">
        <is>
          <t>Số 319, ấp Thới Xuyên, xã Thới Đông, huyện Cờ Đỏ, Tp Cần Thơ</t>
        </is>
      </c>
      <c r="G277" s="400" t="inlineStr">
        <is>
          <t>CTHO</t>
        </is>
      </c>
      <c r="H277" s="402" t="n"/>
      <c r="J277" s="392">
        <f>IFERROR(UPPER(TRIM(B277))&amp;"|"&amp;UPPER(TRIM(C277))&amp;"|"&amp;UPPER(TRIM(D277)),"")</f>
        <v/>
      </c>
    </row>
    <row r="278" ht="15.75" customHeight="1" s="217">
      <c r="A278" s="397" t="n">
        <v>276</v>
      </c>
      <c r="B278" s="397" t="inlineStr">
        <is>
          <t>KH3461</t>
        </is>
      </c>
      <c r="C278" s="398" t="inlineStr">
        <is>
          <t>Xưởng Phước Tiến-Bình Dương / 0918.306.507</t>
        </is>
      </c>
      <c r="D278" s="397" t="inlineStr">
        <is>
          <t>0918.306.507</t>
        </is>
      </c>
      <c r="E278" s="399" t="n"/>
      <c r="F278" s="398" t="inlineStr">
        <is>
          <t>Bình Dương</t>
        </is>
      </c>
      <c r="G278" s="397" t="inlineStr">
        <is>
          <t>BDUONG</t>
        </is>
      </c>
      <c r="H278" s="399" t="n"/>
      <c r="J278" s="392">
        <f>IFERROR(UPPER(TRIM(B278))&amp;"|"&amp;UPPER(TRIM(C278))&amp;"|"&amp;UPPER(TRIM(D278)),"")</f>
        <v/>
      </c>
    </row>
    <row r="279" ht="15.75" customHeight="1" s="217">
      <c r="A279" s="400" t="n">
        <v>277</v>
      </c>
      <c r="B279" s="400" t="inlineStr">
        <is>
          <t>KH3462</t>
        </is>
      </c>
      <c r="C279" s="401" t="inlineStr">
        <is>
          <t>Cơ Giới Chiến Thắng - Phú Yên / A Chiến 0987.631.381</t>
        </is>
      </c>
      <c r="D279" s="400" t="inlineStr">
        <is>
          <t>0987.631.381</t>
        </is>
      </c>
      <c r="E279" s="402" t="n"/>
      <c r="F279" s="401" t="inlineStr">
        <is>
          <t>86 Lê Lợi, Hai Riêng, Sông Hinh, Phú Yên</t>
        </is>
      </c>
      <c r="G279" s="400" t="inlineStr">
        <is>
          <t>PYEN</t>
        </is>
      </c>
      <c r="H279" s="400" t="inlineStr">
        <is>
          <t>Gửi xe Hồng Sơn</t>
        </is>
      </c>
      <c r="J279" s="392">
        <f>IFERROR(UPPER(TRIM(B279))&amp;"|"&amp;UPPER(TRIM(C279))&amp;"|"&amp;UPPER(TRIM(D279)),"")</f>
        <v/>
      </c>
    </row>
    <row r="280" ht="15.75" customHeight="1" s="217">
      <c r="A280" s="397" t="n">
        <v>278</v>
      </c>
      <c r="B280" s="397" t="inlineStr">
        <is>
          <t>KH3458</t>
        </is>
      </c>
      <c r="C280" s="398" t="inlineStr">
        <is>
          <t>Xưởng anh Hào - Cần Thơ/ 0918.18.1970</t>
        </is>
      </c>
      <c r="D280" s="399" t="n"/>
      <c r="E280" s="399" t="n"/>
      <c r="F280" s="398" t="inlineStr">
        <is>
          <t>69 Võ Văn Kiệt , P An Thới , TP Cần Thơ</t>
        </is>
      </c>
      <c r="G280" s="397" t="inlineStr">
        <is>
          <t>CTHO</t>
        </is>
      </c>
      <c r="H280" s="399" t="n"/>
      <c r="J280" s="392">
        <f>IFERROR(UPPER(TRIM(B280))&amp;"|"&amp;UPPER(TRIM(C280))&amp;"|"&amp;UPPER(TRIM(D280)),"")</f>
        <v/>
      </c>
    </row>
    <row r="281" ht="15.75" customHeight="1" s="217">
      <c r="A281" s="400" t="n">
        <v>279</v>
      </c>
      <c r="B281" s="400" t="inlineStr">
        <is>
          <t>KH3459</t>
        </is>
      </c>
      <c r="C281" s="401" t="inlineStr">
        <is>
          <t>A Chiến - Bình Thuận /0979.386.386</t>
        </is>
      </c>
      <c r="D281" s="400" t="inlineStr">
        <is>
          <t>0979.386.386</t>
        </is>
      </c>
      <c r="E281" s="402" t="n"/>
      <c r="F281" s="401" t="inlineStr">
        <is>
          <t>QL 1A, Thôn 1 , Sông Lũy, Bắc Bình , Bình Thuận</t>
        </is>
      </c>
      <c r="G281" s="400" t="inlineStr">
        <is>
          <t>BTHUAN</t>
        </is>
      </c>
      <c r="H281" s="402" t="n"/>
      <c r="J281" s="392">
        <f>IFERROR(UPPER(TRIM(B281))&amp;"|"&amp;UPPER(TRIM(C281))&amp;"|"&amp;UPPER(TRIM(D281)),"")</f>
        <v/>
      </c>
    </row>
    <row r="282" ht="15.75" customHeight="1" s="217">
      <c r="A282" s="397" t="n">
        <v>280</v>
      </c>
      <c r="B282" s="397" t="inlineStr">
        <is>
          <t>KH3456</t>
        </is>
      </c>
      <c r="C282" s="398" t="inlineStr">
        <is>
          <t>Anh Hùng (Thợ máy) -Sài Gòn / 0909.012.456</t>
        </is>
      </c>
      <c r="D282" s="397" t="inlineStr">
        <is>
          <t>0909.012.456</t>
        </is>
      </c>
      <c r="E282" s="399" t="n"/>
      <c r="F282" s="398" t="inlineStr">
        <is>
          <t>Quận 9 - TP Hồ Chí Minh</t>
        </is>
      </c>
      <c r="G282" s="397" t="inlineStr">
        <is>
          <t>SG/HCM</t>
        </is>
      </c>
      <c r="H282" s="399" t="n"/>
      <c r="J282" s="392">
        <f>IFERROR(UPPER(TRIM(B282))&amp;"|"&amp;UPPER(TRIM(C282))&amp;"|"&amp;UPPER(TRIM(D282)),"")</f>
        <v/>
      </c>
    </row>
    <row r="283" ht="15.75" customHeight="1" s="217">
      <c r="A283" s="400" t="n">
        <v>281</v>
      </c>
      <c r="B283" s="400" t="inlineStr">
        <is>
          <t>KH3457</t>
        </is>
      </c>
      <c r="C283" s="401" t="inlineStr">
        <is>
          <t>Công ty Dương Kiên - Quận 12/ A Dương - 0977.333.999</t>
        </is>
      </c>
      <c r="D283" s="400" t="inlineStr">
        <is>
          <t>0977.333.999</t>
        </is>
      </c>
      <c r="E283" s="402" t="n"/>
      <c r="F283" s="401" t="inlineStr">
        <is>
          <t>Chợ An Sương, Quận 12, TP HCM</t>
        </is>
      </c>
      <c r="G283" s="400" t="inlineStr">
        <is>
          <t>SG/HCM</t>
        </is>
      </c>
      <c r="H283" s="402" t="n"/>
      <c r="J283" s="392">
        <f>IFERROR(UPPER(TRIM(B283))&amp;"|"&amp;UPPER(TRIM(C283))&amp;"|"&amp;UPPER(TRIM(D283)),"")</f>
        <v/>
      </c>
    </row>
    <row r="284" ht="15.75" customHeight="1" s="217">
      <c r="A284" s="397" t="n">
        <v>282</v>
      </c>
      <c r="B284" s="397" t="inlineStr">
        <is>
          <t>KH3454</t>
        </is>
      </c>
      <c r="C284" s="398" t="inlineStr">
        <is>
          <t>Cửa hàng Cường Minh - Đà Lạt /0349.694.756 - 0912.128.870</t>
        </is>
      </c>
      <c r="D284" s="397" t="inlineStr">
        <is>
          <t>0349.694.756 / 0912.128.870</t>
        </is>
      </c>
      <c r="E284" s="399" t="n"/>
      <c r="F284" s="398" t="inlineStr">
        <is>
          <t>18 Huỳnh Tấn Phát, P11, TP Đà Lạt, Lâm Đồng</t>
        </is>
      </c>
      <c r="G284" s="397" t="inlineStr">
        <is>
          <t>LDONG</t>
        </is>
      </c>
      <c r="H284" s="399" t="n"/>
      <c r="J284" s="392">
        <f>IFERROR(UPPER(TRIM(B284))&amp;"|"&amp;UPPER(TRIM(C284))&amp;"|"&amp;UPPER(TRIM(D284)),"")</f>
        <v/>
      </c>
    </row>
    <row r="285" ht="15.75" customHeight="1" s="217">
      <c r="A285" s="400" t="n">
        <v>283</v>
      </c>
      <c r="B285" s="400" t="inlineStr">
        <is>
          <t>KH3455</t>
        </is>
      </c>
      <c r="C285" s="401" t="inlineStr">
        <is>
          <t>Cơ khí Thủy Lực Nam Cường Thịnh / Anh Nam 0984.944.430</t>
        </is>
      </c>
      <c r="D285" s="400" t="inlineStr">
        <is>
          <t>0984.944.430</t>
        </is>
      </c>
      <c r="E285" s="402" t="n"/>
      <c r="F285" s="401" t="inlineStr">
        <is>
          <t>Ngã tư Bình Phước - Sài Gòn</t>
        </is>
      </c>
      <c r="G285" s="400" t="inlineStr">
        <is>
          <t>SG/HCM</t>
        </is>
      </c>
      <c r="H285" s="402" t="n"/>
      <c r="J285" s="392">
        <f>IFERROR(UPPER(TRIM(B285))&amp;"|"&amp;UPPER(TRIM(C285))&amp;"|"&amp;UPPER(TRIM(D285)),"")</f>
        <v/>
      </c>
    </row>
    <row r="286" ht="15.75" customHeight="1" s="217">
      <c r="A286" s="397" t="n">
        <v>284</v>
      </c>
      <c r="B286" s="397" t="inlineStr">
        <is>
          <t>KH3452</t>
        </is>
      </c>
      <c r="C286" s="398" t="inlineStr">
        <is>
          <t>(không dùng)Turbo A Lương - Quảng Ngãi/ 0984.287.367</t>
        </is>
      </c>
      <c r="D286" s="397" t="inlineStr">
        <is>
          <t>0984.287.367</t>
        </is>
      </c>
      <c r="E286" s="399" t="n"/>
      <c r="F286" s="398" t="inlineStr">
        <is>
          <t>281 Quang Trung ,TP Quảng Ngãi</t>
        </is>
      </c>
      <c r="G286" s="397" t="inlineStr">
        <is>
          <t>QUNGAI</t>
        </is>
      </c>
      <c r="H286" s="399" t="n"/>
      <c r="J286" s="392">
        <f>IFERROR(UPPER(TRIM(B286))&amp;"|"&amp;UPPER(TRIM(C286))&amp;"|"&amp;UPPER(TRIM(D286)),"")</f>
        <v/>
      </c>
    </row>
    <row r="287" ht="15.75" customHeight="1" s="217">
      <c r="A287" s="400" t="n">
        <v>285</v>
      </c>
      <c r="B287" s="400" t="inlineStr">
        <is>
          <t>KH3453</t>
        </is>
      </c>
      <c r="C287" s="401" t="inlineStr">
        <is>
          <t>CH Tấn Tài - Bình Phước - 0974.527.327</t>
        </is>
      </c>
      <c r="D287" s="400" t="inlineStr">
        <is>
          <t>0974.527.327</t>
        </is>
      </c>
      <c r="E287" s="402" t="n"/>
      <c r="F287" s="401" t="inlineStr">
        <is>
          <t>Bình Phước</t>
        </is>
      </c>
      <c r="G287" s="400" t="inlineStr">
        <is>
          <t>BP</t>
        </is>
      </c>
      <c r="H287" s="402" t="n"/>
      <c r="J287" s="392">
        <f>IFERROR(UPPER(TRIM(B287))&amp;"|"&amp;UPPER(TRIM(C287))&amp;"|"&amp;UPPER(TRIM(D287)),"")</f>
        <v/>
      </c>
    </row>
    <row r="288" ht="15.75" customHeight="1" s="217">
      <c r="A288" s="397" t="n">
        <v>286</v>
      </c>
      <c r="B288" s="397" t="inlineStr">
        <is>
          <t>KH3451</t>
        </is>
      </c>
      <c r="C288" s="398" t="inlineStr">
        <is>
          <t>Cơ Giới Tùng Lâm - Bảo Lộc / 0967.101.113</t>
        </is>
      </c>
      <c r="D288" s="397" t="inlineStr">
        <is>
          <t>0967.101.113</t>
        </is>
      </c>
      <c r="E288" s="399" t="n"/>
      <c r="F288" s="398" t="inlineStr">
        <is>
          <t>Lộc Sơn, Bảo Lộc, Lâm Đồng</t>
        </is>
      </c>
      <c r="G288" s="397" t="inlineStr">
        <is>
          <t>LDONG</t>
        </is>
      </c>
      <c r="H288" s="399" t="n"/>
      <c r="J288" s="392">
        <f>IFERROR(UPPER(TRIM(B288))&amp;"|"&amp;UPPER(TRIM(C288))&amp;"|"&amp;UPPER(TRIM(D288)),"")</f>
        <v/>
      </c>
    </row>
    <row r="289" ht="15.75" customHeight="1" s="217">
      <c r="A289" s="400" t="n">
        <v>287</v>
      </c>
      <c r="B289" s="400" t="inlineStr">
        <is>
          <t>KH3450</t>
        </is>
      </c>
      <c r="C289" s="401" t="inlineStr">
        <is>
          <t>Công ty Xe nâng Miền Nam / Anh Hiệp: 0978.716.598</t>
        </is>
      </c>
      <c r="D289" s="400" t="inlineStr">
        <is>
          <t>0978.716.598</t>
        </is>
      </c>
      <c r="E289" s="402" t="n"/>
      <c r="F289" s="401" t="inlineStr">
        <is>
          <t>139A, Đường Trần Quang Diệu, KP Tân Phước, Phường Tân Bình, TP Dĩ An, Bình Dương</t>
        </is>
      </c>
      <c r="G289" s="400" t="inlineStr">
        <is>
          <t>BDUONG</t>
        </is>
      </c>
      <c r="H289" s="402" t="n"/>
      <c r="J289" s="392">
        <f>IFERROR(UPPER(TRIM(B289))&amp;"|"&amp;UPPER(TRIM(C289))&amp;"|"&amp;UPPER(TRIM(D289)),"")</f>
        <v/>
      </c>
    </row>
    <row r="290" ht="15.75" customHeight="1" s="217">
      <c r="A290" s="397" t="n">
        <v>288</v>
      </c>
      <c r="B290" s="397" t="inlineStr">
        <is>
          <t>KH3448</t>
        </is>
      </c>
      <c r="C290" s="398" t="inlineStr">
        <is>
          <t>Xưởng Anh Luật-Tân Vạn/0908.730.100</t>
        </is>
      </c>
      <c r="D290" s="397" t="inlineStr">
        <is>
          <t>0908.730.100</t>
        </is>
      </c>
      <c r="E290" s="399" t="n"/>
      <c r="F290" s="398" t="inlineStr">
        <is>
          <t>Tân Vạn-Bình Dương</t>
        </is>
      </c>
      <c r="G290" s="397" t="inlineStr">
        <is>
          <t>BDUONG</t>
        </is>
      </c>
      <c r="H290" s="399" t="n"/>
      <c r="J290" s="392">
        <f>IFERROR(UPPER(TRIM(B290))&amp;"|"&amp;UPPER(TRIM(C290))&amp;"|"&amp;UPPER(TRIM(D290)),"")</f>
        <v/>
      </c>
    </row>
    <row r="291" ht="15.75" customHeight="1" s="217">
      <c r="A291" s="400" t="n">
        <v>289</v>
      </c>
      <c r="B291" s="400" t="inlineStr">
        <is>
          <t>KH3449</t>
        </is>
      </c>
      <c r="C291" s="401" t="inlineStr">
        <is>
          <t>Cửa hàng Mười Mập - Anh Mười -Quận 11 / 0916.471.571</t>
        </is>
      </c>
      <c r="D291" s="400" t="inlineStr">
        <is>
          <t>0916.471.571</t>
        </is>
      </c>
      <c r="E291" s="402" t="n"/>
      <c r="F291" s="401" t="inlineStr">
        <is>
          <t>612 Hồng Bàng, Phường 16, Quận 11,SG</t>
        </is>
      </c>
      <c r="G291" s="400" t="inlineStr">
        <is>
          <t>SG/HCM</t>
        </is>
      </c>
      <c r="H291" s="402" t="n"/>
      <c r="J291" s="392">
        <f>IFERROR(UPPER(TRIM(B291))&amp;"|"&amp;UPPER(TRIM(C291))&amp;"|"&amp;UPPER(TRIM(D291)),"")</f>
        <v/>
      </c>
    </row>
    <row r="292" ht="15.75" customHeight="1" s="217">
      <c r="A292" s="397" t="n">
        <v>290</v>
      </c>
      <c r="B292" s="397" t="inlineStr">
        <is>
          <t>KH3447</t>
        </is>
      </c>
      <c r="C292" s="398" t="inlineStr">
        <is>
          <t>Gara Đại Phú - Long Khánh/ 0919.542.086</t>
        </is>
      </c>
      <c r="D292" s="397" t="inlineStr">
        <is>
          <t>0919.542.086</t>
        </is>
      </c>
      <c r="E292" s="399" t="n"/>
      <c r="F292" s="398" t="inlineStr">
        <is>
          <t>Khu phố núi Tung, Suối Tre, Long Khánh - Đồng Nai</t>
        </is>
      </c>
      <c r="G292" s="397" t="inlineStr">
        <is>
          <t>ÐNAI</t>
        </is>
      </c>
      <c r="H292" s="399" t="n"/>
      <c r="J292" s="392">
        <f>IFERROR(UPPER(TRIM(B292))&amp;"|"&amp;UPPER(TRIM(C292))&amp;"|"&amp;UPPER(TRIM(D292)),"")</f>
        <v/>
      </c>
    </row>
    <row r="293" ht="15.75" customHeight="1" s="217">
      <c r="A293" s="400" t="n">
        <v>291</v>
      </c>
      <c r="B293" s="400" t="inlineStr">
        <is>
          <t>KH3445</t>
        </is>
      </c>
      <c r="C293" s="401" t="inlineStr">
        <is>
          <t>Xưởng Gara Mẫn-Tây Ninh/0977.701.090</t>
        </is>
      </c>
      <c r="D293" s="400" t="inlineStr">
        <is>
          <t>0977.701.090</t>
        </is>
      </c>
      <c r="E293" s="402" t="n"/>
      <c r="F293" s="401" t="inlineStr">
        <is>
          <t>Gò Dầu-Tây Ninh</t>
        </is>
      </c>
      <c r="G293" s="400" t="inlineStr">
        <is>
          <t>TNINH</t>
        </is>
      </c>
      <c r="H293" s="402" t="n"/>
      <c r="J293" s="392">
        <f>IFERROR(UPPER(TRIM(B293))&amp;"|"&amp;UPPER(TRIM(C293))&amp;"|"&amp;UPPER(TRIM(D293)),"")</f>
        <v/>
      </c>
    </row>
    <row r="294" ht="15.75" customHeight="1" s="217">
      <c r="A294" s="397" t="n">
        <v>292</v>
      </c>
      <c r="B294" s="397" t="inlineStr">
        <is>
          <t>KH3446</t>
        </is>
      </c>
      <c r="C294" s="398" t="inlineStr">
        <is>
          <t>Cửa hàng Phụ tùng máy công trình Hồ Chiến-Đak Lak/ 0971.717.206-0974.755.247-0978.028.048</t>
        </is>
      </c>
      <c r="D294" s="397" t="inlineStr">
        <is>
          <t>0971.717.206-0974 / 755.247-0978.028</t>
        </is>
      </c>
      <c r="E294" s="399" t="n"/>
      <c r="F294" s="398" t="inlineStr">
        <is>
          <t>Km17, QL 27 , Huyện Cư Kuin, Đak Lak</t>
        </is>
      </c>
      <c r="G294" s="397" t="inlineStr">
        <is>
          <t>ÐL</t>
        </is>
      </c>
      <c r="H294" s="399" t="n"/>
      <c r="J294" s="392">
        <f>IFERROR(UPPER(TRIM(B294))&amp;"|"&amp;UPPER(TRIM(C294))&amp;"|"&amp;UPPER(TRIM(D294)),"")</f>
        <v/>
      </c>
    </row>
    <row r="295" ht="15.75" customHeight="1" s="217">
      <c r="A295" s="400" t="n">
        <v>293</v>
      </c>
      <c r="B295" s="400" t="inlineStr">
        <is>
          <t>KH3443</t>
        </is>
      </c>
      <c r="C295" s="401" t="inlineStr">
        <is>
          <t>Xe Cẩu Nguyên Vũ-Bình Dương /0826.149.149</t>
        </is>
      </c>
      <c r="D295" s="400" t="inlineStr">
        <is>
          <t>0826.149.149</t>
        </is>
      </c>
      <c r="E295" s="402" t="n"/>
      <c r="F295" s="401" t="inlineStr">
        <is>
          <t>Đường N7, Hòa Phú, Thủ Dầu 1, Bình Dương</t>
        </is>
      </c>
      <c r="G295" s="400" t="inlineStr">
        <is>
          <t>BDUONG</t>
        </is>
      </c>
      <c r="H295" s="402" t="n"/>
      <c r="J295" s="392">
        <f>IFERROR(UPPER(TRIM(B295))&amp;"|"&amp;UPPER(TRIM(C295))&amp;"|"&amp;UPPER(TRIM(D295)),"")</f>
        <v/>
      </c>
    </row>
    <row r="296" ht="15.75" customHeight="1" s="217">
      <c r="A296" s="397" t="n">
        <v>294</v>
      </c>
      <c r="B296" s="397" t="inlineStr">
        <is>
          <t>KH3444</t>
        </is>
      </c>
      <c r="C296" s="398" t="inlineStr">
        <is>
          <t>CH Phụ Tùng Ô Tô Ánh Quân / 0979.245.299</t>
        </is>
      </c>
      <c r="D296" s="397" t="inlineStr">
        <is>
          <t>0979.245.299</t>
        </is>
      </c>
      <c r="E296" s="399" t="n"/>
      <c r="F296" s="398" t="inlineStr">
        <is>
          <t>267 Trần Phú, Lộc Sơn, Bảo Lộc, Lâm Đồng</t>
        </is>
      </c>
      <c r="G296" s="397" t="inlineStr">
        <is>
          <t>LDONG</t>
        </is>
      </c>
      <c r="H296" s="399" t="n"/>
      <c r="J296" s="392">
        <f>IFERROR(UPPER(TRIM(B296))&amp;"|"&amp;UPPER(TRIM(C296))&amp;"|"&amp;UPPER(TRIM(D296)),"")</f>
        <v/>
      </c>
    </row>
    <row r="297" ht="15.75" customHeight="1" s="217">
      <c r="A297" s="400" t="n">
        <v>295</v>
      </c>
      <c r="B297" s="400" t="inlineStr">
        <is>
          <t>KH3442</t>
        </is>
      </c>
      <c r="C297" s="401" t="inlineStr">
        <is>
          <t>Xưởng A Phước - Biên Hòa - 0396.069.203</t>
        </is>
      </c>
      <c r="D297" s="400" t="inlineStr">
        <is>
          <t>0396.069.203</t>
        </is>
      </c>
      <c r="E297" s="402" t="n"/>
      <c r="F297" s="401" t="inlineStr">
        <is>
          <t>Biên Hòa, Đồng Nai</t>
        </is>
      </c>
      <c r="G297" s="400" t="inlineStr">
        <is>
          <t>ÐNAI</t>
        </is>
      </c>
      <c r="H297" s="402" t="n"/>
      <c r="J297" s="392">
        <f>IFERROR(UPPER(TRIM(B297))&amp;"|"&amp;UPPER(TRIM(C297))&amp;"|"&amp;UPPER(TRIM(D297)),"")</f>
        <v/>
      </c>
    </row>
    <row r="298" ht="15.75" customHeight="1" s="217">
      <c r="A298" s="397" t="n">
        <v>296</v>
      </c>
      <c r="B298" s="397" t="inlineStr">
        <is>
          <t>KH3441</t>
        </is>
      </c>
      <c r="C298" s="398" t="inlineStr">
        <is>
          <t>Xưởng A Thắng - Đh Nông Lâm/ 0989.259.153</t>
        </is>
      </c>
      <c r="D298" s="397" t="inlineStr">
        <is>
          <t>0989.259.153</t>
        </is>
      </c>
      <c r="E298" s="399" t="n"/>
      <c r="F298" s="398" t="inlineStr">
        <is>
          <t>Đại học Nông Lâm, Dĩ An, Bình Dương</t>
        </is>
      </c>
      <c r="G298" s="397" t="inlineStr">
        <is>
          <t>SG/HCM</t>
        </is>
      </c>
      <c r="H298" s="399" t="n"/>
      <c r="J298" s="392">
        <f>IFERROR(UPPER(TRIM(B298))&amp;"|"&amp;UPPER(TRIM(C298))&amp;"|"&amp;UPPER(TRIM(D298)),"")</f>
        <v/>
      </c>
    </row>
    <row r="299" ht="15.75" customHeight="1" s="217">
      <c r="A299" s="400" t="n">
        <v>297</v>
      </c>
      <c r="B299" s="400" t="inlineStr">
        <is>
          <t>KH3440</t>
        </is>
      </c>
      <c r="C299" s="401" t="inlineStr">
        <is>
          <t>TURBO - GIA THIỀU - ĐỨC TRỌNG / Anh Thiều: 0971.313.232</t>
        </is>
      </c>
      <c r="D299" s="400" t="inlineStr">
        <is>
          <t>0971.313.232</t>
        </is>
      </c>
      <c r="E299" s="402" t="n"/>
      <c r="F299" s="401" t="inlineStr">
        <is>
          <t>138 Quốc lộ 20, Thị trấn Liên Nghĩa, Đức Trọng, Lâm Đồng</t>
        </is>
      </c>
      <c r="G299" s="400" t="inlineStr">
        <is>
          <t>LDONG</t>
        </is>
      </c>
      <c r="H299" s="402" t="n"/>
      <c r="J299" s="392">
        <f>IFERROR(UPPER(TRIM(B299))&amp;"|"&amp;UPPER(TRIM(C299))&amp;"|"&amp;UPPER(TRIM(D299)),"")</f>
        <v/>
      </c>
    </row>
    <row r="300" ht="15.75" customHeight="1" s="217">
      <c r="A300" s="397" t="n">
        <v>298</v>
      </c>
      <c r="B300" s="397" t="inlineStr">
        <is>
          <t>KH3438</t>
        </is>
      </c>
      <c r="C300" s="398" t="inlineStr">
        <is>
          <t>LB Auto Sài Gòn/  Anh Tú-0968.169.165; Anh Bình-0909.886.151</t>
        </is>
      </c>
      <c r="D300" s="397" t="inlineStr">
        <is>
          <t>0968.169.165 / 0909.886.151</t>
        </is>
      </c>
      <c r="E300" s="399" t="n"/>
      <c r="F300" s="398" t="inlineStr">
        <is>
          <t>92D32 KDC Savimex, Phường Phú Thuận, Quận 7, TP HCM</t>
        </is>
      </c>
      <c r="G300" s="397" t="inlineStr">
        <is>
          <t>SG/HCM</t>
        </is>
      </c>
      <c r="H300" s="399" t="n"/>
      <c r="J300" s="392">
        <f>IFERROR(UPPER(TRIM(B300))&amp;"|"&amp;UPPER(TRIM(C300))&amp;"|"&amp;UPPER(TRIM(D300)),"")</f>
        <v/>
      </c>
    </row>
    <row r="301" ht="15.75" customHeight="1" s="217">
      <c r="A301" s="400" t="n">
        <v>299</v>
      </c>
      <c r="B301" s="400" t="inlineStr">
        <is>
          <t>KH3439</t>
        </is>
      </c>
      <c r="C301" s="401" t="inlineStr">
        <is>
          <t>Anh Vũ - Vườn Lài - CTY TNHH SX&amp;TM AMIW - Quận 12 / Anh Vũ: 0988.626.077</t>
        </is>
      </c>
      <c r="D301" s="400" t="inlineStr">
        <is>
          <t>0988.626.077</t>
        </is>
      </c>
      <c r="E301" s="402" t="n"/>
      <c r="F301" s="401" t="inlineStr">
        <is>
          <t>52/39/6 đường  Vườn Lài, phường An Phú Đông, Quận 12, TP HCM</t>
        </is>
      </c>
      <c r="G301" s="400" t="inlineStr">
        <is>
          <t>SG/HCM</t>
        </is>
      </c>
      <c r="H301" s="402" t="n"/>
      <c r="J301" s="392">
        <f>IFERROR(UPPER(TRIM(B301))&amp;"|"&amp;UPPER(TRIM(C301))&amp;"|"&amp;UPPER(TRIM(D301)),"")</f>
        <v/>
      </c>
    </row>
    <row r="302" ht="15.75" customHeight="1" s="217">
      <c r="A302" s="397" t="n">
        <v>300</v>
      </c>
      <c r="B302" s="397" t="inlineStr">
        <is>
          <t>KH3437</t>
        </is>
      </c>
      <c r="C302" s="398" t="inlineStr">
        <is>
          <t>CH Hiền Diệu - Gia Lai/ 0849.972.222</t>
        </is>
      </c>
      <c r="D302" s="397" t="inlineStr">
        <is>
          <t>0849.972.222</t>
        </is>
      </c>
      <c r="E302" s="399" t="n"/>
      <c r="F302" s="398" t="inlineStr">
        <is>
          <t>19 Hai Bà Trưng, P. Diên Hồng, Pleiku, Gia Lai</t>
        </is>
      </c>
      <c r="G302" s="397" t="inlineStr">
        <is>
          <t>GLAI</t>
        </is>
      </c>
      <c r="H302" s="399" t="n"/>
      <c r="J302" s="392">
        <f>IFERROR(UPPER(TRIM(B302))&amp;"|"&amp;UPPER(TRIM(C302))&amp;"|"&amp;UPPER(TRIM(D302)),"")</f>
        <v/>
      </c>
    </row>
    <row r="303" ht="15.75" customHeight="1" s="217">
      <c r="A303" s="400" t="n">
        <v>301</v>
      </c>
      <c r="B303" s="400" t="inlineStr">
        <is>
          <t>KH3436</t>
        </is>
      </c>
      <c r="C303" s="401" t="inlineStr">
        <is>
          <t>CH Cơ Giới Trung Hoa - Bình Chánh / Chị Thu 0907.818.603</t>
        </is>
      </c>
      <c r="D303" s="400" t="inlineStr">
        <is>
          <t>0907.818.603</t>
        </is>
      </c>
      <c r="E303" s="402" t="n"/>
      <c r="F303" s="401" t="inlineStr">
        <is>
          <t>175 Quốc lộ 1A , An Phú Tây, Quận Bình Chánh</t>
        </is>
      </c>
      <c r="G303" s="400" t="inlineStr">
        <is>
          <t>SG/HCM</t>
        </is>
      </c>
      <c r="H303" s="402" t="n"/>
      <c r="J303" s="392">
        <f>IFERROR(UPPER(TRIM(B303))&amp;"|"&amp;UPPER(TRIM(C303))&amp;"|"&amp;UPPER(TRIM(D303)),"")</f>
        <v/>
      </c>
    </row>
    <row r="304" ht="15.75" customHeight="1" s="217">
      <c r="A304" s="397" t="n">
        <v>302</v>
      </c>
      <c r="B304" s="397" t="inlineStr">
        <is>
          <t>KH3432</t>
        </is>
      </c>
      <c r="C304" s="398" t="inlineStr">
        <is>
          <t>Cửa hàng két nước A Dũng - Cà Mau/ 0919.384.047</t>
        </is>
      </c>
      <c r="D304" s="397" t="inlineStr">
        <is>
          <t>0919.384.047</t>
        </is>
      </c>
      <c r="E304" s="399" t="n"/>
      <c r="F304" s="398" t="inlineStr">
        <is>
          <t>181 Đ. Lý Thường Kiệt, Phường 6, Thành phố Cà Mau, Cà Mau</t>
        </is>
      </c>
      <c r="G304" s="397" t="inlineStr">
        <is>
          <t>CMAU</t>
        </is>
      </c>
      <c r="H304" s="399" t="n"/>
      <c r="J304" s="392">
        <f>IFERROR(UPPER(TRIM(B304))&amp;"|"&amp;UPPER(TRIM(C304))&amp;"|"&amp;UPPER(TRIM(D304)),"")</f>
        <v/>
      </c>
    </row>
    <row r="305" ht="15.75" customHeight="1" s="217">
      <c r="A305" s="400" t="n">
        <v>303</v>
      </c>
      <c r="B305" s="400" t="inlineStr">
        <is>
          <t>KH3433</t>
        </is>
      </c>
      <c r="C305" s="401" t="inlineStr">
        <is>
          <t>Xưởng Anh Vinh - QL1A / 0934.733.344</t>
        </is>
      </c>
      <c r="D305" s="400" t="inlineStr">
        <is>
          <t>0934.733.344</t>
        </is>
      </c>
      <c r="E305" s="402" t="n"/>
      <c r="F305" s="401" t="inlineStr">
        <is>
          <t>382 Quốc lộ 1A, Tam Bình, Thủ Đức, Sài Gòn</t>
        </is>
      </c>
      <c r="G305" s="400" t="inlineStr">
        <is>
          <t>SG/HCM</t>
        </is>
      </c>
      <c r="H305" s="402" t="n"/>
      <c r="J305" s="392">
        <f>IFERROR(UPPER(TRIM(B305))&amp;"|"&amp;UPPER(TRIM(C305))&amp;"|"&amp;UPPER(TRIM(D305)),"")</f>
        <v/>
      </c>
    </row>
    <row r="306" ht="15.75" customHeight="1" s="217">
      <c r="A306" s="397" t="n">
        <v>304</v>
      </c>
      <c r="B306" s="397" t="inlineStr">
        <is>
          <t>KH3434</t>
        </is>
      </c>
      <c r="C306" s="398" t="inlineStr">
        <is>
          <t>Cửa hàng Pt ô tô Gia Phúc - A Phúc / 0905.431.186</t>
        </is>
      </c>
      <c r="D306" s="397" t="inlineStr">
        <is>
          <t>0905.431.186</t>
        </is>
      </c>
      <c r="E306" s="399" t="n"/>
      <c r="F306" s="398" t="inlineStr">
        <is>
          <t>236 Hùng Vương, Cam Nghĩa, Cam Ranh, Khánh Hòa</t>
        </is>
      </c>
      <c r="G306" s="397" t="inlineStr">
        <is>
          <t>NTRANG</t>
        </is>
      </c>
      <c r="H306" s="399" t="n"/>
      <c r="J306" s="392">
        <f>IFERROR(UPPER(TRIM(B306))&amp;"|"&amp;UPPER(TRIM(C306))&amp;"|"&amp;UPPER(TRIM(D306)),"")</f>
        <v/>
      </c>
    </row>
    <row r="307" ht="15.75" customHeight="1" s="217">
      <c r="A307" s="400" t="n">
        <v>305</v>
      </c>
      <c r="B307" s="400" t="inlineStr">
        <is>
          <t>KH3435</t>
        </is>
      </c>
      <c r="C307" s="401" t="inlineStr">
        <is>
          <t>Cty CP XD Dịch vụ và TM 68/ A Viên 0976.958.682</t>
        </is>
      </c>
      <c r="D307" s="400" t="inlineStr">
        <is>
          <t>0976.958.682</t>
        </is>
      </c>
      <c r="E307" s="402" t="n"/>
      <c r="F307" s="401" t="inlineStr">
        <is>
          <t>224 Kim Mã, Ba Đình, Hà Nội</t>
        </is>
      </c>
      <c r="G307" s="400" t="inlineStr">
        <is>
          <t>HN</t>
        </is>
      </c>
      <c r="H307" s="402" t="n"/>
      <c r="J307" s="392">
        <f>IFERROR(UPPER(TRIM(B307))&amp;"|"&amp;UPPER(TRIM(C307))&amp;"|"&amp;UPPER(TRIM(D307)),"")</f>
        <v/>
      </c>
    </row>
    <row r="308" ht="15.75" customHeight="1" s="217">
      <c r="A308" s="397" t="n">
        <v>306</v>
      </c>
      <c r="B308" s="397" t="inlineStr">
        <is>
          <t>KH3431</t>
        </is>
      </c>
      <c r="C308" s="398" t="inlineStr">
        <is>
          <t>CTY  PHỤ TÙNG MINH CHÂU/ A MAI  0364.465.811</t>
        </is>
      </c>
      <c r="D308" s="397" t="inlineStr">
        <is>
          <t>0364.465.811</t>
        </is>
      </c>
      <c r="E308" s="399" t="n"/>
      <c r="F308" s="398" t="inlineStr">
        <is>
          <t>37/38 k , Tổ 1 , KP2 , P Long Bình Tân , Biên Hòa</t>
        </is>
      </c>
      <c r="G308" s="397" t="inlineStr">
        <is>
          <t>ÐNAI</t>
        </is>
      </c>
      <c r="H308" s="399" t="n"/>
      <c r="J308" s="392">
        <f>IFERROR(UPPER(TRIM(B308))&amp;"|"&amp;UPPER(TRIM(C308))&amp;"|"&amp;UPPER(TRIM(D308)),"")</f>
        <v/>
      </c>
    </row>
    <row r="309" ht="15.75" customHeight="1" s="217">
      <c r="A309" s="400" t="n">
        <v>307</v>
      </c>
      <c r="B309" s="400" t="inlineStr">
        <is>
          <t>KH3430</t>
        </is>
      </c>
      <c r="C309" s="401" t="inlineStr">
        <is>
          <t>A Chiến (Xưởng - Gara), An Phú Đông, Quận 12 (gần tu viện Khánh An) / 0906.180.759</t>
        </is>
      </c>
      <c r="D309" s="400" t="inlineStr">
        <is>
          <t>0906.180.759</t>
        </is>
      </c>
      <c r="E309" s="402" t="n"/>
      <c r="F309" s="401" t="inlineStr">
        <is>
          <t>An Phú Đông, Quận 12, SG</t>
        </is>
      </c>
      <c r="G309" s="400" t="inlineStr">
        <is>
          <t>SG/HCM</t>
        </is>
      </c>
      <c r="H309" s="402" t="n"/>
      <c r="J309" s="392">
        <f>IFERROR(UPPER(TRIM(B309))&amp;"|"&amp;UPPER(TRIM(C309))&amp;"|"&amp;UPPER(TRIM(D309)),"")</f>
        <v/>
      </c>
    </row>
    <row r="310" ht="15.75" customHeight="1" s="217">
      <c r="A310" s="397" t="n">
        <v>308</v>
      </c>
      <c r="B310" s="397" t="inlineStr">
        <is>
          <t>YUAN</t>
        </is>
      </c>
      <c r="C310" s="398" t="inlineStr">
        <is>
          <t>FUGOU COUNTY YUANHANG MACHINERY CO. LTD (CAST IRON CYLINDER HEAD)</t>
        </is>
      </c>
      <c r="D310" s="399" t="n"/>
      <c r="E310" s="399" t="n"/>
      <c r="F310" s="398" t="inlineStr">
        <is>
          <t>FUGOU CITY, HENAN, CHINA</t>
        </is>
      </c>
      <c r="G310" s="399" t="n"/>
      <c r="H310" s="399" t="n"/>
      <c r="J310" s="392">
        <f>IFERROR(UPPER(TRIM(B310))&amp;"|"&amp;UPPER(TRIM(C310))&amp;"|"&amp;UPPER(TRIM(D310)),"")</f>
        <v/>
      </c>
    </row>
    <row r="311" ht="15.75" customHeight="1" s="217">
      <c r="A311" s="400" t="n">
        <v>309</v>
      </c>
      <c r="B311" s="400" t="inlineStr">
        <is>
          <t>KH3429</t>
        </is>
      </c>
      <c r="C311" s="401" t="inlineStr">
        <is>
          <t>Anh Cường-Kiên Giang/ 0949.006.353</t>
        </is>
      </c>
      <c r="D311" s="400" t="inlineStr">
        <is>
          <t>0949.006.353</t>
        </is>
      </c>
      <c r="E311" s="402" t="n"/>
      <c r="F311" s="401" t="inlineStr">
        <is>
          <t>Ấp Hòa An ,xã Mong Thọ ,HuyệnChâu Thành , Kiên Giang</t>
        </is>
      </c>
      <c r="G311" s="400" t="inlineStr">
        <is>
          <t>KG</t>
        </is>
      </c>
      <c r="H311" s="402" t="n"/>
      <c r="J311" s="392">
        <f>IFERROR(UPPER(TRIM(B311))&amp;"|"&amp;UPPER(TRIM(C311))&amp;"|"&amp;UPPER(TRIM(D311)),"")</f>
        <v/>
      </c>
    </row>
    <row r="312" ht="15.75" customHeight="1" s="217">
      <c r="A312" s="397" t="n">
        <v>310</v>
      </c>
      <c r="B312" s="397" t="inlineStr">
        <is>
          <t>MAKEWED</t>
        </is>
      </c>
      <c r="C312" s="398" t="inlineStr">
        <is>
          <t>HUANGSHAN MAKEWED TRADING CO., LTD  (ALUMINIUM CYLINDER HEAD)</t>
        </is>
      </c>
      <c r="D312" s="399" t="n"/>
      <c r="E312" s="399" t="n"/>
      <c r="F312" s="398" t="inlineStr">
        <is>
          <t>No. 2 JingXing Road, Shexian Economic Development Zone, She Country, Huangshan City, Anhui Province, China</t>
        </is>
      </c>
      <c r="G312" s="399" t="n"/>
      <c r="H312" s="399" t="n"/>
      <c r="J312" s="392">
        <f>IFERROR(UPPER(TRIM(B312))&amp;"|"&amp;UPPER(TRIM(C312))&amp;"|"&amp;UPPER(TRIM(D312)),"")</f>
        <v/>
      </c>
    </row>
    <row r="313" ht="15.75" customHeight="1" s="217">
      <c r="A313" s="400" t="n">
        <v>311</v>
      </c>
      <c r="B313" s="400" t="inlineStr">
        <is>
          <t>KH3427</t>
        </is>
      </c>
      <c r="C313" s="401" t="inlineStr">
        <is>
          <t>Anh Tuấn (Thợ máy) - Thạnh Xuân, Quận 12/ 0976.735.771</t>
        </is>
      </c>
      <c r="D313" s="400" t="inlineStr">
        <is>
          <t>0976.735.771</t>
        </is>
      </c>
      <c r="E313" s="402" t="n"/>
      <c r="F313" s="401" t="inlineStr">
        <is>
          <t>Thạnh Xuân, Quận 12 , Sài Gòn</t>
        </is>
      </c>
      <c r="G313" s="400" t="inlineStr">
        <is>
          <t>SG/HCM</t>
        </is>
      </c>
      <c r="H313" s="402" t="n"/>
      <c r="J313" s="392">
        <f>IFERROR(UPPER(TRIM(B313))&amp;"|"&amp;UPPER(TRIM(C313))&amp;"|"&amp;UPPER(TRIM(D313)),"")</f>
        <v/>
      </c>
    </row>
    <row r="314" ht="15.75" customHeight="1" s="217">
      <c r="A314" s="397" t="n">
        <v>312</v>
      </c>
      <c r="B314" s="397" t="inlineStr">
        <is>
          <t>KH3428</t>
        </is>
      </c>
      <c r="C314" s="398" t="inlineStr">
        <is>
          <t>Xưởng (phụ tùng, sửa chữa) xe nâng Trường Phát / 0979.980.744</t>
        </is>
      </c>
      <c r="D314" s="397" t="inlineStr">
        <is>
          <t>0979.980.744</t>
        </is>
      </c>
      <c r="E314" s="399" t="n"/>
      <c r="F314" s="398" t="inlineStr">
        <is>
          <t>Đường Vĩnh Phú 28, Thuận An, Bình Dương</t>
        </is>
      </c>
      <c r="G314" s="397" t="inlineStr">
        <is>
          <t>SG/HCM</t>
        </is>
      </c>
      <c r="H314" s="399" t="n"/>
      <c r="J314" s="392">
        <f>IFERROR(UPPER(TRIM(B314))&amp;"|"&amp;UPPER(TRIM(C314))&amp;"|"&amp;UPPER(TRIM(D314)),"")</f>
        <v/>
      </c>
    </row>
    <row r="315" ht="15.75" customHeight="1" s="217">
      <c r="A315" s="400" t="n">
        <v>313</v>
      </c>
      <c r="B315" s="400" t="inlineStr">
        <is>
          <t>KH3424</t>
        </is>
      </c>
      <c r="C315" s="401" t="inlineStr">
        <is>
          <t>Turbo Quang Tuấn- TP.Thanh Hoá /  0986.157.150</t>
        </is>
      </c>
      <c r="D315" s="400" t="inlineStr">
        <is>
          <t>0986.157.150</t>
        </is>
      </c>
      <c r="E315" s="402" t="n"/>
      <c r="F315" s="401" t="inlineStr">
        <is>
          <t>Ngã Tư Đường Tránh , số nhà 649-Thịnh Hùng-Quảng Thịnh-Tp.Thanh Hoá</t>
        </is>
      </c>
      <c r="G315" s="400" t="inlineStr">
        <is>
          <t>THANH HÓA</t>
        </is>
      </c>
      <c r="H315" s="402" t="n"/>
      <c r="J315" s="392">
        <f>IFERROR(UPPER(TRIM(B315))&amp;"|"&amp;UPPER(TRIM(C315))&amp;"|"&amp;UPPER(TRIM(D315)),"")</f>
        <v/>
      </c>
    </row>
    <row r="316" ht="15.75" customHeight="1" s="217">
      <c r="A316" s="397" t="n">
        <v>314</v>
      </c>
      <c r="B316" s="397" t="inlineStr">
        <is>
          <t>KH3425</t>
        </is>
      </c>
      <c r="C316" s="398" t="inlineStr">
        <is>
          <t>CH Turbo a Vương - Long Xuyên,  0834.243.147</t>
        </is>
      </c>
      <c r="D316" s="397" t="inlineStr">
        <is>
          <t>0834.243.147</t>
        </is>
      </c>
      <c r="E316" s="399" t="n"/>
      <c r="F316" s="398" t="inlineStr">
        <is>
          <t>211 Ấp Long Mỹ 1 , Long Giang,  Chợ Mới , An Giang</t>
        </is>
      </c>
      <c r="G316" s="397" t="inlineStr">
        <is>
          <t>ANGIANG</t>
        </is>
      </c>
      <c r="H316" s="399" t="n"/>
      <c r="I316" s="216" t="inlineStr">
        <is>
          <t xml:space="preserve">Gửi Chành Ngọc Sơn </t>
        </is>
      </c>
      <c r="J316" s="392">
        <f>IFERROR(UPPER(TRIM(B316))&amp;"|"&amp;UPPER(TRIM(C316))&amp;"|"&amp;UPPER(TRIM(D316)),"")</f>
        <v/>
      </c>
    </row>
    <row r="317" ht="15.75" customHeight="1" s="217">
      <c r="A317" s="400" t="n">
        <v>315</v>
      </c>
      <c r="B317" s="400" t="inlineStr">
        <is>
          <t>KH3426</t>
        </is>
      </c>
      <c r="C317" s="401" t="inlineStr">
        <is>
          <t>Xưởng anh Phúc- Cầu vượt sóng Thần/ 0937.321.079</t>
        </is>
      </c>
      <c r="D317" s="400" t="inlineStr">
        <is>
          <t>0937.321.079</t>
        </is>
      </c>
      <c r="E317" s="402" t="n"/>
      <c r="F317" s="401" t="inlineStr">
        <is>
          <t>QL1A -Thử Đức-Sài Gòn</t>
        </is>
      </c>
      <c r="G317" s="400" t="inlineStr">
        <is>
          <t>SG/HCM</t>
        </is>
      </c>
      <c r="H317" s="402" t="n"/>
      <c r="J317" s="392">
        <f>IFERROR(UPPER(TRIM(B317))&amp;"|"&amp;UPPER(TRIM(C317))&amp;"|"&amp;UPPER(TRIM(D317)),"")</f>
        <v/>
      </c>
    </row>
    <row r="318" ht="15.75" customHeight="1" s="217">
      <c r="A318" s="397" t="n">
        <v>316</v>
      </c>
      <c r="B318" s="397" t="inlineStr">
        <is>
          <t>KH3423</t>
        </is>
      </c>
      <c r="C318" s="398" t="inlineStr">
        <is>
          <t>CÔNG TY TNHH MÁY VÀ PHỤ TÙNG VIỆT THÀNH-Sài Gòn/ A Tâm -0931.476.525</t>
        </is>
      </c>
      <c r="D318" s="397" t="inlineStr">
        <is>
          <t>0931.476.525</t>
        </is>
      </c>
      <c r="E318" s="399" t="n"/>
      <c r="F318" s="398" t="inlineStr">
        <is>
          <t>456 Xô Viết Nghệ Tĩnh , Phường 25, Quận Bình Thạnh, Thành phố Hồ Chí Minh</t>
        </is>
      </c>
      <c r="G318" s="397" t="inlineStr">
        <is>
          <t>SG/HCM</t>
        </is>
      </c>
      <c r="H318" s="399" t="n"/>
      <c r="J318" s="392">
        <f>IFERROR(UPPER(TRIM(B318))&amp;"|"&amp;UPPER(TRIM(C318))&amp;"|"&amp;UPPER(TRIM(D318)),"")</f>
        <v/>
      </c>
    </row>
    <row r="319" ht="15.75" customHeight="1" s="217">
      <c r="A319" s="400" t="n">
        <v>317</v>
      </c>
      <c r="B319" s="400" t="inlineStr">
        <is>
          <t>KH3422</t>
        </is>
      </c>
      <c r="C319" s="401" t="inlineStr">
        <is>
          <t>Anh Hiền (Thợ máy)-Sài Gòn /  0908.677.296</t>
        </is>
      </c>
      <c r="D319" s="400" t="inlineStr">
        <is>
          <t>0908.677.296</t>
        </is>
      </c>
      <c r="E319" s="402" t="n"/>
      <c r="F319" s="401" t="inlineStr">
        <is>
          <t>Gò Vấp-Sài Gòn</t>
        </is>
      </c>
      <c r="G319" s="400" t="inlineStr">
        <is>
          <t>SG/HCM</t>
        </is>
      </c>
      <c r="H319" s="402" t="n"/>
      <c r="J319" s="392">
        <f>IFERROR(UPPER(TRIM(B319))&amp;"|"&amp;UPPER(TRIM(C319))&amp;"|"&amp;UPPER(TRIM(D319)),"")</f>
        <v/>
      </c>
    </row>
    <row r="320" ht="15.75" customHeight="1" s="217">
      <c r="A320" s="397" t="n">
        <v>318</v>
      </c>
      <c r="B320" s="397" t="inlineStr">
        <is>
          <t>KH3421</t>
        </is>
      </c>
      <c r="C320" s="398" t="inlineStr">
        <is>
          <t>Xưởng xy lanh Phong Thanh -Sài Gòn  / 0913.878.738</t>
        </is>
      </c>
      <c r="D320" s="397" t="inlineStr">
        <is>
          <t>0913.878.738</t>
        </is>
      </c>
      <c r="E320" s="399" t="n"/>
      <c r="F320" s="398" t="inlineStr">
        <is>
          <t>132 Dương Đình Cúc, Tân Kiên ,Bình Chánh(gần Cầu Bình Điền)-Sài Gòn</t>
        </is>
      </c>
      <c r="G320" s="397" t="inlineStr">
        <is>
          <t>SG/HCM</t>
        </is>
      </c>
      <c r="H320" s="399" t="n"/>
      <c r="J320" s="392">
        <f>IFERROR(UPPER(TRIM(B320))&amp;"|"&amp;UPPER(TRIM(C320))&amp;"|"&amp;UPPER(TRIM(D320)),"")</f>
        <v/>
      </c>
    </row>
    <row r="321" ht="15.75" customHeight="1" s="217">
      <c r="A321" s="400" t="n">
        <v>319</v>
      </c>
      <c r="B321" s="400" t="inlineStr">
        <is>
          <t>KH3419</t>
        </is>
      </c>
      <c r="C321" s="401" t="inlineStr">
        <is>
          <t>Công ty Việt Hoa -Hải Dương/ Anh Hải: 0911.666.620</t>
        </is>
      </c>
      <c r="D321" s="400" t="inlineStr">
        <is>
          <t>0911.666.620</t>
        </is>
      </c>
      <c r="E321" s="402" t="n"/>
      <c r="F321" s="401" t="inlineStr">
        <is>
          <t>Lô 24/80 Đường Bạch Năng Thi, P. Hải Tân, T Hải Dương</t>
        </is>
      </c>
      <c r="G321" s="400" t="inlineStr">
        <is>
          <t>HN</t>
        </is>
      </c>
      <c r="H321" s="402" t="n"/>
      <c r="J321" s="392">
        <f>IFERROR(UPPER(TRIM(B321))&amp;"|"&amp;UPPER(TRIM(C321))&amp;"|"&amp;UPPER(TRIM(D321)),"")</f>
        <v/>
      </c>
    </row>
    <row r="322" ht="15.75" customHeight="1" s="217">
      <c r="A322" s="397" t="n">
        <v>320</v>
      </c>
      <c r="B322" s="397" t="inlineStr">
        <is>
          <t>KH3420</t>
        </is>
      </c>
      <c r="C322" s="398" t="inlineStr">
        <is>
          <t>Anh Diễn-Sài Gòn/ 0765.346.578</t>
        </is>
      </c>
      <c r="D322" s="397" t="inlineStr">
        <is>
          <t>0765.346.578</t>
        </is>
      </c>
      <c r="E322" s="399" t="n"/>
      <c r="F322" s="398" t="inlineStr">
        <is>
          <t>Ngã Tư Bình Phước - Thủ Đức- Sài Gòn</t>
        </is>
      </c>
      <c r="G322" s="397" t="inlineStr">
        <is>
          <t>SG/HCM</t>
        </is>
      </c>
      <c r="H322" s="399" t="n"/>
      <c r="J322" s="392">
        <f>IFERROR(UPPER(TRIM(B322))&amp;"|"&amp;UPPER(TRIM(C322))&amp;"|"&amp;UPPER(TRIM(D322)),"")</f>
        <v/>
      </c>
    </row>
    <row r="323" ht="15.75" customHeight="1" s="217">
      <c r="A323" s="400" t="n">
        <v>321</v>
      </c>
      <c r="B323" s="400" t="inlineStr">
        <is>
          <t>KH3418</t>
        </is>
      </c>
      <c r="C323" s="401" t="inlineStr">
        <is>
          <t>Công ty 431-Sài Gòn / Anh Phương- 0983.584.169</t>
        </is>
      </c>
      <c r="D323" s="400" t="inlineStr">
        <is>
          <t>0983.584.169</t>
        </is>
      </c>
      <c r="E323" s="402" t="n"/>
      <c r="F323" s="401" t="inlineStr">
        <is>
          <t>431 An Dương Vương-Phường 3-Quận 5- TP HCM</t>
        </is>
      </c>
      <c r="G323" s="400" t="inlineStr">
        <is>
          <t>SG/HCM</t>
        </is>
      </c>
      <c r="H323" s="402" t="n"/>
      <c r="J323" s="392">
        <f>IFERROR(UPPER(TRIM(B323))&amp;"|"&amp;UPPER(TRIM(C323))&amp;"|"&amp;UPPER(TRIM(D323)),"")</f>
        <v/>
      </c>
    </row>
    <row r="324" ht="15.75" customHeight="1" s="217">
      <c r="A324" s="397" t="n">
        <v>322</v>
      </c>
      <c r="B324" s="397" t="inlineStr">
        <is>
          <t>KH3416</t>
        </is>
      </c>
      <c r="C324" s="398" t="inlineStr">
        <is>
          <t>CÔNG TY TNHH MTV TÂY BẮC - CHI NHÁNH LÀO CAI/ Chị Huế -0968.822.613</t>
        </is>
      </c>
      <c r="D324" s="397" t="inlineStr">
        <is>
          <t>0968.822.613</t>
        </is>
      </c>
      <c r="E324" s="399" t="n"/>
      <c r="F324" s="398" t="inlineStr">
        <is>
          <t>LK20-12, Khu Đô Thị Phú Lương - Phường Phú La - Quận Hà Đông - Hà Nội</t>
        </is>
      </c>
      <c r="G324" s="397" t="inlineStr">
        <is>
          <t>HN</t>
        </is>
      </c>
      <c r="H324" s="399" t="n"/>
      <c r="J324" s="392">
        <f>IFERROR(UPPER(TRIM(B324))&amp;"|"&amp;UPPER(TRIM(C324))&amp;"|"&amp;UPPER(TRIM(D324)),"")</f>
        <v/>
      </c>
    </row>
    <row r="325" ht="15.75" customHeight="1" s="217">
      <c r="A325" s="400" t="n">
        <v>323</v>
      </c>
      <c r="B325" s="400" t="inlineStr">
        <is>
          <t>KH3417</t>
        </is>
      </c>
      <c r="C325" s="401" t="inlineStr">
        <is>
          <t>Xưởng tiện Anh Thành-Sài Gòn / 0963.397.920</t>
        </is>
      </c>
      <c r="D325" s="400" t="inlineStr">
        <is>
          <t>0963.397.920</t>
        </is>
      </c>
      <c r="E325" s="402" t="n"/>
      <c r="F325" s="401" t="inlineStr">
        <is>
          <t>241/24/1 Tân Hoà Đông, Phường 14, Quận 6, TP.Hồ Chí Minh</t>
        </is>
      </c>
      <c r="G325" s="400" t="inlineStr">
        <is>
          <t>SG/HCM</t>
        </is>
      </c>
      <c r="H325" s="402" t="n"/>
      <c r="J325" s="392">
        <f>IFERROR(UPPER(TRIM(B325))&amp;"|"&amp;UPPER(TRIM(C325))&amp;"|"&amp;UPPER(TRIM(D325)),"")</f>
        <v/>
      </c>
    </row>
    <row r="326" ht="15.75" customHeight="1" s="217">
      <c r="A326" s="397" t="n">
        <v>324</v>
      </c>
      <c r="B326" s="397" t="inlineStr">
        <is>
          <t>CY</t>
        </is>
      </c>
      <c r="C326" s="398" t="inlineStr">
        <is>
          <t>Guangzhou C.Y. Machinery Parts Trading Co., Ltd.</t>
        </is>
      </c>
      <c r="D326" s="399" t="n"/>
      <c r="E326" s="399" t="n"/>
      <c r="F326" s="398" t="inlineStr">
        <is>
          <t>Room 408-409, Junyi Business Building, 1025 Zhongshan Road Tianhe District, Guangzhou 510660, China</t>
        </is>
      </c>
      <c r="G326" s="399" t="n"/>
      <c r="H326" s="399" t="n"/>
      <c r="J326" s="392">
        <f>IFERROR(UPPER(TRIM(B326))&amp;"|"&amp;UPPER(TRIM(C326))&amp;"|"&amp;UPPER(TRIM(D326)),"")</f>
        <v/>
      </c>
    </row>
    <row r="327" ht="15.75" customHeight="1" s="217">
      <c r="A327" s="400" t="n">
        <v>325</v>
      </c>
      <c r="B327" s="400" t="inlineStr">
        <is>
          <t>KH3415</t>
        </is>
      </c>
      <c r="C327" s="401" t="inlineStr">
        <is>
          <t>TURBO - ANH GIM - BÌNH TÂN/ Anh Gim: 0975.319.561</t>
        </is>
      </c>
      <c r="D327" s="400" t="inlineStr">
        <is>
          <t>0975.319.561</t>
        </is>
      </c>
      <c r="E327" s="402" t="n"/>
      <c r="F327" s="401" t="inlineStr">
        <is>
          <t>945 Quốc lộ 1A, An Lạc, Bình Tân</t>
        </is>
      </c>
      <c r="G327" s="400" t="inlineStr">
        <is>
          <t>SG/HCM</t>
        </is>
      </c>
      <c r="H327" s="402" t="n"/>
      <c r="J327" s="392">
        <f>IFERROR(UPPER(TRIM(B327))&amp;"|"&amp;UPPER(TRIM(C327))&amp;"|"&amp;UPPER(TRIM(D327)),"")</f>
        <v/>
      </c>
    </row>
    <row r="328" ht="15.75" customHeight="1" s="217">
      <c r="A328" s="397" t="n">
        <v>326</v>
      </c>
      <c r="B328" s="397" t="inlineStr">
        <is>
          <t>KH3414</t>
        </is>
      </c>
      <c r="C328" s="398" t="inlineStr">
        <is>
          <t>Công ty CP ĐT XD Nam Bình Dương, A Thực - 0916.032.147</t>
        </is>
      </c>
      <c r="D328" s="397" t="inlineStr">
        <is>
          <t>0916.032.147</t>
        </is>
      </c>
      <c r="E328" s="399" t="n"/>
      <c r="F328" s="398" t="inlineStr">
        <is>
          <t>D3-25, Khu Dân Cư Vĩnh Phú 2, Khu Phố Phú Hội, P Vĩnh Phú, Thuận An, Bình Dương</t>
        </is>
      </c>
      <c r="G328" s="397" t="inlineStr">
        <is>
          <t>BDUONG</t>
        </is>
      </c>
      <c r="H328" s="399" t="n"/>
      <c r="J328" s="392">
        <f>IFERROR(UPPER(TRIM(B328))&amp;"|"&amp;UPPER(TRIM(C328))&amp;"|"&amp;UPPER(TRIM(D328)),"")</f>
        <v/>
      </c>
    </row>
    <row r="329" ht="15.75" customHeight="1" s="217">
      <c r="A329" s="400" t="n">
        <v>327</v>
      </c>
      <c r="B329" s="400" t="inlineStr">
        <is>
          <t>KH3413</t>
        </is>
      </c>
      <c r="C329" s="401" t="inlineStr">
        <is>
          <t>Công ty cổ phần xây dựng Quang Đại Việt/ Anh Bi- 0905.513.301</t>
        </is>
      </c>
      <c r="D329" s="400" t="inlineStr">
        <is>
          <t>0905.513.301</t>
        </is>
      </c>
      <c r="E329" s="402" t="n"/>
      <c r="F329" s="401" t="inlineStr">
        <is>
          <t>244G Nguyễn Hữu Thọ, Phường Hoà Cường Bắc, Q, Hải Châu, TP.Đà Nẵng</t>
        </is>
      </c>
      <c r="G329" s="400" t="inlineStr">
        <is>
          <t>DNANG</t>
        </is>
      </c>
      <c r="H329" s="402" t="n"/>
      <c r="J329" s="392">
        <f>IFERROR(UPPER(TRIM(B329))&amp;"|"&amp;UPPER(TRIM(C329))&amp;"|"&amp;UPPER(TRIM(D329)),"")</f>
        <v/>
      </c>
    </row>
    <row r="330" ht="15.75" customHeight="1" s="217">
      <c r="A330" s="397" t="n">
        <v>328</v>
      </c>
      <c r="B330" s="397" t="inlineStr">
        <is>
          <t>KH3412</t>
        </is>
      </c>
      <c r="C330" s="398" t="inlineStr">
        <is>
          <t>Cơ khí Trần Quỳnh - Kiên Giang-/ 0838.110.006</t>
        </is>
      </c>
      <c r="D330" s="397" t="inlineStr">
        <is>
          <t>0838.110.006</t>
        </is>
      </c>
      <c r="E330" s="399" t="n"/>
      <c r="F330" s="398" t="inlineStr">
        <is>
          <t>Vình Thuận, Kiên Giang</t>
        </is>
      </c>
      <c r="G330" s="397" t="inlineStr">
        <is>
          <t>KG</t>
        </is>
      </c>
      <c r="H330" s="399" t="n"/>
      <c r="J330" s="392">
        <f>IFERROR(UPPER(TRIM(B330))&amp;"|"&amp;UPPER(TRIM(C330))&amp;"|"&amp;UPPER(TRIM(D330)),"")</f>
        <v/>
      </c>
    </row>
    <row r="331" ht="15.75" customHeight="1" s="217">
      <c r="A331" s="400" t="n">
        <v>329</v>
      </c>
      <c r="B331" s="400" t="inlineStr">
        <is>
          <t>KH3411</t>
        </is>
      </c>
      <c r="C331" s="401" t="inlineStr">
        <is>
          <t>Công ty cổ phần xe nâng Nhất Lộc Phát /  0906.957.080</t>
        </is>
      </c>
      <c r="D331" s="400" t="inlineStr">
        <is>
          <t>0906.957.080</t>
        </is>
      </c>
      <c r="E331" s="402" t="n"/>
      <c r="F331" s="401" t="inlineStr">
        <is>
          <t>Số 103 đường số 7 Cityland Center, Phường 7, Q.Gò Vấp, TP.HCM</t>
        </is>
      </c>
      <c r="G331" s="400" t="inlineStr">
        <is>
          <t>SG/HCM</t>
        </is>
      </c>
      <c r="H331" s="402" t="n"/>
      <c r="J331" s="392">
        <f>IFERROR(UPPER(TRIM(B331))&amp;"|"&amp;UPPER(TRIM(C331))&amp;"|"&amp;UPPER(TRIM(D331)),"")</f>
        <v/>
      </c>
    </row>
    <row r="332" ht="15.75" customHeight="1" s="217">
      <c r="A332" s="397" t="n">
        <v>330</v>
      </c>
      <c r="B332" s="397" t="inlineStr">
        <is>
          <t>KH3410</t>
        </is>
      </c>
      <c r="C332" s="398" t="inlineStr">
        <is>
          <t>Anh Tuấn-Nam Yang, Đak Đoa, Gia Lai / 0965.380.598</t>
        </is>
      </c>
      <c r="D332" s="397" t="inlineStr">
        <is>
          <t>0965.380.598</t>
        </is>
      </c>
      <c r="E332" s="399" t="n"/>
      <c r="F332" s="398" t="inlineStr">
        <is>
          <t>Nam Yang, Đak Đoa, Gia Lai</t>
        </is>
      </c>
      <c r="G332" s="397" t="inlineStr">
        <is>
          <t>GLAI</t>
        </is>
      </c>
      <c r="H332" s="399" t="n"/>
      <c r="J332" s="392">
        <f>IFERROR(UPPER(TRIM(B332))&amp;"|"&amp;UPPER(TRIM(C332))&amp;"|"&amp;UPPER(TRIM(D332)),"")</f>
        <v/>
      </c>
    </row>
    <row r="333" ht="15.75" customHeight="1" s="217">
      <c r="A333" s="400" t="n">
        <v>331</v>
      </c>
      <c r="B333" s="400" t="inlineStr">
        <is>
          <t>KH3408</t>
        </is>
      </c>
      <c r="C333" s="401" t="inlineStr">
        <is>
          <t>Xưởng Anh Lợi - Dĩ An - Bình Dương/ 0906.398.282</t>
        </is>
      </c>
      <c r="D333" s="400" t="inlineStr">
        <is>
          <t>0906.398.282</t>
        </is>
      </c>
      <c r="E333" s="402" t="n"/>
      <c r="F333" s="401" t="inlineStr">
        <is>
          <t>7/9 Khu phố Hiệp Thắng, phường Bình Thắng, TP Dĩ An, Bình Dương</t>
        </is>
      </c>
      <c r="G333" s="400" t="inlineStr">
        <is>
          <t>BDUONG</t>
        </is>
      </c>
      <c r="H333" s="402" t="n"/>
      <c r="J333" s="392">
        <f>IFERROR(UPPER(TRIM(B333))&amp;"|"&amp;UPPER(TRIM(C333))&amp;"|"&amp;UPPER(TRIM(D333)),"")</f>
        <v/>
      </c>
    </row>
    <row r="334" ht="15.75" customHeight="1" s="217">
      <c r="A334" s="397" t="n">
        <v>332</v>
      </c>
      <c r="B334" s="397" t="inlineStr">
        <is>
          <t>KH3409</t>
        </is>
      </c>
      <c r="C334" s="398" t="inlineStr">
        <is>
          <t>Cửa hàng Thiên Hùng - Ba Tri - Bến Tre /0918.104.773</t>
        </is>
      </c>
      <c r="D334" s="397" t="inlineStr">
        <is>
          <t>0918.104.773</t>
        </is>
      </c>
      <c r="E334" s="399" t="n"/>
      <c r="F334" s="398" t="inlineStr">
        <is>
          <t>Ba Tri - Bến Tre</t>
        </is>
      </c>
      <c r="G334" s="397" t="inlineStr">
        <is>
          <t>BTRE</t>
        </is>
      </c>
      <c r="H334" s="399" t="n"/>
      <c r="J334" s="392">
        <f>IFERROR(UPPER(TRIM(B334))&amp;"|"&amp;UPPER(TRIM(C334))&amp;"|"&amp;UPPER(TRIM(D334)),"")</f>
        <v/>
      </c>
    </row>
    <row r="335" ht="15.75" customHeight="1" s="217">
      <c r="A335" s="400" t="n">
        <v>333</v>
      </c>
      <c r="B335" s="400" t="inlineStr">
        <is>
          <t>KH3407</t>
        </is>
      </c>
      <c r="C335" s="401" t="inlineStr">
        <is>
          <t>Xưởng tiện Anh Tuân-Quận 8/ 0903.652.257</t>
        </is>
      </c>
      <c r="D335" s="400" t="inlineStr">
        <is>
          <t>0903.652.257</t>
        </is>
      </c>
      <c r="E335" s="402" t="n"/>
      <c r="F335" s="401" t="inlineStr">
        <is>
          <t>282 Hưng Phú-Phường 8-Quận 8-Sài Gòn</t>
        </is>
      </c>
      <c r="G335" s="400" t="inlineStr">
        <is>
          <t>SG/HCM</t>
        </is>
      </c>
      <c r="H335" s="402" t="n"/>
      <c r="J335" s="392">
        <f>IFERROR(UPPER(TRIM(B335))&amp;"|"&amp;UPPER(TRIM(C335))&amp;"|"&amp;UPPER(TRIM(D335)),"")</f>
        <v/>
      </c>
    </row>
    <row r="336" ht="15.75" customHeight="1" s="217">
      <c r="A336" s="397" t="n">
        <v>334</v>
      </c>
      <c r="B336" s="397" t="inlineStr">
        <is>
          <t>KH3406</t>
        </is>
      </c>
      <c r="C336" s="398" t="inlineStr">
        <is>
          <t>Công Ty 492 - Anh Dương/ 0979.081.777</t>
        </is>
      </c>
      <c r="D336" s="397" t="inlineStr">
        <is>
          <t>0979.081.777</t>
        </is>
      </c>
      <c r="E336" s="399" t="n"/>
      <c r="F336" s="398" t="inlineStr">
        <is>
          <t>198, Trường Thịnh - Lê Lợi, TP Vinh, Nghệ An</t>
        </is>
      </c>
      <c r="G336" s="397" t="inlineStr">
        <is>
          <t>HN</t>
        </is>
      </c>
      <c r="H336" s="399" t="n"/>
      <c r="J336" s="392">
        <f>IFERROR(UPPER(TRIM(B336))&amp;"|"&amp;UPPER(TRIM(C336))&amp;"|"&amp;UPPER(TRIM(D336)),"")</f>
        <v/>
      </c>
    </row>
    <row r="337" ht="15.75" customHeight="1" s="217">
      <c r="A337" s="400" t="n">
        <v>335</v>
      </c>
      <c r="B337" s="400" t="inlineStr">
        <is>
          <t>KH3405</t>
        </is>
      </c>
      <c r="C337" s="401" t="inlineStr">
        <is>
          <t>Huy Sơn - Bình Phước/ 0886.807.807</t>
        </is>
      </c>
      <c r="D337" s="400" t="inlineStr">
        <is>
          <t>0886.807.807</t>
        </is>
      </c>
      <c r="E337" s="402" t="n"/>
      <c r="F337" s="401" t="inlineStr">
        <is>
          <t>Tân Phú - Đồng Phú - Bình Phước</t>
        </is>
      </c>
      <c r="G337" s="400" t="inlineStr">
        <is>
          <t>BP</t>
        </is>
      </c>
      <c r="H337" s="402" t="n"/>
      <c r="J337" s="392">
        <f>IFERROR(UPPER(TRIM(B337))&amp;"|"&amp;UPPER(TRIM(C337))&amp;"|"&amp;UPPER(TRIM(D337)),"")</f>
        <v/>
      </c>
    </row>
    <row r="338" ht="15.75" customHeight="1" s="217">
      <c r="A338" s="397" t="n">
        <v>336</v>
      </c>
      <c r="B338" s="397" t="inlineStr">
        <is>
          <t>KH3404</t>
        </is>
      </c>
      <c r="C338" s="398" t="inlineStr">
        <is>
          <t>Công ty TNHH SX TM DV Mỹ Châu/ A Việt - 0908.115.148</t>
        </is>
      </c>
      <c r="D338" s="397" t="inlineStr">
        <is>
          <t>0908.115.148</t>
        </is>
      </c>
      <c r="E338" s="399" t="n"/>
      <c r="F338" s="398" t="inlineStr">
        <is>
          <t>145 Quốc lộ 50, Ấp Long Hưng, Xã Long Khánh, TX Gò Công, Tiền Giang</t>
        </is>
      </c>
      <c r="G338" s="397" t="inlineStr">
        <is>
          <t>TGIANG</t>
        </is>
      </c>
      <c r="H338" s="399" t="n"/>
      <c r="J338" s="392">
        <f>IFERROR(UPPER(TRIM(B338))&amp;"|"&amp;UPPER(TRIM(C338))&amp;"|"&amp;UPPER(TRIM(D338)),"")</f>
        <v/>
      </c>
    </row>
    <row r="339" ht="15.75" customHeight="1" s="217">
      <c r="A339" s="400" t="n">
        <v>337</v>
      </c>
      <c r="B339" s="400" t="inlineStr">
        <is>
          <t>KH3402</t>
        </is>
      </c>
      <c r="C339" s="401" t="inlineStr">
        <is>
          <t>Xưởng Anh Minh - Đông Giang, Quảng Nam/ 0968.234.300</t>
        </is>
      </c>
      <c r="D339" s="400" t="inlineStr">
        <is>
          <t>0968.234.300</t>
        </is>
      </c>
      <c r="E339" s="402" t="n"/>
      <c r="F339" s="401" t="inlineStr">
        <is>
          <t>Thôn Man Mai, xã Ba, huyện Đông Giang, Quảng Nam</t>
        </is>
      </c>
      <c r="G339" s="400" t="inlineStr">
        <is>
          <t>QNAM</t>
        </is>
      </c>
      <c r="H339" s="402" t="n"/>
      <c r="J339" s="392">
        <f>IFERROR(UPPER(TRIM(B339))&amp;"|"&amp;UPPER(TRIM(C339))&amp;"|"&amp;UPPER(TRIM(D339)),"")</f>
        <v/>
      </c>
    </row>
    <row r="340" ht="15.75" customHeight="1" s="217">
      <c r="A340" s="397" t="n">
        <v>338</v>
      </c>
      <c r="B340" s="397" t="inlineStr">
        <is>
          <t>KH3403</t>
        </is>
      </c>
      <c r="C340" s="398" t="inlineStr">
        <is>
          <t>Gara Nhật An / Anh Nhật - Bình Định/ 0964.139.449</t>
        </is>
      </c>
      <c r="D340" s="397" t="inlineStr">
        <is>
          <t>0964.139.449</t>
        </is>
      </c>
      <c r="E340" s="399" t="n"/>
      <c r="F340" s="398" t="inlineStr">
        <is>
          <t>Xã Cát Tường, Phù Cát, Bình Định</t>
        </is>
      </c>
      <c r="G340" s="397" t="inlineStr">
        <is>
          <t>BDINH</t>
        </is>
      </c>
      <c r="H340" s="399" t="n"/>
      <c r="J340" s="392">
        <f>IFERROR(UPPER(TRIM(B340))&amp;"|"&amp;UPPER(TRIM(C340))&amp;"|"&amp;UPPER(TRIM(D340)),"")</f>
        <v/>
      </c>
    </row>
    <row r="341" ht="15.75" customHeight="1" s="217">
      <c r="A341" s="400" t="n">
        <v>339</v>
      </c>
      <c r="B341" s="400" t="inlineStr">
        <is>
          <t>KH3401</t>
        </is>
      </c>
      <c r="C341" s="401" t="inlineStr">
        <is>
          <t>Xưởng Anh Sơn - Quận 12/ 0907.184.386</t>
        </is>
      </c>
      <c r="D341" s="400" t="inlineStr">
        <is>
          <t>0907.184.386</t>
        </is>
      </c>
      <c r="E341" s="402" t="n"/>
      <c r="F341" s="401" t="inlineStr">
        <is>
          <t>Đường 26, An Phú Đông, Quận 12 - TP HCM</t>
        </is>
      </c>
      <c r="G341" s="400" t="inlineStr">
        <is>
          <t>SG/HCM</t>
        </is>
      </c>
      <c r="H341" s="402" t="n"/>
      <c r="J341" s="392">
        <f>IFERROR(UPPER(TRIM(B341))&amp;"|"&amp;UPPER(TRIM(C341))&amp;"|"&amp;UPPER(TRIM(D341)),"")</f>
        <v/>
      </c>
    </row>
    <row r="342" ht="15.75" customHeight="1" s="217">
      <c r="A342" s="397" t="n">
        <v>340</v>
      </c>
      <c r="B342" s="397" t="inlineStr">
        <is>
          <t>KH3400</t>
        </is>
      </c>
      <c r="C342" s="398" t="inlineStr">
        <is>
          <t>Gara Anh Đức - Gia Lai/ 0388.072.772</t>
        </is>
      </c>
      <c r="D342" s="397" t="inlineStr">
        <is>
          <t>0388.072.772</t>
        </is>
      </c>
      <c r="E342" s="399" t="n"/>
      <c r="F342" s="398" t="inlineStr">
        <is>
          <t>Gia Lai</t>
        </is>
      </c>
      <c r="G342" s="397" t="inlineStr">
        <is>
          <t>GLAI</t>
        </is>
      </c>
      <c r="H342" s="399" t="n"/>
      <c r="J342" s="392">
        <f>IFERROR(UPPER(TRIM(B342))&amp;"|"&amp;UPPER(TRIM(C342))&amp;"|"&amp;UPPER(TRIM(D342)),"")</f>
        <v/>
      </c>
    </row>
    <row r="343" ht="15.75" customHeight="1" s="217">
      <c r="A343" s="400" t="n">
        <v>341</v>
      </c>
      <c r="B343" s="400" t="inlineStr">
        <is>
          <t>KH3398</t>
        </is>
      </c>
      <c r="C343" s="401" t="inlineStr">
        <is>
          <t>Cửa hàng phụ tùng xe tải Quốc Nam/ Anh Tú 0975.097.996</t>
        </is>
      </c>
      <c r="D343" s="400" t="inlineStr">
        <is>
          <t>0975.097.996</t>
        </is>
      </c>
      <c r="E343" s="402" t="n"/>
      <c r="F343" s="401" t="inlineStr">
        <is>
          <t>88 Quốc lộ 1A, P. An Bình, Dĩ An, Bình Dương</t>
        </is>
      </c>
      <c r="G343" s="400" t="inlineStr">
        <is>
          <t>SG/HCM</t>
        </is>
      </c>
      <c r="H343" s="402" t="n"/>
      <c r="J343" s="392">
        <f>IFERROR(UPPER(TRIM(B343))&amp;"|"&amp;UPPER(TRIM(C343))&amp;"|"&amp;UPPER(TRIM(D343)),"")</f>
        <v/>
      </c>
    </row>
    <row r="344" ht="15.75" customHeight="1" s="217">
      <c r="A344" s="397" t="n">
        <v>342</v>
      </c>
      <c r="B344" s="397" t="inlineStr">
        <is>
          <t>KH3399</t>
        </is>
      </c>
      <c r="C344" s="398" t="inlineStr">
        <is>
          <t>Phụ tùng Nam Cường - Thủ Đức (bơm thủy lực) / Nam 0972.262.322</t>
        </is>
      </c>
      <c r="D344" s="397" t="inlineStr">
        <is>
          <t>0972.262.322</t>
        </is>
      </c>
      <c r="E344" s="399" t="n"/>
      <c r="F344" s="398" t="inlineStr">
        <is>
          <t>50 Dân Chủ, Hiệp Phú, Quận 9, Thủ Đức, TPHCM</t>
        </is>
      </c>
      <c r="G344" s="399" t="n"/>
      <c r="H344" s="399" t="n"/>
      <c r="J344" s="392">
        <f>IFERROR(UPPER(TRIM(B344))&amp;"|"&amp;UPPER(TRIM(C344))&amp;"|"&amp;UPPER(TRIM(D344)),"")</f>
        <v/>
      </c>
    </row>
    <row r="345" ht="15.75" customHeight="1" s="217">
      <c r="A345" s="400" t="n">
        <v>343</v>
      </c>
      <c r="B345" s="400" t="inlineStr">
        <is>
          <t>KH3397</t>
        </is>
      </c>
      <c r="C345" s="401" t="inlineStr">
        <is>
          <t>Công ty Thế Tường/ Anh Hải - Hải Phòng/ 0904.231.322</t>
        </is>
      </c>
      <c r="D345" s="400" t="inlineStr">
        <is>
          <t>0904.231.322</t>
        </is>
      </c>
      <c r="E345" s="402" t="n"/>
      <c r="F345" s="401" t="inlineStr">
        <is>
          <t>401 Tôn Đức Thắng, An Đồng, An Dương, Hải Phòng</t>
        </is>
      </c>
      <c r="G345" s="400" t="inlineStr">
        <is>
          <t>HN</t>
        </is>
      </c>
      <c r="H345" s="402" t="n"/>
      <c r="J345" s="392">
        <f>IFERROR(UPPER(TRIM(B345))&amp;"|"&amp;UPPER(TRIM(C345))&amp;"|"&amp;UPPER(TRIM(D345)),"")</f>
        <v/>
      </c>
    </row>
    <row r="346" ht="15.75" customHeight="1" s="217">
      <c r="A346" s="397" t="n">
        <v>344</v>
      </c>
      <c r="B346" s="397" t="inlineStr">
        <is>
          <t>KH3396</t>
        </is>
      </c>
      <c r="C346" s="398" t="inlineStr">
        <is>
          <t>Gara A Tín - Diên Khánh/ 0777.555.425</t>
        </is>
      </c>
      <c r="D346" s="397" t="inlineStr">
        <is>
          <t>0777.555.425</t>
        </is>
      </c>
      <c r="E346" s="399" t="n"/>
      <c r="F346" s="398" t="inlineStr">
        <is>
          <t>Diên Khánh, Khánh Hòa</t>
        </is>
      </c>
      <c r="G346" s="397" t="inlineStr">
        <is>
          <t>NTRANG</t>
        </is>
      </c>
      <c r="H346" s="399" t="n"/>
      <c r="J346" s="392">
        <f>IFERROR(UPPER(TRIM(B346))&amp;"|"&amp;UPPER(TRIM(C346))&amp;"|"&amp;UPPER(TRIM(D346)),"")</f>
        <v/>
      </c>
    </row>
    <row r="347" ht="15.75" customHeight="1" s="217">
      <c r="A347" s="400" t="n">
        <v>345</v>
      </c>
      <c r="B347" s="400" t="inlineStr">
        <is>
          <t>KH3395</t>
        </is>
      </c>
      <c r="C347" s="401" t="inlineStr">
        <is>
          <t>Cty xe nâng Hoàng Phát - A Lộc / 0901.314.131</t>
        </is>
      </c>
      <c r="D347" s="400" t="inlineStr">
        <is>
          <t>0901.314.131</t>
        </is>
      </c>
      <c r="E347" s="402" t="n"/>
      <c r="F347" s="401" t="inlineStr">
        <is>
          <t>Quận 12, TP HCM</t>
        </is>
      </c>
      <c r="G347" s="400" t="inlineStr">
        <is>
          <t>SG/HCM</t>
        </is>
      </c>
      <c r="H347" s="402" t="n"/>
      <c r="J347" s="392">
        <f>IFERROR(UPPER(TRIM(B347))&amp;"|"&amp;UPPER(TRIM(C347))&amp;"|"&amp;UPPER(TRIM(D347)),"")</f>
        <v/>
      </c>
    </row>
    <row r="348" ht="15.75" customHeight="1" s="217">
      <c r="A348" s="397" t="n">
        <v>346</v>
      </c>
      <c r="B348" s="397" t="inlineStr">
        <is>
          <t>KH3392</t>
        </is>
      </c>
      <c r="C348" s="398" t="inlineStr">
        <is>
          <t>Cty Hà Lợi/ Anh Lợi - TP. Vĩnh Long/ 0989.442.299</t>
        </is>
      </c>
      <c r="D348" s="397" t="inlineStr">
        <is>
          <t>0989.442.299</t>
        </is>
      </c>
      <c r="E348" s="399" t="n"/>
      <c r="F348" s="398" t="inlineStr">
        <is>
          <t>208/19 khóm 3, Phường 9, TP. Vĩnh Long</t>
        </is>
      </c>
      <c r="G348" s="397" t="inlineStr">
        <is>
          <t>VĨNH LONG</t>
        </is>
      </c>
      <c r="H348" s="399" t="n"/>
      <c r="J348" s="392">
        <f>IFERROR(UPPER(TRIM(B348))&amp;"|"&amp;UPPER(TRIM(C348))&amp;"|"&amp;UPPER(TRIM(D348)),"")</f>
        <v/>
      </c>
    </row>
    <row r="349" ht="15.75" customHeight="1" s="217">
      <c r="A349" s="400" t="n">
        <v>347</v>
      </c>
      <c r="B349" s="400" t="inlineStr">
        <is>
          <t>KH3393</t>
        </is>
      </c>
      <c r="C349" s="401" t="inlineStr">
        <is>
          <t>Anh Ngọc (thợ sửa xe) / 0913.725.770</t>
        </is>
      </c>
      <c r="D349" s="400" t="inlineStr">
        <is>
          <t>0913.725.770</t>
        </is>
      </c>
      <c r="E349" s="402" t="n"/>
      <c r="F349" s="401" t="inlineStr">
        <is>
          <t>Hóc Môn - TP HCM</t>
        </is>
      </c>
      <c r="G349" s="400" t="inlineStr">
        <is>
          <t>SG/HCM</t>
        </is>
      </c>
      <c r="H349" s="402" t="n"/>
      <c r="J349" s="392">
        <f>IFERROR(UPPER(TRIM(B349))&amp;"|"&amp;UPPER(TRIM(C349))&amp;"|"&amp;UPPER(TRIM(D349)),"")</f>
        <v/>
      </c>
    </row>
    <row r="350" ht="15.75" customHeight="1" s="217">
      <c r="A350" s="397" t="n">
        <v>348</v>
      </c>
      <c r="B350" s="397" t="inlineStr">
        <is>
          <t>KH3394</t>
        </is>
      </c>
      <c r="C350" s="398" t="inlineStr">
        <is>
          <t>CH Tấn Thành - Đồng Xoài/ 0918.565.604</t>
        </is>
      </c>
      <c r="D350" s="397" t="inlineStr">
        <is>
          <t>0918.565.604</t>
        </is>
      </c>
      <c r="E350" s="399" t="n"/>
      <c r="F350" s="398" t="inlineStr">
        <is>
          <t>TX Đồng Xoài, Bình Phước</t>
        </is>
      </c>
      <c r="G350" s="397" t="inlineStr">
        <is>
          <t>BP</t>
        </is>
      </c>
      <c r="H350" s="399" t="n"/>
      <c r="J350" s="392">
        <f>IFERROR(UPPER(TRIM(B350))&amp;"|"&amp;UPPER(TRIM(C350))&amp;"|"&amp;UPPER(TRIM(D350)),"")</f>
        <v/>
      </c>
    </row>
    <row r="351" ht="15.75" customHeight="1" s="217">
      <c r="A351" s="400" t="n">
        <v>349</v>
      </c>
      <c r="B351" s="400" t="inlineStr">
        <is>
          <t>KH3391</t>
        </is>
      </c>
      <c r="C351" s="401" t="inlineStr">
        <is>
          <t>Gara Cường - Nha Trang/ 0967.902.173</t>
        </is>
      </c>
      <c r="D351" s="400" t="inlineStr">
        <is>
          <t>0967.902.173</t>
        </is>
      </c>
      <c r="E351" s="402" t="n"/>
      <c r="F351" s="401" t="inlineStr">
        <is>
          <t>Ngã 3 nhà máy sợi, Quốc lộ 1A, Nha Trang - Khánh Hòa</t>
        </is>
      </c>
      <c r="G351" s="400" t="inlineStr">
        <is>
          <t>NTRANG</t>
        </is>
      </c>
      <c r="H351" s="402" t="n"/>
      <c r="J351" s="392">
        <f>IFERROR(UPPER(TRIM(B351))&amp;"|"&amp;UPPER(TRIM(C351))&amp;"|"&amp;UPPER(TRIM(D351)),"")</f>
        <v/>
      </c>
    </row>
    <row r="352" ht="15.75" customHeight="1" s="217">
      <c r="A352" s="397" t="n">
        <v>350</v>
      </c>
      <c r="B352" s="397" t="inlineStr">
        <is>
          <t>KH3389</t>
        </is>
      </c>
      <c r="C352" s="398" t="inlineStr">
        <is>
          <t>Văn phòng chính Thọ Trương - Anh Thắng/ 0918.890.861, KT C Hà 0976.908.865</t>
        </is>
      </c>
      <c r="D352" s="397" t="inlineStr">
        <is>
          <t>0918.890.861 / 0976.908.865</t>
        </is>
      </c>
      <c r="E352" s="399" t="n"/>
      <c r="F352" s="398" t="inlineStr">
        <is>
          <t>Khu Đông Hòa, Dĩ An, Bình Dương</t>
        </is>
      </c>
      <c r="G352" s="397" t="inlineStr">
        <is>
          <t>SG/HCM</t>
        </is>
      </c>
      <c r="H352" s="399" t="n"/>
      <c r="J352" s="392">
        <f>IFERROR(UPPER(TRIM(B352))&amp;"|"&amp;UPPER(TRIM(C352))&amp;"|"&amp;UPPER(TRIM(D352)),"")</f>
        <v/>
      </c>
    </row>
    <row r="353" ht="15.75" customHeight="1" s="217">
      <c r="A353" s="400" t="n">
        <v>351</v>
      </c>
      <c r="B353" s="400" t="inlineStr">
        <is>
          <t>KH3390</t>
        </is>
      </c>
      <c r="C353" s="401" t="inlineStr">
        <is>
          <t>Anh Phong (thợ máy) Suối Tiên/ 0979.358.642</t>
        </is>
      </c>
      <c r="D353" s="400" t="inlineStr">
        <is>
          <t>0979.358.642</t>
        </is>
      </c>
      <c r="E353" s="402" t="n"/>
      <c r="F353" s="401" t="inlineStr">
        <is>
          <t>Bãi máy Suối Tiên, Xa lộ Hà Nội, Thủ Đức, TP HCM</t>
        </is>
      </c>
      <c r="G353" s="400" t="inlineStr">
        <is>
          <t>SG/HCM</t>
        </is>
      </c>
      <c r="H353" s="402" t="n"/>
      <c r="J353" s="392">
        <f>IFERROR(UPPER(TRIM(B353))&amp;"|"&amp;UPPER(TRIM(C353))&amp;"|"&amp;UPPER(TRIM(D353)),"")</f>
        <v/>
      </c>
    </row>
    <row r="354" ht="15.75" customHeight="1" s="217">
      <c r="A354" s="397" t="n">
        <v>352</v>
      </c>
      <c r="B354" s="397" t="inlineStr">
        <is>
          <t>KH3388</t>
        </is>
      </c>
      <c r="C354" s="398" t="inlineStr">
        <is>
          <t>Cty Châu Phú / Phụ tùng ô tô Trung Quốc</t>
        </is>
      </c>
      <c r="D354" s="399" t="n"/>
      <c r="E354" s="399" t="n"/>
      <c r="F354" s="398" t="inlineStr">
        <is>
          <t>KCN Sóng Thần, Bình Dương</t>
        </is>
      </c>
      <c r="G354" s="399" t="n"/>
      <c r="H354" s="399" t="n"/>
      <c r="J354" s="392">
        <f>IFERROR(UPPER(TRIM(B354))&amp;"|"&amp;UPPER(TRIM(C354))&amp;"|"&amp;UPPER(TRIM(D354)),"")</f>
        <v/>
      </c>
    </row>
    <row r="355" ht="15.75" customHeight="1" s="217">
      <c r="A355" s="400" t="n">
        <v>353</v>
      </c>
      <c r="B355" s="400" t="inlineStr">
        <is>
          <t>KH3387</t>
        </is>
      </c>
      <c r="C355" s="401" t="inlineStr">
        <is>
          <t>Gara Anh Dương - Tây Ninh/ 0974.779.644</t>
        </is>
      </c>
      <c r="D355" s="400" t="inlineStr">
        <is>
          <t>0974.779.644</t>
        </is>
      </c>
      <c r="E355" s="402" t="n"/>
      <c r="F355" s="401" t="inlineStr">
        <is>
          <t>Trạm 3, Mỹ Hương, Tây Ninh</t>
        </is>
      </c>
      <c r="G355" s="400" t="inlineStr">
        <is>
          <t>TNINH</t>
        </is>
      </c>
      <c r="H355" s="402" t="n"/>
      <c r="J355" s="392">
        <f>IFERROR(UPPER(TRIM(B355))&amp;"|"&amp;UPPER(TRIM(C355))&amp;"|"&amp;UPPER(TRIM(D355)),"")</f>
        <v/>
      </c>
    </row>
    <row r="356" ht="15.75" customHeight="1" s="217">
      <c r="A356" s="397" t="n">
        <v>354</v>
      </c>
      <c r="B356" s="397" t="inlineStr">
        <is>
          <t>KH3386</t>
        </is>
      </c>
      <c r="C356" s="398" t="inlineStr">
        <is>
          <t>Anh Long/ Q6/ 0933.547.878</t>
        </is>
      </c>
      <c r="D356" s="397" t="inlineStr">
        <is>
          <t>0933.547.878</t>
        </is>
      </c>
      <c r="E356" s="399" t="n"/>
      <c r="F356" s="398" t="inlineStr">
        <is>
          <t>53 Kinh Dương Vương, P12, Quận 6, Sài Gòn</t>
        </is>
      </c>
      <c r="G356" s="397" t="inlineStr">
        <is>
          <t>SG/HCM</t>
        </is>
      </c>
      <c r="H356" s="399" t="n"/>
      <c r="J356" s="392">
        <f>IFERROR(UPPER(TRIM(B356))&amp;"|"&amp;UPPER(TRIM(C356))&amp;"|"&amp;UPPER(TRIM(D356)),"")</f>
        <v/>
      </c>
    </row>
    <row r="357" ht="15.75" customHeight="1" s="217">
      <c r="A357" s="400" t="n">
        <v>355</v>
      </c>
      <c r="B357" s="400" t="inlineStr">
        <is>
          <t>KH3384</t>
        </is>
      </c>
      <c r="C357" s="401" t="inlineStr">
        <is>
          <t>Anh Sỹ - Phước Long -  Bình Phước / 0965.505.112</t>
        </is>
      </c>
      <c r="D357" s="400" t="inlineStr">
        <is>
          <t>0965.505.112</t>
        </is>
      </c>
      <c r="E357" s="402" t="n"/>
      <c r="F357" s="401" t="inlineStr">
        <is>
          <t>Phước Long, Bình Phước</t>
        </is>
      </c>
      <c r="G357" s="400" t="inlineStr">
        <is>
          <t>BP</t>
        </is>
      </c>
      <c r="H357" s="402" t="n"/>
      <c r="J357" s="392">
        <f>IFERROR(UPPER(TRIM(B357))&amp;"|"&amp;UPPER(TRIM(C357))&amp;"|"&amp;UPPER(TRIM(D357)),"")</f>
        <v/>
      </c>
    </row>
    <row r="358" ht="15.75" customHeight="1" s="217">
      <c r="A358" s="397" t="n">
        <v>356</v>
      </c>
      <c r="B358" s="397" t="inlineStr">
        <is>
          <t>KH3385</t>
        </is>
      </c>
      <c r="C358" s="398" t="inlineStr">
        <is>
          <t>A Cường - Bình Dương - 0918.600.419/ 0384.219.279</t>
        </is>
      </c>
      <c r="D358" s="397" t="inlineStr">
        <is>
          <t>0918.600.419 / 0384.219.279</t>
        </is>
      </c>
      <c r="E358" s="399" t="n"/>
      <c r="F358" s="398" t="inlineStr">
        <is>
          <t>Bình Dương</t>
        </is>
      </c>
      <c r="G358" s="397" t="inlineStr">
        <is>
          <t>BDUONG</t>
        </is>
      </c>
      <c r="H358" s="399" t="n"/>
      <c r="J358" s="392">
        <f>IFERROR(UPPER(TRIM(B358))&amp;"|"&amp;UPPER(TRIM(C358))&amp;"|"&amp;UPPER(TRIM(D358)),"")</f>
        <v/>
      </c>
    </row>
    <row r="359" ht="15.75" customHeight="1" s="217">
      <c r="A359" s="400" t="n">
        <v>357</v>
      </c>
      <c r="B359" s="400" t="inlineStr">
        <is>
          <t>KH3383</t>
        </is>
      </c>
      <c r="C359" s="401" t="inlineStr">
        <is>
          <t>Xưởng Anh Thảo - Đăk Lăk/ Anh Thảo: 0913.426.203</t>
        </is>
      </c>
      <c r="D359" s="400" t="inlineStr">
        <is>
          <t>0913.426.203</t>
        </is>
      </c>
      <c r="E359" s="402" t="n"/>
      <c r="F359" s="401" t="inlineStr">
        <is>
          <t>TP Buôn Mê Thuột, Đăk Lăk</t>
        </is>
      </c>
      <c r="G359" s="400" t="inlineStr">
        <is>
          <t>ÐL</t>
        </is>
      </c>
      <c r="H359" s="402" t="n"/>
      <c r="J359" s="392">
        <f>IFERROR(UPPER(TRIM(B359))&amp;"|"&amp;UPPER(TRIM(C359))&amp;"|"&amp;UPPER(TRIM(D359)),"")</f>
        <v/>
      </c>
    </row>
    <row r="360" ht="15.75" customHeight="1" s="217">
      <c r="A360" s="397" t="n">
        <v>358</v>
      </c>
      <c r="B360" s="397" t="inlineStr">
        <is>
          <t>KH3382</t>
        </is>
      </c>
      <c r="C360" s="398" t="inlineStr">
        <is>
          <t>Yixiang - Campuchia/ 5884.777.706</t>
        </is>
      </c>
      <c r="D360" s="397" t="inlineStr">
        <is>
          <t>5884.777.706</t>
        </is>
      </c>
      <c r="E360" s="399" t="n"/>
      <c r="F360" s="398" t="inlineStr">
        <is>
          <t>Phnompenh, Cambodia</t>
        </is>
      </c>
      <c r="G360" s="397" t="inlineStr">
        <is>
          <t>CPC</t>
        </is>
      </c>
      <c r="H360" s="399" t="n"/>
      <c r="J360" s="392">
        <f>IFERROR(UPPER(TRIM(B360))&amp;"|"&amp;UPPER(TRIM(C360))&amp;"|"&amp;UPPER(TRIM(D360)),"")</f>
        <v/>
      </c>
    </row>
    <row r="361" ht="15.75" customHeight="1" s="217">
      <c r="A361" s="400" t="n">
        <v>359</v>
      </c>
      <c r="B361" s="400" t="inlineStr">
        <is>
          <t>KH3381</t>
        </is>
      </c>
      <c r="C361" s="401" t="inlineStr">
        <is>
          <t>Anh Tuấn - Bình Dương/ 0902.602.146</t>
        </is>
      </c>
      <c r="D361" s="400" t="inlineStr">
        <is>
          <t>0902.602.146</t>
        </is>
      </c>
      <c r="E361" s="402" t="n"/>
      <c r="F361" s="401" t="inlineStr">
        <is>
          <t>Bình Dương</t>
        </is>
      </c>
      <c r="G361" s="400" t="inlineStr">
        <is>
          <t>BDUONG</t>
        </is>
      </c>
      <c r="H361" s="402" t="n"/>
      <c r="J361" s="392">
        <f>IFERROR(UPPER(TRIM(B361))&amp;"|"&amp;UPPER(TRIM(C361))&amp;"|"&amp;UPPER(TRIM(D361)),"")</f>
        <v/>
      </c>
    </row>
    <row r="362" ht="15.75" customHeight="1" s="217">
      <c r="A362" s="397" t="n">
        <v>360</v>
      </c>
      <c r="B362" s="397" t="inlineStr">
        <is>
          <t>KH3379</t>
        </is>
      </c>
      <c r="C362" s="398" t="inlineStr">
        <is>
          <t>Anh Giang - Bình Dương / 0905.794.266</t>
        </is>
      </c>
      <c r="D362" s="397" t="inlineStr">
        <is>
          <t>0905.794.266</t>
        </is>
      </c>
      <c r="E362" s="399" t="n"/>
      <c r="F362" s="398" t="inlineStr">
        <is>
          <t>Bình Dương</t>
        </is>
      </c>
      <c r="G362" s="397" t="inlineStr">
        <is>
          <t>BDUONG</t>
        </is>
      </c>
      <c r="H362" s="399" t="n"/>
      <c r="J362" s="392">
        <f>IFERROR(UPPER(TRIM(B362))&amp;"|"&amp;UPPER(TRIM(C362))&amp;"|"&amp;UPPER(TRIM(D362)),"")</f>
        <v/>
      </c>
    </row>
    <row r="363" ht="15.75" customHeight="1" s="217">
      <c r="A363" s="400" t="n">
        <v>361</v>
      </c>
      <c r="B363" s="400" t="inlineStr">
        <is>
          <t>KH3380</t>
        </is>
      </c>
      <c r="C363" s="401" t="inlineStr">
        <is>
          <t>Anh Trung - Quận 12/ 0855.992.679</t>
        </is>
      </c>
      <c r="D363" s="400" t="inlineStr">
        <is>
          <t>0855.992.679</t>
        </is>
      </c>
      <c r="E363" s="402" t="n"/>
      <c r="F363" s="401" t="inlineStr">
        <is>
          <t>Thạnh Xuân 25, Quận 12, TPHCM</t>
        </is>
      </c>
      <c r="G363" s="400" t="inlineStr">
        <is>
          <t>SG/HCM</t>
        </is>
      </c>
      <c r="H363" s="402" t="n"/>
      <c r="J363" s="392">
        <f>IFERROR(UPPER(TRIM(B363))&amp;"|"&amp;UPPER(TRIM(C363))&amp;"|"&amp;UPPER(TRIM(D363)),"")</f>
        <v/>
      </c>
    </row>
    <row r="364" ht="15.75" customHeight="1" s="217">
      <c r="A364" s="397" t="n">
        <v>362</v>
      </c>
      <c r="B364" s="397" t="inlineStr">
        <is>
          <t>KH3378</t>
        </is>
      </c>
      <c r="C364" s="398" t="inlineStr">
        <is>
          <t>Đại lý Quốc Sang - Đức Trọng (chuyên lốp)/ A Pho - 0988.970.506</t>
        </is>
      </c>
      <c r="D364" s="397" t="inlineStr">
        <is>
          <t>0988.970.506</t>
        </is>
      </c>
      <c r="E364" s="399" t="n"/>
      <c r="F364" s="398" t="inlineStr">
        <is>
          <t>QL20, Thôn Phú Tân, Xã Phú Hội, Đức Trọng, Lâm Đồng</t>
        </is>
      </c>
      <c r="G364" s="397" t="inlineStr">
        <is>
          <t>LDONG</t>
        </is>
      </c>
      <c r="H364" s="399" t="n"/>
      <c r="J364" s="392">
        <f>IFERROR(UPPER(TRIM(B364))&amp;"|"&amp;UPPER(TRIM(C364))&amp;"|"&amp;UPPER(TRIM(D364)),"")</f>
        <v/>
      </c>
    </row>
    <row r="365" ht="15.75" customHeight="1" s="217">
      <c r="A365" s="400" t="n">
        <v>363</v>
      </c>
      <c r="B365" s="400" t="inlineStr">
        <is>
          <t>KH3377</t>
        </is>
      </c>
      <c r="C365" s="401" t="inlineStr">
        <is>
          <t>Xưởng A Lạc - Ngã tư Ga/ 0918.794.224</t>
        </is>
      </c>
      <c r="D365" s="400" t="inlineStr">
        <is>
          <t>0918.794.224</t>
        </is>
      </c>
      <c r="E365" s="402" t="n"/>
      <c r="F365" s="401" t="inlineStr">
        <is>
          <t>Ngã tư ga, Q12</t>
        </is>
      </c>
      <c r="G365" s="400" t="inlineStr">
        <is>
          <t>SG/HCM</t>
        </is>
      </c>
      <c r="H365" s="402" t="n"/>
      <c r="J365" s="392">
        <f>IFERROR(UPPER(TRIM(B365))&amp;"|"&amp;UPPER(TRIM(C365))&amp;"|"&amp;UPPER(TRIM(D365)),"")</f>
        <v/>
      </c>
    </row>
    <row r="366" ht="15.75" customHeight="1" s="217">
      <c r="A366" s="397" t="n">
        <v>364</v>
      </c>
      <c r="B366" s="397" t="inlineStr">
        <is>
          <t>KH3375</t>
        </is>
      </c>
      <c r="C366" s="398" t="inlineStr">
        <is>
          <t>Anh Xuân - Đồng Xoài, Bình Phước/ 0987.252.826</t>
        </is>
      </c>
      <c r="D366" s="397" t="inlineStr">
        <is>
          <t>0987.252.826</t>
        </is>
      </c>
      <c r="E366" s="399" t="n"/>
      <c r="F366" s="398" t="inlineStr">
        <is>
          <t>TX Đồng Xoài, Bình Phước</t>
        </is>
      </c>
      <c r="G366" s="397" t="inlineStr">
        <is>
          <t>BP</t>
        </is>
      </c>
      <c r="H366" s="399" t="n"/>
      <c r="J366" s="392">
        <f>IFERROR(UPPER(TRIM(B366))&amp;"|"&amp;UPPER(TRIM(C366))&amp;"|"&amp;UPPER(TRIM(D366)),"")</f>
        <v/>
      </c>
    </row>
    <row r="367" ht="15.75" customHeight="1" s="217">
      <c r="A367" s="400" t="n">
        <v>365</v>
      </c>
      <c r="B367" s="400" t="inlineStr">
        <is>
          <t>KH3376</t>
        </is>
      </c>
      <c r="C367" s="401" t="inlineStr">
        <is>
          <t>Anh Tiến (Thợ Máy) /0989.217.461</t>
        </is>
      </c>
      <c r="D367" s="400" t="inlineStr">
        <is>
          <t>0989.217.461</t>
        </is>
      </c>
      <c r="E367" s="402" t="n"/>
      <c r="F367" s="401" t="inlineStr">
        <is>
          <t>La Gi - Bình Thuận</t>
        </is>
      </c>
      <c r="G367" s="400" t="inlineStr">
        <is>
          <t>BTHUAN</t>
        </is>
      </c>
      <c r="H367" s="402" t="n"/>
      <c r="J367" s="392">
        <f>IFERROR(UPPER(TRIM(B367))&amp;"|"&amp;UPPER(TRIM(C367))&amp;"|"&amp;UPPER(TRIM(D367)),"")</f>
        <v/>
      </c>
    </row>
    <row r="368" ht="15.75" customHeight="1" s="217">
      <c r="A368" s="397" t="n">
        <v>366</v>
      </c>
      <c r="B368" s="397" t="inlineStr">
        <is>
          <t>KH3374</t>
        </is>
      </c>
      <c r="C368" s="398" t="inlineStr">
        <is>
          <t>Gara Tý - Bù Gia Mập/ Anh Phong - 0971.340.644</t>
        </is>
      </c>
      <c r="D368" s="397" t="inlineStr">
        <is>
          <t>0971.340.644</t>
        </is>
      </c>
      <c r="E368" s="399" t="n"/>
      <c r="F368" s="398" t="inlineStr">
        <is>
          <t>Xã Đak Ơ-Huyện Bù Gia Mập-Tỉnh Bình Phước</t>
        </is>
      </c>
      <c r="G368" s="397" t="inlineStr">
        <is>
          <t>BP</t>
        </is>
      </c>
      <c r="H368" s="399" t="n"/>
      <c r="J368" s="392">
        <f>IFERROR(UPPER(TRIM(B368))&amp;"|"&amp;UPPER(TRIM(C368))&amp;"|"&amp;UPPER(TRIM(D368)),"")</f>
        <v/>
      </c>
    </row>
    <row r="369" ht="15.75" customHeight="1" s="217">
      <c r="A369" s="400" t="n">
        <v>367</v>
      </c>
      <c r="B369" s="400" t="inlineStr">
        <is>
          <t>KH3373</t>
        </is>
      </c>
      <c r="C369" s="401" t="inlineStr">
        <is>
          <t>Công ty TNHH san lấp Tây Nam/ Anh Đăng - 0859.208.839</t>
        </is>
      </c>
      <c r="D369" s="400" t="inlineStr">
        <is>
          <t>0859.208.839</t>
        </is>
      </c>
      <c r="E369" s="402" t="n"/>
      <c r="F369" s="401" t="inlineStr">
        <is>
          <t>16/26/3 Mạc Hiển Tích, P. Long Bình, TP Thủ Đức, HCM</t>
        </is>
      </c>
      <c r="G369" s="400" t="inlineStr">
        <is>
          <t>SG/HCM</t>
        </is>
      </c>
      <c r="H369" s="402" t="n"/>
      <c r="J369" s="392">
        <f>IFERROR(UPPER(TRIM(B369))&amp;"|"&amp;UPPER(TRIM(C369))&amp;"|"&amp;UPPER(TRIM(D369)),"")</f>
        <v/>
      </c>
    </row>
    <row r="370" ht="15.75" customHeight="1" s="217">
      <c r="A370" s="397" t="n">
        <v>368</v>
      </c>
      <c r="B370" s="397" t="inlineStr">
        <is>
          <t>KH3372</t>
        </is>
      </c>
      <c r="C370" s="398" t="inlineStr">
        <is>
          <t>Công ty cổ phần Tàzon/ A Nam 0343.098.555</t>
        </is>
      </c>
      <c r="D370" s="397" t="inlineStr">
        <is>
          <t>0343.098.555</t>
        </is>
      </c>
      <c r="E370" s="399" t="n"/>
      <c r="F370" s="398" t="inlineStr">
        <is>
          <t>Km 1689, Quốc lộ 1A, xã Hàm Đức, huyện Hàm Thuận Bắc, tỉnh Bình Thuận, Việt Nam</t>
        </is>
      </c>
      <c r="G370" s="397" t="inlineStr">
        <is>
          <t>BTHUAN</t>
        </is>
      </c>
      <c r="H370" s="399" t="n"/>
      <c r="J370" s="392">
        <f>IFERROR(UPPER(TRIM(B370))&amp;"|"&amp;UPPER(TRIM(C370))&amp;"|"&amp;UPPER(TRIM(D370)),"")</f>
        <v/>
      </c>
    </row>
    <row r="371" ht="15.75" customHeight="1" s="217">
      <c r="A371" s="400" t="n">
        <v>369</v>
      </c>
      <c r="B371" s="400" t="inlineStr">
        <is>
          <t>KH3370</t>
        </is>
      </c>
      <c r="C371" s="401" t="inlineStr">
        <is>
          <t>Phụ tùng Cơ giới Thành Công 3 / 0961.969.078</t>
        </is>
      </c>
      <c r="D371" s="400" t="inlineStr">
        <is>
          <t>0961.969.078</t>
        </is>
      </c>
      <c r="E371" s="402" t="n"/>
      <c r="F371" s="401" t="inlineStr">
        <is>
          <t>Tân Phú, Đồng Nai</t>
        </is>
      </c>
      <c r="G371" s="400" t="inlineStr">
        <is>
          <t>ÐNAI</t>
        </is>
      </c>
      <c r="H371" s="402" t="n"/>
      <c r="J371" s="392">
        <f>IFERROR(UPPER(TRIM(B371))&amp;"|"&amp;UPPER(TRIM(C371))&amp;"|"&amp;UPPER(TRIM(D371)),"")</f>
        <v/>
      </c>
    </row>
    <row r="372" ht="15.75" customHeight="1" s="217">
      <c r="A372" s="397" t="n">
        <v>370</v>
      </c>
      <c r="B372" s="397" t="inlineStr">
        <is>
          <t>KH3371</t>
        </is>
      </c>
      <c r="C372" s="398" t="inlineStr">
        <is>
          <t>Anh Vị (Công ty CP CACO3) - Bình Dương/ 0938.149.679</t>
        </is>
      </c>
      <c r="D372" s="397" t="inlineStr">
        <is>
          <t>0938.149.679</t>
        </is>
      </c>
      <c r="E372" s="399" t="n"/>
      <c r="F372" s="398" t="inlineStr">
        <is>
          <t>294/08 KP Tân Phước, P Tân Bình, Dĩ An, Bình Dương</t>
        </is>
      </c>
      <c r="G372" s="397" t="inlineStr">
        <is>
          <t>BDUONG</t>
        </is>
      </c>
      <c r="H372" s="399" t="n"/>
      <c r="J372" s="392">
        <f>IFERROR(UPPER(TRIM(B372))&amp;"|"&amp;UPPER(TRIM(C372))&amp;"|"&amp;UPPER(TRIM(D372)),"")</f>
        <v/>
      </c>
    </row>
    <row r="373" ht="15.75" customHeight="1" s="217">
      <c r="A373" s="400" t="n">
        <v>371</v>
      </c>
      <c r="B373" s="400" t="inlineStr">
        <is>
          <t>KH3369</t>
        </is>
      </c>
      <c r="C373" s="401" t="inlineStr">
        <is>
          <t>Công ty Tín Nghĩa - Vũng Tàu/ Anh Tuấn: 0988.985.640</t>
        </is>
      </c>
      <c r="D373" s="400" t="inlineStr">
        <is>
          <t>0988.985.640</t>
        </is>
      </c>
      <c r="E373" s="402" t="n"/>
      <c r="F373" s="401" t="inlineStr">
        <is>
          <t>Xuyên Mộc, Vũng Tàu</t>
        </is>
      </c>
      <c r="G373" s="400" t="inlineStr">
        <is>
          <t>BRVT</t>
        </is>
      </c>
      <c r="H373" s="402" t="n"/>
      <c r="J373" s="392">
        <f>IFERROR(UPPER(TRIM(B373))&amp;"|"&amp;UPPER(TRIM(C373))&amp;"|"&amp;UPPER(TRIM(D373)),"")</f>
        <v/>
      </c>
    </row>
    <row r="374" ht="15.75" customHeight="1" s="217">
      <c r="A374" s="397" t="n">
        <v>372</v>
      </c>
      <c r="B374" s="397" t="inlineStr">
        <is>
          <t>KH3368</t>
        </is>
      </c>
      <c r="C374" s="398" t="inlineStr">
        <is>
          <t>Công ty Giao Thông  487/ A Trà  0913.229.363</t>
        </is>
      </c>
      <c r="D374" s="397" t="inlineStr">
        <is>
          <t>0913.229.363</t>
        </is>
      </c>
      <c r="E374" s="399" t="n"/>
      <c r="F374" s="398" t="inlineStr">
        <is>
          <t>Sài Gòn</t>
        </is>
      </c>
      <c r="G374" s="397" t="inlineStr">
        <is>
          <t>SG/HCM</t>
        </is>
      </c>
      <c r="H374" s="399" t="n"/>
      <c r="J374" s="392">
        <f>IFERROR(UPPER(TRIM(B374))&amp;"|"&amp;UPPER(TRIM(C374))&amp;"|"&amp;UPPER(TRIM(D374)),"")</f>
        <v/>
      </c>
    </row>
    <row r="375" ht="15.75" customHeight="1" s="217">
      <c r="A375" s="400" t="n">
        <v>373</v>
      </c>
      <c r="B375" s="400" t="inlineStr">
        <is>
          <t>KH3367</t>
        </is>
      </c>
      <c r="C375" s="401" t="inlineStr">
        <is>
          <t>Xưởng Anh Quế - Thủ Đức/  0968.693.336</t>
        </is>
      </c>
      <c r="D375" s="400" t="inlineStr">
        <is>
          <t>0968.693.336</t>
        </is>
      </c>
      <c r="E375" s="402" t="n"/>
      <c r="F375" s="401" t="inlineStr">
        <is>
          <t>Thủ Đức, TPHCM</t>
        </is>
      </c>
      <c r="G375" s="400" t="inlineStr">
        <is>
          <t>SG/HCM</t>
        </is>
      </c>
      <c r="H375" s="402" t="n"/>
      <c r="J375" s="392">
        <f>IFERROR(UPPER(TRIM(B375))&amp;"|"&amp;UPPER(TRIM(C375))&amp;"|"&amp;UPPER(TRIM(D375)),"")</f>
        <v/>
      </c>
    </row>
    <row r="376" ht="15.75" customHeight="1" s="217">
      <c r="A376" s="397" t="n">
        <v>374</v>
      </c>
      <c r="B376" s="397" t="inlineStr">
        <is>
          <t>KH3366</t>
        </is>
      </c>
      <c r="C376" s="398" t="inlineStr">
        <is>
          <t>Công ty Vận tải An Bình Tân</t>
        </is>
      </c>
      <c r="D376" s="399" t="n"/>
      <c r="E376" s="399" t="n"/>
      <c r="F376" s="398" t="inlineStr">
        <is>
          <t>63B, đường Cây Keo, P Tam Phú, TP Thủ Đức, HCM</t>
        </is>
      </c>
      <c r="G376" s="397" t="inlineStr">
        <is>
          <t>SG/HCM</t>
        </is>
      </c>
      <c r="H376" s="399" t="n"/>
      <c r="J376" s="392">
        <f>IFERROR(UPPER(TRIM(B376))&amp;"|"&amp;UPPER(TRIM(C376))&amp;"|"&amp;UPPER(TRIM(D376)),"")</f>
        <v/>
      </c>
    </row>
    <row r="377" ht="15.75" customHeight="1" s="217">
      <c r="A377" s="400" t="n">
        <v>375</v>
      </c>
      <c r="B377" s="400" t="inlineStr">
        <is>
          <t>KH3365</t>
        </is>
      </c>
      <c r="C377" s="401" t="inlineStr">
        <is>
          <t>CTY PHỤ TÙNG CƠ GIỚI VMI/ 0908.550.895 - 0966.265.086</t>
        </is>
      </c>
      <c r="D377" s="400" t="inlineStr">
        <is>
          <t>0908.550.895 / 0966.265.086</t>
        </is>
      </c>
      <c r="E377" s="402" t="n"/>
      <c r="F377" s="401" t="inlineStr">
        <is>
          <t>SỐ 6 QL1A, BÌNH ĐƯỜNG 2, AN BÌNH, DĨ AN, BÌNH DƯƠNG</t>
        </is>
      </c>
      <c r="G377" s="400" t="inlineStr">
        <is>
          <t>SG/HCM</t>
        </is>
      </c>
      <c r="H377" s="402" t="n"/>
      <c r="J377" s="392">
        <f>IFERROR(UPPER(TRIM(B377))&amp;"|"&amp;UPPER(TRIM(C377))&amp;"|"&amp;UPPER(TRIM(D377)),"")</f>
        <v/>
      </c>
    </row>
    <row r="378" ht="15.75" customHeight="1" s="217">
      <c r="A378" s="397" t="n">
        <v>376</v>
      </c>
      <c r="B378" s="397" t="inlineStr">
        <is>
          <t>KH3363</t>
        </is>
      </c>
      <c r="C378" s="398" t="inlineStr">
        <is>
          <t>Cửa hàng A Tiết (kinh doanh ron) - Tân Bình/ 0918.559.205</t>
        </is>
      </c>
      <c r="D378" s="397" t="inlineStr">
        <is>
          <t>0918.559.205</t>
        </is>
      </c>
      <c r="E378" s="399" t="n"/>
      <c r="F378" s="398" t="inlineStr">
        <is>
          <t>560/42 Cộng Hòa, P13, Tân Bình, TP HCM</t>
        </is>
      </c>
      <c r="G378" s="397" t="inlineStr">
        <is>
          <t>SG/HCM</t>
        </is>
      </c>
      <c r="H378" s="399" t="n"/>
      <c r="J378" s="392">
        <f>IFERROR(UPPER(TRIM(B378))&amp;"|"&amp;UPPER(TRIM(C378))&amp;"|"&amp;UPPER(TRIM(D378)),"")</f>
        <v/>
      </c>
    </row>
    <row r="379" ht="15.75" customHeight="1" s="217">
      <c r="A379" s="400" t="n">
        <v>377</v>
      </c>
      <c r="B379" s="400" t="inlineStr">
        <is>
          <t>KH3364</t>
        </is>
      </c>
      <c r="C379" s="401" t="inlineStr">
        <is>
          <t>Xưởng A Nhiệm- TP Kon Tum / 0972.940.898</t>
        </is>
      </c>
      <c r="D379" s="400" t="inlineStr">
        <is>
          <t>0972.940.898</t>
        </is>
      </c>
      <c r="E379" s="402" t="n"/>
      <c r="F379" s="401" t="inlineStr">
        <is>
          <t>TP Kontum</t>
        </is>
      </c>
      <c r="G379" s="400" t="inlineStr">
        <is>
          <t>KTUM</t>
        </is>
      </c>
      <c r="H379" s="402" t="n"/>
      <c r="J379" s="392">
        <f>IFERROR(UPPER(TRIM(B379))&amp;"|"&amp;UPPER(TRIM(C379))&amp;"|"&amp;UPPER(TRIM(D379)),"")</f>
        <v/>
      </c>
    </row>
    <row r="380" ht="15.75" customHeight="1" s="217">
      <c r="A380" s="397" t="n">
        <v>378</v>
      </c>
      <c r="B380" s="397" t="inlineStr">
        <is>
          <t>KH3361</t>
        </is>
      </c>
      <c r="C380" s="398" t="inlineStr">
        <is>
          <t>Anh Long - Gò Dưa/ 0978.741.229</t>
        </is>
      </c>
      <c r="D380" s="397" t="inlineStr">
        <is>
          <t>0978.741.229</t>
        </is>
      </c>
      <c r="E380" s="399" t="n"/>
      <c r="F380" s="398" t="inlineStr">
        <is>
          <t>Gò Dưa, SG</t>
        </is>
      </c>
      <c r="G380" s="397" t="inlineStr">
        <is>
          <t>SG/HCM</t>
        </is>
      </c>
      <c r="H380" s="399" t="n"/>
      <c r="J380" s="392">
        <f>IFERROR(UPPER(TRIM(B380))&amp;"|"&amp;UPPER(TRIM(C380))&amp;"|"&amp;UPPER(TRIM(D380)),"")</f>
        <v/>
      </c>
    </row>
    <row r="381" ht="15.75" customHeight="1" s="217">
      <c r="A381" s="400" t="n">
        <v>379</v>
      </c>
      <c r="B381" s="400" t="inlineStr">
        <is>
          <t>KH3362</t>
        </is>
      </c>
      <c r="C381" s="401" t="inlineStr">
        <is>
          <t>Cơ khí Đại Thành - Long Khánh/  0945.581.539</t>
        </is>
      </c>
      <c r="D381" s="400" t="inlineStr">
        <is>
          <t>0945.581.539</t>
        </is>
      </c>
      <c r="E381" s="402" t="n"/>
      <c r="F381" s="401" t="inlineStr">
        <is>
          <t>Long Khánh, Đồng Nai</t>
        </is>
      </c>
      <c r="G381" s="400" t="inlineStr">
        <is>
          <t>ÐNAI</t>
        </is>
      </c>
      <c r="H381" s="402" t="n"/>
      <c r="J381" s="392">
        <f>IFERROR(UPPER(TRIM(B381))&amp;"|"&amp;UPPER(TRIM(C381))&amp;"|"&amp;UPPER(TRIM(D381)),"")</f>
        <v/>
      </c>
    </row>
    <row r="382" ht="15.75" customHeight="1" s="217">
      <c r="A382" s="397" t="n">
        <v>380</v>
      </c>
      <c r="B382" s="397" t="inlineStr">
        <is>
          <t>KH3359</t>
        </is>
      </c>
      <c r="C382" s="398" t="inlineStr">
        <is>
          <t>Xưởng (ron) anh Bi  -  Vòng xoay cổng 11- TP Biên Hòa/ 0582.904.873</t>
        </is>
      </c>
      <c r="D382" s="397" t="inlineStr">
        <is>
          <t>0582.904.873</t>
        </is>
      </c>
      <c r="E382" s="399" t="n"/>
      <c r="F382" s="398" t="inlineStr">
        <is>
          <t>Biên Hòa - Đồng Nai</t>
        </is>
      </c>
      <c r="G382" s="397" t="inlineStr">
        <is>
          <t>ÐNAI</t>
        </is>
      </c>
      <c r="H382" s="399" t="n"/>
      <c r="J382" s="392">
        <f>IFERROR(UPPER(TRIM(B382))&amp;"|"&amp;UPPER(TRIM(C382))&amp;"|"&amp;UPPER(TRIM(D382)),"")</f>
        <v/>
      </c>
    </row>
    <row r="383" ht="15.75" customHeight="1" s="217">
      <c r="A383" s="400" t="n">
        <v>381</v>
      </c>
      <c r="B383" s="400" t="inlineStr">
        <is>
          <t>KH3360</t>
        </is>
      </c>
      <c r="C383" s="401" t="inlineStr">
        <is>
          <t>Anh Hổ - Linh Xuân, Thủ Đức, SG/ 0907.976.680</t>
        </is>
      </c>
      <c r="D383" s="400" t="inlineStr">
        <is>
          <t>0907.976.680</t>
        </is>
      </c>
      <c r="E383" s="402" t="n"/>
      <c r="F383" s="401" t="inlineStr">
        <is>
          <t>Sài Gòn</t>
        </is>
      </c>
      <c r="G383" s="400" t="inlineStr">
        <is>
          <t>SG/HCM</t>
        </is>
      </c>
      <c r="H383" s="402" t="n"/>
      <c r="J383" s="392">
        <f>IFERROR(UPPER(TRIM(B383))&amp;"|"&amp;UPPER(TRIM(C383))&amp;"|"&amp;UPPER(TRIM(D383)),"")</f>
        <v/>
      </c>
    </row>
    <row r="384" ht="15.75" customHeight="1" s="217">
      <c r="A384" s="397" t="n">
        <v>382</v>
      </c>
      <c r="B384" s="397" t="inlineStr">
        <is>
          <t>KH3357</t>
        </is>
      </c>
      <c r="C384" s="398" t="inlineStr">
        <is>
          <t>Anh Đoàn - Đồng Nai - 0329.665.368</t>
        </is>
      </c>
      <c r="D384" s="397" t="inlineStr">
        <is>
          <t>0329.665.368</t>
        </is>
      </c>
      <c r="E384" s="399" t="n"/>
      <c r="F384" s="398" t="inlineStr">
        <is>
          <t>Đồng Nai</t>
        </is>
      </c>
      <c r="G384" s="397" t="inlineStr">
        <is>
          <t>ÐNAI</t>
        </is>
      </c>
      <c r="H384" s="399" t="n"/>
      <c r="J384" s="392">
        <f>IFERROR(UPPER(TRIM(B384))&amp;"|"&amp;UPPER(TRIM(C384))&amp;"|"&amp;UPPER(TRIM(D384)),"")</f>
        <v/>
      </c>
    </row>
    <row r="385" ht="15.75" customHeight="1" s="217">
      <c r="A385" s="400" t="n">
        <v>383</v>
      </c>
      <c r="B385" s="400" t="inlineStr">
        <is>
          <t>KH3358</t>
        </is>
      </c>
      <c r="C385" s="401" t="inlineStr">
        <is>
          <t>Công ty Thành Hân - Anh Túy - 0346.626.781</t>
        </is>
      </c>
      <c r="D385" s="400" t="inlineStr">
        <is>
          <t>0346.626.781</t>
        </is>
      </c>
      <c r="E385" s="402" t="n"/>
      <c r="F385" s="401" t="inlineStr">
        <is>
          <t>TP Phan Rang - Ninh Thuận</t>
        </is>
      </c>
      <c r="G385" s="400" t="inlineStr">
        <is>
          <t>NTHUAN</t>
        </is>
      </c>
      <c r="H385" s="402" t="n"/>
      <c r="J385" s="392">
        <f>IFERROR(UPPER(TRIM(B385))&amp;"|"&amp;UPPER(TRIM(C385))&amp;"|"&amp;UPPER(TRIM(D385)),"")</f>
        <v/>
      </c>
    </row>
    <row r="386" ht="15.75" customHeight="1" s="217">
      <c r="A386" s="397" t="n">
        <v>384</v>
      </c>
      <c r="B386" s="397" t="inlineStr">
        <is>
          <t>KH3356</t>
        </is>
      </c>
      <c r="C386" s="398" t="inlineStr">
        <is>
          <t>Xưởng A Phong - Di Linh / 0987.291.776</t>
        </is>
      </c>
      <c r="D386" s="397" t="inlineStr">
        <is>
          <t>0987.291.776</t>
        </is>
      </c>
      <c r="E386" s="399" t="n"/>
      <c r="F386" s="398" t="inlineStr">
        <is>
          <t>Gia Hiệp, Di Linh, Lâm Đồng</t>
        </is>
      </c>
      <c r="G386" s="397" t="inlineStr">
        <is>
          <t>LDONG</t>
        </is>
      </c>
      <c r="H386" s="399" t="n"/>
      <c r="J386" s="392">
        <f>IFERROR(UPPER(TRIM(B386))&amp;"|"&amp;UPPER(TRIM(C386))&amp;"|"&amp;UPPER(TRIM(D386)),"")</f>
        <v/>
      </c>
    </row>
    <row r="387" ht="15.75" customHeight="1" s="217">
      <c r="A387" s="400" t="n">
        <v>385</v>
      </c>
      <c r="B387" s="400" t="inlineStr">
        <is>
          <t>KH3355</t>
        </is>
      </c>
      <c r="C387" s="401" t="inlineStr">
        <is>
          <t>Công ty XD công trình giao thông 6/ Anh Hải - 0947.040.105</t>
        </is>
      </c>
      <c r="D387" s="400" t="inlineStr">
        <is>
          <t>0947.040.105</t>
        </is>
      </c>
      <c r="E387" s="402" t="n"/>
      <c r="F387" s="401" t="inlineStr">
        <is>
          <t>17 Mai Chí Thọ, KP7, An Khánh, TP Thủ Đức, TP HCM</t>
        </is>
      </c>
      <c r="G387" s="400" t="inlineStr">
        <is>
          <t>SG/HCM</t>
        </is>
      </c>
      <c r="H387" s="402" t="n"/>
      <c r="J387" s="392">
        <f>IFERROR(UPPER(TRIM(B387))&amp;"|"&amp;UPPER(TRIM(C387))&amp;"|"&amp;UPPER(TRIM(D387)),"")</f>
        <v/>
      </c>
    </row>
    <row r="388" ht="15.75" customHeight="1" s="217">
      <c r="A388" s="397" t="n">
        <v>386</v>
      </c>
      <c r="B388" s="397" t="inlineStr">
        <is>
          <t>KH3354</t>
        </is>
      </c>
      <c r="C388" s="398" t="inlineStr">
        <is>
          <t>A Lâm - Cát Lái (chuyên Hyundai Mobis) - 0938.463.559</t>
        </is>
      </c>
      <c r="D388" s="397" t="inlineStr">
        <is>
          <t>0938.463.559</t>
        </is>
      </c>
      <c r="E388" s="399" t="n"/>
      <c r="F388" s="398" t="inlineStr">
        <is>
          <t>Kho Cảng Cát Lái, TP HCM</t>
        </is>
      </c>
      <c r="G388" s="399" t="n"/>
      <c r="H388" s="399" t="n"/>
      <c r="J388" s="392">
        <f>IFERROR(UPPER(TRIM(B388))&amp;"|"&amp;UPPER(TRIM(C388))&amp;"|"&amp;UPPER(TRIM(D388)),"")</f>
        <v/>
      </c>
    </row>
    <row r="389" ht="15.75" customHeight="1" s="217">
      <c r="A389" s="400" t="n">
        <v>387</v>
      </c>
      <c r="B389" s="400" t="inlineStr">
        <is>
          <t>KH3353</t>
        </is>
      </c>
      <c r="C389" s="401" t="inlineStr">
        <is>
          <t>Anh Bé - Bình Phước /  0358.126.868</t>
        </is>
      </c>
      <c r="D389" s="400" t="inlineStr">
        <is>
          <t>0358.126.868</t>
        </is>
      </c>
      <c r="E389" s="402" t="n"/>
      <c r="F389" s="401" t="inlineStr">
        <is>
          <t>Ngã ba Đồng Tâm, huyện Lộc Ninh, Bình Phước</t>
        </is>
      </c>
      <c r="G389" s="400" t="inlineStr">
        <is>
          <t>BP</t>
        </is>
      </c>
      <c r="H389" s="402" t="n"/>
      <c r="J389" s="392">
        <f>IFERROR(UPPER(TRIM(B389))&amp;"|"&amp;UPPER(TRIM(C389))&amp;"|"&amp;UPPER(TRIM(D389)),"")</f>
        <v/>
      </c>
    </row>
    <row r="390" ht="15.75" customHeight="1" s="217">
      <c r="A390" s="397" t="n">
        <v>388</v>
      </c>
      <c r="B390" s="397" t="inlineStr">
        <is>
          <t>KH3352</t>
        </is>
      </c>
      <c r="C390" s="398" t="inlineStr">
        <is>
          <t>Anh Ngà/ Gia Lai - 0979.955.985</t>
        </is>
      </c>
      <c r="D390" s="397" t="inlineStr">
        <is>
          <t>0979.955.985</t>
        </is>
      </c>
      <c r="E390" s="399" t="n"/>
      <c r="F390" s="398" t="inlineStr">
        <is>
          <t>Chợ Am rơn, xã Am rơn, Huyện Iapa, Gia Lai</t>
        </is>
      </c>
      <c r="G390" s="397" t="inlineStr">
        <is>
          <t>GLAI</t>
        </is>
      </c>
      <c r="H390" s="399" t="n"/>
      <c r="J390" s="392">
        <f>IFERROR(UPPER(TRIM(B390))&amp;"|"&amp;UPPER(TRIM(C390))&amp;"|"&amp;UPPER(TRIM(D390)),"")</f>
        <v/>
      </c>
    </row>
    <row r="391" ht="15.75" customHeight="1" s="217">
      <c r="A391" s="400" t="n">
        <v>389</v>
      </c>
      <c r="B391" s="400" t="inlineStr">
        <is>
          <t>KH3351</t>
        </is>
      </c>
      <c r="C391" s="401" t="inlineStr">
        <is>
          <t>Xưởng Anh Phát - Trà Vinh/ 0939.517.467</t>
        </is>
      </c>
      <c r="D391" s="400" t="inlineStr">
        <is>
          <t>0939.517.467</t>
        </is>
      </c>
      <c r="E391" s="402" t="n"/>
      <c r="F391" s="401" t="inlineStr">
        <is>
          <t>Trà Vinh (gần chành Cầu Kè)</t>
        </is>
      </c>
      <c r="G391" s="400" t="inlineStr">
        <is>
          <t>TV</t>
        </is>
      </c>
      <c r="H391" s="402" t="n"/>
      <c r="J391" s="392">
        <f>IFERROR(UPPER(TRIM(B391))&amp;"|"&amp;UPPER(TRIM(C391))&amp;"|"&amp;UPPER(TRIM(D391)),"")</f>
        <v/>
      </c>
    </row>
    <row r="392" ht="15.75" customHeight="1" s="217">
      <c r="A392" s="397" t="n">
        <v>390</v>
      </c>
      <c r="B392" s="397" t="inlineStr">
        <is>
          <t>KH3350</t>
        </is>
      </c>
      <c r="C392" s="398" t="inlineStr">
        <is>
          <t>Cửa hàng VLXD Hòa Nhàn - Gia Lai/ A Hòa 0989.047.777</t>
        </is>
      </c>
      <c r="D392" s="397" t="inlineStr">
        <is>
          <t>0989.047.777</t>
        </is>
      </c>
      <c r="E392" s="399" t="n"/>
      <c r="F392" s="398" t="inlineStr">
        <is>
          <t>462 Quang Trung, Đức Cơ, Gia Lai</t>
        </is>
      </c>
      <c r="G392" s="397" t="inlineStr">
        <is>
          <t>GLAI</t>
        </is>
      </c>
      <c r="H392" s="399" t="n"/>
      <c r="J392" s="392">
        <f>IFERROR(UPPER(TRIM(B392))&amp;"|"&amp;UPPER(TRIM(C392))&amp;"|"&amp;UPPER(TRIM(D392)),"")</f>
        <v/>
      </c>
    </row>
    <row r="393" ht="15.75" customHeight="1" s="217">
      <c r="A393" s="400" t="n">
        <v>391</v>
      </c>
      <c r="B393" s="400" t="inlineStr">
        <is>
          <t>KH3348</t>
        </is>
      </c>
      <c r="C393" s="401" t="inlineStr">
        <is>
          <t>Công ty Phú Tiến/ Chị Hiền: 0889.609.829</t>
        </is>
      </c>
      <c r="D393" s="400" t="inlineStr">
        <is>
          <t>0889.609.829</t>
        </is>
      </c>
      <c r="E393" s="402" t="n"/>
      <c r="F393" s="401" t="inlineStr">
        <is>
          <t>Cầu Vượt Quang Trung - Q12 - TP.HCM</t>
        </is>
      </c>
      <c r="G393" s="400" t="inlineStr">
        <is>
          <t>SG/HCM</t>
        </is>
      </c>
      <c r="H393" s="402" t="n"/>
      <c r="J393" s="392">
        <f>IFERROR(UPPER(TRIM(B393))&amp;"|"&amp;UPPER(TRIM(C393))&amp;"|"&amp;UPPER(TRIM(D393)),"")</f>
        <v/>
      </c>
    </row>
    <row r="394" ht="15.75" customHeight="1" s="217">
      <c r="A394" s="397" t="n">
        <v>392</v>
      </c>
      <c r="B394" s="397" t="inlineStr">
        <is>
          <t>KH3349</t>
        </is>
      </c>
      <c r="C394" s="398" t="inlineStr">
        <is>
          <t>Cửa hàng Anh Phong - Hậu Giang/  0939.515.696</t>
        </is>
      </c>
      <c r="D394" s="397" t="inlineStr">
        <is>
          <t>0939.515.696</t>
        </is>
      </c>
      <c r="E394" s="399" t="n"/>
      <c r="F394" s="398" t="inlineStr">
        <is>
          <t>Hậu Giang</t>
        </is>
      </c>
      <c r="G394" s="397" t="inlineStr">
        <is>
          <t>HG</t>
        </is>
      </c>
      <c r="H394" s="399" t="n"/>
      <c r="J394" s="392">
        <f>IFERROR(UPPER(TRIM(B394))&amp;"|"&amp;UPPER(TRIM(C394))&amp;"|"&amp;UPPER(TRIM(D394)),"")</f>
        <v/>
      </c>
    </row>
    <row r="395" ht="15.75" customHeight="1" s="217">
      <c r="A395" s="400" t="n">
        <v>393</v>
      </c>
      <c r="B395" s="400" t="inlineStr">
        <is>
          <t>KH3347</t>
        </is>
      </c>
      <c r="C395" s="401" t="inlineStr">
        <is>
          <t>CTY TNHH TM XÂY DỰNG S-LINK/ A Việt 0978.050.350</t>
        </is>
      </c>
      <c r="D395" s="400" t="inlineStr">
        <is>
          <t>0978.050.350</t>
        </is>
      </c>
      <c r="E395" s="402" t="n"/>
      <c r="F395" s="401" t="inlineStr">
        <is>
          <t>1 đường 12, Khu phố 4, An Khánh, Thủ Đức, TP HCM</t>
        </is>
      </c>
      <c r="G395" s="400" t="inlineStr">
        <is>
          <t>SG/HCM</t>
        </is>
      </c>
      <c r="H395" s="402" t="n"/>
      <c r="J395" s="392">
        <f>IFERROR(UPPER(TRIM(B395))&amp;"|"&amp;UPPER(TRIM(C395))&amp;"|"&amp;UPPER(TRIM(D395)),"")</f>
        <v/>
      </c>
    </row>
    <row r="396" ht="15.75" customHeight="1" s="217">
      <c r="A396" s="397" t="n">
        <v>394</v>
      </c>
      <c r="B396" s="397" t="inlineStr">
        <is>
          <t>KH3346</t>
        </is>
      </c>
      <c r="C396" s="398" t="inlineStr">
        <is>
          <t>Xưởng Cơ khí Minh Mẫn - Long Khánh/ A Minh 0913.851.633</t>
        </is>
      </c>
      <c r="D396" s="397" t="inlineStr">
        <is>
          <t>0913.851.633</t>
        </is>
      </c>
      <c r="E396" s="399" t="n"/>
      <c r="F396" s="398" t="inlineStr">
        <is>
          <t>Long Khánh - Đồng Nai</t>
        </is>
      </c>
      <c r="G396" s="397" t="inlineStr">
        <is>
          <t>ÐNAI</t>
        </is>
      </c>
      <c r="H396" s="399" t="n"/>
      <c r="J396" s="392">
        <f>IFERROR(UPPER(TRIM(B396))&amp;"|"&amp;UPPER(TRIM(C396))&amp;"|"&amp;UPPER(TRIM(D396)),"")</f>
        <v/>
      </c>
    </row>
    <row r="397" ht="15.75" customHeight="1" s="217">
      <c r="A397" s="400" t="n">
        <v>395</v>
      </c>
      <c r="B397" s="400" t="inlineStr">
        <is>
          <t>KH3345</t>
        </is>
      </c>
      <c r="C397" s="401" t="inlineStr">
        <is>
          <t>Anh Thành - thợ máy, Suối Tiên / 0915.363.263</t>
        </is>
      </c>
      <c r="D397" s="400" t="inlineStr">
        <is>
          <t>0915.363.263</t>
        </is>
      </c>
      <c r="E397" s="402" t="n"/>
      <c r="F397" s="401" t="inlineStr">
        <is>
          <t>Sài Gòn</t>
        </is>
      </c>
      <c r="G397" s="400" t="inlineStr">
        <is>
          <t>SG/HCM</t>
        </is>
      </c>
      <c r="H397" s="402" t="n"/>
      <c r="J397" s="392">
        <f>IFERROR(UPPER(TRIM(B397))&amp;"|"&amp;UPPER(TRIM(C397))&amp;"|"&amp;UPPER(TRIM(D397)),"")</f>
        <v/>
      </c>
    </row>
    <row r="398" ht="15.75" customHeight="1" s="217">
      <c r="A398" s="397" t="n">
        <v>396</v>
      </c>
      <c r="B398" s="397" t="inlineStr">
        <is>
          <t>KH3343</t>
        </is>
      </c>
      <c r="C398" s="398" t="inlineStr">
        <is>
          <t>Công ty TNHH Cơ khí Ô Tô An Thái/ A Thắng - 0813.832.886</t>
        </is>
      </c>
      <c r="D398" s="397" t="inlineStr">
        <is>
          <t>0813.832.886</t>
        </is>
      </c>
      <c r="E398" s="399" t="n"/>
      <c r="F398" s="398" t="inlineStr">
        <is>
          <t>288 Trần Thái Tông, P Tiền Phong, TP Thái Bình</t>
        </is>
      </c>
      <c r="G398" s="397" t="inlineStr">
        <is>
          <t>SG/HCM</t>
        </is>
      </c>
      <c r="H398" s="399" t="n"/>
      <c r="J398" s="392">
        <f>IFERROR(UPPER(TRIM(B398))&amp;"|"&amp;UPPER(TRIM(C398))&amp;"|"&amp;UPPER(TRIM(D398)),"")</f>
        <v/>
      </c>
    </row>
    <row r="399" ht="15.75" customHeight="1" s="217">
      <c r="A399" s="400" t="n">
        <v>397</v>
      </c>
      <c r="B399" s="400" t="inlineStr">
        <is>
          <t>KH3344</t>
        </is>
      </c>
      <c r="C399" s="401" t="inlineStr">
        <is>
          <t>Công ty Trà Dương (lọc Mahle) / 0907.888.959</t>
        </is>
      </c>
      <c r="D399" s="400" t="inlineStr">
        <is>
          <t>0907.888.959</t>
        </is>
      </c>
      <c r="E399" s="402" t="n"/>
      <c r="F399" s="401" t="inlineStr">
        <is>
          <t>Quận 12, TP HCM</t>
        </is>
      </c>
      <c r="G399" s="400" t="inlineStr">
        <is>
          <t>SG/HCM</t>
        </is>
      </c>
      <c r="H399" s="402" t="n"/>
      <c r="J399" s="392">
        <f>IFERROR(UPPER(TRIM(B399))&amp;"|"&amp;UPPER(TRIM(C399))&amp;"|"&amp;UPPER(TRIM(D399)),"")</f>
        <v/>
      </c>
    </row>
    <row r="400" ht="15.75" customHeight="1" s="217">
      <c r="A400" s="397" t="n">
        <v>398</v>
      </c>
      <c r="B400" s="397" t="inlineStr">
        <is>
          <t>KH3342</t>
        </is>
      </c>
      <c r="C400" s="398" t="inlineStr">
        <is>
          <t>Phụ Tùng Ô tô Sài Gòn (Ford) / A Quân - 0916.319.716</t>
        </is>
      </c>
      <c r="D400" s="397" t="inlineStr">
        <is>
          <t>0916.319.716</t>
        </is>
      </c>
      <c r="E400" s="399" t="n"/>
      <c r="F400" s="398" t="inlineStr">
        <is>
          <t>Quận 12, Sài Gòn</t>
        </is>
      </c>
      <c r="G400" s="397" t="inlineStr">
        <is>
          <t>SG/HCM</t>
        </is>
      </c>
      <c r="H400" s="399" t="n"/>
      <c r="J400" s="392">
        <f>IFERROR(UPPER(TRIM(B400))&amp;"|"&amp;UPPER(TRIM(C400))&amp;"|"&amp;UPPER(TRIM(D400)),"")</f>
        <v/>
      </c>
    </row>
    <row r="401" ht="15.75" customHeight="1" s="217">
      <c r="A401" s="400" t="n">
        <v>399</v>
      </c>
      <c r="B401" s="400" t="inlineStr">
        <is>
          <t>KH3341</t>
        </is>
      </c>
      <c r="C401" s="401" t="inlineStr">
        <is>
          <t>Công ty TNHH Xây Dựng vận Tải BB Cont/ Anh Cử- 0944.330.323</t>
        </is>
      </c>
      <c r="D401" s="400" t="inlineStr">
        <is>
          <t>0944.330.323</t>
        </is>
      </c>
      <c r="E401" s="402" t="n"/>
      <c r="F401" s="401" t="inlineStr">
        <is>
          <t>28/10 VP38 Khu phố Hoà Long, P. Vĩnh phú, Thuận An, Bình Dương</t>
        </is>
      </c>
      <c r="G401" s="400" t="inlineStr">
        <is>
          <t>BDUONG</t>
        </is>
      </c>
      <c r="H401" s="402" t="n"/>
      <c r="J401" s="392">
        <f>IFERROR(UPPER(TRIM(B401))&amp;"|"&amp;UPPER(TRIM(C401))&amp;"|"&amp;UPPER(TRIM(D401)),"")</f>
        <v/>
      </c>
    </row>
    <row r="402" ht="15.75" customHeight="1" s="217">
      <c r="A402" s="397" t="n">
        <v>400</v>
      </c>
      <c r="B402" s="397" t="inlineStr">
        <is>
          <t>KH3340</t>
        </is>
      </c>
      <c r="C402" s="398" t="inlineStr">
        <is>
          <t>Công ty Phúc Hải Ngân - Đà Nẵng / Anh Hưng- 0987.255.392</t>
        </is>
      </c>
      <c r="D402" s="397" t="inlineStr">
        <is>
          <t>0987.255.392</t>
        </is>
      </c>
      <c r="E402" s="399" t="n"/>
      <c r="F402" s="398" t="inlineStr">
        <is>
          <t>Đà Nẵng</t>
        </is>
      </c>
      <c r="G402" s="397" t="inlineStr">
        <is>
          <t>DNANG</t>
        </is>
      </c>
      <c r="H402" s="399" t="n"/>
      <c r="J402" s="392">
        <f>IFERROR(UPPER(TRIM(B402))&amp;"|"&amp;UPPER(TRIM(C402))&amp;"|"&amp;UPPER(TRIM(D402)),"")</f>
        <v/>
      </c>
    </row>
    <row r="403" ht="15.75" customHeight="1" s="217">
      <c r="A403" s="400" t="n">
        <v>401</v>
      </c>
      <c r="B403" s="400" t="inlineStr">
        <is>
          <t>KH3339</t>
        </is>
      </c>
      <c r="C403" s="401" t="inlineStr">
        <is>
          <t>Cửa hàng Phụ Tùng Phúc Khang-Sài Gòn / Anh Phi- 0939.058.869</t>
        </is>
      </c>
      <c r="D403" s="400" t="inlineStr">
        <is>
          <t>0939.058.869</t>
        </is>
      </c>
      <c r="E403" s="402" t="n"/>
      <c r="F403" s="401" t="inlineStr">
        <is>
          <t>Bình Chánh-HCM</t>
        </is>
      </c>
      <c r="G403" s="400" t="inlineStr">
        <is>
          <t>SG/HCM</t>
        </is>
      </c>
      <c r="H403" s="402" t="n"/>
      <c r="J403" s="392">
        <f>IFERROR(UPPER(TRIM(B403))&amp;"|"&amp;UPPER(TRIM(C403))&amp;"|"&amp;UPPER(TRIM(D403)),"")</f>
        <v/>
      </c>
    </row>
    <row r="404" ht="15.75" customHeight="1" s="217">
      <c r="A404" s="397" t="n">
        <v>402</v>
      </c>
      <c r="B404" s="397" t="inlineStr">
        <is>
          <t>KH3338</t>
        </is>
      </c>
      <c r="C404" s="398" t="inlineStr">
        <is>
          <t>Cửa hàng Quang Phú -Lâm Đồng / 0908.010.677</t>
        </is>
      </c>
      <c r="D404" s="397" t="inlineStr">
        <is>
          <t>0908.010.677</t>
        </is>
      </c>
      <c r="E404" s="399" t="n"/>
      <c r="F404" s="398" t="inlineStr">
        <is>
          <t>Lâm Đồng</t>
        </is>
      </c>
      <c r="G404" s="397" t="inlineStr">
        <is>
          <t>LDONG</t>
        </is>
      </c>
      <c r="H404" s="399" t="n"/>
      <c r="J404" s="392">
        <f>IFERROR(UPPER(TRIM(B404))&amp;"|"&amp;UPPER(TRIM(C404))&amp;"|"&amp;UPPER(TRIM(D404)),"")</f>
        <v/>
      </c>
    </row>
    <row r="405" ht="15.75" customHeight="1" s="217">
      <c r="A405" s="400" t="n">
        <v>403</v>
      </c>
      <c r="B405" s="400" t="inlineStr">
        <is>
          <t>KH3335</t>
        </is>
      </c>
      <c r="C405" s="401" t="inlineStr">
        <is>
          <t>Anh Toàn-Cà Mau / 0919.523.838</t>
        </is>
      </c>
      <c r="D405" s="400" t="inlineStr">
        <is>
          <t>0919.523.838</t>
        </is>
      </c>
      <c r="E405" s="402" t="n"/>
      <c r="F405" s="401" t="inlineStr">
        <is>
          <t>Phường 5, TP. Cà Mau</t>
        </is>
      </c>
      <c r="G405" s="400" t="inlineStr">
        <is>
          <t>CMAU</t>
        </is>
      </c>
      <c r="H405" s="402" t="n"/>
      <c r="J405" s="392">
        <f>IFERROR(UPPER(TRIM(B405))&amp;"|"&amp;UPPER(TRIM(C405))&amp;"|"&amp;UPPER(TRIM(D405)),"")</f>
        <v/>
      </c>
    </row>
    <row r="406" ht="15.75" customHeight="1" s="217">
      <c r="A406" s="397" t="n">
        <v>404</v>
      </c>
      <c r="B406" s="397" t="inlineStr">
        <is>
          <t>KH3336</t>
        </is>
      </c>
      <c r="C406" s="398" t="inlineStr">
        <is>
          <t>Anh Quế (Chủ máy) -Bình Dương /  0985.085.968</t>
        </is>
      </c>
      <c r="D406" s="397" t="inlineStr">
        <is>
          <t>0985.085.968</t>
        </is>
      </c>
      <c r="E406" s="399" t="n"/>
      <c r="F406" s="398" t="inlineStr">
        <is>
          <t>Cầu Vượt Sóng Thần - Bình Dương</t>
        </is>
      </c>
      <c r="G406" s="397" t="inlineStr">
        <is>
          <t>BDUONG</t>
        </is>
      </c>
      <c r="H406" s="399" t="n"/>
      <c r="J406" s="392">
        <f>IFERROR(UPPER(TRIM(B406))&amp;"|"&amp;UPPER(TRIM(C406))&amp;"|"&amp;UPPER(TRIM(D406)),"")</f>
        <v/>
      </c>
    </row>
    <row r="407" ht="15.75" customHeight="1" s="217">
      <c r="A407" s="400" t="n">
        <v>405</v>
      </c>
      <c r="B407" s="400" t="inlineStr">
        <is>
          <t>KH3337</t>
        </is>
      </c>
      <c r="C407" s="401" t="inlineStr">
        <is>
          <t>Anh Tý - Đồng Tháp / 0948.700.600</t>
        </is>
      </c>
      <c r="D407" s="400" t="inlineStr">
        <is>
          <t>0948.700.600</t>
        </is>
      </c>
      <c r="E407" s="402" t="n"/>
      <c r="F407" s="401" t="inlineStr">
        <is>
          <t>Tam Nông- Đồng Tháp</t>
        </is>
      </c>
      <c r="G407" s="400" t="inlineStr">
        <is>
          <t>DTHAP</t>
        </is>
      </c>
      <c r="H407" s="402" t="n"/>
      <c r="J407" s="392">
        <f>IFERROR(UPPER(TRIM(B407))&amp;"|"&amp;UPPER(TRIM(C407))&amp;"|"&amp;UPPER(TRIM(D407)),"")</f>
        <v/>
      </c>
    </row>
    <row r="408" ht="15.75" customHeight="1" s="217">
      <c r="A408" s="397" t="n">
        <v>406</v>
      </c>
      <c r="B408" s="397" t="inlineStr">
        <is>
          <t>KH3334</t>
        </is>
      </c>
      <c r="C408" s="398" t="inlineStr">
        <is>
          <t>Anh Ơn - Cần Thơ/ 0356.324.112</t>
        </is>
      </c>
      <c r="D408" s="397" t="inlineStr">
        <is>
          <t>0356.324.112</t>
        </is>
      </c>
      <c r="E408" s="399" t="n"/>
      <c r="F408" s="398" t="inlineStr">
        <is>
          <t>Ấp Quy Lân 6, Xã Thạnh Quới, Huyện Vĩnh Thạnh, TP Cần Thơ</t>
        </is>
      </c>
      <c r="G408" s="397" t="inlineStr">
        <is>
          <t>CTHO</t>
        </is>
      </c>
      <c r="H408" s="399" t="n"/>
      <c r="J408" s="392">
        <f>IFERROR(UPPER(TRIM(B408))&amp;"|"&amp;UPPER(TRIM(C408))&amp;"|"&amp;UPPER(TRIM(D408)),"")</f>
        <v/>
      </c>
    </row>
    <row r="409" ht="15.75" customHeight="1" s="217">
      <c r="A409" s="400" t="n">
        <v>407</v>
      </c>
      <c r="B409" s="400" t="inlineStr">
        <is>
          <t>KH3333</t>
        </is>
      </c>
      <c r="C409" s="401" t="inlineStr">
        <is>
          <t>Xưởng tiện cơ khí Phú Cường-Sài Gòn / 0938.862.595</t>
        </is>
      </c>
      <c r="D409" s="400" t="inlineStr">
        <is>
          <t>0938.862.595</t>
        </is>
      </c>
      <c r="E409" s="402" t="n"/>
      <c r="F409" s="401" t="inlineStr">
        <is>
          <t>241/24/1 Tân Hoà Đông ,Phường 14, Quận 6, TP HCM</t>
        </is>
      </c>
      <c r="G409" s="400" t="inlineStr">
        <is>
          <t>SG/HCM</t>
        </is>
      </c>
      <c r="H409" s="402" t="n"/>
      <c r="J409" s="392">
        <f>IFERROR(UPPER(TRIM(B409))&amp;"|"&amp;UPPER(TRIM(C409))&amp;"|"&amp;UPPER(TRIM(D409)),"")</f>
        <v/>
      </c>
    </row>
    <row r="410" ht="15.75" customHeight="1" s="217">
      <c r="A410" s="397" t="n">
        <v>408</v>
      </c>
      <c r="B410" s="397" t="inlineStr">
        <is>
          <t>KH3330</t>
        </is>
      </c>
      <c r="C410" s="398" t="inlineStr">
        <is>
          <t>Cửa hàng  Cảnh Dương - Nghệ An/ Anh Dương - 0849.174.999 - 0913.577.386</t>
        </is>
      </c>
      <c r="D410" s="397" t="inlineStr">
        <is>
          <t>0849.174.999 / 0913.577.386</t>
        </is>
      </c>
      <c r="E410" s="399" t="n"/>
      <c r="F410" s="398" t="inlineStr">
        <is>
          <t>Số 117 Nguyễn Trãi, P. Bàu Quán, TP Vinh, Nghệ An</t>
        </is>
      </c>
      <c r="G410" s="399" t="n"/>
      <c r="H410" s="399" t="n"/>
      <c r="J410" s="392">
        <f>IFERROR(UPPER(TRIM(B410))&amp;"|"&amp;UPPER(TRIM(C410))&amp;"|"&amp;UPPER(TRIM(D410)),"")</f>
        <v/>
      </c>
    </row>
    <row r="411" ht="15.75" customHeight="1" s="217">
      <c r="A411" s="400" t="n">
        <v>409</v>
      </c>
      <c r="B411" s="400" t="inlineStr">
        <is>
          <t>KH3331</t>
        </is>
      </c>
      <c r="C411" s="401" t="inlineStr">
        <is>
          <t>Cửa hàng Thanh Giang-Phú Yên/ Chị Phượng - 0978.463.517</t>
        </is>
      </c>
      <c r="D411" s="400" t="inlineStr">
        <is>
          <t>0978.463.517</t>
        </is>
      </c>
      <c r="E411" s="402" t="n"/>
      <c r="F411" s="401" t="inlineStr">
        <is>
          <t>Đội 7, thôn Phước Hòa, huyện Đồng Phước, Đồng Xuân, Phú Yên</t>
        </is>
      </c>
      <c r="G411" s="400" t="inlineStr">
        <is>
          <t>PYEN</t>
        </is>
      </c>
      <c r="H411" s="402" t="n"/>
      <c r="J411" s="392">
        <f>IFERROR(UPPER(TRIM(B411))&amp;"|"&amp;UPPER(TRIM(C411))&amp;"|"&amp;UPPER(TRIM(D411)),"")</f>
        <v/>
      </c>
    </row>
    <row r="412" ht="15.75" customHeight="1" s="217">
      <c r="A412" s="397" t="n">
        <v>410</v>
      </c>
      <c r="B412" s="397" t="inlineStr">
        <is>
          <t>KH3332</t>
        </is>
      </c>
      <c r="C412" s="398" t="inlineStr">
        <is>
          <t>Cửa hàng phụ tùng ô tô Chương-Dak Lak /  0946.507.070-0909.094.977</t>
        </is>
      </c>
      <c r="D412" s="397" t="inlineStr">
        <is>
          <t>070-0909.094 / 0946.507.070-0909</t>
        </is>
      </c>
      <c r="E412" s="399" t="n"/>
      <c r="F412" s="398" t="inlineStr">
        <is>
          <t>79 Đường 10 tháng 3 Xã Cư ÊBUR-TP Buôn Ma Thuột-Dak lak</t>
        </is>
      </c>
      <c r="G412" s="397" t="inlineStr">
        <is>
          <t>ÐL</t>
        </is>
      </c>
      <c r="H412" s="399" t="n"/>
      <c r="J412" s="392">
        <f>IFERROR(UPPER(TRIM(B412))&amp;"|"&amp;UPPER(TRIM(C412))&amp;"|"&amp;UPPER(TRIM(D412)),"")</f>
        <v/>
      </c>
    </row>
    <row r="413" ht="15.75" customHeight="1" s="217">
      <c r="A413" s="400" t="n">
        <v>411</v>
      </c>
      <c r="B413" s="400" t="inlineStr">
        <is>
          <t>KH3329</t>
        </is>
      </c>
      <c r="C413" s="401" t="inlineStr">
        <is>
          <t>Cửa hàng Trần Xuyên-Bạc Liêu / Anh Nơi- 0913.918.307</t>
        </is>
      </c>
      <c r="D413" s="400" t="inlineStr">
        <is>
          <t>0913.918.307</t>
        </is>
      </c>
      <c r="E413" s="402" t="n"/>
      <c r="F413" s="401" t="inlineStr">
        <is>
          <t>Xã Vĩnh Lộc, Huyện Hồng Dân, Tỉnh Bạc Liêu</t>
        </is>
      </c>
      <c r="G413" s="400" t="inlineStr">
        <is>
          <t>BLIEU</t>
        </is>
      </c>
      <c r="H413" s="402" t="n"/>
      <c r="J413" s="392">
        <f>IFERROR(UPPER(TRIM(B413))&amp;"|"&amp;UPPER(TRIM(C413))&amp;"|"&amp;UPPER(TRIM(D413)),"")</f>
        <v/>
      </c>
    </row>
    <row r="414" ht="15.75" customHeight="1" s="217">
      <c r="A414" s="397" t="n">
        <v>412</v>
      </c>
      <c r="B414" s="397" t="inlineStr">
        <is>
          <t>KH3328</t>
        </is>
      </c>
      <c r="C414" s="398" t="inlineStr">
        <is>
          <t>Công ty Thới Bình -Long An / Anh Nam- 0914.707.588</t>
        </is>
      </c>
      <c r="D414" s="397" t="inlineStr">
        <is>
          <t>0914.707.588</t>
        </is>
      </c>
      <c r="E414" s="399" t="n"/>
      <c r="F414" s="398" t="inlineStr">
        <is>
          <t>Bến Lức - Long An</t>
        </is>
      </c>
      <c r="G414" s="397" t="inlineStr">
        <is>
          <t>LA</t>
        </is>
      </c>
      <c r="H414" s="399" t="n"/>
      <c r="J414" s="392">
        <f>IFERROR(UPPER(TRIM(B414))&amp;"|"&amp;UPPER(TRIM(C414))&amp;"|"&amp;UPPER(TRIM(D414)),"")</f>
        <v/>
      </c>
    </row>
    <row r="415" ht="15.75" customHeight="1" s="217">
      <c r="A415" s="400" t="n">
        <v>413</v>
      </c>
      <c r="B415" s="400" t="inlineStr">
        <is>
          <t>KH3326</t>
        </is>
      </c>
      <c r="C415" s="401" t="inlineStr">
        <is>
          <t>Cửa hàng Khắc Thuật - Phú Mỹ/Chị Hằng: 0907.404.134</t>
        </is>
      </c>
      <c r="D415" s="400" t="inlineStr">
        <is>
          <t>0907.404.134</t>
        </is>
      </c>
      <c r="E415" s="402" t="n"/>
      <c r="F415" s="401" t="inlineStr">
        <is>
          <t>Hải Sơn, Phước Hoà, Tân Thành, BRVT</t>
        </is>
      </c>
      <c r="G415" s="400" t="inlineStr">
        <is>
          <t>BRVT</t>
        </is>
      </c>
      <c r="H415" s="402" t="n"/>
      <c r="J415" s="392">
        <f>IFERROR(UPPER(TRIM(B415))&amp;"|"&amp;UPPER(TRIM(C415))&amp;"|"&amp;UPPER(TRIM(D415)),"")</f>
        <v/>
      </c>
    </row>
    <row r="416" ht="15.75" customHeight="1" s="217">
      <c r="A416" s="397" t="n">
        <v>414</v>
      </c>
      <c r="B416" s="397" t="inlineStr">
        <is>
          <t>KH3327</t>
        </is>
      </c>
      <c r="C416" s="398" t="inlineStr">
        <is>
          <t>Xưởng Đông -Kon Tum/ 0349.767.917</t>
        </is>
      </c>
      <c r="D416" s="397" t="inlineStr">
        <is>
          <t>0349.767.917</t>
        </is>
      </c>
      <c r="E416" s="399" t="n"/>
      <c r="F416" s="398" t="inlineStr">
        <is>
          <t>Sa Thầy-Kon Tum</t>
        </is>
      </c>
      <c r="G416" s="397" t="inlineStr">
        <is>
          <t>KTUM</t>
        </is>
      </c>
      <c r="H416" s="399" t="n"/>
      <c r="J416" s="392">
        <f>IFERROR(UPPER(TRIM(B416))&amp;"|"&amp;UPPER(TRIM(C416))&amp;"|"&amp;UPPER(TRIM(D416)),"")</f>
        <v/>
      </c>
    </row>
    <row r="417" ht="15.75" customHeight="1" s="217">
      <c r="A417" s="400" t="n">
        <v>415</v>
      </c>
      <c r="B417" s="400" t="inlineStr">
        <is>
          <t>KH3324</t>
        </is>
      </c>
      <c r="C417" s="401" t="inlineStr">
        <is>
          <t>Xưởng Anh Nghĩa -Biên Hoà / 0982.515.313</t>
        </is>
      </c>
      <c r="D417" s="400" t="inlineStr">
        <is>
          <t>0982.515.313</t>
        </is>
      </c>
      <c r="E417" s="402" t="n"/>
      <c r="F417" s="401" t="inlineStr">
        <is>
          <t>Số 2 Nguyễn Văn Tỏ-Long Bình Tân-Biên Hòa- Đồng Nai</t>
        </is>
      </c>
      <c r="G417" s="400" t="inlineStr">
        <is>
          <t>ÐNAI</t>
        </is>
      </c>
      <c r="H417" s="402" t="n"/>
      <c r="J417" s="392">
        <f>IFERROR(UPPER(TRIM(B417))&amp;"|"&amp;UPPER(TRIM(C417))&amp;"|"&amp;UPPER(TRIM(D417)),"")</f>
        <v/>
      </c>
    </row>
    <row r="418" ht="15.75" customHeight="1" s="217">
      <c r="A418" s="397" t="n">
        <v>416</v>
      </c>
      <c r="B418" s="397" t="inlineStr">
        <is>
          <t>KH3325</t>
        </is>
      </c>
      <c r="C418" s="398" t="inlineStr">
        <is>
          <t>Công ty Cổ phần Phát Triển Đầu tư Xây Dựng Việt Nam/ Anh Vĩnh: 0394. 212.266</t>
        </is>
      </c>
      <c r="D418" s="399" t="n"/>
      <c r="E418" s="399" t="n"/>
      <c r="F418" s="398" t="inlineStr">
        <is>
          <t>Ô CN6 , Khu Công Nghiệp Nguyên Khê, Huyện Đông Anh,Thành phố Hà Nội</t>
        </is>
      </c>
      <c r="G418" s="397" t="inlineStr">
        <is>
          <t>HN</t>
        </is>
      </c>
      <c r="H418" s="399" t="n"/>
      <c r="J418" s="392">
        <f>IFERROR(UPPER(TRIM(B418))&amp;"|"&amp;UPPER(TRIM(C418))&amp;"|"&amp;UPPER(TRIM(D418)),"")</f>
        <v/>
      </c>
    </row>
    <row r="419" ht="15.75" customHeight="1" s="217">
      <c r="A419" s="400" t="n">
        <v>417</v>
      </c>
      <c r="B419" s="400" t="inlineStr">
        <is>
          <t>KH3323</t>
        </is>
      </c>
      <c r="C419" s="401" t="inlineStr">
        <is>
          <t>Xưởng Anh Thành - Nha Trang /  0935.665.496</t>
        </is>
      </c>
      <c r="D419" s="400" t="inlineStr">
        <is>
          <t>0935.665.496</t>
        </is>
      </c>
      <c r="E419" s="402" t="n"/>
      <c r="F419" s="401" t="inlineStr">
        <is>
          <t>Nha Trang</t>
        </is>
      </c>
      <c r="G419" s="400" t="inlineStr">
        <is>
          <t>NTRANG</t>
        </is>
      </c>
      <c r="H419" s="402" t="n"/>
      <c r="J419" s="392">
        <f>IFERROR(UPPER(TRIM(B419))&amp;"|"&amp;UPPER(TRIM(C419))&amp;"|"&amp;UPPER(TRIM(D419)),"")</f>
        <v/>
      </c>
    </row>
    <row r="420" ht="15.75" customHeight="1" s="217">
      <c r="A420" s="397" t="n">
        <v>418</v>
      </c>
      <c r="B420" s="397" t="inlineStr">
        <is>
          <t>KH3320</t>
        </is>
      </c>
      <c r="C420" s="398" t="inlineStr">
        <is>
          <t>Văn Sửa - Tam Nông, Đồng Tháp - 0987.158.611</t>
        </is>
      </c>
      <c r="D420" s="397" t="inlineStr">
        <is>
          <t>0987.158.611</t>
        </is>
      </c>
      <c r="E420" s="399" t="n"/>
      <c r="F420" s="398" t="inlineStr">
        <is>
          <t>Tam Nông - Đồng Tháp</t>
        </is>
      </c>
      <c r="G420" s="397" t="inlineStr">
        <is>
          <t>DTHAP</t>
        </is>
      </c>
      <c r="H420" s="399" t="n"/>
      <c r="J420" s="392">
        <f>IFERROR(UPPER(TRIM(B420))&amp;"|"&amp;UPPER(TRIM(C420))&amp;"|"&amp;UPPER(TRIM(D420)),"")</f>
        <v/>
      </c>
    </row>
    <row r="421" ht="15.75" customHeight="1" s="217">
      <c r="A421" s="400" t="n">
        <v>419</v>
      </c>
      <c r="B421" s="400" t="inlineStr">
        <is>
          <t>KH3321</t>
        </is>
      </c>
      <c r="C421" s="401" t="inlineStr">
        <is>
          <t>Cửa hàng Chín Cho, Rạch Giá / 0833.831.103 - 0847.744.244</t>
        </is>
      </c>
      <c r="D421" s="400" t="inlineStr">
        <is>
          <t>0833.831.103 / 0847.744.244</t>
        </is>
      </c>
      <c r="E421" s="402" t="n"/>
      <c r="F421" s="401" t="inlineStr">
        <is>
          <t>Tổ 1, Ấp Tà Tây, Xã Phi Thông, Rạch Giá, Kiên Giang</t>
        </is>
      </c>
      <c r="G421" s="400" t="inlineStr">
        <is>
          <t>KG</t>
        </is>
      </c>
      <c r="H421" s="402" t="n"/>
      <c r="J421" s="392">
        <f>IFERROR(UPPER(TRIM(B421))&amp;"|"&amp;UPPER(TRIM(C421))&amp;"|"&amp;UPPER(TRIM(D421)),"")</f>
        <v/>
      </c>
    </row>
    <row r="422" ht="15.75" customHeight="1" s="217">
      <c r="A422" s="397" t="n">
        <v>420</v>
      </c>
      <c r="B422" s="397" t="inlineStr">
        <is>
          <t>KH3322</t>
        </is>
      </c>
      <c r="C422" s="398" t="inlineStr">
        <is>
          <t>Phụ tùng Cơ Giới Hiểu Hạnh - Đam Rông, Lâm Đồng / 0355.565.456 - 0392.588.977</t>
        </is>
      </c>
      <c r="D422" s="397" t="inlineStr">
        <is>
          <t>0355.565.456 / 0392.588.977</t>
        </is>
      </c>
      <c r="E422" s="399" t="n"/>
      <c r="F422" s="398" t="inlineStr">
        <is>
          <t>Thôn 1, Liêng Srônh, Đam Rông, Lâm Đồng</t>
        </is>
      </c>
      <c r="G422" s="397" t="inlineStr">
        <is>
          <t>LDONG</t>
        </is>
      </c>
      <c r="H422" s="399" t="n"/>
      <c r="J422" s="392">
        <f>IFERROR(UPPER(TRIM(B422))&amp;"|"&amp;UPPER(TRIM(C422))&amp;"|"&amp;UPPER(TRIM(D422)),"")</f>
        <v/>
      </c>
    </row>
    <row r="423" ht="15.75" customHeight="1" s="217">
      <c r="A423" s="400" t="n">
        <v>421</v>
      </c>
      <c r="B423" s="400" t="inlineStr">
        <is>
          <t>KH3319</t>
        </is>
      </c>
      <c r="C423" s="401" t="inlineStr">
        <is>
          <t>Cơ giới Trí Đức-Buôn Mê Thuột/ 0827.664.747- 0788.664.747</t>
        </is>
      </c>
      <c r="D423" s="400" t="inlineStr">
        <is>
          <t>0827.664.747- / 0788.664.747</t>
        </is>
      </c>
      <c r="E423" s="402" t="n"/>
      <c r="F423" s="401" t="inlineStr">
        <is>
          <t>155 Phan Chu Trinh-Buôn Mê Thuột-Đak Lak</t>
        </is>
      </c>
      <c r="G423" s="400" t="inlineStr">
        <is>
          <t>ÐL</t>
        </is>
      </c>
      <c r="H423" s="402" t="n"/>
      <c r="J423" s="392">
        <f>IFERROR(UPPER(TRIM(B423))&amp;"|"&amp;UPPER(TRIM(C423))&amp;"|"&amp;UPPER(TRIM(D423)),"")</f>
        <v/>
      </c>
    </row>
    <row r="424" ht="15.75" customHeight="1" s="217">
      <c r="A424" s="397" t="n">
        <v>422</v>
      </c>
      <c r="B424" s="397" t="inlineStr">
        <is>
          <t>KH3318</t>
        </is>
      </c>
      <c r="C424" s="398" t="inlineStr">
        <is>
          <t>Anh Luân(sc tự do)-Bình Dương/ 0972.302.455</t>
        </is>
      </c>
      <c r="D424" s="397" t="inlineStr">
        <is>
          <t>0972.302.455</t>
        </is>
      </c>
      <c r="E424" s="399" t="n"/>
      <c r="F424" s="398" t="inlineStr">
        <is>
          <t>Bình Dương</t>
        </is>
      </c>
      <c r="G424" s="397" t="inlineStr">
        <is>
          <t>BDUONG</t>
        </is>
      </c>
      <c r="H424" s="399" t="n"/>
      <c r="J424" s="392">
        <f>IFERROR(UPPER(TRIM(B424))&amp;"|"&amp;UPPER(TRIM(C424))&amp;"|"&amp;UPPER(TRIM(D424)),"")</f>
        <v/>
      </c>
    </row>
    <row r="425" ht="15.75" customHeight="1" s="217">
      <c r="A425" s="400" t="n">
        <v>423</v>
      </c>
      <c r="B425" s="400" t="inlineStr">
        <is>
          <t>KH3315</t>
        </is>
      </c>
      <c r="C425" s="401" t="inlineStr">
        <is>
          <t>TURBO - ANH THẮNG - SÀI GÒN / Anh Thắng: 0903.970.815 - 0988.190.009</t>
        </is>
      </c>
      <c r="D425" s="400" t="inlineStr">
        <is>
          <t>0903.970.815 / 0988.190.009</t>
        </is>
      </c>
      <c r="E425" s="402" t="n"/>
      <c r="F425" s="401" t="inlineStr">
        <is>
          <t>Số 10 Xuyên Á (Gần ngã 4 Đại học Nông Lâm)</t>
        </is>
      </c>
      <c r="G425" s="400" t="inlineStr">
        <is>
          <t>SG/HCM</t>
        </is>
      </c>
      <c r="H425" s="402" t="n"/>
      <c r="J425" s="392">
        <f>IFERROR(UPPER(TRIM(B425))&amp;"|"&amp;UPPER(TRIM(C425))&amp;"|"&amp;UPPER(TRIM(D425)),"")</f>
        <v/>
      </c>
    </row>
    <row r="426" ht="15.75" customHeight="1" s="217">
      <c r="A426" s="397" t="n">
        <v>424</v>
      </c>
      <c r="B426" s="397" t="inlineStr">
        <is>
          <t>KH3316</t>
        </is>
      </c>
      <c r="C426" s="398" t="inlineStr">
        <is>
          <t>Bãi máy An Bình-SG  / Anh Huy - 0981.387.810</t>
        </is>
      </c>
      <c r="D426" s="397" t="inlineStr">
        <is>
          <t>0981.387.810</t>
        </is>
      </c>
      <c r="E426" s="399" t="n"/>
      <c r="F426" s="398" t="inlineStr">
        <is>
          <t>Cổng ĐH Nông Lâm, TP Hồ Chí Minh</t>
        </is>
      </c>
      <c r="G426" s="397" t="inlineStr">
        <is>
          <t>SG/HCM</t>
        </is>
      </c>
      <c r="H426" s="399" t="n"/>
      <c r="J426" s="392">
        <f>IFERROR(UPPER(TRIM(B426))&amp;"|"&amp;UPPER(TRIM(C426))&amp;"|"&amp;UPPER(TRIM(D426)),"")</f>
        <v/>
      </c>
    </row>
    <row r="427" ht="15.75" customHeight="1" s="217">
      <c r="A427" s="400" t="n">
        <v>425</v>
      </c>
      <c r="B427" s="400" t="inlineStr">
        <is>
          <t>KH3317</t>
        </is>
      </c>
      <c r="C427" s="401" t="inlineStr">
        <is>
          <t>Cửa hàng Tuấn Nguyễn -Q5/  0913.702.247</t>
        </is>
      </c>
      <c r="D427" s="400" t="inlineStr">
        <is>
          <t>0913.702.247</t>
        </is>
      </c>
      <c r="E427" s="402" t="n"/>
      <c r="F427" s="401" t="inlineStr">
        <is>
          <t>27 Lương Nhữ Học- Phường 10-Quận 5-SG</t>
        </is>
      </c>
      <c r="G427" s="400" t="inlineStr">
        <is>
          <t>SG/HCM</t>
        </is>
      </c>
      <c r="H427" s="402" t="n"/>
      <c r="J427" s="392">
        <f>IFERROR(UPPER(TRIM(B427))&amp;"|"&amp;UPPER(TRIM(C427))&amp;"|"&amp;UPPER(TRIM(D427)),"")</f>
        <v/>
      </c>
    </row>
    <row r="428" ht="15.75" customHeight="1" s="217">
      <c r="A428" s="397" t="n">
        <v>426</v>
      </c>
      <c r="B428" s="397" t="inlineStr">
        <is>
          <t>KH3314</t>
        </is>
      </c>
      <c r="C428" s="398" t="inlineStr">
        <is>
          <t>Anh Thi (san lấp) - Gia Lai - 0963.363.777</t>
        </is>
      </c>
      <c r="D428" s="397" t="inlineStr">
        <is>
          <t>0963.363.777</t>
        </is>
      </c>
      <c r="E428" s="399" t="n"/>
      <c r="F428" s="398" t="inlineStr">
        <is>
          <t>Pleiku - Gia Lai</t>
        </is>
      </c>
      <c r="G428" s="397" t="inlineStr">
        <is>
          <t>GLAI</t>
        </is>
      </c>
      <c r="H428" s="399" t="n"/>
      <c r="J428" s="392">
        <f>IFERROR(UPPER(TRIM(B428))&amp;"|"&amp;UPPER(TRIM(C428))&amp;"|"&amp;UPPER(TRIM(D428)),"")</f>
        <v/>
      </c>
    </row>
    <row r="429" ht="15.75" customHeight="1" s="217">
      <c r="A429" s="400" t="n">
        <v>427</v>
      </c>
      <c r="B429" s="400" t="inlineStr">
        <is>
          <t>KH3313</t>
        </is>
      </c>
      <c r="C429" s="401" t="inlineStr">
        <is>
          <t>Xưởng Anh Thiên-Tân Vạn- Bình Dương / 0378.775.706</t>
        </is>
      </c>
      <c r="D429" s="400" t="inlineStr">
        <is>
          <t>0378.775.706</t>
        </is>
      </c>
      <c r="E429" s="402" t="n"/>
      <c r="F429" s="401" t="inlineStr">
        <is>
          <t>Mỹ Phước -Tân Vạn-Bình Dương</t>
        </is>
      </c>
      <c r="G429" s="400" t="inlineStr">
        <is>
          <t>BDUONG</t>
        </is>
      </c>
      <c r="H429" s="402" t="n"/>
      <c r="J429" s="392">
        <f>IFERROR(UPPER(TRIM(B429))&amp;"|"&amp;UPPER(TRIM(C429))&amp;"|"&amp;UPPER(TRIM(D429)),"")</f>
        <v/>
      </c>
    </row>
    <row r="430" ht="15.75" customHeight="1" s="217">
      <c r="A430" s="397" t="n">
        <v>428</v>
      </c>
      <c r="B430" s="397" t="inlineStr">
        <is>
          <t>KH3312</t>
        </is>
      </c>
      <c r="C430" s="398" t="inlineStr">
        <is>
          <t>Anh Hải - Bù Đốp/ 0773.639.379</t>
        </is>
      </c>
      <c r="D430" s="397" t="inlineStr">
        <is>
          <t>0773.639.379</t>
        </is>
      </c>
      <c r="E430" s="399" t="n"/>
      <c r="F430" s="398" t="inlineStr">
        <is>
          <t>Ủy ban xã Tân Thành - Bù Đốp - Bình Phước</t>
        </is>
      </c>
      <c r="G430" s="397" t="inlineStr">
        <is>
          <t>BP</t>
        </is>
      </c>
      <c r="H430" s="399" t="n"/>
      <c r="J430" s="392">
        <f>IFERROR(UPPER(TRIM(B430))&amp;"|"&amp;UPPER(TRIM(C430))&amp;"|"&amp;UPPER(TRIM(D430)),"")</f>
        <v/>
      </c>
    </row>
    <row r="431" ht="15.75" customHeight="1" s="217">
      <c r="A431" s="400" t="n">
        <v>429</v>
      </c>
      <c r="B431" s="400" t="inlineStr">
        <is>
          <t>KH3311</t>
        </is>
      </c>
      <c r="C431" s="401" t="inlineStr">
        <is>
          <t>Công ty Anh Kiệt -Q12/ Anh Nhật: 0936.465.056</t>
        </is>
      </c>
      <c r="D431" s="400" t="inlineStr">
        <is>
          <t>0936.465.056</t>
        </is>
      </c>
      <c r="E431" s="402" t="n"/>
      <c r="F431" s="401" t="inlineStr">
        <is>
          <t>1051/3C, Quốc Lộ 1A, P. An Phú Đông, Quận 12, TP. Hồ Chí Minh</t>
        </is>
      </c>
      <c r="G431" s="400" t="inlineStr">
        <is>
          <t>SG/HCM</t>
        </is>
      </c>
      <c r="H431" s="402" t="n"/>
      <c r="J431" s="392">
        <f>IFERROR(UPPER(TRIM(B431))&amp;"|"&amp;UPPER(TRIM(C431))&amp;"|"&amp;UPPER(TRIM(D431)),"")</f>
        <v/>
      </c>
    </row>
    <row r="432" ht="15.75" customHeight="1" s="217">
      <c r="A432" s="397" t="n">
        <v>430</v>
      </c>
      <c r="B432" s="397" t="inlineStr">
        <is>
          <t>KH3310</t>
        </is>
      </c>
      <c r="C432" s="398" t="inlineStr">
        <is>
          <t>Anh Lộc-Khu công nghệ cao Thủ Đức/ 0976.666.975</t>
        </is>
      </c>
      <c r="D432" s="397" t="inlineStr">
        <is>
          <t>0976.666.975</t>
        </is>
      </c>
      <c r="E432" s="399" t="n"/>
      <c r="F432" s="398" t="inlineStr">
        <is>
          <t>Sài Gòn</t>
        </is>
      </c>
      <c r="G432" s="397" t="inlineStr">
        <is>
          <t>SG/HCM</t>
        </is>
      </c>
      <c r="H432" s="399" t="n"/>
      <c r="J432" s="392">
        <f>IFERROR(UPPER(TRIM(B432))&amp;"|"&amp;UPPER(TRIM(C432))&amp;"|"&amp;UPPER(TRIM(D432)),"")</f>
        <v/>
      </c>
    </row>
    <row r="433" ht="15.75" customHeight="1" s="217">
      <c r="A433" s="400" t="n">
        <v>431</v>
      </c>
      <c r="B433" s="400" t="inlineStr">
        <is>
          <t>KH3309</t>
        </is>
      </c>
      <c r="C433" s="401" t="inlineStr">
        <is>
          <t>Xưởng Anh Vân- Sài Gòn / 0336.750.752</t>
        </is>
      </c>
      <c r="D433" s="400" t="inlineStr">
        <is>
          <t>0336.750.752</t>
        </is>
      </c>
      <c r="E433" s="402" t="n"/>
      <c r="F433" s="401" t="inlineStr">
        <is>
          <t>Sài Gòn</t>
        </is>
      </c>
      <c r="G433" s="400" t="inlineStr">
        <is>
          <t>SG/HCM</t>
        </is>
      </c>
      <c r="H433" s="402" t="n"/>
      <c r="J433" s="392">
        <f>IFERROR(UPPER(TRIM(B433))&amp;"|"&amp;UPPER(TRIM(C433))&amp;"|"&amp;UPPER(TRIM(D433)),"")</f>
        <v/>
      </c>
    </row>
    <row r="434" ht="15.75" customHeight="1" s="217">
      <c r="A434" s="397" t="n">
        <v>432</v>
      </c>
      <c r="B434" s="397" t="inlineStr">
        <is>
          <t>KH3306</t>
        </is>
      </c>
      <c r="C434" s="398" t="inlineStr">
        <is>
          <t>Xưởng Hồng Phát - Ngọc Hồi, Kontum / 0977.713.391</t>
        </is>
      </c>
      <c r="D434" s="397" t="inlineStr">
        <is>
          <t>0977.713.391</t>
        </is>
      </c>
      <c r="E434" s="399" t="n"/>
      <c r="F434" s="398" t="inlineStr">
        <is>
          <t>Ngọc Hồi, Kon tum (gửi xe Thuận Phát)</t>
        </is>
      </c>
      <c r="G434" s="397" t="inlineStr">
        <is>
          <t>KTUM</t>
        </is>
      </c>
      <c r="H434" s="399" t="n"/>
      <c r="J434" s="392">
        <f>IFERROR(UPPER(TRIM(B434))&amp;"|"&amp;UPPER(TRIM(C434))&amp;"|"&amp;UPPER(TRIM(D434)),"")</f>
        <v/>
      </c>
    </row>
    <row r="435" ht="15.75" customHeight="1" s="217">
      <c r="A435" s="400" t="n">
        <v>433</v>
      </c>
      <c r="B435" s="400" t="inlineStr">
        <is>
          <t>KH3307</t>
        </is>
      </c>
      <c r="C435" s="401" t="inlineStr">
        <is>
          <t>Công ty CP Đầu tư và XD An Đông/ Anh Hà- 0963.626.856</t>
        </is>
      </c>
      <c r="D435" s="400" t="inlineStr">
        <is>
          <t>0963.626.856</t>
        </is>
      </c>
      <c r="E435" s="402" t="n"/>
      <c r="F435" s="401" t="inlineStr">
        <is>
          <t>79 Ngọc Hồi, Hoàng Liệt, Hoàng Mai, Hà Nội</t>
        </is>
      </c>
      <c r="G435" s="400" t="inlineStr">
        <is>
          <t>HN</t>
        </is>
      </c>
      <c r="H435" s="402" t="n"/>
      <c r="J435" s="392">
        <f>IFERROR(UPPER(TRIM(B435))&amp;"|"&amp;UPPER(TRIM(C435))&amp;"|"&amp;UPPER(TRIM(D435)),"")</f>
        <v/>
      </c>
    </row>
    <row r="436" ht="15.75" customHeight="1" s="217">
      <c r="A436" s="397" t="n">
        <v>434</v>
      </c>
      <c r="B436" s="397" t="inlineStr">
        <is>
          <t>KH3308</t>
        </is>
      </c>
      <c r="C436" s="398" t="inlineStr">
        <is>
          <t>(không sử dụng) Tuấn Kia-Q2</t>
        </is>
      </c>
      <c r="D436" s="399" t="n"/>
      <c r="E436" s="399" t="n"/>
      <c r="F436" s="398" t="inlineStr">
        <is>
          <t>26 Đường số 25-Bình An-Q2-SG</t>
        </is>
      </c>
      <c r="G436" s="397" t="inlineStr">
        <is>
          <t>SG/HCM</t>
        </is>
      </c>
      <c r="H436" s="399" t="n"/>
      <c r="J436" s="392">
        <f>IFERROR(UPPER(TRIM(B436))&amp;"|"&amp;UPPER(TRIM(C436))&amp;"|"&amp;UPPER(TRIM(D436)),"")</f>
        <v/>
      </c>
    </row>
    <row r="437" ht="15.75" customHeight="1" s="217">
      <c r="A437" s="400" t="n">
        <v>435</v>
      </c>
      <c r="B437" s="400" t="inlineStr">
        <is>
          <t>KH3305</t>
        </is>
      </c>
      <c r="C437" s="401" t="inlineStr">
        <is>
          <t>Công ty Đại Tiến Đạt-BRVT/ 0707.117.769</t>
        </is>
      </c>
      <c r="D437" s="400" t="inlineStr">
        <is>
          <t>0707.117.769</t>
        </is>
      </c>
      <c r="E437" s="402" t="n"/>
      <c r="F437" s="401" t="inlineStr">
        <is>
          <t>Chợ đầu mối Lam Sơn- BRVT</t>
        </is>
      </c>
      <c r="G437" s="400" t="inlineStr">
        <is>
          <t>BRVT</t>
        </is>
      </c>
      <c r="H437" s="402" t="n"/>
      <c r="J437" s="392">
        <f>IFERROR(UPPER(TRIM(B437))&amp;"|"&amp;UPPER(TRIM(C437))&amp;"|"&amp;UPPER(TRIM(D437)),"")</f>
        <v/>
      </c>
    </row>
    <row r="438" ht="15.75" customHeight="1" s="217">
      <c r="A438" s="397" t="n">
        <v>436</v>
      </c>
      <c r="B438" s="397" t="inlineStr">
        <is>
          <t>KH3303</t>
        </is>
      </c>
      <c r="C438" s="398" t="inlineStr">
        <is>
          <t>Xưởng Anh Phát-Đồng Nai/ 0988.093.747</t>
        </is>
      </c>
      <c r="D438" s="397" t="inlineStr">
        <is>
          <t>0988.093.747</t>
        </is>
      </c>
      <c r="E438" s="399" t="n"/>
      <c r="F438" s="398" t="inlineStr">
        <is>
          <t>Xuân Thọ, Xuân Lộc, Đồng Nai</t>
        </is>
      </c>
      <c r="G438" s="397" t="inlineStr">
        <is>
          <t>ÐNAI</t>
        </is>
      </c>
      <c r="H438" s="399" t="n"/>
      <c r="J438" s="392">
        <f>IFERROR(UPPER(TRIM(B438))&amp;"|"&amp;UPPER(TRIM(C438))&amp;"|"&amp;UPPER(TRIM(D438)),"")</f>
        <v/>
      </c>
    </row>
    <row r="439" ht="15.75" customHeight="1" s="217">
      <c r="A439" s="400" t="n">
        <v>437</v>
      </c>
      <c r="B439" s="400" t="inlineStr">
        <is>
          <t>KH3304</t>
        </is>
      </c>
      <c r="C439" s="401" t="inlineStr">
        <is>
          <t>Công ty khai thác Khoáng sản Việt Long / Anh Công- 0989.848.216</t>
        </is>
      </c>
      <c r="D439" s="400" t="inlineStr">
        <is>
          <t>0989.848.216</t>
        </is>
      </c>
      <c r="E439" s="402" t="n"/>
      <c r="F439" s="401" t="inlineStr">
        <is>
          <t>Số 5 Lê Đức Thọ, P16, Gò Vấp, TP.HCM</t>
        </is>
      </c>
      <c r="G439" s="400" t="inlineStr">
        <is>
          <t>SG/HCM</t>
        </is>
      </c>
      <c r="H439" s="402" t="n"/>
      <c r="J439" s="392">
        <f>IFERROR(UPPER(TRIM(B439))&amp;"|"&amp;UPPER(TRIM(C439))&amp;"|"&amp;UPPER(TRIM(D439)),"")</f>
        <v/>
      </c>
    </row>
    <row r="440" ht="15.75" customHeight="1" s="217">
      <c r="A440" s="397" t="n">
        <v>438</v>
      </c>
      <c r="B440" s="397" t="inlineStr">
        <is>
          <t>KH3302</t>
        </is>
      </c>
      <c r="C440" s="398" t="inlineStr">
        <is>
          <t>Xưởng Doa Mài Thành Trung -Đồng Nai/ 0918.646.726</t>
        </is>
      </c>
      <c r="D440" s="397" t="inlineStr">
        <is>
          <t>0918.646.726</t>
        </is>
      </c>
      <c r="E440" s="399" t="n"/>
      <c r="F440" s="398" t="inlineStr">
        <is>
          <t>Vòng Xoay cổng 11 Võ Nguyên Giáp - Biên Hoà- Đồng Nai</t>
        </is>
      </c>
      <c r="G440" s="397" t="inlineStr">
        <is>
          <t>ÐNAI</t>
        </is>
      </c>
      <c r="H440" s="399" t="n"/>
      <c r="J440" s="392">
        <f>IFERROR(UPPER(TRIM(B440))&amp;"|"&amp;UPPER(TRIM(C440))&amp;"|"&amp;UPPER(TRIM(D440)),"")</f>
        <v/>
      </c>
    </row>
    <row r="441" ht="15.75" customHeight="1" s="217">
      <c r="A441" s="400" t="n">
        <v>439</v>
      </c>
      <c r="B441" s="400" t="inlineStr">
        <is>
          <t>KH3301</t>
        </is>
      </c>
      <c r="C441" s="401" t="inlineStr">
        <is>
          <t>Anh Thái - Tây Ninh - 0906.279.777</t>
        </is>
      </c>
      <c r="D441" s="400" t="inlineStr">
        <is>
          <t>0906.279.777</t>
        </is>
      </c>
      <c r="E441" s="402" t="n"/>
      <c r="F441" s="401" t="inlineStr">
        <is>
          <t>TP Tây Ninh</t>
        </is>
      </c>
      <c r="G441" s="400" t="inlineStr">
        <is>
          <t>TNINH</t>
        </is>
      </c>
      <c r="H441" s="402" t="n"/>
      <c r="J441" s="392">
        <f>IFERROR(UPPER(TRIM(B441))&amp;"|"&amp;UPPER(TRIM(C441))&amp;"|"&amp;UPPER(TRIM(D441)),"")</f>
        <v/>
      </c>
    </row>
    <row r="442" ht="15.75" customHeight="1" s="217">
      <c r="A442" s="397" t="n">
        <v>440</v>
      </c>
      <c r="B442" s="397" t="inlineStr">
        <is>
          <t>KH3300</t>
        </is>
      </c>
      <c r="C442" s="398" t="inlineStr">
        <is>
          <t>Anh Khang-Biên Hoà-Đồng Nai / 0344.174.034</t>
        </is>
      </c>
      <c r="D442" s="397" t="inlineStr">
        <is>
          <t>0344.174.034</t>
        </is>
      </c>
      <c r="E442" s="399" t="n"/>
      <c r="F442" s="398" t="inlineStr">
        <is>
          <t>Đồng Nai</t>
        </is>
      </c>
      <c r="G442" s="397" t="inlineStr">
        <is>
          <t>ÐNAI</t>
        </is>
      </c>
      <c r="H442" s="399" t="n"/>
      <c r="J442" s="392">
        <f>IFERROR(UPPER(TRIM(B442))&amp;"|"&amp;UPPER(TRIM(C442))&amp;"|"&amp;UPPER(TRIM(D442)),"")</f>
        <v/>
      </c>
    </row>
    <row r="443" ht="15.75" customHeight="1" s="217">
      <c r="A443" s="400" t="n">
        <v>441</v>
      </c>
      <c r="B443" s="400" t="inlineStr">
        <is>
          <t>KH3299</t>
        </is>
      </c>
      <c r="C443" s="401" t="inlineStr">
        <is>
          <t>Gara Kim Ngân-Q12/ Anh Hoạt- 0962.640.621</t>
        </is>
      </c>
      <c r="D443" s="400" t="inlineStr">
        <is>
          <t>0962.640.621</t>
        </is>
      </c>
      <c r="E443" s="402" t="n"/>
      <c r="F443" s="401" t="inlineStr">
        <is>
          <t>SỐ 11 Tô Ngọc Vân, P.Thạnh Xuân, Q.12,SG</t>
        </is>
      </c>
      <c r="G443" s="400" t="inlineStr">
        <is>
          <t>SG/HCM</t>
        </is>
      </c>
      <c r="H443" s="402" t="n"/>
      <c r="J443" s="392">
        <f>IFERROR(UPPER(TRIM(B443))&amp;"|"&amp;UPPER(TRIM(C443))&amp;"|"&amp;UPPER(TRIM(D443)),"")</f>
        <v/>
      </c>
    </row>
    <row r="444" ht="15.75" customHeight="1" s="217">
      <c r="A444" s="397" t="n">
        <v>442</v>
      </c>
      <c r="B444" s="397" t="inlineStr">
        <is>
          <t>KH3298</t>
        </is>
      </c>
      <c r="C444" s="398" t="inlineStr">
        <is>
          <t>Anh Bảo-Xuân Lộc-Đồng Nai / 0961.552.551</t>
        </is>
      </c>
      <c r="D444" s="397" t="inlineStr">
        <is>
          <t>0961.552.551</t>
        </is>
      </c>
      <c r="E444" s="399" t="n"/>
      <c r="F444" s="398" t="inlineStr">
        <is>
          <t>Suối Cát, Xuân Lộc, Đồng Nai</t>
        </is>
      </c>
      <c r="G444" s="397" t="inlineStr">
        <is>
          <t>ÐNAI</t>
        </is>
      </c>
      <c r="H444" s="399" t="n"/>
      <c r="J444" s="392">
        <f>IFERROR(UPPER(TRIM(B444))&amp;"|"&amp;UPPER(TRIM(C444))&amp;"|"&amp;UPPER(TRIM(D444)),"")</f>
        <v/>
      </c>
    </row>
    <row r="445" ht="15.75" customHeight="1" s="217">
      <c r="A445" s="400" t="n">
        <v>443</v>
      </c>
      <c r="B445" s="400" t="inlineStr">
        <is>
          <t>KH3297</t>
        </is>
      </c>
      <c r="C445" s="401" t="inlineStr">
        <is>
          <t>Công ty xây dựng cầu đường Nam Phát-Tây Ninh / A Hướng - 0348.255.757</t>
        </is>
      </c>
      <c r="D445" s="400" t="inlineStr">
        <is>
          <t>0348.255.757</t>
        </is>
      </c>
      <c r="E445" s="402" t="n"/>
      <c r="F445" s="401" t="inlineStr">
        <is>
          <t>Tổ 13 ấp 6, xã Xuối Ngô, Huyện Tân Châu, Tây Ninh</t>
        </is>
      </c>
      <c r="G445" s="400" t="inlineStr">
        <is>
          <t>TNINH</t>
        </is>
      </c>
      <c r="H445" s="402" t="n"/>
      <c r="J445" s="392">
        <f>IFERROR(UPPER(TRIM(B445))&amp;"|"&amp;UPPER(TRIM(C445))&amp;"|"&amp;UPPER(TRIM(D445)),"")</f>
        <v/>
      </c>
    </row>
    <row r="446" ht="15.75" customHeight="1" s="217">
      <c r="A446" s="397" t="n">
        <v>444</v>
      </c>
      <c r="B446" s="397" t="inlineStr">
        <is>
          <t>KH3296</t>
        </is>
      </c>
      <c r="C446" s="398" t="inlineStr">
        <is>
          <t>Anh Đăng / Bình Tân - 0908.860.592</t>
        </is>
      </c>
      <c r="D446" s="397" t="inlineStr">
        <is>
          <t>0908.860.592</t>
        </is>
      </c>
      <c r="E446" s="399" t="n"/>
      <c r="F446" s="398" t="inlineStr">
        <is>
          <t>84/46 Tên Lửa, An Lạc, Bình Tân, TP HCM</t>
        </is>
      </c>
      <c r="G446" s="397" t="inlineStr">
        <is>
          <t>SG/HCM</t>
        </is>
      </c>
      <c r="H446" s="399" t="n"/>
      <c r="J446" s="392">
        <f>IFERROR(UPPER(TRIM(B446))&amp;"|"&amp;UPPER(TRIM(C446))&amp;"|"&amp;UPPER(TRIM(D446)),"")</f>
        <v/>
      </c>
    </row>
    <row r="447" ht="15.75" customHeight="1" s="217">
      <c r="A447" s="400" t="n">
        <v>445</v>
      </c>
      <c r="B447" s="400" t="inlineStr">
        <is>
          <t>KH3294</t>
        </is>
      </c>
      <c r="C447" s="401" t="inlineStr">
        <is>
          <t>Bãi Máy Anh Khải-Tân Uyên-Bình Dương / 0988.099.308</t>
        </is>
      </c>
      <c r="D447" s="400" t="inlineStr">
        <is>
          <t>0988.099.308</t>
        </is>
      </c>
      <c r="E447" s="402" t="n"/>
      <c r="F447" s="401" t="inlineStr">
        <is>
          <t>Tổ 2 Khu Phố Bình Khánh ,Phường Khánh Bình, TP.Tân Uyên ,Bình Dương</t>
        </is>
      </c>
      <c r="G447" s="400" t="inlineStr">
        <is>
          <t>BDUONG</t>
        </is>
      </c>
      <c r="H447" s="402" t="n"/>
      <c r="J447" s="392">
        <f>IFERROR(UPPER(TRIM(B447))&amp;"|"&amp;UPPER(TRIM(C447))&amp;"|"&amp;UPPER(TRIM(D447)),"")</f>
        <v/>
      </c>
    </row>
    <row r="448" ht="15.75" customHeight="1" s="217">
      <c r="A448" s="397" t="n">
        <v>446</v>
      </c>
      <c r="B448" s="397" t="inlineStr">
        <is>
          <t>KH3295</t>
        </is>
      </c>
      <c r="C448" s="398" t="inlineStr">
        <is>
          <t>Cửa hàng Đoàn Quân Việt, Bảo Lâm, Lâm Đồng/ 0977.833.502</t>
        </is>
      </c>
      <c r="D448" s="397" t="inlineStr">
        <is>
          <t>0977.833.502</t>
        </is>
      </c>
      <c r="E448" s="399" t="n"/>
      <c r="F448" s="398" t="inlineStr">
        <is>
          <t>136 Hàm Nghi, TT Lộc Thắng, Huyện Bảo Lâm, Lâm Đồng</t>
        </is>
      </c>
      <c r="G448" s="397" t="inlineStr">
        <is>
          <t>LDONG</t>
        </is>
      </c>
      <c r="H448" s="399" t="n"/>
      <c r="J448" s="392">
        <f>IFERROR(UPPER(TRIM(B448))&amp;"|"&amp;UPPER(TRIM(C448))&amp;"|"&amp;UPPER(TRIM(D448)),"")</f>
        <v/>
      </c>
    </row>
    <row r="449" ht="15.75" customHeight="1" s="217">
      <c r="A449" s="400" t="n">
        <v>447</v>
      </c>
      <c r="B449" s="400" t="inlineStr">
        <is>
          <t>KH3293</t>
        </is>
      </c>
      <c r="C449" s="401" t="inlineStr">
        <is>
          <t>Công ty lắp máy Việt Nam / Chị Trân 0966.677.070</t>
        </is>
      </c>
      <c r="D449" s="400" t="inlineStr">
        <is>
          <t>0966.677.070</t>
        </is>
      </c>
      <c r="E449" s="402" t="n"/>
      <c r="F449" s="401" t="inlineStr">
        <is>
          <t>Lô C2, KCN Khánh Phúc, Ninh Phúc, TP Ninh Bình, Ninh Bình</t>
        </is>
      </c>
      <c r="G449" s="400" t="inlineStr">
        <is>
          <t>BDINH</t>
        </is>
      </c>
      <c r="H449" s="402" t="n"/>
      <c r="J449" s="392">
        <f>IFERROR(UPPER(TRIM(B449))&amp;"|"&amp;UPPER(TRIM(C449))&amp;"|"&amp;UPPER(TRIM(D449)),"")</f>
        <v/>
      </c>
    </row>
    <row r="450" ht="15.75" customHeight="1" s="217">
      <c r="A450" s="397" t="n">
        <v>448</v>
      </c>
      <c r="B450" s="397" t="inlineStr">
        <is>
          <t>KH3292</t>
        </is>
      </c>
      <c r="C450" s="398" t="inlineStr">
        <is>
          <t>Anh Kiệt-Dĩ An- Bình Dương / 0929.275.707</t>
        </is>
      </c>
      <c r="D450" s="397" t="inlineStr">
        <is>
          <t>0929.275.707</t>
        </is>
      </c>
      <c r="E450" s="399" t="n"/>
      <c r="F450" s="398" t="inlineStr">
        <is>
          <t>36 Đông Minh, phường Đông Hòa, TP Dĩ An, Bình Dương</t>
        </is>
      </c>
      <c r="G450" s="397" t="inlineStr">
        <is>
          <t>BDUONG</t>
        </is>
      </c>
      <c r="H450" s="399" t="n"/>
      <c r="J450" s="392">
        <f>IFERROR(UPPER(TRIM(B450))&amp;"|"&amp;UPPER(TRIM(C450))&amp;"|"&amp;UPPER(TRIM(D450)),"")</f>
        <v/>
      </c>
    </row>
    <row r="451" ht="15.75" customHeight="1" s="217">
      <c r="A451" s="400" t="n">
        <v>449</v>
      </c>
      <c r="B451" s="400" t="inlineStr">
        <is>
          <t>KH3291</t>
        </is>
      </c>
      <c r="C451" s="401" t="inlineStr">
        <is>
          <t>Cửa hàng Khánh An - Long An / 0985.676.419</t>
        </is>
      </c>
      <c r="D451" s="400" t="inlineStr">
        <is>
          <t>0985.676.419</t>
        </is>
      </c>
      <c r="E451" s="402" t="n"/>
      <c r="F451" s="401" t="inlineStr">
        <is>
          <t>Ấp 1, Xã Nhị Thành, H. Thủ Thừa, Long An</t>
        </is>
      </c>
      <c r="G451" s="400" t="inlineStr">
        <is>
          <t>LA</t>
        </is>
      </c>
      <c r="H451" s="402" t="n"/>
      <c r="J451" s="392">
        <f>IFERROR(UPPER(TRIM(B451))&amp;"|"&amp;UPPER(TRIM(C451))&amp;"|"&amp;UPPER(TRIM(D451)),"")</f>
        <v/>
      </c>
    </row>
    <row r="452" ht="15.75" customHeight="1" s="217">
      <c r="A452" s="397" t="n">
        <v>450</v>
      </c>
      <c r="B452" s="397" t="inlineStr">
        <is>
          <t>KH3290</t>
        </is>
      </c>
      <c r="C452" s="398" t="inlineStr">
        <is>
          <t>Quản lý Thị trường TP HCM</t>
        </is>
      </c>
      <c r="D452" s="399" t="n"/>
      <c r="E452" s="399" t="n"/>
      <c r="F452" s="398" t="inlineStr">
        <is>
          <t>TP Hồ Chí Minh</t>
        </is>
      </c>
      <c r="G452" s="399" t="n"/>
      <c r="H452" s="399" t="n"/>
      <c r="J452" s="392">
        <f>IFERROR(UPPER(TRIM(B452))&amp;"|"&amp;UPPER(TRIM(C452))&amp;"|"&amp;UPPER(TRIM(D452)),"")</f>
        <v/>
      </c>
    </row>
    <row r="453" ht="15.75" customHeight="1" s="217">
      <c r="A453" s="400" t="n">
        <v>451</v>
      </c>
      <c r="B453" s="400" t="inlineStr">
        <is>
          <t>KH3289</t>
        </is>
      </c>
      <c r="C453" s="401" t="inlineStr">
        <is>
          <t>Công ty TNHH DV Và VT Hùng Hoàng Hoa -Quảng Nam/ Anh Minh - 0905.316.917</t>
        </is>
      </c>
      <c r="D453" s="400" t="inlineStr">
        <is>
          <t>0905.316.917</t>
        </is>
      </c>
      <c r="E453" s="402" t="n"/>
      <c r="F453" s="401" t="inlineStr">
        <is>
          <t>Thôn Mỹ Bình, xã Tam Hiệp, huyện Núi Thành, tỉnh Quảng Nam</t>
        </is>
      </c>
      <c r="G453" s="400" t="inlineStr">
        <is>
          <t>QNAM</t>
        </is>
      </c>
      <c r="H453" s="402" t="n"/>
      <c r="J453" s="392">
        <f>IFERROR(UPPER(TRIM(B453))&amp;"|"&amp;UPPER(TRIM(C453))&amp;"|"&amp;UPPER(TRIM(D453)),"")</f>
        <v/>
      </c>
    </row>
    <row r="454" ht="15.75" customHeight="1" s="217">
      <c r="A454" s="397" t="n">
        <v>452</v>
      </c>
      <c r="B454" s="397" t="inlineStr">
        <is>
          <t>MN61</t>
        </is>
      </c>
      <c r="C454" s="398" t="inlineStr">
        <is>
          <t>Bùi Quốc Tuấn</t>
        </is>
      </c>
      <c r="D454" s="399" t="n"/>
      <c r="E454" s="399" t="n"/>
      <c r="F454" s="398" t="inlineStr">
        <is>
          <t>CTCP Thiết bị Cơ giới Miền Nam</t>
        </is>
      </c>
      <c r="G454" s="397" t="inlineStr">
        <is>
          <t>BPVC</t>
        </is>
      </c>
      <c r="H454" s="399" t="n"/>
      <c r="J454" s="392">
        <f>IFERROR(UPPER(TRIM(B454))&amp;"|"&amp;UPPER(TRIM(C454))&amp;"|"&amp;UPPER(TRIM(D454)),"")</f>
        <v/>
      </c>
    </row>
    <row r="455" ht="15.75" customHeight="1" s="217">
      <c r="A455" s="400" t="n">
        <v>453</v>
      </c>
      <c r="B455" s="400" t="inlineStr">
        <is>
          <t>KH3288</t>
        </is>
      </c>
      <c r="C455" s="401" t="inlineStr">
        <is>
          <t>Xưởng Nguyễn Phong, Đăk Đoa /  0965.232.708</t>
        </is>
      </c>
      <c r="D455" s="400" t="inlineStr">
        <is>
          <t>0965.232.708</t>
        </is>
      </c>
      <c r="E455" s="402" t="n"/>
      <c r="F455" s="401" t="inlineStr">
        <is>
          <t>Đăk Đoa, Gia Lai</t>
        </is>
      </c>
      <c r="G455" s="400" t="inlineStr">
        <is>
          <t>GLAI</t>
        </is>
      </c>
      <c r="H455" s="402" t="n"/>
      <c r="J455" s="392">
        <f>IFERROR(UPPER(TRIM(B455))&amp;"|"&amp;UPPER(TRIM(C455))&amp;"|"&amp;UPPER(TRIM(D455)),"")</f>
        <v/>
      </c>
    </row>
    <row r="456" ht="15.75" customHeight="1" s="217">
      <c r="A456" s="397" t="n">
        <v>454</v>
      </c>
      <c r="B456" s="397" t="inlineStr">
        <is>
          <t>KH3287</t>
        </is>
      </c>
      <c r="C456" s="398" t="inlineStr">
        <is>
          <t>Cửa hàng Phụ Tùng Đang / 0985.039.443</t>
        </is>
      </c>
      <c r="D456" s="397" t="inlineStr">
        <is>
          <t>0985.039.443</t>
        </is>
      </c>
      <c r="E456" s="399" t="n"/>
      <c r="F456" s="398" t="inlineStr">
        <is>
          <t>Đường Hà Huy Giáp, TT. Cờ Đỏ, Cờ Đỏ, Cần Thơ</t>
        </is>
      </c>
      <c r="G456" s="397" t="inlineStr">
        <is>
          <t>CTHO</t>
        </is>
      </c>
      <c r="H456" s="399" t="n"/>
      <c r="J456" s="392">
        <f>IFERROR(UPPER(TRIM(B456))&amp;"|"&amp;UPPER(TRIM(C456))&amp;"|"&amp;UPPER(TRIM(D456)),"")</f>
        <v/>
      </c>
    </row>
    <row r="457" ht="15.75" customHeight="1" s="217">
      <c r="A457" s="400" t="n">
        <v>455</v>
      </c>
      <c r="B457" s="400" t="inlineStr">
        <is>
          <t>KH3286</t>
        </is>
      </c>
      <c r="C457" s="401" t="inlineStr">
        <is>
          <t>Phụ Tùng Hyundai - Mobis - Sài Gòn / 0922.545.545</t>
        </is>
      </c>
      <c r="D457" s="400" t="inlineStr">
        <is>
          <t>0922.545.545</t>
        </is>
      </c>
      <c r="E457" s="402" t="n"/>
      <c r="F457" s="401" t="inlineStr">
        <is>
          <t>Sài Gòn</t>
        </is>
      </c>
      <c r="G457" s="400" t="inlineStr">
        <is>
          <t>SG/HCM</t>
        </is>
      </c>
      <c r="H457" s="402" t="n"/>
      <c r="J457" s="392">
        <f>IFERROR(UPPER(TRIM(B457))&amp;"|"&amp;UPPER(TRIM(C457))&amp;"|"&amp;UPPER(TRIM(D457)),"")</f>
        <v/>
      </c>
    </row>
    <row r="458" ht="15.75" customHeight="1" s="217">
      <c r="A458" s="397" t="n">
        <v>456</v>
      </c>
      <c r="B458" s="397" t="inlineStr">
        <is>
          <t>KH3285</t>
        </is>
      </c>
      <c r="C458" s="398" t="inlineStr">
        <is>
          <t>Anh Hưng-Nhà thờ Chu Hải -BRVT/ 0937.863.342</t>
        </is>
      </c>
      <c r="D458" s="397" t="inlineStr">
        <is>
          <t>0937.863.342</t>
        </is>
      </c>
      <c r="E458" s="399" t="n"/>
      <c r="F458" s="398" t="inlineStr">
        <is>
          <t>Tân Thành-Bà Rịa Vũng Tàu</t>
        </is>
      </c>
      <c r="G458" s="397" t="inlineStr">
        <is>
          <t>BRVT</t>
        </is>
      </c>
      <c r="H458" s="399" t="n"/>
      <c r="J458" s="392">
        <f>IFERROR(UPPER(TRIM(B458))&amp;"|"&amp;UPPER(TRIM(C458))&amp;"|"&amp;UPPER(TRIM(D458)),"")</f>
        <v/>
      </c>
    </row>
    <row r="459" ht="15.75" customHeight="1" s="217">
      <c r="A459" s="400" t="n">
        <v>457</v>
      </c>
      <c r="B459" s="400" t="inlineStr">
        <is>
          <t>KH3284</t>
        </is>
      </c>
      <c r="C459" s="401" t="inlineStr">
        <is>
          <t>Xưởng Thành Trung-Bình Dương / 0988.607.628</t>
        </is>
      </c>
      <c r="D459" s="400" t="inlineStr">
        <is>
          <t>0988.607.628</t>
        </is>
      </c>
      <c r="E459" s="402" t="n"/>
      <c r="F459" s="401" t="inlineStr">
        <is>
          <t>Chung cư Đồng An-Bình Dương</t>
        </is>
      </c>
      <c r="G459" s="400" t="inlineStr">
        <is>
          <t>BDUONG</t>
        </is>
      </c>
      <c r="H459" s="402" t="n"/>
      <c r="J459" s="392">
        <f>IFERROR(UPPER(TRIM(B459))&amp;"|"&amp;UPPER(TRIM(C459))&amp;"|"&amp;UPPER(TRIM(D459)),"")</f>
        <v/>
      </c>
    </row>
    <row r="460" ht="15.75" customHeight="1" s="217">
      <c r="A460" s="397" t="n">
        <v>458</v>
      </c>
      <c r="B460" s="397" t="inlineStr">
        <is>
          <t>KH3283</t>
        </is>
      </c>
      <c r="C460" s="398" t="inlineStr">
        <is>
          <t>Gara Trường Thịnh-Bảo Lộc /  0937.479.900</t>
        </is>
      </c>
      <c r="D460" s="397" t="inlineStr">
        <is>
          <t>0937.479.900</t>
        </is>
      </c>
      <c r="E460" s="399" t="n"/>
      <c r="F460" s="398" t="inlineStr">
        <is>
          <t>Bảo Lộc-Lâm Đồng</t>
        </is>
      </c>
      <c r="G460" s="397" t="inlineStr">
        <is>
          <t>LDONG</t>
        </is>
      </c>
      <c r="H460" s="399" t="n"/>
      <c r="J460" s="392">
        <f>IFERROR(UPPER(TRIM(B460))&amp;"|"&amp;UPPER(TRIM(C460))&amp;"|"&amp;UPPER(TRIM(D460)),"")</f>
        <v/>
      </c>
    </row>
    <row r="461" ht="15.75" customHeight="1" s="217">
      <c r="A461" s="400" t="n">
        <v>459</v>
      </c>
      <c r="B461" s="400" t="inlineStr">
        <is>
          <t>KH3282</t>
        </is>
      </c>
      <c r="C461" s="401" t="inlineStr">
        <is>
          <t>Anh Cường - Hà Nội (sx bô xả giảm thanh)</t>
        </is>
      </c>
      <c r="D461" s="402" t="n"/>
      <c r="E461" s="402" t="n"/>
      <c r="F461" s="401" t="inlineStr">
        <is>
          <t>Hà Nội</t>
        </is>
      </c>
      <c r="G461" s="400" t="inlineStr">
        <is>
          <t>SG/HCM</t>
        </is>
      </c>
      <c r="H461" s="402" t="n"/>
      <c r="J461" s="392">
        <f>IFERROR(UPPER(TRIM(B461))&amp;"|"&amp;UPPER(TRIM(C461))&amp;"|"&amp;UPPER(TRIM(D461)),"")</f>
        <v/>
      </c>
    </row>
    <row r="462" ht="15.75" customHeight="1" s="217">
      <c r="A462" s="397" t="n">
        <v>460</v>
      </c>
      <c r="B462" s="397" t="inlineStr">
        <is>
          <t>KH3279</t>
        </is>
      </c>
      <c r="C462" s="398" t="inlineStr">
        <is>
          <t>Cửa hàng Ô Tô Trường Thịnh -Quận 5 / 0961.615.108</t>
        </is>
      </c>
      <c r="D462" s="397" t="inlineStr">
        <is>
          <t>0961.615.108</t>
        </is>
      </c>
      <c r="E462" s="399" t="n"/>
      <c r="F462" s="398" t="inlineStr">
        <is>
          <t>22 Lương Nhữ Học, P10, Q5, SG</t>
        </is>
      </c>
      <c r="G462" s="397" t="inlineStr">
        <is>
          <t>SG/HCM</t>
        </is>
      </c>
      <c r="H462" s="399" t="n"/>
      <c r="J462" s="392">
        <f>IFERROR(UPPER(TRIM(B462))&amp;"|"&amp;UPPER(TRIM(C462))&amp;"|"&amp;UPPER(TRIM(D462)),"")</f>
        <v/>
      </c>
    </row>
    <row r="463" ht="15.75" customHeight="1" s="217">
      <c r="A463" s="400" t="n">
        <v>461</v>
      </c>
      <c r="B463" s="400" t="inlineStr">
        <is>
          <t>KH3280</t>
        </is>
      </c>
      <c r="C463" s="401" t="inlineStr">
        <is>
          <t>Xưởng Anh Thanh-Thủ Đức / 0903.088.092</t>
        </is>
      </c>
      <c r="D463" s="400" t="inlineStr">
        <is>
          <t>0903.088.092</t>
        </is>
      </c>
      <c r="E463" s="402" t="n"/>
      <c r="F463" s="401" t="inlineStr">
        <is>
          <t>Tam Bình, Thủ Đức, TP HCM</t>
        </is>
      </c>
      <c r="G463" s="400" t="inlineStr">
        <is>
          <t>SG/HCM</t>
        </is>
      </c>
      <c r="H463" s="402" t="n"/>
      <c r="J463" s="392">
        <f>IFERROR(UPPER(TRIM(B463))&amp;"|"&amp;UPPER(TRIM(C463))&amp;"|"&amp;UPPER(TRIM(D463)),"")</f>
        <v/>
      </c>
    </row>
    <row r="464" ht="15.75" customHeight="1" s="217">
      <c r="A464" s="397" t="n">
        <v>462</v>
      </c>
      <c r="B464" s="397" t="inlineStr">
        <is>
          <t>KH3281</t>
        </is>
      </c>
      <c r="C464" s="398" t="inlineStr">
        <is>
          <t>Anh Cường-Tiền Giang/ 0987.267.179</t>
        </is>
      </c>
      <c r="D464" s="397" t="inlineStr">
        <is>
          <t>0987.267.179</t>
        </is>
      </c>
      <c r="E464" s="399" t="n"/>
      <c r="F464" s="398" t="inlineStr">
        <is>
          <t>Cai Lậy-Tiền Giang</t>
        </is>
      </c>
      <c r="G464" s="397" t="inlineStr">
        <is>
          <t>TGIANG</t>
        </is>
      </c>
      <c r="H464" s="399" t="n"/>
      <c r="J464" s="392">
        <f>IFERROR(UPPER(TRIM(B464))&amp;"|"&amp;UPPER(TRIM(C464))&amp;"|"&amp;UPPER(TRIM(D464)),"")</f>
        <v/>
      </c>
    </row>
    <row r="465" ht="15.75" customHeight="1" s="217">
      <c r="A465" s="400" t="n">
        <v>463</v>
      </c>
      <c r="B465" s="400" t="inlineStr">
        <is>
          <t>KH3277</t>
        </is>
      </c>
      <c r="C465" s="401" t="inlineStr">
        <is>
          <t>Anh Vân-Bình Thuận / 0913.197.949</t>
        </is>
      </c>
      <c r="D465" s="400" t="inlineStr">
        <is>
          <t>0913.197.949</t>
        </is>
      </c>
      <c r="E465" s="402" t="n"/>
      <c r="F465" s="401" t="inlineStr">
        <is>
          <t>Bình Thuận</t>
        </is>
      </c>
      <c r="G465" s="400" t="inlineStr">
        <is>
          <t>BTHUAN</t>
        </is>
      </c>
      <c r="H465" s="402" t="n"/>
      <c r="J465" s="392">
        <f>IFERROR(UPPER(TRIM(B465))&amp;"|"&amp;UPPER(TRIM(C465))&amp;"|"&amp;UPPER(TRIM(D465)),"")</f>
        <v/>
      </c>
    </row>
    <row r="466" ht="15.75" customHeight="1" s="217">
      <c r="A466" s="397" t="n">
        <v>464</v>
      </c>
      <c r="B466" s="397" t="inlineStr">
        <is>
          <t>KH3278</t>
        </is>
      </c>
      <c r="C466" s="398" t="inlineStr">
        <is>
          <t>Xưởng Út Tý-Long An/ Anh Tý - 0913.160.450</t>
        </is>
      </c>
      <c r="D466" s="397" t="inlineStr">
        <is>
          <t>0913.160.450</t>
        </is>
      </c>
      <c r="E466" s="399" t="n"/>
      <c r="F466" s="398" t="inlineStr">
        <is>
          <t>Tân Hưng-Long An</t>
        </is>
      </c>
      <c r="G466" s="397" t="inlineStr">
        <is>
          <t>LA</t>
        </is>
      </c>
      <c r="H466" s="399" t="n"/>
      <c r="J466" s="392">
        <f>IFERROR(UPPER(TRIM(B466))&amp;"|"&amp;UPPER(TRIM(C466))&amp;"|"&amp;UPPER(TRIM(D466)),"")</f>
        <v/>
      </c>
    </row>
    <row r="467" ht="15.75" customHeight="1" s="217">
      <c r="A467" s="400" t="n">
        <v>465</v>
      </c>
      <c r="B467" s="400" t="inlineStr">
        <is>
          <t>FIRE</t>
        </is>
      </c>
      <c r="C467" s="401" t="inlineStr">
        <is>
          <t>FENGCHENG FIRE TURBOCHARGER MANUFACTURING CO., LTD</t>
        </is>
      </c>
      <c r="D467" s="402" t="n"/>
      <c r="E467" s="402" t="n"/>
      <c r="F467" s="401" t="inlineStr">
        <is>
          <t>No. 211, Group 1, Xijie Village, Fenghuang City District, Fengcheng City, Liaoning, China</t>
        </is>
      </c>
      <c r="G467" s="402" t="n"/>
      <c r="H467" s="402" t="n"/>
      <c r="J467" s="392">
        <f>IFERROR(UPPER(TRIM(B467))&amp;"|"&amp;UPPER(TRIM(C467))&amp;"|"&amp;UPPER(TRIM(D467)),"")</f>
        <v/>
      </c>
    </row>
    <row r="468" ht="15.75" customHeight="1" s="217">
      <c r="A468" s="397" t="n">
        <v>466</v>
      </c>
      <c r="B468" s="397" t="inlineStr">
        <is>
          <t>KH3274</t>
        </is>
      </c>
      <c r="C468" s="398" t="inlineStr">
        <is>
          <t>Công ty Phong Cửu-Đồng Nai/ A Tuấn -0916.683.717</t>
        </is>
      </c>
      <c r="D468" s="397" t="inlineStr">
        <is>
          <t>0916.683.717</t>
        </is>
      </c>
      <c r="E468" s="399" t="n"/>
      <c r="F468" s="398" t="inlineStr">
        <is>
          <t>15/19 , Ấp 4  , Xã Bàu Cạn, Long Thành, Đồng Nai</t>
        </is>
      </c>
      <c r="G468" s="397" t="inlineStr">
        <is>
          <t>ÐNAI</t>
        </is>
      </c>
      <c r="H468" s="399" t="n"/>
      <c r="J468" s="392">
        <f>IFERROR(UPPER(TRIM(B468))&amp;"|"&amp;UPPER(TRIM(C468))&amp;"|"&amp;UPPER(TRIM(D468)),"")</f>
        <v/>
      </c>
    </row>
    <row r="469" ht="15.75" customHeight="1" s="217">
      <c r="A469" s="400" t="n">
        <v>467</v>
      </c>
      <c r="B469" s="400" t="inlineStr">
        <is>
          <t>KH3275</t>
        </is>
      </c>
      <c r="C469" s="401" t="inlineStr">
        <is>
          <t>Cửa Hàng Hưởng Lợi-Kiên Giang/ 0973.735.735 - 0943.222.282</t>
        </is>
      </c>
      <c r="D469" s="400" t="inlineStr">
        <is>
          <t>0973.735.735 / 0943.222.282</t>
        </is>
      </c>
      <c r="E469" s="402" t="n"/>
      <c r="F469" s="401" t="inlineStr">
        <is>
          <t>Huyện An Biên-Kiên Giang</t>
        </is>
      </c>
      <c r="G469" s="400" t="inlineStr">
        <is>
          <t>KG</t>
        </is>
      </c>
      <c r="H469" s="402" t="n"/>
      <c r="J469" s="392">
        <f>IFERROR(UPPER(TRIM(B469))&amp;"|"&amp;UPPER(TRIM(C469))&amp;"|"&amp;UPPER(TRIM(D469)),"")</f>
        <v/>
      </c>
    </row>
    <row r="470" ht="15.75" customHeight="1" s="217">
      <c r="A470" s="397" t="n">
        <v>468</v>
      </c>
      <c r="B470" s="397" t="inlineStr">
        <is>
          <t>KH3276</t>
        </is>
      </c>
      <c r="C470" s="398" t="inlineStr">
        <is>
          <t>Xưởng Anh Dân-Hóc Môn/ 0974.927.902</t>
        </is>
      </c>
      <c r="D470" s="397" t="inlineStr">
        <is>
          <t>0974.927.902</t>
        </is>
      </c>
      <c r="E470" s="399" t="n"/>
      <c r="F470" s="398" t="inlineStr">
        <is>
          <t>24 Phạm Thị Dây - Hóc Môn-Sài Gòn</t>
        </is>
      </c>
      <c r="G470" s="397" t="inlineStr">
        <is>
          <t>SG/HCM</t>
        </is>
      </c>
      <c r="H470" s="399" t="n"/>
      <c r="J470" s="392">
        <f>IFERROR(UPPER(TRIM(B470))&amp;"|"&amp;UPPER(TRIM(C470))&amp;"|"&amp;UPPER(TRIM(D470)),"")</f>
        <v/>
      </c>
    </row>
    <row r="471" ht="15.75" customHeight="1" s="217">
      <c r="A471" s="400" t="n">
        <v>469</v>
      </c>
      <c r="B471" s="400" t="inlineStr">
        <is>
          <t>KH3273</t>
        </is>
      </c>
      <c r="C471" s="401" t="inlineStr">
        <is>
          <t>Chủ Máy Anh Bảo-Biên Hoà / 0973.122.545-0949.112.642</t>
        </is>
      </c>
      <c r="D471" s="400" t="inlineStr">
        <is>
          <t>0973.122.545-0949</t>
        </is>
      </c>
      <c r="E471" s="402" t="n"/>
      <c r="F471" s="401" t="inlineStr">
        <is>
          <t>Biên Hoà-Đồng Nai</t>
        </is>
      </c>
      <c r="G471" s="400" t="inlineStr">
        <is>
          <t>ÐNAI</t>
        </is>
      </c>
      <c r="H471" s="402" t="n"/>
      <c r="J471" s="392">
        <f>IFERROR(UPPER(TRIM(B471))&amp;"|"&amp;UPPER(TRIM(C471))&amp;"|"&amp;UPPER(TRIM(D471)),"")</f>
        <v/>
      </c>
    </row>
    <row r="472" ht="15.75" customHeight="1" s="217">
      <c r="A472" s="397" t="n">
        <v>470</v>
      </c>
      <c r="B472" s="397" t="inlineStr">
        <is>
          <t>KH3272</t>
        </is>
      </c>
      <c r="C472" s="398" t="inlineStr">
        <is>
          <t>Tiệm két nước Anh Thi-Phú Yên/ 0974.646.885</t>
        </is>
      </c>
      <c r="D472" s="397" t="inlineStr">
        <is>
          <t>0974.646.885</t>
        </is>
      </c>
      <c r="E472" s="399" t="n"/>
      <c r="F472" s="398" t="inlineStr">
        <is>
          <t>Km8,Thôn Chính Nghĩa ,Xã An Phú,TP Tuy Hoà, Phú Yên</t>
        </is>
      </c>
      <c r="G472" s="397" t="inlineStr">
        <is>
          <t>PYEN</t>
        </is>
      </c>
      <c r="H472" s="399" t="n"/>
      <c r="J472" s="392">
        <f>IFERROR(UPPER(TRIM(B472))&amp;"|"&amp;UPPER(TRIM(C472))&amp;"|"&amp;UPPER(TRIM(D472)),"")</f>
        <v/>
      </c>
    </row>
    <row r="473" ht="15.75" customHeight="1" s="217">
      <c r="A473" s="400" t="n">
        <v>471</v>
      </c>
      <c r="B473" s="400" t="inlineStr">
        <is>
          <t>KH3271</t>
        </is>
      </c>
      <c r="C473" s="401" t="inlineStr">
        <is>
          <t>Phụ Tùng Cơ Giới Thuý Nhi-Hóc Môn/ 0933.715.331</t>
        </is>
      </c>
      <c r="D473" s="400" t="inlineStr">
        <is>
          <t>0933.715.331</t>
        </is>
      </c>
      <c r="E473" s="402" t="n"/>
      <c r="F473" s="401" t="inlineStr">
        <is>
          <t>Âp Tiền Lân, Bà Điểm, Hóc Môn,HCM</t>
        </is>
      </c>
      <c r="G473" s="400" t="inlineStr">
        <is>
          <t>SG/HCM</t>
        </is>
      </c>
      <c r="H473" s="402" t="n"/>
      <c r="J473" s="392">
        <f>IFERROR(UPPER(TRIM(B473))&amp;"|"&amp;UPPER(TRIM(C473))&amp;"|"&amp;UPPER(TRIM(D473)),"")</f>
        <v/>
      </c>
    </row>
    <row r="474" ht="15.75" customHeight="1" s="217">
      <c r="A474" s="397" t="n">
        <v>472</v>
      </c>
      <c r="B474" s="397" t="inlineStr">
        <is>
          <t>KH3270</t>
        </is>
      </c>
      <c r="C474" s="398" t="inlineStr">
        <is>
          <t>Xưởng Phi Long-Biên Hoà/ A Long- 0917.892.087</t>
        </is>
      </c>
      <c r="D474" s="397" t="inlineStr">
        <is>
          <t>0917.892.087</t>
        </is>
      </c>
      <c r="E474" s="399" t="n"/>
      <c r="F474" s="398" t="inlineStr">
        <is>
          <t>Tổ 8, Đường Võ Nguyên Giáp,Tân Cang,Phước Tân, TP .Biên Hòa, Đồng Nai</t>
        </is>
      </c>
      <c r="G474" s="397" t="inlineStr">
        <is>
          <t>ÐNAI</t>
        </is>
      </c>
      <c r="H474" s="399" t="n"/>
      <c r="J474" s="392">
        <f>IFERROR(UPPER(TRIM(B474))&amp;"|"&amp;UPPER(TRIM(C474))&amp;"|"&amp;UPPER(TRIM(D474)),"")</f>
        <v/>
      </c>
    </row>
    <row r="475" ht="15.75" customHeight="1" s="217">
      <c r="A475" s="400" t="n">
        <v>473</v>
      </c>
      <c r="B475" s="400" t="inlineStr">
        <is>
          <t>KH3269</t>
        </is>
      </c>
      <c r="C475" s="401" t="inlineStr">
        <is>
          <t>Xưởng Anh Toàn - Quận 12/ Anh Toàn: 0918.537.353</t>
        </is>
      </c>
      <c r="D475" s="400" t="inlineStr">
        <is>
          <t>0918.537.353</t>
        </is>
      </c>
      <c r="E475" s="402" t="n"/>
      <c r="F475" s="401" t="inlineStr">
        <is>
          <t>Quận 12 -Sài Gòn</t>
        </is>
      </c>
      <c r="G475" s="400" t="inlineStr">
        <is>
          <t>SG/HCM</t>
        </is>
      </c>
      <c r="H475" s="402" t="n"/>
      <c r="J475" s="392">
        <f>IFERROR(UPPER(TRIM(B475))&amp;"|"&amp;UPPER(TRIM(C475))&amp;"|"&amp;UPPER(TRIM(D475)),"")</f>
        <v/>
      </c>
    </row>
    <row r="476" ht="15.75" customHeight="1" s="217">
      <c r="A476" s="397" t="n">
        <v>474</v>
      </c>
      <c r="B476" s="397" t="inlineStr">
        <is>
          <t>KH3268</t>
        </is>
      </c>
      <c r="C476" s="398" t="inlineStr">
        <is>
          <t>Anh Tuấn-Dĩ An -Bình Dương/ 0336.022.238</t>
        </is>
      </c>
      <c r="D476" s="397" t="inlineStr">
        <is>
          <t>0336.022.238</t>
        </is>
      </c>
      <c r="E476" s="399" t="n"/>
      <c r="F476" s="398" t="inlineStr">
        <is>
          <t>19 Hồ Đắc Di, P Bình An,Dĩ An, Bình Dương</t>
        </is>
      </c>
      <c r="G476" s="397" t="inlineStr">
        <is>
          <t>BDUONG</t>
        </is>
      </c>
      <c r="H476" s="399" t="n"/>
      <c r="J476" s="392">
        <f>IFERROR(UPPER(TRIM(B476))&amp;"|"&amp;UPPER(TRIM(C476))&amp;"|"&amp;UPPER(TRIM(D476)),"")</f>
        <v/>
      </c>
    </row>
    <row r="477" ht="15.75" customHeight="1" s="217">
      <c r="A477" s="400" t="n">
        <v>475</v>
      </c>
      <c r="B477" s="400" t="inlineStr">
        <is>
          <t>KH3266</t>
        </is>
      </c>
      <c r="C477" s="401" t="inlineStr">
        <is>
          <t>Cửa hàng Nhựt Hải-Quảng Ngãi / 0903.574.727</t>
        </is>
      </c>
      <c r="D477" s="400" t="inlineStr">
        <is>
          <t>0903.574.727</t>
        </is>
      </c>
      <c r="E477" s="402" t="n"/>
      <c r="F477" s="401" t="inlineStr">
        <is>
          <t>288 Võ Nguyên Giáp, Phường Trương Quang Trọng , TP Quảng Ngãi</t>
        </is>
      </c>
      <c r="G477" s="400" t="inlineStr">
        <is>
          <t>QUNGAI</t>
        </is>
      </c>
      <c r="H477" s="402" t="n"/>
      <c r="J477" s="392">
        <f>IFERROR(UPPER(TRIM(B477))&amp;"|"&amp;UPPER(TRIM(C477))&amp;"|"&amp;UPPER(TRIM(D477)),"")</f>
        <v/>
      </c>
    </row>
    <row r="478" ht="15.75" customHeight="1" s="217">
      <c r="A478" s="397" t="n">
        <v>476</v>
      </c>
      <c r="B478" s="397" t="inlineStr">
        <is>
          <t>KH3267</t>
        </is>
      </c>
      <c r="C478" s="398" t="inlineStr">
        <is>
          <t>Turbo Biba- Bình Dương / 0768.879.779</t>
        </is>
      </c>
      <c r="D478" s="397" t="inlineStr">
        <is>
          <t>0768.879.779</t>
        </is>
      </c>
      <c r="E478" s="399" t="n"/>
      <c r="F478" s="398" t="inlineStr">
        <is>
          <t>Nguyễn Văn Thành, KP1, P.Tân Định, TX. Bến Cát, Bình Dương</t>
        </is>
      </c>
      <c r="G478" s="397" t="inlineStr">
        <is>
          <t>BDUONG</t>
        </is>
      </c>
      <c r="H478" s="399" t="n"/>
      <c r="J478" s="392">
        <f>IFERROR(UPPER(TRIM(B478))&amp;"|"&amp;UPPER(TRIM(C478))&amp;"|"&amp;UPPER(TRIM(D478)),"")</f>
        <v/>
      </c>
    </row>
    <row r="479" ht="15.75" customHeight="1" s="217">
      <c r="A479" s="400" t="n">
        <v>477</v>
      </c>
      <c r="B479" s="400" t="inlineStr">
        <is>
          <t>KH3263</t>
        </is>
      </c>
      <c r="C479" s="401" t="inlineStr">
        <is>
          <t>Công ty TNHH Đầu tư XD &amp; TM An Phú Khang/ Anh Vạn 0964.885.148</t>
        </is>
      </c>
      <c r="D479" s="400" t="inlineStr">
        <is>
          <t>0964.885.148</t>
        </is>
      </c>
      <c r="E479" s="402" t="n"/>
      <c r="F479" s="401" t="inlineStr">
        <is>
          <t>Tổ dân phố 12, TT Vạn Giã, Vạn Ninh, Khánh Hòa</t>
        </is>
      </c>
      <c r="G479" s="400" t="inlineStr">
        <is>
          <t>NTRANG</t>
        </is>
      </c>
      <c r="H479" s="402" t="n"/>
      <c r="J479" s="392">
        <f>IFERROR(UPPER(TRIM(B479))&amp;"|"&amp;UPPER(TRIM(C479))&amp;"|"&amp;UPPER(TRIM(D479)),"")</f>
        <v/>
      </c>
    </row>
    <row r="480" ht="15.75" customHeight="1" s="217">
      <c r="A480" s="397" t="n">
        <v>478</v>
      </c>
      <c r="B480" s="397" t="inlineStr">
        <is>
          <t>KH3264</t>
        </is>
      </c>
      <c r="C480" s="398" t="inlineStr">
        <is>
          <t>Xưởng Anh Hậu- Tây Ninh / 0931.898.457</t>
        </is>
      </c>
      <c r="D480" s="397" t="inlineStr">
        <is>
          <t>0931.898.457</t>
        </is>
      </c>
      <c r="E480" s="399" t="n"/>
      <c r="F480" s="398" t="inlineStr">
        <is>
          <t>Hiệp Ninh,TP Tây Ninh</t>
        </is>
      </c>
      <c r="G480" s="397" t="inlineStr">
        <is>
          <t>TNINH</t>
        </is>
      </c>
      <c r="H480" s="399" t="n"/>
      <c r="J480" s="392">
        <f>IFERROR(UPPER(TRIM(B480))&amp;"|"&amp;UPPER(TRIM(C480))&amp;"|"&amp;UPPER(TRIM(D480)),"")</f>
        <v/>
      </c>
    </row>
    <row r="481" ht="15.75" customHeight="1" s="217">
      <c r="A481" s="400" t="n">
        <v>479</v>
      </c>
      <c r="B481" s="400" t="inlineStr">
        <is>
          <t>KH3265</t>
        </is>
      </c>
      <c r="C481" s="401" t="inlineStr">
        <is>
          <t>CÔNG TY CỔ PHẦN TẬP ĐOÀN ĐẦU TƯ – THƯƠNG MẠI VÀ XÂY DỰNG VÂN KHÁNH-Bình Dương/ 0274 .399 .0303</t>
        </is>
      </c>
      <c r="D481" s="402" t="n"/>
      <c r="E481" s="402" t="n"/>
      <c r="F481" s="401" t="inlineStr">
        <is>
          <t>Số 68 Đường dẫn Cầu Phú Long, Khu phố Hòa Long, Phường Lái Thiêu, Tp. Thuận An, tỉnh Bình Dương</t>
        </is>
      </c>
      <c r="G481" s="400" t="inlineStr">
        <is>
          <t>BDUONG</t>
        </is>
      </c>
      <c r="H481" s="402" t="n"/>
      <c r="J481" s="392">
        <f>IFERROR(UPPER(TRIM(B481))&amp;"|"&amp;UPPER(TRIM(C481))&amp;"|"&amp;UPPER(TRIM(D481)),"")</f>
        <v/>
      </c>
    </row>
    <row r="482" ht="15.75" customHeight="1" s="217">
      <c r="A482" s="397" t="n">
        <v>480</v>
      </c>
      <c r="B482" s="397" t="inlineStr">
        <is>
          <t>KH3262</t>
        </is>
      </c>
      <c r="C482" s="398" t="inlineStr">
        <is>
          <t>Anh Cường(Tú)-Heo Béc Turbo/ 0903.964.373</t>
        </is>
      </c>
      <c r="D482" s="397" t="inlineStr">
        <is>
          <t>0903.964.373</t>
        </is>
      </c>
      <c r="E482" s="399" t="n"/>
      <c r="F482" s="398" t="inlineStr">
        <is>
          <t>480 QL13,Hiệp Bình Phước,Thủ Đức,HCM</t>
        </is>
      </c>
      <c r="G482" s="397" t="inlineStr">
        <is>
          <t>SG/HCM</t>
        </is>
      </c>
      <c r="H482" s="399" t="n"/>
      <c r="J482" s="392">
        <f>IFERROR(UPPER(TRIM(B482))&amp;"|"&amp;UPPER(TRIM(C482))&amp;"|"&amp;UPPER(TRIM(D482)),"")</f>
        <v/>
      </c>
    </row>
    <row r="483" ht="15.75" customHeight="1" s="217">
      <c r="A483" s="400" t="n">
        <v>481</v>
      </c>
      <c r="B483" s="400" t="inlineStr">
        <is>
          <t>KH3261</t>
        </is>
      </c>
      <c r="C483" s="401" t="inlineStr">
        <is>
          <t>Cơ khí Định-Đak Lak/ 0912.148.585</t>
        </is>
      </c>
      <c r="D483" s="400" t="inlineStr">
        <is>
          <t>0912.148.585</t>
        </is>
      </c>
      <c r="E483" s="402" t="n"/>
      <c r="F483" s="401" t="inlineStr">
        <is>
          <t>63 Chu Văn An ,P. Tân An ,TP. Buôn Mê Thuột, T.Đak Lak</t>
        </is>
      </c>
      <c r="G483" s="400" t="inlineStr">
        <is>
          <t>ÐL</t>
        </is>
      </c>
      <c r="H483" s="402" t="n"/>
      <c r="J483" s="392">
        <f>IFERROR(UPPER(TRIM(B483))&amp;"|"&amp;UPPER(TRIM(C483))&amp;"|"&amp;UPPER(TRIM(D483)),"")</f>
        <v/>
      </c>
    </row>
    <row r="484" ht="15.75" customHeight="1" s="217">
      <c r="A484" s="397" t="n">
        <v>482</v>
      </c>
      <c r="B484" s="397" t="inlineStr">
        <is>
          <t>KH3260</t>
        </is>
      </c>
      <c r="C484" s="398" t="inlineStr">
        <is>
          <t>Anh Lợi-Tân Vạn- Bình Dương/ 0375.049.789</t>
        </is>
      </c>
      <c r="D484" s="397" t="inlineStr">
        <is>
          <t>0375.049.789</t>
        </is>
      </c>
      <c r="E484" s="399" t="n"/>
      <c r="F484" s="398" t="inlineStr">
        <is>
          <t>12 Đ. Tân Vạn - Mỹ Phước, Tân Đông Hiệp, Dĩ An, Bình Dương</t>
        </is>
      </c>
      <c r="G484" s="397" t="inlineStr">
        <is>
          <t>BDUONG</t>
        </is>
      </c>
      <c r="H484" s="399" t="n"/>
      <c r="J484" s="392">
        <f>IFERROR(UPPER(TRIM(B484))&amp;"|"&amp;UPPER(TRIM(C484))&amp;"|"&amp;UPPER(TRIM(D484)),"")</f>
        <v/>
      </c>
    </row>
    <row r="485" ht="15.75" customHeight="1" s="217">
      <c r="A485" s="400" t="n">
        <v>483</v>
      </c>
      <c r="B485" s="400" t="inlineStr">
        <is>
          <t>KH3259</t>
        </is>
      </c>
      <c r="C485" s="401" t="inlineStr">
        <is>
          <t>Xưởng Thực Hoàng-TP Buôn Mê Thuột/ 0354.390.809</t>
        </is>
      </c>
      <c r="D485" s="400" t="inlineStr">
        <is>
          <t>0354.390.809</t>
        </is>
      </c>
      <c r="E485" s="402" t="n"/>
      <c r="F485" s="401" t="inlineStr">
        <is>
          <t>TP Buôn Mê Thuột-Đak Lak</t>
        </is>
      </c>
      <c r="G485" s="400" t="inlineStr">
        <is>
          <t>ÐL</t>
        </is>
      </c>
      <c r="H485" s="402" t="n"/>
      <c r="J485" s="392">
        <f>IFERROR(UPPER(TRIM(B485))&amp;"|"&amp;UPPER(TRIM(C485))&amp;"|"&amp;UPPER(TRIM(D485)),"")</f>
        <v/>
      </c>
    </row>
    <row r="486" ht="15.75" customHeight="1" s="217">
      <c r="A486" s="397" t="n">
        <v>484</v>
      </c>
      <c r="B486" s="397" t="inlineStr">
        <is>
          <t>KH3258</t>
        </is>
      </c>
      <c r="C486" s="398" t="inlineStr">
        <is>
          <t>Công Ty  TNHH Thái Sơn Minh-Kiên Giang/ Anh Nhật - 0965.006.000</t>
        </is>
      </c>
      <c r="D486" s="397" t="inlineStr">
        <is>
          <t>0965.006.000</t>
        </is>
      </c>
      <c r="E486" s="399" t="n"/>
      <c r="F486" s="398" t="inlineStr">
        <is>
          <t>Tổ 4 Ấp rẫy mới, Xã Bình An,Huyện Kiên Lương,Tỉnh kiên Giang</t>
        </is>
      </c>
      <c r="G486" s="397" t="inlineStr">
        <is>
          <t>KG</t>
        </is>
      </c>
      <c r="H486" s="399" t="n"/>
      <c r="J486" s="392">
        <f>IFERROR(UPPER(TRIM(B486))&amp;"|"&amp;UPPER(TRIM(C486))&amp;"|"&amp;UPPER(TRIM(D486)),"")</f>
        <v/>
      </c>
    </row>
    <row r="487" ht="15.75" customHeight="1" s="217">
      <c r="A487" s="400" t="n">
        <v>485</v>
      </c>
      <c r="B487" s="400" t="inlineStr">
        <is>
          <t>KH3257</t>
        </is>
      </c>
      <c r="C487" s="401" t="inlineStr">
        <is>
          <t>Phụ tùng ô tô An Sương-SG / 0903.492.924</t>
        </is>
      </c>
      <c r="D487" s="400" t="inlineStr">
        <is>
          <t>0903.492.924</t>
        </is>
      </c>
      <c r="E487" s="402" t="n"/>
      <c r="F487" s="401" t="inlineStr">
        <is>
          <t>2450 QL 1A P. Trung Mỹ Tây, Q12, TP HCM</t>
        </is>
      </c>
      <c r="G487" s="402" t="n"/>
      <c r="H487" s="402" t="n"/>
      <c r="J487" s="392">
        <f>IFERROR(UPPER(TRIM(B487))&amp;"|"&amp;UPPER(TRIM(C487))&amp;"|"&amp;UPPER(TRIM(D487)),"")</f>
        <v/>
      </c>
    </row>
    <row r="488" ht="15.75" customHeight="1" s="217">
      <c r="A488" s="397" t="n">
        <v>486</v>
      </c>
      <c r="B488" s="397" t="inlineStr">
        <is>
          <t>KH3256</t>
        </is>
      </c>
      <c r="C488" s="398" t="inlineStr">
        <is>
          <t>Cửa hàng Phong Ka - Lai Châu/ Chị Trang: 0981.136.456</t>
        </is>
      </c>
      <c r="D488" s="397" t="inlineStr">
        <is>
          <t>0981.136.456</t>
        </is>
      </c>
      <c r="E488" s="399" t="n"/>
      <c r="F488" s="398" t="inlineStr">
        <is>
          <t>Lai Châu</t>
        </is>
      </c>
      <c r="G488" s="397" t="inlineStr">
        <is>
          <t>HN</t>
        </is>
      </c>
      <c r="H488" s="399" t="n"/>
      <c r="J488" s="392">
        <f>IFERROR(UPPER(TRIM(B488))&amp;"|"&amp;UPPER(TRIM(C488))&amp;"|"&amp;UPPER(TRIM(D488)),"")</f>
        <v/>
      </c>
    </row>
    <row r="489" ht="15.75" customHeight="1" s="217">
      <c r="A489" s="400" t="n">
        <v>487</v>
      </c>
      <c r="B489" s="400" t="inlineStr">
        <is>
          <t>KH3255</t>
        </is>
      </c>
      <c r="C489" s="401" t="inlineStr">
        <is>
          <t>Phụ tùng ÔTô Phước Tiến -SG/ 0938.260.679</t>
        </is>
      </c>
      <c r="D489" s="400" t="inlineStr">
        <is>
          <t>0938.260.679</t>
        </is>
      </c>
      <c r="E489" s="402" t="n"/>
      <c r="F489" s="401" t="inlineStr">
        <is>
          <t>990 QL 1A P. Thạnh xuân Q.12,TP.HCM</t>
        </is>
      </c>
      <c r="G489" s="400" t="inlineStr">
        <is>
          <t>SG/HCM</t>
        </is>
      </c>
      <c r="H489" s="402" t="n"/>
      <c r="J489" s="392">
        <f>IFERROR(UPPER(TRIM(B489))&amp;"|"&amp;UPPER(TRIM(C489))&amp;"|"&amp;UPPER(TRIM(D489)),"")</f>
        <v/>
      </c>
    </row>
    <row r="490" ht="15.75" customHeight="1" s="217">
      <c r="A490" s="397" t="n">
        <v>488</v>
      </c>
      <c r="B490" s="397" t="inlineStr">
        <is>
          <t>KH3254</t>
        </is>
      </c>
      <c r="C490" s="398" t="inlineStr">
        <is>
          <t>Phụ Tùng Minh Thành-Quận 5 / A Thành- 0962.057.326</t>
        </is>
      </c>
      <c r="D490" s="397" t="inlineStr">
        <is>
          <t>0962.057.326</t>
        </is>
      </c>
      <c r="E490" s="399" t="n"/>
      <c r="F490" s="398" t="inlineStr">
        <is>
          <t>51/19 Nguyễn Trãi, Phường 2, Quận 5, TP.HCM</t>
        </is>
      </c>
      <c r="G490" s="397" t="inlineStr">
        <is>
          <t>SG/HCM</t>
        </is>
      </c>
      <c r="H490" s="399" t="n"/>
      <c r="J490" s="392">
        <f>IFERROR(UPPER(TRIM(B490))&amp;"|"&amp;UPPER(TRIM(C490))&amp;"|"&amp;UPPER(TRIM(D490)),"")</f>
        <v/>
      </c>
    </row>
    <row r="491" ht="15.75" customHeight="1" s="217">
      <c r="A491" s="400" t="n">
        <v>489</v>
      </c>
      <c r="B491" s="400" t="inlineStr">
        <is>
          <t>KH3253</t>
        </is>
      </c>
      <c r="C491" s="401" t="inlineStr">
        <is>
          <t>Chủ Máy -Anh Phương-TP Tây Ninh / 0911.519.458</t>
        </is>
      </c>
      <c r="D491" s="400" t="inlineStr">
        <is>
          <t>0911.519.458</t>
        </is>
      </c>
      <c r="E491" s="402" t="n"/>
      <c r="F491" s="401" t="inlineStr">
        <is>
          <t>TP Tây Ninh</t>
        </is>
      </c>
      <c r="G491" s="400" t="inlineStr">
        <is>
          <t>TNINH</t>
        </is>
      </c>
      <c r="H491" s="402" t="n"/>
      <c r="J491" s="392">
        <f>IFERROR(UPPER(TRIM(B491))&amp;"|"&amp;UPPER(TRIM(C491))&amp;"|"&amp;UPPER(TRIM(D491)),"")</f>
        <v/>
      </c>
    </row>
    <row r="492" ht="15.75" customHeight="1" s="217">
      <c r="A492" s="397" t="n">
        <v>490</v>
      </c>
      <c r="B492" s="397" t="inlineStr">
        <is>
          <t>KH3252</t>
        </is>
      </c>
      <c r="C492" s="398" t="inlineStr">
        <is>
          <t>Bơm béc dầu điện tử Phong Tâm-SG / 0984.198.127</t>
        </is>
      </c>
      <c r="D492" s="397" t="inlineStr">
        <is>
          <t>0984.198.127</t>
        </is>
      </c>
      <c r="E492" s="399" t="n"/>
      <c r="F492" s="398" t="inlineStr">
        <is>
          <t>52/12 QL1A, P. Tân Thới Nhất, Q12, TP HCM</t>
        </is>
      </c>
      <c r="G492" s="397" t="inlineStr">
        <is>
          <t>SG/HCM</t>
        </is>
      </c>
      <c r="H492" s="399" t="n"/>
      <c r="J492" s="392">
        <f>IFERROR(UPPER(TRIM(B492))&amp;"|"&amp;UPPER(TRIM(C492))&amp;"|"&amp;UPPER(TRIM(D492)),"")</f>
        <v/>
      </c>
    </row>
    <row r="493" ht="15.75" customHeight="1" s="217">
      <c r="A493" s="400" t="n">
        <v>491</v>
      </c>
      <c r="B493" s="400" t="inlineStr">
        <is>
          <t>KH3251</t>
        </is>
      </c>
      <c r="C493" s="401" t="inlineStr">
        <is>
          <t>Két Nước Thế Minh-Hậu Giang / 0766.855.899</t>
        </is>
      </c>
      <c r="D493" s="400" t="inlineStr">
        <is>
          <t>0766.855.899</t>
        </is>
      </c>
      <c r="E493" s="402" t="n"/>
      <c r="F493" s="401" t="inlineStr">
        <is>
          <t>131 Đường 3 Tháng 2 -Khu vực 2 -Phường 5 -Thành Phố Vị Thanh -Tỉnh Hậu Giang</t>
        </is>
      </c>
      <c r="G493" s="400" t="inlineStr">
        <is>
          <t>HG</t>
        </is>
      </c>
      <c r="H493" s="402" t="n"/>
      <c r="J493" s="392">
        <f>IFERROR(UPPER(TRIM(B493))&amp;"|"&amp;UPPER(TRIM(C493))&amp;"|"&amp;UPPER(TRIM(D493)),"")</f>
        <v/>
      </c>
    </row>
    <row r="494" ht="15.75" customHeight="1" s="217">
      <c r="A494" s="397" t="n">
        <v>492</v>
      </c>
      <c r="B494" s="397" t="inlineStr">
        <is>
          <t>KH3250</t>
        </is>
      </c>
      <c r="C494" s="398" t="inlineStr">
        <is>
          <t>Xưởng anh Kha -Vũng Tàu / 0975.725.239</t>
        </is>
      </c>
      <c r="D494" s="397" t="inlineStr">
        <is>
          <t>0975.725.239</t>
        </is>
      </c>
      <c r="E494" s="399" t="n"/>
      <c r="F494" s="398" t="inlineStr">
        <is>
          <t>Bến xe  Long Hải-Vũng Tàu</t>
        </is>
      </c>
      <c r="G494" s="397" t="inlineStr">
        <is>
          <t>BRVT</t>
        </is>
      </c>
      <c r="H494" s="399" t="n"/>
      <c r="J494" s="392">
        <f>IFERROR(UPPER(TRIM(B494))&amp;"|"&amp;UPPER(TRIM(C494))&amp;"|"&amp;UPPER(TRIM(D494)),"")</f>
        <v/>
      </c>
    </row>
    <row r="495" ht="15.75" customHeight="1" s="217">
      <c r="A495" s="400" t="n">
        <v>493</v>
      </c>
      <c r="B495" s="400" t="inlineStr">
        <is>
          <t>KH3249</t>
        </is>
      </c>
      <c r="C495" s="401" t="inlineStr">
        <is>
          <t>Cửa hàng Phụ Tùng Ôtô Mỹ Đạt-Phú Quốc / Anh Kha - 0706.605.174</t>
        </is>
      </c>
      <c r="D495" s="400" t="inlineStr">
        <is>
          <t>0706.605.174</t>
        </is>
      </c>
      <c r="E495" s="402" t="n"/>
      <c r="F495" s="401" t="inlineStr">
        <is>
          <t>140 Lý Thường Kiệt  ,P Dương Đông,   TP Phú Quốc, Kiên Giang</t>
        </is>
      </c>
      <c r="G495" s="400" t="inlineStr">
        <is>
          <t>KG</t>
        </is>
      </c>
      <c r="H495" s="402" t="n"/>
      <c r="J495" s="392">
        <f>IFERROR(UPPER(TRIM(B495))&amp;"|"&amp;UPPER(TRIM(C495))&amp;"|"&amp;UPPER(TRIM(D495)),"")</f>
        <v/>
      </c>
    </row>
    <row r="496" ht="15.75" customHeight="1" s="217">
      <c r="A496" s="397" t="n">
        <v>494</v>
      </c>
      <c r="B496" s="397" t="inlineStr">
        <is>
          <t>KH3248</t>
        </is>
      </c>
      <c r="C496" s="398" t="inlineStr">
        <is>
          <t>Cửa hàng Cơ Giới Tài Lộc - Bình Dương / 0946.709.923 - 0835.341.818</t>
        </is>
      </c>
      <c r="D496" s="397" t="inlineStr">
        <is>
          <t>0946.709.923 / 0835.341.818</t>
        </is>
      </c>
      <c r="E496" s="399" t="n"/>
      <c r="F496" s="398" t="inlineStr">
        <is>
          <t>81 Xa Lộ Hà Nội-Đông Hòa- Dĩ An-Bình Dương</t>
        </is>
      </c>
      <c r="G496" s="397" t="inlineStr">
        <is>
          <t>BDUONG</t>
        </is>
      </c>
      <c r="H496" s="399" t="n"/>
      <c r="J496" s="392">
        <f>IFERROR(UPPER(TRIM(B496))&amp;"|"&amp;UPPER(TRIM(C496))&amp;"|"&amp;UPPER(TRIM(D496)),"")</f>
        <v/>
      </c>
    </row>
    <row r="497" ht="15.75" customHeight="1" s="217">
      <c r="A497" s="400" t="n">
        <v>495</v>
      </c>
      <c r="B497" s="400" t="inlineStr">
        <is>
          <t>KH3247</t>
        </is>
      </c>
      <c r="C497" s="401" t="inlineStr">
        <is>
          <t>Cửa hàng Phụ Tùng Ô Tô Khánh Linh - BRVT / 0988.376.441</t>
        </is>
      </c>
      <c r="D497" s="400" t="inlineStr">
        <is>
          <t>0988.376.441</t>
        </is>
      </c>
      <c r="E497" s="402" t="n"/>
      <c r="F497" s="401" t="inlineStr">
        <is>
          <t>Tổ 1 , KP Phước Lộc, P.Tân Phước, TX. Phú Mỹ, BRVT</t>
        </is>
      </c>
      <c r="G497" s="400" t="inlineStr">
        <is>
          <t>BRVT</t>
        </is>
      </c>
      <c r="H497" s="402" t="n"/>
      <c r="J497" s="392">
        <f>IFERROR(UPPER(TRIM(B497))&amp;"|"&amp;UPPER(TRIM(C497))&amp;"|"&amp;UPPER(TRIM(D497)),"")</f>
        <v/>
      </c>
    </row>
    <row r="498" ht="15.75" customHeight="1" s="217">
      <c r="A498" s="397" t="n">
        <v>496</v>
      </c>
      <c r="B498" s="397" t="inlineStr">
        <is>
          <t>KH3246</t>
        </is>
      </c>
      <c r="C498" s="398" t="inlineStr">
        <is>
          <t>Xưởng Anh Huy - Bù Đăng / 0382.220.975</t>
        </is>
      </c>
      <c r="D498" s="397" t="inlineStr">
        <is>
          <t>0382.220.975</t>
        </is>
      </c>
      <c r="E498" s="399" t="n"/>
      <c r="F498" s="398" t="inlineStr">
        <is>
          <t>Đặc Nhau - Bù Đăng - Bình Phước</t>
        </is>
      </c>
      <c r="G498" s="397" t="inlineStr">
        <is>
          <t>BP</t>
        </is>
      </c>
      <c r="H498" s="399" t="n"/>
      <c r="J498" s="392">
        <f>IFERROR(UPPER(TRIM(B498))&amp;"|"&amp;UPPER(TRIM(C498))&amp;"|"&amp;UPPER(TRIM(D498)),"")</f>
        <v/>
      </c>
    </row>
    <row r="499" ht="15.75" customHeight="1" s="217">
      <c r="A499" s="400" t="n">
        <v>497</v>
      </c>
      <c r="B499" s="400" t="inlineStr">
        <is>
          <t>KH3244</t>
        </is>
      </c>
      <c r="C499" s="401" t="inlineStr">
        <is>
          <t>Anh Duy-Nha Trang / 0906.430.881</t>
        </is>
      </c>
      <c r="D499" s="400" t="inlineStr">
        <is>
          <t>0906.430.881</t>
        </is>
      </c>
      <c r="E499" s="402" t="n"/>
      <c r="F499" s="401" t="inlineStr">
        <is>
          <t>Nha Trang-Khánh Hoà</t>
        </is>
      </c>
      <c r="G499" s="400" t="inlineStr">
        <is>
          <t>NTRANG</t>
        </is>
      </c>
      <c r="H499" s="402" t="n"/>
      <c r="J499" s="392">
        <f>IFERROR(UPPER(TRIM(B499))&amp;"|"&amp;UPPER(TRIM(C499))&amp;"|"&amp;UPPER(TRIM(D499)),"")</f>
        <v/>
      </c>
    </row>
    <row r="500" ht="15.75" customHeight="1" s="217">
      <c r="A500" s="397" t="n">
        <v>498</v>
      </c>
      <c r="B500" s="397" t="inlineStr">
        <is>
          <t>KH3245</t>
        </is>
      </c>
      <c r="C500" s="398" t="inlineStr">
        <is>
          <t>Anh Huy( Két nước) -Sài Gòn/ 0918.730.178</t>
        </is>
      </c>
      <c r="D500" s="397" t="inlineStr">
        <is>
          <t>0918.730.178</t>
        </is>
      </c>
      <c r="E500" s="399" t="n"/>
      <c r="F500" s="398" t="inlineStr">
        <is>
          <t>59/19 Hiệp Bình, P Hiệp Bình Phước - TP Thủ Đức-HCM</t>
        </is>
      </c>
      <c r="G500" s="397" t="inlineStr">
        <is>
          <t>SG/HCM</t>
        </is>
      </c>
      <c r="H500" s="399" t="n"/>
      <c r="J500" s="392">
        <f>IFERROR(UPPER(TRIM(B500))&amp;"|"&amp;UPPER(TRIM(C500))&amp;"|"&amp;UPPER(TRIM(D500)),"")</f>
        <v/>
      </c>
    </row>
    <row r="501" ht="15.75" customHeight="1" s="217">
      <c r="A501" s="400" t="n">
        <v>499</v>
      </c>
      <c r="B501" s="400" t="inlineStr">
        <is>
          <t>KH3243</t>
        </is>
      </c>
      <c r="C501" s="401" t="inlineStr">
        <is>
          <t>Anh Đoàn  ( Chuyên Két nước)-Bạc Liêu / 0916.617.007</t>
        </is>
      </c>
      <c r="D501" s="400" t="inlineStr">
        <is>
          <t>0916.617.007</t>
        </is>
      </c>
      <c r="E501" s="402" t="n"/>
      <c r="F501" s="401" t="inlineStr">
        <is>
          <t>224 đường 23/8, Phường 8, Thành Phố Bạc Liêu</t>
        </is>
      </c>
      <c r="G501" s="400" t="inlineStr">
        <is>
          <t>BLIEU</t>
        </is>
      </c>
      <c r="H501" s="402" t="n"/>
      <c r="J501" s="392">
        <f>IFERROR(UPPER(TRIM(B501))&amp;"|"&amp;UPPER(TRIM(C501))&amp;"|"&amp;UPPER(TRIM(D501)),"")</f>
        <v/>
      </c>
    </row>
    <row r="502" ht="15.75" customHeight="1" s="217">
      <c r="A502" s="397" t="n">
        <v>500</v>
      </c>
      <c r="B502" s="397" t="inlineStr">
        <is>
          <t>KH3242</t>
        </is>
      </c>
      <c r="C502" s="398" t="inlineStr">
        <is>
          <t>Cơ giới Đức Anh- Hà Nội / 0981.761.596</t>
        </is>
      </c>
      <c r="D502" s="397" t="inlineStr">
        <is>
          <t>0981.761.596</t>
        </is>
      </c>
      <c r="E502" s="399" t="n"/>
      <c r="F502" s="398" t="inlineStr">
        <is>
          <t>Lĩnh Nam-Hoàng Mai-Hà Nội</t>
        </is>
      </c>
      <c r="G502" s="397" t="inlineStr">
        <is>
          <t>HN</t>
        </is>
      </c>
      <c r="H502" s="399" t="n"/>
      <c r="J502" s="392">
        <f>IFERROR(UPPER(TRIM(B502))&amp;"|"&amp;UPPER(TRIM(C502))&amp;"|"&amp;UPPER(TRIM(D502)),"")</f>
        <v/>
      </c>
    </row>
    <row r="503" ht="15.75" customHeight="1" s="217">
      <c r="A503" s="400" t="n">
        <v>501</v>
      </c>
      <c r="B503" s="400" t="inlineStr">
        <is>
          <t>KH3241</t>
        </is>
      </c>
      <c r="C503" s="401" t="inlineStr">
        <is>
          <t>Anh Giáp-Lâm Đồng / 0985.478.703</t>
        </is>
      </c>
      <c r="D503" s="400" t="inlineStr">
        <is>
          <t>0985.478.703</t>
        </is>
      </c>
      <c r="E503" s="402" t="n"/>
      <c r="F503" s="401" t="inlineStr">
        <is>
          <t>Di Linh-Lâm Đồng</t>
        </is>
      </c>
      <c r="G503" s="400" t="inlineStr">
        <is>
          <t>LDONG</t>
        </is>
      </c>
      <c r="H503" s="402" t="n"/>
      <c r="J503" s="392">
        <f>IFERROR(UPPER(TRIM(B503))&amp;"|"&amp;UPPER(TRIM(C503))&amp;"|"&amp;UPPER(TRIM(D503)),"")</f>
        <v/>
      </c>
    </row>
    <row r="504" ht="15.75" customHeight="1" s="217">
      <c r="A504" s="397" t="n">
        <v>502</v>
      </c>
      <c r="B504" s="397" t="inlineStr">
        <is>
          <t>KH3239</t>
        </is>
      </c>
      <c r="C504" s="398" t="inlineStr">
        <is>
          <t>Két Nước Ô tô Bằng Bảo- Vũng Tàu / 0969.141.705</t>
        </is>
      </c>
      <c r="D504" s="397" t="inlineStr">
        <is>
          <t>0969.141.705</t>
        </is>
      </c>
      <c r="E504" s="399" t="n"/>
      <c r="F504" s="398" t="inlineStr">
        <is>
          <t>Ngã ba cảng Cái Mép-Phú Mỹ-Vũng Tàu</t>
        </is>
      </c>
      <c r="G504" s="397" t="inlineStr">
        <is>
          <t>BRVT</t>
        </is>
      </c>
      <c r="H504" s="399" t="n"/>
      <c r="J504" s="392">
        <f>IFERROR(UPPER(TRIM(B504))&amp;"|"&amp;UPPER(TRIM(C504))&amp;"|"&amp;UPPER(TRIM(D504)),"")</f>
        <v/>
      </c>
    </row>
    <row r="505" ht="15.75" customHeight="1" s="217">
      <c r="A505" s="400" t="n">
        <v>503</v>
      </c>
      <c r="B505" s="400" t="inlineStr">
        <is>
          <t>KH3240</t>
        </is>
      </c>
      <c r="C505" s="401" t="inlineStr">
        <is>
          <t>Cửa hàng Anh Nhớ - Đồng Tháp/0963.985.044</t>
        </is>
      </c>
      <c r="D505" s="400" t="inlineStr">
        <is>
          <t>0963.985.044</t>
        </is>
      </c>
      <c r="E505" s="402" t="n"/>
      <c r="F505" s="401" t="inlineStr">
        <is>
          <t>Tân Hồng-Đồng Tháp</t>
        </is>
      </c>
      <c r="G505" s="400" t="inlineStr">
        <is>
          <t>DTHAP</t>
        </is>
      </c>
      <c r="H505" s="402" t="n"/>
      <c r="J505" s="392">
        <f>IFERROR(UPPER(TRIM(B505))&amp;"|"&amp;UPPER(TRIM(C505))&amp;"|"&amp;UPPER(TRIM(D505)),"")</f>
        <v/>
      </c>
    </row>
    <row r="506" ht="15.75" customHeight="1" s="217">
      <c r="A506" s="397" t="n">
        <v>504</v>
      </c>
      <c r="B506" s="397" t="inlineStr">
        <is>
          <t>KH3238</t>
        </is>
      </c>
      <c r="C506" s="398" t="inlineStr">
        <is>
          <t>PT Ô TÔ Nguyễn Vũ ( CHUYÊN KÉT NƯỚC Ô TÔ ) / 0368.278.969</t>
        </is>
      </c>
      <c r="D506" s="397" t="inlineStr">
        <is>
          <t>0368.278.969</t>
        </is>
      </c>
      <c r="E506" s="399" t="n"/>
      <c r="F506" s="398" t="inlineStr">
        <is>
          <t>Số 8, Lô 10, Đường Hưng Phú, Phường 10, Quận 8</t>
        </is>
      </c>
      <c r="G506" s="397" t="inlineStr">
        <is>
          <t>SG/HCM</t>
        </is>
      </c>
      <c r="H506" s="399" t="n"/>
      <c r="J506" s="392">
        <f>IFERROR(UPPER(TRIM(B506))&amp;"|"&amp;UPPER(TRIM(C506))&amp;"|"&amp;UPPER(TRIM(D506)),"")</f>
        <v/>
      </c>
    </row>
    <row r="507" ht="15.75" customHeight="1" s="217">
      <c r="A507" s="400" t="n">
        <v>505</v>
      </c>
      <c r="B507" s="400" t="inlineStr">
        <is>
          <t>KH3237</t>
        </is>
      </c>
      <c r="C507" s="401" t="inlineStr">
        <is>
          <t>Tuấn Nguyễn Két Nước  - Sài  Gòn / 0909.727.522-0964.591.004</t>
        </is>
      </c>
      <c r="D507" s="400" t="inlineStr">
        <is>
          <t>0909.727.522-0964</t>
        </is>
      </c>
      <c r="E507" s="402" t="n"/>
      <c r="F507" s="401" t="inlineStr">
        <is>
          <t>85 Nguyễn Văn Tạo, xã Long Thới, huyện Nhà Bè, TP Hồ Chí Minh</t>
        </is>
      </c>
      <c r="G507" s="400" t="inlineStr">
        <is>
          <t>LA</t>
        </is>
      </c>
      <c r="H507" s="402" t="n"/>
      <c r="J507" s="392">
        <f>IFERROR(UPPER(TRIM(B507))&amp;"|"&amp;UPPER(TRIM(C507))&amp;"|"&amp;UPPER(TRIM(D507)),"")</f>
        <v/>
      </c>
    </row>
    <row r="508" ht="15.75" customHeight="1" s="217">
      <c r="A508" s="397" t="n">
        <v>506</v>
      </c>
      <c r="B508" s="397" t="inlineStr">
        <is>
          <t>KH3236</t>
        </is>
      </c>
      <c r="C508" s="398" t="inlineStr">
        <is>
          <t>Gara Đức Tâm -Đak Nông / 0367.897.646- 0833.877.966</t>
        </is>
      </c>
      <c r="D508" s="397" t="inlineStr">
        <is>
          <t>0367.897.646- / 0833.877.966</t>
        </is>
      </c>
      <c r="E508" s="399" t="n"/>
      <c r="F508" s="398" t="inlineStr">
        <is>
          <t>Thôn 6-Đak Wer- Đak R Lấp-Đak Nông</t>
        </is>
      </c>
      <c r="G508" s="397" t="inlineStr">
        <is>
          <t>DNONG</t>
        </is>
      </c>
      <c r="H508" s="399" t="n"/>
      <c r="J508" s="392">
        <f>IFERROR(UPPER(TRIM(B508))&amp;"|"&amp;UPPER(TRIM(C508))&amp;"|"&amp;UPPER(TRIM(D508)),"")</f>
        <v/>
      </c>
    </row>
    <row r="509" ht="15.75" customHeight="1" s="217">
      <c r="A509" s="400" t="n">
        <v>507</v>
      </c>
      <c r="B509" s="400" t="inlineStr">
        <is>
          <t>KH3235</t>
        </is>
      </c>
      <c r="C509" s="401" t="inlineStr">
        <is>
          <t>Chi nhánh công ty TNHH XDCT Hùng Vương-BRVT / Anh Cường 0962.773.024</t>
        </is>
      </c>
      <c r="D509" s="400" t="inlineStr">
        <is>
          <t>0962.773.024</t>
        </is>
      </c>
      <c r="E509" s="402" t="n"/>
      <c r="F509" s="401" t="inlineStr">
        <is>
          <t>Khu phố Ông Trịnh, P Tân Phước, TX Phú Mỹ, Tỉnh BRVT</t>
        </is>
      </c>
      <c r="G509" s="400" t="inlineStr">
        <is>
          <t>BRVT</t>
        </is>
      </c>
      <c r="H509" s="402" t="n"/>
      <c r="J509" s="392">
        <f>IFERROR(UPPER(TRIM(B509))&amp;"|"&amp;UPPER(TRIM(C509))&amp;"|"&amp;UPPER(TRIM(D509)),"")</f>
        <v/>
      </c>
    </row>
    <row r="510" ht="15.75" customHeight="1" s="217">
      <c r="A510" s="397" t="n">
        <v>508</v>
      </c>
      <c r="B510" s="397" t="inlineStr">
        <is>
          <t>KH3234</t>
        </is>
      </c>
      <c r="C510" s="398" t="inlineStr">
        <is>
          <t>Anh Lợi-Bình Dương / 0906.625.363</t>
        </is>
      </c>
      <c r="D510" s="397" t="inlineStr">
        <is>
          <t>0906.625.363</t>
        </is>
      </c>
      <c r="E510" s="399" t="n"/>
      <c r="F510" s="398" t="inlineStr">
        <is>
          <t>Quốc Lộ 1K- Đông Hoà- Dĩ An-Bình Dương</t>
        </is>
      </c>
      <c r="G510" s="397" t="inlineStr">
        <is>
          <t>BDUONG</t>
        </is>
      </c>
      <c r="H510" s="399" t="n"/>
      <c r="J510" s="392">
        <f>IFERROR(UPPER(TRIM(B510))&amp;"|"&amp;UPPER(TRIM(C510))&amp;"|"&amp;UPPER(TRIM(D510)),"")</f>
        <v/>
      </c>
    </row>
    <row r="511" ht="15.75" customHeight="1" s="217">
      <c r="A511" s="400" t="n">
        <v>509</v>
      </c>
      <c r="B511" s="400" t="inlineStr">
        <is>
          <t>KH3232</t>
        </is>
      </c>
      <c r="C511" s="401" t="inlineStr">
        <is>
          <t>Anh Tài-Gò Vấp /  0896.471.495</t>
        </is>
      </c>
      <c r="D511" s="400" t="inlineStr">
        <is>
          <t>0896.471.495</t>
        </is>
      </c>
      <c r="E511" s="402" t="n"/>
      <c r="F511" s="401" t="inlineStr">
        <is>
          <t>9/18/2 Nguyễn Du- P7-Quận Gò Vấp- TP HCM</t>
        </is>
      </c>
      <c r="G511" s="400" t="inlineStr">
        <is>
          <t>SG/HCM</t>
        </is>
      </c>
      <c r="H511" s="402" t="n"/>
      <c r="J511" s="392">
        <f>IFERROR(UPPER(TRIM(B511))&amp;"|"&amp;UPPER(TRIM(C511))&amp;"|"&amp;UPPER(TRIM(D511)),"")</f>
        <v/>
      </c>
    </row>
    <row r="512" ht="15.75" customHeight="1" s="217">
      <c r="A512" s="397" t="n">
        <v>510</v>
      </c>
      <c r="B512" s="397" t="inlineStr">
        <is>
          <t>KH3233</t>
        </is>
      </c>
      <c r="C512" s="398" t="inlineStr">
        <is>
          <t>Xưởng Loan Thọ / Tuy Hòa - Phú Yên/ Anh Thọ 0984.080.564-0359.900.788</t>
        </is>
      </c>
      <c r="D512" s="397" t="inlineStr">
        <is>
          <t>080.564-0359</t>
        </is>
      </c>
      <c r="E512" s="399" t="n"/>
      <c r="F512" s="398" t="inlineStr">
        <is>
          <t>Tuy Hòa, Phú Yên</t>
        </is>
      </c>
      <c r="G512" s="397" t="inlineStr">
        <is>
          <t>PYEN</t>
        </is>
      </c>
      <c r="H512" s="399" t="n"/>
      <c r="J512" s="392">
        <f>IFERROR(UPPER(TRIM(B512))&amp;"|"&amp;UPPER(TRIM(C512))&amp;"|"&amp;UPPER(TRIM(D512)),"")</f>
        <v/>
      </c>
    </row>
    <row r="513" ht="15.75" customHeight="1" s="217">
      <c r="A513" s="400" t="n">
        <v>511</v>
      </c>
      <c r="B513" s="400" t="inlineStr">
        <is>
          <t>KH3230</t>
        </is>
      </c>
      <c r="C513" s="401" t="inlineStr">
        <is>
          <t>Công Ty TNHH MTV Song Hỷ - Bình Phước / A Song  - 0915.444.278</t>
        </is>
      </c>
      <c r="D513" s="400" t="inlineStr">
        <is>
          <t>0915.444.278</t>
        </is>
      </c>
      <c r="E513" s="402" t="n"/>
      <c r="F513" s="401" t="inlineStr">
        <is>
          <t>KP Tân Trà 2 , P Tân Bình  , TP Đồng Xoài , Bình Phước</t>
        </is>
      </c>
      <c r="G513" s="400" t="inlineStr">
        <is>
          <t>BP</t>
        </is>
      </c>
      <c r="H513" s="402" t="n"/>
      <c r="J513" s="392">
        <f>IFERROR(UPPER(TRIM(B513))&amp;"|"&amp;UPPER(TRIM(C513))&amp;"|"&amp;UPPER(TRIM(D513)),"")</f>
        <v/>
      </c>
    </row>
    <row r="514" ht="15.75" customHeight="1" s="217">
      <c r="A514" s="397" t="n">
        <v>512</v>
      </c>
      <c r="B514" s="397" t="inlineStr">
        <is>
          <t>KH3231</t>
        </is>
      </c>
      <c r="C514" s="398" t="inlineStr">
        <is>
          <t>Anh Tuấn-Vĩnh Phương- Nha Trang / 0987.629.775</t>
        </is>
      </c>
      <c r="D514" s="397" t="inlineStr">
        <is>
          <t>0987.629.775</t>
        </is>
      </c>
      <c r="E514" s="399" t="n"/>
      <c r="F514" s="398" t="inlineStr">
        <is>
          <t>Vĩnh Phương - Nha Trang-Khánh Hoà</t>
        </is>
      </c>
      <c r="G514" s="397" t="inlineStr">
        <is>
          <t>NTRANG</t>
        </is>
      </c>
      <c r="H514" s="399" t="n"/>
      <c r="J514" s="392">
        <f>IFERROR(UPPER(TRIM(B514))&amp;"|"&amp;UPPER(TRIM(C514))&amp;"|"&amp;UPPER(TRIM(D514)),"")</f>
        <v/>
      </c>
    </row>
    <row r="515" ht="15.75" customHeight="1" s="217">
      <c r="A515" s="400" t="n">
        <v>513</v>
      </c>
      <c r="B515" s="400" t="inlineStr">
        <is>
          <t>KH3229</t>
        </is>
      </c>
      <c r="C515" s="401" t="inlineStr">
        <is>
          <t>Công ty cổ phần đầu tư thương mại và xây dựng Trung Nguyên/Anh Bảo - 0912.516.062</t>
        </is>
      </c>
      <c r="D515" s="400" t="inlineStr">
        <is>
          <t>0912.516.062</t>
        </is>
      </c>
      <c r="E515" s="402" t="n"/>
      <c r="F515" s="401" t="inlineStr">
        <is>
          <t>98 Duy Tân, P.5,TP.Tuy Hoà, T.Phú Yên</t>
        </is>
      </c>
      <c r="G515" s="400" t="inlineStr">
        <is>
          <t>PYEN</t>
        </is>
      </c>
      <c r="H515" s="402" t="n"/>
      <c r="J515" s="392">
        <f>IFERROR(UPPER(TRIM(B515))&amp;"|"&amp;UPPER(TRIM(C515))&amp;"|"&amp;UPPER(TRIM(D515)),"")</f>
        <v/>
      </c>
    </row>
    <row r="516" ht="15.75" customHeight="1" s="217">
      <c r="A516" s="397" t="n">
        <v>514</v>
      </c>
      <c r="B516" s="397" t="inlineStr">
        <is>
          <t>KH3227</t>
        </is>
      </c>
      <c r="C516" s="398" t="inlineStr">
        <is>
          <t>Cơ giới Mê Kông Q7 / 0903.881.045</t>
        </is>
      </c>
      <c r="D516" s="397" t="inlineStr">
        <is>
          <t>0903.881.045</t>
        </is>
      </c>
      <c r="E516" s="399" t="n"/>
      <c r="F516" s="398" t="inlineStr">
        <is>
          <t>99 Nguyễn Thị Thạch, P.Tân Phú, Q7,HCM</t>
        </is>
      </c>
      <c r="G516" s="397" t="inlineStr">
        <is>
          <t>SG/HCM</t>
        </is>
      </c>
      <c r="H516" s="399" t="n"/>
      <c r="J516" s="392">
        <f>IFERROR(UPPER(TRIM(B516))&amp;"|"&amp;UPPER(TRIM(C516))&amp;"|"&amp;UPPER(TRIM(D516)),"")</f>
        <v/>
      </c>
    </row>
    <row r="517" ht="15.75" customHeight="1" s="217">
      <c r="A517" s="400" t="n">
        <v>515</v>
      </c>
      <c r="B517" s="400" t="inlineStr">
        <is>
          <t>KH3228</t>
        </is>
      </c>
      <c r="C517" s="401" t="inlineStr">
        <is>
          <t>Anh Nghĩa-Long An / 0969.555.092</t>
        </is>
      </c>
      <c r="D517" s="400" t="inlineStr">
        <is>
          <t>0969.555.092</t>
        </is>
      </c>
      <c r="E517" s="402" t="n"/>
      <c r="F517" s="401" t="inlineStr">
        <is>
          <t>Đường N2-Đức Hoà-Long An</t>
        </is>
      </c>
      <c r="G517" s="400" t="inlineStr">
        <is>
          <t>LA</t>
        </is>
      </c>
      <c r="H517" s="402" t="n"/>
      <c r="J517" s="392">
        <f>IFERROR(UPPER(TRIM(B517))&amp;"|"&amp;UPPER(TRIM(C517))&amp;"|"&amp;UPPER(TRIM(D517)),"")</f>
        <v/>
      </c>
    </row>
    <row r="518" ht="15.75" customHeight="1" s="217">
      <c r="A518" s="397" t="n">
        <v>516</v>
      </c>
      <c r="B518" s="397" t="inlineStr">
        <is>
          <t>KH3226</t>
        </is>
      </c>
      <c r="C518" s="398" t="inlineStr">
        <is>
          <t>CTy CP thiết bị FECON / Anh Quân (công trình tại Miền Nam) 0988.903.286</t>
        </is>
      </c>
      <c r="D518" s="397" t="inlineStr">
        <is>
          <t>0988.903.286</t>
        </is>
      </c>
      <c r="E518" s="399" t="n"/>
      <c r="F518" s="398" t="inlineStr">
        <is>
          <t>KCN Lương Sơn, xã Hòa Sơn, huyện Lương Sơn, Hòa Bình</t>
        </is>
      </c>
      <c r="G518" s="397" t="inlineStr">
        <is>
          <t>HN</t>
        </is>
      </c>
      <c r="H518" s="399" t="n"/>
      <c r="J518" s="392">
        <f>IFERROR(UPPER(TRIM(B518))&amp;"|"&amp;UPPER(TRIM(C518))&amp;"|"&amp;UPPER(TRIM(D518)),"")</f>
        <v/>
      </c>
    </row>
    <row r="519" ht="15.75" customHeight="1" s="217">
      <c r="A519" s="400" t="n">
        <v>517</v>
      </c>
      <c r="B519" s="400" t="inlineStr">
        <is>
          <t>KH3225</t>
        </is>
      </c>
      <c r="C519" s="401" t="inlineStr">
        <is>
          <t>Cửa hàng Trường Sơn - Vĩnh Long / A Trí 0909.779.606</t>
        </is>
      </c>
      <c r="D519" s="400" t="inlineStr">
        <is>
          <t>0909.779.606</t>
        </is>
      </c>
      <c r="E519" s="402" t="n"/>
      <c r="F519" s="401" t="inlineStr">
        <is>
          <t>8E, Đinh Tiên Hoàng, P8, TP Vĩnh Long</t>
        </is>
      </c>
      <c r="G519" s="400" t="inlineStr">
        <is>
          <t>VĨNH LONG</t>
        </is>
      </c>
      <c r="H519" s="402" t="n"/>
      <c r="J519" s="392">
        <f>IFERROR(UPPER(TRIM(B519))&amp;"|"&amp;UPPER(TRIM(C519))&amp;"|"&amp;UPPER(TRIM(D519)),"")</f>
        <v/>
      </c>
    </row>
    <row r="520" ht="15.75" customHeight="1" s="217">
      <c r="A520" s="397" t="n">
        <v>518</v>
      </c>
      <c r="B520" s="397" t="inlineStr">
        <is>
          <t>KH3223</t>
        </is>
      </c>
      <c r="C520" s="398" t="inlineStr">
        <is>
          <t>Gara Anh Triết-Bình Thuận / 0949.480.235</t>
        </is>
      </c>
      <c r="D520" s="397" t="inlineStr">
        <is>
          <t>0949.480.235</t>
        </is>
      </c>
      <c r="E520" s="399" t="n"/>
      <c r="F520" s="398" t="inlineStr">
        <is>
          <t>Phan Ri-Tuy Phong-Bình Thuận</t>
        </is>
      </c>
      <c r="G520" s="397" t="inlineStr">
        <is>
          <t>BTHUAN</t>
        </is>
      </c>
      <c r="H520" s="399" t="n"/>
      <c r="J520" s="392">
        <f>IFERROR(UPPER(TRIM(B520))&amp;"|"&amp;UPPER(TRIM(C520))&amp;"|"&amp;UPPER(TRIM(D520)),"")</f>
        <v/>
      </c>
    </row>
    <row r="521" ht="15.75" customHeight="1" s="217">
      <c r="A521" s="400" t="n">
        <v>519</v>
      </c>
      <c r="B521" s="400" t="inlineStr">
        <is>
          <t>KH3224</t>
        </is>
      </c>
      <c r="C521" s="401" t="inlineStr">
        <is>
          <t>Anh Nguyên-Tây Ninh/ 0974.645.299</t>
        </is>
      </c>
      <c r="D521" s="400" t="inlineStr">
        <is>
          <t>0974.645.299</t>
        </is>
      </c>
      <c r="E521" s="402" t="n"/>
      <c r="F521" s="401" t="inlineStr">
        <is>
          <t>Tây Ninh</t>
        </is>
      </c>
      <c r="G521" s="400" t="inlineStr">
        <is>
          <t>TNINH</t>
        </is>
      </c>
      <c r="H521" s="402" t="n"/>
      <c r="J521" s="392">
        <f>IFERROR(UPPER(TRIM(B521))&amp;"|"&amp;UPPER(TRIM(C521))&amp;"|"&amp;UPPER(TRIM(D521)),"")</f>
        <v/>
      </c>
    </row>
    <row r="522" ht="15.75" customHeight="1" s="217">
      <c r="A522" s="397" t="n">
        <v>520</v>
      </c>
      <c r="B522" s="397" t="inlineStr">
        <is>
          <t>KH3222</t>
        </is>
      </c>
      <c r="C522" s="398" t="inlineStr">
        <is>
          <t>Phụ Tùng Cơ Giới Tài Anh- TP.Buôn Ma Thuột / 0979.792.799- 0389.774.999</t>
        </is>
      </c>
      <c r="D522" s="397" t="inlineStr">
        <is>
          <t>0979.792.799- / 0389.774.999</t>
        </is>
      </c>
      <c r="E522" s="399" t="n"/>
      <c r="F522" s="398" t="inlineStr">
        <is>
          <t>Đường vành đai 10/3- TP. Buôn Ma Thuột-T. Đak Lak</t>
        </is>
      </c>
      <c r="G522" s="397" t="inlineStr">
        <is>
          <t>ÐL</t>
        </is>
      </c>
      <c r="H522" s="399" t="n"/>
      <c r="J522" s="392">
        <f>IFERROR(UPPER(TRIM(B522))&amp;"|"&amp;UPPER(TRIM(C522))&amp;"|"&amp;UPPER(TRIM(D522)),"")</f>
        <v/>
      </c>
    </row>
    <row r="523" ht="15.75" customHeight="1" s="217">
      <c r="A523" s="400" t="n">
        <v>521</v>
      </c>
      <c r="B523" s="400" t="inlineStr">
        <is>
          <t>KH3220</t>
        </is>
      </c>
      <c r="C523" s="401" t="inlineStr">
        <is>
          <t>Công Ty TNHH Xây Dựng Mai Quang / Anh Tèo- 0888.828.344</t>
        </is>
      </c>
      <c r="D523" s="400" t="inlineStr">
        <is>
          <t>0888.828.344</t>
        </is>
      </c>
      <c r="E523" s="402" t="n"/>
      <c r="F523" s="401" t="inlineStr">
        <is>
          <t>63A/4 Nguyễn Cư Trinh, Khu Phố Ngọc Hà, Phường Phú Mỹ, Thị Xã Phú Mỹ, Tỉnh Bà Rịa Vũng Tàu</t>
        </is>
      </c>
      <c r="G523" s="400" t="inlineStr">
        <is>
          <t>BRVT</t>
        </is>
      </c>
      <c r="H523" s="402" t="n"/>
      <c r="J523" s="392">
        <f>IFERROR(UPPER(TRIM(B523))&amp;"|"&amp;UPPER(TRIM(C523))&amp;"|"&amp;UPPER(TRIM(D523)),"")</f>
        <v/>
      </c>
    </row>
    <row r="524" ht="15.75" customHeight="1" s="217">
      <c r="A524" s="397" t="n">
        <v>522</v>
      </c>
      <c r="B524" s="397" t="inlineStr">
        <is>
          <t>KH3221</t>
        </is>
      </c>
      <c r="C524" s="398" t="inlineStr">
        <is>
          <t>A. Thuyền (turbo) - Mỏ Cày/ 0966.669.525- 0777.632.632</t>
        </is>
      </c>
      <c r="D524" s="397" t="inlineStr">
        <is>
          <t>0966.669.525- / 0777.632.632</t>
        </is>
      </c>
      <c r="E524" s="399" t="n"/>
      <c r="F524" s="398" t="inlineStr">
        <is>
          <t>Tân Lập, Xã Tân Hội, Huyện Mỏ Cày, Tỉnh Bến Tre</t>
        </is>
      </c>
      <c r="G524" s="397" t="inlineStr">
        <is>
          <t>BTRE</t>
        </is>
      </c>
      <c r="H524" s="399" t="n"/>
      <c r="J524" s="392">
        <f>IFERROR(UPPER(TRIM(B524))&amp;"|"&amp;UPPER(TRIM(C524))&amp;"|"&amp;UPPER(TRIM(D524)),"")</f>
        <v/>
      </c>
    </row>
    <row r="525" ht="15.75" customHeight="1" s="217">
      <c r="A525" s="400" t="n">
        <v>523</v>
      </c>
      <c r="B525" s="400" t="inlineStr">
        <is>
          <t>KH3219</t>
        </is>
      </c>
      <c r="C525" s="401" t="inlineStr">
        <is>
          <t>Công ty phụ tùng xe nâng An Phát-TP.HCM / Tuấn Anh- 0984.777.902</t>
        </is>
      </c>
      <c r="D525" s="400" t="inlineStr">
        <is>
          <t>0984.777.902</t>
        </is>
      </c>
      <c r="E525" s="402" t="n"/>
      <c r="F525" s="401" t="inlineStr">
        <is>
          <t>29J3 đường DD7-1, P. Tân Hưng Thuận ,Q.12, TP. HCM</t>
        </is>
      </c>
      <c r="G525" s="400" t="inlineStr">
        <is>
          <t>SG/HCM</t>
        </is>
      </c>
      <c r="H525" s="402" t="n"/>
      <c r="J525" s="392">
        <f>IFERROR(UPPER(TRIM(B525))&amp;"|"&amp;UPPER(TRIM(C525))&amp;"|"&amp;UPPER(TRIM(D525)),"")</f>
        <v/>
      </c>
    </row>
    <row r="526" ht="15.75" customHeight="1" s="217">
      <c r="A526" s="397" t="n">
        <v>524</v>
      </c>
      <c r="B526" s="397" t="inlineStr">
        <is>
          <t>KH3217</t>
        </is>
      </c>
      <c r="C526" s="398" t="inlineStr">
        <is>
          <t>Xưởng Anh Tân-Đồng Nai / 0977.243.962</t>
        </is>
      </c>
      <c r="D526" s="397" t="inlineStr">
        <is>
          <t>0977.243.962</t>
        </is>
      </c>
      <c r="E526" s="399" t="n"/>
      <c r="F526" s="398" t="inlineStr">
        <is>
          <t>Tổ 19 Khu Phố An Hoà, Phường Hoá An, Biên Hoà, Đồng Nai</t>
        </is>
      </c>
      <c r="G526" s="397" t="inlineStr">
        <is>
          <t>ÐNAI</t>
        </is>
      </c>
      <c r="H526" s="399" t="n"/>
      <c r="J526" s="392">
        <f>IFERROR(UPPER(TRIM(B526))&amp;"|"&amp;UPPER(TRIM(C526))&amp;"|"&amp;UPPER(TRIM(D526)),"")</f>
        <v/>
      </c>
    </row>
    <row r="527" ht="15.75" customHeight="1" s="217">
      <c r="A527" s="400" t="n">
        <v>525</v>
      </c>
      <c r="B527" s="400" t="inlineStr">
        <is>
          <t>KH3218</t>
        </is>
      </c>
      <c r="C527" s="401" t="inlineStr">
        <is>
          <t>Phụ tùng Ô Tô Thịnh Phát -Bình Phước / 0966.797.372</t>
        </is>
      </c>
      <c r="D527" s="400" t="inlineStr">
        <is>
          <t>0966.797.372</t>
        </is>
      </c>
      <c r="E527" s="402" t="n"/>
      <c r="F527" s="401" t="inlineStr">
        <is>
          <t>Quốc Lộ 14 Khu Đức Thiện ,TT Đức Phong, H.Bù Đăng, T.Bình Phước</t>
        </is>
      </c>
      <c r="G527" s="400" t="inlineStr">
        <is>
          <t>BP</t>
        </is>
      </c>
      <c r="H527" s="402" t="n"/>
      <c r="J527" s="392">
        <f>IFERROR(UPPER(TRIM(B527))&amp;"|"&amp;UPPER(TRIM(C527))&amp;"|"&amp;UPPER(TRIM(D527)),"")</f>
        <v/>
      </c>
    </row>
    <row r="528" ht="15.75" customHeight="1" s="217">
      <c r="A528" s="397" t="n">
        <v>526</v>
      </c>
      <c r="B528" s="397" t="inlineStr">
        <is>
          <t>KH3216</t>
        </is>
      </c>
      <c r="C528" s="398" t="inlineStr">
        <is>
          <t>Công ty  Nam Huynh Mobis-Quận 9/ 0938.463.559</t>
        </is>
      </c>
      <c r="D528" s="397" t="inlineStr">
        <is>
          <t>0938.463.559</t>
        </is>
      </c>
      <c r="E528" s="399" t="n"/>
      <c r="F528" s="398" t="inlineStr">
        <is>
          <t>785 Nguyễn Duy Trinh -Quận 9-TP .HCM</t>
        </is>
      </c>
      <c r="G528" s="397" t="inlineStr">
        <is>
          <t>SG/HCM</t>
        </is>
      </c>
      <c r="H528" s="399" t="n"/>
      <c r="J528" s="392">
        <f>IFERROR(UPPER(TRIM(B528))&amp;"|"&amp;UPPER(TRIM(C528))&amp;"|"&amp;UPPER(TRIM(D528)),"")</f>
        <v/>
      </c>
    </row>
    <row r="529" ht="15.75" customHeight="1" s="217">
      <c r="A529" s="400" t="n">
        <v>527</v>
      </c>
      <c r="B529" s="400" t="inlineStr">
        <is>
          <t>KH3214</t>
        </is>
      </c>
      <c r="C529" s="401" t="inlineStr">
        <is>
          <t>CH Phụ tùng Ô TÔ Quân - SG/ 09163.319.716</t>
        </is>
      </c>
      <c r="D529" s="400" t="inlineStr">
        <is>
          <t>09163.319.716</t>
        </is>
      </c>
      <c r="E529" s="402" t="n"/>
      <c r="F529" s="401" t="inlineStr">
        <is>
          <t>Ngã Tư Bình Phước, SG</t>
        </is>
      </c>
      <c r="G529" s="400" t="inlineStr">
        <is>
          <t>SG/HCM</t>
        </is>
      </c>
      <c r="H529" s="402" t="n"/>
      <c r="J529" s="392">
        <f>IFERROR(UPPER(TRIM(B529))&amp;"|"&amp;UPPER(TRIM(C529))&amp;"|"&amp;UPPER(TRIM(D529)),"")</f>
        <v/>
      </c>
    </row>
    <row r="530" ht="15.75" customHeight="1" s="217">
      <c r="A530" s="397" t="n">
        <v>528</v>
      </c>
      <c r="B530" s="397" t="inlineStr">
        <is>
          <t>KH3215</t>
        </is>
      </c>
      <c r="C530" s="398" t="inlineStr">
        <is>
          <t>Gara Tuấn Sang-Lâm Đồng / 0763.333.304</t>
        </is>
      </c>
      <c r="D530" s="397" t="inlineStr">
        <is>
          <t>0763.333.304</t>
        </is>
      </c>
      <c r="E530" s="399" t="n"/>
      <c r="F530" s="398" t="inlineStr">
        <is>
          <t>Quốc Lộ 20-Xã Phú Hội-Huyện Đức Trọng-T.Lâm Đồng</t>
        </is>
      </c>
      <c r="G530" s="397" t="inlineStr">
        <is>
          <t>LDONG</t>
        </is>
      </c>
      <c r="H530" s="399" t="n"/>
      <c r="J530" s="392">
        <f>IFERROR(UPPER(TRIM(B530))&amp;"|"&amp;UPPER(TRIM(C530))&amp;"|"&amp;UPPER(TRIM(D530)),"")</f>
        <v/>
      </c>
    </row>
    <row r="531" ht="15.75" customHeight="1" s="217">
      <c r="A531" s="400" t="n">
        <v>529</v>
      </c>
      <c r="B531" s="400" t="inlineStr">
        <is>
          <t>KH3211</t>
        </is>
      </c>
      <c r="C531" s="401" t="inlineStr">
        <is>
          <t>Bãi Máy Lộc Phát / Anh Hạ- 0974.825.878</t>
        </is>
      </c>
      <c r="D531" s="400" t="inlineStr">
        <is>
          <t>0974.825.878</t>
        </is>
      </c>
      <c r="E531" s="402" t="n"/>
      <c r="F531" s="401" t="inlineStr">
        <is>
          <t>121 Đại lộ Bình Dương</t>
        </is>
      </c>
      <c r="G531" s="400" t="inlineStr">
        <is>
          <t>BDUONG</t>
        </is>
      </c>
      <c r="H531" s="402" t="n"/>
      <c r="J531" s="392">
        <f>IFERROR(UPPER(TRIM(B531))&amp;"|"&amp;UPPER(TRIM(C531))&amp;"|"&amp;UPPER(TRIM(D531)),"")</f>
        <v/>
      </c>
    </row>
    <row r="532" ht="15.75" customHeight="1" s="217">
      <c r="A532" s="397" t="n">
        <v>530</v>
      </c>
      <c r="B532" s="397" t="inlineStr">
        <is>
          <t>KH3212</t>
        </is>
      </c>
      <c r="C532" s="398" t="inlineStr">
        <is>
          <t>Xưởng Anh Vinh-Bình Định / 0797.777.899 - 0375.855.700</t>
        </is>
      </c>
      <c r="D532" s="397" t="inlineStr">
        <is>
          <t>0797.777.899 / 0375.855.700</t>
        </is>
      </c>
      <c r="E532" s="399" t="n"/>
      <c r="F532" s="398" t="inlineStr">
        <is>
          <t>An Lão, Tỉnh Bình Định</t>
        </is>
      </c>
      <c r="G532" s="397" t="inlineStr">
        <is>
          <t>BDINH</t>
        </is>
      </c>
      <c r="H532" s="399" t="n"/>
      <c r="J532" s="392">
        <f>IFERROR(UPPER(TRIM(B532))&amp;"|"&amp;UPPER(TRIM(C532))&amp;"|"&amp;UPPER(TRIM(D532)),"")</f>
        <v/>
      </c>
    </row>
    <row r="533" ht="15.75" customHeight="1" s="217">
      <c r="A533" s="400" t="n">
        <v>531</v>
      </c>
      <c r="B533" s="400" t="inlineStr">
        <is>
          <t>KH3213</t>
        </is>
      </c>
      <c r="C533" s="401" t="inlineStr">
        <is>
          <t>Gara Thành Trung-Đồng Tháp /  0985.102.450</t>
        </is>
      </c>
      <c r="D533" s="400" t="inlineStr">
        <is>
          <t>0985.102.450</t>
        </is>
      </c>
      <c r="E533" s="402" t="n"/>
      <c r="F533" s="401" t="inlineStr">
        <is>
          <t>Ấp Đông Huề, Xã Tân Khánh Đông, TP. Sa Đéc, T. Đồng Tháp</t>
        </is>
      </c>
      <c r="G533" s="400" t="inlineStr">
        <is>
          <t>DTHAP</t>
        </is>
      </c>
      <c r="H533" s="402" t="n"/>
      <c r="J533" s="392">
        <f>IFERROR(UPPER(TRIM(B533))&amp;"|"&amp;UPPER(TRIM(C533))&amp;"|"&amp;UPPER(TRIM(D533)),"")</f>
        <v/>
      </c>
    </row>
    <row r="534" ht="15.75" customHeight="1" s="217">
      <c r="A534" s="397" t="n">
        <v>532</v>
      </c>
      <c r="B534" s="397" t="inlineStr">
        <is>
          <t>KH3210</t>
        </is>
      </c>
      <c r="C534" s="398" t="inlineStr">
        <is>
          <t>Phụ Tùng Ô Tô Vũ-Sài Gòn / 0938.812.569</t>
        </is>
      </c>
      <c r="D534" s="397" t="inlineStr">
        <is>
          <t>0938.812.569</t>
        </is>
      </c>
      <c r="E534" s="399" t="n"/>
      <c r="F534" s="398" t="inlineStr">
        <is>
          <t>5P Cư xá Phú Lâm D, Phường 10, Quận 6, TP HCM</t>
        </is>
      </c>
      <c r="G534" s="397" t="inlineStr">
        <is>
          <t>SG/HCM</t>
        </is>
      </c>
      <c r="H534" s="399" t="n"/>
      <c r="J534" s="392">
        <f>IFERROR(UPPER(TRIM(B534))&amp;"|"&amp;UPPER(TRIM(C534))&amp;"|"&amp;UPPER(TRIM(D534)),"")</f>
        <v/>
      </c>
    </row>
    <row r="535" ht="15.75" customHeight="1" s="217">
      <c r="A535" s="400" t="n">
        <v>533</v>
      </c>
      <c r="B535" s="400" t="inlineStr">
        <is>
          <t>KH3209</t>
        </is>
      </c>
      <c r="C535" s="401" t="inlineStr">
        <is>
          <t>Xưởng Cơ Khí Hai Học-An Giang  / 0983.989.824 - 0919.271.142</t>
        </is>
      </c>
      <c r="D535" s="400" t="inlineStr">
        <is>
          <t>0983.989.824 / 0919.271.142</t>
        </is>
      </c>
      <c r="E535" s="402" t="n"/>
      <c r="F535" s="401" t="inlineStr">
        <is>
          <t>Tri Tôn-An Giang</t>
        </is>
      </c>
      <c r="G535" s="400" t="inlineStr">
        <is>
          <t>ANGIANG</t>
        </is>
      </c>
      <c r="H535" s="402" t="n"/>
      <c r="J535" s="392">
        <f>IFERROR(UPPER(TRIM(B535))&amp;"|"&amp;UPPER(TRIM(C535))&amp;"|"&amp;UPPER(TRIM(D535)),"")</f>
        <v/>
      </c>
    </row>
    <row r="536" ht="15.75" customHeight="1" s="217">
      <c r="A536" s="397" t="n">
        <v>534</v>
      </c>
      <c r="B536" s="397" t="inlineStr">
        <is>
          <t>KH3208</t>
        </is>
      </c>
      <c r="C536" s="398" t="inlineStr">
        <is>
          <t>A Trị -Đồng Hới -Quảng Bình / 0911.114.334</t>
        </is>
      </c>
      <c r="D536" s="397" t="inlineStr">
        <is>
          <t>0911.114.334</t>
        </is>
      </c>
      <c r="E536" s="399" t="n"/>
      <c r="F536" s="398" t="inlineStr">
        <is>
          <t>Thành Phố Đồng Hới-Tỉnh Quảng Bình</t>
        </is>
      </c>
      <c r="G536" s="397" t="inlineStr">
        <is>
          <t>QB</t>
        </is>
      </c>
      <c r="H536" s="399" t="n"/>
      <c r="J536" s="392">
        <f>IFERROR(UPPER(TRIM(B536))&amp;"|"&amp;UPPER(TRIM(C536))&amp;"|"&amp;UPPER(TRIM(D536)),"")</f>
        <v/>
      </c>
    </row>
    <row r="537" ht="15.75" customHeight="1" s="217">
      <c r="A537" s="400" t="n">
        <v>535</v>
      </c>
      <c r="B537" s="400" t="inlineStr">
        <is>
          <t>KH3206</t>
        </is>
      </c>
      <c r="C537" s="401" t="inlineStr">
        <is>
          <t>Anh Quyền-Xuân Lộc-Đồng Nai / 0795.791.679</t>
        </is>
      </c>
      <c r="D537" s="400" t="inlineStr">
        <is>
          <t>0795.791.679</t>
        </is>
      </c>
      <c r="E537" s="402" t="n"/>
      <c r="F537" s="401" t="inlineStr">
        <is>
          <t>Xuân Lộc , Đồng Nai</t>
        </is>
      </c>
      <c r="G537" s="400" t="inlineStr">
        <is>
          <t>ÐNAI</t>
        </is>
      </c>
      <c r="H537" s="402" t="n"/>
      <c r="J537" s="392">
        <f>IFERROR(UPPER(TRIM(B537))&amp;"|"&amp;UPPER(TRIM(C537))&amp;"|"&amp;UPPER(TRIM(D537)),"")</f>
        <v/>
      </c>
    </row>
    <row r="538" ht="15.75" customHeight="1" s="217">
      <c r="A538" s="397" t="n">
        <v>536</v>
      </c>
      <c r="B538" s="397" t="inlineStr">
        <is>
          <t>KH3207</t>
        </is>
      </c>
      <c r="C538" s="398" t="inlineStr">
        <is>
          <t>Cửa hàng Anh Cảnh chuyên Ron -Quảng Ngãi / 0914.081.885</t>
        </is>
      </c>
      <c r="D538" s="397" t="inlineStr">
        <is>
          <t>0914.081.885</t>
        </is>
      </c>
      <c r="E538" s="399" t="n"/>
      <c r="F538" s="398" t="inlineStr">
        <is>
          <t>638 Nguyễn Văn Linh ,Thành Phố Quãng ngãi</t>
        </is>
      </c>
      <c r="G538" s="397" t="inlineStr">
        <is>
          <t>QUNGAI</t>
        </is>
      </c>
      <c r="H538" s="399" t="n"/>
      <c r="J538" s="392">
        <f>IFERROR(UPPER(TRIM(B538))&amp;"|"&amp;UPPER(TRIM(C538))&amp;"|"&amp;UPPER(TRIM(D538)),"")</f>
        <v/>
      </c>
    </row>
    <row r="539" ht="15.75" customHeight="1" s="217">
      <c r="A539" s="400" t="n">
        <v>537</v>
      </c>
      <c r="B539" s="400" t="inlineStr">
        <is>
          <t>KH3203</t>
        </is>
      </c>
      <c r="C539" s="401" t="inlineStr">
        <is>
          <t>Xưởng Anh Hùng -Gia Lai/ 0983.301.329</t>
        </is>
      </c>
      <c r="D539" s="400" t="inlineStr">
        <is>
          <t>0983.301.329</t>
        </is>
      </c>
      <c r="E539" s="402" t="n"/>
      <c r="F539" s="401" t="inlineStr">
        <is>
          <t>Gia Lai</t>
        </is>
      </c>
      <c r="G539" s="400" t="inlineStr">
        <is>
          <t>GLAI</t>
        </is>
      </c>
      <c r="H539" s="402" t="n"/>
      <c r="J539" s="392">
        <f>IFERROR(UPPER(TRIM(B539))&amp;"|"&amp;UPPER(TRIM(C539))&amp;"|"&amp;UPPER(TRIM(D539)),"")</f>
        <v/>
      </c>
    </row>
    <row r="540" ht="15.75" customHeight="1" s="217">
      <c r="A540" s="397" t="n">
        <v>538</v>
      </c>
      <c r="B540" s="397" t="inlineStr">
        <is>
          <t>KH3204</t>
        </is>
      </c>
      <c r="C540" s="398" t="inlineStr">
        <is>
          <t>Công Ty Cổ phần Đầu Tư Và Phát Triển Hạ Tầng  620/ 0347.575.522</t>
        </is>
      </c>
      <c r="D540" s="397" t="inlineStr">
        <is>
          <t>0347.575.522</t>
        </is>
      </c>
      <c r="E540" s="399" t="n"/>
      <c r="F540" s="398" t="inlineStr">
        <is>
          <t>Ấp 4, xã Phước Đông, huyện Cần Đước, tỉnh Long An, Việt Nam</t>
        </is>
      </c>
      <c r="G540" s="397" t="inlineStr">
        <is>
          <t>LA</t>
        </is>
      </c>
      <c r="H540" s="399" t="n"/>
      <c r="J540" s="392">
        <f>IFERROR(UPPER(TRIM(B540))&amp;"|"&amp;UPPER(TRIM(C540))&amp;"|"&amp;UPPER(TRIM(D540)),"")</f>
        <v/>
      </c>
    </row>
    <row r="541" ht="15.75" customHeight="1" s="217">
      <c r="A541" s="400" t="n">
        <v>539</v>
      </c>
      <c r="B541" s="400" t="inlineStr">
        <is>
          <t>KH3205</t>
        </is>
      </c>
      <c r="C541" s="401" t="inlineStr">
        <is>
          <t>Xưởng Xe Nâng Anh Hoài -Tây Ninh / 0376.949.117</t>
        </is>
      </c>
      <c r="D541" s="400" t="inlineStr">
        <is>
          <t>0376.949.117</t>
        </is>
      </c>
      <c r="E541" s="402" t="n"/>
      <c r="F541" s="401" t="inlineStr">
        <is>
          <t>Ấp Lộc Thuận, Xã Hưng Thuận, Thị xã Trảng Bàng, Tỉnh Tây Ninh</t>
        </is>
      </c>
      <c r="G541" s="400" t="inlineStr">
        <is>
          <t>TNINH</t>
        </is>
      </c>
      <c r="H541" s="402" t="n"/>
      <c r="J541" s="392">
        <f>IFERROR(UPPER(TRIM(B541))&amp;"|"&amp;UPPER(TRIM(C541))&amp;"|"&amp;UPPER(TRIM(D541)),"")</f>
        <v/>
      </c>
    </row>
    <row r="542" ht="15.75" customHeight="1" s="217">
      <c r="A542" s="397" t="n">
        <v>540</v>
      </c>
      <c r="B542" s="397" t="inlineStr">
        <is>
          <t>KH3201</t>
        </is>
      </c>
      <c r="C542" s="398" t="inlineStr">
        <is>
          <t>Phụ Tùng Hoàng Gia -FORD Sài Gòn/ A Chinh 0972.156.019</t>
        </is>
      </c>
      <c r="D542" s="397" t="inlineStr">
        <is>
          <t>0972.156.019</t>
        </is>
      </c>
      <c r="E542" s="399" t="n"/>
      <c r="F542" s="398" t="inlineStr">
        <is>
          <t>Ngã tư Thủ Đức-Sài Gòn</t>
        </is>
      </c>
      <c r="G542" s="397" t="inlineStr">
        <is>
          <t>SG/HCM</t>
        </is>
      </c>
      <c r="H542" s="399" t="n"/>
      <c r="J542" s="392">
        <f>IFERROR(UPPER(TRIM(B542))&amp;"|"&amp;UPPER(TRIM(C542))&amp;"|"&amp;UPPER(TRIM(D542)),"")</f>
        <v/>
      </c>
    </row>
    <row r="543" ht="15.75" customHeight="1" s="217">
      <c r="A543" s="400" t="n">
        <v>541</v>
      </c>
      <c r="B543" s="400" t="inlineStr">
        <is>
          <t>KH3202</t>
        </is>
      </c>
      <c r="C543" s="401" t="inlineStr">
        <is>
          <t>Anh Nghiêm - Gia Lai/ 0977.459.227</t>
        </is>
      </c>
      <c r="D543" s="400" t="inlineStr">
        <is>
          <t>0977.459.227</t>
        </is>
      </c>
      <c r="E543" s="402" t="n"/>
      <c r="F543" s="401" t="inlineStr">
        <is>
          <t>An Khê , Gia Lai</t>
        </is>
      </c>
      <c r="G543" s="400" t="inlineStr">
        <is>
          <t>GLAI</t>
        </is>
      </c>
      <c r="H543" s="402" t="n"/>
      <c r="J543" s="392">
        <f>IFERROR(UPPER(TRIM(B543))&amp;"|"&amp;UPPER(TRIM(C543))&amp;"|"&amp;UPPER(TRIM(D543)),"")</f>
        <v/>
      </c>
    </row>
    <row r="544" ht="15.75" customHeight="1" s="217">
      <c r="A544" s="397" t="n">
        <v>542</v>
      </c>
      <c r="B544" s="397" t="inlineStr">
        <is>
          <t>KH3200</t>
        </is>
      </c>
      <c r="C544" s="398" t="inlineStr">
        <is>
          <t>Phụ Tùng Ford, Kia/ A Tâm- 0944.500.632</t>
        </is>
      </c>
      <c r="D544" s="397" t="inlineStr">
        <is>
          <t>0944.500.632</t>
        </is>
      </c>
      <c r="E544" s="399" t="n"/>
      <c r="F544" s="398" t="inlineStr">
        <is>
          <t>232 Quốc Lộ 14 -P. Hiệp Bình Chánh -TP Thủ Đức-HCM</t>
        </is>
      </c>
      <c r="G544" s="397" t="inlineStr">
        <is>
          <t>SG/HCM</t>
        </is>
      </c>
      <c r="H544" s="399" t="n"/>
      <c r="J544" s="392">
        <f>IFERROR(UPPER(TRIM(B544))&amp;"|"&amp;UPPER(TRIM(C544))&amp;"|"&amp;UPPER(TRIM(D544)),"")</f>
        <v/>
      </c>
    </row>
    <row r="545" ht="15.75" customHeight="1" s="217">
      <c r="A545" s="400" t="n">
        <v>543</v>
      </c>
      <c r="B545" s="400" t="inlineStr">
        <is>
          <t>KH3199</t>
        </is>
      </c>
      <c r="C545" s="401" t="inlineStr">
        <is>
          <t>Công Ty TNHH Xe Nâng An Lộc Phát/ 0903.853.589</t>
        </is>
      </c>
      <c r="D545" s="400" t="inlineStr">
        <is>
          <t>0903.853.589</t>
        </is>
      </c>
      <c r="E545" s="402" t="n"/>
      <c r="F545" s="401" t="inlineStr">
        <is>
          <t>195/25 P. Bình Chiểu , TP  Thủ Đức,HCM</t>
        </is>
      </c>
      <c r="G545" s="400" t="inlineStr">
        <is>
          <t>SG/HCM</t>
        </is>
      </c>
      <c r="H545" s="402" t="n"/>
      <c r="J545" s="392">
        <f>IFERROR(UPPER(TRIM(B545))&amp;"|"&amp;UPPER(TRIM(C545))&amp;"|"&amp;UPPER(TRIM(D545)),"")</f>
        <v/>
      </c>
    </row>
    <row r="546" ht="15.75" customHeight="1" s="217">
      <c r="A546" s="397" t="n">
        <v>544</v>
      </c>
      <c r="B546" s="397" t="inlineStr">
        <is>
          <t>KH3198</t>
        </is>
      </c>
      <c r="C546" s="398" t="inlineStr">
        <is>
          <t>Anh Chủ -Đức Hoà-Long An / 0947.054.825</t>
        </is>
      </c>
      <c r="D546" s="397" t="inlineStr">
        <is>
          <t>0947.054.825</t>
        </is>
      </c>
      <c r="E546" s="399" t="n"/>
      <c r="F546" s="398" t="inlineStr">
        <is>
          <t>Ấp Bình Tiền 2 ,Xã Đức Hòa Hạ,Huyện  Đức Hòa , Tỉnh Long An</t>
        </is>
      </c>
      <c r="G546" s="397" t="inlineStr">
        <is>
          <t>LA</t>
        </is>
      </c>
      <c r="H546" s="399" t="n"/>
      <c r="J546" s="392">
        <f>IFERROR(UPPER(TRIM(B546))&amp;"|"&amp;UPPER(TRIM(C546))&amp;"|"&amp;UPPER(TRIM(D546)),"")</f>
        <v/>
      </c>
    </row>
    <row r="547" ht="15.75" customHeight="1" s="217">
      <c r="A547" s="400" t="n">
        <v>545</v>
      </c>
      <c r="B547" s="400" t="inlineStr">
        <is>
          <t>KH3197</t>
        </is>
      </c>
      <c r="C547" s="401" t="inlineStr">
        <is>
          <t>Xưởng A Hưng-Phú Yên /  0905.126.869</t>
        </is>
      </c>
      <c r="D547" s="400" t="inlineStr">
        <is>
          <t>0905.126.869</t>
        </is>
      </c>
      <c r="E547" s="402" t="n"/>
      <c r="F547" s="401" t="inlineStr">
        <is>
          <t>Xã Thành Hưng, Huyện Sơn Hòa, Tỉnh Phú Yên</t>
        </is>
      </c>
      <c r="G547" s="400" t="inlineStr">
        <is>
          <t>PYEN</t>
        </is>
      </c>
      <c r="H547" s="402" t="n"/>
      <c r="J547" s="392">
        <f>IFERROR(UPPER(TRIM(B547))&amp;"|"&amp;UPPER(TRIM(C547))&amp;"|"&amp;UPPER(TRIM(D547)),"")</f>
        <v/>
      </c>
    </row>
    <row r="548" ht="15.75" customHeight="1" s="217">
      <c r="A548" s="397" t="n">
        <v>546</v>
      </c>
      <c r="B548" s="397" t="inlineStr">
        <is>
          <t>KH3196</t>
        </is>
      </c>
      <c r="C548" s="398" t="inlineStr">
        <is>
          <t>Công Ty Hoàng gia - Anh Tài-Quận 5 / 0983.083.334</t>
        </is>
      </c>
      <c r="D548" s="397" t="inlineStr">
        <is>
          <t>0983.083.334</t>
        </is>
      </c>
      <c r="E548" s="399" t="n"/>
      <c r="F548" s="398" t="inlineStr">
        <is>
          <t>Quận 5 -Sài Gòn</t>
        </is>
      </c>
      <c r="G548" s="397" t="inlineStr">
        <is>
          <t>SG/HCM</t>
        </is>
      </c>
      <c r="H548" s="399" t="n"/>
      <c r="J548" s="392">
        <f>IFERROR(UPPER(TRIM(B548))&amp;"|"&amp;UPPER(TRIM(C548))&amp;"|"&amp;UPPER(TRIM(D548)),"")</f>
        <v/>
      </c>
    </row>
    <row r="549" ht="15.75" customHeight="1" s="217">
      <c r="A549" s="400" t="n">
        <v>547</v>
      </c>
      <c r="B549" s="400" t="inlineStr">
        <is>
          <t>KH3195</t>
        </is>
      </c>
      <c r="C549" s="401" t="inlineStr">
        <is>
          <t>Anh Tàu- Bắc Nam Auto-Hà Nội/ 0985.089.578</t>
        </is>
      </c>
      <c r="D549" s="400" t="inlineStr">
        <is>
          <t>0985.089.578</t>
        </is>
      </c>
      <c r="E549" s="402" t="n"/>
      <c r="F549" s="401" t="inlineStr">
        <is>
          <t>110 Tân Xuân, Đông Ngạc, Bắc Từ Liêm, Hà Nội</t>
        </is>
      </c>
      <c r="G549" s="400" t="inlineStr">
        <is>
          <t>HN</t>
        </is>
      </c>
      <c r="H549" s="402" t="n"/>
      <c r="J549" s="392">
        <f>IFERROR(UPPER(TRIM(B549))&amp;"|"&amp;UPPER(TRIM(C549))&amp;"|"&amp;UPPER(TRIM(D549)),"")</f>
        <v/>
      </c>
    </row>
    <row r="550" ht="15.75" customHeight="1" s="217">
      <c r="A550" s="397" t="n">
        <v>548</v>
      </c>
      <c r="B550" s="397" t="inlineStr">
        <is>
          <t>KH3192</t>
        </is>
      </c>
      <c r="C550" s="398" t="inlineStr">
        <is>
          <t>Anh Hạnh- TP.Hồ Chí Minh  / 0983.122.343</t>
        </is>
      </c>
      <c r="D550" s="397" t="inlineStr">
        <is>
          <t>0983.122.343</t>
        </is>
      </c>
      <c r="E550" s="399" t="n"/>
      <c r="F550" s="398" t="inlineStr">
        <is>
          <t>TP HCM</t>
        </is>
      </c>
      <c r="G550" s="397" t="inlineStr">
        <is>
          <t>SG/HCM</t>
        </is>
      </c>
      <c r="H550" s="399" t="n"/>
      <c r="J550" s="392">
        <f>IFERROR(UPPER(TRIM(B550))&amp;"|"&amp;UPPER(TRIM(C550))&amp;"|"&amp;UPPER(TRIM(D550)),"")</f>
        <v/>
      </c>
    </row>
    <row r="551" ht="15.75" customHeight="1" s="217">
      <c r="A551" s="400" t="n">
        <v>549</v>
      </c>
      <c r="B551" s="400" t="inlineStr">
        <is>
          <t>KH3193</t>
        </is>
      </c>
      <c r="C551" s="401" t="inlineStr">
        <is>
          <t>Xưởng Anh Nam/ Đăk Lak / 0977.581.515</t>
        </is>
      </c>
      <c r="D551" s="400" t="inlineStr">
        <is>
          <t>0977.581.515</t>
        </is>
      </c>
      <c r="E551" s="402" t="n"/>
      <c r="F551" s="401" t="inlineStr">
        <is>
          <t>Thôn 2 xã Eanam -Huyện Eahleo-Tỉnh Đắk Lắk</t>
        </is>
      </c>
      <c r="G551" s="400" t="inlineStr">
        <is>
          <t>ÐL</t>
        </is>
      </c>
      <c r="H551" s="402" t="n"/>
      <c r="J551" s="392">
        <f>IFERROR(UPPER(TRIM(B551))&amp;"|"&amp;UPPER(TRIM(C551))&amp;"|"&amp;UPPER(TRIM(D551)),"")</f>
        <v/>
      </c>
    </row>
    <row r="552" ht="15.75" customHeight="1" s="217">
      <c r="A552" s="397" t="n">
        <v>550</v>
      </c>
      <c r="B552" s="397" t="inlineStr">
        <is>
          <t>KH3194</t>
        </is>
      </c>
      <c r="C552" s="398" t="inlineStr">
        <is>
          <t>Khôi Phát Auto - Bình Chánh / Anh Lộc: 0906.797.883 - 0933.403.037</t>
        </is>
      </c>
      <c r="D552" s="397" t="inlineStr">
        <is>
          <t>0906.797.883 / 0933.403.037</t>
        </is>
      </c>
      <c r="E552" s="399" t="n"/>
      <c r="F552" s="398" t="inlineStr">
        <is>
          <t>C2/28 Ấp 3, Tân Quý Tây, Bình Chánh, TP HCM</t>
        </is>
      </c>
      <c r="G552" s="397" t="inlineStr">
        <is>
          <t>SG/HCM</t>
        </is>
      </c>
      <c r="H552" s="399" t="n"/>
      <c r="J552" s="392">
        <f>IFERROR(UPPER(TRIM(B552))&amp;"|"&amp;UPPER(TRIM(C552))&amp;"|"&amp;UPPER(TRIM(D552)),"")</f>
        <v/>
      </c>
    </row>
    <row r="553" ht="15.75" customHeight="1" s="217">
      <c r="A553" s="400" t="n">
        <v>551</v>
      </c>
      <c r="B553" s="400" t="inlineStr">
        <is>
          <t>KH3190</t>
        </is>
      </c>
      <c r="C553" s="401" t="inlineStr">
        <is>
          <t>Cửa hàng Phụ Tùng Ô tô Linh Bảo -Hà Nội / 0913.091.994</t>
        </is>
      </c>
      <c r="D553" s="400" t="inlineStr">
        <is>
          <t>0913.091.994</t>
        </is>
      </c>
      <c r="E553" s="402" t="n"/>
      <c r="F553" s="401" t="inlineStr">
        <is>
          <t>24 Hương Viên, Q. Hai Bà Trưng, TP. Hà Nội</t>
        </is>
      </c>
      <c r="G553" s="400" t="inlineStr">
        <is>
          <t>HN</t>
        </is>
      </c>
      <c r="H553" s="402" t="n"/>
      <c r="J553" s="392">
        <f>IFERROR(UPPER(TRIM(B553))&amp;"|"&amp;UPPER(TRIM(C553))&amp;"|"&amp;UPPER(TRIM(D553)),"")</f>
        <v/>
      </c>
    </row>
    <row r="554" ht="15.75" customHeight="1" s="217">
      <c r="A554" s="397" t="n">
        <v>552</v>
      </c>
      <c r="B554" s="397" t="inlineStr">
        <is>
          <t>KH3191</t>
        </is>
      </c>
      <c r="C554" s="398" t="inlineStr">
        <is>
          <t>Công ty Hưng Hà / Đà Nẵng / A Hưng - 0985.292.629</t>
        </is>
      </c>
      <c r="D554" s="397" t="inlineStr">
        <is>
          <t>0985.292.629</t>
        </is>
      </c>
      <c r="E554" s="399" t="n"/>
      <c r="F554" s="398" t="inlineStr">
        <is>
          <t>TP Đà Nẵng</t>
        </is>
      </c>
      <c r="G554" s="397" t="inlineStr">
        <is>
          <t>DNANG</t>
        </is>
      </c>
      <c r="H554" s="399" t="n"/>
      <c r="J554" s="392">
        <f>IFERROR(UPPER(TRIM(B554))&amp;"|"&amp;UPPER(TRIM(C554))&amp;"|"&amp;UPPER(TRIM(D554)),"")</f>
        <v/>
      </c>
    </row>
    <row r="555" ht="15.75" customHeight="1" s="217">
      <c r="A555" s="400" t="n">
        <v>553</v>
      </c>
      <c r="B555" s="400" t="inlineStr">
        <is>
          <t>KH3187</t>
        </is>
      </c>
      <c r="C555" s="401" t="inlineStr">
        <is>
          <t>Gara Tý - Bình Phước/ A Phú - 0985.574.437</t>
        </is>
      </c>
      <c r="D555" s="400" t="inlineStr">
        <is>
          <t>0985.574.437</t>
        </is>
      </c>
      <c r="E555" s="402" t="n"/>
      <c r="F555" s="401" t="inlineStr">
        <is>
          <t>Xã Đak Ơ-Huyện Bù Gia Mập-Tỉnh Bình Phước</t>
        </is>
      </c>
      <c r="G555" s="400" t="inlineStr">
        <is>
          <t>BP</t>
        </is>
      </c>
      <c r="H555" s="402" t="n"/>
      <c r="J555" s="392">
        <f>IFERROR(UPPER(TRIM(B555))&amp;"|"&amp;UPPER(TRIM(C555))&amp;"|"&amp;UPPER(TRIM(D555)),"")</f>
        <v/>
      </c>
    </row>
    <row r="556" ht="15.75" customHeight="1" s="217">
      <c r="A556" s="397" t="n">
        <v>554</v>
      </c>
      <c r="B556" s="397" t="inlineStr">
        <is>
          <t>KH3188</t>
        </is>
      </c>
      <c r="C556" s="398" t="inlineStr">
        <is>
          <t>Xưởng Anh Hoàng-Phú Quốc-Kiên Giang / 0977.771.154</t>
        </is>
      </c>
      <c r="D556" s="397" t="inlineStr">
        <is>
          <t>0977.771.154</t>
        </is>
      </c>
      <c r="E556" s="399" t="n"/>
      <c r="F556" s="398" t="inlineStr">
        <is>
          <t>Khu phố 7 -P. An Thới- Phú Quốc-Kiên Giang</t>
        </is>
      </c>
      <c r="G556" s="397" t="inlineStr">
        <is>
          <t>KG</t>
        </is>
      </c>
      <c r="H556" s="399" t="n"/>
      <c r="J556" s="392">
        <f>IFERROR(UPPER(TRIM(B556))&amp;"|"&amp;UPPER(TRIM(C556))&amp;"|"&amp;UPPER(TRIM(D556)),"")</f>
        <v/>
      </c>
    </row>
    <row r="557" ht="15.75" customHeight="1" s="217">
      <c r="A557" s="400" t="n">
        <v>555</v>
      </c>
      <c r="B557" s="400" t="inlineStr">
        <is>
          <t>KH3189</t>
        </is>
      </c>
      <c r="C557" s="401" t="inlineStr">
        <is>
          <t>Xưởng Anh Tâm-Phú Quốc-Kiên Giang/ 0919.828.457</t>
        </is>
      </c>
      <c r="D557" s="400" t="inlineStr">
        <is>
          <t>0919.828.457</t>
        </is>
      </c>
      <c r="E557" s="402" t="n"/>
      <c r="F557" s="401" t="inlineStr">
        <is>
          <t>Dương Đông-Phú Quốc-Kiên Giang</t>
        </is>
      </c>
      <c r="G557" s="400" t="inlineStr">
        <is>
          <t>KG</t>
        </is>
      </c>
      <c r="H557" s="402" t="n"/>
      <c r="J557" s="392">
        <f>IFERROR(UPPER(TRIM(B557))&amp;"|"&amp;UPPER(TRIM(C557))&amp;"|"&amp;UPPER(TRIM(D557)),"")</f>
        <v/>
      </c>
    </row>
    <row r="558" ht="15.75" customHeight="1" s="217">
      <c r="A558" s="397" t="n">
        <v>556</v>
      </c>
      <c r="B558" s="397" t="inlineStr">
        <is>
          <t>HUIREN</t>
        </is>
      </c>
      <c r="C558" s="398" t="inlineStr">
        <is>
          <t>ZHEJIANG HUIREN ELECTRONICS CO., LTD</t>
        </is>
      </c>
      <c r="D558" s="399" t="n"/>
      <c r="E558" s="399" t="n"/>
      <c r="F558" s="398" t="inlineStr">
        <is>
          <t>Zhejiang, China</t>
        </is>
      </c>
      <c r="G558" s="399" t="n"/>
      <c r="H558" s="399" t="n"/>
      <c r="J558" s="392">
        <f>IFERROR(UPPER(TRIM(B558))&amp;"|"&amp;UPPER(TRIM(C558))&amp;"|"&amp;UPPER(TRIM(D558)),"")</f>
        <v/>
      </c>
    </row>
    <row r="559" ht="15.75" customHeight="1" s="217">
      <c r="A559" s="400" t="n">
        <v>557</v>
      </c>
      <c r="B559" s="400" t="inlineStr">
        <is>
          <t>KH3186</t>
        </is>
      </c>
      <c r="C559" s="401" t="inlineStr">
        <is>
          <t>Cửa hàng Tư Hảo -Cà Mau / Chị Bích- 0907.441.451</t>
        </is>
      </c>
      <c r="D559" s="400" t="inlineStr">
        <is>
          <t>0907.441.451</t>
        </is>
      </c>
      <c r="E559" s="402" t="n"/>
      <c r="F559" s="401" t="inlineStr">
        <is>
          <t>Lý Văn Lâm-Cà Mau</t>
        </is>
      </c>
      <c r="G559" s="400" t="inlineStr">
        <is>
          <t>CMAU</t>
        </is>
      </c>
      <c r="H559" s="402" t="n"/>
      <c r="J559" s="392">
        <f>IFERROR(UPPER(TRIM(B559))&amp;"|"&amp;UPPER(TRIM(C559))&amp;"|"&amp;UPPER(TRIM(D559)),"")</f>
        <v/>
      </c>
    </row>
    <row r="560" ht="15.75" customHeight="1" s="217">
      <c r="A560" s="397" t="n">
        <v>558</v>
      </c>
      <c r="B560" s="397" t="inlineStr">
        <is>
          <t>KH3185</t>
        </is>
      </c>
      <c r="C560" s="398" t="inlineStr">
        <is>
          <t>Cửa hàng Phụ Tùng Ôtô  Minh/ 0919.649.290</t>
        </is>
      </c>
      <c r="D560" s="397" t="inlineStr">
        <is>
          <t>0919.649.290</t>
        </is>
      </c>
      <c r="E560" s="399" t="n"/>
      <c r="F560" s="398" t="inlineStr">
        <is>
          <t>138 Lê Duẩn, TP Phan Rang - Bình Thuận</t>
        </is>
      </c>
      <c r="G560" s="397" t="inlineStr">
        <is>
          <t>BTHUAN</t>
        </is>
      </c>
      <c r="H560" s="399" t="n"/>
      <c r="J560" s="392">
        <f>IFERROR(UPPER(TRIM(B560))&amp;"|"&amp;UPPER(TRIM(C560))&amp;"|"&amp;UPPER(TRIM(D560)),"")</f>
        <v/>
      </c>
    </row>
    <row r="561" ht="15.75" customHeight="1" s="217">
      <c r="A561" s="400" t="n">
        <v>559</v>
      </c>
      <c r="B561" s="400" t="inlineStr">
        <is>
          <t>KH3183</t>
        </is>
      </c>
      <c r="C561" s="401" t="inlineStr">
        <is>
          <t>Xưởng Anh Tùng-Vĩnh Phú 38 Bình Dương/ 0906.960.742</t>
        </is>
      </c>
      <c r="D561" s="400" t="inlineStr">
        <is>
          <t>0906.960.742</t>
        </is>
      </c>
      <c r="E561" s="402" t="n"/>
      <c r="F561" s="401" t="inlineStr">
        <is>
          <t>Bình Dương</t>
        </is>
      </c>
      <c r="G561" s="400" t="inlineStr">
        <is>
          <t>BDUONG</t>
        </is>
      </c>
      <c r="H561" s="402" t="n"/>
      <c r="J561" s="392">
        <f>IFERROR(UPPER(TRIM(B561))&amp;"|"&amp;UPPER(TRIM(C561))&amp;"|"&amp;UPPER(TRIM(D561)),"")</f>
        <v/>
      </c>
    </row>
    <row r="562" ht="15.75" customHeight="1" s="217">
      <c r="A562" s="397" t="n">
        <v>560</v>
      </c>
      <c r="B562" s="397" t="inlineStr">
        <is>
          <t>KH3184</t>
        </is>
      </c>
      <c r="C562" s="398" t="inlineStr">
        <is>
          <t>Công ty TNHH Xây Dựng Minh Đức NT-A Sơn/ 0705.593.917</t>
        </is>
      </c>
      <c r="D562" s="397" t="inlineStr">
        <is>
          <t>0705.593.917</t>
        </is>
      </c>
      <c r="E562" s="399" t="n"/>
      <c r="F562" s="398" t="inlineStr">
        <is>
          <t>79 Phòng Không- P. Phước Long-TP Nha Trang-T.Khánh Hoà</t>
        </is>
      </c>
      <c r="G562" s="397" t="inlineStr">
        <is>
          <t>NTRANG</t>
        </is>
      </c>
      <c r="H562" s="399" t="n"/>
      <c r="J562" s="392">
        <f>IFERROR(UPPER(TRIM(B562))&amp;"|"&amp;UPPER(TRIM(C562))&amp;"|"&amp;UPPER(TRIM(D562)),"")</f>
        <v/>
      </c>
    </row>
    <row r="563" ht="15.75" customHeight="1" s="217">
      <c r="A563" s="400" t="n">
        <v>561</v>
      </c>
      <c r="B563" s="400" t="inlineStr">
        <is>
          <t>KH3182</t>
        </is>
      </c>
      <c r="C563" s="401" t="inlineStr">
        <is>
          <t>Xưởng Anh Đăng -TP Bảo Lộc/0904.981.250</t>
        </is>
      </c>
      <c r="D563" s="400" t="inlineStr">
        <is>
          <t>0904.981.250</t>
        </is>
      </c>
      <c r="E563" s="402" t="n"/>
      <c r="F563" s="401" t="inlineStr">
        <is>
          <t>TP Bảo Lộc-Lâm Đồng</t>
        </is>
      </c>
      <c r="G563" s="400" t="inlineStr">
        <is>
          <t>LDONG</t>
        </is>
      </c>
      <c r="H563" s="402" t="n"/>
      <c r="J563" s="392">
        <f>IFERROR(UPPER(TRIM(B563))&amp;"|"&amp;UPPER(TRIM(C563))&amp;"|"&amp;UPPER(TRIM(D563)),"")</f>
        <v/>
      </c>
    </row>
    <row r="564" ht="15.75" customHeight="1" s="217">
      <c r="A564" s="397" t="n">
        <v>562</v>
      </c>
      <c r="B564" s="397" t="inlineStr">
        <is>
          <t>KH3181</t>
        </is>
      </c>
      <c r="C564" s="398" t="inlineStr">
        <is>
          <t>Cửa hàng Văn Thuận - Bình Định / 0975.056.454</t>
        </is>
      </c>
      <c r="D564" s="397" t="inlineStr">
        <is>
          <t>0975.056.454</t>
        </is>
      </c>
      <c r="E564" s="399" t="n"/>
      <c r="F564" s="398" t="inlineStr">
        <is>
          <t>Ân Tín - Hoài Ân- Bình Định</t>
        </is>
      </c>
      <c r="G564" s="397" t="inlineStr">
        <is>
          <t>BDINH</t>
        </is>
      </c>
      <c r="H564" s="399" t="n"/>
      <c r="J564" s="392">
        <f>IFERROR(UPPER(TRIM(B564))&amp;"|"&amp;UPPER(TRIM(C564))&amp;"|"&amp;UPPER(TRIM(D564)),"")</f>
        <v/>
      </c>
    </row>
    <row r="565" ht="15.75" customHeight="1" s="217">
      <c r="A565" s="400" t="n">
        <v>563</v>
      </c>
      <c r="B565" s="400" t="inlineStr">
        <is>
          <t>KH3179</t>
        </is>
      </c>
      <c r="C565" s="401" t="inlineStr">
        <is>
          <t>Công ty Toàn Phước Huy-Sài Gòn / A Dũng- 0938.181.972</t>
        </is>
      </c>
      <c r="D565" s="400" t="inlineStr">
        <is>
          <t>0938.181.972</t>
        </is>
      </c>
      <c r="E565" s="402" t="n"/>
      <c r="F565" s="401" t="inlineStr">
        <is>
          <t>Q Tân Phú- Sài Gòn</t>
        </is>
      </c>
      <c r="G565" s="400" t="inlineStr">
        <is>
          <t>SG/HCM</t>
        </is>
      </c>
      <c r="H565" s="402" t="n"/>
      <c r="J565" s="392">
        <f>IFERROR(UPPER(TRIM(B565))&amp;"|"&amp;UPPER(TRIM(C565))&amp;"|"&amp;UPPER(TRIM(D565)),"")</f>
        <v/>
      </c>
    </row>
    <row r="566" ht="15.75" customHeight="1" s="217">
      <c r="A566" s="397" t="n">
        <v>564</v>
      </c>
      <c r="B566" s="397" t="inlineStr">
        <is>
          <t>KH3180</t>
        </is>
      </c>
      <c r="C566" s="398" t="inlineStr">
        <is>
          <t>Công ty Vinadelta/ A Toàn 0986.736.450</t>
        </is>
      </c>
      <c r="D566" s="397" t="inlineStr">
        <is>
          <t>0986.736.450</t>
        </is>
      </c>
      <c r="E566" s="399" t="n"/>
      <c r="F566" s="398" t="inlineStr">
        <is>
          <t>327 Tô Hiệu, TP Hưng Yên, Tỉnh Hưng Yên</t>
        </is>
      </c>
      <c r="G566" s="397" t="inlineStr">
        <is>
          <t>HN</t>
        </is>
      </c>
      <c r="H566" s="399" t="n"/>
      <c r="J566" s="392">
        <f>IFERROR(UPPER(TRIM(B566))&amp;"|"&amp;UPPER(TRIM(C566))&amp;"|"&amp;UPPER(TRIM(D566)),"")</f>
        <v/>
      </c>
    </row>
    <row r="567" ht="15.75" customHeight="1" s="217">
      <c r="A567" s="400" t="n">
        <v>565</v>
      </c>
      <c r="B567" s="400" t="inlineStr">
        <is>
          <t>KH3175</t>
        </is>
      </c>
      <c r="C567" s="401" t="inlineStr">
        <is>
          <t>Xưởng A Nở - Bình Tân-SG / 0913.663.193</t>
        </is>
      </c>
      <c r="D567" s="400" t="inlineStr">
        <is>
          <t>0913.663.193</t>
        </is>
      </c>
      <c r="E567" s="402" t="n"/>
      <c r="F567" s="401" t="inlineStr">
        <is>
          <t>206 ĐƯỜNG MÃ LÒ ,P BÌNH TRỊ ĐÔNG A , QUẬN BÌNH TÂN, TP HCM</t>
        </is>
      </c>
      <c r="G567" s="400" t="inlineStr">
        <is>
          <t>SG/HCM</t>
        </is>
      </c>
      <c r="H567" s="402" t="n"/>
      <c r="J567" s="392">
        <f>IFERROR(UPPER(TRIM(B567))&amp;"|"&amp;UPPER(TRIM(C567))&amp;"|"&amp;UPPER(TRIM(D567)),"")</f>
        <v/>
      </c>
    </row>
    <row r="568" ht="15.75" customHeight="1" s="217">
      <c r="A568" s="397" t="n">
        <v>566</v>
      </c>
      <c r="B568" s="397" t="inlineStr">
        <is>
          <t>KH3176</t>
        </is>
      </c>
      <c r="C568" s="398" t="inlineStr">
        <is>
          <t>Anh Phúc- Nha Trang-Khánh Hoà/ 0706.209.332</t>
        </is>
      </c>
      <c r="D568" s="397" t="inlineStr">
        <is>
          <t>0706.209.332</t>
        </is>
      </c>
      <c r="E568" s="399" t="n"/>
      <c r="F568" s="398" t="inlineStr">
        <is>
          <t>Như Xuân 1, Vĩnh Phương, Nha Trang, Khánh Hoà</t>
        </is>
      </c>
      <c r="G568" s="397" t="inlineStr">
        <is>
          <t>NTRANG</t>
        </is>
      </c>
      <c r="H568" s="399" t="n"/>
      <c r="J568" s="392">
        <f>IFERROR(UPPER(TRIM(B568))&amp;"|"&amp;UPPER(TRIM(C568))&amp;"|"&amp;UPPER(TRIM(D568)),"")</f>
        <v/>
      </c>
    </row>
    <row r="569" ht="15.75" customHeight="1" s="217">
      <c r="A569" s="400" t="n">
        <v>567</v>
      </c>
      <c r="B569" s="400" t="inlineStr">
        <is>
          <t>KH3177</t>
        </is>
      </c>
      <c r="C569" s="401" t="inlineStr">
        <is>
          <t>Xưởng Văn Hoà- Tây Ninh/ 0967.555.377</t>
        </is>
      </c>
      <c r="D569" s="400" t="inlineStr">
        <is>
          <t>0967.555.377</t>
        </is>
      </c>
      <c r="E569" s="402" t="n"/>
      <c r="F569" s="401" t="inlineStr">
        <is>
          <t>Tây Hoà-Tây Ninh</t>
        </is>
      </c>
      <c r="G569" s="400" t="inlineStr">
        <is>
          <t>TNINH</t>
        </is>
      </c>
      <c r="H569" s="402" t="n"/>
      <c r="J569" s="392">
        <f>IFERROR(UPPER(TRIM(B569))&amp;"|"&amp;UPPER(TRIM(C569))&amp;"|"&amp;UPPER(TRIM(D569)),"")</f>
        <v/>
      </c>
    </row>
    <row r="570" ht="15.75" customHeight="1" s="217">
      <c r="A570" s="397" t="n">
        <v>568</v>
      </c>
      <c r="B570" s="397" t="inlineStr">
        <is>
          <t>KH3178</t>
        </is>
      </c>
      <c r="C570" s="398" t="inlineStr">
        <is>
          <t>Anh Cường Chủ Máy- Bà Rịa Vũng Tàu/ 0886.227.977</t>
        </is>
      </c>
      <c r="D570" s="397" t="inlineStr">
        <is>
          <t>0886.227.977</t>
        </is>
      </c>
      <c r="E570" s="399" t="n"/>
      <c r="F570" s="398" t="inlineStr">
        <is>
          <t>Bến xe Xuyên Mộc -Bà Rịa Vũng Tàu</t>
        </is>
      </c>
      <c r="G570" s="397" t="inlineStr">
        <is>
          <t>BRVT</t>
        </is>
      </c>
      <c r="H570" s="399" t="n"/>
      <c r="J570" s="392">
        <f>IFERROR(UPPER(TRIM(B570))&amp;"|"&amp;UPPER(TRIM(C570))&amp;"|"&amp;UPPER(TRIM(D570)),"")</f>
        <v/>
      </c>
    </row>
    <row r="571" ht="15.75" customHeight="1" s="217">
      <c r="A571" s="400" t="n">
        <v>569</v>
      </c>
      <c r="B571" s="400" t="inlineStr">
        <is>
          <t>KH3174</t>
        </is>
      </c>
      <c r="C571" s="401" t="inlineStr">
        <is>
          <t>Công ty CP VIMECO/ Anh Kiểm 0396.233.232</t>
        </is>
      </c>
      <c r="D571" s="400" t="inlineStr">
        <is>
          <t>0396.233.232</t>
        </is>
      </c>
      <c r="E571" s="402" t="n"/>
      <c r="F571" s="401" t="inlineStr">
        <is>
          <t>Lô E9, Đ. Phạm Hùng, P. Trung Hòa, Q. Cầu Giấy, Hà Nội</t>
        </is>
      </c>
      <c r="G571" s="400" t="inlineStr">
        <is>
          <t>SG/HCM</t>
        </is>
      </c>
      <c r="H571" s="402" t="n"/>
      <c r="J571" s="392">
        <f>IFERROR(UPPER(TRIM(B571))&amp;"|"&amp;UPPER(TRIM(C571))&amp;"|"&amp;UPPER(TRIM(D571)),"")</f>
        <v/>
      </c>
    </row>
    <row r="572" ht="15.75" customHeight="1" s="217">
      <c r="A572" s="397" t="n">
        <v>570</v>
      </c>
      <c r="B572" s="397" t="inlineStr">
        <is>
          <t>KH3173</t>
        </is>
      </c>
      <c r="C572" s="398" t="inlineStr">
        <is>
          <t>A Đeo-Bạc Liêu/ 0913.770.067</t>
        </is>
      </c>
      <c r="D572" s="397" t="inlineStr">
        <is>
          <t>0913.770.067</t>
        </is>
      </c>
      <c r="E572" s="399" t="n"/>
      <c r="F572" s="398" t="inlineStr">
        <is>
          <t>TP Bạc Liêu</t>
        </is>
      </c>
      <c r="G572" s="397" t="inlineStr">
        <is>
          <t>BLIEU</t>
        </is>
      </c>
      <c r="H572" s="399" t="n"/>
      <c r="J572" s="392">
        <f>IFERROR(UPPER(TRIM(B572))&amp;"|"&amp;UPPER(TRIM(C572))&amp;"|"&amp;UPPER(TRIM(D572)),"")</f>
        <v/>
      </c>
    </row>
    <row r="573" ht="15.75" customHeight="1" s="217">
      <c r="A573" s="400" t="n">
        <v>571</v>
      </c>
      <c r="B573" s="400" t="inlineStr">
        <is>
          <t>KH3172</t>
        </is>
      </c>
      <c r="C573" s="401" t="inlineStr">
        <is>
          <t>Xưởng Anh Đức - Đà Nẵng/ 0935.161.808</t>
        </is>
      </c>
      <c r="D573" s="400" t="inlineStr">
        <is>
          <t>0935.161.808</t>
        </is>
      </c>
      <c r="E573" s="402" t="n"/>
      <c r="F573" s="401" t="inlineStr">
        <is>
          <t>TP Đà Nẵng</t>
        </is>
      </c>
      <c r="G573" s="400" t="inlineStr">
        <is>
          <t>DNANG</t>
        </is>
      </c>
      <c r="H573" s="402" t="n"/>
      <c r="J573" s="392">
        <f>IFERROR(UPPER(TRIM(B573))&amp;"|"&amp;UPPER(TRIM(C573))&amp;"|"&amp;UPPER(TRIM(D573)),"")</f>
        <v/>
      </c>
    </row>
    <row r="574" ht="15.75" customHeight="1" s="217">
      <c r="A574" s="397" t="n">
        <v>572</v>
      </c>
      <c r="B574" s="397" t="inlineStr">
        <is>
          <t>KH3171</t>
        </is>
      </c>
      <c r="C574" s="398" t="inlineStr">
        <is>
          <t>Xưởng a Thiệu Dầu Tiếng / 0947.457.077</t>
        </is>
      </c>
      <c r="D574" s="397" t="inlineStr">
        <is>
          <t>0947.457.077</t>
        </is>
      </c>
      <c r="E574" s="399" t="n"/>
      <c r="F574" s="398" t="inlineStr">
        <is>
          <t>Dầu Tiếng - Bình Dương</t>
        </is>
      </c>
      <c r="G574" s="397" t="inlineStr">
        <is>
          <t>BDUONG</t>
        </is>
      </c>
      <c r="H574" s="399" t="n"/>
      <c r="J574" s="392">
        <f>IFERROR(UPPER(TRIM(B574))&amp;"|"&amp;UPPER(TRIM(C574))&amp;"|"&amp;UPPER(TRIM(D574)),"")</f>
        <v/>
      </c>
    </row>
    <row r="575" ht="15.75" customHeight="1" s="217">
      <c r="A575" s="400" t="n">
        <v>573</v>
      </c>
      <c r="B575" s="400" t="inlineStr">
        <is>
          <t>KH3169</t>
        </is>
      </c>
      <c r="C575" s="401" t="inlineStr">
        <is>
          <t>Gara Luân-Hóc Môn-SG/ 0906.066.882- 0916.066.882</t>
        </is>
      </c>
      <c r="D575" s="400" t="inlineStr">
        <is>
          <t>0906.066.882- / 0916.066.882</t>
        </is>
      </c>
      <c r="E575" s="402" t="n"/>
      <c r="F575" s="401" t="inlineStr">
        <is>
          <t>32 Bùi Công Trừng, Ấp 3 Đông Thạnh, Hóc Môn, TP HCM</t>
        </is>
      </c>
      <c r="G575" s="400" t="inlineStr">
        <is>
          <t>SG/HCM</t>
        </is>
      </c>
      <c r="H575" s="402" t="n"/>
      <c r="J575" s="392">
        <f>IFERROR(UPPER(TRIM(B575))&amp;"|"&amp;UPPER(TRIM(C575))&amp;"|"&amp;UPPER(TRIM(D575)),"")</f>
        <v/>
      </c>
    </row>
    <row r="576" ht="15.75" customHeight="1" s="217">
      <c r="A576" s="397" t="n">
        <v>574</v>
      </c>
      <c r="B576" s="397" t="inlineStr">
        <is>
          <t>KH3170</t>
        </is>
      </c>
      <c r="C576" s="398" t="inlineStr">
        <is>
          <t>A Tuấn Anh /Công ty XD An Phú/ 0972.457.888</t>
        </is>
      </c>
      <c r="D576" s="397" t="inlineStr">
        <is>
          <t>0972.457.888</t>
        </is>
      </c>
      <c r="E576" s="399" t="n"/>
      <c r="F576" s="398" t="inlineStr">
        <is>
          <t>TX Hồng Lĩnh, Hà Tĩnh</t>
        </is>
      </c>
      <c r="G576" s="397" t="inlineStr">
        <is>
          <t>HATINH</t>
        </is>
      </c>
      <c r="H576" s="399" t="n"/>
      <c r="J576" s="392">
        <f>IFERROR(UPPER(TRIM(B576))&amp;"|"&amp;UPPER(TRIM(C576))&amp;"|"&amp;UPPER(TRIM(D576)),"")</f>
        <v/>
      </c>
    </row>
    <row r="577" ht="15.75" customHeight="1" s="217">
      <c r="A577" s="400" t="n">
        <v>575</v>
      </c>
      <c r="B577" s="400" t="inlineStr">
        <is>
          <t>DHJ</t>
        </is>
      </c>
      <c r="C577" s="401" t="inlineStr">
        <is>
          <t>DHJ pumps (NINGBO WEIQING IMPORT &amp; EXPORT CO., LTD)</t>
        </is>
      </c>
      <c r="D577" s="402" t="n"/>
      <c r="E577" s="402" t="n"/>
      <c r="F577" s="401" t="inlineStr">
        <is>
          <t>ROOM 301,BUILDING D, PLASTICS CITY,YUYAO,CHINA</t>
        </is>
      </c>
      <c r="G577" s="402" t="n"/>
      <c r="H577" s="402" t="n"/>
      <c r="J577" s="392">
        <f>IFERROR(UPPER(TRIM(B577))&amp;"|"&amp;UPPER(TRIM(C577))&amp;"|"&amp;UPPER(TRIM(D577)),"")</f>
        <v/>
      </c>
    </row>
    <row r="578" ht="15.75" customHeight="1" s="217">
      <c r="A578" s="397" t="n">
        <v>576</v>
      </c>
      <c r="B578" s="397" t="inlineStr">
        <is>
          <t>KH3167</t>
        </is>
      </c>
      <c r="C578" s="398" t="inlineStr">
        <is>
          <t>CH Phụ Tùng Hoàng Sang-Ngã Ba Tân Vạn/ 0365.249.267</t>
        </is>
      </c>
      <c r="D578" s="397" t="inlineStr">
        <is>
          <t>0365.249.267</t>
        </is>
      </c>
      <c r="E578" s="399" t="n"/>
      <c r="F578" s="398" t="inlineStr">
        <is>
          <t>Phường Bình Thắng-Thị xã Dĩ An- Tỉnh Bình Dương</t>
        </is>
      </c>
      <c r="G578" s="397" t="inlineStr">
        <is>
          <t>BDUONG</t>
        </is>
      </c>
      <c r="H578" s="399" t="n"/>
      <c r="J578" s="392">
        <f>IFERROR(UPPER(TRIM(B578))&amp;"|"&amp;UPPER(TRIM(C578))&amp;"|"&amp;UPPER(TRIM(D578)),"")</f>
        <v/>
      </c>
    </row>
    <row r="579" ht="15.75" customHeight="1" s="217">
      <c r="A579" s="400" t="n">
        <v>577</v>
      </c>
      <c r="B579" s="400" t="inlineStr">
        <is>
          <t>KH3168</t>
        </is>
      </c>
      <c r="C579" s="401" t="inlineStr">
        <is>
          <t>Anh Hòa - Công ty Thiên Phú/ 0984.322.335</t>
        </is>
      </c>
      <c r="D579" s="400" t="inlineStr">
        <is>
          <t>0984.322.335</t>
        </is>
      </c>
      <c r="E579" s="402" t="n"/>
      <c r="F579" s="401" t="inlineStr">
        <is>
          <t>33/7 Xa Lộ Hà Nội, KP.Ngãi Thắng, P.Bình Thắng, Dĩ An, Bình Dương</t>
        </is>
      </c>
      <c r="G579" s="400" t="inlineStr">
        <is>
          <t>BDUONG</t>
        </is>
      </c>
      <c r="H579" s="402" t="n"/>
      <c r="J579" s="392">
        <f>IFERROR(UPPER(TRIM(B579))&amp;"|"&amp;UPPER(TRIM(C579))&amp;"|"&amp;UPPER(TRIM(D579)),"")</f>
        <v/>
      </c>
    </row>
    <row r="580" ht="15.75" customHeight="1" s="217">
      <c r="A580" s="397" t="n">
        <v>578</v>
      </c>
      <c r="B580" s="397" t="inlineStr">
        <is>
          <t>KH3166</t>
        </is>
      </c>
      <c r="C580" s="398" t="inlineStr">
        <is>
          <t>Cửa hàng Anh Linh -  Đắk Nông/ Anh Linh: 0968.245.454</t>
        </is>
      </c>
      <c r="D580" s="397" t="inlineStr">
        <is>
          <t>0968.245.454</t>
        </is>
      </c>
      <c r="E580" s="399" t="n"/>
      <c r="F580" s="398" t="inlineStr">
        <is>
          <t>Xã Đức Xuyên, Krong No, Đắk Nông</t>
        </is>
      </c>
      <c r="G580" s="397" t="inlineStr">
        <is>
          <t>DNONG</t>
        </is>
      </c>
      <c r="H580" s="397" t="inlineStr">
        <is>
          <t>Gửi xe Việt Tân Phát về Xã Đức Xuyên</t>
        </is>
      </c>
      <c r="J580" s="392">
        <f>IFERROR(UPPER(TRIM(B580))&amp;"|"&amp;UPPER(TRIM(C580))&amp;"|"&amp;UPPER(TRIM(D580)),"")</f>
        <v/>
      </c>
    </row>
    <row r="581" ht="15.75" customHeight="1" s="217">
      <c r="A581" s="400" t="n">
        <v>579</v>
      </c>
      <c r="B581" s="400" t="inlineStr">
        <is>
          <t>KH3165</t>
        </is>
      </c>
      <c r="C581" s="401" t="inlineStr">
        <is>
          <t>Gara Hùng Anh, Lâm Hà / A. Hùng Anh 0987.905.275</t>
        </is>
      </c>
      <c r="D581" s="400" t="inlineStr">
        <is>
          <t>0987.905.275</t>
        </is>
      </c>
      <c r="E581" s="402" t="n"/>
      <c r="F581" s="401" t="inlineStr">
        <is>
          <t>Lâm Hà, Lâm Đồng</t>
        </is>
      </c>
      <c r="G581" s="400" t="inlineStr">
        <is>
          <t>LDONG</t>
        </is>
      </c>
      <c r="H581" s="402" t="n"/>
      <c r="J581" s="392">
        <f>IFERROR(UPPER(TRIM(B581))&amp;"|"&amp;UPPER(TRIM(C581))&amp;"|"&amp;UPPER(TRIM(D581)),"")</f>
        <v/>
      </c>
    </row>
    <row r="582" ht="15.75" customHeight="1" s="217">
      <c r="A582" s="397" t="n">
        <v>580</v>
      </c>
      <c r="B582" s="397" t="inlineStr">
        <is>
          <t>KH3164</t>
        </is>
      </c>
      <c r="C582" s="398" t="inlineStr">
        <is>
          <t>Xưởng A Dũng- Buôn Mê Thuột- Đak Lak/ 0946.050.547</t>
        </is>
      </c>
      <c r="D582" s="397" t="inlineStr">
        <is>
          <t>0946.050.547</t>
        </is>
      </c>
      <c r="E582" s="399" t="n"/>
      <c r="F582" s="398" t="inlineStr">
        <is>
          <t>Thành phố Buôn Mê Thuột, Đak Lak</t>
        </is>
      </c>
      <c r="G582" s="397" t="inlineStr">
        <is>
          <t>ÐL</t>
        </is>
      </c>
      <c r="H582" s="399" t="n"/>
      <c r="J582" s="392">
        <f>IFERROR(UPPER(TRIM(B582))&amp;"|"&amp;UPPER(TRIM(C582))&amp;"|"&amp;UPPER(TRIM(D582)),"")</f>
        <v/>
      </c>
    </row>
    <row r="583" ht="15.75" customHeight="1" s="217">
      <c r="A583" s="400" t="n">
        <v>581</v>
      </c>
      <c r="B583" s="400" t="inlineStr">
        <is>
          <t>KH3162</t>
        </is>
      </c>
      <c r="C583" s="401" t="inlineStr">
        <is>
          <t>Phụ tùng ô tô Quốc Hùng-Kon Tum / 0902.424.377</t>
        </is>
      </c>
      <c r="D583" s="400" t="inlineStr">
        <is>
          <t>0902.424.377</t>
        </is>
      </c>
      <c r="E583" s="402" t="n"/>
      <c r="F583" s="401" t="inlineStr">
        <is>
          <t>877 Hùng Vương-Ngọc Hồi-Kon Tum</t>
        </is>
      </c>
      <c r="G583" s="400" t="inlineStr">
        <is>
          <t>KTUM</t>
        </is>
      </c>
      <c r="H583" s="402" t="n"/>
      <c r="J583" s="392">
        <f>IFERROR(UPPER(TRIM(B583))&amp;"|"&amp;UPPER(TRIM(C583))&amp;"|"&amp;UPPER(TRIM(D583)),"")</f>
        <v/>
      </c>
    </row>
    <row r="584" ht="15.75" customHeight="1" s="217">
      <c r="A584" s="397" t="n">
        <v>582</v>
      </c>
      <c r="B584" s="397" t="inlineStr">
        <is>
          <t>KH3163</t>
        </is>
      </c>
      <c r="C584" s="398" t="inlineStr">
        <is>
          <t>Xưởng Anh Huynh - Đà Lạt/ Anh Huynh: 0989.706.445</t>
        </is>
      </c>
      <c r="D584" s="397" t="inlineStr">
        <is>
          <t>0989.706.445</t>
        </is>
      </c>
      <c r="E584" s="399" t="n"/>
      <c r="F584" s="398" t="inlineStr">
        <is>
          <t>451 Hai Bà Trưng -  TP ĐÀ LẠT</t>
        </is>
      </c>
      <c r="G584" s="397" t="inlineStr">
        <is>
          <t>LDONG</t>
        </is>
      </c>
      <c r="H584" s="399" t="n"/>
      <c r="J584" s="392">
        <f>IFERROR(UPPER(TRIM(B584))&amp;"|"&amp;UPPER(TRIM(C584))&amp;"|"&amp;UPPER(TRIM(D584)),"")</f>
        <v/>
      </c>
    </row>
    <row r="585" ht="15.75" customHeight="1" s="217">
      <c r="A585" s="400" t="n">
        <v>583</v>
      </c>
      <c r="B585" s="400" t="inlineStr">
        <is>
          <t>KH3161</t>
        </is>
      </c>
      <c r="C585" s="401" t="inlineStr">
        <is>
          <t>CH Thanh Vũ- Ngã Bảy Hậu Giang/ 0917.979.079</t>
        </is>
      </c>
      <c r="D585" s="400" t="inlineStr">
        <is>
          <t>0917.979.079</t>
        </is>
      </c>
      <c r="E585" s="402" t="n"/>
      <c r="F585" s="401" t="inlineStr">
        <is>
          <t>Ngả Bảy, Hậu Giang</t>
        </is>
      </c>
      <c r="G585" s="400" t="inlineStr">
        <is>
          <t>HG</t>
        </is>
      </c>
      <c r="H585" s="402" t="n"/>
      <c r="J585" s="392">
        <f>IFERROR(UPPER(TRIM(B585))&amp;"|"&amp;UPPER(TRIM(C585))&amp;"|"&amp;UPPER(TRIM(D585)),"")</f>
        <v/>
      </c>
    </row>
    <row r="586" ht="15.75" customHeight="1" s="217">
      <c r="A586" s="397" t="n">
        <v>584</v>
      </c>
      <c r="B586" s="397" t="inlineStr">
        <is>
          <t>KH3160</t>
        </is>
      </c>
      <c r="C586" s="398" t="inlineStr">
        <is>
          <t>Anh Thái- Biên Hoà/ 0797.810.039</t>
        </is>
      </c>
      <c r="D586" s="397" t="inlineStr">
        <is>
          <t>0797.810.039</t>
        </is>
      </c>
      <c r="E586" s="399" t="n"/>
      <c r="F586" s="398" t="inlineStr">
        <is>
          <t>Biên Hoà-Đồng Nai</t>
        </is>
      </c>
      <c r="G586" s="397" t="inlineStr">
        <is>
          <t>ÐNAI</t>
        </is>
      </c>
      <c r="H586" s="399" t="n"/>
      <c r="J586" s="392">
        <f>IFERROR(UPPER(TRIM(B586))&amp;"|"&amp;UPPER(TRIM(C586))&amp;"|"&amp;UPPER(TRIM(D586)),"")</f>
        <v/>
      </c>
    </row>
    <row r="587" ht="15.75" customHeight="1" s="217">
      <c r="A587" s="400" t="n">
        <v>585</v>
      </c>
      <c r="B587" s="400" t="inlineStr">
        <is>
          <t>KH3159</t>
        </is>
      </c>
      <c r="C587" s="401" t="inlineStr">
        <is>
          <t>CH nông ngư cơ  Nhật Hàn/ Anh Toại - Bến Tre 0937.608.608</t>
        </is>
      </c>
      <c r="D587" s="400" t="inlineStr">
        <is>
          <t>0937.608.608</t>
        </is>
      </c>
      <c r="E587" s="402" t="n"/>
      <c r="F587" s="401" t="inlineStr">
        <is>
          <t>Ấp 5, xã An Khánh, Huyện Châu Thành, Bến Tre</t>
        </is>
      </c>
      <c r="G587" s="400" t="inlineStr">
        <is>
          <t>BTRE</t>
        </is>
      </c>
      <c r="H587" s="402" t="n"/>
      <c r="J587" s="392">
        <f>IFERROR(UPPER(TRIM(B587))&amp;"|"&amp;UPPER(TRIM(C587))&amp;"|"&amp;UPPER(TRIM(D587)),"")</f>
        <v/>
      </c>
    </row>
    <row r="588" ht="15.75" customHeight="1" s="217">
      <c r="A588" s="397" t="n">
        <v>586</v>
      </c>
      <c r="B588" s="397" t="inlineStr">
        <is>
          <t>KH3157</t>
        </is>
      </c>
      <c r="C588" s="398" t="inlineStr">
        <is>
          <t>CH Thu Thái - Bình Định / A Đạt 0973.541.156</t>
        </is>
      </c>
      <c r="D588" s="397" t="inlineStr">
        <is>
          <t>0973.541.156</t>
        </is>
      </c>
      <c r="E588" s="399" t="n"/>
      <c r="F588" s="398" t="inlineStr">
        <is>
          <t>818-822 Võ Nguyên Giáp, Nhơn Hòa, TX An Nhơn, Bình Định</t>
        </is>
      </c>
      <c r="G588" s="397" t="inlineStr">
        <is>
          <t>BDINH</t>
        </is>
      </c>
      <c r="H588" s="399" t="n"/>
      <c r="J588" s="392">
        <f>IFERROR(UPPER(TRIM(B588))&amp;"|"&amp;UPPER(TRIM(C588))&amp;"|"&amp;UPPER(TRIM(D588)),"")</f>
        <v/>
      </c>
    </row>
    <row r="589" ht="15.75" customHeight="1" s="217">
      <c r="A589" s="400" t="n">
        <v>587</v>
      </c>
      <c r="B589" s="400" t="inlineStr">
        <is>
          <t>KH3158</t>
        </is>
      </c>
      <c r="C589" s="401" t="inlineStr">
        <is>
          <t>Xưởng Anh Tuấn- Phú Quốc/ 0939.636.628</t>
        </is>
      </c>
      <c r="D589" s="400" t="inlineStr">
        <is>
          <t>0939.636.628</t>
        </is>
      </c>
      <c r="E589" s="402" t="n"/>
      <c r="F589" s="401" t="inlineStr">
        <is>
          <t>Đông Dương - Phú Quốc</t>
        </is>
      </c>
      <c r="G589" s="402" t="n"/>
      <c r="H589" s="402" t="n"/>
      <c r="J589" s="392">
        <f>IFERROR(UPPER(TRIM(B589))&amp;"|"&amp;UPPER(TRIM(C589))&amp;"|"&amp;UPPER(TRIM(D589)),"")</f>
        <v/>
      </c>
    </row>
    <row r="590" ht="15.75" customHeight="1" s="217">
      <c r="A590" s="397" t="n">
        <v>588</v>
      </c>
      <c r="B590" s="397" t="inlineStr">
        <is>
          <t>KH3156</t>
        </is>
      </c>
      <c r="C590" s="398" t="inlineStr">
        <is>
          <t>Cửa hàng phụ tùng Hai Xía - Cà Mau / 0939.261.861 - 0949.887.969</t>
        </is>
      </c>
      <c r="D590" s="397" t="inlineStr">
        <is>
          <t>0939.261.861 / 0949.887.969</t>
        </is>
      </c>
      <c r="E590" s="399" t="n"/>
      <c r="F590" s="398" t="inlineStr">
        <is>
          <t>Ấp 10A, xã Trần Hợi, huyện Trần Văn Thời, Cà Mau</t>
        </is>
      </c>
      <c r="G590" s="397" t="inlineStr">
        <is>
          <t>CMAU</t>
        </is>
      </c>
      <c r="H590" s="397" t="inlineStr">
        <is>
          <t>Gửi chành Tuấn Hưng - 245 Thái Phiên</t>
        </is>
      </c>
      <c r="J590" s="392">
        <f>IFERROR(UPPER(TRIM(B590))&amp;"|"&amp;UPPER(TRIM(C590))&amp;"|"&amp;UPPER(TRIM(D590)),"")</f>
        <v/>
      </c>
    </row>
    <row r="591" ht="15.75" customHeight="1" s="217">
      <c r="A591" s="400" t="n">
        <v>589</v>
      </c>
      <c r="B591" s="400" t="inlineStr">
        <is>
          <t>KH3155</t>
        </is>
      </c>
      <c r="C591" s="401" t="inlineStr">
        <is>
          <t>ANH HÙNG - ĐỨC TRỌNG 0972.983.984</t>
        </is>
      </c>
      <c r="D591" s="400" t="inlineStr">
        <is>
          <t>0972.983.984</t>
        </is>
      </c>
      <c r="E591" s="402" t="n"/>
      <c r="F591" s="401" t="inlineStr">
        <is>
          <t>Đức Trọng, Lâm Đồng</t>
        </is>
      </c>
      <c r="G591" s="400" t="inlineStr">
        <is>
          <t>LDONG</t>
        </is>
      </c>
      <c r="H591" s="402" t="n"/>
      <c r="J591" s="392">
        <f>IFERROR(UPPER(TRIM(B591))&amp;"|"&amp;UPPER(TRIM(C591))&amp;"|"&amp;UPPER(TRIM(D591)),"")</f>
        <v/>
      </c>
    </row>
    <row r="592" ht="15.75" customHeight="1" s="217">
      <c r="A592" s="397" t="n">
        <v>590</v>
      </c>
      <c r="B592" s="397" t="inlineStr">
        <is>
          <t>KH3154</t>
        </is>
      </c>
      <c r="C592" s="398" t="inlineStr">
        <is>
          <t>Xưởng Anh Hùng- Bình Chánh /0983.025.820</t>
        </is>
      </c>
      <c r="D592" s="397" t="inlineStr">
        <is>
          <t>0983.025.820</t>
        </is>
      </c>
      <c r="E592" s="399" t="n"/>
      <c r="F592" s="398" t="inlineStr">
        <is>
          <t>Bình Chánh-TP HCM</t>
        </is>
      </c>
      <c r="G592" s="397" t="inlineStr">
        <is>
          <t>SG/HCM</t>
        </is>
      </c>
      <c r="H592" s="399" t="n"/>
      <c r="J592" s="392">
        <f>IFERROR(UPPER(TRIM(B592))&amp;"|"&amp;UPPER(TRIM(C592))&amp;"|"&amp;UPPER(TRIM(D592)),"")</f>
        <v/>
      </c>
    </row>
    <row r="593" ht="15.75" customHeight="1" s="217">
      <c r="A593" s="400" t="n">
        <v>591</v>
      </c>
      <c r="B593" s="400" t="inlineStr">
        <is>
          <t>KH3153</t>
        </is>
      </c>
      <c r="C593" s="401" t="inlineStr">
        <is>
          <t>Anh Vương - Di Linh/  0969.003.993</t>
        </is>
      </c>
      <c r="D593" s="400" t="inlineStr">
        <is>
          <t>0969.003.993</t>
        </is>
      </c>
      <c r="E593" s="402" t="n"/>
      <c r="F593" s="401" t="inlineStr">
        <is>
          <t>Di Linh, Lâm Đồng</t>
        </is>
      </c>
      <c r="G593" s="400" t="inlineStr">
        <is>
          <t>LDONG</t>
        </is>
      </c>
      <c r="H593" s="402" t="n"/>
      <c r="J593" s="392">
        <f>IFERROR(UPPER(TRIM(B593))&amp;"|"&amp;UPPER(TRIM(C593))&amp;"|"&amp;UPPER(TRIM(D593)),"")</f>
        <v/>
      </c>
    </row>
    <row r="594" ht="15.75" customHeight="1" s="217">
      <c r="A594" s="397" t="n">
        <v>592</v>
      </c>
      <c r="B594" s="397" t="inlineStr">
        <is>
          <t>TANBORESS</t>
        </is>
      </c>
      <c r="C594" s="398" t="inlineStr">
        <is>
          <t>QINGDAO LANRESS AUTOTECH CO., LTD (TANBORESS TURBO)</t>
        </is>
      </c>
      <c r="D594" s="399" t="n"/>
      <c r="E594" s="399" t="n"/>
      <c r="F594" s="398" t="inlineStr">
        <is>
          <t>NO.46, SHUYUAN ROAD, LICANG DISTRICT, QINGDAO, CHINA</t>
        </is>
      </c>
      <c r="G594" s="399" t="n"/>
      <c r="H594" s="399" t="n"/>
      <c r="J594" s="392">
        <f>IFERROR(UPPER(TRIM(B594))&amp;"|"&amp;UPPER(TRIM(C594))&amp;"|"&amp;UPPER(TRIM(D594)),"")</f>
        <v/>
      </c>
    </row>
    <row r="595" ht="15.75" customHeight="1" s="217">
      <c r="A595" s="400" t="n">
        <v>593</v>
      </c>
      <c r="B595" s="400" t="inlineStr">
        <is>
          <t>KH3152</t>
        </is>
      </c>
      <c r="C595" s="401" t="inlineStr">
        <is>
          <t>Cửa hàng VMI (gia công nhông) - Linh Xuân / Thảo 0908.770.895</t>
        </is>
      </c>
      <c r="D595" s="400" t="inlineStr">
        <is>
          <t>0908.770.895</t>
        </is>
      </c>
      <c r="E595" s="402" t="n"/>
      <c r="F595" s="401" t="inlineStr">
        <is>
          <t>Linh Xuân - Thủ Đức- TP HCM</t>
        </is>
      </c>
      <c r="G595" s="400" t="inlineStr">
        <is>
          <t>SG/HCM</t>
        </is>
      </c>
      <c r="H595" s="402" t="n"/>
      <c r="J595" s="392">
        <f>IFERROR(UPPER(TRIM(B595))&amp;"|"&amp;UPPER(TRIM(C595))&amp;"|"&amp;UPPER(TRIM(D595)),"")</f>
        <v/>
      </c>
    </row>
    <row r="596" ht="15.75" customHeight="1" s="217">
      <c r="A596" s="397" t="n">
        <v>594</v>
      </c>
      <c r="B596" s="397" t="inlineStr">
        <is>
          <t>KH3147</t>
        </is>
      </c>
      <c r="C596" s="398" t="inlineStr">
        <is>
          <t>Anh  Oanh Turo - Bảo Đăng - Hải Phòng/ 0964.485.590</t>
        </is>
      </c>
      <c r="D596" s="397" t="inlineStr">
        <is>
          <t>0964.485.590</t>
        </is>
      </c>
      <c r="E596" s="399" t="n"/>
      <c r="F596" s="398" t="inlineStr">
        <is>
          <t>HẢI AN - HẢI PHÒNG</t>
        </is>
      </c>
      <c r="G596" s="399" t="n"/>
      <c r="H596" s="399" t="n"/>
      <c r="J596" s="392">
        <f>IFERROR(UPPER(TRIM(B596))&amp;"|"&amp;UPPER(TRIM(C596))&amp;"|"&amp;UPPER(TRIM(D596)),"")</f>
        <v/>
      </c>
    </row>
    <row r="597" ht="15.75" customHeight="1" s="217">
      <c r="A597" s="400" t="n">
        <v>595</v>
      </c>
      <c r="B597" s="400" t="inlineStr">
        <is>
          <t>KH3148</t>
        </is>
      </c>
      <c r="C597" s="401" t="inlineStr">
        <is>
          <t>Cửa hàng cơ giới Thành Công-Lâm Đồng / Anh Quân-0961.017.079</t>
        </is>
      </c>
      <c r="D597" s="400" t="inlineStr">
        <is>
          <t>0961.017.079</t>
        </is>
      </c>
      <c r="E597" s="402" t="n"/>
      <c r="F597" s="401" t="inlineStr">
        <is>
          <t>258 đường Hùng Vương, tổ dân phố 10, TT Ma Đa Guôi -Đạ Hoai-Lâm Đồng</t>
        </is>
      </c>
      <c r="G597" s="400" t="inlineStr">
        <is>
          <t>LDONG</t>
        </is>
      </c>
      <c r="H597" s="402" t="n"/>
      <c r="J597" s="392">
        <f>IFERROR(UPPER(TRIM(B597))&amp;"|"&amp;UPPER(TRIM(C597))&amp;"|"&amp;UPPER(TRIM(D597)),"")</f>
        <v/>
      </c>
    </row>
    <row r="598" ht="15.75" customHeight="1" s="217">
      <c r="A598" s="397" t="n">
        <v>596</v>
      </c>
      <c r="B598" s="397" t="inlineStr">
        <is>
          <t>KH3149</t>
        </is>
      </c>
      <c r="C598" s="398" t="inlineStr">
        <is>
          <t>Xưởng anh Lập- Chơn Thành-Bình Phước/ 0794.893.893</t>
        </is>
      </c>
      <c r="D598" s="397" t="inlineStr">
        <is>
          <t>0794.893.893</t>
        </is>
      </c>
      <c r="E598" s="399" t="n"/>
      <c r="F598" s="398" t="inlineStr">
        <is>
          <t>Chơn Thành-Bình Phước</t>
        </is>
      </c>
      <c r="G598" s="397" t="inlineStr">
        <is>
          <t>BP</t>
        </is>
      </c>
      <c r="H598" s="399" t="n"/>
      <c r="J598" s="392">
        <f>IFERROR(UPPER(TRIM(B598))&amp;"|"&amp;UPPER(TRIM(C598))&amp;"|"&amp;UPPER(TRIM(D598)),"")</f>
        <v/>
      </c>
    </row>
    <row r="599" ht="15.75" customHeight="1" s="217">
      <c r="A599" s="400" t="n">
        <v>597</v>
      </c>
      <c r="B599" s="400" t="inlineStr">
        <is>
          <t>KH3150</t>
        </is>
      </c>
      <c r="C599" s="401" t="inlineStr">
        <is>
          <t>Xưởng Anh Sỹ-  Quận 12- SG/ 0972.976.039</t>
        </is>
      </c>
      <c r="D599" s="400" t="inlineStr">
        <is>
          <t>0972.976.039</t>
        </is>
      </c>
      <c r="E599" s="402" t="n"/>
      <c r="F599" s="401" t="inlineStr">
        <is>
          <t>222 Đường TA13-Lê Thị Riêng- Quận 12-Sài Gòn</t>
        </is>
      </c>
      <c r="G599" s="400" t="inlineStr">
        <is>
          <t>SG/HCM</t>
        </is>
      </c>
      <c r="H599" s="402" t="n"/>
      <c r="J599" s="392">
        <f>IFERROR(UPPER(TRIM(B599))&amp;"|"&amp;UPPER(TRIM(C599))&amp;"|"&amp;UPPER(TRIM(D599)),"")</f>
        <v/>
      </c>
    </row>
    <row r="600" ht="15.75" customHeight="1" s="217">
      <c r="A600" s="397" t="n">
        <v>598</v>
      </c>
      <c r="B600" s="397" t="inlineStr">
        <is>
          <t>KH3151</t>
        </is>
      </c>
      <c r="C600" s="398" t="inlineStr">
        <is>
          <t>Xưởng A Sơn - Cần Thơ -  0908.535.638</t>
        </is>
      </c>
      <c r="D600" s="397" t="inlineStr">
        <is>
          <t>0908.535.638</t>
        </is>
      </c>
      <c r="E600" s="399" t="n"/>
      <c r="F600" s="398" t="inlineStr">
        <is>
          <t>TP.Cần Thơ</t>
        </is>
      </c>
      <c r="G600" s="397" t="inlineStr">
        <is>
          <t>CTHO</t>
        </is>
      </c>
      <c r="H600" s="399" t="n"/>
      <c r="J600" s="392">
        <f>IFERROR(UPPER(TRIM(B600))&amp;"|"&amp;UPPER(TRIM(C600))&amp;"|"&amp;UPPER(TRIM(D600)),"")</f>
        <v/>
      </c>
    </row>
    <row r="601" ht="15.75" customHeight="1" s="217">
      <c r="A601" s="400" t="n">
        <v>599</v>
      </c>
      <c r="B601" s="400" t="inlineStr">
        <is>
          <t>KH3146</t>
        </is>
      </c>
      <c r="C601" s="401" t="inlineStr">
        <is>
          <t>Anh Huy - Công ty XD Thái Bình Dương/ 0917.067.467</t>
        </is>
      </c>
      <c r="D601" s="400" t="inlineStr">
        <is>
          <t>0917.067.467</t>
        </is>
      </c>
      <c r="E601" s="402" t="n"/>
      <c r="F601" s="401" t="inlineStr">
        <is>
          <t>Thuận An, Bình Dương</t>
        </is>
      </c>
      <c r="G601" s="400" t="inlineStr">
        <is>
          <t>BDUONG</t>
        </is>
      </c>
      <c r="H601" s="402" t="n"/>
      <c r="J601" s="392">
        <f>IFERROR(UPPER(TRIM(B601))&amp;"|"&amp;UPPER(TRIM(C601))&amp;"|"&amp;UPPER(TRIM(D601)),"")</f>
        <v/>
      </c>
    </row>
    <row r="602" ht="15.75" customHeight="1" s="217">
      <c r="A602" s="397" t="n">
        <v>600</v>
      </c>
      <c r="B602" s="397" t="inlineStr">
        <is>
          <t>KH3145</t>
        </is>
      </c>
      <c r="C602" s="398" t="inlineStr">
        <is>
          <t>Cửa hàng a Tài (chuyên hàng bãi) - Quận 2 / 0909.274.079</t>
        </is>
      </c>
      <c r="D602" s="397" t="inlineStr">
        <is>
          <t>0909.274.079</t>
        </is>
      </c>
      <c r="E602" s="399" t="n"/>
      <c r="F602" s="398" t="inlineStr">
        <is>
          <t>Số 77 Xa lộ Hà Nội - Thảo Điền - Quận 2 - Sài Gòn</t>
        </is>
      </c>
      <c r="G602" s="397" t="inlineStr">
        <is>
          <t>SG/HCM</t>
        </is>
      </c>
      <c r="H602" s="399" t="n"/>
      <c r="J602" s="392">
        <f>IFERROR(UPPER(TRIM(B602))&amp;"|"&amp;UPPER(TRIM(C602))&amp;"|"&amp;UPPER(TRIM(D602)),"")</f>
        <v/>
      </c>
    </row>
    <row r="603" ht="15.75" customHeight="1" s="217">
      <c r="A603" s="400" t="n">
        <v>601</v>
      </c>
      <c r="B603" s="400" t="inlineStr">
        <is>
          <t>KH3144</t>
        </is>
      </c>
      <c r="C603" s="401" t="inlineStr">
        <is>
          <t>Xưởng anh Hồ / 0522.523.841</t>
        </is>
      </c>
      <c r="D603" s="400" t="inlineStr">
        <is>
          <t>0522.523.841</t>
        </is>
      </c>
      <c r="E603" s="402" t="n"/>
      <c r="F603" s="401" t="inlineStr">
        <is>
          <t>Xa lộ Hà Nội, Sài gòn</t>
        </is>
      </c>
      <c r="G603" s="400" t="inlineStr">
        <is>
          <t>SG/HCM</t>
        </is>
      </c>
      <c r="H603" s="402" t="n"/>
      <c r="J603" s="392">
        <f>IFERROR(UPPER(TRIM(B603))&amp;"|"&amp;UPPER(TRIM(C603))&amp;"|"&amp;UPPER(TRIM(D603)),"")</f>
        <v/>
      </c>
    </row>
    <row r="604" ht="15.75" customHeight="1" s="217">
      <c r="A604" s="397" t="n">
        <v>602</v>
      </c>
      <c r="B604" s="397" t="inlineStr">
        <is>
          <t>KH3141</t>
        </is>
      </c>
      <c r="C604" s="398" t="inlineStr">
        <is>
          <t>Cửa hàng Quốc Phan - Đăk Nông/  0981.432.968</t>
        </is>
      </c>
      <c r="D604" s="397" t="inlineStr">
        <is>
          <t>0981.432.968</t>
        </is>
      </c>
      <c r="E604" s="399" t="n"/>
      <c r="F604" s="398" t="inlineStr">
        <is>
          <t>Ngã 3 Rừng Lạnh, Đắk Hòa, Đắk Song, Đắk Nông</t>
        </is>
      </c>
      <c r="G604" s="397" t="inlineStr">
        <is>
          <t>DNONG</t>
        </is>
      </c>
      <c r="H604" s="399" t="n"/>
      <c r="J604" s="392">
        <f>IFERROR(UPPER(TRIM(B604))&amp;"|"&amp;UPPER(TRIM(C604))&amp;"|"&amp;UPPER(TRIM(D604)),"")</f>
        <v/>
      </c>
    </row>
    <row r="605" ht="15.75" customHeight="1" s="217">
      <c r="A605" s="400" t="n">
        <v>603</v>
      </c>
      <c r="B605" s="400" t="inlineStr">
        <is>
          <t>KH3142</t>
        </is>
      </c>
      <c r="C605" s="401" t="inlineStr">
        <is>
          <t>Mr. RA (Sovanara) - Campuchia/ 0889.999.489</t>
        </is>
      </c>
      <c r="D605" s="400" t="inlineStr">
        <is>
          <t>0889.999.489</t>
        </is>
      </c>
      <c r="E605" s="402" t="n"/>
      <c r="F605" s="401" t="inlineStr">
        <is>
          <t>Phnompenh, Cambodia</t>
        </is>
      </c>
      <c r="G605" s="400" t="inlineStr">
        <is>
          <t>CPC</t>
        </is>
      </c>
      <c r="H605" s="402" t="n"/>
      <c r="J605" s="392">
        <f>IFERROR(UPPER(TRIM(B605))&amp;"|"&amp;UPPER(TRIM(C605))&amp;"|"&amp;UPPER(TRIM(D605)),"")</f>
        <v/>
      </c>
    </row>
    <row r="606" ht="15.75" customHeight="1" s="217">
      <c r="A606" s="397" t="n">
        <v>604</v>
      </c>
      <c r="B606" s="397" t="inlineStr">
        <is>
          <t>KH3143</t>
        </is>
      </c>
      <c r="C606" s="398" t="inlineStr">
        <is>
          <t>Xưởng A Huy - Mỹ Xuân Bà Rịa 0972.065.865</t>
        </is>
      </c>
      <c r="D606" s="397" t="inlineStr">
        <is>
          <t>0972.065.865</t>
        </is>
      </c>
      <c r="E606" s="399" t="n"/>
      <c r="F606" s="398" t="inlineStr">
        <is>
          <t>Mỹ Xuân, Bà Rịa Vũng Tàu</t>
        </is>
      </c>
      <c r="G606" s="397" t="inlineStr">
        <is>
          <t>BRVT</t>
        </is>
      </c>
      <c r="H606" s="399" t="n"/>
      <c r="J606" s="392">
        <f>IFERROR(UPPER(TRIM(B606))&amp;"|"&amp;UPPER(TRIM(C606))&amp;"|"&amp;UPPER(TRIM(D606)),"")</f>
        <v/>
      </c>
    </row>
    <row r="607" ht="15.75" customHeight="1" s="217">
      <c r="A607" s="400" t="n">
        <v>605</v>
      </c>
      <c r="B607" s="400" t="inlineStr">
        <is>
          <t>KH3140</t>
        </is>
      </c>
      <c r="C607" s="401" t="inlineStr">
        <is>
          <t>Garage ÚT - Đồng Nai / 0972.884.450</t>
        </is>
      </c>
      <c r="D607" s="400" t="inlineStr">
        <is>
          <t>0972.884.450</t>
        </is>
      </c>
      <c r="E607" s="402" t="n"/>
      <c r="F607" s="401" t="inlineStr">
        <is>
          <t>Quốc lộ 1 , Cẩm Tân, Xuân Tân, Long Khánh, Đồng Nai</t>
        </is>
      </c>
      <c r="G607" s="400" t="inlineStr">
        <is>
          <t>ÐNAI</t>
        </is>
      </c>
      <c r="H607" s="402" t="n"/>
      <c r="J607" s="392">
        <f>IFERROR(UPPER(TRIM(B607))&amp;"|"&amp;UPPER(TRIM(C607))&amp;"|"&amp;UPPER(TRIM(D607)),"")</f>
        <v/>
      </c>
    </row>
    <row r="608" ht="15.75" customHeight="1" s="217">
      <c r="A608" s="397" t="n">
        <v>606</v>
      </c>
      <c r="B608" s="397" t="inlineStr">
        <is>
          <t>KH3138</t>
        </is>
      </c>
      <c r="C608" s="398" t="inlineStr">
        <is>
          <t>Xưởng A Kế - Bình Định / 0982.657.149</t>
        </is>
      </c>
      <c r="D608" s="397" t="inlineStr">
        <is>
          <t>0982.657.149</t>
        </is>
      </c>
      <c r="E608" s="399" t="n"/>
      <c r="F608" s="398" t="inlineStr">
        <is>
          <t>Gò Găng, Phù Cát, Bình Định</t>
        </is>
      </c>
      <c r="G608" s="397" t="inlineStr">
        <is>
          <t>BDINH</t>
        </is>
      </c>
      <c r="H608" s="399" t="n"/>
      <c r="J608" s="392">
        <f>IFERROR(UPPER(TRIM(B608))&amp;"|"&amp;UPPER(TRIM(C608))&amp;"|"&amp;UPPER(TRIM(D608)),"")</f>
        <v/>
      </c>
    </row>
    <row r="609" ht="15.75" customHeight="1" s="217">
      <c r="A609" s="400" t="n">
        <v>607</v>
      </c>
      <c r="B609" s="400" t="inlineStr">
        <is>
          <t>KH3139</t>
        </is>
      </c>
      <c r="C609" s="401" t="inlineStr">
        <is>
          <t>Xưởng A Sỹ - Biên Hòa / 0988.293.567</t>
        </is>
      </c>
      <c r="D609" s="400" t="inlineStr">
        <is>
          <t>0988.293.567</t>
        </is>
      </c>
      <c r="E609" s="402" t="n"/>
      <c r="F609" s="401" t="inlineStr">
        <is>
          <t>TP Biên Hòa, Đồng Nai</t>
        </is>
      </c>
      <c r="G609" s="400" t="inlineStr">
        <is>
          <t>ÐNAI</t>
        </is>
      </c>
      <c r="H609" s="402" t="n"/>
      <c r="J609" s="392">
        <f>IFERROR(UPPER(TRIM(B609))&amp;"|"&amp;UPPER(TRIM(C609))&amp;"|"&amp;UPPER(TRIM(D609)),"")</f>
        <v/>
      </c>
    </row>
    <row r="610" ht="15.75" customHeight="1" s="217">
      <c r="A610" s="397" t="n">
        <v>608</v>
      </c>
      <c r="B610" s="397" t="inlineStr">
        <is>
          <t>KH3135</t>
        </is>
      </c>
      <c r="C610" s="398" t="inlineStr">
        <is>
          <t>CH Quốc Thắng 1 / Đồng Xoài/ 0824.117.799</t>
        </is>
      </c>
      <c r="D610" s="397" t="inlineStr">
        <is>
          <t>0824.117.799</t>
        </is>
      </c>
      <c r="E610" s="399" t="n"/>
      <c r="F610" s="398" t="inlineStr">
        <is>
          <t>Đồng Xoài , Bình Phước</t>
        </is>
      </c>
      <c r="G610" s="397" t="inlineStr">
        <is>
          <t>BP</t>
        </is>
      </c>
      <c r="H610" s="399" t="n"/>
      <c r="J610" s="392">
        <f>IFERROR(UPPER(TRIM(B610))&amp;"|"&amp;UPPER(TRIM(C610))&amp;"|"&amp;UPPER(TRIM(D610)),"")</f>
        <v/>
      </c>
    </row>
    <row r="611" ht="15.75" customHeight="1" s="217">
      <c r="A611" s="400" t="n">
        <v>609</v>
      </c>
      <c r="B611" s="400" t="inlineStr">
        <is>
          <t>KH3136</t>
        </is>
      </c>
      <c r="C611" s="401" t="inlineStr">
        <is>
          <t>Cửa hàng phụ tùng ô tô Minh Phước - Nha Trang / 0905.490.700</t>
        </is>
      </c>
      <c r="D611" s="400" t="inlineStr">
        <is>
          <t>0905.490.700</t>
        </is>
      </c>
      <c r="E611" s="402" t="n"/>
      <c r="F611" s="401" t="inlineStr">
        <is>
          <t>1067, Đường 2/4, TP Nha Trang</t>
        </is>
      </c>
      <c r="G611" s="400" t="inlineStr">
        <is>
          <t>NTRANG</t>
        </is>
      </c>
      <c r="H611" s="402" t="n"/>
      <c r="J611" s="392">
        <f>IFERROR(UPPER(TRIM(B611))&amp;"|"&amp;UPPER(TRIM(C611))&amp;"|"&amp;UPPER(TRIM(D611)),"")</f>
        <v/>
      </c>
    </row>
    <row r="612" ht="15.75" customHeight="1" s="217">
      <c r="A612" s="397" t="n">
        <v>610</v>
      </c>
      <c r="B612" s="397" t="inlineStr">
        <is>
          <t>KH3137</t>
        </is>
      </c>
      <c r="C612" s="398" t="inlineStr">
        <is>
          <t>Gara Mặt Trời - Quảng Ngãi/ 936567400</t>
        </is>
      </c>
      <c r="D612" s="397" t="inlineStr">
        <is>
          <t>936567400</t>
        </is>
      </c>
      <c r="E612" s="399" t="n"/>
      <c r="F612" s="398" t="inlineStr">
        <is>
          <t>Tân Hy 2, Bình Đông, Bình Sơn, Quảng Ngãi</t>
        </is>
      </c>
      <c r="G612" s="397" t="inlineStr">
        <is>
          <t>QUNGAI</t>
        </is>
      </c>
      <c r="H612" s="399" t="n"/>
      <c r="J612" s="392">
        <f>IFERROR(UPPER(TRIM(B612))&amp;"|"&amp;UPPER(TRIM(C612))&amp;"|"&amp;UPPER(TRIM(D612)),"")</f>
        <v/>
      </c>
    </row>
    <row r="613" ht="15.75" customHeight="1" s="217">
      <c r="A613" s="400" t="n">
        <v>611</v>
      </c>
      <c r="B613" s="400" t="inlineStr">
        <is>
          <t>KH3134</t>
        </is>
      </c>
      <c r="C613" s="401" t="inlineStr">
        <is>
          <t>Công ty TNHH TM và DV SIB Việt Nam / Công trình Phan Thiết - Anh Thắng: 0335.555.509</t>
        </is>
      </c>
      <c r="D613" s="400" t="inlineStr">
        <is>
          <t>0335.555.509</t>
        </is>
      </c>
      <c r="E613" s="402" t="n"/>
      <c r="F613" s="401" t="inlineStr">
        <is>
          <t>Số 16A5 Lý Nam Đế, P. Hàng Mã, Q. Hoàn Kiếm, Hà Nội, Việt Nam</t>
        </is>
      </c>
      <c r="G613" s="400" t="inlineStr">
        <is>
          <t>BTHUAN</t>
        </is>
      </c>
      <c r="H613" s="402" t="n"/>
      <c r="J613" s="392">
        <f>IFERROR(UPPER(TRIM(B613))&amp;"|"&amp;UPPER(TRIM(C613))&amp;"|"&amp;UPPER(TRIM(D613)),"")</f>
        <v/>
      </c>
    </row>
    <row r="614" ht="15.75" customHeight="1" s="217">
      <c r="A614" s="397" t="n">
        <v>612</v>
      </c>
      <c r="B614" s="397" t="inlineStr">
        <is>
          <t>KH3130</t>
        </is>
      </c>
      <c r="C614" s="398" t="inlineStr">
        <is>
          <t>Xưởng A Tâm - Biên Hòa / 0967.436.004/ 0399.917.627</t>
        </is>
      </c>
      <c r="D614" s="397" t="inlineStr">
        <is>
          <t>0967.436.004 / 0399.917.627</t>
        </is>
      </c>
      <c r="E614" s="399" t="n"/>
      <c r="F614" s="398" t="inlineStr">
        <is>
          <t>TP Biên Hòa, Đồng Nai</t>
        </is>
      </c>
      <c r="G614" s="397" t="inlineStr">
        <is>
          <t>ÐNAI</t>
        </is>
      </c>
      <c r="H614" s="399" t="n"/>
      <c r="J614" s="392">
        <f>IFERROR(UPPER(TRIM(B614))&amp;"|"&amp;UPPER(TRIM(C614))&amp;"|"&amp;UPPER(TRIM(D614)),"")</f>
        <v/>
      </c>
    </row>
    <row r="615" ht="15.75" customHeight="1" s="217">
      <c r="A615" s="400" t="n">
        <v>613</v>
      </c>
      <c r="B615" s="400" t="inlineStr">
        <is>
          <t>KH3131</t>
        </is>
      </c>
      <c r="C615" s="401" t="inlineStr">
        <is>
          <t>Cửa hàng phụ tùng xe tải A Thắng - Dĩ An / 0908.214.909</t>
        </is>
      </c>
      <c r="D615" s="400" t="inlineStr">
        <is>
          <t>0908.214.909</t>
        </is>
      </c>
      <c r="E615" s="402" t="n"/>
      <c r="F615" s="401" t="inlineStr">
        <is>
          <t>Dĩ An, Bình Dương</t>
        </is>
      </c>
      <c r="G615" s="400" t="inlineStr">
        <is>
          <t>SG/HCM</t>
        </is>
      </c>
      <c r="H615" s="402" t="n"/>
      <c r="J615" s="392">
        <f>IFERROR(UPPER(TRIM(B615))&amp;"|"&amp;UPPER(TRIM(C615))&amp;"|"&amp;UPPER(TRIM(D615)),"")</f>
        <v/>
      </c>
    </row>
    <row r="616" ht="15.75" customHeight="1" s="217">
      <c r="A616" s="397" t="n">
        <v>614</v>
      </c>
      <c r="B616" s="397" t="inlineStr">
        <is>
          <t>KH3132</t>
        </is>
      </c>
      <c r="C616" s="398" t="inlineStr">
        <is>
          <t>Garage Linh Long/ Chơn Thành/ 0962.454.692</t>
        </is>
      </c>
      <c r="D616" s="397" t="inlineStr">
        <is>
          <t>0962.454.692</t>
        </is>
      </c>
      <c r="E616" s="399" t="n"/>
      <c r="F616" s="398" t="inlineStr">
        <is>
          <t>Chơn Thành - Bình Phước</t>
        </is>
      </c>
      <c r="G616" s="397" t="inlineStr">
        <is>
          <t>BP</t>
        </is>
      </c>
      <c r="H616" s="399" t="n"/>
      <c r="J616" s="392">
        <f>IFERROR(UPPER(TRIM(B616))&amp;"|"&amp;UPPER(TRIM(C616))&amp;"|"&amp;UPPER(TRIM(D616)),"")</f>
        <v/>
      </c>
    </row>
    <row r="617" ht="15.75" customHeight="1" s="217">
      <c r="A617" s="400" t="n">
        <v>615</v>
      </c>
      <c r="B617" s="400" t="inlineStr">
        <is>
          <t>KH3133</t>
        </is>
      </c>
      <c r="C617" s="401" t="inlineStr">
        <is>
          <t>Tà Lương (Svay Rieng) - Cambodia - 0978.902.005</t>
        </is>
      </c>
      <c r="D617" s="400" t="inlineStr">
        <is>
          <t>0978.902.005</t>
        </is>
      </c>
      <c r="E617" s="402" t="n"/>
      <c r="F617" s="401" t="inlineStr">
        <is>
          <t>Svay Rieng, Cambodia</t>
        </is>
      </c>
      <c r="G617" s="400" t="inlineStr">
        <is>
          <t>CPC</t>
        </is>
      </c>
      <c r="H617" s="402" t="n"/>
      <c r="J617" s="392">
        <f>IFERROR(UPPER(TRIM(B617))&amp;"|"&amp;UPPER(TRIM(C617))&amp;"|"&amp;UPPER(TRIM(D617)),"")</f>
        <v/>
      </c>
    </row>
    <row r="618" ht="15.75" customHeight="1" s="217">
      <c r="A618" s="397" t="n">
        <v>616</v>
      </c>
      <c r="B618" s="397" t="inlineStr">
        <is>
          <t>KH3128</t>
        </is>
      </c>
      <c r="C618" s="398" t="inlineStr">
        <is>
          <t>Công ty CP Phụ tùng Việt Nhật / 0862.313.135</t>
        </is>
      </c>
      <c r="D618" s="397" t="inlineStr">
        <is>
          <t>0862.313.135</t>
        </is>
      </c>
      <c r="E618" s="399" t="n"/>
      <c r="F618" s="398" t="inlineStr">
        <is>
          <t>Xa Lộ Hà Nội, Suối Tiên, TP. HCM</t>
        </is>
      </c>
      <c r="G618" s="397" t="inlineStr">
        <is>
          <t>SG/HCM</t>
        </is>
      </c>
      <c r="H618" s="399" t="n"/>
      <c r="J618" s="392">
        <f>IFERROR(UPPER(TRIM(B618))&amp;"|"&amp;UPPER(TRIM(C618))&amp;"|"&amp;UPPER(TRIM(D618)),"")</f>
        <v/>
      </c>
    </row>
    <row r="619" ht="15.75" customHeight="1" s="217">
      <c r="A619" s="400" t="n">
        <v>617</v>
      </c>
      <c r="B619" s="400" t="inlineStr">
        <is>
          <t>KH3129</t>
        </is>
      </c>
      <c r="C619" s="401" t="inlineStr">
        <is>
          <t>CÔNG TY BÔNG SEN VÀNG / A Hoàng 0981.805.412</t>
        </is>
      </c>
      <c r="D619" s="400" t="inlineStr">
        <is>
          <t>0981.805.412</t>
        </is>
      </c>
      <c r="E619" s="402" t="n"/>
      <c r="F619" s="401" t="inlineStr">
        <is>
          <t>Quận 12, TPHCM</t>
        </is>
      </c>
      <c r="G619" s="400" t="inlineStr">
        <is>
          <t>SG/HCM</t>
        </is>
      </c>
      <c r="H619" s="402" t="n"/>
      <c r="J619" s="392">
        <f>IFERROR(UPPER(TRIM(B619))&amp;"|"&amp;UPPER(TRIM(C619))&amp;"|"&amp;UPPER(TRIM(D619)),"")</f>
        <v/>
      </c>
    </row>
    <row r="620" ht="15.75" customHeight="1" s="217">
      <c r="A620" s="397" t="n">
        <v>618</v>
      </c>
      <c r="B620" s="397" t="inlineStr">
        <is>
          <t>KH3125</t>
        </is>
      </c>
      <c r="C620" s="398" t="inlineStr">
        <is>
          <t>A Hùng Q2 chuyên Hyundai Mobis / 0918.849.644</t>
        </is>
      </c>
      <c r="D620" s="397" t="inlineStr">
        <is>
          <t>0918.849.644</t>
        </is>
      </c>
      <c r="E620" s="399" t="n"/>
      <c r="F620" s="398" t="inlineStr">
        <is>
          <t>Quận 2, TP HCM</t>
        </is>
      </c>
      <c r="G620" s="397" t="inlineStr">
        <is>
          <t>SG/HCM</t>
        </is>
      </c>
      <c r="H620" s="399" t="n"/>
      <c r="J620" s="392">
        <f>IFERROR(UPPER(TRIM(B620))&amp;"|"&amp;UPPER(TRIM(C620))&amp;"|"&amp;UPPER(TRIM(D620)),"")</f>
        <v/>
      </c>
    </row>
    <row r="621" ht="15.75" customHeight="1" s="217">
      <c r="A621" s="400" t="n">
        <v>619</v>
      </c>
      <c r="B621" s="400" t="inlineStr">
        <is>
          <t>KH3126</t>
        </is>
      </c>
      <c r="C621" s="401" t="inlineStr">
        <is>
          <t>Anh Đại - Sài Gòn / 0934.016.100</t>
        </is>
      </c>
      <c r="D621" s="400" t="inlineStr">
        <is>
          <t>0934.016.100</t>
        </is>
      </c>
      <c r="E621" s="402" t="n"/>
      <c r="F621" s="401" t="inlineStr">
        <is>
          <t>Sài Gòn</t>
        </is>
      </c>
      <c r="G621" s="400" t="inlineStr">
        <is>
          <t>SG/HCM</t>
        </is>
      </c>
      <c r="H621" s="402" t="n"/>
      <c r="J621" s="392">
        <f>IFERROR(UPPER(TRIM(B621))&amp;"|"&amp;UPPER(TRIM(C621))&amp;"|"&amp;UPPER(TRIM(D621)),"")</f>
        <v/>
      </c>
    </row>
    <row r="622" ht="15.75" customHeight="1" s="217">
      <c r="A622" s="397" t="n">
        <v>620</v>
      </c>
      <c r="B622" s="397" t="inlineStr">
        <is>
          <t>KH3127</t>
        </is>
      </c>
      <c r="C622" s="398" t="inlineStr">
        <is>
          <t>Cửa hàng Phúc Thịnh - Quy Nhơn/ A Vũ - 0905.644.431</t>
        </is>
      </c>
      <c r="D622" s="397" t="inlineStr">
        <is>
          <t>0905.644.431</t>
        </is>
      </c>
      <c r="E622" s="399" t="n"/>
      <c r="F622" s="398" t="inlineStr">
        <is>
          <t>Ngã 3 Phú Tài, Quy Nhơn - Bình Định</t>
        </is>
      </c>
      <c r="G622" s="397" t="inlineStr">
        <is>
          <t>BDINH</t>
        </is>
      </c>
      <c r="H622" s="399" t="n"/>
      <c r="J622" s="392">
        <f>IFERROR(UPPER(TRIM(B622))&amp;"|"&amp;UPPER(TRIM(C622))&amp;"|"&amp;UPPER(TRIM(D622)),"")</f>
        <v/>
      </c>
    </row>
    <row r="623" ht="15.75" customHeight="1" s="217">
      <c r="A623" s="400" t="n">
        <v>621</v>
      </c>
      <c r="B623" s="400" t="inlineStr">
        <is>
          <t>KH3124</t>
        </is>
      </c>
      <c r="C623" s="401" t="inlineStr">
        <is>
          <t>Xưởng tiện Anh Tới - Thanh Hóa / 0965.451.676</t>
        </is>
      </c>
      <c r="D623" s="400" t="inlineStr">
        <is>
          <t>0965.451.676</t>
        </is>
      </c>
      <c r="E623" s="402" t="n"/>
      <c r="F623" s="401" t="inlineStr">
        <is>
          <t>153 Nguyễn Chí Thanh, TP Thanh Hóa</t>
        </is>
      </c>
      <c r="G623" s="400" t="inlineStr">
        <is>
          <t>THANH HÓA</t>
        </is>
      </c>
      <c r="H623" s="402" t="n"/>
      <c r="J623" s="392">
        <f>IFERROR(UPPER(TRIM(B623))&amp;"|"&amp;UPPER(TRIM(C623))&amp;"|"&amp;UPPER(TRIM(D623)),"")</f>
        <v/>
      </c>
    </row>
    <row r="624" ht="15.75" customHeight="1" s="217">
      <c r="A624" s="397" t="n">
        <v>622</v>
      </c>
      <c r="B624" s="397" t="inlineStr">
        <is>
          <t>KH3123</t>
        </is>
      </c>
      <c r="C624" s="398" t="inlineStr">
        <is>
          <t>Cửa hàng Phụ Tùng Xe Nâng Kim Ngưu</t>
        </is>
      </c>
      <c r="D624" s="399" t="n"/>
      <c r="E624" s="399" t="n"/>
      <c r="F624" s="398" t="inlineStr">
        <is>
          <t>Ki ot số 3, 30/3 quốc lộ 13, Phường Thuận Giao, Thuận An, Bình Dương</t>
        </is>
      </c>
      <c r="G624" s="397" t="inlineStr">
        <is>
          <t>BDUONG</t>
        </is>
      </c>
      <c r="H624" s="399" t="n"/>
      <c r="J624" s="392">
        <f>IFERROR(UPPER(TRIM(B624))&amp;"|"&amp;UPPER(TRIM(C624))&amp;"|"&amp;UPPER(TRIM(D624)),"")</f>
        <v/>
      </c>
    </row>
    <row r="625" ht="15.75" customHeight="1" s="217">
      <c r="A625" s="400" t="n">
        <v>623</v>
      </c>
      <c r="B625" s="400" t="inlineStr">
        <is>
          <t>KH3120</t>
        </is>
      </c>
      <c r="C625" s="401" t="inlineStr">
        <is>
          <t>XƯỞNG ANH HÒA , CỦ CHI 0903.744.174</t>
        </is>
      </c>
      <c r="D625" s="400" t="inlineStr">
        <is>
          <t>0903.744.174</t>
        </is>
      </c>
      <c r="E625" s="402" t="n"/>
      <c r="F625" s="401" t="inlineStr">
        <is>
          <t>Số 275 Nguyễn Thị Lắng, ấp Cây Da, xã Tân Phú Trung,  huyện Củ Chi</t>
        </is>
      </c>
      <c r="G625" s="400" t="inlineStr">
        <is>
          <t>SG/HCM</t>
        </is>
      </c>
      <c r="H625" s="402" t="n"/>
      <c r="J625" s="392">
        <f>IFERROR(UPPER(TRIM(B625))&amp;"|"&amp;UPPER(TRIM(C625))&amp;"|"&amp;UPPER(TRIM(D625)),"")</f>
        <v/>
      </c>
    </row>
    <row r="626" ht="15.75" customHeight="1" s="217">
      <c r="A626" s="397" t="n">
        <v>624</v>
      </c>
      <c r="B626" s="397" t="inlineStr">
        <is>
          <t>KH3121</t>
        </is>
      </c>
      <c r="C626" s="398" t="inlineStr">
        <is>
          <t>Anh Phong (chủ xe) Đồng Nai / 0386.205.052</t>
        </is>
      </c>
      <c r="D626" s="397" t="inlineStr">
        <is>
          <t>0386.205.052</t>
        </is>
      </c>
      <c r="E626" s="399" t="n"/>
      <c r="F626" s="398" t="inlineStr">
        <is>
          <t>34 tổ 5, ấp 18 Gia Đình, xã Bảo Quang, TP Long Khánh, Đồng Nai</t>
        </is>
      </c>
      <c r="G626" s="397" t="inlineStr">
        <is>
          <t>ÐNAI</t>
        </is>
      </c>
      <c r="H626" s="399" t="n"/>
      <c r="J626" s="392">
        <f>IFERROR(UPPER(TRIM(B626))&amp;"|"&amp;UPPER(TRIM(C626))&amp;"|"&amp;UPPER(TRIM(D626)),"")</f>
        <v/>
      </c>
    </row>
    <row r="627" ht="15.75" customHeight="1" s="217">
      <c r="A627" s="400" t="n">
        <v>625</v>
      </c>
      <c r="B627" s="400" t="inlineStr">
        <is>
          <t>KH3122</t>
        </is>
      </c>
      <c r="C627" s="401" t="inlineStr">
        <is>
          <t>BÃI MÁY CƯỜNG NAM /  ANH SANG 0972.117.752</t>
        </is>
      </c>
      <c r="D627" s="400" t="inlineStr">
        <is>
          <t>0972.117.752</t>
        </is>
      </c>
      <c r="E627" s="402" t="n"/>
      <c r="F627" s="401" t="inlineStr">
        <is>
          <t>15/3 ĐƯỜNG 11, PHƯỜNG LONG BÌNH ,QUẬN 9</t>
        </is>
      </c>
      <c r="G627" s="400" t="inlineStr">
        <is>
          <t>SG/HCM</t>
        </is>
      </c>
      <c r="H627" s="402" t="n"/>
      <c r="J627" s="392">
        <f>IFERROR(UPPER(TRIM(B627))&amp;"|"&amp;UPPER(TRIM(C627))&amp;"|"&amp;UPPER(TRIM(D627)),"")</f>
        <v/>
      </c>
    </row>
    <row r="628" ht="15.75" customHeight="1" s="217">
      <c r="A628" s="397" t="n">
        <v>626</v>
      </c>
      <c r="B628" s="397" t="inlineStr">
        <is>
          <t>KH3119</t>
        </is>
      </c>
      <c r="C628" s="398" t="inlineStr">
        <is>
          <t>Cửa hàng Huỳnh Giang - Bả Rịa / 0902.370.776</t>
        </is>
      </c>
      <c r="D628" s="397" t="inlineStr">
        <is>
          <t>0902.370.776</t>
        </is>
      </c>
      <c r="E628" s="399" t="n"/>
      <c r="F628" s="398" t="inlineStr">
        <is>
          <t>SỐ 11 , TRẦN HƯNG ĐẠO ,P PHƯỚC NGUYÊN, TP BÀ RỊA</t>
        </is>
      </c>
      <c r="G628" s="397" t="inlineStr">
        <is>
          <t>BRVT</t>
        </is>
      </c>
      <c r="H628" s="399" t="n"/>
      <c r="J628" s="392">
        <f>IFERROR(UPPER(TRIM(B628))&amp;"|"&amp;UPPER(TRIM(C628))&amp;"|"&amp;UPPER(TRIM(D628)),"")</f>
        <v/>
      </c>
    </row>
    <row r="629" ht="15.75" customHeight="1" s="217">
      <c r="A629" s="400" t="n">
        <v>627</v>
      </c>
      <c r="B629" s="400" t="inlineStr">
        <is>
          <t>KH3118</t>
        </is>
      </c>
      <c r="C629" s="401" t="inlineStr">
        <is>
          <t>A Phát - Bình Thuận/  0393.309.486</t>
        </is>
      </c>
      <c r="D629" s="400" t="inlineStr">
        <is>
          <t>0393.309.486</t>
        </is>
      </c>
      <c r="E629" s="402" t="n"/>
      <c r="F629" s="401" t="inlineStr">
        <is>
          <t>Liên Hương, Tuy Phong, Bình Thuận</t>
        </is>
      </c>
      <c r="G629" s="400" t="inlineStr">
        <is>
          <t>BTHUAN</t>
        </is>
      </c>
      <c r="H629" s="402" t="n"/>
      <c r="J629" s="392">
        <f>IFERROR(UPPER(TRIM(B629))&amp;"|"&amp;UPPER(TRIM(C629))&amp;"|"&amp;UPPER(TRIM(D629)),"")</f>
        <v/>
      </c>
    </row>
    <row r="630" ht="15.75" customHeight="1" s="217">
      <c r="A630" s="397" t="n">
        <v>628</v>
      </c>
      <c r="B630" s="397" t="inlineStr">
        <is>
          <t>KH3117</t>
        </is>
      </c>
      <c r="C630" s="398" t="inlineStr">
        <is>
          <t>Công ty Văn Khanh / A Tuấn 0983.261.202</t>
        </is>
      </c>
      <c r="D630" s="397" t="inlineStr">
        <is>
          <t>0983.261.202</t>
        </is>
      </c>
      <c r="E630" s="399" t="n"/>
      <c r="F630" s="398" t="inlineStr">
        <is>
          <t>TX Gia Nghĩa, Đắknông</t>
        </is>
      </c>
      <c r="G630" s="397" t="inlineStr">
        <is>
          <t>DNONG</t>
        </is>
      </c>
      <c r="H630" s="399" t="n"/>
      <c r="J630" s="392">
        <f>IFERROR(UPPER(TRIM(B630))&amp;"|"&amp;UPPER(TRIM(C630))&amp;"|"&amp;UPPER(TRIM(D630)),"")</f>
        <v/>
      </c>
    </row>
    <row r="631" ht="15.75" customHeight="1" s="217">
      <c r="A631" s="400" t="n">
        <v>629</v>
      </c>
      <c r="B631" s="400" t="inlineStr">
        <is>
          <t>KH3115</t>
        </is>
      </c>
      <c r="C631" s="401" t="inlineStr">
        <is>
          <t>Công ty TNHH Tân Liên Thành / A Tân  0913.805.389</t>
        </is>
      </c>
      <c r="D631" s="400" t="inlineStr">
        <is>
          <t>0913.805.389</t>
        </is>
      </c>
      <c r="E631" s="402" t="n"/>
      <c r="F631" s="401" t="inlineStr">
        <is>
          <t>Thôn 1, xã Lộc Tân, huyện Bảo Lâm, tỉnh Lâm Đồng</t>
        </is>
      </c>
      <c r="G631" s="400" t="inlineStr">
        <is>
          <t>LDONG</t>
        </is>
      </c>
      <c r="H631" s="402" t="n"/>
      <c r="J631" s="392">
        <f>IFERROR(UPPER(TRIM(B631))&amp;"|"&amp;UPPER(TRIM(C631))&amp;"|"&amp;UPPER(TRIM(D631)),"")</f>
        <v/>
      </c>
    </row>
    <row r="632" ht="15.75" customHeight="1" s="217">
      <c r="A632" s="397" t="n">
        <v>630</v>
      </c>
      <c r="B632" s="397" t="inlineStr">
        <is>
          <t>KH3116</t>
        </is>
      </c>
      <c r="C632" s="398" t="inlineStr">
        <is>
          <t>Anh Linh (chủ xe) - Bảo Lộc/  0961.389.292</t>
        </is>
      </c>
      <c r="D632" s="397" t="inlineStr">
        <is>
          <t>0961.389.292</t>
        </is>
      </c>
      <c r="E632" s="399" t="n"/>
      <c r="F632" s="398" t="inlineStr">
        <is>
          <t>Bảo Lộc, Lâm Đồng</t>
        </is>
      </c>
      <c r="G632" s="397" t="inlineStr">
        <is>
          <t>LDONG</t>
        </is>
      </c>
      <c r="H632" s="399" t="n"/>
      <c r="J632" s="392">
        <f>IFERROR(UPPER(TRIM(B632))&amp;"|"&amp;UPPER(TRIM(C632))&amp;"|"&amp;UPPER(TRIM(D632)),"")</f>
        <v/>
      </c>
    </row>
    <row r="633" ht="15.75" customHeight="1" s="217">
      <c r="A633" s="400" t="n">
        <v>631</v>
      </c>
      <c r="B633" s="400" t="inlineStr">
        <is>
          <t>KH3114</t>
        </is>
      </c>
      <c r="C633" s="401" t="inlineStr">
        <is>
          <t>Cửa hàng Tài Lộc, Sài Gòn / 0394.570.306</t>
        </is>
      </c>
      <c r="D633" s="400" t="inlineStr">
        <is>
          <t>0394.570.306</t>
        </is>
      </c>
      <c r="E633" s="402" t="n"/>
      <c r="F633" s="401" t="inlineStr">
        <is>
          <t>Sài Gòn</t>
        </is>
      </c>
      <c r="G633" s="400" t="inlineStr">
        <is>
          <t>SG/HCM</t>
        </is>
      </c>
      <c r="H633" s="402" t="n"/>
      <c r="J633" s="392">
        <f>IFERROR(UPPER(TRIM(B633))&amp;"|"&amp;UPPER(TRIM(C633))&amp;"|"&amp;UPPER(TRIM(D633)),"")</f>
        <v/>
      </c>
    </row>
    <row r="634" ht="15.75" customHeight="1" s="217">
      <c r="A634" s="397" t="n">
        <v>632</v>
      </c>
      <c r="B634" s="397" t="inlineStr">
        <is>
          <t>KH3113</t>
        </is>
      </c>
      <c r="C634" s="398" t="inlineStr">
        <is>
          <t>Cửa hàng Thiên Nga - Đà Nẵng/  0906.444.066</t>
        </is>
      </c>
      <c r="D634" s="397" t="inlineStr">
        <is>
          <t>0906.444.066</t>
        </is>
      </c>
      <c r="E634" s="399" t="n"/>
      <c r="F634" s="398" t="inlineStr">
        <is>
          <t>147 Chu Huy Mẫn, TP Đà Nẵng</t>
        </is>
      </c>
      <c r="G634" s="397" t="inlineStr">
        <is>
          <t>DNANG</t>
        </is>
      </c>
      <c r="H634" s="399" t="n"/>
      <c r="J634" s="392">
        <f>IFERROR(UPPER(TRIM(B634))&amp;"|"&amp;UPPER(TRIM(C634))&amp;"|"&amp;UPPER(TRIM(D634)),"")</f>
        <v/>
      </c>
    </row>
    <row r="635" ht="15.75" customHeight="1" s="217">
      <c r="A635" s="400" t="n">
        <v>633</v>
      </c>
      <c r="B635" s="400" t="inlineStr">
        <is>
          <t>KH3112</t>
        </is>
      </c>
      <c r="C635" s="401" t="inlineStr">
        <is>
          <t>Công ty TNHH TATA - DAEWOO VN / A Long 0931.377.939</t>
        </is>
      </c>
      <c r="D635" s="400" t="inlineStr">
        <is>
          <t>0931.377.939</t>
        </is>
      </c>
      <c r="E635" s="402" t="n"/>
      <c r="F635" s="401" t="inlineStr">
        <is>
          <t>Số 73, đường L, khu trung tâm hành chính, khu phố Nhị Đồng 2, P. Dĩ An, TP Dĩ An, Bình Dương</t>
        </is>
      </c>
      <c r="G635" s="400" t="inlineStr">
        <is>
          <t>SG/HCM</t>
        </is>
      </c>
      <c r="H635" s="402" t="n"/>
      <c r="J635" s="392">
        <f>IFERROR(UPPER(TRIM(B635))&amp;"|"&amp;UPPER(TRIM(C635))&amp;"|"&amp;UPPER(TRIM(D635)),"")</f>
        <v/>
      </c>
    </row>
    <row r="636" ht="15.75" customHeight="1" s="217">
      <c r="A636" s="397" t="n">
        <v>634</v>
      </c>
      <c r="B636" s="397" t="inlineStr">
        <is>
          <t>KH3111</t>
        </is>
      </c>
      <c r="C636" s="398" t="inlineStr">
        <is>
          <t>Xưởng tiện A Sơn , Đak Lak/ 0941.577.747</t>
        </is>
      </c>
      <c r="D636" s="397" t="inlineStr">
        <is>
          <t>0941.577.747</t>
        </is>
      </c>
      <c r="E636" s="399" t="n"/>
      <c r="F636" s="398" t="inlineStr">
        <is>
          <t>519 Phan Bội Châu, Buôn Mê Thuột, Đak Lak</t>
        </is>
      </c>
      <c r="G636" s="397" t="inlineStr">
        <is>
          <t>ÐL</t>
        </is>
      </c>
      <c r="H636" s="399" t="n"/>
      <c r="J636" s="392">
        <f>IFERROR(UPPER(TRIM(B636))&amp;"|"&amp;UPPER(TRIM(C636))&amp;"|"&amp;UPPER(TRIM(D636)),"")</f>
        <v/>
      </c>
    </row>
    <row r="637" ht="15.75" customHeight="1" s="217">
      <c r="A637" s="400" t="n">
        <v>635</v>
      </c>
      <c r="B637" s="400" t="inlineStr">
        <is>
          <t>KH3110</t>
        </is>
      </c>
      <c r="C637" s="401" t="inlineStr">
        <is>
          <t>Ga ra Ly Lọ / Di Linh, Lâm Đồng / 0917.766.767</t>
        </is>
      </c>
      <c r="D637" s="400" t="inlineStr">
        <is>
          <t>0917.766.767</t>
        </is>
      </c>
      <c r="E637" s="402" t="n"/>
      <c r="F637" s="401" t="inlineStr">
        <is>
          <t>Thôn 2, Đinh Trang Thượng, Di Linh, Lâm Đồng</t>
        </is>
      </c>
      <c r="G637" s="400" t="inlineStr">
        <is>
          <t>LDONG</t>
        </is>
      </c>
      <c r="H637" s="402" t="n"/>
      <c r="J637" s="392">
        <f>IFERROR(UPPER(TRIM(B637))&amp;"|"&amp;UPPER(TRIM(C637))&amp;"|"&amp;UPPER(TRIM(D637)),"")</f>
        <v/>
      </c>
    </row>
    <row r="638" ht="15.75" customHeight="1" s="217">
      <c r="A638" s="397" t="n">
        <v>636</v>
      </c>
      <c r="B638" s="397" t="inlineStr">
        <is>
          <t>KH3107</t>
        </is>
      </c>
      <c r="C638" s="398" t="inlineStr">
        <is>
          <t>Phụ tùng Khánh - Kiên Giang - 0918.886.350</t>
        </is>
      </c>
      <c r="D638" s="397" t="inlineStr">
        <is>
          <t>0918.886.350</t>
        </is>
      </c>
      <c r="E638" s="399" t="n"/>
      <c r="F638" s="398" t="inlineStr">
        <is>
          <t>Huyện Gò Quao, Kiên Giang</t>
        </is>
      </c>
      <c r="G638" s="397" t="inlineStr">
        <is>
          <t>KG</t>
        </is>
      </c>
      <c r="H638" s="399" t="n"/>
      <c r="J638" s="392">
        <f>IFERROR(UPPER(TRIM(B638))&amp;"|"&amp;UPPER(TRIM(C638))&amp;"|"&amp;UPPER(TRIM(D638)),"")</f>
        <v/>
      </c>
    </row>
    <row r="639" ht="15.75" customHeight="1" s="217">
      <c r="A639" s="400" t="n">
        <v>637</v>
      </c>
      <c r="B639" s="400" t="inlineStr">
        <is>
          <t>KH3108</t>
        </is>
      </c>
      <c r="C639" s="401" t="inlineStr">
        <is>
          <t>Cửa hàng Anh Mến - Bảo Lộc - 0886.048.996</t>
        </is>
      </c>
      <c r="D639" s="400" t="inlineStr">
        <is>
          <t>0886.048.996</t>
        </is>
      </c>
      <c r="E639" s="402" t="n"/>
      <c r="F639" s="401" t="inlineStr">
        <is>
          <t>Bảo Lộc, Lâm Đồng</t>
        </is>
      </c>
      <c r="G639" s="400" t="inlineStr">
        <is>
          <t>LDONG</t>
        </is>
      </c>
      <c r="H639" s="402" t="n"/>
      <c r="J639" s="392">
        <f>IFERROR(UPPER(TRIM(B639))&amp;"|"&amp;UPPER(TRIM(C639))&amp;"|"&amp;UPPER(TRIM(D639)),"")</f>
        <v/>
      </c>
    </row>
    <row r="640" ht="15.75" customHeight="1" s="217">
      <c r="A640" s="397" t="n">
        <v>638</v>
      </c>
      <c r="B640" s="397" t="inlineStr">
        <is>
          <t>KH3109</t>
        </is>
      </c>
      <c r="C640" s="398" t="inlineStr">
        <is>
          <t>Cửa hàng Chín Hiếu - Mỹ Tho / A Nhi 0983.091.500</t>
        </is>
      </c>
      <c r="D640" s="397" t="inlineStr">
        <is>
          <t>0983.091.500</t>
        </is>
      </c>
      <c r="E640" s="399" t="n"/>
      <c r="F640" s="398" t="inlineStr">
        <is>
          <t>129 Trưng Trắc - P1 - TP Mỹ Tho - Tiền Giang</t>
        </is>
      </c>
      <c r="G640" s="397" t="inlineStr">
        <is>
          <t>TGIANG</t>
        </is>
      </c>
      <c r="H640" s="399" t="n"/>
      <c r="J640" s="392">
        <f>IFERROR(UPPER(TRIM(B640))&amp;"|"&amp;UPPER(TRIM(C640))&amp;"|"&amp;UPPER(TRIM(D640)),"")</f>
        <v/>
      </c>
    </row>
    <row r="641" ht="15.75" customHeight="1" s="217">
      <c r="A641" s="400" t="n">
        <v>639</v>
      </c>
      <c r="B641" s="400" t="inlineStr">
        <is>
          <t>KH3104</t>
        </is>
      </c>
      <c r="C641" s="401" t="inlineStr">
        <is>
          <t>Cửa hàng Hoàng Gia - Sài Gòn / A Tài 0983.083.334</t>
        </is>
      </c>
      <c r="D641" s="400" t="inlineStr">
        <is>
          <t>0983.083.334</t>
        </is>
      </c>
      <c r="E641" s="402" t="n"/>
      <c r="F641" s="401" t="inlineStr">
        <is>
          <t>Phường 16, Quận 8, TP HCM</t>
        </is>
      </c>
      <c r="G641" s="402" t="n"/>
      <c r="H641" s="402" t="n"/>
      <c r="J641" s="392">
        <f>IFERROR(UPPER(TRIM(B641))&amp;"|"&amp;UPPER(TRIM(C641))&amp;"|"&amp;UPPER(TRIM(D641)),"")</f>
        <v/>
      </c>
    </row>
    <row r="642" ht="15.75" customHeight="1" s="217">
      <c r="A642" s="397" t="n">
        <v>640</v>
      </c>
      <c r="B642" s="397" t="inlineStr">
        <is>
          <t>KH3105</t>
        </is>
      </c>
      <c r="C642" s="398" t="inlineStr">
        <is>
          <t>Anh Hạnh - Tân Biên/ 0977.884.314</t>
        </is>
      </c>
      <c r="D642" s="397" t="inlineStr">
        <is>
          <t>0977.884.314</t>
        </is>
      </c>
      <c r="E642" s="399" t="n"/>
      <c r="F642" s="398" t="inlineStr">
        <is>
          <t>Tân Biên, Tây Ninh</t>
        </is>
      </c>
      <c r="G642" s="397" t="inlineStr">
        <is>
          <t>TNINH</t>
        </is>
      </c>
      <c r="H642" s="399" t="n"/>
      <c r="J642" s="392">
        <f>IFERROR(UPPER(TRIM(B642))&amp;"|"&amp;UPPER(TRIM(C642))&amp;"|"&amp;UPPER(TRIM(D642)),"")</f>
        <v/>
      </c>
    </row>
    <row r="643" ht="15.75" customHeight="1" s="217">
      <c r="A643" s="400" t="n">
        <v>641</v>
      </c>
      <c r="B643" s="400" t="inlineStr">
        <is>
          <t>KH3106</t>
        </is>
      </c>
      <c r="C643" s="401" t="inlineStr">
        <is>
          <t>Cửa hàng Cơ Giới Phú Yên / 0394.682.912</t>
        </is>
      </c>
      <c r="D643" s="400" t="inlineStr">
        <is>
          <t>0394.682.912</t>
        </is>
      </c>
      <c r="E643" s="402" t="n"/>
      <c r="F643" s="401" t="inlineStr">
        <is>
          <t>603 Nguyễn Tất Thành, Tuy Hòa, Phú Yên</t>
        </is>
      </c>
      <c r="G643" s="400" t="inlineStr">
        <is>
          <t>PYEN</t>
        </is>
      </c>
      <c r="H643" s="402" t="n"/>
      <c r="J643" s="392">
        <f>IFERROR(UPPER(TRIM(B643))&amp;"|"&amp;UPPER(TRIM(C643))&amp;"|"&amp;UPPER(TRIM(D643)),"")</f>
        <v/>
      </c>
    </row>
    <row r="644" ht="15.75" customHeight="1" s="217">
      <c r="A644" s="397" t="n">
        <v>642</v>
      </c>
      <c r="B644" s="397" t="inlineStr">
        <is>
          <t>KH3102</t>
        </is>
      </c>
      <c r="C644" s="398" t="inlineStr">
        <is>
          <t>Xưởng Trọng Tín - Gia Lai / 0982.460.097</t>
        </is>
      </c>
      <c r="D644" s="397" t="inlineStr">
        <is>
          <t>0982.460.097</t>
        </is>
      </c>
      <c r="E644" s="399" t="n"/>
      <c r="F644" s="398" t="inlineStr">
        <is>
          <t>Pleiku - Gia Lai</t>
        </is>
      </c>
      <c r="G644" s="397" t="inlineStr">
        <is>
          <t>GLAI</t>
        </is>
      </c>
      <c r="H644" s="399" t="n"/>
      <c r="J644" s="392">
        <f>IFERROR(UPPER(TRIM(B644))&amp;"|"&amp;UPPER(TRIM(C644))&amp;"|"&amp;UPPER(TRIM(D644)),"")</f>
        <v/>
      </c>
    </row>
    <row r="645" ht="15.75" customHeight="1" s="217">
      <c r="A645" s="400" t="n">
        <v>643</v>
      </c>
      <c r="B645" s="400" t="inlineStr">
        <is>
          <t>KH3103</t>
        </is>
      </c>
      <c r="C645" s="401" t="inlineStr">
        <is>
          <t>Anh Tuấn - Lagi, Bình Thuận/ 0914.224.254</t>
        </is>
      </c>
      <c r="D645" s="400" t="inlineStr">
        <is>
          <t>0914.224.254</t>
        </is>
      </c>
      <c r="E645" s="402" t="n"/>
      <c r="F645" s="401" t="inlineStr">
        <is>
          <t>Lagi, Bình Thuận</t>
        </is>
      </c>
      <c r="G645" s="400" t="inlineStr">
        <is>
          <t>BTHUAN</t>
        </is>
      </c>
      <c r="H645" s="402" t="n"/>
      <c r="J645" s="392">
        <f>IFERROR(UPPER(TRIM(B645))&amp;"|"&amp;UPPER(TRIM(C645))&amp;"|"&amp;UPPER(TRIM(D645)),"")</f>
        <v/>
      </c>
    </row>
    <row r="646" ht="15.75" customHeight="1" s="217">
      <c r="A646" s="397" t="n">
        <v>644</v>
      </c>
      <c r="B646" s="397" t="inlineStr">
        <is>
          <t>KH3101</t>
        </is>
      </c>
      <c r="C646" s="398" t="inlineStr">
        <is>
          <t>Cty cổ phần đầu tư xây dựng và thương mại TNT / A Tùng 0976.050.001</t>
        </is>
      </c>
      <c r="D646" s="397" t="inlineStr">
        <is>
          <t>0976.050.001</t>
        </is>
      </c>
      <c r="E646" s="399" t="n"/>
      <c r="F646" s="398" t="inlineStr">
        <is>
          <t>18D đường Cộng Hòa, TP HCM</t>
        </is>
      </c>
      <c r="G646" s="397" t="inlineStr">
        <is>
          <t>SG/HCM</t>
        </is>
      </c>
      <c r="H646" s="399" t="n"/>
      <c r="J646" s="392">
        <f>IFERROR(UPPER(TRIM(B646))&amp;"|"&amp;UPPER(TRIM(C646))&amp;"|"&amp;UPPER(TRIM(D646)),"")</f>
        <v/>
      </c>
    </row>
    <row r="647" ht="15.75" customHeight="1" s="217">
      <c r="A647" s="400" t="n">
        <v>645</v>
      </c>
      <c r="B647" s="400" t="inlineStr">
        <is>
          <t>KH3100</t>
        </is>
      </c>
      <c r="C647" s="401" t="inlineStr">
        <is>
          <t>Cửa hàng Toàn Gia Phát- Vĩnh Long/ Chị Tuyền- 0799.696.199</t>
        </is>
      </c>
      <c r="D647" s="400" t="inlineStr">
        <is>
          <t>0799.696.199</t>
        </is>
      </c>
      <c r="E647" s="402" t="n"/>
      <c r="F647" s="401" t="inlineStr">
        <is>
          <t>Tân An, Tân Hạnh, Long Hồ, Vĩnh Long</t>
        </is>
      </c>
      <c r="G647" s="400" t="inlineStr">
        <is>
          <t>VĨNH LONG</t>
        </is>
      </c>
      <c r="H647" s="402" t="n"/>
      <c r="J647" s="392">
        <f>IFERROR(UPPER(TRIM(B647))&amp;"|"&amp;UPPER(TRIM(C647))&amp;"|"&amp;UPPER(TRIM(D647)),"")</f>
        <v/>
      </c>
    </row>
    <row r="648" ht="15.75" customHeight="1" s="217">
      <c r="A648" s="397" t="n">
        <v>646</v>
      </c>
      <c r="B648" s="397" t="inlineStr">
        <is>
          <t>KH3099</t>
        </is>
      </c>
      <c r="C648" s="398" t="inlineStr">
        <is>
          <t>Xưởng Trường Giang- Vĩnh Long/ 0966.060.775</t>
        </is>
      </c>
      <c r="D648" s="397" t="inlineStr">
        <is>
          <t>0966.060.775</t>
        </is>
      </c>
      <c r="E648" s="399" t="n"/>
      <c r="F648" s="398" t="inlineStr">
        <is>
          <t>Vĩnh Long</t>
        </is>
      </c>
      <c r="G648" s="397" t="inlineStr">
        <is>
          <t>VĨNH LONG</t>
        </is>
      </c>
      <c r="H648" s="399" t="n"/>
      <c r="J648" s="392">
        <f>IFERROR(UPPER(TRIM(B648))&amp;"|"&amp;UPPER(TRIM(C648))&amp;"|"&amp;UPPER(TRIM(D648)),"")</f>
        <v/>
      </c>
    </row>
    <row r="649" ht="15.75" customHeight="1" s="217">
      <c r="A649" s="400" t="n">
        <v>647</v>
      </c>
      <c r="B649" s="400" t="inlineStr">
        <is>
          <t>KH3098</t>
        </is>
      </c>
      <c r="C649" s="401" t="inlineStr">
        <is>
          <t>Anh Hiệp- Sài Gòn/ 0903.675.301</t>
        </is>
      </c>
      <c r="D649" s="400" t="inlineStr">
        <is>
          <t>0903.675.301</t>
        </is>
      </c>
      <c r="E649" s="402" t="n"/>
      <c r="F649" s="401" t="inlineStr">
        <is>
          <t>Sài Gòn</t>
        </is>
      </c>
      <c r="G649" s="400" t="inlineStr">
        <is>
          <t>SG/HCM</t>
        </is>
      </c>
      <c r="H649" s="402" t="n"/>
      <c r="J649" s="392">
        <f>IFERROR(UPPER(TRIM(B649))&amp;"|"&amp;UPPER(TRIM(C649))&amp;"|"&amp;UPPER(TRIM(D649)),"")</f>
        <v/>
      </c>
    </row>
    <row r="650" ht="15.75" customHeight="1" s="217">
      <c r="A650" s="397" t="n">
        <v>648</v>
      </c>
      <c r="B650" s="397" t="inlineStr">
        <is>
          <t>KH3096</t>
        </is>
      </c>
      <c r="C650" s="398" t="inlineStr">
        <is>
          <t>Công ty CP Năng Lượng HT- Vũng Tàu/ A Mạnh: 0903.755.086</t>
        </is>
      </c>
      <c r="D650" s="397" t="inlineStr">
        <is>
          <t>0903.755.086</t>
        </is>
      </c>
      <c r="E650" s="399" t="n"/>
      <c r="F650" s="398" t="inlineStr">
        <is>
          <t>Đường 30/4, Thắng Nhất, Vũng Tàu</t>
        </is>
      </c>
      <c r="G650" s="397" t="inlineStr">
        <is>
          <t>BRVT</t>
        </is>
      </c>
      <c r="H650" s="399" t="n"/>
      <c r="J650" s="392">
        <f>IFERROR(UPPER(TRIM(B650))&amp;"|"&amp;UPPER(TRIM(C650))&amp;"|"&amp;UPPER(TRIM(D650)),"")</f>
        <v/>
      </c>
    </row>
    <row r="651" ht="15.75" customHeight="1" s="217">
      <c r="A651" s="400" t="n">
        <v>649</v>
      </c>
      <c r="B651" s="400" t="inlineStr">
        <is>
          <t>KH3097</t>
        </is>
      </c>
      <c r="C651" s="401" t="inlineStr">
        <is>
          <t>Anh Anh- Sài Gòn/ 0918.292.555</t>
        </is>
      </c>
      <c r="D651" s="400" t="inlineStr">
        <is>
          <t>0918.292.555</t>
        </is>
      </c>
      <c r="E651" s="402" t="n"/>
      <c r="F651" s="401" t="inlineStr">
        <is>
          <t>688/57/1 Lê Đức Thọ, P15, Gò Vấp</t>
        </is>
      </c>
      <c r="G651" s="400" t="inlineStr">
        <is>
          <t>SG/HCM</t>
        </is>
      </c>
      <c r="H651" s="402" t="n"/>
      <c r="J651" s="392">
        <f>IFERROR(UPPER(TRIM(B651))&amp;"|"&amp;UPPER(TRIM(C651))&amp;"|"&amp;UPPER(TRIM(D651)),"")</f>
        <v/>
      </c>
    </row>
    <row r="652" ht="15.75" customHeight="1" s="217">
      <c r="A652" s="397" t="n">
        <v>650</v>
      </c>
      <c r="B652" s="397" t="inlineStr">
        <is>
          <t>KH3094</t>
        </is>
      </c>
      <c r="C652" s="398" t="inlineStr">
        <is>
          <t>Cửa hàng Anh Tú - Quận 2/ Anh Tú: 0934.056.859</t>
        </is>
      </c>
      <c r="D652" s="397" t="inlineStr">
        <is>
          <t>0934.056.859</t>
        </is>
      </c>
      <c r="E652" s="399" t="n"/>
      <c r="F652" s="398" t="inlineStr">
        <is>
          <t>20 Đường 15, P. An Khánh, TP HCM</t>
        </is>
      </c>
      <c r="G652" s="397" t="inlineStr">
        <is>
          <t>SG/HCM</t>
        </is>
      </c>
      <c r="H652" s="399" t="n"/>
      <c r="J652" s="392">
        <f>IFERROR(UPPER(TRIM(B652))&amp;"|"&amp;UPPER(TRIM(C652))&amp;"|"&amp;UPPER(TRIM(D652)),"")</f>
        <v/>
      </c>
    </row>
    <row r="653" ht="15.75" customHeight="1" s="217">
      <c r="A653" s="400" t="n">
        <v>651</v>
      </c>
      <c r="B653" s="400" t="inlineStr">
        <is>
          <t>KH3095</t>
        </is>
      </c>
      <c r="C653" s="401" t="inlineStr">
        <is>
          <t>Anh Hiếu - Cam Ranh/ 0982.203.270</t>
        </is>
      </c>
      <c r="D653" s="400" t="inlineStr">
        <is>
          <t>0982.203.270</t>
        </is>
      </c>
      <c r="E653" s="402" t="n"/>
      <c r="F653" s="401" t="inlineStr">
        <is>
          <t>TP Cam Ranh, Khánh Hòa</t>
        </is>
      </c>
      <c r="G653" s="400" t="inlineStr">
        <is>
          <t>NTRANG</t>
        </is>
      </c>
      <c r="H653" s="402" t="n"/>
      <c r="J653" s="392">
        <f>IFERROR(UPPER(TRIM(B653))&amp;"|"&amp;UPPER(TRIM(C653))&amp;"|"&amp;UPPER(TRIM(D653)),"")</f>
        <v/>
      </c>
    </row>
    <row r="654" ht="15.75" customHeight="1" s="217">
      <c r="A654" s="397" t="n">
        <v>652</v>
      </c>
      <c r="B654" s="397" t="inlineStr">
        <is>
          <t>KH3093</t>
        </is>
      </c>
      <c r="C654" s="398" t="inlineStr">
        <is>
          <t>Anh Thức- Bình Định/ 0373.939.322</t>
        </is>
      </c>
      <c r="D654" s="397" t="inlineStr">
        <is>
          <t>0373.939.322</t>
        </is>
      </c>
      <c r="E654" s="399" t="n"/>
      <c r="F654" s="398" t="inlineStr">
        <is>
          <t>Bồng Sơn, Hoài Sơn, Bình Định</t>
        </is>
      </c>
      <c r="G654" s="397" t="inlineStr">
        <is>
          <t>BDINH</t>
        </is>
      </c>
      <c r="H654" s="399" t="n"/>
      <c r="J654" s="392">
        <f>IFERROR(UPPER(TRIM(B654))&amp;"|"&amp;UPPER(TRIM(C654))&amp;"|"&amp;UPPER(TRIM(D654)),"")</f>
        <v/>
      </c>
    </row>
    <row r="655" ht="15.75" customHeight="1" s="217">
      <c r="A655" s="400" t="n">
        <v>653</v>
      </c>
      <c r="B655" s="400" t="inlineStr">
        <is>
          <t>KH3092</t>
        </is>
      </c>
      <c r="C655" s="401" t="inlineStr">
        <is>
          <t>Gara Phước Trung - A Phước - 0933.343.409</t>
        </is>
      </c>
      <c r="D655" s="400" t="inlineStr">
        <is>
          <t>0933.343.409</t>
        </is>
      </c>
      <c r="E655" s="402" t="n"/>
      <c r="F655" s="401" t="inlineStr">
        <is>
          <t>An Phú Đông, Quận 12, Sài Gòn</t>
        </is>
      </c>
      <c r="G655" s="400" t="inlineStr">
        <is>
          <t>SG/HCM</t>
        </is>
      </c>
      <c r="H655" s="402" t="n"/>
      <c r="J655" s="392">
        <f>IFERROR(UPPER(TRIM(B655))&amp;"|"&amp;UPPER(TRIM(C655))&amp;"|"&amp;UPPER(TRIM(D655)),"")</f>
        <v/>
      </c>
    </row>
    <row r="656" ht="15.75" customHeight="1" s="217">
      <c r="A656" s="397" t="n">
        <v>654</v>
      </c>
      <c r="B656" s="397" t="inlineStr">
        <is>
          <t>KH3091</t>
        </is>
      </c>
      <c r="C656" s="398" t="inlineStr">
        <is>
          <t>Công ty TNHH Nhạc Sơn- Bình Thuận/ A Nguyên: 0973.400.605</t>
        </is>
      </c>
      <c r="D656" s="397" t="inlineStr">
        <is>
          <t>0973.400.605</t>
        </is>
      </c>
      <c r="E656" s="399" t="n"/>
      <c r="F656" s="398" t="inlineStr">
        <is>
          <t>Bình Thuận</t>
        </is>
      </c>
      <c r="G656" s="397" t="inlineStr">
        <is>
          <t>BTHUAN</t>
        </is>
      </c>
      <c r="H656" s="399" t="n"/>
      <c r="J656" s="392">
        <f>IFERROR(UPPER(TRIM(B656))&amp;"|"&amp;UPPER(TRIM(C656))&amp;"|"&amp;UPPER(TRIM(D656)),"")</f>
        <v/>
      </c>
    </row>
    <row r="657" ht="15.75" customHeight="1" s="217">
      <c r="A657" s="400" t="n">
        <v>655</v>
      </c>
      <c r="B657" s="400" t="inlineStr">
        <is>
          <t>KH3089</t>
        </is>
      </c>
      <c r="C657" s="401" t="inlineStr">
        <is>
          <t>CH Bảy Vĩnh - Tân Thạnh (Hai Tấn - Long An)/A. Vĩnh 0917.272.567</t>
        </is>
      </c>
      <c r="D657" s="400" t="inlineStr">
        <is>
          <t>0917.272.567</t>
        </is>
      </c>
      <c r="E657" s="402" t="n"/>
      <c r="F657" s="401" t="inlineStr">
        <is>
          <t>Số 27, Ấp Cái Tôm, Xã Kiến Bình, H, Tân Thanh, Tỉnh Long An</t>
        </is>
      </c>
      <c r="G657" s="400" t="inlineStr">
        <is>
          <t>LA</t>
        </is>
      </c>
      <c r="H657" s="402" t="n"/>
      <c r="J657" s="392">
        <f>IFERROR(UPPER(TRIM(B657))&amp;"|"&amp;UPPER(TRIM(C657))&amp;"|"&amp;UPPER(TRIM(D657)),"")</f>
        <v/>
      </c>
    </row>
    <row r="658" ht="15.75" customHeight="1" s="217">
      <c r="A658" s="397" t="n">
        <v>656</v>
      </c>
      <c r="B658" s="397" t="inlineStr">
        <is>
          <t>KH3090</t>
        </is>
      </c>
      <c r="C658" s="398" t="inlineStr">
        <is>
          <t>Anh Lý- Chơn Thành, Bình Phước/ 0794.893.893</t>
        </is>
      </c>
      <c r="D658" s="397" t="inlineStr">
        <is>
          <t>0794.893.893</t>
        </is>
      </c>
      <c r="E658" s="399" t="n"/>
      <c r="F658" s="398" t="inlineStr">
        <is>
          <t>Chơn Thành, Bình Phước</t>
        </is>
      </c>
      <c r="G658" s="397" t="inlineStr">
        <is>
          <t>BP</t>
        </is>
      </c>
      <c r="H658" s="399" t="n"/>
      <c r="J658" s="392">
        <f>IFERROR(UPPER(TRIM(B658))&amp;"|"&amp;UPPER(TRIM(C658))&amp;"|"&amp;UPPER(TRIM(D658)),"")</f>
        <v/>
      </c>
    </row>
    <row r="659" ht="15.75" customHeight="1" s="217">
      <c r="A659" s="400" t="n">
        <v>657</v>
      </c>
      <c r="B659" s="400" t="inlineStr">
        <is>
          <t>KH3086</t>
        </is>
      </c>
      <c r="C659" s="401" t="inlineStr">
        <is>
          <t>Anh Quý- Tây Ninh/ 0909.532.957</t>
        </is>
      </c>
      <c r="D659" s="400" t="inlineStr">
        <is>
          <t>0909.532.957</t>
        </is>
      </c>
      <c r="E659" s="402" t="n"/>
      <c r="F659" s="401" t="inlineStr">
        <is>
          <t>Tổ 7, ấp Xóm Ruộng, Xã Trí Bình, Huyện Châu Thành, Tỉnh Tây Ninh</t>
        </is>
      </c>
      <c r="G659" s="400" t="inlineStr">
        <is>
          <t>TNINH</t>
        </is>
      </c>
      <c r="H659" s="402" t="n"/>
      <c r="J659" s="392">
        <f>IFERROR(UPPER(TRIM(B659))&amp;"|"&amp;UPPER(TRIM(C659))&amp;"|"&amp;UPPER(TRIM(D659)),"")</f>
        <v/>
      </c>
    </row>
    <row r="660" ht="15.75" customHeight="1" s="217">
      <c r="A660" s="397" t="n">
        <v>658</v>
      </c>
      <c r="B660" s="397" t="inlineStr">
        <is>
          <t>KH3087</t>
        </is>
      </c>
      <c r="C660" s="398" t="inlineStr">
        <is>
          <t>Anh Duyệt- Sài Gòn/ 0986.659.557</t>
        </is>
      </c>
      <c r="D660" s="397" t="inlineStr">
        <is>
          <t>0986.659.557</t>
        </is>
      </c>
      <c r="E660" s="399" t="n"/>
      <c r="F660" s="398" t="inlineStr">
        <is>
          <t>Sài gòn</t>
        </is>
      </c>
      <c r="G660" s="397" t="inlineStr">
        <is>
          <t>SG/HCM</t>
        </is>
      </c>
      <c r="H660" s="399" t="n"/>
      <c r="J660" s="392">
        <f>IFERROR(UPPER(TRIM(B660))&amp;"|"&amp;UPPER(TRIM(C660))&amp;"|"&amp;UPPER(TRIM(D660)),"")</f>
        <v/>
      </c>
    </row>
    <row r="661" ht="15.75" customHeight="1" s="217">
      <c r="A661" s="400" t="n">
        <v>659</v>
      </c>
      <c r="B661" s="400" t="inlineStr">
        <is>
          <t>KH3088</t>
        </is>
      </c>
      <c r="C661" s="401" t="inlineStr">
        <is>
          <t>Anh Tiệp- Vũng Tàu/ 0935.584.686</t>
        </is>
      </c>
      <c r="D661" s="400" t="inlineStr">
        <is>
          <t>0935.584.686</t>
        </is>
      </c>
      <c r="E661" s="402" t="n"/>
      <c r="F661" s="401" t="inlineStr">
        <is>
          <t>Bà Rịa Vũng Tàu</t>
        </is>
      </c>
      <c r="G661" s="400" t="inlineStr">
        <is>
          <t>BRVT</t>
        </is>
      </c>
      <c r="H661" s="402" t="n"/>
      <c r="J661" s="392">
        <f>IFERROR(UPPER(TRIM(B661))&amp;"|"&amp;UPPER(TRIM(C661))&amp;"|"&amp;UPPER(TRIM(D661)),"")</f>
        <v/>
      </c>
    </row>
    <row r="662" ht="15.75" customHeight="1" s="217">
      <c r="A662" s="397" t="n">
        <v>660</v>
      </c>
      <c r="B662" s="397" t="inlineStr">
        <is>
          <t>KH3085</t>
        </is>
      </c>
      <c r="C662" s="398" t="inlineStr">
        <is>
          <t>Anh Hạnh- Long Xuyên/ 0983.597.343</t>
        </is>
      </c>
      <c r="D662" s="397" t="inlineStr">
        <is>
          <t>0983.597.343</t>
        </is>
      </c>
      <c r="E662" s="399" t="n"/>
      <c r="F662" s="398" t="inlineStr">
        <is>
          <t>TP Long Xuyên, An Giang</t>
        </is>
      </c>
      <c r="G662" s="397" t="inlineStr">
        <is>
          <t>ANGIANG</t>
        </is>
      </c>
      <c r="H662" s="399" t="n"/>
      <c r="J662" s="392">
        <f>IFERROR(UPPER(TRIM(B662))&amp;"|"&amp;UPPER(TRIM(C662))&amp;"|"&amp;UPPER(TRIM(D662)),"")</f>
        <v/>
      </c>
    </row>
    <row r="663" ht="15.75" customHeight="1" s="217">
      <c r="A663" s="400" t="n">
        <v>661</v>
      </c>
      <c r="B663" s="400" t="inlineStr">
        <is>
          <t>KH3084</t>
        </is>
      </c>
      <c r="C663" s="401" t="inlineStr">
        <is>
          <t>Anh Tuấn- Bình Long/ 0962.520.096</t>
        </is>
      </c>
      <c r="D663" s="400" t="inlineStr">
        <is>
          <t>0962.520.096</t>
        </is>
      </c>
      <c r="E663" s="402" t="n"/>
      <c r="F663" s="401" t="inlineStr">
        <is>
          <t>Tổ 10, Ấp Thanh Hoà, Xã Thanh Lương, TX. Bình Long, Tỉnh Bình Phước</t>
        </is>
      </c>
      <c r="G663" s="400" t="inlineStr">
        <is>
          <t>BP</t>
        </is>
      </c>
      <c r="H663" s="402" t="n"/>
      <c r="J663" s="392">
        <f>IFERROR(UPPER(TRIM(B663))&amp;"|"&amp;UPPER(TRIM(C663))&amp;"|"&amp;UPPER(TRIM(D663)),"")</f>
        <v/>
      </c>
    </row>
    <row r="664" ht="15.75" customHeight="1" s="217">
      <c r="A664" s="397" t="n">
        <v>662</v>
      </c>
      <c r="B664" s="397" t="inlineStr">
        <is>
          <t>KH3083</t>
        </is>
      </c>
      <c r="C664" s="398" t="inlineStr">
        <is>
          <t>Cty Tân Tân Mỹ- Bình Dương/ Anh Sỹ: 0909.793.567</t>
        </is>
      </c>
      <c r="D664" s="397" t="inlineStr">
        <is>
          <t>0909.793.567</t>
        </is>
      </c>
      <c r="E664" s="399" t="n"/>
      <c r="F664" s="398" t="inlineStr">
        <is>
          <t>Ấp 1, Xã Tân Mỹ, H. Bắc Tân Uyên, Tỉnh Bình Dương</t>
        </is>
      </c>
      <c r="G664" s="397" t="inlineStr">
        <is>
          <t>BDUONG</t>
        </is>
      </c>
      <c r="H664" s="399" t="n"/>
      <c r="J664" s="392">
        <f>IFERROR(UPPER(TRIM(B664))&amp;"|"&amp;UPPER(TRIM(C664))&amp;"|"&amp;UPPER(TRIM(D664)),"")</f>
        <v/>
      </c>
    </row>
    <row r="665" ht="15.75" customHeight="1" s="217">
      <c r="A665" s="400" t="n">
        <v>663</v>
      </c>
      <c r="B665" s="400" t="inlineStr">
        <is>
          <t>KH3082</t>
        </is>
      </c>
      <c r="C665" s="401" t="inlineStr">
        <is>
          <t>CH Nguyễn Long- BRVT/ 0901.257.180</t>
        </is>
      </c>
      <c r="D665" s="400" t="inlineStr">
        <is>
          <t>0901.257.180</t>
        </is>
      </c>
      <c r="E665" s="402" t="n"/>
      <c r="F665" s="401" t="inlineStr">
        <is>
          <t>Tổ 5, KP Núi Dinh, P. Kim Dinh, BRVT</t>
        </is>
      </c>
      <c r="G665" s="400" t="inlineStr">
        <is>
          <t>BRVT</t>
        </is>
      </c>
      <c r="H665" s="402" t="n"/>
      <c r="J665" s="392">
        <f>IFERROR(UPPER(TRIM(B665))&amp;"|"&amp;UPPER(TRIM(C665))&amp;"|"&amp;UPPER(TRIM(D665)),"")</f>
        <v/>
      </c>
    </row>
    <row r="666" ht="15.75" customHeight="1" s="217">
      <c r="A666" s="397" t="n">
        <v>664</v>
      </c>
      <c r="B666" s="397" t="inlineStr">
        <is>
          <t>KH3080</t>
        </is>
      </c>
      <c r="C666" s="398" t="inlineStr">
        <is>
          <t>Xưởng Trí Lượng- Phú Giáo/ 0914.407.228</t>
        </is>
      </c>
      <c r="D666" s="397" t="inlineStr">
        <is>
          <t>0914.407.228</t>
        </is>
      </c>
      <c r="E666" s="399" t="n"/>
      <c r="F666" s="398" t="inlineStr">
        <is>
          <t>Phước Vĩnh, Phú Giáo, Bình Dương</t>
        </is>
      </c>
      <c r="G666" s="397" t="inlineStr">
        <is>
          <t>BDUONG</t>
        </is>
      </c>
      <c r="H666" s="399" t="n"/>
      <c r="J666" s="392">
        <f>IFERROR(UPPER(TRIM(B666))&amp;"|"&amp;UPPER(TRIM(C666))&amp;"|"&amp;UPPER(TRIM(D666)),"")</f>
        <v/>
      </c>
    </row>
    <row r="667" ht="15.75" customHeight="1" s="217">
      <c r="A667" s="400" t="n">
        <v>665</v>
      </c>
      <c r="B667" s="400" t="inlineStr">
        <is>
          <t>KH3081</t>
        </is>
      </c>
      <c r="C667" s="401" t="inlineStr">
        <is>
          <t>Gara ô tô Huỳnh Long, Tân Uyên, Bình Dương/  0985.917.932</t>
        </is>
      </c>
      <c r="D667" s="400" t="inlineStr">
        <is>
          <t>0985.917.932</t>
        </is>
      </c>
      <c r="E667" s="402" t="n"/>
      <c r="F667" s="401" t="inlineStr">
        <is>
          <t>Tổ 5, khu phố Long Bình, phường Khánh Bình, Tân Uyên, Bình Dương</t>
        </is>
      </c>
      <c r="G667" s="400" t="inlineStr">
        <is>
          <t>BDUONG</t>
        </is>
      </c>
      <c r="H667" s="402" t="n"/>
      <c r="J667" s="392">
        <f>IFERROR(UPPER(TRIM(B667))&amp;"|"&amp;UPPER(TRIM(C667))&amp;"|"&amp;UPPER(TRIM(D667)),"")</f>
        <v/>
      </c>
    </row>
    <row r="668" ht="15.75" customHeight="1" s="217">
      <c r="A668" s="397" t="n">
        <v>666</v>
      </c>
      <c r="B668" s="397" t="inlineStr">
        <is>
          <t>KH3079</t>
        </is>
      </c>
      <c r="C668" s="398" t="inlineStr">
        <is>
          <t>Anh Tuấn bãi xe Đức Hùng- Cầu Vượt Linh Xuân/ 0908.705.302</t>
        </is>
      </c>
      <c r="D668" s="397" t="inlineStr">
        <is>
          <t>0908.705.302</t>
        </is>
      </c>
      <c r="E668" s="399" t="n"/>
      <c r="F668" s="398" t="inlineStr">
        <is>
          <t>Cầu Vượt Linh Xuân- SG</t>
        </is>
      </c>
      <c r="G668" s="397" t="inlineStr">
        <is>
          <t>SG/HCM</t>
        </is>
      </c>
      <c r="H668" s="399" t="n"/>
      <c r="J668" s="392">
        <f>IFERROR(UPPER(TRIM(B668))&amp;"|"&amp;UPPER(TRIM(C668))&amp;"|"&amp;UPPER(TRIM(D668)),"")</f>
        <v/>
      </c>
    </row>
    <row r="669" ht="15.75" customHeight="1" s="217">
      <c r="A669" s="400" t="n">
        <v>667</v>
      </c>
      <c r="B669" s="400" t="inlineStr">
        <is>
          <t>KH3078</t>
        </is>
      </c>
      <c r="C669" s="401" t="inlineStr">
        <is>
          <t>Công ty ABG- Sài Gòn/ Anh Hoãn: 0787.112.888</t>
        </is>
      </c>
      <c r="D669" s="400" t="inlineStr">
        <is>
          <t>0787.112.888</t>
        </is>
      </c>
      <c r="E669" s="402" t="n"/>
      <c r="F669" s="401" t="inlineStr">
        <is>
          <t>Tp. HCM</t>
        </is>
      </c>
      <c r="G669" s="400" t="inlineStr">
        <is>
          <t>SG/HCM</t>
        </is>
      </c>
      <c r="H669" s="402" t="n"/>
      <c r="J669" s="392">
        <f>IFERROR(UPPER(TRIM(B669))&amp;"|"&amp;UPPER(TRIM(C669))&amp;"|"&amp;UPPER(TRIM(D669)),"")</f>
        <v/>
      </c>
    </row>
    <row r="670" ht="15.75" customHeight="1" s="217">
      <c r="A670" s="397" t="n">
        <v>668</v>
      </c>
      <c r="B670" s="397" t="inlineStr">
        <is>
          <t>KH3076</t>
        </is>
      </c>
      <c r="C670" s="398" t="inlineStr">
        <is>
          <t>Công ty TNHH Huy Hiển- Đắk Mil/ 0902.828.518</t>
        </is>
      </c>
      <c r="D670" s="397" t="inlineStr">
        <is>
          <t>0902.828.518</t>
        </is>
      </c>
      <c r="E670" s="399" t="n"/>
      <c r="F670" s="398" t="inlineStr">
        <is>
          <t>Đắk Mil, Đăk Nông</t>
        </is>
      </c>
      <c r="G670" s="397" t="inlineStr">
        <is>
          <t>DNONG</t>
        </is>
      </c>
      <c r="H670" s="399" t="n"/>
      <c r="J670" s="392">
        <f>IFERROR(UPPER(TRIM(B670))&amp;"|"&amp;UPPER(TRIM(C670))&amp;"|"&amp;UPPER(TRIM(D670)),"")</f>
        <v/>
      </c>
    </row>
    <row r="671" ht="15.75" customHeight="1" s="217">
      <c r="A671" s="400" t="n">
        <v>669</v>
      </c>
      <c r="B671" s="400" t="inlineStr">
        <is>
          <t>KH3077</t>
        </is>
      </c>
      <c r="C671" s="401" t="inlineStr">
        <is>
          <t>Công ty TNHH ĐT TM DV XNK Lũ Phúc Khang- Q8/ 0909.993.891</t>
        </is>
      </c>
      <c r="D671" s="400" t="inlineStr">
        <is>
          <t>0909.993.891</t>
        </is>
      </c>
      <c r="E671" s="402" t="n"/>
      <c r="F671" s="401" t="inlineStr">
        <is>
          <t>80/46A Đường 41, P. 16, Quận 8, TP. HCM</t>
        </is>
      </c>
      <c r="G671" s="400" t="inlineStr">
        <is>
          <t>SG/HCM</t>
        </is>
      </c>
      <c r="H671" s="402" t="n"/>
      <c r="J671" s="392">
        <f>IFERROR(UPPER(TRIM(B671))&amp;"|"&amp;UPPER(TRIM(C671))&amp;"|"&amp;UPPER(TRIM(D671)),"")</f>
        <v/>
      </c>
    </row>
    <row r="672" ht="15.75" customHeight="1" s="217">
      <c r="A672" s="397" t="n">
        <v>670</v>
      </c>
      <c r="B672" s="397" t="inlineStr">
        <is>
          <t>KH3075</t>
        </is>
      </c>
      <c r="C672" s="398" t="inlineStr">
        <is>
          <t>Cửa hàng oto Nhật Thảo- Phước Long/ 0983.136.734</t>
        </is>
      </c>
      <c r="D672" s="397" t="inlineStr">
        <is>
          <t>0983.136.734</t>
        </is>
      </c>
      <c r="E672" s="399" t="n"/>
      <c r="F672" s="398" t="inlineStr">
        <is>
          <t>Khu 2, P. Phước Bình, TX. Phước Long, Bình Phước</t>
        </is>
      </c>
      <c r="G672" s="397" t="inlineStr">
        <is>
          <t>BP</t>
        </is>
      </c>
      <c r="H672" s="399" t="n"/>
      <c r="J672" s="392">
        <f>IFERROR(UPPER(TRIM(B672))&amp;"|"&amp;UPPER(TRIM(C672))&amp;"|"&amp;UPPER(TRIM(D672)),"")</f>
        <v/>
      </c>
    </row>
    <row r="673" ht="15.75" customHeight="1" s="217">
      <c r="A673" s="400" t="n">
        <v>671</v>
      </c>
      <c r="B673" s="400" t="inlineStr">
        <is>
          <t>KH3074</t>
        </is>
      </c>
      <c r="C673" s="401" t="inlineStr">
        <is>
          <t>Công ty Thép Nghi Sơn- Thanh Hoá/ Chị Sen: 0985.514.934</t>
        </is>
      </c>
      <c r="D673" s="400" t="inlineStr">
        <is>
          <t>0985.514.934</t>
        </is>
      </c>
      <c r="E673" s="402" t="n"/>
      <c r="F673" s="401" t="inlineStr">
        <is>
          <t>Thanh Hoá</t>
        </is>
      </c>
      <c r="G673" s="400" t="inlineStr">
        <is>
          <t>ANGIANG</t>
        </is>
      </c>
      <c r="H673" s="402" t="n"/>
      <c r="J673" s="392">
        <f>IFERROR(UPPER(TRIM(B673))&amp;"|"&amp;UPPER(TRIM(C673))&amp;"|"&amp;UPPER(TRIM(D673)),"")</f>
        <v/>
      </c>
    </row>
    <row r="674" ht="15.75" customHeight="1" s="217">
      <c r="A674" s="397" t="n">
        <v>672</v>
      </c>
      <c r="B674" s="397" t="inlineStr">
        <is>
          <t>KH3072</t>
        </is>
      </c>
      <c r="C674" s="398" t="inlineStr">
        <is>
          <t>Anh Nhiều- Q12, SG/ 0907.132.340</t>
        </is>
      </c>
      <c r="D674" s="397" t="inlineStr">
        <is>
          <t>0907.132.340</t>
        </is>
      </c>
      <c r="E674" s="399" t="n"/>
      <c r="F674" s="398" t="inlineStr">
        <is>
          <t>346 Hà Huy Giáp, P. Thạnh Lộc, Q. 12, SG</t>
        </is>
      </c>
      <c r="G674" s="397" t="inlineStr">
        <is>
          <t>SG/HCM</t>
        </is>
      </c>
      <c r="H674" s="399" t="n"/>
      <c r="J674" s="392">
        <f>IFERROR(UPPER(TRIM(B674))&amp;"|"&amp;UPPER(TRIM(C674))&amp;"|"&amp;UPPER(TRIM(D674)),"")</f>
        <v/>
      </c>
    </row>
    <row r="675" ht="15.75" customHeight="1" s="217">
      <c r="A675" s="400" t="n">
        <v>673</v>
      </c>
      <c r="B675" s="400" t="inlineStr">
        <is>
          <t>KH3073</t>
        </is>
      </c>
      <c r="C675" s="401" t="inlineStr">
        <is>
          <t>Phụ tùng oto Lâm Trí- Q2/ 0901.430.707</t>
        </is>
      </c>
      <c r="D675" s="400" t="inlineStr">
        <is>
          <t>0901.430.707</t>
        </is>
      </c>
      <c r="E675" s="402" t="n"/>
      <c r="F675" s="401" t="inlineStr">
        <is>
          <t>49 Cao Đức Lân, Q2, TP. HCM</t>
        </is>
      </c>
      <c r="G675" s="400" t="inlineStr">
        <is>
          <t>SG/HCM</t>
        </is>
      </c>
      <c r="H675" s="402" t="n"/>
      <c r="J675" s="392">
        <f>IFERROR(UPPER(TRIM(B675))&amp;"|"&amp;UPPER(TRIM(C675))&amp;"|"&amp;UPPER(TRIM(D675)),"")</f>
        <v/>
      </c>
    </row>
    <row r="676" ht="15.75" customHeight="1" s="217">
      <c r="A676" s="397" t="n">
        <v>674</v>
      </c>
      <c r="B676" s="397" t="inlineStr">
        <is>
          <t>KH3071</t>
        </is>
      </c>
      <c r="C676" s="398" t="inlineStr">
        <is>
          <t>Chủ máy anh Hùng- Bình Phước/ 0913.919.869</t>
        </is>
      </c>
      <c r="D676" s="397" t="inlineStr">
        <is>
          <t>0913.919.869</t>
        </is>
      </c>
      <c r="E676" s="399" t="n"/>
      <c r="F676" s="398" t="inlineStr">
        <is>
          <t>Bình Phước</t>
        </is>
      </c>
      <c r="G676" s="397" t="inlineStr">
        <is>
          <t>BP</t>
        </is>
      </c>
      <c r="H676" s="399" t="n"/>
      <c r="J676" s="392">
        <f>IFERROR(UPPER(TRIM(B676))&amp;"|"&amp;UPPER(TRIM(C676))&amp;"|"&amp;UPPER(TRIM(D676)),"")</f>
        <v/>
      </c>
    </row>
    <row r="677" ht="15.75" customHeight="1" s="217">
      <c r="A677" s="400" t="n">
        <v>675</v>
      </c>
      <c r="B677" s="400" t="inlineStr">
        <is>
          <t>KH3070</t>
        </is>
      </c>
      <c r="C677" s="401" t="inlineStr">
        <is>
          <t>Cửa hàng MCT Tiến Đạt- Hà Nội/ 0866.880.638</t>
        </is>
      </c>
      <c r="D677" s="400" t="inlineStr">
        <is>
          <t>0866.880.638</t>
        </is>
      </c>
      <c r="E677" s="402" t="n"/>
      <c r="F677" s="401" t="inlineStr">
        <is>
          <t>Hà Nội</t>
        </is>
      </c>
      <c r="G677" s="400" t="inlineStr">
        <is>
          <t>HN</t>
        </is>
      </c>
      <c r="H677" s="402" t="n"/>
      <c r="J677" s="392">
        <f>IFERROR(UPPER(TRIM(B677))&amp;"|"&amp;UPPER(TRIM(C677))&amp;"|"&amp;UPPER(TRIM(D677)),"")</f>
        <v/>
      </c>
    </row>
    <row r="678" ht="15.75" customHeight="1" s="217">
      <c r="A678" s="397" t="n">
        <v>676</v>
      </c>
      <c r="B678" s="397" t="inlineStr">
        <is>
          <t>KH3068</t>
        </is>
      </c>
      <c r="C678" s="398" t="inlineStr">
        <is>
          <t>Anh Sang- Bình Long/ 0354.878.293</t>
        </is>
      </c>
      <c r="D678" s="397" t="inlineStr">
        <is>
          <t>0354.878.293</t>
        </is>
      </c>
      <c r="E678" s="399" t="n"/>
      <c r="F678" s="398" t="inlineStr">
        <is>
          <t>TX Bình Long, Bình Phước</t>
        </is>
      </c>
      <c r="G678" s="397" t="inlineStr">
        <is>
          <t>BP</t>
        </is>
      </c>
      <c r="H678" s="399" t="n"/>
      <c r="J678" s="392">
        <f>IFERROR(UPPER(TRIM(B678))&amp;"|"&amp;UPPER(TRIM(C678))&amp;"|"&amp;UPPER(TRIM(D678)),"")</f>
        <v/>
      </c>
    </row>
    <row r="679" ht="15.75" customHeight="1" s="217">
      <c r="A679" s="400" t="n">
        <v>677</v>
      </c>
      <c r="B679" s="400" t="inlineStr">
        <is>
          <t>KH3069</t>
        </is>
      </c>
      <c r="C679" s="401" t="inlineStr">
        <is>
          <t>Anh Biện chuyên xy lanh- Sài Gòn/ 0905.017.908</t>
        </is>
      </c>
      <c r="D679" s="400" t="inlineStr">
        <is>
          <t>0905.017.908</t>
        </is>
      </c>
      <c r="E679" s="402" t="n"/>
      <c r="F679" s="401" t="inlineStr">
        <is>
          <t>F6/24/3Q Quách Điêu, Vĩnh Lộc A, Bình Chánh</t>
        </is>
      </c>
      <c r="G679" s="400" t="inlineStr">
        <is>
          <t>SG/HCM</t>
        </is>
      </c>
      <c r="H679" s="402" t="n"/>
      <c r="J679" s="392">
        <f>IFERROR(UPPER(TRIM(B679))&amp;"|"&amp;UPPER(TRIM(C679))&amp;"|"&amp;UPPER(TRIM(D679)),"")</f>
        <v/>
      </c>
    </row>
    <row r="680" ht="15.75" customHeight="1" s="217">
      <c r="A680" s="397" t="n">
        <v>678</v>
      </c>
      <c r="B680" s="397" t="inlineStr">
        <is>
          <t>KH3066</t>
        </is>
      </c>
      <c r="C680" s="398" t="inlineStr">
        <is>
          <t>Cửa hàng anh Tín- An Giang/ 0901.044.339</t>
        </is>
      </c>
      <c r="D680" s="397" t="inlineStr">
        <is>
          <t>0901.044.339</t>
        </is>
      </c>
      <c r="E680" s="399" t="n"/>
      <c r="F680" s="398" t="inlineStr">
        <is>
          <t>Châu Phú, An Giang</t>
        </is>
      </c>
      <c r="G680" s="397" t="inlineStr">
        <is>
          <t>ANGIANG</t>
        </is>
      </c>
      <c r="H680" s="399" t="n"/>
      <c r="J680" s="392">
        <f>IFERROR(UPPER(TRIM(B680))&amp;"|"&amp;UPPER(TRIM(C680))&amp;"|"&amp;UPPER(TRIM(D680)),"")</f>
        <v/>
      </c>
    </row>
    <row r="681" ht="15.75" customHeight="1" s="217">
      <c r="A681" s="400" t="n">
        <v>679</v>
      </c>
      <c r="B681" s="400" t="inlineStr">
        <is>
          <t>KH3067</t>
        </is>
      </c>
      <c r="C681" s="401" t="inlineStr">
        <is>
          <t>Hoàng Anh- Dĩ An/ 0907.704.358</t>
        </is>
      </c>
      <c r="D681" s="400" t="inlineStr">
        <is>
          <t>0907.704.358</t>
        </is>
      </c>
      <c r="E681" s="402" t="n"/>
      <c r="F681" s="401" t="inlineStr">
        <is>
          <t>143/35 Hai Bà Trưng, P. Tân Đông Hiệp, TP. Dĩ An, Bình Dương</t>
        </is>
      </c>
      <c r="G681" s="400" t="inlineStr">
        <is>
          <t>BDUONG</t>
        </is>
      </c>
      <c r="H681" s="402" t="n"/>
      <c r="J681" s="392">
        <f>IFERROR(UPPER(TRIM(B681))&amp;"|"&amp;UPPER(TRIM(C681))&amp;"|"&amp;UPPER(TRIM(D681)),"")</f>
        <v/>
      </c>
    </row>
    <row r="682" ht="15.75" customHeight="1" s="217">
      <c r="A682" s="397" t="n">
        <v>680</v>
      </c>
      <c r="B682" s="397" t="inlineStr">
        <is>
          <t>KH3064</t>
        </is>
      </c>
      <c r="C682" s="398" t="inlineStr">
        <is>
          <t>Cửa hàng nông cơ cơ giới Phước Lộc / 0965.093.561</t>
        </is>
      </c>
      <c r="D682" s="397" t="inlineStr">
        <is>
          <t>0965.093.561</t>
        </is>
      </c>
      <c r="E682" s="399" t="n"/>
      <c r="F682" s="398" t="inlineStr">
        <is>
          <t>Số 843A Hùng Vương, Di Linh, Lâm Đồng</t>
        </is>
      </c>
      <c r="G682" s="397" t="inlineStr">
        <is>
          <t>LDONG</t>
        </is>
      </c>
      <c r="H682" s="399" t="n"/>
      <c r="J682" s="392">
        <f>IFERROR(UPPER(TRIM(B682))&amp;"|"&amp;UPPER(TRIM(C682))&amp;"|"&amp;UPPER(TRIM(D682)),"")</f>
        <v/>
      </c>
    </row>
    <row r="683" ht="15.75" customHeight="1" s="217">
      <c r="A683" s="400" t="n">
        <v>681</v>
      </c>
      <c r="B683" s="400" t="inlineStr">
        <is>
          <t>KH3065</t>
        </is>
      </c>
      <c r="C683" s="401" t="inlineStr">
        <is>
          <t>Cửa hàng Phong Phú- Tiền Giang/ 0903.185.317</t>
        </is>
      </c>
      <c r="D683" s="400" t="inlineStr">
        <is>
          <t>0903.185.317</t>
        </is>
      </c>
      <c r="E683" s="402" t="n"/>
      <c r="F683" s="401" t="inlineStr">
        <is>
          <t>Chợ Gạo, Tiền Giang</t>
        </is>
      </c>
      <c r="G683" s="400" t="inlineStr">
        <is>
          <t>TGIANG</t>
        </is>
      </c>
      <c r="H683" s="402" t="n"/>
      <c r="J683" s="392">
        <f>IFERROR(UPPER(TRIM(B683))&amp;"|"&amp;UPPER(TRIM(C683))&amp;"|"&amp;UPPER(TRIM(D683)),"")</f>
        <v/>
      </c>
    </row>
    <row r="684" ht="15.75" customHeight="1" s="217">
      <c r="A684" s="397" t="n">
        <v>682</v>
      </c>
      <c r="B684" s="397" t="inlineStr">
        <is>
          <t>KH3063</t>
        </is>
      </c>
      <c r="C684" s="398" t="inlineStr">
        <is>
          <t>Công ty TNHH XD TM DV Nguyên Phát- Q8/ A Huệ: 0913.766.672</t>
        </is>
      </c>
      <c r="D684" s="397" t="inlineStr">
        <is>
          <t>0913.766.672</t>
        </is>
      </c>
      <c r="E684" s="399" t="n"/>
      <c r="F684" s="398" t="inlineStr">
        <is>
          <t>Số 10 đường 902 Tạ Quang Bửu, Phường 5, Quận 8, TP. HCM</t>
        </is>
      </c>
      <c r="G684" s="397" t="inlineStr">
        <is>
          <t>SG/HCM</t>
        </is>
      </c>
      <c r="H684" s="399" t="n"/>
      <c r="J684" s="392">
        <f>IFERROR(UPPER(TRIM(B684))&amp;"|"&amp;UPPER(TRIM(C684))&amp;"|"&amp;UPPER(TRIM(D684)),"")</f>
        <v/>
      </c>
    </row>
    <row r="685" ht="15.75" customHeight="1" s="217">
      <c r="A685" s="400" t="n">
        <v>683</v>
      </c>
      <c r="B685" s="400" t="inlineStr">
        <is>
          <t>KH3061</t>
        </is>
      </c>
      <c r="C685" s="401" t="inlineStr">
        <is>
          <t>Xưởng Anh Bảo- Gia Nghĩa- Đắk Nông/ 0986.042.595</t>
        </is>
      </c>
      <c r="D685" s="400" t="inlineStr">
        <is>
          <t>0986.042.595</t>
        </is>
      </c>
      <c r="E685" s="402" t="n"/>
      <c r="F685" s="401" t="inlineStr">
        <is>
          <t>Nghĩa Phú, Gia Nghĩa, Đắk Nông</t>
        </is>
      </c>
      <c r="G685" s="400" t="inlineStr">
        <is>
          <t>DNONG</t>
        </is>
      </c>
      <c r="H685" s="402" t="n"/>
      <c r="J685" s="392">
        <f>IFERROR(UPPER(TRIM(B685))&amp;"|"&amp;UPPER(TRIM(C685))&amp;"|"&amp;UPPER(TRIM(D685)),"")</f>
        <v/>
      </c>
    </row>
    <row r="686" ht="15.75" customHeight="1" s="217">
      <c r="A686" s="397" t="n">
        <v>684</v>
      </c>
      <c r="B686" s="397" t="inlineStr">
        <is>
          <t>KH3062</t>
        </is>
      </c>
      <c r="C686" s="398" t="inlineStr">
        <is>
          <t>Xưởng anh Nam- Đức Hoà, Long An/ 0939.819.733</t>
        </is>
      </c>
      <c r="D686" s="397" t="inlineStr">
        <is>
          <t>0939.819.733</t>
        </is>
      </c>
      <c r="E686" s="399" t="n"/>
      <c r="F686" s="398" t="inlineStr">
        <is>
          <t>Đức Hòa, Long An</t>
        </is>
      </c>
      <c r="G686" s="397" t="inlineStr">
        <is>
          <t>LA</t>
        </is>
      </c>
      <c r="H686" s="399" t="n"/>
      <c r="J686" s="392">
        <f>IFERROR(UPPER(TRIM(B686))&amp;"|"&amp;UPPER(TRIM(C686))&amp;"|"&amp;UPPER(TRIM(D686)),"")</f>
        <v/>
      </c>
    </row>
    <row r="687" ht="15.75" customHeight="1" s="217">
      <c r="A687" s="400" t="n">
        <v>685</v>
      </c>
      <c r="B687" s="400" t="inlineStr">
        <is>
          <t>KH3058</t>
        </is>
      </c>
      <c r="C687" s="401" t="inlineStr">
        <is>
          <t>CH Tửng Trang - Long Xuyên/ Chị Trang 0917.671.818</t>
        </is>
      </c>
      <c r="D687" s="400" t="inlineStr">
        <is>
          <t>0917.671.818</t>
        </is>
      </c>
      <c r="E687" s="402" t="n"/>
      <c r="F687" s="401" t="inlineStr">
        <is>
          <t>35 Nguyễn Đình Chiểu, P. Mỹ Long, TP. Long Xuyên, An Giang</t>
        </is>
      </c>
      <c r="G687" s="400" t="inlineStr">
        <is>
          <t>ANGIANG</t>
        </is>
      </c>
      <c r="H687" s="402" t="n"/>
      <c r="J687" s="392">
        <f>IFERROR(UPPER(TRIM(B687))&amp;"|"&amp;UPPER(TRIM(C687))&amp;"|"&amp;UPPER(TRIM(D687)),"")</f>
        <v/>
      </c>
    </row>
    <row r="688" ht="15.75" customHeight="1" s="217">
      <c r="A688" s="397" t="n">
        <v>686</v>
      </c>
      <c r="B688" s="397" t="inlineStr">
        <is>
          <t>KH3059</t>
        </is>
      </c>
      <c r="C688" s="398" t="inlineStr">
        <is>
          <t>CH Sáu Bình- Phan Rang/ A Thanh: 0931.206.122</t>
        </is>
      </c>
      <c r="D688" s="397" t="inlineStr">
        <is>
          <t>0931.206.122</t>
        </is>
      </c>
      <c r="E688" s="399" t="n"/>
      <c r="F688" s="398" t="inlineStr">
        <is>
          <t>Số 2 đường 16/4, P. Kinh Dinh, TP. Phan Rang, Tháp Chàm, Ninh Thuận</t>
        </is>
      </c>
      <c r="G688" s="397" t="inlineStr">
        <is>
          <t>NTHUAN</t>
        </is>
      </c>
      <c r="H688" s="399" t="n"/>
      <c r="J688" s="392">
        <f>IFERROR(UPPER(TRIM(B688))&amp;"|"&amp;UPPER(TRIM(C688))&amp;"|"&amp;UPPER(TRIM(D688)),"")</f>
        <v/>
      </c>
    </row>
    <row r="689" ht="15.75" customHeight="1" s="217">
      <c r="A689" s="400" t="n">
        <v>687</v>
      </c>
      <c r="B689" s="400" t="inlineStr">
        <is>
          <t>KH3060</t>
        </is>
      </c>
      <c r="C689" s="401" t="inlineStr">
        <is>
          <t>CH Hưng Phát -Bảo Lộc/ 0937.880.678</t>
        </is>
      </c>
      <c r="D689" s="400" t="inlineStr">
        <is>
          <t>0937.880.678</t>
        </is>
      </c>
      <c r="E689" s="402" t="n"/>
      <c r="F689" s="401" t="inlineStr">
        <is>
          <t>217 Lam Sơn- P. Lộc Sơn, TP.Bảo Lộc, Lâm Đồng</t>
        </is>
      </c>
      <c r="G689" s="400" t="inlineStr">
        <is>
          <t>LDONG</t>
        </is>
      </c>
      <c r="H689" s="402" t="n"/>
      <c r="J689" s="392">
        <f>IFERROR(UPPER(TRIM(B689))&amp;"|"&amp;UPPER(TRIM(C689))&amp;"|"&amp;UPPER(TRIM(D689)),"")</f>
        <v/>
      </c>
    </row>
    <row r="690" ht="15.75" customHeight="1" s="217">
      <c r="A690" s="397" t="n">
        <v>688</v>
      </c>
      <c r="B690" s="397" t="inlineStr">
        <is>
          <t>KH3057</t>
        </is>
      </c>
      <c r="C690" s="398" t="inlineStr">
        <is>
          <t>Phụ tùng cơ giới Long Sơn- Sài Gòn/ 0933.460.033</t>
        </is>
      </c>
      <c r="D690" s="397" t="inlineStr">
        <is>
          <t>0933.460.033</t>
        </is>
      </c>
      <c r="E690" s="399" t="n"/>
      <c r="F690" s="398" t="inlineStr">
        <is>
          <t>Sài Gòn</t>
        </is>
      </c>
      <c r="G690" s="397" t="inlineStr">
        <is>
          <t>SG/HCM</t>
        </is>
      </c>
      <c r="H690" s="399" t="n"/>
      <c r="J690" s="392">
        <f>IFERROR(UPPER(TRIM(B690))&amp;"|"&amp;UPPER(TRIM(C690))&amp;"|"&amp;UPPER(TRIM(D690)),"")</f>
        <v/>
      </c>
    </row>
    <row r="691" ht="15.75" customHeight="1" s="217">
      <c r="A691" s="400" t="n">
        <v>689</v>
      </c>
      <c r="B691" s="400" t="inlineStr">
        <is>
          <t>KH3056</t>
        </is>
      </c>
      <c r="C691" s="401" t="inlineStr">
        <is>
          <t>Công ty Cơ Giới An Phú Đông- Q12/ 0936.466.055</t>
        </is>
      </c>
      <c r="D691" s="400" t="inlineStr">
        <is>
          <t>0936.466.055</t>
        </is>
      </c>
      <c r="E691" s="402" t="n"/>
      <c r="F691" s="401" t="inlineStr">
        <is>
          <t>Sài Gòn</t>
        </is>
      </c>
      <c r="G691" s="400" t="inlineStr">
        <is>
          <t>SG/HCM</t>
        </is>
      </c>
      <c r="H691" s="402" t="n"/>
      <c r="J691" s="392">
        <f>IFERROR(UPPER(TRIM(B691))&amp;"|"&amp;UPPER(TRIM(C691))&amp;"|"&amp;UPPER(TRIM(D691)),"")</f>
        <v/>
      </c>
    </row>
    <row r="692" ht="15.75" customHeight="1" s="217">
      <c r="A692" s="397" t="n">
        <v>690</v>
      </c>
      <c r="B692" s="397" t="inlineStr">
        <is>
          <t>KH3053</t>
        </is>
      </c>
      <c r="C692" s="398" t="inlineStr">
        <is>
          <t>Xưởng tiện anh Tám (LX) - Cà Mau/anh Thắng: 0947.011.801</t>
        </is>
      </c>
      <c r="D692" s="397" t="inlineStr">
        <is>
          <t>0947.011.801</t>
        </is>
      </c>
      <c r="E692" s="399" t="n"/>
      <c r="F692" s="398" t="inlineStr">
        <is>
          <t>Đường Lý Văn Lâm, Cà Mau</t>
        </is>
      </c>
      <c r="G692" s="397" t="inlineStr">
        <is>
          <t>ANGIANG</t>
        </is>
      </c>
      <c r="H692" s="399" t="n"/>
      <c r="J692" s="392">
        <f>IFERROR(UPPER(TRIM(B692))&amp;"|"&amp;UPPER(TRIM(C692))&amp;"|"&amp;UPPER(TRIM(D692)),"")</f>
        <v/>
      </c>
    </row>
    <row r="693" ht="15.75" customHeight="1" s="217">
      <c r="A693" s="400" t="n">
        <v>691</v>
      </c>
      <c r="B693" s="400" t="inlineStr">
        <is>
          <t>KH3054</t>
        </is>
      </c>
      <c r="C693" s="401" t="inlineStr">
        <is>
          <t>Bãi máy Ngọc Hoàng- ĐH Nông Lâm- Thủ Đức/ A Nhất: 0979.846.279</t>
        </is>
      </c>
      <c r="D693" s="400" t="inlineStr">
        <is>
          <t>0979.846.279</t>
        </is>
      </c>
      <c r="E693" s="402" t="n"/>
      <c r="F693" s="401" t="inlineStr">
        <is>
          <t>Thủ Đức</t>
        </is>
      </c>
      <c r="G693" s="400" t="inlineStr">
        <is>
          <t>SG/HCM</t>
        </is>
      </c>
      <c r="H693" s="402" t="n"/>
      <c r="J693" s="392">
        <f>IFERROR(UPPER(TRIM(B693))&amp;"|"&amp;UPPER(TRIM(C693))&amp;"|"&amp;UPPER(TRIM(D693)),"")</f>
        <v/>
      </c>
    </row>
    <row r="694" ht="15.75" customHeight="1" s="217">
      <c r="A694" s="397" t="n">
        <v>692</v>
      </c>
      <c r="B694" s="397" t="inlineStr">
        <is>
          <t>KH3055</t>
        </is>
      </c>
      <c r="C694" s="398" t="inlineStr">
        <is>
          <t>Công ty 28/10- Hà Nội/ A Diện: 0963.747.393</t>
        </is>
      </c>
      <c r="D694" s="397" t="inlineStr">
        <is>
          <t>0963.747.393</t>
        </is>
      </c>
      <c r="E694" s="399" t="n"/>
      <c r="F694" s="398" t="inlineStr">
        <is>
          <t>Hà Nội</t>
        </is>
      </c>
      <c r="G694" s="397" t="inlineStr">
        <is>
          <t>HN</t>
        </is>
      </c>
      <c r="H694" s="397" t="inlineStr">
        <is>
          <t>Gửi Máy Bay tại 25A1 Cửu Long, Cty Tiến Ngọc - 0283.842.1281</t>
        </is>
      </c>
      <c r="J694" s="392">
        <f>IFERROR(UPPER(TRIM(B694))&amp;"|"&amp;UPPER(TRIM(C694))&amp;"|"&amp;UPPER(TRIM(D694)),"")</f>
        <v/>
      </c>
    </row>
    <row r="695" ht="15.75" customHeight="1" s="217">
      <c r="A695" s="400" t="n">
        <v>693</v>
      </c>
      <c r="B695" s="400" t="inlineStr">
        <is>
          <t>KH3051</t>
        </is>
      </c>
      <c r="C695" s="401" t="inlineStr">
        <is>
          <t>Xưởng Gara Thu Thơm- Thanh Hoá/ 0986.666.484</t>
        </is>
      </c>
      <c r="D695" s="400" t="inlineStr">
        <is>
          <t>0986.666.484</t>
        </is>
      </c>
      <c r="E695" s="402" t="n"/>
      <c r="F695" s="401" t="inlineStr">
        <is>
          <t>Trần Phú, Mỹ Lộc, Hậu Lộc, Thanh Hoá</t>
        </is>
      </c>
      <c r="G695" s="400" t="inlineStr">
        <is>
          <t>QNAM</t>
        </is>
      </c>
      <c r="H695" s="402" t="n"/>
      <c r="J695" s="392">
        <f>IFERROR(UPPER(TRIM(B695))&amp;"|"&amp;UPPER(TRIM(C695))&amp;"|"&amp;UPPER(TRIM(D695)),"")</f>
        <v/>
      </c>
    </row>
    <row r="696" ht="15.75" customHeight="1" s="217">
      <c r="A696" s="397" t="n">
        <v>694</v>
      </c>
      <c r="B696" s="397" t="inlineStr">
        <is>
          <t>KH3052</t>
        </is>
      </c>
      <c r="C696" s="398" t="inlineStr">
        <is>
          <t>Cty Đầu Tư TM Xây Dựng GT1- Hà Nội/0904.070.299 anh Thanh/0969.930.252 anh Sơn</t>
        </is>
      </c>
      <c r="D696" s="397" t="inlineStr">
        <is>
          <t>0904.070.299 / 0969.930.252</t>
        </is>
      </c>
      <c r="E696" s="399" t="n"/>
      <c r="F696" s="398" t="inlineStr">
        <is>
          <t>Hà Nội</t>
        </is>
      </c>
      <c r="G696" s="397" t="inlineStr">
        <is>
          <t>SG/HCM</t>
        </is>
      </c>
      <c r="H696" s="399" t="n"/>
      <c r="J696" s="392">
        <f>IFERROR(UPPER(TRIM(B696))&amp;"|"&amp;UPPER(TRIM(C696))&amp;"|"&amp;UPPER(TRIM(D696)),"")</f>
        <v/>
      </c>
    </row>
    <row r="697" ht="15.75" customHeight="1" s="217">
      <c r="A697" s="400" t="n">
        <v>695</v>
      </c>
      <c r="B697" s="400" t="inlineStr">
        <is>
          <t>KH3050</t>
        </is>
      </c>
      <c r="C697" s="401" t="inlineStr">
        <is>
          <t>Công ty Đá Hóa An 1- Biên Hòa/ Anh Thịnh - 0332.266.612</t>
        </is>
      </c>
      <c r="D697" s="400" t="inlineStr">
        <is>
          <t>0332.266.612</t>
        </is>
      </c>
      <c r="E697" s="402" t="n"/>
      <c r="F697" s="401" t="inlineStr">
        <is>
          <t>Tòa nhà DHA, C1-IDICO, Nguyễn Ái Quốc, Hóa An, Biên Hòa, Đồng Nai</t>
        </is>
      </c>
      <c r="G697" s="400" t="inlineStr">
        <is>
          <t>ÐNAI</t>
        </is>
      </c>
      <c r="H697" s="402" t="n"/>
      <c r="J697" s="392">
        <f>IFERROR(UPPER(TRIM(B697))&amp;"|"&amp;UPPER(TRIM(C697))&amp;"|"&amp;UPPER(TRIM(D697)),"")</f>
        <v/>
      </c>
    </row>
    <row r="698" ht="15.75" customHeight="1" s="217">
      <c r="A698" s="397" t="n">
        <v>696</v>
      </c>
      <c r="B698" s="397" t="inlineStr">
        <is>
          <t>KH3049</t>
        </is>
      </c>
      <c r="C698" s="398" t="inlineStr">
        <is>
          <t>Xưởng anh Hiệp- Mang Yang- Gia Lai/ 0362.647.788</t>
        </is>
      </c>
      <c r="D698" s="397" t="inlineStr">
        <is>
          <t>0362.647.788</t>
        </is>
      </c>
      <c r="E698" s="399" t="n"/>
      <c r="F698" s="398" t="inlineStr">
        <is>
          <t>Mang Yang, Gia Lai</t>
        </is>
      </c>
      <c r="G698" s="397" t="inlineStr">
        <is>
          <t>GLAI</t>
        </is>
      </c>
      <c r="H698" s="399" t="n"/>
      <c r="J698" s="392">
        <f>IFERROR(UPPER(TRIM(B698))&amp;"|"&amp;UPPER(TRIM(C698))&amp;"|"&amp;UPPER(TRIM(D698)),"")</f>
        <v/>
      </c>
    </row>
    <row r="699" ht="15.75" customHeight="1" s="217">
      <c r="A699" s="400" t="n">
        <v>697</v>
      </c>
      <c r="B699" s="400" t="inlineStr">
        <is>
          <t>KH3048</t>
        </is>
      </c>
      <c r="C699" s="401" t="inlineStr">
        <is>
          <t>Xưởng tiện  Nam Hưng, Quận 1/ 0909.338.838</t>
        </is>
      </c>
      <c r="D699" s="400" t="inlineStr">
        <is>
          <t>0909.338.838</t>
        </is>
      </c>
      <c r="E699" s="402" t="n"/>
      <c r="F699" s="401" t="inlineStr">
        <is>
          <t>78 Đề Thám,P Cầu Ông Lãnh , Q1,SG</t>
        </is>
      </c>
      <c r="G699" s="400" t="inlineStr">
        <is>
          <t>SG/HCM</t>
        </is>
      </c>
      <c r="H699" s="402" t="n"/>
      <c r="J699" s="392">
        <f>IFERROR(UPPER(TRIM(B699))&amp;"|"&amp;UPPER(TRIM(C699))&amp;"|"&amp;UPPER(TRIM(D699)),"")</f>
        <v/>
      </c>
    </row>
    <row r="700" ht="15.75" customHeight="1" s="217">
      <c r="A700" s="397" t="n">
        <v>698</v>
      </c>
      <c r="B700" s="397" t="inlineStr">
        <is>
          <t>KH3047</t>
        </is>
      </c>
      <c r="C700" s="398" t="inlineStr">
        <is>
          <t>Xưởng tiện anh Kiên- SG/ 0982.766.541</t>
        </is>
      </c>
      <c r="D700" s="397" t="inlineStr">
        <is>
          <t>0982.766.541</t>
        </is>
      </c>
      <c r="E700" s="399" t="n"/>
      <c r="F700" s="398" t="inlineStr">
        <is>
          <t>Sài Gòn</t>
        </is>
      </c>
      <c r="G700" s="397" t="inlineStr">
        <is>
          <t>SG/HCM</t>
        </is>
      </c>
      <c r="H700" s="399" t="n"/>
      <c r="J700" s="392">
        <f>IFERROR(UPPER(TRIM(B700))&amp;"|"&amp;UPPER(TRIM(C700))&amp;"|"&amp;UPPER(TRIM(D700)),"")</f>
        <v/>
      </c>
    </row>
    <row r="701" ht="15.75" customHeight="1" s="217">
      <c r="A701" s="400" t="n">
        <v>699</v>
      </c>
      <c r="B701" s="400" t="inlineStr">
        <is>
          <t>KH3045</t>
        </is>
      </c>
      <c r="C701" s="401" t="inlineStr">
        <is>
          <t>Công ty Vĩnh Giang- Gia Lai/ Anh Dùng: 0965.672.079</t>
        </is>
      </c>
      <c r="D701" s="400" t="inlineStr">
        <is>
          <t>0965.672.079</t>
        </is>
      </c>
      <c r="E701" s="402" t="n"/>
      <c r="F701" s="401" t="inlineStr">
        <is>
          <t>Bến xe Đức Long- Gia Lai</t>
        </is>
      </c>
      <c r="G701" s="400" t="inlineStr">
        <is>
          <t>GLAI</t>
        </is>
      </c>
      <c r="H701" s="402" t="n"/>
      <c r="J701" s="392">
        <f>IFERROR(UPPER(TRIM(B701))&amp;"|"&amp;UPPER(TRIM(C701))&amp;"|"&amp;UPPER(TRIM(D701)),"")</f>
        <v/>
      </c>
    </row>
    <row r="702" ht="15.75" customHeight="1" s="217">
      <c r="A702" s="397" t="n">
        <v>700</v>
      </c>
      <c r="B702" s="397" t="inlineStr">
        <is>
          <t>KH3046</t>
        </is>
      </c>
      <c r="C702" s="398" t="inlineStr">
        <is>
          <t>Công ty Đức Phát (bãi máy) - Bình Dương/ Chị Vân: 0909.360.858</t>
        </is>
      </c>
      <c r="D702" s="397" t="inlineStr">
        <is>
          <t>0909.360.858</t>
        </is>
      </c>
      <c r="E702" s="399" t="n"/>
      <c r="F702" s="398" t="inlineStr">
        <is>
          <t>Số 156 đường DT 743B, KP Đông An, P. Tân Đông Hiệp, Dĩ An, Bình Dương</t>
        </is>
      </c>
      <c r="G702" s="397" t="inlineStr">
        <is>
          <t>SG/HCM</t>
        </is>
      </c>
      <c r="H702" s="399" t="n"/>
      <c r="J702" s="392">
        <f>IFERROR(UPPER(TRIM(B702))&amp;"|"&amp;UPPER(TRIM(C702))&amp;"|"&amp;UPPER(TRIM(D702)),"")</f>
        <v/>
      </c>
    </row>
    <row r="703" ht="15.75" customHeight="1" s="217">
      <c r="A703" s="400" t="n">
        <v>701</v>
      </c>
      <c r="B703" s="400" t="inlineStr">
        <is>
          <t>VIDARIR</t>
        </is>
      </c>
      <c r="C703" s="401" t="inlineStr">
        <is>
          <t>FENGCHENG DONGNING DYNAMICS CO.LTD</t>
        </is>
      </c>
      <c r="D703" s="402" t="n"/>
      <c r="E703" s="402" t="n"/>
      <c r="F703" s="401" t="inlineStr">
        <is>
          <t>Area B Erlongshan Modern Industrial Park  FengCheng City ,LiaoNing, China</t>
        </is>
      </c>
      <c r="G703" s="402" t="n"/>
      <c r="H703" s="402" t="n"/>
      <c r="J703" s="392">
        <f>IFERROR(UPPER(TRIM(B703))&amp;"|"&amp;UPPER(TRIM(C703))&amp;"|"&amp;UPPER(TRIM(D703)),"")</f>
        <v/>
      </c>
    </row>
    <row r="704" ht="15.75" customHeight="1" s="217">
      <c r="A704" s="397" t="n">
        <v>702</v>
      </c>
      <c r="B704" s="397" t="inlineStr">
        <is>
          <t>KH3043</t>
        </is>
      </c>
      <c r="C704" s="398" t="inlineStr">
        <is>
          <t>Cửa hàng Minh Nhật- Đồng Tháp/ Anh Lợi 0919.234.591</t>
        </is>
      </c>
      <c r="D704" s="397" t="inlineStr">
        <is>
          <t>0919.234.591</t>
        </is>
      </c>
      <c r="E704" s="399" t="n"/>
      <c r="F704" s="398" t="inlineStr">
        <is>
          <t>Trường Xuân, Tháp Mười, Đồng Tháp</t>
        </is>
      </c>
      <c r="G704" s="397" t="inlineStr">
        <is>
          <t>DTHAP</t>
        </is>
      </c>
      <c r="H704" s="399" t="n"/>
      <c r="J704" s="392">
        <f>IFERROR(UPPER(TRIM(B704))&amp;"|"&amp;UPPER(TRIM(C704))&amp;"|"&amp;UPPER(TRIM(D704)),"")</f>
        <v/>
      </c>
    </row>
    <row r="705" ht="15.75" customHeight="1" s="217">
      <c r="A705" s="400" t="n">
        <v>703</v>
      </c>
      <c r="B705" s="400" t="inlineStr">
        <is>
          <t>KH3044</t>
        </is>
      </c>
      <c r="C705" s="401" t="inlineStr">
        <is>
          <t>Gara Minh Đạt- Bình Thuận/ 0979.084.552</t>
        </is>
      </c>
      <c r="D705" s="400" t="inlineStr">
        <is>
          <t>0979.084.552</t>
        </is>
      </c>
      <c r="E705" s="402" t="n"/>
      <c r="F705" s="401" t="inlineStr">
        <is>
          <t>KM11, Hàm Thuận Nam, Bình Thuận</t>
        </is>
      </c>
      <c r="G705" s="400" t="inlineStr">
        <is>
          <t>BTHUAN</t>
        </is>
      </c>
      <c r="H705" s="402" t="n"/>
      <c r="J705" s="392">
        <f>IFERROR(UPPER(TRIM(B705))&amp;"|"&amp;UPPER(TRIM(C705))&amp;"|"&amp;UPPER(TRIM(D705)),"")</f>
        <v/>
      </c>
    </row>
    <row r="706" ht="15.75" customHeight="1" s="217">
      <c r="A706" s="397" t="n">
        <v>704</v>
      </c>
      <c r="B706" s="397" t="inlineStr">
        <is>
          <t>KH3042</t>
        </is>
      </c>
      <c r="C706" s="398" t="inlineStr">
        <is>
          <t>Anh Cuội- Trà Vinh/ 0986.891.501</t>
        </is>
      </c>
      <c r="D706" s="397" t="inlineStr">
        <is>
          <t>0986.891.501</t>
        </is>
      </c>
      <c r="E706" s="399" t="n"/>
      <c r="F706" s="398" t="inlineStr">
        <is>
          <t>Trà Vinh</t>
        </is>
      </c>
      <c r="G706" s="397" t="inlineStr">
        <is>
          <t>TV</t>
        </is>
      </c>
      <c r="H706" s="399" t="n"/>
      <c r="J706" s="392">
        <f>IFERROR(UPPER(TRIM(B706))&amp;"|"&amp;UPPER(TRIM(C706))&amp;"|"&amp;UPPER(TRIM(D706)),"")</f>
        <v/>
      </c>
    </row>
    <row r="707" ht="15.75" customHeight="1" s="217">
      <c r="A707" s="400" t="n">
        <v>705</v>
      </c>
      <c r="B707" s="400" t="inlineStr">
        <is>
          <t>KH3041</t>
        </is>
      </c>
      <c r="C707" s="401" t="inlineStr">
        <is>
          <t>Cửa hàng Sang Phương - An Giang / 0944.355.676 (đề nghị chuyển khoản trước giao hàng)</t>
        </is>
      </c>
      <c r="D707" s="400" t="inlineStr">
        <is>
          <t>0944.355.676</t>
        </is>
      </c>
      <c r="E707" s="402" t="n"/>
      <c r="F707" s="401" t="inlineStr">
        <is>
          <t>36 Nguyễn Văn Sừng, P.Mỹ Long, TP.Long Xuyên, An Giang</t>
        </is>
      </c>
      <c r="G707" s="400" t="inlineStr">
        <is>
          <t>ANGIANG</t>
        </is>
      </c>
      <c r="H707" s="402" t="n"/>
      <c r="J707" s="392">
        <f>IFERROR(UPPER(TRIM(B707))&amp;"|"&amp;UPPER(TRIM(C707))&amp;"|"&amp;UPPER(TRIM(D707)),"")</f>
        <v/>
      </c>
    </row>
    <row r="708" ht="15.75" customHeight="1" s="217">
      <c r="A708" s="397" t="n">
        <v>706</v>
      </c>
      <c r="B708" s="397" t="inlineStr">
        <is>
          <t>KH3040</t>
        </is>
      </c>
      <c r="C708" s="398" t="inlineStr">
        <is>
          <t>Cửa hàng Anh Tài - Đại học Nông Lâm/ Anh Tài: 0979.796.040</t>
        </is>
      </c>
      <c r="D708" s="397" t="inlineStr">
        <is>
          <t>0979.796.040</t>
        </is>
      </c>
      <c r="E708" s="399" t="n"/>
      <c r="F708" s="398" t="inlineStr">
        <is>
          <t>Đại học Nông Lâm, Đông Hòa, Dĩ An, Bình Dương</t>
        </is>
      </c>
      <c r="G708" s="397" t="inlineStr">
        <is>
          <t>SG/HCM</t>
        </is>
      </c>
      <c r="H708" s="399" t="n"/>
      <c r="J708" s="392">
        <f>IFERROR(UPPER(TRIM(B708))&amp;"|"&amp;UPPER(TRIM(C708))&amp;"|"&amp;UPPER(TRIM(D708)),"")</f>
        <v/>
      </c>
    </row>
    <row r="709" ht="15.75" customHeight="1" s="217">
      <c r="A709" s="400" t="n">
        <v>707</v>
      </c>
      <c r="B709" s="400" t="inlineStr">
        <is>
          <t>KH3038</t>
        </is>
      </c>
      <c r="C709" s="401" t="inlineStr">
        <is>
          <t>Cửa hàng Phụ Tùng Cơ giới Nặng Thành Đạt - Dĩ An, Bình Dương/Anh Minh 0917.551.705</t>
        </is>
      </c>
      <c r="D709" s="400" t="inlineStr">
        <is>
          <t>0917.551.705</t>
        </is>
      </c>
      <c r="E709" s="402" t="n"/>
      <c r="F709" s="401" t="inlineStr">
        <is>
          <t>KM 20 Xa Lộ Hà Nội, KP. Hiệp Thắng, P. Bình Thắng, Dĩ An, BDc</t>
        </is>
      </c>
      <c r="G709" s="400" t="inlineStr">
        <is>
          <t>SG/HCM</t>
        </is>
      </c>
      <c r="H709" s="402" t="n"/>
      <c r="J709" s="392">
        <f>IFERROR(UPPER(TRIM(B709))&amp;"|"&amp;UPPER(TRIM(C709))&amp;"|"&amp;UPPER(TRIM(D709)),"")</f>
        <v/>
      </c>
    </row>
    <row r="710" ht="15.75" customHeight="1" s="217">
      <c r="A710" s="397" t="n">
        <v>708</v>
      </c>
      <c r="B710" s="397" t="inlineStr">
        <is>
          <t>KH3039</t>
        </is>
      </c>
      <c r="C710" s="398" t="inlineStr">
        <is>
          <t>Kho hàng Phương Nam- Thủ Đức/ Anh Tuấn: 0906.624.678</t>
        </is>
      </c>
      <c r="D710" s="397" t="inlineStr">
        <is>
          <t>0906.624.678</t>
        </is>
      </c>
      <c r="E710" s="399" t="n"/>
      <c r="F710" s="398" t="inlineStr">
        <is>
          <t>QL1A, P. Linh Trung, Thủ Đức</t>
        </is>
      </c>
      <c r="G710" s="397" t="inlineStr">
        <is>
          <t>SG/HCM</t>
        </is>
      </c>
      <c r="H710" s="399" t="n"/>
      <c r="J710" s="392">
        <f>IFERROR(UPPER(TRIM(B710))&amp;"|"&amp;UPPER(TRIM(C710))&amp;"|"&amp;UPPER(TRIM(D710)),"")</f>
        <v/>
      </c>
    </row>
    <row r="711" ht="15.75" customHeight="1" s="217">
      <c r="A711" s="400" t="n">
        <v>709</v>
      </c>
      <c r="B711" s="400" t="inlineStr">
        <is>
          <t>KH3036</t>
        </is>
      </c>
      <c r="C711" s="401" t="inlineStr">
        <is>
          <t>Xưởng anh Tú- Bảo Lộc/ 0934.347.666</t>
        </is>
      </c>
      <c r="D711" s="400" t="inlineStr">
        <is>
          <t>0934.347.666</t>
        </is>
      </c>
      <c r="E711" s="402" t="n"/>
      <c r="F711" s="401" t="inlineStr">
        <is>
          <t>Bảo Lộc, Lâm Đồng</t>
        </is>
      </c>
      <c r="G711" s="400" t="inlineStr">
        <is>
          <t>LDONG</t>
        </is>
      </c>
      <c r="H711" s="402" t="n"/>
      <c r="J711" s="392">
        <f>IFERROR(UPPER(TRIM(B711))&amp;"|"&amp;UPPER(TRIM(C711))&amp;"|"&amp;UPPER(TRIM(D711)),"")</f>
        <v/>
      </c>
    </row>
    <row r="712" ht="15.75" customHeight="1" s="217">
      <c r="A712" s="397" t="n">
        <v>710</v>
      </c>
      <c r="B712" s="397" t="inlineStr">
        <is>
          <t>KH3037</t>
        </is>
      </c>
      <c r="C712" s="398" t="inlineStr">
        <is>
          <t>Xưởng tiện Anh Tạo - Sài Gòn/ Anh Tạo: 0792.439.338</t>
        </is>
      </c>
      <c r="D712" s="397" t="inlineStr">
        <is>
          <t>0792.439.338</t>
        </is>
      </c>
      <c r="E712" s="399" t="n"/>
      <c r="F712" s="398" t="inlineStr">
        <is>
          <t>160 QL1A, P. Tân Phú, TP, Thủ Đức</t>
        </is>
      </c>
      <c r="G712" s="397" t="inlineStr">
        <is>
          <t>SG/HCM</t>
        </is>
      </c>
      <c r="H712" s="399" t="n"/>
      <c r="J712" s="392">
        <f>IFERROR(UPPER(TRIM(B712))&amp;"|"&amp;UPPER(TRIM(C712))&amp;"|"&amp;UPPER(TRIM(D712)),"")</f>
        <v/>
      </c>
    </row>
    <row r="713" ht="15.75" customHeight="1" s="217">
      <c r="A713" s="400" t="n">
        <v>711</v>
      </c>
      <c r="B713" s="400" t="inlineStr">
        <is>
          <t>KH3035</t>
        </is>
      </c>
      <c r="C713" s="401" t="inlineStr">
        <is>
          <t>Anh Thành (xưởng tiện) - Ngã Tư Bình Phước/ 0909.274.328</t>
        </is>
      </c>
      <c r="D713" s="400" t="inlineStr">
        <is>
          <t>0909.274.328</t>
        </is>
      </c>
      <c r="E713" s="402" t="n"/>
      <c r="F713" s="401" t="inlineStr">
        <is>
          <t>Thủ Đức- SG</t>
        </is>
      </c>
      <c r="G713" s="400" t="inlineStr">
        <is>
          <t>SG/HCM</t>
        </is>
      </c>
      <c r="H713" s="402" t="n"/>
      <c r="J713" s="392">
        <f>IFERROR(UPPER(TRIM(B713))&amp;"|"&amp;UPPER(TRIM(C713))&amp;"|"&amp;UPPER(TRIM(D713)),"")</f>
        <v/>
      </c>
    </row>
    <row r="714" ht="15.75" customHeight="1" s="217">
      <c r="A714" s="397" t="n">
        <v>712</v>
      </c>
      <c r="B714" s="397" t="inlineStr">
        <is>
          <t>KH3034</t>
        </is>
      </c>
      <c r="C714" s="398" t="inlineStr">
        <is>
          <t>Gara Nhật Nam - Nha Trang / A Long 0913.431.339</t>
        </is>
      </c>
      <c r="D714" s="397" t="inlineStr">
        <is>
          <t>0913.431.339</t>
        </is>
      </c>
      <c r="E714" s="399" t="n"/>
      <c r="F714" s="398" t="inlineStr">
        <is>
          <t>77 A5 KĐT VCN Phước Hải, Nha Trang, Khánh Hoà</t>
        </is>
      </c>
      <c r="G714" s="397" t="inlineStr">
        <is>
          <t>NTRANG</t>
        </is>
      </c>
      <c r="H714" s="399" t="n"/>
      <c r="J714" s="392">
        <f>IFERROR(UPPER(TRIM(B714))&amp;"|"&amp;UPPER(TRIM(C714))&amp;"|"&amp;UPPER(TRIM(D714)),"")</f>
        <v/>
      </c>
    </row>
    <row r="715" ht="15.75" customHeight="1" s="217">
      <c r="A715" s="400" t="n">
        <v>713</v>
      </c>
      <c r="B715" s="400" t="inlineStr">
        <is>
          <t>KH3032</t>
        </is>
      </c>
      <c r="C715" s="401" t="inlineStr">
        <is>
          <t>Công Ty 68 - A Luân / 0395.733.668</t>
        </is>
      </c>
      <c r="D715" s="400" t="inlineStr">
        <is>
          <t>0395.733.668</t>
        </is>
      </c>
      <c r="E715" s="402" t="n"/>
      <c r="F715" s="401" t="inlineStr">
        <is>
          <t>Số nhà 587, QL 30 ,Ấp 1 ,Mỹ Tân ,TP Cao Lãnh, Đồng Tháp</t>
        </is>
      </c>
      <c r="G715" s="400" t="inlineStr">
        <is>
          <t>KG</t>
        </is>
      </c>
      <c r="H715" s="402" t="n"/>
      <c r="J715" s="392">
        <f>IFERROR(UPPER(TRIM(B715))&amp;"|"&amp;UPPER(TRIM(C715))&amp;"|"&amp;UPPER(TRIM(D715)),"")</f>
        <v/>
      </c>
    </row>
    <row r="716" ht="15.75" customHeight="1" s="217">
      <c r="A716" s="397" t="n">
        <v>714</v>
      </c>
      <c r="B716" s="397" t="inlineStr">
        <is>
          <t>KH3033</t>
        </is>
      </c>
      <c r="C716" s="398" t="inlineStr">
        <is>
          <t>Cửa hàng Bình Thi- Lâm Đồng/ 0913.743.337</t>
        </is>
      </c>
      <c r="D716" s="397" t="inlineStr">
        <is>
          <t>0913.743.337</t>
        </is>
      </c>
      <c r="E716" s="399" t="n"/>
      <c r="F716" s="398" t="inlineStr">
        <is>
          <t>Đạ Tẻ, Lâm Đồng</t>
        </is>
      </c>
      <c r="G716" s="397" t="inlineStr">
        <is>
          <t>LDONG</t>
        </is>
      </c>
      <c r="H716" s="397" t="inlineStr">
        <is>
          <t>gửi công nợ vào mail</t>
        </is>
      </c>
      <c r="J716" s="392">
        <f>IFERROR(UPPER(TRIM(B716))&amp;"|"&amp;UPPER(TRIM(C716))&amp;"|"&amp;UPPER(TRIM(D716)),"")</f>
        <v/>
      </c>
    </row>
    <row r="717" ht="15.75" customHeight="1" s="217">
      <c r="A717" s="400" t="n">
        <v>715</v>
      </c>
      <c r="B717" s="400" t="inlineStr">
        <is>
          <t>KH3031</t>
        </is>
      </c>
      <c r="C717" s="401" t="inlineStr">
        <is>
          <t>Cửa hàng Long Thành / Nha Trang - Chị Tuyết - 0913.424.868</t>
        </is>
      </c>
      <c r="D717" s="400" t="inlineStr">
        <is>
          <t>0913.424.868</t>
        </is>
      </c>
      <c r="E717" s="402" t="n"/>
      <c r="F717" s="401" t="inlineStr">
        <is>
          <t>6B1 Phan Đình Giót, Nha Trang</t>
        </is>
      </c>
      <c r="G717" s="400" t="inlineStr">
        <is>
          <t>NTRANG</t>
        </is>
      </c>
      <c r="H717" s="402" t="n"/>
      <c r="J717" s="392">
        <f>IFERROR(UPPER(TRIM(B717))&amp;"|"&amp;UPPER(TRIM(C717))&amp;"|"&amp;UPPER(TRIM(D717)),"")</f>
        <v/>
      </c>
    </row>
    <row r="718" ht="15.75" customHeight="1" s="217">
      <c r="A718" s="397" t="n">
        <v>716</v>
      </c>
      <c r="B718" s="397" t="inlineStr">
        <is>
          <t>KH3029</t>
        </is>
      </c>
      <c r="C718" s="398" t="inlineStr">
        <is>
          <t>Anh Tám- Long Xuyên 918.155.704</t>
        </is>
      </c>
      <c r="D718" s="397" t="inlineStr">
        <is>
          <t>918.155.704</t>
        </is>
      </c>
      <c r="E718" s="399" t="n"/>
      <c r="F718" s="398" t="inlineStr">
        <is>
          <t>TP.Long Xuyên, An Giang</t>
        </is>
      </c>
      <c r="G718" s="397" t="inlineStr">
        <is>
          <t>ANGIANG</t>
        </is>
      </c>
      <c r="H718" s="399" t="n"/>
      <c r="J718" s="392">
        <f>IFERROR(UPPER(TRIM(B718))&amp;"|"&amp;UPPER(TRIM(C718))&amp;"|"&amp;UPPER(TRIM(D718)),"")</f>
        <v/>
      </c>
    </row>
    <row r="719" ht="15.75" customHeight="1" s="217">
      <c r="A719" s="400" t="n">
        <v>717</v>
      </c>
      <c r="B719" s="400" t="inlineStr">
        <is>
          <t>KH3030</t>
        </is>
      </c>
      <c r="C719" s="401" t="inlineStr">
        <is>
          <t>CH Thanh Nhựt- Hậu Giang/ 0937.444.151</t>
        </is>
      </c>
      <c r="D719" s="400" t="inlineStr">
        <is>
          <t>0937.444.151</t>
        </is>
      </c>
      <c r="E719" s="402" t="n"/>
      <c r="F719" s="401" t="inlineStr">
        <is>
          <t>Ấp Hoà Phụng A, TT. Kinh Cùng, Phụng Hiệp, Hậu Giang</t>
        </is>
      </c>
      <c r="G719" s="400" t="inlineStr">
        <is>
          <t>HG</t>
        </is>
      </c>
      <c r="H719" s="402" t="n"/>
      <c r="J719" s="392">
        <f>IFERROR(UPPER(TRIM(B719))&amp;"|"&amp;UPPER(TRIM(C719))&amp;"|"&amp;UPPER(TRIM(D719)),"")</f>
        <v/>
      </c>
    </row>
    <row r="720" ht="15.75" customHeight="1" s="217">
      <c r="A720" s="397" t="n">
        <v>718</v>
      </c>
      <c r="B720" s="397" t="inlineStr">
        <is>
          <t>KH3028</t>
        </is>
      </c>
      <c r="C720" s="398" t="inlineStr">
        <is>
          <t>Anh Thắng - Phan Thiết/ 0335.555.509</t>
        </is>
      </c>
      <c r="D720" s="397" t="inlineStr">
        <is>
          <t>0335.555.509</t>
        </is>
      </c>
      <c r="E720" s="399" t="n"/>
      <c r="F720" s="398" t="inlineStr">
        <is>
          <t>Phan Thiết - Bình Thuận</t>
        </is>
      </c>
      <c r="G720" s="397" t="inlineStr">
        <is>
          <t>BTHUAN</t>
        </is>
      </c>
      <c r="H720" s="399" t="n"/>
      <c r="J720" s="392">
        <f>IFERROR(UPPER(TRIM(B720))&amp;"|"&amp;UPPER(TRIM(C720))&amp;"|"&amp;UPPER(TRIM(D720)),"")</f>
        <v/>
      </c>
    </row>
    <row r="721" ht="15.75" customHeight="1" s="217">
      <c r="A721" s="400" t="n">
        <v>719</v>
      </c>
      <c r="B721" s="400" t="inlineStr">
        <is>
          <t>KH3027</t>
        </is>
      </c>
      <c r="C721" s="401" t="inlineStr">
        <is>
          <t>Cửa hàng Ron - Anh Bòng- Bảo Lộc- Lâm Đồng/ 0984.292.436</t>
        </is>
      </c>
      <c r="D721" s="400" t="inlineStr">
        <is>
          <t>0984.292.436</t>
        </is>
      </c>
      <c r="E721" s="402" t="n"/>
      <c r="F721" s="401" t="inlineStr">
        <is>
          <t>Bảo Lộc, Lâm Đồng</t>
        </is>
      </c>
      <c r="G721" s="400" t="inlineStr">
        <is>
          <t>LDONG</t>
        </is>
      </c>
      <c r="H721" s="402" t="n"/>
      <c r="J721" s="392">
        <f>IFERROR(UPPER(TRIM(B721))&amp;"|"&amp;UPPER(TRIM(C721))&amp;"|"&amp;UPPER(TRIM(D721)),"")</f>
        <v/>
      </c>
    </row>
    <row r="722" ht="15.75" customHeight="1" s="217">
      <c r="A722" s="397" t="n">
        <v>720</v>
      </c>
      <c r="B722" s="397" t="inlineStr">
        <is>
          <t>KH3026</t>
        </is>
      </c>
      <c r="C722" s="398" t="inlineStr">
        <is>
          <t>Anh Tú- An Ninh Đông, Phú Yên/ 0935.093.435</t>
        </is>
      </c>
      <c r="D722" s="397" t="inlineStr">
        <is>
          <t>0935.093.435</t>
        </is>
      </c>
      <c r="E722" s="399" t="n"/>
      <c r="F722" s="398" t="inlineStr">
        <is>
          <t>Phú Yên</t>
        </is>
      </c>
      <c r="G722" s="397" t="inlineStr">
        <is>
          <t>PYEN</t>
        </is>
      </c>
      <c r="H722" s="399" t="n"/>
      <c r="J722" s="392">
        <f>IFERROR(UPPER(TRIM(B722))&amp;"|"&amp;UPPER(TRIM(C722))&amp;"|"&amp;UPPER(TRIM(D722)),"")</f>
        <v/>
      </c>
    </row>
    <row r="723" ht="15.75" customHeight="1" s="217">
      <c r="A723" s="400" t="n">
        <v>721</v>
      </c>
      <c r="B723" s="400" t="inlineStr">
        <is>
          <t>KH3025</t>
        </is>
      </c>
      <c r="C723" s="401" t="inlineStr">
        <is>
          <t>Xưởng Trọng Điền- Đức Trọng/ 0936.128.563 _ 0937.042.009</t>
        </is>
      </c>
      <c r="D723" s="400" t="inlineStr">
        <is>
          <t>0936.128.563 / 0937.042.009</t>
        </is>
      </c>
      <c r="E723" s="402" t="n"/>
      <c r="F723" s="401" t="inlineStr">
        <is>
          <t>Đức Trọng - Lâm Đồng</t>
        </is>
      </c>
      <c r="G723" s="400" t="inlineStr">
        <is>
          <t>LDONG</t>
        </is>
      </c>
      <c r="H723" s="402" t="n"/>
      <c r="J723" s="392">
        <f>IFERROR(UPPER(TRIM(B723))&amp;"|"&amp;UPPER(TRIM(C723))&amp;"|"&amp;UPPER(TRIM(D723)),"")</f>
        <v/>
      </c>
    </row>
    <row r="724" ht="15.75" customHeight="1" s="217">
      <c r="A724" s="397" t="n">
        <v>722</v>
      </c>
      <c r="B724" s="397" t="inlineStr">
        <is>
          <t>KH3024</t>
        </is>
      </c>
      <c r="C724" s="398" t="inlineStr">
        <is>
          <t>Xưởng Phú Quý- Sài Gòn/ 0905.366.939</t>
        </is>
      </c>
      <c r="D724" s="397" t="inlineStr">
        <is>
          <t>0905.366.939</t>
        </is>
      </c>
      <c r="E724" s="399" t="n"/>
      <c r="F724" s="398" t="inlineStr">
        <is>
          <t>TPHCM</t>
        </is>
      </c>
      <c r="G724" s="397" t="inlineStr">
        <is>
          <t>SG/HCM</t>
        </is>
      </c>
      <c r="H724" s="399" t="n"/>
      <c r="J724" s="392">
        <f>IFERROR(UPPER(TRIM(B724))&amp;"|"&amp;UPPER(TRIM(C724))&amp;"|"&amp;UPPER(TRIM(D724)),"")</f>
        <v/>
      </c>
    </row>
    <row r="725" ht="15.75" customHeight="1" s="217">
      <c r="A725" s="400" t="n">
        <v>723</v>
      </c>
      <c r="B725" s="400" t="inlineStr">
        <is>
          <t>KH3022</t>
        </is>
      </c>
      <c r="C725" s="401" t="inlineStr">
        <is>
          <t>Cửa hàng ron - Hồ Tấn- Tam Kỳ Quảng Nam/ 0903.543.120</t>
        </is>
      </c>
      <c r="D725" s="400" t="inlineStr">
        <is>
          <t>0903.543.120</t>
        </is>
      </c>
      <c r="E725" s="402" t="n"/>
      <c r="F725" s="401" t="inlineStr">
        <is>
          <t>Tam Kỳ, Quảng Nam</t>
        </is>
      </c>
      <c r="G725" s="400" t="inlineStr">
        <is>
          <t>QNAM</t>
        </is>
      </c>
      <c r="H725" s="402" t="n"/>
      <c r="J725" s="392">
        <f>IFERROR(UPPER(TRIM(B725))&amp;"|"&amp;UPPER(TRIM(C725))&amp;"|"&amp;UPPER(TRIM(D725)),"")</f>
        <v/>
      </c>
    </row>
    <row r="726" ht="15.75" customHeight="1" s="217">
      <c r="A726" s="397" t="n">
        <v>724</v>
      </c>
      <c r="B726" s="397" t="inlineStr">
        <is>
          <t>KH3023</t>
        </is>
      </c>
      <c r="C726" s="398" t="inlineStr">
        <is>
          <t>Cửa hàng Đông Dương - Kon Tum / 0946.835.679</t>
        </is>
      </c>
      <c r="D726" s="397" t="inlineStr">
        <is>
          <t>0946.835.679</t>
        </is>
      </c>
      <c r="E726" s="399" t="n"/>
      <c r="F726" s="398" t="inlineStr">
        <is>
          <t>Thôn 5, TT. Pleikan, H. Ngọc Hồi, Kontum</t>
        </is>
      </c>
      <c r="G726" s="397" t="inlineStr">
        <is>
          <t>KTUM</t>
        </is>
      </c>
      <c r="H726" s="399" t="n"/>
      <c r="J726" s="392">
        <f>IFERROR(UPPER(TRIM(B726))&amp;"|"&amp;UPPER(TRIM(C726))&amp;"|"&amp;UPPER(TRIM(D726)),"")</f>
        <v/>
      </c>
    </row>
    <row r="727" ht="15.75" customHeight="1" s="217">
      <c r="A727" s="400" t="n">
        <v>725</v>
      </c>
      <c r="B727" s="400" t="inlineStr">
        <is>
          <t>KH3018</t>
        </is>
      </c>
      <c r="C727" s="401" t="inlineStr">
        <is>
          <t>Chủ máy anh Đảo - Phan Thiết/ 0981.030.030</t>
        </is>
      </c>
      <c r="D727" s="400" t="inlineStr">
        <is>
          <t>0981.030.030</t>
        </is>
      </c>
      <c r="E727" s="402" t="n"/>
      <c r="F727" s="401" t="inlineStr">
        <is>
          <t>Chợ Phú Long, gần tới TP. Phan Thiết, Bình Thuận</t>
        </is>
      </c>
      <c r="G727" s="400" t="inlineStr">
        <is>
          <t>BTHUAN</t>
        </is>
      </c>
      <c r="H727" s="402" t="n"/>
      <c r="J727" s="392">
        <f>IFERROR(UPPER(TRIM(B727))&amp;"|"&amp;UPPER(TRIM(C727))&amp;"|"&amp;UPPER(TRIM(D727)),"")</f>
        <v/>
      </c>
    </row>
    <row r="728" ht="15.75" customHeight="1" s="217">
      <c r="A728" s="397" t="n">
        <v>726</v>
      </c>
      <c r="B728" s="397" t="inlineStr">
        <is>
          <t>KH3019</t>
        </is>
      </c>
      <c r="C728" s="398" t="inlineStr">
        <is>
          <t>Công ty Đại Dương- Hà Nội/ 0336.638.866</t>
        </is>
      </c>
      <c r="D728" s="397" t="inlineStr">
        <is>
          <t>0336.638.866</t>
        </is>
      </c>
      <c r="E728" s="399" t="n"/>
      <c r="F728" s="398" t="inlineStr">
        <is>
          <t>Hà Nội</t>
        </is>
      </c>
      <c r="G728" s="397" t="inlineStr">
        <is>
          <t>HN</t>
        </is>
      </c>
      <c r="H728" s="399" t="n"/>
      <c r="J728" s="392">
        <f>IFERROR(UPPER(TRIM(B728))&amp;"|"&amp;UPPER(TRIM(C728))&amp;"|"&amp;UPPER(TRIM(D728)),"")</f>
        <v/>
      </c>
    </row>
    <row r="729" ht="15.75" customHeight="1" s="217">
      <c r="A729" s="400" t="n">
        <v>727</v>
      </c>
      <c r="B729" s="400" t="inlineStr">
        <is>
          <t>KH3020</t>
        </is>
      </c>
      <c r="C729" s="401" t="inlineStr">
        <is>
          <t>Cửa Hàng Hai Chôm- Trà Vinh/ 0942.461.339</t>
        </is>
      </c>
      <c r="D729" s="400" t="inlineStr">
        <is>
          <t>0942.461.339</t>
        </is>
      </c>
      <c r="E729" s="402" t="n"/>
      <c r="F729" s="401" t="inlineStr">
        <is>
          <t>Khóm 1, P.2, TX. Duyên Hải, Trà Vinh</t>
        </is>
      </c>
      <c r="G729" s="400" t="inlineStr">
        <is>
          <t>NTRANG</t>
        </is>
      </c>
      <c r="H729" s="402" t="n"/>
      <c r="J729" s="392">
        <f>IFERROR(UPPER(TRIM(B729))&amp;"|"&amp;UPPER(TRIM(C729))&amp;"|"&amp;UPPER(TRIM(D729)),"")</f>
        <v/>
      </c>
    </row>
    <row r="730" ht="15.75" customHeight="1" s="217">
      <c r="A730" s="397" t="n">
        <v>728</v>
      </c>
      <c r="B730" s="397" t="inlineStr">
        <is>
          <t>KH3021</t>
        </is>
      </c>
      <c r="C730" s="398" t="inlineStr">
        <is>
          <t>X­ưởng anh Thức- Bình Định/ 0373.939.322</t>
        </is>
      </c>
      <c r="D730" s="397" t="inlineStr">
        <is>
          <t>0373.939.322</t>
        </is>
      </c>
      <c r="E730" s="399" t="n"/>
      <c r="F730" s="398" t="inlineStr">
        <is>
          <t>Bòng Sơn, Hoài Nhơn, Bình Định</t>
        </is>
      </c>
      <c r="G730" s="397" t="inlineStr">
        <is>
          <t>BDINH</t>
        </is>
      </c>
      <c r="H730" s="399" t="n"/>
      <c r="J730" s="392">
        <f>IFERROR(UPPER(TRIM(B730))&amp;"|"&amp;UPPER(TRIM(C730))&amp;"|"&amp;UPPER(TRIM(D730)),"")</f>
        <v/>
      </c>
    </row>
    <row r="731" ht="15.75" customHeight="1" s="217">
      <c r="A731" s="400" t="n">
        <v>729</v>
      </c>
      <c r="B731" s="400" t="inlineStr">
        <is>
          <t>KH3017</t>
        </is>
      </c>
      <c r="C731" s="401" t="inlineStr">
        <is>
          <t>Xưởng anh Thái- Quận 7/ 0945.032.233</t>
        </is>
      </c>
      <c r="D731" s="400" t="inlineStr">
        <is>
          <t>0945.032.233</t>
        </is>
      </c>
      <c r="E731" s="402" t="n"/>
      <c r="F731" s="401" t="inlineStr">
        <is>
          <t>Q7, SG</t>
        </is>
      </c>
      <c r="G731" s="400" t="inlineStr">
        <is>
          <t>SG/HCM</t>
        </is>
      </c>
      <c r="H731" s="402" t="n"/>
      <c r="J731" s="392">
        <f>IFERROR(UPPER(TRIM(B731))&amp;"|"&amp;UPPER(TRIM(C731))&amp;"|"&amp;UPPER(TRIM(D731)),"")</f>
        <v/>
      </c>
    </row>
    <row r="732" ht="15.75" customHeight="1" s="217">
      <c r="A732" s="397" t="n">
        <v>730</v>
      </c>
      <c r="B732" s="397" t="inlineStr">
        <is>
          <t>KH3016</t>
        </is>
      </c>
      <c r="C732" s="398" t="inlineStr">
        <is>
          <t>Xưởng Anh Hưng - Đồng Hỷ - Thái Nguyên / 0382.972.793</t>
        </is>
      </c>
      <c r="D732" s="397" t="inlineStr">
        <is>
          <t>0382.972.793</t>
        </is>
      </c>
      <c r="E732" s="399" t="n"/>
      <c r="F732" s="398" t="inlineStr">
        <is>
          <t>Công trình tại Bình Thuận</t>
        </is>
      </c>
      <c r="G732" s="397" t="inlineStr">
        <is>
          <t>SG/HCM</t>
        </is>
      </c>
      <c r="H732" s="399" t="n"/>
      <c r="J732" s="392">
        <f>IFERROR(UPPER(TRIM(B732))&amp;"|"&amp;UPPER(TRIM(C732))&amp;"|"&amp;UPPER(TRIM(D732)),"")</f>
        <v/>
      </c>
    </row>
    <row r="733" ht="15.75" customHeight="1" s="217">
      <c r="A733" s="400" t="n">
        <v>731</v>
      </c>
      <c r="B733" s="400" t="inlineStr">
        <is>
          <t>KH3015</t>
        </is>
      </c>
      <c r="C733" s="401" t="inlineStr">
        <is>
          <t>Xưởng anh Huy- Nghệ An/ 0967.635.467</t>
        </is>
      </c>
      <c r="D733" s="400" t="inlineStr">
        <is>
          <t>0967.635.467</t>
        </is>
      </c>
      <c r="E733" s="402" t="n"/>
      <c r="F733" s="401" t="inlineStr">
        <is>
          <t>467 xã Hưng Đông, TP VINH, NGHỆ AN</t>
        </is>
      </c>
      <c r="G733" s="400" t="inlineStr">
        <is>
          <t>HN</t>
        </is>
      </c>
      <c r="H733" s="402" t="n"/>
      <c r="J733" s="392">
        <f>IFERROR(UPPER(TRIM(B733))&amp;"|"&amp;UPPER(TRIM(C733))&amp;"|"&amp;UPPER(TRIM(D733)),"")</f>
        <v/>
      </c>
    </row>
    <row r="734" ht="15.75" customHeight="1" s="217">
      <c r="A734" s="397" t="n">
        <v>732</v>
      </c>
      <c r="B734" s="397" t="inlineStr">
        <is>
          <t>KH3013</t>
        </is>
      </c>
      <c r="C734" s="398" t="inlineStr">
        <is>
          <t>Công ty khoáng sản Miền Đông/ anh Thạch: 0961.733.340</t>
        </is>
      </c>
      <c r="D734" s="397" t="inlineStr">
        <is>
          <t>0961.733.340</t>
        </is>
      </c>
      <c r="E734" s="399" t="n"/>
      <c r="F734" s="398" t="inlineStr">
        <is>
          <t>Ấp Tân Thịnh, Xã An Bình, Huyện Phú Giáo, Tỉnh Bình Dương</t>
        </is>
      </c>
      <c r="G734" s="397" t="inlineStr">
        <is>
          <t>BDUONG</t>
        </is>
      </c>
      <c r="H734" s="399" t="n"/>
      <c r="J734" s="392">
        <f>IFERROR(UPPER(TRIM(B734))&amp;"|"&amp;UPPER(TRIM(C734))&amp;"|"&amp;UPPER(TRIM(D734)),"")</f>
        <v/>
      </c>
    </row>
    <row r="735" ht="15.75" customHeight="1" s="217">
      <c r="A735" s="400" t="n">
        <v>733</v>
      </c>
      <c r="B735" s="400" t="inlineStr">
        <is>
          <t>KH3014</t>
        </is>
      </c>
      <c r="C735" s="401" t="inlineStr">
        <is>
          <t>Gara Mười Thanh- Bảo Lộc/ anh Thiên: 0962.621.500</t>
        </is>
      </c>
      <c r="D735" s="400" t="inlineStr">
        <is>
          <t>0962.621.500</t>
        </is>
      </c>
      <c r="E735" s="402" t="n"/>
      <c r="F735" s="401" t="inlineStr">
        <is>
          <t>204 Lý Thường Kiệt, Lộc Phát, Bảo Lộc, Lâm Đồng</t>
        </is>
      </c>
      <c r="G735" s="400" t="inlineStr">
        <is>
          <t>LDONG</t>
        </is>
      </c>
      <c r="H735" s="402" t="n"/>
      <c r="J735" s="392">
        <f>IFERROR(UPPER(TRIM(B735))&amp;"|"&amp;UPPER(TRIM(C735))&amp;"|"&amp;UPPER(TRIM(D735)),"")</f>
        <v/>
      </c>
    </row>
    <row r="736" ht="15.75" customHeight="1" s="217">
      <c r="A736" s="397" t="n">
        <v>734</v>
      </c>
      <c r="B736" s="397" t="inlineStr">
        <is>
          <t>KH3012</t>
        </is>
      </c>
      <c r="C736" s="398" t="inlineStr">
        <is>
          <t>Anh Quyền - Tri Tôn/ 0971.777.269</t>
        </is>
      </c>
      <c r="D736" s="397" t="inlineStr">
        <is>
          <t>0971.777.269</t>
        </is>
      </c>
      <c r="E736" s="399" t="n"/>
      <c r="F736" s="398" t="inlineStr">
        <is>
          <t>Thị Trấn Tri Tôn, An Giang</t>
        </is>
      </c>
      <c r="G736" s="397" t="inlineStr">
        <is>
          <t>ANGIANG</t>
        </is>
      </c>
      <c r="H736" s="399" t="n"/>
      <c r="J736" s="392">
        <f>IFERROR(UPPER(TRIM(B736))&amp;"|"&amp;UPPER(TRIM(C736))&amp;"|"&amp;UPPER(TRIM(D736)),"")</f>
        <v/>
      </c>
    </row>
    <row r="737" ht="15.75" customHeight="1" s="217">
      <c r="A737" s="400" t="n">
        <v>735</v>
      </c>
      <c r="B737" s="400" t="inlineStr">
        <is>
          <t>KH3010</t>
        </is>
      </c>
      <c r="C737" s="401" t="inlineStr">
        <is>
          <t>Anh Việt- Củ Chi/ 0356.979606</t>
        </is>
      </c>
      <c r="D737" s="400" t="inlineStr">
        <is>
          <t>0356.979606</t>
        </is>
      </c>
      <c r="E737" s="402" t="n"/>
      <c r="F737" s="401" t="inlineStr">
        <is>
          <t>Củ Chi, SG</t>
        </is>
      </c>
      <c r="G737" s="400" t="inlineStr">
        <is>
          <t>SG/HCM</t>
        </is>
      </c>
      <c r="H737" s="402" t="n"/>
      <c r="J737" s="392">
        <f>IFERROR(UPPER(TRIM(B737))&amp;"|"&amp;UPPER(TRIM(C737))&amp;"|"&amp;UPPER(TRIM(D737)),"")</f>
        <v/>
      </c>
    </row>
    <row r="738" ht="15.75" customHeight="1" s="217">
      <c r="A738" s="397" t="n">
        <v>736</v>
      </c>
      <c r="B738" s="397" t="inlineStr">
        <is>
          <t>KH3011</t>
        </is>
      </c>
      <c r="C738" s="398" t="inlineStr">
        <is>
          <t>Xưởng anh Hiển- Gia Lai/ 0961.233.557</t>
        </is>
      </c>
      <c r="D738" s="397" t="inlineStr">
        <is>
          <t>0961.233.557</t>
        </is>
      </c>
      <c r="E738" s="399" t="n"/>
      <c r="F738" s="398" t="inlineStr">
        <is>
          <t>Cây xăng 53, Phú Thiện, Gia Lai</t>
        </is>
      </c>
      <c r="G738" s="397" t="inlineStr">
        <is>
          <t>GLAI</t>
        </is>
      </c>
      <c r="H738" s="399" t="n"/>
      <c r="J738" s="392">
        <f>IFERROR(UPPER(TRIM(B738))&amp;"|"&amp;UPPER(TRIM(C738))&amp;"|"&amp;UPPER(TRIM(D738)),"")</f>
        <v/>
      </c>
    </row>
    <row r="739" ht="15.75" customHeight="1" s="217">
      <c r="A739" s="400" t="n">
        <v>737</v>
      </c>
      <c r="B739" s="400" t="inlineStr">
        <is>
          <t>KH3009</t>
        </is>
      </c>
      <c r="C739" s="401" t="inlineStr">
        <is>
          <t>Anh Tân- Sài Gòn/ 0989.540.249</t>
        </is>
      </c>
      <c r="D739" s="400" t="inlineStr">
        <is>
          <t>0989.540.249</t>
        </is>
      </c>
      <c r="E739" s="402" t="n"/>
      <c r="F739" s="401" t="inlineStr">
        <is>
          <t>Sài gòn</t>
        </is>
      </c>
      <c r="G739" s="400" t="inlineStr">
        <is>
          <t>SG/HCM</t>
        </is>
      </c>
      <c r="H739" s="402" t="n"/>
      <c r="J739" s="392">
        <f>IFERROR(UPPER(TRIM(B739))&amp;"|"&amp;UPPER(TRIM(C739))&amp;"|"&amp;UPPER(TRIM(D739)),"")</f>
        <v/>
      </c>
    </row>
    <row r="740" ht="15.75" customHeight="1" s="217">
      <c r="A740" s="397" t="n">
        <v>738</v>
      </c>
      <c r="B740" s="397" t="inlineStr">
        <is>
          <t>KH3008</t>
        </is>
      </c>
      <c r="C740" s="398" t="inlineStr">
        <is>
          <t>Xây dựng Trọng Tâm- SG/ 0708.487.007</t>
        </is>
      </c>
      <c r="D740" s="397" t="inlineStr">
        <is>
          <t>0708.487.007</t>
        </is>
      </c>
      <c r="E740" s="399" t="n"/>
      <c r="F740" s="398" t="inlineStr">
        <is>
          <t>Sài Gòn</t>
        </is>
      </c>
      <c r="G740" s="397" t="inlineStr">
        <is>
          <t>HX</t>
        </is>
      </c>
      <c r="H740" s="399" t="n"/>
      <c r="J740" s="392">
        <f>IFERROR(UPPER(TRIM(B740))&amp;"|"&amp;UPPER(TRIM(C740))&amp;"|"&amp;UPPER(TRIM(D740)),"")</f>
        <v/>
      </c>
    </row>
    <row r="741" ht="15.75" customHeight="1" s="217">
      <c r="A741" s="400" t="n">
        <v>739</v>
      </c>
      <c r="B741" s="400" t="inlineStr">
        <is>
          <t>KH3007</t>
        </is>
      </c>
      <c r="C741" s="401" t="inlineStr">
        <is>
          <t>Công ty Hiếu Mai- Hà Đông, Hà Nội/ anh Hiếu: 0904.268.268</t>
        </is>
      </c>
      <c r="D741" s="400" t="inlineStr">
        <is>
          <t>0904.268.268</t>
        </is>
      </c>
      <c r="E741" s="402" t="n"/>
      <c r="F741" s="401" t="inlineStr">
        <is>
          <t>Hà Đông, Hà Nội</t>
        </is>
      </c>
      <c r="G741" s="400" t="inlineStr">
        <is>
          <t>HN</t>
        </is>
      </c>
      <c r="H741" s="402" t="n"/>
      <c r="J741" s="392">
        <f>IFERROR(UPPER(TRIM(B741))&amp;"|"&amp;UPPER(TRIM(C741))&amp;"|"&amp;UPPER(TRIM(D741)),"")</f>
        <v/>
      </c>
    </row>
    <row r="742" ht="15.75" customHeight="1" s="217">
      <c r="A742" s="397" t="n">
        <v>740</v>
      </c>
      <c r="B742" s="397" t="inlineStr">
        <is>
          <t>KH3006</t>
        </is>
      </c>
      <c r="C742" s="398" t="inlineStr">
        <is>
          <t>Công ty TNHH XNK Thương Mai, Vận Tải Trà Dương</t>
        </is>
      </c>
      <c r="D742" s="399" t="n"/>
      <c r="E742" s="399" t="n"/>
      <c r="F742" s="398" t="inlineStr">
        <is>
          <t>36/38 QL1A, P. An Phú Động, Quận 12</t>
        </is>
      </c>
      <c r="G742" s="397" t="inlineStr">
        <is>
          <t>SG/HCM</t>
        </is>
      </c>
      <c r="H742" s="399" t="n"/>
      <c r="J742" s="392">
        <f>IFERROR(UPPER(TRIM(B742))&amp;"|"&amp;UPPER(TRIM(C742))&amp;"|"&amp;UPPER(TRIM(D742)),"")</f>
        <v/>
      </c>
    </row>
    <row r="743" ht="15.75" customHeight="1" s="217">
      <c r="A743" s="400" t="n">
        <v>741</v>
      </c>
      <c r="B743" s="400" t="inlineStr">
        <is>
          <t>KH3005</t>
        </is>
      </c>
      <c r="C743" s="401" t="inlineStr">
        <is>
          <t>Công ty DV Thiên Minh- Bình Tân/ A Trầm 0908.620.629-0974.741.595</t>
        </is>
      </c>
      <c r="D743" s="400" t="inlineStr">
        <is>
          <t>0908.620.629-0974</t>
        </is>
      </c>
      <c r="E743" s="402" t="n"/>
      <c r="F743" s="401" t="inlineStr">
        <is>
          <t>205/20/52/14 Phạm Đăng Giảng, Bình Hưng Hoà, Bình Tân, TP. HCM</t>
        </is>
      </c>
      <c r="G743" s="400" t="inlineStr">
        <is>
          <t>SG/HCM</t>
        </is>
      </c>
      <c r="H743" s="402" t="n"/>
      <c r="J743" s="392">
        <f>IFERROR(UPPER(TRIM(B743))&amp;"|"&amp;UPPER(TRIM(C743))&amp;"|"&amp;UPPER(TRIM(D743)),"")</f>
        <v/>
      </c>
    </row>
    <row r="744" ht="15.75" customHeight="1" s="217">
      <c r="A744" s="397" t="n">
        <v>742</v>
      </c>
      <c r="B744" s="397" t="inlineStr">
        <is>
          <t>KH3004</t>
        </is>
      </c>
      <c r="C744" s="398" t="inlineStr">
        <is>
          <t>Anh Quý - Sài Gòn - 0908.384.671</t>
        </is>
      </c>
      <c r="D744" s="397" t="inlineStr">
        <is>
          <t>0908.384.671</t>
        </is>
      </c>
      <c r="E744" s="399" t="n"/>
      <c r="F744" s="398" t="inlineStr">
        <is>
          <t>Sài Gòn</t>
        </is>
      </c>
      <c r="G744" s="397" t="inlineStr">
        <is>
          <t>SG/HCM</t>
        </is>
      </c>
      <c r="H744" s="399" t="n"/>
      <c r="J744" s="392">
        <f>IFERROR(UPPER(TRIM(B744))&amp;"|"&amp;UPPER(TRIM(C744))&amp;"|"&amp;UPPER(TRIM(D744)),"")</f>
        <v/>
      </c>
    </row>
    <row r="745" ht="15.75" customHeight="1" s="217">
      <c r="A745" s="400" t="n">
        <v>743</v>
      </c>
      <c r="B745" s="400" t="inlineStr">
        <is>
          <t>KH3002</t>
        </is>
      </c>
      <c r="C745" s="401" t="inlineStr">
        <is>
          <t>Xưởng Thành Duy Vũ 2 - Đà Lạt/ 0978.611.677</t>
        </is>
      </c>
      <c r="D745" s="400" t="inlineStr">
        <is>
          <t>0978.611.677</t>
        </is>
      </c>
      <c r="E745" s="402" t="n"/>
      <c r="F745" s="401" t="inlineStr">
        <is>
          <t>108 Hùng Vương, Phường 11, TP. Đà Lạt, Lâm Đồng</t>
        </is>
      </c>
      <c r="G745" s="400" t="inlineStr">
        <is>
          <t>LDONG</t>
        </is>
      </c>
      <c r="H745" s="402" t="n"/>
      <c r="J745" s="392">
        <f>IFERROR(UPPER(TRIM(B745))&amp;"|"&amp;UPPER(TRIM(C745))&amp;"|"&amp;UPPER(TRIM(D745)),"")</f>
        <v/>
      </c>
    </row>
    <row r="746" ht="15.75" customHeight="1" s="217">
      <c r="A746" s="397" t="n">
        <v>744</v>
      </c>
      <c r="B746" s="397" t="inlineStr">
        <is>
          <t>KH3003</t>
        </is>
      </c>
      <c r="C746" s="398" t="inlineStr">
        <is>
          <t>Xưởng anh Phương - Phú Yên (chuyên xe cont) - 0799.484.986</t>
        </is>
      </c>
      <c r="D746" s="397" t="inlineStr">
        <is>
          <t>0799.484.986</t>
        </is>
      </c>
      <c r="E746" s="399" t="n"/>
      <c r="F746" s="398" t="inlineStr">
        <is>
          <t>Phú Yên</t>
        </is>
      </c>
      <c r="G746" s="397" t="inlineStr">
        <is>
          <t>PYEN</t>
        </is>
      </c>
      <c r="H746" s="399" t="n"/>
      <c r="J746" s="392">
        <f>IFERROR(UPPER(TRIM(B746))&amp;"|"&amp;UPPER(TRIM(C746))&amp;"|"&amp;UPPER(TRIM(D746)),"")</f>
        <v/>
      </c>
    </row>
    <row r="747" ht="15.75" customHeight="1" s="217">
      <c r="A747" s="400" t="n">
        <v>745</v>
      </c>
      <c r="B747" s="400" t="inlineStr">
        <is>
          <t>KH3000</t>
        </is>
      </c>
      <c r="C747" s="401" t="inlineStr">
        <is>
          <t>Xưởng anh Dũng- Di Linh/ 0983.029.358-0849.849.568</t>
        </is>
      </c>
      <c r="D747" s="400" t="inlineStr">
        <is>
          <t>029.358-0849</t>
        </is>
      </c>
      <c r="E747" s="402" t="n"/>
      <c r="F747" s="401" t="inlineStr">
        <is>
          <t>Di Linh. Lâm Đồng</t>
        </is>
      </c>
      <c r="G747" s="400" t="inlineStr">
        <is>
          <t>LDONG</t>
        </is>
      </c>
      <c r="H747" s="402" t="n"/>
      <c r="J747" s="392">
        <f>IFERROR(UPPER(TRIM(B747))&amp;"|"&amp;UPPER(TRIM(C747))&amp;"|"&amp;UPPER(TRIM(D747)),"")</f>
        <v/>
      </c>
    </row>
    <row r="748" ht="15.75" customHeight="1" s="217">
      <c r="A748" s="397" t="n">
        <v>746</v>
      </c>
      <c r="B748" s="397" t="inlineStr">
        <is>
          <t>KH3001</t>
        </is>
      </c>
      <c r="C748" s="398" t="inlineStr">
        <is>
          <t>CH Minh Tâm- Quảng Nam/ 0905.942.498</t>
        </is>
      </c>
      <c r="D748" s="397" t="inlineStr">
        <is>
          <t>0905.942.498</t>
        </is>
      </c>
      <c r="E748" s="399" t="n"/>
      <c r="F748" s="398" t="inlineStr">
        <is>
          <t>QL1A, Thôn Định Phước, Xã Tam Nghĩa, Huyện Núi Thành, Tỉnh Quảng Nam</t>
        </is>
      </c>
      <c r="G748" s="397" t="inlineStr">
        <is>
          <t>QNAM</t>
        </is>
      </c>
      <c r="H748" s="399" t="n"/>
      <c r="J748" s="392">
        <f>IFERROR(UPPER(TRIM(B748))&amp;"|"&amp;UPPER(TRIM(C748))&amp;"|"&amp;UPPER(TRIM(D748)),"")</f>
        <v/>
      </c>
    </row>
    <row r="749" ht="15.75" customHeight="1" s="217">
      <c r="A749" s="400" t="n">
        <v>747</v>
      </c>
      <c r="B749" s="400" t="inlineStr">
        <is>
          <t>KH2999</t>
        </is>
      </c>
      <c r="C749" s="401" t="inlineStr">
        <is>
          <t>CH Bảy Hạnh- Phan Thiết/ 0933.442.267</t>
        </is>
      </c>
      <c r="D749" s="400" t="inlineStr">
        <is>
          <t>0933.442.267</t>
        </is>
      </c>
      <c r="E749" s="402" t="n"/>
      <c r="F749" s="401" t="inlineStr">
        <is>
          <t>Ngư Ông, Phan Thiết, Bình Thuận</t>
        </is>
      </c>
      <c r="G749" s="400" t="inlineStr">
        <is>
          <t>BTHUAN</t>
        </is>
      </c>
      <c r="H749" s="402" t="n"/>
      <c r="J749" s="392">
        <f>IFERROR(UPPER(TRIM(B749))&amp;"|"&amp;UPPER(TRIM(C749))&amp;"|"&amp;UPPER(TRIM(D749)),"")</f>
        <v/>
      </c>
    </row>
    <row r="750" ht="15.75" customHeight="1" s="217">
      <c r="A750" s="397" t="n">
        <v>748</v>
      </c>
      <c r="B750" s="397" t="inlineStr">
        <is>
          <t>KH2998</t>
        </is>
      </c>
      <c r="C750" s="398" t="inlineStr">
        <is>
          <t>Anh Trung-Bãi xe Cơ Giới- Hàm Thuận Nam/ 0987.233.202</t>
        </is>
      </c>
      <c r="D750" s="397" t="inlineStr">
        <is>
          <t>0987.233.202</t>
        </is>
      </c>
      <c r="E750" s="399" t="n"/>
      <c r="F750" s="398" t="inlineStr">
        <is>
          <t>Hàm Thuận Nam, Bình Thuận</t>
        </is>
      </c>
      <c r="G750" s="397" t="inlineStr">
        <is>
          <t>BTHUAN</t>
        </is>
      </c>
      <c r="H750" s="399" t="n"/>
      <c r="J750" s="392">
        <f>IFERROR(UPPER(TRIM(B750))&amp;"|"&amp;UPPER(TRIM(C750))&amp;"|"&amp;UPPER(TRIM(D750)),"")</f>
        <v/>
      </c>
    </row>
    <row r="751" ht="15.75" customHeight="1" s="217">
      <c r="A751" s="400" t="n">
        <v>749</v>
      </c>
      <c r="B751" s="400" t="inlineStr">
        <is>
          <t>KH2997</t>
        </is>
      </c>
      <c r="C751" s="401" t="inlineStr">
        <is>
          <t>Anh Quốc Tuấn- Tây Ninh/ 0977.556.271</t>
        </is>
      </c>
      <c r="D751" s="400" t="inlineStr">
        <is>
          <t>0977.556.271</t>
        </is>
      </c>
      <c r="E751" s="402" t="n"/>
      <c r="F751" s="401" t="inlineStr">
        <is>
          <t>Bến xe Đồng Phước, Tây Ninh</t>
        </is>
      </c>
      <c r="G751" s="400" t="inlineStr">
        <is>
          <t>TNINH</t>
        </is>
      </c>
      <c r="H751" s="402" t="n"/>
      <c r="J751" s="392">
        <f>IFERROR(UPPER(TRIM(B751))&amp;"|"&amp;UPPER(TRIM(C751))&amp;"|"&amp;UPPER(TRIM(D751)),"")</f>
        <v/>
      </c>
    </row>
    <row r="752" ht="15.75" customHeight="1" s="217">
      <c r="A752" s="397" t="n">
        <v>750</v>
      </c>
      <c r="B752" s="397" t="inlineStr">
        <is>
          <t>KH2996</t>
        </is>
      </c>
      <c r="C752" s="398" t="inlineStr">
        <is>
          <t>Xưởng Minh Quang- SG/ 0975.939.465</t>
        </is>
      </c>
      <c r="D752" s="397" t="inlineStr">
        <is>
          <t>0975.939.465</t>
        </is>
      </c>
      <c r="E752" s="399" t="n"/>
      <c r="F752" s="398" t="inlineStr">
        <is>
          <t>HCM</t>
        </is>
      </c>
      <c r="G752" s="397" t="inlineStr">
        <is>
          <t>SG/HCM</t>
        </is>
      </c>
      <c r="H752" s="399" t="n"/>
      <c r="J752" s="392">
        <f>IFERROR(UPPER(TRIM(B752))&amp;"|"&amp;UPPER(TRIM(C752))&amp;"|"&amp;UPPER(TRIM(D752)),"")</f>
        <v/>
      </c>
    </row>
    <row r="753" ht="15.75" customHeight="1" s="217">
      <c r="A753" s="400" t="n">
        <v>751</v>
      </c>
      <c r="B753" s="400" t="inlineStr">
        <is>
          <t>KH2995</t>
        </is>
      </c>
      <c r="C753" s="401" t="inlineStr">
        <is>
          <t>Xưởng tiện anh Hổ- Bình Chánh/ 0903.617.070</t>
        </is>
      </c>
      <c r="D753" s="400" t="inlineStr">
        <is>
          <t>0903.617.070</t>
        </is>
      </c>
      <c r="E753" s="402" t="n"/>
      <c r="F753" s="401" t="inlineStr">
        <is>
          <t>B16/38 ERV, Nguyễn Văn Linh, Tổ 46, Ấp 3A, Xã Bình Hưng, Huyện Bình Chánh</t>
        </is>
      </c>
      <c r="G753" s="400" t="inlineStr">
        <is>
          <t>SG/HCM</t>
        </is>
      </c>
      <c r="H753" s="402" t="n"/>
      <c r="J753" s="392">
        <f>IFERROR(UPPER(TRIM(B753))&amp;"|"&amp;UPPER(TRIM(C753))&amp;"|"&amp;UPPER(TRIM(D753)),"")</f>
        <v/>
      </c>
    </row>
    <row r="754" ht="15.75" customHeight="1" s="217">
      <c r="A754" s="397" t="n">
        <v>752</v>
      </c>
      <c r="B754" s="397" t="inlineStr">
        <is>
          <t>KH2993</t>
        </is>
      </c>
      <c r="C754" s="398" t="inlineStr">
        <is>
          <t>Công ty TNHH TM và XD ALPHA Sài Gòn/ A Hạnh: 0792.199.679</t>
        </is>
      </c>
      <c r="D754" s="397" t="inlineStr">
        <is>
          <t>0792.199.679</t>
        </is>
      </c>
      <c r="E754" s="399" t="n"/>
      <c r="F754" s="398" t="inlineStr">
        <is>
          <t>169 Đường N, KDC Mega Village Khanh Điền, Tổ 1, KP3, P. Phú Hữu, TP. Thủ Đức, TP. HCM</t>
        </is>
      </c>
      <c r="G754" s="397" t="inlineStr">
        <is>
          <t>SG/HCM</t>
        </is>
      </c>
      <c r="H754" s="399" t="n"/>
      <c r="J754" s="392">
        <f>IFERROR(UPPER(TRIM(B754))&amp;"|"&amp;UPPER(TRIM(C754))&amp;"|"&amp;UPPER(TRIM(D754)),"")</f>
        <v/>
      </c>
    </row>
    <row r="755" ht="15.75" customHeight="1" s="217">
      <c r="A755" s="400" t="n">
        <v>753</v>
      </c>
      <c r="B755" s="400" t="inlineStr">
        <is>
          <t>KH2994</t>
        </is>
      </c>
      <c r="C755" s="401" t="inlineStr">
        <is>
          <t>Anh Tâm- Tánh Linh- Binh Thuận/ 0982.574.200</t>
        </is>
      </c>
      <c r="D755" s="400" t="inlineStr">
        <is>
          <t>0982.574.200</t>
        </is>
      </c>
      <c r="E755" s="402" t="n"/>
      <c r="F755" s="401" t="inlineStr">
        <is>
          <t>Tánh Linh, Bình Thuận</t>
        </is>
      </c>
      <c r="G755" s="400" t="inlineStr">
        <is>
          <t>BTHUAN</t>
        </is>
      </c>
      <c r="H755" s="402" t="n"/>
      <c r="J755" s="392">
        <f>IFERROR(UPPER(TRIM(B755))&amp;"|"&amp;UPPER(TRIM(C755))&amp;"|"&amp;UPPER(TRIM(D755)),"")</f>
        <v/>
      </c>
    </row>
    <row r="756" ht="15.75" customHeight="1" s="217">
      <c r="A756" s="397" t="n">
        <v>754</v>
      </c>
      <c r="B756" s="397" t="inlineStr">
        <is>
          <t>NJP</t>
        </is>
      </c>
      <c r="C756" s="398" t="inlineStr">
        <is>
          <t>NJP PUMP - QUANZHOU NANJIAN PUMP MANUFACTURING CO.,LTD.</t>
        </is>
      </c>
      <c r="D756" s="399" t="n"/>
      <c r="E756" s="399" t="n"/>
      <c r="F756" s="398" t="inlineStr">
        <is>
          <t>ADD:NO.1258 FENGZHOU ROAD XUSHAN VILLAGE FENGZHOU TOWN NANAN CITY QUANZHOU CITY FUJIAN PROVINCE CHINA</t>
        </is>
      </c>
      <c r="G756" s="399" t="n"/>
      <c r="H756" s="399" t="n"/>
      <c r="J756" s="392">
        <f>IFERROR(UPPER(TRIM(B756))&amp;"|"&amp;UPPER(TRIM(C756))&amp;"|"&amp;UPPER(TRIM(D756)),"")</f>
        <v/>
      </c>
    </row>
    <row r="757" ht="15.75" customHeight="1" s="217">
      <c r="A757" s="400" t="n">
        <v>755</v>
      </c>
      <c r="B757" s="400" t="inlineStr">
        <is>
          <t>KH2992</t>
        </is>
      </c>
      <c r="C757" s="401" t="inlineStr">
        <is>
          <t>Anh Khanh - Bình Tân/ 0963.993.619</t>
        </is>
      </c>
      <c r="D757" s="400" t="inlineStr">
        <is>
          <t>0963.993.619</t>
        </is>
      </c>
      <c r="E757" s="402" t="n"/>
      <c r="F757" s="401" t="inlineStr">
        <is>
          <t>1782 TL 10, P. Tân Tạo, Q. Bình Tân</t>
        </is>
      </c>
      <c r="G757" s="400" t="inlineStr">
        <is>
          <t>SG/HCM</t>
        </is>
      </c>
      <c r="H757" s="402" t="n"/>
      <c r="J757" s="392">
        <f>IFERROR(UPPER(TRIM(B757))&amp;"|"&amp;UPPER(TRIM(C757))&amp;"|"&amp;UPPER(TRIM(D757)),"")</f>
        <v/>
      </c>
    </row>
    <row r="758" ht="15.75" customHeight="1" s="217">
      <c r="A758" s="397" t="n">
        <v>756</v>
      </c>
      <c r="B758" s="397" t="inlineStr">
        <is>
          <t>KH2991</t>
        </is>
      </c>
      <c r="C758" s="398" t="inlineStr">
        <is>
          <t>CH anh Sáng- Long Khánh/ Anh Sáng-0947.568.229</t>
        </is>
      </c>
      <c r="D758" s="397" t="inlineStr">
        <is>
          <t>0947.568.229</t>
        </is>
      </c>
      <c r="E758" s="399" t="n"/>
      <c r="F758" s="398" t="inlineStr">
        <is>
          <t>KP1, P. Xuân Bình, Long Khánh, Đồng Nai</t>
        </is>
      </c>
      <c r="G758" s="397" t="inlineStr">
        <is>
          <t>ÐNAI</t>
        </is>
      </c>
      <c r="H758" s="399" t="n"/>
      <c r="J758" s="392">
        <f>IFERROR(UPPER(TRIM(B758))&amp;"|"&amp;UPPER(TRIM(C758))&amp;"|"&amp;UPPER(TRIM(D758)),"")</f>
        <v/>
      </c>
    </row>
    <row r="759" ht="15.75" customHeight="1" s="217">
      <c r="A759" s="400" t="n">
        <v>757</v>
      </c>
      <c r="B759" s="400" t="inlineStr">
        <is>
          <t>NANJIAN</t>
        </is>
      </c>
      <c r="C759" s="401" t="inlineStr">
        <is>
          <t>(KHÔNG SỬ DỤNG) QUANZHOU NANJIAN PUMP MANUFACTURE CO.,LTD</t>
        </is>
      </c>
      <c r="D759" s="402" t="n"/>
      <c r="E759" s="402" t="n"/>
      <c r="F759" s="401" t="inlineStr">
        <is>
          <t>YIDA INDUSTRIAL PARK,FENGZHOU DISTRICT,QUANZHOU CITY,FUJIAN PROVINCE,P.R.CHINA</t>
        </is>
      </c>
      <c r="G759" s="402" t="n"/>
      <c r="H759" s="402" t="n"/>
      <c r="J759" s="392">
        <f>IFERROR(UPPER(TRIM(B759))&amp;"|"&amp;UPPER(TRIM(C759))&amp;"|"&amp;UPPER(TRIM(D759)),"")</f>
        <v/>
      </c>
    </row>
    <row r="760" ht="15.75" customHeight="1" s="217">
      <c r="A760" s="397" t="n">
        <v>758</v>
      </c>
      <c r="B760" s="397" t="inlineStr">
        <is>
          <t>KH2990</t>
        </is>
      </c>
      <c r="C760" s="398" t="inlineStr">
        <is>
          <t>Cửa hàng  Anh Tuấn - Quận 2- SG/ 0933.716.782</t>
        </is>
      </c>
      <c r="D760" s="397" t="inlineStr">
        <is>
          <t>0933.716.782</t>
        </is>
      </c>
      <c r="E760" s="399" t="n"/>
      <c r="F760" s="398" t="inlineStr">
        <is>
          <t>Số 26 đường 15, P. Bình An, Quận 2, Sài Gòn</t>
        </is>
      </c>
      <c r="G760" s="397" t="inlineStr">
        <is>
          <t>SG/HCM</t>
        </is>
      </c>
      <c r="H760" s="399" t="n"/>
      <c r="J760" s="392">
        <f>IFERROR(UPPER(TRIM(B760))&amp;"|"&amp;UPPER(TRIM(C760))&amp;"|"&amp;UPPER(TRIM(D760)),"")</f>
        <v/>
      </c>
    </row>
    <row r="761" ht="15.75" customHeight="1" s="217">
      <c r="A761" s="400" t="n">
        <v>759</v>
      </c>
      <c r="B761" s="400" t="inlineStr">
        <is>
          <t>KH2989</t>
        </is>
      </c>
      <c r="C761" s="401" t="inlineStr">
        <is>
          <t>Xưởng anh Hiệp - Gia Lai/ 0362.647.788</t>
        </is>
      </c>
      <c r="D761" s="400" t="inlineStr">
        <is>
          <t>0362.647.788</t>
        </is>
      </c>
      <c r="E761" s="402" t="n"/>
      <c r="F761" s="401" t="inlineStr">
        <is>
          <t>Huyện Mang Yang, Gia Lai</t>
        </is>
      </c>
      <c r="G761" s="400" t="inlineStr">
        <is>
          <t>GLAI</t>
        </is>
      </c>
      <c r="H761" s="402" t="n"/>
      <c r="J761" s="392">
        <f>IFERROR(UPPER(TRIM(B761))&amp;"|"&amp;UPPER(TRIM(C761))&amp;"|"&amp;UPPER(TRIM(D761)),"")</f>
        <v/>
      </c>
    </row>
    <row r="762" ht="15.75" customHeight="1" s="217">
      <c r="A762" s="397" t="n">
        <v>760</v>
      </c>
      <c r="B762" s="397" t="inlineStr">
        <is>
          <t>KH2986</t>
        </is>
      </c>
      <c r="C762" s="398" t="inlineStr">
        <is>
          <t>Cửa hàng phụ tùng Anh Trường- Quận 6/ 0903.665.025 - 0935.242.048</t>
        </is>
      </c>
      <c r="D762" s="397" t="inlineStr">
        <is>
          <t>0903.665.025 / 0935.242.048</t>
        </is>
      </c>
      <c r="E762" s="399" t="n"/>
      <c r="F762" s="398" t="inlineStr">
        <is>
          <t>87/29 Nguyễn Phạm Tuân, Phường 9, Quận 6</t>
        </is>
      </c>
      <c r="G762" s="397" t="inlineStr">
        <is>
          <t>SG/HCM</t>
        </is>
      </c>
      <c r="H762" s="399" t="n"/>
      <c r="J762" s="392">
        <f>IFERROR(UPPER(TRIM(B762))&amp;"|"&amp;UPPER(TRIM(C762))&amp;"|"&amp;UPPER(TRIM(D762)),"")</f>
        <v/>
      </c>
    </row>
    <row r="763" ht="15.75" customHeight="1" s="217">
      <c r="A763" s="400" t="n">
        <v>761</v>
      </c>
      <c r="B763" s="400" t="inlineStr">
        <is>
          <t>KH2987</t>
        </is>
      </c>
      <c r="C763" s="401" t="inlineStr">
        <is>
          <t>Cửa hàng Phụ Tùng Anh Tín - Bình Tân/ 0704.123.983</t>
        </is>
      </c>
      <c r="D763" s="400" t="inlineStr">
        <is>
          <t>0704.123.983</t>
        </is>
      </c>
      <c r="E763" s="402" t="n"/>
      <c r="F763" s="401" t="inlineStr">
        <is>
          <t>933 TL 10, Tân Tạo, Bình Tân</t>
        </is>
      </c>
      <c r="G763" s="400" t="inlineStr">
        <is>
          <t>SG/HCM</t>
        </is>
      </c>
      <c r="H763" s="402" t="n"/>
      <c r="J763" s="392">
        <f>IFERROR(UPPER(TRIM(B763))&amp;"|"&amp;UPPER(TRIM(C763))&amp;"|"&amp;UPPER(TRIM(D763)),"")</f>
        <v/>
      </c>
    </row>
    <row r="764" ht="15.75" customHeight="1" s="217">
      <c r="A764" s="397" t="n">
        <v>762</v>
      </c>
      <c r="B764" s="397" t="inlineStr">
        <is>
          <t>KH2988</t>
        </is>
      </c>
      <c r="C764" s="398" t="inlineStr">
        <is>
          <t>Xưởng Anh Tấn - Đà Nẵng/ 0987.104.446</t>
        </is>
      </c>
      <c r="D764" s="397" t="inlineStr">
        <is>
          <t>0987.104.446</t>
        </is>
      </c>
      <c r="E764" s="399" t="n"/>
      <c r="F764" s="398" t="inlineStr">
        <is>
          <t>Đà Nẵng</t>
        </is>
      </c>
      <c r="G764" s="397" t="inlineStr">
        <is>
          <t>DNANG</t>
        </is>
      </c>
      <c r="H764" s="399" t="n"/>
      <c r="J764" s="392">
        <f>IFERROR(UPPER(TRIM(B764))&amp;"|"&amp;UPPER(TRIM(C764))&amp;"|"&amp;UPPER(TRIM(D764)),"")</f>
        <v/>
      </c>
    </row>
    <row r="765" ht="15.75" customHeight="1" s="217">
      <c r="A765" s="400" t="n">
        <v>763</v>
      </c>
      <c r="B765" s="400" t="inlineStr">
        <is>
          <t>KH2982</t>
        </is>
      </c>
      <c r="C765" s="401" t="inlineStr">
        <is>
          <t>CH Ô Tô Đại Hùng- Đồng Xoài/ 0985.472.472</t>
        </is>
      </c>
      <c r="D765" s="400" t="inlineStr">
        <is>
          <t>0985.472.472</t>
        </is>
      </c>
      <c r="E765" s="402" t="n"/>
      <c r="F765" s="401" t="inlineStr">
        <is>
          <t>532 Nguyễn Huệ, P. Tân Xuân, TP. Đồng Xoài, Bình Phước</t>
        </is>
      </c>
      <c r="G765" s="400" t="inlineStr">
        <is>
          <t>BP</t>
        </is>
      </c>
      <c r="H765" s="402" t="n"/>
      <c r="J765" s="392">
        <f>IFERROR(UPPER(TRIM(B765))&amp;"|"&amp;UPPER(TRIM(C765))&amp;"|"&amp;UPPER(TRIM(D765)),"")</f>
        <v/>
      </c>
    </row>
    <row r="766" ht="15.75" customHeight="1" s="217">
      <c r="A766" s="397" t="n">
        <v>764</v>
      </c>
      <c r="B766" s="397" t="inlineStr">
        <is>
          <t>KH2983</t>
        </is>
      </c>
      <c r="C766" s="398" t="inlineStr">
        <is>
          <t>TURBO - ANH HẢO - GÒ VẤP/ Anh Hảo: 0903.010.256</t>
        </is>
      </c>
      <c r="D766" s="397" t="inlineStr">
        <is>
          <t>0903.010.256</t>
        </is>
      </c>
      <c r="E766" s="399" t="n"/>
      <c r="F766" s="398" t="inlineStr">
        <is>
          <t>1050/85 Quang Trung, P.8, Gò Vấp</t>
        </is>
      </c>
      <c r="G766" s="397" t="inlineStr">
        <is>
          <t>SG/HCM</t>
        </is>
      </c>
      <c r="H766" s="399" t="n"/>
      <c r="J766" s="392">
        <f>IFERROR(UPPER(TRIM(B766))&amp;"|"&amp;UPPER(TRIM(C766))&amp;"|"&amp;UPPER(TRIM(D766)),"")</f>
        <v/>
      </c>
    </row>
    <row r="767" ht="15.75" customHeight="1" s="217">
      <c r="A767" s="400" t="n">
        <v>765</v>
      </c>
      <c r="B767" s="400" t="inlineStr">
        <is>
          <t>KH2984</t>
        </is>
      </c>
      <c r="C767" s="401" t="inlineStr">
        <is>
          <t>Phụ tùng ô tô Sáu Bình- Phan Rang/ 0913.719.551</t>
        </is>
      </c>
      <c r="D767" s="400" t="inlineStr">
        <is>
          <t>0913.719.551</t>
        </is>
      </c>
      <c r="E767" s="402" t="n"/>
      <c r="F767" s="401" t="inlineStr">
        <is>
          <t>Phan Rang, Ninh Thuận</t>
        </is>
      </c>
      <c r="G767" s="400" t="inlineStr">
        <is>
          <t>NTHUAN</t>
        </is>
      </c>
      <c r="H767" s="402" t="n"/>
      <c r="J767" s="392">
        <f>IFERROR(UPPER(TRIM(B767))&amp;"|"&amp;UPPER(TRIM(C767))&amp;"|"&amp;UPPER(TRIM(D767)),"")</f>
        <v/>
      </c>
    </row>
    <row r="768" ht="15.75" customHeight="1" s="217">
      <c r="A768" s="397" t="n">
        <v>766</v>
      </c>
      <c r="B768" s="397" t="inlineStr">
        <is>
          <t>KH2985</t>
        </is>
      </c>
      <c r="C768" s="398" t="inlineStr">
        <is>
          <t>Công ty CP Đức Việt 568 - Hải Dương/ 0971.019.851</t>
        </is>
      </c>
      <c r="D768" s="397" t="inlineStr">
        <is>
          <t>0971.019.851</t>
        </is>
      </c>
      <c r="E768" s="399" t="n"/>
      <c r="F768" s="398" t="inlineStr">
        <is>
          <t>Hải Dương</t>
        </is>
      </c>
      <c r="G768" s="397" t="inlineStr">
        <is>
          <t>HN</t>
        </is>
      </c>
      <c r="H768" s="399" t="n"/>
      <c r="J768" s="392">
        <f>IFERROR(UPPER(TRIM(B768))&amp;"|"&amp;UPPER(TRIM(C768))&amp;"|"&amp;UPPER(TRIM(D768)),"")</f>
        <v/>
      </c>
    </row>
    <row r="769" ht="15.75" customHeight="1" s="217">
      <c r="A769" s="393" t="n">
        <v>767</v>
      </c>
      <c r="B769" s="393" t="inlineStr">
        <is>
          <t>KH2981</t>
        </is>
      </c>
      <c r="C769" s="394" t="inlineStr">
        <is>
          <t>KIA CH Quốc Tuấn - Q5- 0918.047.087</t>
        </is>
      </c>
      <c r="D769" s="393" t="inlineStr">
        <is>
          <t>0918.047.087</t>
        </is>
      </c>
      <c r="E769" s="393" t="inlineStr">
        <is>
          <t>VIP NGOẠI LỆ</t>
        </is>
      </c>
      <c r="F769" s="394" t="inlineStr">
        <is>
          <t>162 Huỳnh Mẫn Đạt, Q5, TP. HCM</t>
        </is>
      </c>
      <c r="G769" s="393" t="inlineStr">
        <is>
          <t>SG/HCM</t>
        </is>
      </c>
      <c r="H769" s="395" t="n"/>
      <c r="J769" s="392">
        <f>IFERROR(UPPER(TRIM(B769))&amp;"|"&amp;UPPER(TRIM(C769))&amp;"|"&amp;UPPER(TRIM(D769)),"")</f>
        <v/>
      </c>
    </row>
    <row r="770" ht="15.75" customHeight="1" s="217">
      <c r="A770" s="397" t="n">
        <v>768</v>
      </c>
      <c r="B770" s="397" t="inlineStr">
        <is>
          <t>KH2980</t>
        </is>
      </c>
      <c r="C770" s="398" t="inlineStr">
        <is>
          <t>Công ty Hải Đăng- Hóc Môn/ A Nghĩa: 0374.726.996</t>
        </is>
      </c>
      <c r="D770" s="397" t="inlineStr">
        <is>
          <t>0374.726.996</t>
        </is>
      </c>
      <c r="E770" s="399" t="n"/>
      <c r="F770" s="398" t="inlineStr">
        <is>
          <t>14/21M Nguyễn Ảnh Thủ, Thới Tam Thôn, Hóc Môn</t>
        </is>
      </c>
      <c r="G770" s="397" t="inlineStr">
        <is>
          <t>SG/HCM</t>
        </is>
      </c>
      <c r="H770" s="399" t="n"/>
      <c r="J770" s="392">
        <f>IFERROR(UPPER(TRIM(B770))&amp;"|"&amp;UPPER(TRIM(C770))&amp;"|"&amp;UPPER(TRIM(D770)),"")</f>
        <v/>
      </c>
    </row>
    <row r="771" ht="15.75" customHeight="1" s="217">
      <c r="A771" s="400" t="n">
        <v>769</v>
      </c>
      <c r="B771" s="400" t="inlineStr">
        <is>
          <t>KH2979</t>
        </is>
      </c>
      <c r="C771" s="401" t="inlineStr">
        <is>
          <t>Xưởng anh Hùng - Quận 12/ 0978.377.683</t>
        </is>
      </c>
      <c r="D771" s="400" t="inlineStr">
        <is>
          <t>0978.377.683</t>
        </is>
      </c>
      <c r="E771" s="402" t="n"/>
      <c r="F771" s="401" t="inlineStr">
        <is>
          <t>Quận 12, TP. HCM</t>
        </is>
      </c>
      <c r="G771" s="400" t="inlineStr">
        <is>
          <t>SG/HCM</t>
        </is>
      </c>
      <c r="H771" s="402" t="n"/>
      <c r="J771" s="392">
        <f>IFERROR(UPPER(TRIM(B771))&amp;"|"&amp;UPPER(TRIM(C771))&amp;"|"&amp;UPPER(TRIM(D771)),"")</f>
        <v/>
      </c>
    </row>
    <row r="772" ht="15.75" customHeight="1" s="217">
      <c r="A772" s="397" t="n">
        <v>770</v>
      </c>
      <c r="B772" s="397" t="inlineStr">
        <is>
          <t>KH2978</t>
        </is>
      </c>
      <c r="C772" s="398" t="inlineStr">
        <is>
          <t>Anh Hiếu (Chủ máy) - Cam Ranh/ Anh Hiếu: 0982.203.270</t>
        </is>
      </c>
      <c r="D772" s="397" t="inlineStr">
        <is>
          <t>0982.203.270</t>
        </is>
      </c>
      <c r="E772" s="399" t="n"/>
      <c r="F772" s="398" t="inlineStr">
        <is>
          <t>Cam Ranh, Khánh Hòa</t>
        </is>
      </c>
      <c r="G772" s="397" t="inlineStr">
        <is>
          <t>NTRANG</t>
        </is>
      </c>
      <c r="H772" s="399" t="n"/>
      <c r="J772" s="392">
        <f>IFERROR(UPPER(TRIM(B772))&amp;"|"&amp;UPPER(TRIM(C772))&amp;"|"&amp;UPPER(TRIM(D772)),"")</f>
        <v/>
      </c>
    </row>
    <row r="773" ht="15.75" customHeight="1" s="217">
      <c r="A773" s="400" t="n">
        <v>771</v>
      </c>
      <c r="B773" s="400" t="inlineStr">
        <is>
          <t>KH2977</t>
        </is>
      </c>
      <c r="C773" s="401" t="inlineStr">
        <is>
          <t>Xưởng anh Hiền- Lâm Đồng/ 0971.403.722</t>
        </is>
      </c>
      <c r="D773" s="400" t="inlineStr">
        <is>
          <t>0971.403.722</t>
        </is>
      </c>
      <c r="E773" s="402" t="n"/>
      <c r="F773" s="401" t="inlineStr">
        <is>
          <t>Di Linh- Lâm Đồng</t>
        </is>
      </c>
      <c r="G773" s="400" t="inlineStr">
        <is>
          <t>LDONG</t>
        </is>
      </c>
      <c r="H773" s="402" t="n"/>
      <c r="J773" s="392">
        <f>IFERROR(UPPER(TRIM(B773))&amp;"|"&amp;UPPER(TRIM(C773))&amp;"|"&amp;UPPER(TRIM(D773)),"")</f>
        <v/>
      </c>
    </row>
    <row r="774" ht="15.75" customHeight="1" s="217">
      <c r="A774" s="397" t="n">
        <v>772</v>
      </c>
      <c r="B774" s="397" t="inlineStr">
        <is>
          <t>KH2975</t>
        </is>
      </c>
      <c r="C774" s="398" t="inlineStr">
        <is>
          <t>Bãi máy Thiên Phú - Bình Dương/ A Phú: 0961.816.861</t>
        </is>
      </c>
      <c r="D774" s="397" t="inlineStr">
        <is>
          <t>0961.816.861</t>
        </is>
      </c>
      <c r="E774" s="399" t="n"/>
      <c r="F774" s="398" t="inlineStr">
        <is>
          <t>33/7 Xa Lộ Hà Nội, Ngã 3 Tân Vạn</t>
        </is>
      </c>
      <c r="G774" s="397" t="inlineStr">
        <is>
          <t>BDUONG</t>
        </is>
      </c>
      <c r="H774" s="399" t="n"/>
      <c r="J774" s="392">
        <f>IFERROR(UPPER(TRIM(B774))&amp;"|"&amp;UPPER(TRIM(C774))&amp;"|"&amp;UPPER(TRIM(D774)),"")</f>
        <v/>
      </c>
    </row>
    <row r="775" ht="15.75" customHeight="1" s="217">
      <c r="A775" s="400" t="n">
        <v>773</v>
      </c>
      <c r="B775" s="400" t="inlineStr">
        <is>
          <t>KH2976</t>
        </is>
      </c>
      <c r="C775" s="401" t="inlineStr">
        <is>
          <t>A Quang - chuyên máy phát điện/ Sài Gòn / 0911.756.969</t>
        </is>
      </c>
      <c r="D775" s="400" t="inlineStr">
        <is>
          <t>0911.756.969</t>
        </is>
      </c>
      <c r="E775" s="402" t="n"/>
      <c r="F775" s="401" t="inlineStr">
        <is>
          <t>Quận 12, Sài Gòn</t>
        </is>
      </c>
      <c r="G775" s="400" t="inlineStr">
        <is>
          <t>SG/HCM</t>
        </is>
      </c>
      <c r="H775" s="402" t="n"/>
      <c r="J775" s="392">
        <f>IFERROR(UPPER(TRIM(B775))&amp;"|"&amp;UPPER(TRIM(C775))&amp;"|"&amp;UPPER(TRIM(D775)),"")</f>
        <v/>
      </c>
    </row>
    <row r="776" ht="15.75" customHeight="1" s="217">
      <c r="A776" s="397" t="n">
        <v>774</v>
      </c>
      <c r="B776" s="397" t="inlineStr">
        <is>
          <t>KH2972</t>
        </is>
      </c>
      <c r="C776" s="398" t="inlineStr">
        <is>
          <t>Xưởng Trung Huỳnh- Bình Dương/ 0946.863.646</t>
        </is>
      </c>
      <c r="D776" s="397" t="inlineStr">
        <is>
          <t>0946.863.646</t>
        </is>
      </c>
      <c r="E776" s="399" t="n"/>
      <c r="F776" s="398" t="inlineStr">
        <is>
          <t>Cầu Phú Long, Bình Dương</t>
        </is>
      </c>
      <c r="G776" s="397" t="inlineStr">
        <is>
          <t>BDUONG</t>
        </is>
      </c>
      <c r="H776" s="399" t="n"/>
      <c r="J776" s="392">
        <f>IFERROR(UPPER(TRIM(B776))&amp;"|"&amp;UPPER(TRIM(C776))&amp;"|"&amp;UPPER(TRIM(D776)),"")</f>
        <v/>
      </c>
    </row>
    <row r="777" ht="15.75" customHeight="1" s="217">
      <c r="A777" s="400" t="n">
        <v>775</v>
      </c>
      <c r="B777" s="400" t="inlineStr">
        <is>
          <t>KH2973</t>
        </is>
      </c>
      <c r="C777" s="401" t="inlineStr">
        <is>
          <t>Công ty Trung Viễn- SG/ A Huấn: 0966.472.318</t>
        </is>
      </c>
      <c r="D777" s="400" t="inlineStr">
        <is>
          <t>0966.472.318</t>
        </is>
      </c>
      <c r="E777" s="402" t="n"/>
      <c r="F777" s="401" t="inlineStr">
        <is>
          <t>446 Võ Văn Kiệt, P. Cô Giang, Quận 1, TP. HCM</t>
        </is>
      </c>
      <c r="G777" s="400" t="inlineStr">
        <is>
          <t>SG/HCM</t>
        </is>
      </c>
      <c r="H777" s="402" t="n"/>
      <c r="J777" s="392">
        <f>IFERROR(UPPER(TRIM(B777))&amp;"|"&amp;UPPER(TRIM(C777))&amp;"|"&amp;UPPER(TRIM(D777)),"")</f>
        <v/>
      </c>
    </row>
    <row r="778" ht="15.75" customHeight="1" s="217">
      <c r="A778" s="397" t="n">
        <v>776</v>
      </c>
      <c r="B778" s="397" t="inlineStr">
        <is>
          <t>KH2974</t>
        </is>
      </c>
      <c r="C778" s="398" t="inlineStr">
        <is>
          <t>Thợ máy anh Hà- Gia Lai/ 0966.273.679</t>
        </is>
      </c>
      <c r="D778" s="397" t="inlineStr">
        <is>
          <t>0966.273.679</t>
        </is>
      </c>
      <c r="E778" s="399" t="n"/>
      <c r="F778" s="398" t="inlineStr">
        <is>
          <t>TP Pleiku, Gia Lai</t>
        </is>
      </c>
      <c r="G778" s="397" t="inlineStr">
        <is>
          <t>GLAI</t>
        </is>
      </c>
      <c r="H778" s="399" t="n"/>
      <c r="J778" s="392">
        <f>IFERROR(UPPER(TRIM(B778))&amp;"|"&amp;UPPER(TRIM(C778))&amp;"|"&amp;UPPER(TRIM(D778)),"")</f>
        <v/>
      </c>
    </row>
    <row r="779" ht="15.75" customHeight="1" s="217">
      <c r="A779" s="400" t="n">
        <v>777</v>
      </c>
      <c r="B779" s="400" t="inlineStr">
        <is>
          <t>KH2970</t>
        </is>
      </c>
      <c r="C779" s="401" t="inlineStr">
        <is>
          <t>Công ty An Phú Đông - Quận 12/ A Long 0979.173.311</t>
        </is>
      </c>
      <c r="D779" s="400" t="inlineStr">
        <is>
          <t>0979.173.311</t>
        </is>
      </c>
      <c r="E779" s="402" t="n"/>
      <c r="F779" s="401" t="inlineStr">
        <is>
          <t>An Phú Đông, Quận 12, TPHCM</t>
        </is>
      </c>
      <c r="G779" s="400" t="inlineStr">
        <is>
          <t>SG/HCM</t>
        </is>
      </c>
      <c r="H779" s="402" t="n"/>
      <c r="J779" s="392">
        <f>IFERROR(UPPER(TRIM(B779))&amp;"|"&amp;UPPER(TRIM(C779))&amp;"|"&amp;UPPER(TRIM(D779)),"")</f>
        <v/>
      </c>
    </row>
    <row r="780" ht="15.75" customHeight="1" s="217">
      <c r="A780" s="397" t="n">
        <v>778</v>
      </c>
      <c r="B780" s="397" t="inlineStr">
        <is>
          <t>KH2971</t>
        </is>
      </c>
      <c r="C780" s="398" t="inlineStr">
        <is>
          <t>Công ty 135 - Ninh Bình/ anh Hùng: 0972.676.747</t>
        </is>
      </c>
      <c r="D780" s="397" t="inlineStr">
        <is>
          <t>0972.676.747</t>
        </is>
      </c>
      <c r="E780" s="399" t="n"/>
      <c r="F780" s="398" t="inlineStr">
        <is>
          <t>Ninh Bình</t>
        </is>
      </c>
      <c r="G780" s="397" t="inlineStr">
        <is>
          <t>NTHUAN</t>
        </is>
      </c>
      <c r="H780" s="399" t="n"/>
      <c r="J780" s="392">
        <f>IFERROR(UPPER(TRIM(B780))&amp;"|"&amp;UPPER(TRIM(C780))&amp;"|"&amp;UPPER(TRIM(D780)),"")</f>
        <v/>
      </c>
    </row>
    <row r="781" ht="15.75" customHeight="1" s="217">
      <c r="A781" s="400" t="n">
        <v>779</v>
      </c>
      <c r="B781" s="400" t="inlineStr">
        <is>
          <t>KH2969</t>
        </is>
      </c>
      <c r="C781" s="401" t="inlineStr">
        <is>
          <t>TURBO - ANH HÒA - BÌNH DƯƠNG / 0966.957.210</t>
        </is>
      </c>
      <c r="D781" s="400" t="inlineStr">
        <is>
          <t>0966.957.210</t>
        </is>
      </c>
      <c r="E781" s="402" t="n"/>
      <c r="F781" s="401" t="inlineStr">
        <is>
          <t>Khu phố Tân Lập, P. Đông Hoà, TP. Dĩ An, BD</t>
        </is>
      </c>
      <c r="G781" s="400" t="inlineStr">
        <is>
          <t>BDUONG</t>
        </is>
      </c>
      <c r="H781" s="402" t="n"/>
      <c r="J781" s="392">
        <f>IFERROR(UPPER(TRIM(B781))&amp;"|"&amp;UPPER(TRIM(C781))&amp;"|"&amp;UPPER(TRIM(D781)),"")</f>
        <v/>
      </c>
    </row>
    <row r="782" ht="15.75" customHeight="1" s="217">
      <c r="A782" s="397" t="n">
        <v>780</v>
      </c>
      <c r="B782" s="397" t="inlineStr">
        <is>
          <t>KH2968</t>
        </is>
      </c>
      <c r="C782" s="398" t="inlineStr">
        <is>
          <t>Công ty TNHH Phan Thanh- Tân Uyên/ Cô Thanh: 0913.496.399</t>
        </is>
      </c>
      <c r="D782" s="397" t="inlineStr">
        <is>
          <t>0913.496.399</t>
        </is>
      </c>
      <c r="E782" s="399" t="n"/>
      <c r="F782" s="398" t="inlineStr">
        <is>
          <t>Ấp 2, Xã Thường Tân, Huyện Bắc Tân Uyên, Tỉnh Bình Dương</t>
        </is>
      </c>
      <c r="G782" s="397" t="inlineStr">
        <is>
          <t>BDUONG</t>
        </is>
      </c>
      <c r="H782" s="399" t="n"/>
      <c r="J782" s="392">
        <f>IFERROR(UPPER(TRIM(B782))&amp;"|"&amp;UPPER(TRIM(C782))&amp;"|"&amp;UPPER(TRIM(D782)),"")</f>
        <v/>
      </c>
    </row>
    <row r="783" ht="15.75" customHeight="1" s="217">
      <c r="A783" s="400" t="n">
        <v>781</v>
      </c>
      <c r="B783" s="400" t="inlineStr">
        <is>
          <t>KH2967</t>
        </is>
      </c>
      <c r="C783" s="401" t="inlineStr">
        <is>
          <t>Công ty TNHH Hoài Nam Anh - a Vinh: 0937.850.888</t>
        </is>
      </c>
      <c r="D783" s="400" t="inlineStr">
        <is>
          <t>0937.850.888</t>
        </is>
      </c>
      <c r="E783" s="402" t="n"/>
      <c r="F783" s="401" t="inlineStr">
        <is>
          <t>65 Xa Lộ Hà Nội, KP. Tân Lập, P. Đông Hoà, Dĩ An, Bình Dương</t>
        </is>
      </c>
      <c r="G783" s="400" t="inlineStr">
        <is>
          <t>BDUONG</t>
        </is>
      </c>
      <c r="H783" s="402" t="n"/>
      <c r="J783" s="392">
        <f>IFERROR(UPPER(TRIM(B783))&amp;"|"&amp;UPPER(TRIM(C783))&amp;"|"&amp;UPPER(TRIM(D783)),"")</f>
        <v/>
      </c>
    </row>
    <row r="784" ht="15.75" customHeight="1" s="217">
      <c r="A784" s="397" t="n">
        <v>782</v>
      </c>
      <c r="B784" s="397" t="inlineStr">
        <is>
          <t>KH2966</t>
        </is>
      </c>
      <c r="C784" s="398" t="inlineStr">
        <is>
          <t>Cơ Giới An Phú Đông- Vườn Lài Q12, SG/ 0979.173.322</t>
        </is>
      </c>
      <c r="D784" s="397" t="inlineStr">
        <is>
          <t>0979.173.322</t>
        </is>
      </c>
      <c r="E784" s="399" t="n"/>
      <c r="F784" s="398" t="inlineStr">
        <is>
          <t>Vườn Lài, Q12, TP. HCM</t>
        </is>
      </c>
      <c r="G784" s="397" t="inlineStr">
        <is>
          <t>SG/HCM</t>
        </is>
      </c>
      <c r="H784" s="399" t="n"/>
      <c r="J784" s="392">
        <f>IFERROR(UPPER(TRIM(B784))&amp;"|"&amp;UPPER(TRIM(C784))&amp;"|"&amp;UPPER(TRIM(D784)),"")</f>
        <v/>
      </c>
    </row>
    <row r="785" ht="15.75" customHeight="1" s="217">
      <c r="A785" s="400" t="n">
        <v>783</v>
      </c>
      <c r="B785" s="400" t="inlineStr">
        <is>
          <t>KH2965</t>
        </is>
      </c>
      <c r="C785" s="401" t="inlineStr">
        <is>
          <t>Xưởng A Du - Bến Lức - 0336.515.404</t>
        </is>
      </c>
      <c r="D785" s="400" t="inlineStr">
        <is>
          <t>0336.515.404</t>
        </is>
      </c>
      <c r="E785" s="402" t="n"/>
      <c r="F785" s="401" t="inlineStr">
        <is>
          <t>Bến Lức, Long An</t>
        </is>
      </c>
      <c r="G785" s="400" t="inlineStr">
        <is>
          <t>LA</t>
        </is>
      </c>
      <c r="H785" s="402" t="n"/>
      <c r="J785" s="392">
        <f>IFERROR(UPPER(TRIM(B785))&amp;"|"&amp;UPPER(TRIM(C785))&amp;"|"&amp;UPPER(TRIM(D785)),"")</f>
        <v/>
      </c>
    </row>
    <row r="786" ht="15.75" customHeight="1" s="217">
      <c r="A786" s="397" t="n">
        <v>784</v>
      </c>
      <c r="B786" s="397" t="inlineStr">
        <is>
          <t>KH2964</t>
        </is>
      </c>
      <c r="C786" s="398" t="inlineStr">
        <is>
          <t>Anh Khương - Vĩnh Châu/ 0909.999.977</t>
        </is>
      </c>
      <c r="D786" s="397" t="inlineStr">
        <is>
          <t>0909.999.977</t>
        </is>
      </c>
      <c r="E786" s="399" t="n"/>
      <c r="F786" s="398" t="inlineStr">
        <is>
          <t>Vĩnh Châu - Sóc Trăng</t>
        </is>
      </c>
      <c r="G786" s="397" t="inlineStr">
        <is>
          <t>STRANG</t>
        </is>
      </c>
      <c r="H786" s="399" t="n"/>
      <c r="J786" s="392">
        <f>IFERROR(UPPER(TRIM(B786))&amp;"|"&amp;UPPER(TRIM(C786))&amp;"|"&amp;UPPER(TRIM(D786)),"")</f>
        <v/>
      </c>
    </row>
    <row r="787" ht="15.75" customHeight="1" s="217">
      <c r="A787" s="400" t="n">
        <v>785</v>
      </c>
      <c r="B787" s="400" t="inlineStr">
        <is>
          <t>KH2963</t>
        </is>
      </c>
      <c r="C787" s="401" t="inlineStr">
        <is>
          <t>Công ty TNHH MTV Cơ Giới Phúc Long Ninh Thuận/ 0946.677.997 - 0911.688.979</t>
        </is>
      </c>
      <c r="D787" s="400" t="inlineStr">
        <is>
          <t>0946.677.997 / 0911.688.979</t>
        </is>
      </c>
      <c r="E787" s="402" t="n"/>
      <c r="F787" s="401" t="inlineStr">
        <is>
          <t>Thôn Đá Bắn, Quốc lộ 1A, Xã Hộ Hải, Huyện Ninh Hải, Tỉnh Ninh Thuận</t>
        </is>
      </c>
      <c r="G787" s="400" t="inlineStr">
        <is>
          <t>NTHUAN</t>
        </is>
      </c>
      <c r="H787" s="402" t="n"/>
      <c r="J787" s="392">
        <f>IFERROR(UPPER(TRIM(B787))&amp;"|"&amp;UPPER(TRIM(C787))&amp;"|"&amp;UPPER(TRIM(D787)),"")</f>
        <v/>
      </c>
    </row>
    <row r="788" ht="15.75" customHeight="1" s="217">
      <c r="A788" s="397" t="n">
        <v>786</v>
      </c>
      <c r="B788" s="397" t="inlineStr">
        <is>
          <t>KH2962</t>
        </is>
      </c>
      <c r="C788" s="398" t="inlineStr">
        <is>
          <t>Xưởng anh Cộng- Đồng Xoài/ 0968.040.277</t>
        </is>
      </c>
      <c r="D788" s="397" t="inlineStr">
        <is>
          <t>0968.040.277</t>
        </is>
      </c>
      <c r="E788" s="399" t="n"/>
      <c r="F788" s="398" t="inlineStr">
        <is>
          <t>TX Đồng Xoài, Bình Phước</t>
        </is>
      </c>
      <c r="G788" s="397" t="inlineStr">
        <is>
          <t>BP</t>
        </is>
      </c>
      <c r="H788" s="399" t="n"/>
      <c r="J788" s="392">
        <f>IFERROR(UPPER(TRIM(B788))&amp;"|"&amp;UPPER(TRIM(C788))&amp;"|"&amp;UPPER(TRIM(D788)),"")</f>
        <v/>
      </c>
    </row>
    <row r="789" ht="15.75" customHeight="1" s="217">
      <c r="A789" s="400" t="n">
        <v>787</v>
      </c>
      <c r="B789" s="400" t="inlineStr">
        <is>
          <t>KH2961</t>
        </is>
      </c>
      <c r="C789" s="401" t="inlineStr">
        <is>
          <t>Xưởng Gara anh Hùng- Nhơn Hải- Ninh Thuận/ 0966.363.136</t>
        </is>
      </c>
      <c r="D789" s="400" t="inlineStr">
        <is>
          <t>0966.363.136</t>
        </is>
      </c>
      <c r="E789" s="402" t="n"/>
      <c r="F789" s="401" t="inlineStr">
        <is>
          <t>Ninh Thuận</t>
        </is>
      </c>
      <c r="G789" s="400" t="inlineStr">
        <is>
          <t>NTHUAN</t>
        </is>
      </c>
      <c r="H789" s="400" t="inlineStr">
        <is>
          <t>Gửi xe Quốc Trung -Trần Phú</t>
        </is>
      </c>
      <c r="J789" s="392">
        <f>IFERROR(UPPER(TRIM(B789))&amp;"|"&amp;UPPER(TRIM(C789))&amp;"|"&amp;UPPER(TRIM(D789)),"")</f>
        <v/>
      </c>
    </row>
    <row r="790" ht="15.75" customHeight="1" s="217">
      <c r="A790" s="397" t="n">
        <v>788</v>
      </c>
      <c r="B790" s="397" t="inlineStr">
        <is>
          <t>DONGCHANG</t>
        </is>
      </c>
      <c r="C790" s="398" t="inlineStr">
        <is>
          <t>WENZHOU DONGCHANG AUTO PARTS CO.,LTD (sx bơm nhớt, oil pump)/ WENZHOU FINEPOWER MACHINERY CORP</t>
        </is>
      </c>
      <c r="D790" s="399" t="n"/>
      <c r="E790" s="399" t="n"/>
      <c r="F790" s="398" t="inlineStr">
        <is>
          <t>NO.131 LONGQIAN COUNTY NANBIN STREET RUIAN ZHEJIANG CHINA</t>
        </is>
      </c>
      <c r="G790" s="399" t="n"/>
      <c r="H790" s="399" t="n"/>
      <c r="J790" s="392">
        <f>IFERROR(UPPER(TRIM(B790))&amp;"|"&amp;UPPER(TRIM(C790))&amp;"|"&amp;UPPER(TRIM(D790)),"")</f>
        <v/>
      </c>
    </row>
    <row r="791" ht="15.75" customHeight="1" s="217">
      <c r="A791" s="400" t="n">
        <v>789</v>
      </c>
      <c r="B791" s="400" t="inlineStr">
        <is>
          <t>KH2958</t>
        </is>
      </c>
      <c r="C791" s="401" t="inlineStr">
        <is>
          <t>Cửa hàng Quang Trị- Lộc Hưng/ a Trí: 0912.387.534</t>
        </is>
      </c>
      <c r="D791" s="400" t="inlineStr">
        <is>
          <t>0912.387.534</t>
        </is>
      </c>
      <c r="E791" s="402" t="n"/>
      <c r="F791" s="401" t="inlineStr">
        <is>
          <t>Lộc Tân, Lộc Hưng, Trảng Bàng, Tây Ninh</t>
        </is>
      </c>
      <c r="G791" s="400" t="inlineStr">
        <is>
          <t>TNINH</t>
        </is>
      </c>
      <c r="H791" s="402" t="n"/>
      <c r="J791" s="392">
        <f>IFERROR(UPPER(TRIM(B791))&amp;"|"&amp;UPPER(TRIM(C791))&amp;"|"&amp;UPPER(TRIM(D791)),"")</f>
        <v/>
      </c>
    </row>
    <row r="792" ht="15.75" customHeight="1" s="217">
      <c r="A792" s="397" t="n">
        <v>790</v>
      </c>
      <c r="B792" s="397" t="inlineStr">
        <is>
          <t>KH2959</t>
        </is>
      </c>
      <c r="C792" s="398" t="inlineStr">
        <is>
          <t>Xưởng Thành Vinh - Kontum/ 0387.404.806</t>
        </is>
      </c>
      <c r="D792" s="397" t="inlineStr">
        <is>
          <t>0387.404.806</t>
        </is>
      </c>
      <c r="E792" s="399" t="n"/>
      <c r="F792" s="398" t="inlineStr">
        <is>
          <t>TP Kontum, Tỉnh Kontum</t>
        </is>
      </c>
      <c r="G792" s="397" t="inlineStr">
        <is>
          <t>KTUM</t>
        </is>
      </c>
      <c r="H792" s="399" t="n"/>
      <c r="J792" s="392">
        <f>IFERROR(UPPER(TRIM(B792))&amp;"|"&amp;UPPER(TRIM(C792))&amp;"|"&amp;UPPER(TRIM(D792)),"")</f>
        <v/>
      </c>
    </row>
    <row r="793" ht="15.75" customHeight="1" s="217">
      <c r="A793" s="400" t="n">
        <v>791</v>
      </c>
      <c r="B793" s="400" t="inlineStr">
        <is>
          <t>KH2960</t>
        </is>
      </c>
      <c r="C793" s="401" t="inlineStr">
        <is>
          <t>Công ty Côn Đảo Xanh - 0988.345.222</t>
        </is>
      </c>
      <c r="D793" s="400" t="inlineStr">
        <is>
          <t>0988.345.222</t>
        </is>
      </c>
      <c r="E793" s="402" t="n"/>
      <c r="F793" s="401" t="inlineStr">
        <is>
          <t>Côn Đảo</t>
        </is>
      </c>
      <c r="G793" s="400" t="inlineStr">
        <is>
          <t>ANGIANG</t>
        </is>
      </c>
      <c r="H793" s="402" t="n"/>
      <c r="J793" s="392">
        <f>IFERROR(UPPER(TRIM(B793))&amp;"|"&amp;UPPER(TRIM(C793))&amp;"|"&amp;UPPER(TRIM(D793)),"")</f>
        <v/>
      </c>
    </row>
    <row r="794" ht="15.75" customHeight="1" s="217">
      <c r="A794" s="397" t="n">
        <v>792</v>
      </c>
      <c r="B794" s="397" t="inlineStr">
        <is>
          <t>KH2957</t>
        </is>
      </c>
      <c r="C794" s="398" t="inlineStr">
        <is>
          <t>Xưởng Minh Đạt- Bình Thuận/0979.084.552</t>
        </is>
      </c>
      <c r="D794" s="397" t="inlineStr">
        <is>
          <t>0979.084.552</t>
        </is>
      </c>
      <c r="E794" s="399" t="n"/>
      <c r="F794" s="398" t="inlineStr">
        <is>
          <t>QL1A Dân Bình, Bình Thuận</t>
        </is>
      </c>
      <c r="G794" s="397" t="inlineStr">
        <is>
          <t>BTHUAN</t>
        </is>
      </c>
      <c r="H794" s="399" t="n"/>
      <c r="J794" s="392">
        <f>IFERROR(UPPER(TRIM(B794))&amp;"|"&amp;UPPER(TRIM(C794))&amp;"|"&amp;UPPER(TRIM(D794)),"")</f>
        <v/>
      </c>
    </row>
    <row r="795" ht="15.75" customHeight="1" s="217">
      <c r="A795" s="400" t="n">
        <v>793</v>
      </c>
      <c r="B795" s="400" t="inlineStr">
        <is>
          <t>KH2954</t>
        </is>
      </c>
      <c r="C795" s="401" t="inlineStr">
        <is>
          <t>Xưởng anh Tốt- Bình Tân/ 0918.643.478</t>
        </is>
      </c>
      <c r="D795" s="400" t="inlineStr">
        <is>
          <t>0918.643.478</t>
        </is>
      </c>
      <c r="E795" s="402" t="n"/>
      <c r="F795" s="401" t="inlineStr">
        <is>
          <t>355/1/6 Mã Lò, Bình Tân, TPHCM</t>
        </is>
      </c>
      <c r="G795" s="400" t="inlineStr">
        <is>
          <t>SG/HCM</t>
        </is>
      </c>
      <c r="H795" s="402" t="n"/>
      <c r="J795" s="392">
        <f>IFERROR(UPPER(TRIM(B795))&amp;"|"&amp;UPPER(TRIM(C795))&amp;"|"&amp;UPPER(TRIM(D795)),"")</f>
        <v/>
      </c>
    </row>
    <row r="796" ht="15.75" customHeight="1" s="217">
      <c r="A796" s="397" t="n">
        <v>794</v>
      </c>
      <c r="B796" s="397" t="inlineStr">
        <is>
          <t>KH2955</t>
        </is>
      </c>
      <c r="C796" s="398" t="inlineStr">
        <is>
          <t>Xưởng anh Tuấn- Đồng Xoài, Bình Phước/ 0918.911.426</t>
        </is>
      </c>
      <c r="D796" s="397" t="inlineStr">
        <is>
          <t>0918.911.426</t>
        </is>
      </c>
      <c r="E796" s="399" t="n"/>
      <c r="F796" s="398" t="inlineStr">
        <is>
          <t>Đồng Xoài, Bình Phước</t>
        </is>
      </c>
      <c r="G796" s="397" t="inlineStr">
        <is>
          <t>BDINH</t>
        </is>
      </c>
      <c r="H796" s="399" t="n"/>
      <c r="J796" s="392">
        <f>IFERROR(UPPER(TRIM(B796))&amp;"|"&amp;UPPER(TRIM(C796))&amp;"|"&amp;UPPER(TRIM(D796)),"")</f>
        <v/>
      </c>
    </row>
    <row r="797" ht="15.75" customHeight="1" s="217">
      <c r="A797" s="400" t="n">
        <v>795</v>
      </c>
      <c r="B797" s="400" t="inlineStr">
        <is>
          <t>KH2956</t>
        </is>
      </c>
      <c r="C797" s="401" t="inlineStr">
        <is>
          <t>Xưởng Xuân Kiên- Đức Trọng/ 0986.649.682</t>
        </is>
      </c>
      <c r="D797" s="400" t="inlineStr">
        <is>
          <t>0986.649.682</t>
        </is>
      </c>
      <c r="E797" s="402" t="n"/>
      <c r="F797" s="401" t="inlineStr">
        <is>
          <t>Phú Thạnh, Đức Trọng, Lâm Đồng</t>
        </is>
      </c>
      <c r="G797" s="400" t="inlineStr">
        <is>
          <t>LDONG</t>
        </is>
      </c>
      <c r="H797" s="402" t="n"/>
      <c r="J797" s="392">
        <f>IFERROR(UPPER(TRIM(B797))&amp;"|"&amp;UPPER(TRIM(C797))&amp;"|"&amp;UPPER(TRIM(D797)),"")</f>
        <v/>
      </c>
    </row>
    <row r="798" ht="15.75" customHeight="1" s="217">
      <c r="A798" s="397" t="n">
        <v>796</v>
      </c>
      <c r="B798" s="397" t="inlineStr">
        <is>
          <t>KH2953</t>
        </is>
      </c>
      <c r="C798" s="398" t="inlineStr">
        <is>
          <t>Cửa hàng Lê Huy - Đồng Tháp/ Anh Huy: 0913.937.826</t>
        </is>
      </c>
      <c r="D798" s="397" t="inlineStr">
        <is>
          <t>0913.937.826</t>
        </is>
      </c>
      <c r="E798" s="399" t="n"/>
      <c r="F798" s="398" t="inlineStr">
        <is>
          <t>557 Nguyễn Thị Minh Khai, TT. Mỹ An, H. Tháp Mười, T. Đồng Tháp</t>
        </is>
      </c>
      <c r="G798" s="397" t="inlineStr">
        <is>
          <t>DTHAP</t>
        </is>
      </c>
      <c r="H798" s="399" t="n"/>
      <c r="J798" s="392">
        <f>IFERROR(UPPER(TRIM(B798))&amp;"|"&amp;UPPER(TRIM(C798))&amp;"|"&amp;UPPER(TRIM(D798)),"")</f>
        <v/>
      </c>
    </row>
    <row r="799" ht="15.75" customHeight="1" s="217">
      <c r="A799" s="400" t="n">
        <v>797</v>
      </c>
      <c r="B799" s="400" t="inlineStr">
        <is>
          <t>KH2951</t>
        </is>
      </c>
      <c r="C799" s="401" t="inlineStr">
        <is>
          <t>Công ty Phúc Lộc- Hà Nội/ anh Ánh 0968.648.333</t>
        </is>
      </c>
      <c r="D799" s="400" t="inlineStr">
        <is>
          <t>0968.648.333</t>
        </is>
      </c>
      <c r="E799" s="402" t="n"/>
      <c r="F799" s="401" t="inlineStr">
        <is>
          <t>Hà Nội</t>
        </is>
      </c>
      <c r="G799" s="400" t="inlineStr">
        <is>
          <t>HN</t>
        </is>
      </c>
      <c r="H799" s="402" t="n"/>
      <c r="J799" s="392">
        <f>IFERROR(UPPER(TRIM(B799))&amp;"|"&amp;UPPER(TRIM(C799))&amp;"|"&amp;UPPER(TRIM(D799)),"")</f>
        <v/>
      </c>
    </row>
    <row r="800" ht="15.75" customHeight="1" s="217">
      <c r="A800" s="397" t="n">
        <v>798</v>
      </c>
      <c r="B800" s="397" t="inlineStr">
        <is>
          <t>KH2952</t>
        </is>
      </c>
      <c r="C800" s="398" t="inlineStr">
        <is>
          <t>Xưởng Ngọc Xuân Mai- Vòng xoay cổng 11 Biên Hòa 0947.134.212</t>
        </is>
      </c>
      <c r="D800" s="397" t="inlineStr">
        <is>
          <t>0947.134.212</t>
        </is>
      </c>
      <c r="E800" s="399" t="n"/>
      <c r="F800" s="398" t="inlineStr">
        <is>
          <t>Biên Hòa - Đồng Nai</t>
        </is>
      </c>
      <c r="G800" s="397" t="inlineStr">
        <is>
          <t>ÐNAI</t>
        </is>
      </c>
      <c r="H800" s="399" t="n"/>
      <c r="J800" s="392">
        <f>IFERROR(UPPER(TRIM(B800))&amp;"|"&amp;UPPER(TRIM(C800))&amp;"|"&amp;UPPER(TRIM(D800)),"")</f>
        <v/>
      </c>
    </row>
    <row r="801" ht="15.75" customHeight="1" s="217">
      <c r="A801" s="400" t="n">
        <v>799</v>
      </c>
      <c r="B801" s="400" t="inlineStr">
        <is>
          <t>KH2950</t>
        </is>
      </c>
      <c r="C801" s="401" t="inlineStr">
        <is>
          <t>Anh Thái (chủ máy) - Nha Trang/ 0944.788.933</t>
        </is>
      </c>
      <c r="D801" s="400" t="inlineStr">
        <is>
          <t>0944.788.933</t>
        </is>
      </c>
      <c r="E801" s="402" t="n"/>
      <c r="F801" s="401" t="inlineStr">
        <is>
          <t>Nha Trang - Khánh Hòa</t>
        </is>
      </c>
      <c r="G801" s="400" t="inlineStr">
        <is>
          <t>NTRANG</t>
        </is>
      </c>
      <c r="H801" s="402" t="n"/>
      <c r="J801" s="392">
        <f>IFERROR(UPPER(TRIM(B801))&amp;"|"&amp;UPPER(TRIM(C801))&amp;"|"&amp;UPPER(TRIM(D801)),"")</f>
        <v/>
      </c>
    </row>
    <row r="802" ht="15.75" customHeight="1" s="217">
      <c r="A802" s="397" t="n">
        <v>800</v>
      </c>
      <c r="B802" s="397" t="inlineStr">
        <is>
          <t>JUE</t>
        </is>
      </c>
      <c r="C802" s="398" t="inlineStr">
        <is>
          <t>GUANGZHOU JUESHAN ENGINEERY MACHINERY EQUIPMENT CO., LTD (phụ tùng cơ giới các loại)</t>
        </is>
      </c>
      <c r="D802" s="399" t="n"/>
      <c r="E802" s="399" t="n"/>
      <c r="F802" s="398" t="inlineStr">
        <is>
          <t>GUANGZHOU</t>
        </is>
      </c>
      <c r="G802" s="399" t="n"/>
      <c r="H802" s="399" t="n"/>
      <c r="J802" s="392">
        <f>IFERROR(UPPER(TRIM(B802))&amp;"|"&amp;UPPER(TRIM(C802))&amp;"|"&amp;UPPER(TRIM(D802)),"")</f>
        <v/>
      </c>
    </row>
    <row r="803" ht="15.75" customHeight="1" s="217">
      <c r="A803" s="400" t="n">
        <v>801</v>
      </c>
      <c r="B803" s="400" t="inlineStr">
        <is>
          <t>KH2949</t>
        </is>
      </c>
      <c r="C803" s="401" t="inlineStr">
        <is>
          <t>Cửa Hàng Đình Chỉnh- Phụ Tùng HQ - Hà Nội/ 0983.801.221</t>
        </is>
      </c>
      <c r="D803" s="400" t="inlineStr">
        <is>
          <t>0983.801.221</t>
        </is>
      </c>
      <c r="E803" s="402" t="n"/>
      <c r="F803" s="401" t="inlineStr">
        <is>
          <t>30/5 Nguyễn Công Trứ, Hai Bà Trưng, Hà Nội</t>
        </is>
      </c>
      <c r="G803" s="400" t="inlineStr">
        <is>
          <t>HN</t>
        </is>
      </c>
      <c r="H803" s="402" t="n"/>
      <c r="J803" s="392">
        <f>IFERROR(UPPER(TRIM(B803))&amp;"|"&amp;UPPER(TRIM(C803))&amp;"|"&amp;UPPER(TRIM(D803)),"")</f>
        <v/>
      </c>
    </row>
    <row r="804" ht="15.75" customHeight="1" s="217">
      <c r="A804" s="397" t="n">
        <v>802</v>
      </c>
      <c r="B804" s="397" t="inlineStr">
        <is>
          <t>KH2947</t>
        </is>
      </c>
      <c r="C804" s="398" t="inlineStr">
        <is>
          <t>Cửa hàng Huỳnh Phố - Cà Mau/ 0943.034.634</t>
        </is>
      </c>
      <c r="D804" s="397" t="inlineStr">
        <is>
          <t>0943.034.634</t>
        </is>
      </c>
      <c r="E804" s="399" t="n"/>
      <c r="F804" s="398" t="inlineStr">
        <is>
          <t>Dầm Dơi, TP Cà Mau</t>
        </is>
      </c>
      <c r="G804" s="397" t="inlineStr">
        <is>
          <t>CMAU</t>
        </is>
      </c>
      <c r="H804" s="399" t="n"/>
      <c r="J804" s="392">
        <f>IFERROR(UPPER(TRIM(B804))&amp;"|"&amp;UPPER(TRIM(C804))&amp;"|"&amp;UPPER(TRIM(D804)),"")</f>
        <v/>
      </c>
    </row>
    <row r="805" ht="15.75" customHeight="1" s="217">
      <c r="A805" s="400" t="n">
        <v>803</v>
      </c>
      <c r="B805" s="400" t="inlineStr">
        <is>
          <t>KH2948</t>
        </is>
      </c>
      <c r="C805" s="401" t="inlineStr">
        <is>
          <t>Cửa hàng Anh Đà- Lâm Đồng/ 0963.470.070</t>
        </is>
      </c>
      <c r="D805" s="400" t="inlineStr">
        <is>
          <t>0963.470.070</t>
        </is>
      </c>
      <c r="E805" s="402" t="n"/>
      <c r="F805" s="401" t="inlineStr">
        <is>
          <t>xã Tân Hà, huyện Lâm Hà, tỉnh Lâm Đồng</t>
        </is>
      </c>
      <c r="G805" s="400" t="inlineStr">
        <is>
          <t>LDONG</t>
        </is>
      </c>
      <c r="H805" s="402" t="n"/>
      <c r="J805" s="392">
        <f>IFERROR(UPPER(TRIM(B805))&amp;"|"&amp;UPPER(TRIM(C805))&amp;"|"&amp;UPPER(TRIM(D805)),"")</f>
        <v/>
      </c>
    </row>
    <row r="806" ht="15.75" customHeight="1" s="217">
      <c r="A806" s="397" t="n">
        <v>804</v>
      </c>
      <c r="B806" s="397" t="inlineStr">
        <is>
          <t>KH2945</t>
        </is>
      </c>
      <c r="C806" s="398" t="inlineStr">
        <is>
          <t>Cửa hàng Thanh Sơn - Quận 11/ 0975.413.966</t>
        </is>
      </c>
      <c r="D806" s="397" t="inlineStr">
        <is>
          <t>0975.413.966</t>
        </is>
      </c>
      <c r="E806" s="399" t="n"/>
      <c r="F806" s="398" t="inlineStr">
        <is>
          <t>Số nhà 1525/27/19, đường 3 tháng 2, P.16, Q.11, TP HCM</t>
        </is>
      </c>
      <c r="G806" s="397" t="inlineStr">
        <is>
          <t>SG/HCM</t>
        </is>
      </c>
      <c r="H806" s="399" t="n"/>
      <c r="J806" s="392">
        <f>IFERROR(UPPER(TRIM(B806))&amp;"|"&amp;UPPER(TRIM(C806))&amp;"|"&amp;UPPER(TRIM(D806)),"")</f>
        <v/>
      </c>
    </row>
    <row r="807" ht="15.75" customHeight="1" s="217">
      <c r="A807" s="400" t="n">
        <v>805</v>
      </c>
      <c r="B807" s="400" t="inlineStr">
        <is>
          <t>KH2946</t>
        </is>
      </c>
      <c r="C807" s="401" t="inlineStr">
        <is>
          <t>Anh Tuệ- Đồng Nai (Sân bay Long Thành)-0918.191.050</t>
        </is>
      </c>
      <c r="D807" s="400" t="inlineStr">
        <is>
          <t>0918.191.050</t>
        </is>
      </c>
      <c r="E807" s="402" t="n"/>
      <c r="F807" s="401" t="inlineStr">
        <is>
          <t>Đồng Nai</t>
        </is>
      </c>
      <c r="G807" s="400" t="inlineStr">
        <is>
          <t>ÐNAI</t>
        </is>
      </c>
      <c r="H807" s="402" t="n"/>
      <c r="J807" s="392">
        <f>IFERROR(UPPER(TRIM(B807))&amp;"|"&amp;UPPER(TRIM(C807))&amp;"|"&amp;UPPER(TRIM(D807)),"")</f>
        <v/>
      </c>
    </row>
    <row r="808" ht="15.75" customHeight="1" s="217">
      <c r="A808" s="397" t="n">
        <v>806</v>
      </c>
      <c r="B808" s="397" t="inlineStr">
        <is>
          <t>KH2944</t>
        </is>
      </c>
      <c r="C808" s="398" t="inlineStr">
        <is>
          <t>Anh Sang- Đức Hoà- Long An / 0934.144.192</t>
        </is>
      </c>
      <c r="D808" s="397" t="inlineStr">
        <is>
          <t>0934.144.192</t>
        </is>
      </c>
      <c r="E808" s="399" t="n"/>
      <c r="F808" s="398" t="inlineStr">
        <is>
          <t>Đức Hoà - Long An</t>
        </is>
      </c>
      <c r="G808" s="397" t="inlineStr">
        <is>
          <t>LA</t>
        </is>
      </c>
      <c r="H808" s="399" t="n"/>
      <c r="J808" s="392">
        <f>IFERROR(UPPER(TRIM(B808))&amp;"|"&amp;UPPER(TRIM(C808))&amp;"|"&amp;UPPER(TRIM(D808)),"")</f>
        <v/>
      </c>
    </row>
    <row r="809" ht="15.75" customHeight="1" s="217">
      <c r="A809" s="400" t="n">
        <v>807</v>
      </c>
      <c r="B809" s="400" t="inlineStr">
        <is>
          <t>KH2943</t>
        </is>
      </c>
      <c r="C809" s="401" t="inlineStr">
        <is>
          <t>CTY TNHH THIET BI PHU TUNG NGUYỄN HOÀNG - 0977.777.853 (phụ tùng Trung Quốc)</t>
        </is>
      </c>
      <c r="D809" s="400" t="inlineStr">
        <is>
          <t>0977.777.853</t>
        </is>
      </c>
      <c r="E809" s="402" t="n"/>
      <c r="F809" s="401" t="inlineStr">
        <is>
          <t>67A, đường số 21, Hiệp Bình Phước, Thủ Đức</t>
        </is>
      </c>
      <c r="G809" s="400" t="inlineStr">
        <is>
          <t>SG/HCM</t>
        </is>
      </c>
      <c r="H809" s="402" t="n"/>
      <c r="J809" s="392">
        <f>IFERROR(UPPER(TRIM(B809))&amp;"|"&amp;UPPER(TRIM(C809))&amp;"|"&amp;UPPER(TRIM(D809)),"")</f>
        <v/>
      </c>
    </row>
    <row r="810" ht="15.75" customHeight="1" s="217">
      <c r="A810" s="397" t="n">
        <v>808</v>
      </c>
      <c r="B810" s="397" t="inlineStr">
        <is>
          <t>KH2941</t>
        </is>
      </c>
      <c r="C810" s="398" t="inlineStr">
        <is>
          <t>Gara anh Công- Xuân Lộc/ 0985.944.976</t>
        </is>
      </c>
      <c r="D810" s="397" t="inlineStr">
        <is>
          <t>0985.944.976</t>
        </is>
      </c>
      <c r="E810" s="399" t="n"/>
      <c r="F810" s="398" t="inlineStr">
        <is>
          <t>QL1A, Căn cứ 3, Xã Xuân Hưng, Huyện Xuân Lộc, Tỉnh Đồng Nai</t>
        </is>
      </c>
      <c r="G810" s="397" t="inlineStr">
        <is>
          <t>ÐNAI</t>
        </is>
      </c>
      <c r="H810" s="399" t="n"/>
      <c r="J810" s="392">
        <f>IFERROR(UPPER(TRIM(B810))&amp;"|"&amp;UPPER(TRIM(C810))&amp;"|"&amp;UPPER(TRIM(D810)),"")</f>
        <v/>
      </c>
    </row>
    <row r="811" ht="15.75" customHeight="1" s="217">
      <c r="A811" s="400" t="n">
        <v>809</v>
      </c>
      <c r="B811" s="400" t="inlineStr">
        <is>
          <t>KH2942</t>
        </is>
      </c>
      <c r="C811" s="401" t="inlineStr">
        <is>
          <t>Công ty Công Nghệ Sinh Học Sài Gòn- A Toàn/ 0972.529.755</t>
        </is>
      </c>
      <c r="D811" s="400" t="inlineStr">
        <is>
          <t>0972.529.755</t>
        </is>
      </c>
      <c r="E811" s="402" t="n"/>
      <c r="F811" s="401" t="inlineStr">
        <is>
          <t>127 Nguyễn Trọng Tuyển, P 15, Q. Phú Nhuận, TP. HCM</t>
        </is>
      </c>
      <c r="G811" s="400" t="inlineStr">
        <is>
          <t>SG/HCM</t>
        </is>
      </c>
      <c r="H811" s="402" t="n"/>
      <c r="J811" s="392">
        <f>IFERROR(UPPER(TRIM(B811))&amp;"|"&amp;UPPER(TRIM(C811))&amp;"|"&amp;UPPER(TRIM(D811)),"")</f>
        <v/>
      </c>
    </row>
    <row r="812" ht="15.75" customHeight="1" s="217">
      <c r="A812" s="397" t="n">
        <v>810</v>
      </c>
      <c r="B812" s="397" t="inlineStr">
        <is>
          <t>KH2940</t>
        </is>
      </c>
      <c r="C812" s="398" t="inlineStr">
        <is>
          <t>Anh Lâm ( chủ xe)- Q7, SG/ 0937.294.545</t>
        </is>
      </c>
      <c r="D812" s="397" t="inlineStr">
        <is>
          <t>0937.294.545</t>
        </is>
      </c>
      <c r="E812" s="399" t="n"/>
      <c r="F812" s="398" t="inlineStr">
        <is>
          <t>Quận 7, Sài Gòn</t>
        </is>
      </c>
      <c r="G812" s="397" t="inlineStr">
        <is>
          <t>HX</t>
        </is>
      </c>
      <c r="H812" s="399" t="n"/>
      <c r="J812" s="392">
        <f>IFERROR(UPPER(TRIM(B812))&amp;"|"&amp;UPPER(TRIM(C812))&amp;"|"&amp;UPPER(TRIM(D812)),"")</f>
        <v/>
      </c>
    </row>
    <row r="813" ht="15.75" customHeight="1" s="217">
      <c r="A813" s="400" t="n">
        <v>811</v>
      </c>
      <c r="B813" s="400" t="inlineStr">
        <is>
          <t>KH2937</t>
        </is>
      </c>
      <c r="C813" s="401" t="inlineStr">
        <is>
          <t>Xưởng Anh Hòa, Quận 9 - 0939.895.342</t>
        </is>
      </c>
      <c r="D813" s="400" t="inlineStr">
        <is>
          <t>0939.895.342</t>
        </is>
      </c>
      <c r="E813" s="402" t="n"/>
      <c r="F813" s="401" t="inlineStr">
        <is>
          <t>Khu CN Cao, Quận 9</t>
        </is>
      </c>
      <c r="G813" s="400" t="inlineStr">
        <is>
          <t>SG/HCM</t>
        </is>
      </c>
      <c r="H813" s="402" t="n"/>
      <c r="J813" s="392">
        <f>IFERROR(UPPER(TRIM(B813))&amp;"|"&amp;UPPER(TRIM(C813))&amp;"|"&amp;UPPER(TRIM(D813)),"")</f>
        <v/>
      </c>
    </row>
    <row r="814" ht="15.75" customHeight="1" s="217">
      <c r="A814" s="397" t="n">
        <v>812</v>
      </c>
      <c r="B814" s="397" t="inlineStr">
        <is>
          <t>KH2938</t>
        </is>
      </c>
      <c r="C814" s="398" t="inlineStr">
        <is>
          <t>Anh Xuân- Cty Tâm Sinh Nghĩa - Bình Tân/ 0935.195.858</t>
        </is>
      </c>
      <c r="D814" s="397" t="inlineStr">
        <is>
          <t>0935.195.858</t>
        </is>
      </c>
      <c r="E814" s="399" t="n"/>
      <c r="F814" s="398" t="inlineStr">
        <is>
          <t>Bình Tân, TP. HCM</t>
        </is>
      </c>
      <c r="G814" s="397" t="inlineStr">
        <is>
          <t>SG/HCM</t>
        </is>
      </c>
      <c r="H814" s="399" t="n"/>
      <c r="J814" s="392">
        <f>IFERROR(UPPER(TRIM(B814))&amp;"|"&amp;UPPER(TRIM(C814))&amp;"|"&amp;UPPER(TRIM(D814)),"")</f>
        <v/>
      </c>
    </row>
    <row r="815" ht="15.75" customHeight="1" s="217">
      <c r="A815" s="400" t="n">
        <v>813</v>
      </c>
      <c r="B815" s="400" t="inlineStr">
        <is>
          <t>KH2939</t>
        </is>
      </c>
      <c r="C815" s="401" t="inlineStr">
        <is>
          <t>Anh Phúc - Quận 5/ Anh Phúc: 0938.812.850</t>
        </is>
      </c>
      <c r="D815" s="400" t="inlineStr">
        <is>
          <t>0938.812.850</t>
        </is>
      </c>
      <c r="E815" s="402" t="n"/>
      <c r="F815" s="401" t="inlineStr">
        <is>
          <t>758 Võ Văn Kiệt - Phường 1, Quận 5, TP. Hồ Chí Minh</t>
        </is>
      </c>
      <c r="G815" s="400" t="inlineStr">
        <is>
          <t>SG/HCM</t>
        </is>
      </c>
      <c r="H815" s="402" t="n"/>
      <c r="J815" s="392">
        <f>IFERROR(UPPER(TRIM(B815))&amp;"|"&amp;UPPER(TRIM(C815))&amp;"|"&amp;UPPER(TRIM(D815)),"")</f>
        <v/>
      </c>
    </row>
    <row r="816" ht="15.75" customHeight="1" s="217">
      <c r="A816" s="397" t="n">
        <v>814</v>
      </c>
      <c r="B816" s="397" t="inlineStr">
        <is>
          <t>KH2935</t>
        </is>
      </c>
      <c r="C816" s="398" t="inlineStr">
        <is>
          <t>Xưởng Bình Minh- Bảo Lộc/ 0902.475.565</t>
        </is>
      </c>
      <c r="D816" s="397" t="inlineStr">
        <is>
          <t>0902.475.565</t>
        </is>
      </c>
      <c r="E816" s="399" t="n"/>
      <c r="F816" s="398" t="inlineStr">
        <is>
          <t>Bảo Lộc - Lâm Đồng</t>
        </is>
      </c>
      <c r="G816" s="397" t="inlineStr">
        <is>
          <t>LDONG</t>
        </is>
      </c>
      <c r="H816" s="397" t="inlineStr">
        <is>
          <t>gửi công nợ vào mail</t>
        </is>
      </c>
      <c r="J816" s="392">
        <f>IFERROR(UPPER(TRIM(B816))&amp;"|"&amp;UPPER(TRIM(C816))&amp;"|"&amp;UPPER(TRIM(D816)),"")</f>
        <v/>
      </c>
    </row>
    <row r="817" ht="15.75" customHeight="1" s="217">
      <c r="A817" s="400" t="n">
        <v>815</v>
      </c>
      <c r="B817" s="400" t="inlineStr">
        <is>
          <t>KH2936</t>
        </is>
      </c>
      <c r="C817" s="401" t="inlineStr">
        <is>
          <t>Công ty Đông Tiến, Anh Hoàng- Dầu Tiếng/ 0899.894.738</t>
        </is>
      </c>
      <c r="D817" s="400" t="inlineStr">
        <is>
          <t>0899.894.738</t>
        </is>
      </c>
      <c r="E817" s="402" t="n"/>
      <c r="F817" s="401" t="inlineStr">
        <is>
          <t>Dầu Tiếng - Bình Dương</t>
        </is>
      </c>
      <c r="G817" s="400" t="inlineStr">
        <is>
          <t>BDUONG</t>
        </is>
      </c>
      <c r="H817" s="402" t="n"/>
      <c r="J817" s="392">
        <f>IFERROR(UPPER(TRIM(B817))&amp;"|"&amp;UPPER(TRIM(C817))&amp;"|"&amp;UPPER(TRIM(D817)),"")</f>
        <v/>
      </c>
    </row>
    <row r="818" ht="15.75" customHeight="1" s="217">
      <c r="A818" s="397" t="n">
        <v>816</v>
      </c>
      <c r="B818" s="397" t="inlineStr">
        <is>
          <t>KH2934</t>
        </is>
      </c>
      <c r="C818" s="398" t="inlineStr">
        <is>
          <t>Cửa hàng anh Bình- Cần Thơ/ 0939.085.354</t>
        </is>
      </c>
      <c r="D818" s="397" t="inlineStr">
        <is>
          <t>0939.085.354</t>
        </is>
      </c>
      <c r="E818" s="399" t="n"/>
      <c r="F818" s="398" t="inlineStr">
        <is>
          <t>Chợ bán đồ sắt, Cần Thơ</t>
        </is>
      </c>
      <c r="G818" s="397" t="inlineStr">
        <is>
          <t>CTHO</t>
        </is>
      </c>
      <c r="H818" s="399" t="n"/>
      <c r="J818" s="392">
        <f>IFERROR(UPPER(TRIM(B818))&amp;"|"&amp;UPPER(TRIM(C818))&amp;"|"&amp;UPPER(TRIM(D818)),"")</f>
        <v/>
      </c>
    </row>
    <row r="819" ht="15.75" customHeight="1" s="217">
      <c r="A819" s="400" t="n">
        <v>817</v>
      </c>
      <c r="B819" s="400" t="inlineStr">
        <is>
          <t>KH2932</t>
        </is>
      </c>
      <c r="C819" s="401" t="inlineStr">
        <is>
          <t>( Không dùng) Xưởng anh Bảo - Diên Khánh/ 0905.612.255</t>
        </is>
      </c>
      <c r="D819" s="400" t="inlineStr">
        <is>
          <t>0905.612.255</t>
        </is>
      </c>
      <c r="E819" s="402" t="n"/>
      <c r="F819" s="401" t="inlineStr">
        <is>
          <t>QL1A Suối Hiệp, Diên Khánh, Khánh Hòa</t>
        </is>
      </c>
      <c r="G819" s="400" t="inlineStr">
        <is>
          <t>NTRANG</t>
        </is>
      </c>
      <c r="H819" s="402" t="n"/>
      <c r="J819" s="392">
        <f>IFERROR(UPPER(TRIM(B819))&amp;"|"&amp;UPPER(TRIM(C819))&amp;"|"&amp;UPPER(TRIM(D819)),"")</f>
        <v/>
      </c>
    </row>
    <row r="820" ht="15.75" customHeight="1" s="217">
      <c r="A820" s="397" t="n">
        <v>818</v>
      </c>
      <c r="B820" s="397" t="inlineStr">
        <is>
          <t>KH2933</t>
        </is>
      </c>
      <c r="C820" s="398" t="inlineStr">
        <is>
          <t>Xưởng tiện Thống Nhất- Anh Cáo- Cà Mau/ 0918.786.163</t>
        </is>
      </c>
      <c r="D820" s="397" t="inlineStr">
        <is>
          <t>0918.786.163</t>
        </is>
      </c>
      <c r="E820" s="399" t="n"/>
      <c r="F820" s="398" t="inlineStr">
        <is>
          <t>Lý Văn Lâm, Cà Mau</t>
        </is>
      </c>
      <c r="G820" s="397" t="inlineStr">
        <is>
          <t>CMAU</t>
        </is>
      </c>
      <c r="H820" s="397" t="inlineStr">
        <is>
          <t>Gửi chành Tuấn Hưng - 245 Thái Phiên</t>
        </is>
      </c>
      <c r="J820" s="392">
        <f>IFERROR(UPPER(TRIM(B820))&amp;"|"&amp;UPPER(TRIM(C820))&amp;"|"&amp;UPPER(TRIM(D820)),"")</f>
        <v/>
      </c>
    </row>
    <row r="821" ht="15.75" customHeight="1" s="217">
      <c r="A821" s="400" t="n">
        <v>819</v>
      </c>
      <c r="B821" s="400" t="inlineStr">
        <is>
          <t>KH2930</t>
        </is>
      </c>
      <c r="C821" s="401" t="inlineStr">
        <is>
          <t>Anh Chương - Sóc Trăng (thợ máy) /0946.818.883</t>
        </is>
      </c>
      <c r="D821" s="400" t="inlineStr">
        <is>
          <t>0946.818.883</t>
        </is>
      </c>
      <c r="E821" s="402" t="n"/>
      <c r="F821" s="401" t="inlineStr">
        <is>
          <t>TP Sóc Trăng</t>
        </is>
      </c>
      <c r="G821" s="400" t="inlineStr">
        <is>
          <t>STRANG</t>
        </is>
      </c>
      <c r="H821" s="402" t="n"/>
      <c r="J821" s="392">
        <f>IFERROR(UPPER(TRIM(B821))&amp;"|"&amp;UPPER(TRIM(C821))&amp;"|"&amp;UPPER(TRIM(D821)),"")</f>
        <v/>
      </c>
    </row>
    <row r="822" ht="15.75" customHeight="1" s="217">
      <c r="A822" s="397" t="n">
        <v>820</v>
      </c>
      <c r="B822" s="397" t="inlineStr">
        <is>
          <t>KH2931</t>
        </is>
      </c>
      <c r="C822" s="398" t="inlineStr">
        <is>
          <t>Cửa hàng Cơ Giới Số 8, Anh Hiếu/ 0911.141.114</t>
        </is>
      </c>
      <c r="D822" s="397" t="inlineStr">
        <is>
          <t>0911.141.114</t>
        </is>
      </c>
      <c r="E822" s="399" t="n"/>
      <c r="F822" s="398" t="inlineStr">
        <is>
          <t>Ngã 3 Trong, TX Ninh Hòa, Huyện Ninh Hòa, Tỉnh Khánh Hòa</t>
        </is>
      </c>
      <c r="G822" s="397" t="inlineStr">
        <is>
          <t>NTRANG</t>
        </is>
      </c>
      <c r="H822" s="399" t="n"/>
      <c r="J822" s="392">
        <f>IFERROR(UPPER(TRIM(B822))&amp;"|"&amp;UPPER(TRIM(C822))&amp;"|"&amp;UPPER(TRIM(D822)),"")</f>
        <v/>
      </c>
    </row>
    <row r="823" ht="15.75" customHeight="1" s="217">
      <c r="A823" s="400" t="n">
        <v>821</v>
      </c>
      <c r="B823" s="400" t="inlineStr">
        <is>
          <t>KH2928</t>
        </is>
      </c>
      <c r="C823" s="401" t="inlineStr">
        <is>
          <t>Anh Đạt- Gò Vấp/ 0911.551.603</t>
        </is>
      </c>
      <c r="D823" s="400" t="inlineStr">
        <is>
          <t>0911.551.603</t>
        </is>
      </c>
      <c r="E823" s="402" t="n"/>
      <c r="F823" s="401" t="inlineStr">
        <is>
          <t>5/14 Hạnh Thông  Phường 3, Gò Vấp, TP. HCM</t>
        </is>
      </c>
      <c r="G823" s="400" t="inlineStr">
        <is>
          <t>SG/HCM</t>
        </is>
      </c>
      <c r="H823" s="402" t="n"/>
      <c r="J823" s="392">
        <f>IFERROR(UPPER(TRIM(B823))&amp;"|"&amp;UPPER(TRIM(C823))&amp;"|"&amp;UPPER(TRIM(D823)),"")</f>
        <v/>
      </c>
    </row>
    <row r="824" ht="15.75" customHeight="1" s="217">
      <c r="A824" s="397" t="n">
        <v>822</v>
      </c>
      <c r="B824" s="397" t="inlineStr">
        <is>
          <t>KH2929</t>
        </is>
      </c>
      <c r="C824" s="398" t="inlineStr">
        <is>
          <t>Cửa hàng Hàng Gia- Quận 5/ 0913.923.777</t>
        </is>
      </c>
      <c r="D824" s="397" t="inlineStr">
        <is>
          <t>0913.923.777</t>
        </is>
      </c>
      <c r="E824" s="399" t="n"/>
      <c r="F824" s="398" t="inlineStr">
        <is>
          <t>1071 Nguyễn Trãi, Phường 14, Quận 5, Sài Gòn</t>
        </is>
      </c>
      <c r="G824" s="397" t="inlineStr">
        <is>
          <t>SG/HCM</t>
        </is>
      </c>
      <c r="H824" s="399" t="n"/>
      <c r="J824" s="392">
        <f>IFERROR(UPPER(TRIM(B824))&amp;"|"&amp;UPPER(TRIM(C824))&amp;"|"&amp;UPPER(TRIM(D824)),"")</f>
        <v/>
      </c>
    </row>
    <row r="825" ht="15.75" customHeight="1" s="217">
      <c r="A825" s="400" t="n">
        <v>823</v>
      </c>
      <c r="B825" s="400" t="inlineStr">
        <is>
          <t>KH2926</t>
        </is>
      </c>
      <c r="C825" s="401" t="inlineStr">
        <is>
          <t>Bãi Máy Hoàng Phát - SG/ Anh Huy: 0916.322.398</t>
        </is>
      </c>
      <c r="D825" s="400" t="inlineStr">
        <is>
          <t>0916.322.398</t>
        </is>
      </c>
      <c r="E825" s="402" t="n"/>
      <c r="F825" s="401" t="inlineStr">
        <is>
          <t>Gần ĐH Kinh Tế Luật, TPHCM</t>
        </is>
      </c>
      <c r="G825" s="400" t="inlineStr">
        <is>
          <t>SG/HCM</t>
        </is>
      </c>
      <c r="H825" s="402" t="n"/>
      <c r="J825" s="392">
        <f>IFERROR(UPPER(TRIM(B825))&amp;"|"&amp;UPPER(TRIM(C825))&amp;"|"&amp;UPPER(TRIM(D825)),"")</f>
        <v/>
      </c>
    </row>
    <row r="826" ht="15.75" customHeight="1" s="217">
      <c r="A826" s="397" t="n">
        <v>824</v>
      </c>
      <c r="B826" s="397" t="inlineStr">
        <is>
          <t>KH2927</t>
        </is>
      </c>
      <c r="C826" s="398" t="inlineStr">
        <is>
          <t>Xưởng Garage Anh Mỹ- An Phú, BD/ 0973.719.972</t>
        </is>
      </c>
      <c r="D826" s="397" t="inlineStr">
        <is>
          <t>0973.719.972</t>
        </is>
      </c>
      <c r="E826" s="399" t="n"/>
      <c r="F826" s="398" t="inlineStr">
        <is>
          <t>An Phú, Bình Dương</t>
        </is>
      </c>
      <c r="G826" s="397" t="inlineStr">
        <is>
          <t>BDUONG</t>
        </is>
      </c>
      <c r="H826" s="399" t="n"/>
      <c r="J826" s="392">
        <f>IFERROR(UPPER(TRIM(B826))&amp;"|"&amp;UPPER(TRIM(C826))&amp;"|"&amp;UPPER(TRIM(D826)),"")</f>
        <v/>
      </c>
    </row>
    <row r="827" ht="15.75" customHeight="1" s="217">
      <c r="A827" s="400" t="n">
        <v>825</v>
      </c>
      <c r="B827" s="400" t="inlineStr">
        <is>
          <t>KH2924</t>
        </is>
      </c>
      <c r="C827" s="401" t="inlineStr">
        <is>
          <t>Công ty Phương Đông - Anh Lai/ 0963.582.743</t>
        </is>
      </c>
      <c r="D827" s="400" t="inlineStr">
        <is>
          <t>0963.582.743</t>
        </is>
      </c>
      <c r="E827" s="402" t="n"/>
      <c r="F827" s="401" t="inlineStr">
        <is>
          <t>Đồng Nai</t>
        </is>
      </c>
      <c r="G827" s="400" t="inlineStr">
        <is>
          <t>ÐNAI</t>
        </is>
      </c>
      <c r="H827" s="402" t="n"/>
      <c r="J827" s="392">
        <f>IFERROR(UPPER(TRIM(B827))&amp;"|"&amp;UPPER(TRIM(C827))&amp;"|"&amp;UPPER(TRIM(D827)),"")</f>
        <v/>
      </c>
    </row>
    <row r="828" ht="15.75" customHeight="1" s="217">
      <c r="A828" s="397" t="n">
        <v>826</v>
      </c>
      <c r="B828" s="397" t="inlineStr">
        <is>
          <t>KH2925</t>
        </is>
      </c>
      <c r="C828" s="398" t="inlineStr">
        <is>
          <t>Cơ Giới Sài Gòn/ Anh Khanh: 0708.900.010</t>
        </is>
      </c>
      <c r="D828" s="397" t="inlineStr">
        <is>
          <t>0708.900.010</t>
        </is>
      </c>
      <c r="E828" s="399" t="n"/>
      <c r="F828" s="398" t="inlineStr">
        <is>
          <t>Gò Dưa, Thủ Đức</t>
        </is>
      </c>
      <c r="G828" s="397" t="inlineStr">
        <is>
          <t>SG/HCM</t>
        </is>
      </c>
      <c r="H828" s="399" t="n"/>
      <c r="J828" s="392">
        <f>IFERROR(UPPER(TRIM(B828))&amp;"|"&amp;UPPER(TRIM(C828))&amp;"|"&amp;UPPER(TRIM(D828)),"")</f>
        <v/>
      </c>
    </row>
    <row r="829" ht="15.75" customHeight="1" s="217">
      <c r="A829" s="400" t="n">
        <v>827</v>
      </c>
      <c r="B829" s="400" t="inlineStr">
        <is>
          <t>KH2923</t>
        </is>
      </c>
      <c r="C829" s="401" t="inlineStr">
        <is>
          <t>Xưởng tiện anh Bình- BX An Sương, SG/ 0933.319.389</t>
        </is>
      </c>
      <c r="D829" s="400" t="inlineStr">
        <is>
          <t>0933.319.389</t>
        </is>
      </c>
      <c r="E829" s="402" t="n"/>
      <c r="F829" s="401" t="inlineStr">
        <is>
          <t>BX An Sương, SG</t>
        </is>
      </c>
      <c r="G829" s="400" t="inlineStr">
        <is>
          <t>SG/HCM</t>
        </is>
      </c>
      <c r="H829" s="402" t="n"/>
      <c r="J829" s="392">
        <f>IFERROR(UPPER(TRIM(B829))&amp;"|"&amp;UPPER(TRIM(C829))&amp;"|"&amp;UPPER(TRIM(D829)),"")</f>
        <v/>
      </c>
    </row>
    <row r="830" ht="15.75" customHeight="1" s="217">
      <c r="A830" s="397" t="n">
        <v>828</v>
      </c>
      <c r="B830" s="397" t="inlineStr">
        <is>
          <t>KH2922</t>
        </is>
      </c>
      <c r="C830" s="398" t="inlineStr">
        <is>
          <t>Công ty CP Tập Đoàn Thành Huy/ Anh Trí: 0985.653.541</t>
        </is>
      </c>
      <c r="D830" s="397" t="inlineStr">
        <is>
          <t>0985.653.541</t>
        </is>
      </c>
      <c r="E830" s="399" t="n"/>
      <c r="F830" s="398" t="inlineStr">
        <is>
          <t>Tổ dân phố 1A, TT. Cẩm Xuyên, Huyện Cẩm Xuyên, Hà Tĩnh</t>
        </is>
      </c>
      <c r="G830" s="399" t="n"/>
      <c r="H830" s="399" t="n"/>
      <c r="J830" s="392">
        <f>IFERROR(UPPER(TRIM(B830))&amp;"|"&amp;UPPER(TRIM(C830))&amp;"|"&amp;UPPER(TRIM(D830)),"")</f>
        <v/>
      </c>
    </row>
    <row r="831" ht="15.75" customHeight="1" s="217">
      <c r="A831" s="400" t="n">
        <v>829</v>
      </c>
      <c r="B831" s="400" t="inlineStr">
        <is>
          <t>KH2917</t>
        </is>
      </c>
      <c r="C831" s="401" t="inlineStr">
        <is>
          <t>Xưởng Tuyết Sơn- Đức Trọng/ 0982.056.266</t>
        </is>
      </c>
      <c r="D831" s="400" t="inlineStr">
        <is>
          <t>0982.056.266</t>
        </is>
      </c>
      <c r="E831" s="402" t="n"/>
      <c r="F831" s="401" t="inlineStr">
        <is>
          <t>Đức Trọng - Lâm Đồng</t>
        </is>
      </c>
      <c r="G831" s="400" t="inlineStr">
        <is>
          <t>LDONG</t>
        </is>
      </c>
      <c r="H831" s="402" t="n"/>
      <c r="J831" s="392">
        <f>IFERROR(UPPER(TRIM(B831))&amp;"|"&amp;UPPER(TRIM(C831))&amp;"|"&amp;UPPER(TRIM(D831)),"")</f>
        <v/>
      </c>
    </row>
    <row r="832" ht="15.75" customHeight="1" s="217">
      <c r="A832" s="397" t="n">
        <v>830</v>
      </c>
      <c r="B832" s="397" t="inlineStr">
        <is>
          <t>KH2918</t>
        </is>
      </c>
      <c r="C832" s="398" t="inlineStr">
        <is>
          <t>Cửa hàng Anh Hải - Quận 2/ Anh Hải: 0909.509.488</t>
        </is>
      </c>
      <c r="D832" s="397" t="inlineStr">
        <is>
          <t>0909.509.488</t>
        </is>
      </c>
      <c r="E832" s="399" t="n"/>
      <c r="F832" s="398" t="inlineStr">
        <is>
          <t>Số 26 đường 15, P. Bình An, Quận 2, Sài Gòn</t>
        </is>
      </c>
      <c r="G832" s="397" t="inlineStr">
        <is>
          <t>SG/HCM</t>
        </is>
      </c>
      <c r="H832" s="399" t="n"/>
      <c r="J832" s="392">
        <f>IFERROR(UPPER(TRIM(B832))&amp;"|"&amp;UPPER(TRIM(C832))&amp;"|"&amp;UPPER(TRIM(D832)),"")</f>
        <v/>
      </c>
    </row>
    <row r="833" ht="15.75" customHeight="1" s="217">
      <c r="A833" s="400" t="n">
        <v>831</v>
      </c>
      <c r="B833" s="400" t="inlineStr">
        <is>
          <t>KH2919</t>
        </is>
      </c>
      <c r="C833" s="401" t="inlineStr">
        <is>
          <t>Cửa hàng Hưng Thịnh- Chị Mỹ- SG/ 0918.900.508</t>
        </is>
      </c>
      <c r="D833" s="400" t="inlineStr">
        <is>
          <t>0918.900.508</t>
        </is>
      </c>
      <c r="E833" s="402" t="n"/>
      <c r="F833" s="401" t="inlineStr">
        <is>
          <t>337 Nguyễn Công Trứ, Quận 1, Sài Gòn</t>
        </is>
      </c>
      <c r="G833" s="400" t="inlineStr">
        <is>
          <t>SG/HCM</t>
        </is>
      </c>
      <c r="H833" s="402" t="n"/>
      <c r="J833" s="392">
        <f>IFERROR(UPPER(TRIM(B833))&amp;"|"&amp;UPPER(TRIM(C833))&amp;"|"&amp;UPPER(TRIM(D833)),"")</f>
        <v/>
      </c>
    </row>
    <row r="834" ht="15.75" customHeight="1" s="217">
      <c r="A834" s="397" t="n">
        <v>832</v>
      </c>
      <c r="B834" s="397" t="inlineStr">
        <is>
          <t>KH2920</t>
        </is>
      </c>
      <c r="C834" s="398" t="inlineStr">
        <is>
          <t>A Trung (Gara) - Hội Nghĩa, Bình Dương - 0966.429.637</t>
        </is>
      </c>
      <c r="D834" s="397" t="inlineStr">
        <is>
          <t>0966.429.637</t>
        </is>
      </c>
      <c r="E834" s="399" t="n"/>
      <c r="F834" s="398" t="inlineStr">
        <is>
          <t>Hội Nghĩa, Tân Uyên, Bình Dương</t>
        </is>
      </c>
      <c r="G834" s="397" t="inlineStr">
        <is>
          <t>SG/HCM</t>
        </is>
      </c>
      <c r="H834" s="399" t="n"/>
      <c r="J834" s="392">
        <f>IFERROR(UPPER(TRIM(B834))&amp;"|"&amp;UPPER(TRIM(C834))&amp;"|"&amp;UPPER(TRIM(D834)),"")</f>
        <v/>
      </c>
    </row>
    <row r="835" ht="15.75" customHeight="1" s="217">
      <c r="A835" s="400" t="n">
        <v>833</v>
      </c>
      <c r="B835" s="400" t="inlineStr">
        <is>
          <t>KH2921</t>
        </is>
      </c>
      <c r="C835" s="401" t="inlineStr">
        <is>
          <t>Xưởng anh Luân- Cầu Vượt Nguyễn Văn Linh/ 0909.102.192</t>
        </is>
      </c>
      <c r="D835" s="400" t="inlineStr">
        <is>
          <t>0909.102.192</t>
        </is>
      </c>
      <c r="E835" s="402" t="n"/>
      <c r="F835" s="401" t="inlineStr">
        <is>
          <t>Nguyễn Văn Linh, SG</t>
        </is>
      </c>
      <c r="G835" s="400" t="inlineStr">
        <is>
          <t>SG/HCM</t>
        </is>
      </c>
      <c r="H835" s="402" t="n"/>
      <c r="J835" s="392">
        <f>IFERROR(UPPER(TRIM(B835))&amp;"|"&amp;UPPER(TRIM(C835))&amp;"|"&amp;UPPER(TRIM(D835)),"")</f>
        <v/>
      </c>
    </row>
    <row r="836" ht="15.75" customHeight="1" s="217">
      <c r="A836" s="397" t="n">
        <v>834</v>
      </c>
      <c r="B836" s="397" t="inlineStr">
        <is>
          <t>KH2914</t>
        </is>
      </c>
      <c r="C836" s="398" t="inlineStr">
        <is>
          <t>TURBO - CHÚ QUANG - SÀI GÒN/ Chú Quang: 0913.323.167</t>
        </is>
      </c>
      <c r="D836" s="397" t="inlineStr">
        <is>
          <t>0913.323.167</t>
        </is>
      </c>
      <c r="E836" s="399" t="n"/>
      <c r="F836" s="398" t="inlineStr">
        <is>
          <t>255 Nguyễn Xí, P. Bình Lợi, TP Hồ Chí Minh</t>
        </is>
      </c>
      <c r="G836" s="397" t="inlineStr">
        <is>
          <t>SG/HCM</t>
        </is>
      </c>
      <c r="H836" s="399" t="n"/>
      <c r="J836" s="392">
        <f>IFERROR(UPPER(TRIM(B836))&amp;"|"&amp;UPPER(TRIM(C836))&amp;"|"&amp;UPPER(TRIM(D836)),"")</f>
        <v/>
      </c>
    </row>
    <row r="837" ht="15.75" customHeight="1" s="217">
      <c r="A837" s="400" t="n">
        <v>835</v>
      </c>
      <c r="B837" s="400" t="inlineStr">
        <is>
          <t>KH2915</t>
        </is>
      </c>
      <c r="C837" s="401" t="inlineStr">
        <is>
          <t>Cửa hàng Cơ Giới Thành Công- Bảo Lộc/ 0908.352.608</t>
        </is>
      </c>
      <c r="D837" s="400" t="inlineStr">
        <is>
          <t>0908.352.608</t>
        </is>
      </c>
      <c r="E837" s="402" t="n"/>
      <c r="F837" s="401" t="inlineStr">
        <is>
          <t>Bảo Lộc - Lâm Đồng</t>
        </is>
      </c>
      <c r="G837" s="400" t="inlineStr">
        <is>
          <t>LDONG</t>
        </is>
      </c>
      <c r="H837" s="400" t="inlineStr">
        <is>
          <t>gửi công nợ vào mail</t>
        </is>
      </c>
      <c r="J837" s="392">
        <f>IFERROR(UPPER(TRIM(B837))&amp;"|"&amp;UPPER(TRIM(C837))&amp;"|"&amp;UPPER(TRIM(D837)),"")</f>
        <v/>
      </c>
    </row>
    <row r="838" ht="15.75" customHeight="1" s="217">
      <c r="A838" s="397" t="n">
        <v>836</v>
      </c>
      <c r="B838" s="397" t="inlineStr">
        <is>
          <t>KH2916</t>
        </is>
      </c>
      <c r="C838" s="398" t="inlineStr">
        <is>
          <t>Cửa hàng cơ giới Hải - Đắk Lắk/ 0944.782.190</t>
        </is>
      </c>
      <c r="D838" s="397" t="inlineStr">
        <is>
          <t>0944.782.190</t>
        </is>
      </c>
      <c r="E838" s="399" t="n"/>
      <c r="F838" s="398" t="inlineStr">
        <is>
          <t>Sạp 35 Chợ Đồ Sắt Tân An, Lý Tự Trọng, Đắk Lắk</t>
        </is>
      </c>
      <c r="G838" s="397" t="inlineStr">
        <is>
          <t>ÐL</t>
        </is>
      </c>
      <c r="H838" s="399" t="n"/>
      <c r="J838" s="392">
        <f>IFERROR(UPPER(TRIM(B838))&amp;"|"&amp;UPPER(TRIM(C838))&amp;"|"&amp;UPPER(TRIM(D838)),"")</f>
        <v/>
      </c>
    </row>
    <row r="839" ht="15.75" customHeight="1" s="217">
      <c r="A839" s="400" t="n">
        <v>837</v>
      </c>
      <c r="B839" s="400" t="inlineStr">
        <is>
          <t>KH2913</t>
        </is>
      </c>
      <c r="C839" s="401" t="inlineStr">
        <is>
          <t>Công ty Đăng Nam- Anh Nam - Bình Thuận/ 0945.229.292</t>
        </is>
      </c>
      <c r="D839" s="400" t="inlineStr">
        <is>
          <t>0945.229.292</t>
        </is>
      </c>
      <c r="E839" s="402" t="n"/>
      <c r="F839" s="401" t="inlineStr">
        <is>
          <t>Bình Thuận</t>
        </is>
      </c>
      <c r="G839" s="400" t="inlineStr">
        <is>
          <t>BTHUAN</t>
        </is>
      </c>
      <c r="H839" s="402" t="n"/>
      <c r="J839" s="392">
        <f>IFERROR(UPPER(TRIM(B839))&amp;"|"&amp;UPPER(TRIM(C839))&amp;"|"&amp;UPPER(TRIM(D839)),"")</f>
        <v/>
      </c>
    </row>
    <row r="840" ht="15.75" customHeight="1" s="217">
      <c r="A840" s="397" t="n">
        <v>838</v>
      </c>
      <c r="B840" s="397" t="inlineStr">
        <is>
          <t>KH2911</t>
        </is>
      </c>
      <c r="C840" s="398" t="inlineStr">
        <is>
          <t>Anh Đức- Đồng Xoài, Bình Phước/ 0943.707.879</t>
        </is>
      </c>
      <c r="D840" s="397" t="inlineStr">
        <is>
          <t>0943.707.879</t>
        </is>
      </c>
      <c r="E840" s="399" t="n"/>
      <c r="F840" s="398" t="inlineStr">
        <is>
          <t>TX Đồng Xoài, Bình Phước</t>
        </is>
      </c>
      <c r="G840" s="397" t="inlineStr">
        <is>
          <t>BP</t>
        </is>
      </c>
      <c r="H840" s="399" t="n"/>
      <c r="J840" s="392">
        <f>IFERROR(UPPER(TRIM(B840))&amp;"|"&amp;UPPER(TRIM(C840))&amp;"|"&amp;UPPER(TRIM(D840)),"")</f>
        <v/>
      </c>
    </row>
    <row r="841" ht="15.75" customHeight="1" s="217">
      <c r="A841" s="400" t="n">
        <v>839</v>
      </c>
      <c r="B841" s="400" t="inlineStr">
        <is>
          <t>KH2912</t>
        </is>
      </c>
      <c r="C841" s="401" t="inlineStr">
        <is>
          <t>Cửa Hàng Anh Quân - Phú Quốc/ 0987.868.282</t>
        </is>
      </c>
      <c r="D841" s="400" t="inlineStr">
        <is>
          <t>0987.868.282</t>
        </is>
      </c>
      <c r="E841" s="402" t="n"/>
      <c r="F841" s="401" t="inlineStr">
        <is>
          <t>Phú Quốc</t>
        </is>
      </c>
      <c r="G841" s="400" t="inlineStr">
        <is>
          <t>SG/HCM</t>
        </is>
      </c>
      <c r="H841" s="402" t="n"/>
      <c r="J841" s="392">
        <f>IFERROR(UPPER(TRIM(B841))&amp;"|"&amp;UPPER(TRIM(C841))&amp;"|"&amp;UPPER(TRIM(D841)),"")</f>
        <v/>
      </c>
    </row>
    <row r="842" ht="15.75" customHeight="1" s="217">
      <c r="A842" s="397" t="n">
        <v>840</v>
      </c>
      <c r="B842" s="397" t="inlineStr">
        <is>
          <t>KH2909</t>
        </is>
      </c>
      <c r="C842" s="398" t="inlineStr">
        <is>
          <t>A Chánh - Phú Tài, Bình Định - 0914.901.106</t>
        </is>
      </c>
      <c r="D842" s="397" t="inlineStr">
        <is>
          <t>0914.901.106</t>
        </is>
      </c>
      <c r="E842" s="399" t="n"/>
      <c r="F842" s="398" t="inlineStr">
        <is>
          <t>Phú Tài, Bình Định</t>
        </is>
      </c>
      <c r="G842" s="397" t="inlineStr">
        <is>
          <t>BDINH</t>
        </is>
      </c>
      <c r="H842" s="397" t="inlineStr">
        <is>
          <t>Gửi xe Mạnh Hùng</t>
        </is>
      </c>
      <c r="J842" s="392">
        <f>IFERROR(UPPER(TRIM(B842))&amp;"|"&amp;UPPER(TRIM(C842))&amp;"|"&amp;UPPER(TRIM(D842)),"")</f>
        <v/>
      </c>
    </row>
    <row r="843" ht="15.75" customHeight="1" s="217">
      <c r="A843" s="400" t="n">
        <v>841</v>
      </c>
      <c r="B843" s="400" t="inlineStr">
        <is>
          <t>KH2910</t>
        </is>
      </c>
      <c r="C843" s="401" t="inlineStr">
        <is>
          <t>Anh Thắng - Phú Riềng/ 0979.047.234</t>
        </is>
      </c>
      <c r="D843" s="400" t="inlineStr">
        <is>
          <t>0979.047.234</t>
        </is>
      </c>
      <c r="E843" s="402" t="n"/>
      <c r="F843" s="401" t="inlineStr">
        <is>
          <t>Phú Riềng- Bình Phước</t>
        </is>
      </c>
      <c r="G843" s="400" t="inlineStr">
        <is>
          <t>BP</t>
        </is>
      </c>
      <c r="H843" s="402" t="n"/>
      <c r="J843" s="392">
        <f>IFERROR(UPPER(TRIM(B843))&amp;"|"&amp;UPPER(TRIM(C843))&amp;"|"&amp;UPPER(TRIM(D843)),"")</f>
        <v/>
      </c>
    </row>
    <row r="844" ht="15.75" customHeight="1" s="217">
      <c r="A844" s="397" t="n">
        <v>842</v>
      </c>
      <c r="B844" s="397" t="inlineStr">
        <is>
          <t>KH2908</t>
        </is>
      </c>
      <c r="C844" s="398" t="inlineStr">
        <is>
          <t>Anh Long- BRVT/ 0869.046.679</t>
        </is>
      </c>
      <c r="D844" s="397" t="inlineStr">
        <is>
          <t>0869.046.679</t>
        </is>
      </c>
      <c r="E844" s="399" t="n"/>
      <c r="F844" s="398" t="inlineStr">
        <is>
          <t>Bà Rịa Vũng Tàu</t>
        </is>
      </c>
      <c r="G844" s="397" t="inlineStr">
        <is>
          <t>BRVT</t>
        </is>
      </c>
      <c r="H844" s="399" t="n"/>
      <c r="J844" s="392">
        <f>IFERROR(UPPER(TRIM(B844))&amp;"|"&amp;UPPER(TRIM(C844))&amp;"|"&amp;UPPER(TRIM(D844)),"")</f>
        <v/>
      </c>
    </row>
    <row r="845" ht="15.75" customHeight="1" s="217">
      <c r="A845" s="400" t="n">
        <v>843</v>
      </c>
      <c r="B845" s="400" t="inlineStr">
        <is>
          <t>KH2907</t>
        </is>
      </c>
      <c r="C845" s="401" t="inlineStr">
        <is>
          <t>Gara Tương Lai - Quận 12, SG / Anh Bình 0908.063.618</t>
        </is>
      </c>
      <c r="D845" s="400" t="inlineStr">
        <is>
          <t>0908.063.618</t>
        </is>
      </c>
      <c r="E845" s="402" t="n"/>
      <c r="F845" s="401" t="inlineStr">
        <is>
          <t>Q12, Sài Gòn</t>
        </is>
      </c>
      <c r="G845" s="400" t="inlineStr">
        <is>
          <t>SG/HCM</t>
        </is>
      </c>
      <c r="H845" s="402" t="n"/>
      <c r="J845" s="392">
        <f>IFERROR(UPPER(TRIM(B845))&amp;"|"&amp;UPPER(TRIM(C845))&amp;"|"&amp;UPPER(TRIM(D845)),"")</f>
        <v/>
      </c>
    </row>
    <row r="846" ht="15.75" customHeight="1" s="217">
      <c r="A846" s="397" t="n">
        <v>844</v>
      </c>
      <c r="B846" s="397" t="inlineStr">
        <is>
          <t>KH2906</t>
        </is>
      </c>
      <c r="C846" s="398" t="inlineStr">
        <is>
          <t>Tám Vân- Bình Chánh/Anh Tài: 0909.992.041</t>
        </is>
      </c>
      <c r="D846" s="397" t="inlineStr">
        <is>
          <t>0909.992.041</t>
        </is>
      </c>
      <c r="E846" s="399" t="n"/>
      <c r="F846" s="398" t="inlineStr">
        <is>
          <t>E9/27B QL1A TT. Tân Túc, Bình Chánh</t>
        </is>
      </c>
      <c r="G846" s="397" t="inlineStr">
        <is>
          <t>SG/HCM</t>
        </is>
      </c>
      <c r="H846" s="399" t="n"/>
      <c r="J846" s="392">
        <f>IFERROR(UPPER(TRIM(B846))&amp;"|"&amp;UPPER(TRIM(C846))&amp;"|"&amp;UPPER(TRIM(D846)),"")</f>
        <v/>
      </c>
    </row>
    <row r="847" ht="15.75" customHeight="1" s="217">
      <c r="A847" s="400" t="n">
        <v>845</v>
      </c>
      <c r="B847" s="400" t="inlineStr">
        <is>
          <t>KH2904</t>
        </is>
      </c>
      <c r="C847" s="401" t="inlineStr">
        <is>
          <t>Công ty Xuân Anh - Hà Nội</t>
        </is>
      </c>
      <c r="D847" s="402" t="n"/>
      <c r="E847" s="402" t="n"/>
      <c r="F847" s="401" t="inlineStr">
        <is>
          <t>Hà Nội</t>
        </is>
      </c>
      <c r="G847" s="402" t="n"/>
      <c r="H847" s="402" t="n"/>
      <c r="J847" s="392">
        <f>IFERROR(UPPER(TRIM(B847))&amp;"|"&amp;UPPER(TRIM(C847))&amp;"|"&amp;UPPER(TRIM(D847)),"")</f>
        <v/>
      </c>
    </row>
    <row r="848" ht="15.75" customHeight="1" s="217">
      <c r="A848" s="397" t="n">
        <v>846</v>
      </c>
      <c r="B848" s="397" t="inlineStr">
        <is>
          <t>KH2905</t>
        </is>
      </c>
      <c r="C848" s="398" t="inlineStr">
        <is>
          <t>Cửa hàng Thành Tâm- Mỹ Xuân, BRVT/ 0913.729.672</t>
        </is>
      </c>
      <c r="D848" s="397" t="inlineStr">
        <is>
          <t>0913.729.672</t>
        </is>
      </c>
      <c r="E848" s="399" t="n"/>
      <c r="F848" s="398" t="inlineStr">
        <is>
          <t>Mỹ Xuân, Bà Rịa Vũng Tàu</t>
        </is>
      </c>
      <c r="G848" s="397" t="inlineStr">
        <is>
          <t>BRVT</t>
        </is>
      </c>
      <c r="H848" s="399" t="n"/>
      <c r="J848" s="392">
        <f>IFERROR(UPPER(TRIM(B848))&amp;"|"&amp;UPPER(TRIM(C848))&amp;"|"&amp;UPPER(TRIM(D848)),"")</f>
        <v/>
      </c>
    </row>
    <row r="849" ht="15.75" customHeight="1" s="217">
      <c r="A849" s="400" t="n">
        <v>847</v>
      </c>
      <c r="B849" s="400" t="inlineStr">
        <is>
          <t>KH2903</t>
        </is>
      </c>
      <c r="C849" s="401" t="inlineStr">
        <is>
          <t>Cửa hàng anh Thịnh - Nghê An/ 0984.002.158</t>
        </is>
      </c>
      <c r="D849" s="400" t="inlineStr">
        <is>
          <t>0984.002.158</t>
        </is>
      </c>
      <c r="E849" s="402" t="n"/>
      <c r="F849" s="401" t="inlineStr">
        <is>
          <t>Phan Bộ Châu, TP. Vinh, Nghệ An</t>
        </is>
      </c>
      <c r="G849" s="402" t="n"/>
      <c r="H849" s="402" t="n"/>
      <c r="J849" s="392">
        <f>IFERROR(UPPER(TRIM(B849))&amp;"|"&amp;UPPER(TRIM(C849))&amp;"|"&amp;UPPER(TRIM(D849)),"")</f>
        <v/>
      </c>
    </row>
    <row r="850" ht="15.75" customHeight="1" s="217">
      <c r="A850" s="397" t="n">
        <v>848</v>
      </c>
      <c r="B850" s="397" t="inlineStr">
        <is>
          <t>KH2902</t>
        </is>
      </c>
      <c r="C850" s="398" t="inlineStr">
        <is>
          <t>TURBO - ANH THÀNH - BẾN TRE/ Anh Thành: 0908.599.949 - 0949.599.949</t>
        </is>
      </c>
      <c r="D850" s="397" t="inlineStr">
        <is>
          <t>0908.599.949 / 0949.599.949</t>
        </is>
      </c>
      <c r="E850" s="399" t="n"/>
      <c r="F850" s="398" t="inlineStr">
        <is>
          <t>93Đ Đồng Văn Cống, Bình Phú, Bến Tre</t>
        </is>
      </c>
      <c r="G850" s="397" t="inlineStr">
        <is>
          <t>BTRE</t>
        </is>
      </c>
      <c r="H850" s="399" t="n"/>
      <c r="J850" s="392">
        <f>IFERROR(UPPER(TRIM(B850))&amp;"|"&amp;UPPER(TRIM(C850))&amp;"|"&amp;UPPER(TRIM(D850)),"")</f>
        <v/>
      </c>
    </row>
    <row r="851" ht="15.75" customHeight="1" s="217">
      <c r="A851" s="400" t="n">
        <v>849</v>
      </c>
      <c r="B851" s="400" t="inlineStr">
        <is>
          <t>KH2901</t>
        </is>
      </c>
      <c r="C851" s="401" t="inlineStr">
        <is>
          <t>Xưởng tiện A Lỳ- Vòng xoay An Lạc, Bình Chánh/ 0938.731.974</t>
        </is>
      </c>
      <c r="D851" s="400" t="inlineStr">
        <is>
          <t>0938.731.974</t>
        </is>
      </c>
      <c r="E851" s="402" t="n"/>
      <c r="F851" s="401" t="inlineStr">
        <is>
          <t>Vòng xoay An Lạc, Bình Chánh, QL1A, Hồ Chí Minh</t>
        </is>
      </c>
      <c r="G851" s="400" t="inlineStr">
        <is>
          <t>SG/HCM</t>
        </is>
      </c>
      <c r="H851" s="402" t="n"/>
      <c r="J851" s="392">
        <f>IFERROR(UPPER(TRIM(B851))&amp;"|"&amp;UPPER(TRIM(C851))&amp;"|"&amp;UPPER(TRIM(D851)),"")</f>
        <v/>
      </c>
    </row>
    <row r="852" ht="15.75" customHeight="1" s="217">
      <c r="A852" s="397" t="n">
        <v>850</v>
      </c>
      <c r="B852" s="397" t="inlineStr">
        <is>
          <t>KH2899</t>
        </is>
      </c>
      <c r="C852" s="398" t="inlineStr">
        <is>
          <t>Anh Thái turbo - Gò Vấp - 0909.020.832</t>
        </is>
      </c>
      <c r="D852" s="397" t="inlineStr">
        <is>
          <t>0909.020.832</t>
        </is>
      </c>
      <c r="E852" s="399" t="n"/>
      <c r="F852" s="398" t="inlineStr">
        <is>
          <t>Đ/C 238 Nguyễn Văn Nghi, Gò Vấp - TP.HCM</t>
        </is>
      </c>
      <c r="G852" s="397" t="inlineStr">
        <is>
          <t>SG/HCM</t>
        </is>
      </c>
      <c r="H852" s="399" t="n"/>
      <c r="J852" s="392">
        <f>IFERROR(UPPER(TRIM(B852))&amp;"|"&amp;UPPER(TRIM(C852))&amp;"|"&amp;UPPER(TRIM(D852)),"")</f>
        <v/>
      </c>
    </row>
    <row r="853" ht="15.75" customHeight="1" s="217">
      <c r="A853" s="400" t="n">
        <v>851</v>
      </c>
      <c r="B853" s="400" t="inlineStr">
        <is>
          <t>KH2900</t>
        </is>
      </c>
      <c r="C853" s="401" t="inlineStr">
        <is>
          <t>TURBO - CHÚ THÁI - GÒ GẤP /0909.020.832- 0909.644.674</t>
        </is>
      </c>
      <c r="D853" s="400" t="inlineStr">
        <is>
          <t>0909.020.832- / 0909.644.674</t>
        </is>
      </c>
      <c r="E853" s="402" t="n"/>
      <c r="F853" s="401" t="inlineStr">
        <is>
          <t>433/37 Lê Đức Thọ, Phường 17, Gò Vấp (hẻm chung cư Gia Phát)</t>
        </is>
      </c>
      <c r="G853" s="400" t="inlineStr">
        <is>
          <t>SG/HCM</t>
        </is>
      </c>
      <c r="H853" s="402" t="n"/>
      <c r="J853" s="392">
        <f>IFERROR(UPPER(TRIM(B853))&amp;"|"&amp;UPPER(TRIM(C853))&amp;"|"&amp;UPPER(TRIM(D853)),"")</f>
        <v/>
      </c>
    </row>
    <row r="854" ht="15.75" customHeight="1" s="217">
      <c r="A854" s="397" t="n">
        <v>852</v>
      </c>
      <c r="B854" s="397" t="inlineStr">
        <is>
          <t>KH2898</t>
        </is>
      </c>
      <c r="C854" s="398" t="inlineStr">
        <is>
          <t>Anh Trường - Vũng Tàu/ 0906.751.318</t>
        </is>
      </c>
      <c r="D854" s="397" t="inlineStr">
        <is>
          <t>0906.751.318</t>
        </is>
      </c>
      <c r="E854" s="399" t="n"/>
      <c r="F854" s="398" t="inlineStr">
        <is>
          <t>Vũng Tàu</t>
        </is>
      </c>
      <c r="G854" s="397" t="inlineStr">
        <is>
          <t>BRVT</t>
        </is>
      </c>
      <c r="H854" s="399" t="n"/>
      <c r="J854" s="392">
        <f>IFERROR(UPPER(TRIM(B854))&amp;"|"&amp;UPPER(TRIM(C854))&amp;"|"&amp;UPPER(TRIM(D854)),"")</f>
        <v/>
      </c>
    </row>
    <row r="855" ht="15.75" customHeight="1" s="217">
      <c r="A855" s="400" t="n">
        <v>853</v>
      </c>
      <c r="B855" s="400" t="inlineStr">
        <is>
          <t>KH2897</t>
        </is>
      </c>
      <c r="C855" s="401" t="inlineStr">
        <is>
          <t>Cửa hàng Trọng Tín- Bạc Liêu/ 0946.757.572</t>
        </is>
      </c>
      <c r="D855" s="400" t="inlineStr">
        <is>
          <t>0946.757.572</t>
        </is>
      </c>
      <c r="E855" s="402" t="n"/>
      <c r="F855" s="401" t="inlineStr">
        <is>
          <t>Ấp Nội Ô, thị trấn Phước Long, Bạc Liêu</t>
        </is>
      </c>
      <c r="G855" s="400" t="inlineStr">
        <is>
          <t>BLIEU</t>
        </is>
      </c>
      <c r="H855" s="402" t="n"/>
      <c r="J855" s="392">
        <f>IFERROR(UPPER(TRIM(B855))&amp;"|"&amp;UPPER(TRIM(C855))&amp;"|"&amp;UPPER(TRIM(D855)),"")</f>
        <v/>
      </c>
    </row>
    <row r="856" ht="15.75" customHeight="1" s="217">
      <c r="A856" s="397" t="n">
        <v>854</v>
      </c>
      <c r="B856" s="397" t="inlineStr">
        <is>
          <t>KH2895</t>
        </is>
      </c>
      <c r="C856" s="398" t="inlineStr">
        <is>
          <t>Đức Toàn- Quỳnh Lưu- Nghệ An/ 0979.589.483</t>
        </is>
      </c>
      <c r="D856" s="397" t="inlineStr">
        <is>
          <t>0979.589.483</t>
        </is>
      </c>
      <c r="E856" s="399" t="n"/>
      <c r="F856" s="398" t="inlineStr">
        <is>
          <t>Thị Trân Cầu Giát, Huyện Quỳnh Lưu, Nghệ An</t>
        </is>
      </c>
      <c r="G856" s="397" t="inlineStr">
        <is>
          <t>HN</t>
        </is>
      </c>
      <c r="H856" s="399" t="n"/>
      <c r="J856" s="392">
        <f>IFERROR(UPPER(TRIM(B856))&amp;"|"&amp;UPPER(TRIM(C856))&amp;"|"&amp;UPPER(TRIM(D856)),"")</f>
        <v/>
      </c>
    </row>
    <row r="857" ht="15.75" customHeight="1" s="217">
      <c r="A857" s="400" t="n">
        <v>855</v>
      </c>
      <c r="B857" s="400" t="inlineStr">
        <is>
          <t>KH2896</t>
        </is>
      </c>
      <c r="C857" s="401" t="inlineStr">
        <is>
          <t>TURBO - ANH MINH - BÌNH TÂN/ Anh Minh: 0908.186.407</t>
        </is>
      </c>
      <c r="D857" s="400" t="inlineStr">
        <is>
          <t>0908.186.407</t>
        </is>
      </c>
      <c r="E857" s="402" t="n"/>
      <c r="F857" s="401" t="inlineStr">
        <is>
          <t>219/45A Đường số 5, KP 7, Bình Hưng Hoà, Bình Tân, SG</t>
        </is>
      </c>
      <c r="G857" s="400" t="inlineStr">
        <is>
          <t>SG/HCM</t>
        </is>
      </c>
      <c r="H857" s="402" t="n"/>
      <c r="J857" s="392">
        <f>IFERROR(UPPER(TRIM(B857))&amp;"|"&amp;UPPER(TRIM(C857))&amp;"|"&amp;UPPER(TRIM(D857)),"")</f>
        <v/>
      </c>
    </row>
    <row r="858" ht="15.75" customHeight="1" s="217">
      <c r="A858" s="397" t="n">
        <v>856</v>
      </c>
      <c r="B858" s="397" t="inlineStr">
        <is>
          <t>KH2893</t>
        </is>
      </c>
      <c r="C858" s="398" t="inlineStr">
        <is>
          <t>Xưởng anh Tình- Kontum/ 0964.883.879</t>
        </is>
      </c>
      <c r="D858" s="397" t="inlineStr">
        <is>
          <t>0964.883.879</t>
        </is>
      </c>
      <c r="E858" s="399" t="n"/>
      <c r="F858" s="398" t="inlineStr">
        <is>
          <t>52 Hoàng Thị Loan, Kontum</t>
        </is>
      </c>
      <c r="G858" s="397" t="inlineStr">
        <is>
          <t>KTUM</t>
        </is>
      </c>
      <c r="H858" s="399" t="n"/>
      <c r="J858" s="392">
        <f>IFERROR(UPPER(TRIM(B858))&amp;"|"&amp;UPPER(TRIM(C858))&amp;"|"&amp;UPPER(TRIM(D858)),"")</f>
        <v/>
      </c>
    </row>
    <row r="859" ht="15.75" customHeight="1" s="217">
      <c r="A859" s="400" t="n">
        <v>857</v>
      </c>
      <c r="B859" s="400" t="inlineStr">
        <is>
          <t>KH2894</t>
        </is>
      </c>
      <c r="C859" s="401" t="inlineStr">
        <is>
          <t>Anh Hữu - SG/ 0936.974.697</t>
        </is>
      </c>
      <c r="D859" s="400" t="inlineStr">
        <is>
          <t>0936.974.697</t>
        </is>
      </c>
      <c r="E859" s="402" t="n"/>
      <c r="F859" s="401" t="inlineStr">
        <is>
          <t>Sài Gòn</t>
        </is>
      </c>
      <c r="G859" s="400" t="inlineStr">
        <is>
          <t>SG/HCM</t>
        </is>
      </c>
      <c r="H859" s="402" t="n"/>
      <c r="J859" s="392">
        <f>IFERROR(UPPER(TRIM(B859))&amp;"|"&amp;UPPER(TRIM(C859))&amp;"|"&amp;UPPER(TRIM(D859)),"")</f>
        <v/>
      </c>
    </row>
    <row r="860" ht="15.75" customHeight="1" s="217">
      <c r="A860" s="397" t="n">
        <v>858</v>
      </c>
      <c r="B860" s="397" t="inlineStr">
        <is>
          <t>KH2892</t>
        </is>
      </c>
      <c r="C860" s="398" t="inlineStr">
        <is>
          <t>Cửa hàng oto Thái Thiện/ a Thái: 0908.156.687/ 0857.989.039</t>
        </is>
      </c>
      <c r="D860" s="397" t="inlineStr">
        <is>
          <t>0908.156.687 / 0857.989.039</t>
        </is>
      </c>
      <c r="E860" s="399" t="n"/>
      <c r="F860" s="398" t="inlineStr">
        <is>
          <t>Thạnh Phú, Cầu Kè, Trà Vinh</t>
        </is>
      </c>
      <c r="G860" s="397" t="inlineStr">
        <is>
          <t>TV</t>
        </is>
      </c>
      <c r="H860" s="399" t="n"/>
      <c r="J860" s="392">
        <f>IFERROR(UPPER(TRIM(B860))&amp;"|"&amp;UPPER(TRIM(C860))&amp;"|"&amp;UPPER(TRIM(D860)),"")</f>
        <v/>
      </c>
    </row>
    <row r="861" ht="15.75" customHeight="1" s="217">
      <c r="A861" s="400" t="n">
        <v>859</v>
      </c>
      <c r="B861" s="400" t="inlineStr">
        <is>
          <t>KH2890</t>
        </is>
      </c>
      <c r="C861" s="401" t="inlineStr">
        <is>
          <t>Xưởng Trường Sơn - Bình Thuận/ 0946.165.560</t>
        </is>
      </c>
      <c r="D861" s="400" t="inlineStr">
        <is>
          <t>0946.165.560</t>
        </is>
      </c>
      <c r="E861" s="402" t="n"/>
      <c r="F861" s="401" t="inlineStr">
        <is>
          <t>Bình Thuận</t>
        </is>
      </c>
      <c r="G861" s="400" t="inlineStr">
        <is>
          <t>BTHUAN</t>
        </is>
      </c>
      <c r="H861" s="402" t="n"/>
      <c r="J861" s="392">
        <f>IFERROR(UPPER(TRIM(B861))&amp;"|"&amp;UPPER(TRIM(C861))&amp;"|"&amp;UPPER(TRIM(D861)),"")</f>
        <v/>
      </c>
    </row>
    <row r="862" ht="15.75" customHeight="1" s="217">
      <c r="A862" s="397" t="n">
        <v>860</v>
      </c>
      <c r="B862" s="397" t="inlineStr">
        <is>
          <t>KH2891</t>
        </is>
      </c>
      <c r="C862" s="398" t="inlineStr">
        <is>
          <t>Xưởng Bảo Duy- Q12, SG/ 0975.955.728</t>
        </is>
      </c>
      <c r="D862" s="397" t="inlineStr">
        <is>
          <t>0975.955.728</t>
        </is>
      </c>
      <c r="E862" s="399" t="n"/>
      <c r="F862" s="398" t="inlineStr">
        <is>
          <t>44/1 QL1A, P. Thạnh Xuân, Quận 12, HCM</t>
        </is>
      </c>
      <c r="G862" s="397" t="inlineStr">
        <is>
          <t>SG/HCM</t>
        </is>
      </c>
      <c r="H862" s="399" t="n"/>
      <c r="J862" s="392">
        <f>IFERROR(UPPER(TRIM(B862))&amp;"|"&amp;UPPER(TRIM(C862))&amp;"|"&amp;UPPER(TRIM(D862)),"")</f>
        <v/>
      </c>
    </row>
    <row r="863" ht="15.75" customHeight="1" s="217">
      <c r="A863" s="400" t="n">
        <v>861</v>
      </c>
      <c r="B863" s="400" t="inlineStr">
        <is>
          <t>KH2886</t>
        </is>
      </c>
      <c r="C863" s="401" t="inlineStr">
        <is>
          <t>Anh Đạt- Chơn Thành/ 0976.701.239</t>
        </is>
      </c>
      <c r="D863" s="400" t="inlineStr">
        <is>
          <t>0976.701.239</t>
        </is>
      </c>
      <c r="E863" s="402" t="n"/>
      <c r="F863" s="401" t="inlineStr">
        <is>
          <t>Chơn Thành, Bình Phước</t>
        </is>
      </c>
      <c r="G863" s="400" t="inlineStr">
        <is>
          <t>BP</t>
        </is>
      </c>
      <c r="H863" s="402" t="n"/>
      <c r="J863" s="392">
        <f>IFERROR(UPPER(TRIM(B863))&amp;"|"&amp;UPPER(TRIM(C863))&amp;"|"&amp;UPPER(TRIM(D863)),"")</f>
        <v/>
      </c>
    </row>
    <row r="864" ht="15.75" customHeight="1" s="217">
      <c r="A864" s="397" t="n">
        <v>862</v>
      </c>
      <c r="B864" s="397" t="inlineStr">
        <is>
          <t>KH2887</t>
        </is>
      </c>
      <c r="C864" s="398" t="inlineStr">
        <is>
          <t>Xưởng anh Hiếu - Ngọc Hồi, Kontum/ 0982.318.479</t>
        </is>
      </c>
      <c r="D864" s="397" t="inlineStr">
        <is>
          <t>0982.318.479</t>
        </is>
      </c>
      <c r="E864" s="399" t="n"/>
      <c r="F864" s="398" t="inlineStr">
        <is>
          <t>Ngọc Hồi, Kontum</t>
        </is>
      </c>
      <c r="G864" s="397" t="inlineStr">
        <is>
          <t>KTUM</t>
        </is>
      </c>
      <c r="H864" s="399" t="n"/>
      <c r="J864" s="392">
        <f>IFERROR(UPPER(TRIM(B864))&amp;"|"&amp;UPPER(TRIM(C864))&amp;"|"&amp;UPPER(TRIM(D864)),"")</f>
        <v/>
      </c>
    </row>
    <row r="865" ht="15.75" customHeight="1" s="217">
      <c r="A865" s="400" t="n">
        <v>863</v>
      </c>
      <c r="B865" s="400" t="inlineStr">
        <is>
          <t>KH2888</t>
        </is>
      </c>
      <c r="C865" s="401" t="inlineStr">
        <is>
          <t>Công ty TNHH Vũ Gia Bảo- Bình Dương/ Anh Kiền/ 0964.350.799</t>
        </is>
      </c>
      <c r="D865" s="400" t="inlineStr">
        <is>
          <t>0964.350.799</t>
        </is>
      </c>
      <c r="E865" s="402" t="n"/>
      <c r="F865" s="401" t="inlineStr">
        <is>
          <t>411/10 Khu Phố Châu Thới, Phường Bình An, Thành phố Dĩ An, Tỉnh Bình Dương</t>
        </is>
      </c>
      <c r="G865" s="400" t="inlineStr">
        <is>
          <t>SG/HCM</t>
        </is>
      </c>
      <c r="H865" s="402" t="n"/>
      <c r="J865" s="392">
        <f>IFERROR(UPPER(TRIM(B865))&amp;"|"&amp;UPPER(TRIM(C865))&amp;"|"&amp;UPPER(TRIM(D865)),"")</f>
        <v/>
      </c>
    </row>
    <row r="866" ht="15.75" customHeight="1" s="217">
      <c r="A866" s="397" t="n">
        <v>864</v>
      </c>
      <c r="B866" s="397" t="inlineStr">
        <is>
          <t>KH2889</t>
        </is>
      </c>
      <c r="C866" s="398" t="inlineStr">
        <is>
          <t>Anh Năm Chi - Diên Khánh, Khánh Hòa/ 0336.337.215</t>
        </is>
      </c>
      <c r="D866" s="397" t="inlineStr">
        <is>
          <t>0336.337.215</t>
        </is>
      </c>
      <c r="E866" s="399" t="n"/>
      <c r="F866" s="398" t="inlineStr">
        <is>
          <t>Diên Khánh, Khánh Hòa</t>
        </is>
      </c>
      <c r="G866" s="397" t="inlineStr">
        <is>
          <t>NTRANG</t>
        </is>
      </c>
      <c r="H866" s="399" t="n"/>
      <c r="J866" s="392">
        <f>IFERROR(UPPER(TRIM(B866))&amp;"|"&amp;UPPER(TRIM(C866))&amp;"|"&amp;UPPER(TRIM(D866)),"")</f>
        <v/>
      </c>
    </row>
    <row r="867" ht="15.75" customHeight="1" s="217">
      <c r="A867" s="400" t="n">
        <v>865</v>
      </c>
      <c r="B867" s="400" t="inlineStr">
        <is>
          <t>KH2885</t>
        </is>
      </c>
      <c r="C867" s="401" t="inlineStr">
        <is>
          <t>Cửa hàng Phúc Khang - Hà Tiên/ anh Phi/ 0949.929.944</t>
        </is>
      </c>
      <c r="D867" s="400" t="inlineStr">
        <is>
          <t>0949.929.944</t>
        </is>
      </c>
      <c r="E867" s="402" t="n"/>
      <c r="F867" s="401" t="inlineStr">
        <is>
          <t>274B Trần Hậu, Bình San, Hà Tiên</t>
        </is>
      </c>
      <c r="G867" s="400" t="inlineStr">
        <is>
          <t>KG</t>
        </is>
      </c>
      <c r="H867" s="402" t="n"/>
      <c r="J867" s="392">
        <f>IFERROR(UPPER(TRIM(B867))&amp;"|"&amp;UPPER(TRIM(C867))&amp;"|"&amp;UPPER(TRIM(D867)),"")</f>
        <v/>
      </c>
    </row>
    <row r="868" ht="15.75" customHeight="1" s="217">
      <c r="A868" s="397" t="n">
        <v>866</v>
      </c>
      <c r="B868" s="397" t="inlineStr">
        <is>
          <t>KH2884</t>
        </is>
      </c>
      <c r="C868" s="398" t="inlineStr">
        <is>
          <t>Anh Hưng- Long Xuyên- chuyên quy náp/ 0948.367.185</t>
        </is>
      </c>
      <c r="D868" s="397" t="inlineStr">
        <is>
          <t>0948.367.185</t>
        </is>
      </c>
      <c r="E868" s="399" t="n"/>
      <c r="F868" s="398" t="inlineStr">
        <is>
          <t>TP Long Xuyên, An Giang</t>
        </is>
      </c>
      <c r="G868" s="397" t="inlineStr">
        <is>
          <t>ANGIANG</t>
        </is>
      </c>
      <c r="H868" s="399" t="n"/>
      <c r="J868" s="392">
        <f>IFERROR(UPPER(TRIM(B868))&amp;"|"&amp;UPPER(TRIM(C868))&amp;"|"&amp;UPPER(TRIM(D868)),"")</f>
        <v/>
      </c>
    </row>
    <row r="869" ht="15.75" customHeight="1" s="217">
      <c r="A869" s="400" t="n">
        <v>867</v>
      </c>
      <c r="B869" s="400" t="inlineStr">
        <is>
          <t>KH2883</t>
        </is>
      </c>
      <c r="C869" s="401" t="inlineStr">
        <is>
          <t>CH Cơ Giới Vạn Phong- Cam Ranh/ 0947.385.701</t>
        </is>
      </c>
      <c r="D869" s="400" t="inlineStr">
        <is>
          <t>0947.385.701</t>
        </is>
      </c>
      <c r="E869" s="402" t="n"/>
      <c r="F869" s="401" t="inlineStr">
        <is>
          <t>2370 Hùng Vương, TP Cam Ranh, Khánh Hòa</t>
        </is>
      </c>
      <c r="G869" s="400" t="inlineStr">
        <is>
          <t>NTRANG</t>
        </is>
      </c>
      <c r="H869" s="402" t="n"/>
      <c r="J869" s="392">
        <f>IFERROR(UPPER(TRIM(B869))&amp;"|"&amp;UPPER(TRIM(C869))&amp;"|"&amp;UPPER(TRIM(D869)),"")</f>
        <v/>
      </c>
    </row>
    <row r="870" ht="15.75" customHeight="1" s="217">
      <c r="A870" s="397" t="n">
        <v>868</v>
      </c>
      <c r="B870" s="397" t="inlineStr">
        <is>
          <t>KH2882</t>
        </is>
      </c>
      <c r="C870" s="398" t="inlineStr">
        <is>
          <t>CH Sanh Bi - Bình Thuận- anh Đạt/ 0817.305.707</t>
        </is>
      </c>
      <c r="D870" s="397" t="inlineStr">
        <is>
          <t>0817.305.707</t>
        </is>
      </c>
      <c r="E870" s="399" t="n"/>
      <c r="F870" s="398" t="inlineStr">
        <is>
          <t>Bắc Bình Thuận</t>
        </is>
      </c>
      <c r="G870" s="397" t="inlineStr">
        <is>
          <t>BTHUAN</t>
        </is>
      </c>
      <c r="H870" s="399" t="n"/>
      <c r="J870" s="392">
        <f>IFERROR(UPPER(TRIM(B870))&amp;"|"&amp;UPPER(TRIM(C870))&amp;"|"&amp;UPPER(TRIM(D870)),"")</f>
        <v/>
      </c>
    </row>
    <row r="871" ht="15.75" customHeight="1" s="217">
      <c r="A871" s="400" t="n">
        <v>869</v>
      </c>
      <c r="B871" s="400" t="inlineStr">
        <is>
          <t>KH2880</t>
        </is>
      </c>
      <c r="C871" s="401" t="inlineStr">
        <is>
          <t>Xưởng tiện Tư Trọng - Hóc Môn/ Anh Trọng: 0908.992.079</t>
        </is>
      </c>
      <c r="D871" s="400" t="inlineStr">
        <is>
          <t>0908.992.079</t>
        </is>
      </c>
      <c r="E871" s="402" t="n"/>
      <c r="F871" s="401" t="inlineStr">
        <is>
          <t>40/3P ắp Đồng Lân, xã Bà Điểm, Hóc Môn, TP HCM</t>
        </is>
      </c>
      <c r="G871" s="400" t="inlineStr">
        <is>
          <t>SG/HCM</t>
        </is>
      </c>
      <c r="H871" s="402" t="n"/>
      <c r="J871" s="392">
        <f>IFERROR(UPPER(TRIM(B871))&amp;"|"&amp;UPPER(TRIM(C871))&amp;"|"&amp;UPPER(TRIM(D871)),"")</f>
        <v/>
      </c>
    </row>
    <row r="872" ht="15.75" customHeight="1" s="217">
      <c r="A872" s="397" t="n">
        <v>870</v>
      </c>
      <c r="B872" s="397" t="inlineStr">
        <is>
          <t>KH2881</t>
        </is>
      </c>
      <c r="C872" s="398" t="inlineStr">
        <is>
          <t>Anh Mẩn - QL13, Thủ Đức/ 0909.253.096</t>
        </is>
      </c>
      <c r="D872" s="397" t="inlineStr">
        <is>
          <t>0909.253.096</t>
        </is>
      </c>
      <c r="E872" s="399" t="n"/>
      <c r="F872" s="398" t="inlineStr">
        <is>
          <t>695 QL13 Hiệp Bình Phước, Thủ Đức, TPHCM</t>
        </is>
      </c>
      <c r="G872" s="397" t="inlineStr">
        <is>
          <t>SG/HCM</t>
        </is>
      </c>
      <c r="H872" s="399" t="n"/>
      <c r="J872" s="392">
        <f>IFERROR(UPPER(TRIM(B872))&amp;"|"&amp;UPPER(TRIM(C872))&amp;"|"&amp;UPPER(TRIM(D872)),"")</f>
        <v/>
      </c>
    </row>
    <row r="873" ht="15.75" customHeight="1" s="217">
      <c r="A873" s="400" t="n">
        <v>871</v>
      </c>
      <c r="B873" s="400" t="inlineStr">
        <is>
          <t>KH2879</t>
        </is>
      </c>
      <c r="C873" s="401" t="inlineStr">
        <is>
          <t>Anh Hồ- Bà Rịa Vũng Tàu - 0968.235.197</t>
        </is>
      </c>
      <c r="D873" s="400" t="inlineStr">
        <is>
          <t>0968.235.197</t>
        </is>
      </c>
      <c r="E873" s="402" t="n"/>
      <c r="F873" s="401" t="inlineStr">
        <is>
          <t>Bà Rịa</t>
        </is>
      </c>
      <c r="G873" s="400" t="inlineStr">
        <is>
          <t>BRVT</t>
        </is>
      </c>
      <c r="H873" s="402" t="n"/>
      <c r="J873" s="392">
        <f>IFERROR(UPPER(TRIM(B873))&amp;"|"&amp;UPPER(TRIM(C873))&amp;"|"&amp;UPPER(TRIM(D873)),"")</f>
        <v/>
      </c>
    </row>
    <row r="874" ht="15.75" customHeight="1" s="217">
      <c r="A874" s="397" t="n">
        <v>872</v>
      </c>
      <c r="B874" s="397" t="inlineStr">
        <is>
          <t>KH2878</t>
        </is>
      </c>
      <c r="C874" s="398" t="inlineStr">
        <is>
          <t>Anh Dũng - Tân Phú, SG / 0908.676.993</t>
        </is>
      </c>
      <c r="D874" s="397" t="inlineStr">
        <is>
          <t>0908.676.993</t>
        </is>
      </c>
      <c r="E874" s="399" t="n"/>
      <c r="F874" s="398" t="inlineStr">
        <is>
          <t>Tân Phú, Sài Gòn</t>
        </is>
      </c>
      <c r="G874" s="397" t="inlineStr">
        <is>
          <t>SG/HCM</t>
        </is>
      </c>
      <c r="H874" s="399" t="n"/>
      <c r="J874" s="392">
        <f>IFERROR(UPPER(TRIM(B874))&amp;"|"&amp;UPPER(TRIM(C874))&amp;"|"&amp;UPPER(TRIM(D874)),"")</f>
        <v/>
      </c>
    </row>
    <row r="875" ht="15.75" customHeight="1" s="217">
      <c r="A875" s="400" t="n">
        <v>873</v>
      </c>
      <c r="B875" s="400" t="inlineStr">
        <is>
          <t>KH2877</t>
        </is>
      </c>
      <c r="C875" s="401" t="inlineStr">
        <is>
          <t>Xưởng tiện anh Hải- Long Khánh/ 0985.067.738</t>
        </is>
      </c>
      <c r="D875" s="400" t="inlineStr">
        <is>
          <t>0985.067.738</t>
        </is>
      </c>
      <c r="E875" s="402" t="n"/>
      <c r="F875" s="401" t="inlineStr">
        <is>
          <t>Chân cầu vượt Long Khánh, Đồng Nai</t>
        </is>
      </c>
      <c r="G875" s="400" t="inlineStr">
        <is>
          <t>ÐNAI</t>
        </is>
      </c>
      <c r="H875" s="402" t="n"/>
      <c r="J875" s="392">
        <f>IFERROR(UPPER(TRIM(B875))&amp;"|"&amp;UPPER(TRIM(C875))&amp;"|"&amp;UPPER(TRIM(D875)),"")</f>
        <v/>
      </c>
    </row>
    <row r="876" ht="15.75" customHeight="1" s="217">
      <c r="A876" s="397" t="n">
        <v>874</v>
      </c>
      <c r="B876" s="397" t="inlineStr">
        <is>
          <t>KH2875</t>
        </is>
      </c>
      <c r="C876" s="398" t="inlineStr">
        <is>
          <t>Anh Tuấn - Hàm Tân/ 0984.769.133</t>
        </is>
      </c>
      <c r="D876" s="397" t="inlineStr">
        <is>
          <t>0984.769.133</t>
        </is>
      </c>
      <c r="E876" s="399" t="n"/>
      <c r="F876" s="398" t="inlineStr">
        <is>
          <t>750 QL55, xã Tân Xuân, Hàm Tân, Bình Thuận</t>
        </is>
      </c>
      <c r="G876" s="397" t="inlineStr">
        <is>
          <t>BTHUAN</t>
        </is>
      </c>
      <c r="H876" s="399" t="n"/>
      <c r="J876" s="392">
        <f>IFERROR(UPPER(TRIM(B876))&amp;"|"&amp;UPPER(TRIM(C876))&amp;"|"&amp;UPPER(TRIM(D876)),"")</f>
        <v/>
      </c>
    </row>
    <row r="877" ht="15.75" customHeight="1" s="217">
      <c r="A877" s="400" t="n">
        <v>875</v>
      </c>
      <c r="B877" s="400" t="inlineStr">
        <is>
          <t>KH2876</t>
        </is>
      </c>
      <c r="C877" s="401" t="inlineStr">
        <is>
          <t>Anh Lâm - Q5 / 0913.923.777</t>
        </is>
      </c>
      <c r="D877" s="400" t="inlineStr">
        <is>
          <t>0913.923.777</t>
        </is>
      </c>
      <c r="E877" s="402" t="n"/>
      <c r="F877" s="401" t="inlineStr">
        <is>
          <t>1071 Nguyễn Trãi, Phường 14, Quận 5, Sài Gòn</t>
        </is>
      </c>
      <c r="G877" s="400" t="inlineStr">
        <is>
          <t>SG/HCM</t>
        </is>
      </c>
      <c r="H877" s="402" t="n"/>
      <c r="J877" s="392">
        <f>IFERROR(UPPER(TRIM(B877))&amp;"|"&amp;UPPER(TRIM(C877))&amp;"|"&amp;UPPER(TRIM(D877)),"")</f>
        <v/>
      </c>
    </row>
    <row r="878" ht="15.75" customHeight="1" s="217">
      <c r="A878" s="397" t="n">
        <v>876</v>
      </c>
      <c r="B878" s="397" t="inlineStr">
        <is>
          <t>KH2873</t>
        </is>
      </c>
      <c r="C878" s="398" t="inlineStr">
        <is>
          <t>Gara Tài Trị - Di Linh/ 0971.234.117</t>
        </is>
      </c>
      <c r="D878" s="397" t="inlineStr">
        <is>
          <t>0971.234.117</t>
        </is>
      </c>
      <c r="E878" s="399" t="n"/>
      <c r="F878" s="398" t="inlineStr">
        <is>
          <t>Di Linh - Lâm Đồng</t>
        </is>
      </c>
      <c r="G878" s="397" t="inlineStr">
        <is>
          <t>LDONG</t>
        </is>
      </c>
      <c r="H878" s="399" t="n"/>
      <c r="J878" s="392">
        <f>IFERROR(UPPER(TRIM(B878))&amp;"|"&amp;UPPER(TRIM(C878))&amp;"|"&amp;UPPER(TRIM(D878)),"")</f>
        <v/>
      </c>
    </row>
    <row r="879" ht="15.75" customHeight="1" s="217">
      <c r="A879" s="400" t="n">
        <v>877</v>
      </c>
      <c r="B879" s="400" t="inlineStr">
        <is>
          <t>KH2874</t>
        </is>
      </c>
      <c r="C879" s="401" t="inlineStr">
        <is>
          <t>Cửa hàng Trâm Hồ- Vĩnh Châu / 0986.777.734</t>
        </is>
      </c>
      <c r="D879" s="400" t="inlineStr">
        <is>
          <t>0986.777.734</t>
        </is>
      </c>
      <c r="E879" s="402" t="n"/>
      <c r="F879" s="401" t="inlineStr">
        <is>
          <t>219 Khóm 7, Phường 1, Vĩnh Châu, Sóc Trăng</t>
        </is>
      </c>
      <c r="G879" s="400" t="inlineStr">
        <is>
          <t>STRANG</t>
        </is>
      </c>
      <c r="H879" s="402" t="n"/>
      <c r="J879" s="392">
        <f>IFERROR(UPPER(TRIM(B879))&amp;"|"&amp;UPPER(TRIM(C879))&amp;"|"&amp;UPPER(TRIM(D879)),"")</f>
        <v/>
      </c>
    </row>
    <row r="880" ht="15.75" customHeight="1" s="217">
      <c r="A880" s="397" t="n">
        <v>878</v>
      </c>
      <c r="B880" s="397" t="inlineStr">
        <is>
          <t>KH2872</t>
        </is>
      </c>
      <c r="C880" s="398" t="inlineStr">
        <is>
          <t>Cửa hàng anh Quyển- Bình Tân/ 0963.877.679</t>
        </is>
      </c>
      <c r="D880" s="397" t="inlineStr">
        <is>
          <t>0963.877.679</t>
        </is>
      </c>
      <c r="E880" s="399" t="n"/>
      <c r="F880" s="398" t="inlineStr">
        <is>
          <t>130/12/24 Lê Đình Cần, P. Tân Tạo, Bình Tân, SG</t>
        </is>
      </c>
      <c r="G880" s="397" t="inlineStr">
        <is>
          <t>SG/HCM</t>
        </is>
      </c>
      <c r="H880" s="399" t="n"/>
      <c r="J880" s="392">
        <f>IFERROR(UPPER(TRIM(B880))&amp;"|"&amp;UPPER(TRIM(C880))&amp;"|"&amp;UPPER(TRIM(D880)),"")</f>
        <v/>
      </c>
    </row>
    <row r="881" ht="15.75" customHeight="1" s="217">
      <c r="A881" s="400" t="n">
        <v>879</v>
      </c>
      <c r="B881" s="400" t="inlineStr">
        <is>
          <t>KH2871</t>
        </is>
      </c>
      <c r="C881" s="401" t="inlineStr">
        <is>
          <t>Công ty TNHH XNK Xe Nâng Việt Nhật - Bình Dương/  Chị Tiên 0909.160.106</t>
        </is>
      </c>
      <c r="D881" s="400" t="inlineStr">
        <is>
          <t>0909.160.106</t>
        </is>
      </c>
      <c r="E881" s="402" t="n"/>
      <c r="F881" s="401" t="inlineStr">
        <is>
          <t>53, Kp.Tây, P.Vĩnh Phú, Tp.Thuận An, Tỉnh Bình Dương</t>
        </is>
      </c>
      <c r="G881" s="400" t="inlineStr">
        <is>
          <t>SG/HCM</t>
        </is>
      </c>
      <c r="H881" s="402" t="n"/>
      <c r="J881" s="392">
        <f>IFERROR(UPPER(TRIM(B881))&amp;"|"&amp;UPPER(TRIM(C881))&amp;"|"&amp;UPPER(TRIM(D881)),"")</f>
        <v/>
      </c>
    </row>
    <row r="882" ht="15.75" customHeight="1" s="217">
      <c r="A882" s="397" t="n">
        <v>880</v>
      </c>
      <c r="B882" s="397" t="inlineStr">
        <is>
          <t>KH2870</t>
        </is>
      </c>
      <c r="C882" s="398" t="inlineStr">
        <is>
          <t>Quốc Huy- Vạn Bình- Khánh Hòa/ 0987.227.765- 0988.123.514</t>
        </is>
      </c>
      <c r="D882" s="397" t="inlineStr">
        <is>
          <t>0987.227.765- / 0988.123.514</t>
        </is>
      </c>
      <c r="E882" s="399" t="n"/>
      <c r="F882" s="398" t="inlineStr">
        <is>
          <t>QL1A, Vạn Bình, Vạn Ninh, Khánh Hòa</t>
        </is>
      </c>
      <c r="G882" s="397" t="inlineStr">
        <is>
          <t>NTRANG</t>
        </is>
      </c>
      <c r="H882" s="399" t="n"/>
      <c r="J882" s="392">
        <f>IFERROR(UPPER(TRIM(B882))&amp;"|"&amp;UPPER(TRIM(C882))&amp;"|"&amp;UPPER(TRIM(D882)),"")</f>
        <v/>
      </c>
    </row>
    <row r="883" ht="15.75" customHeight="1" s="217">
      <c r="A883" s="400" t="n">
        <v>881</v>
      </c>
      <c r="B883" s="400" t="inlineStr">
        <is>
          <t>KH2868</t>
        </is>
      </c>
      <c r="C883" s="401" t="inlineStr">
        <is>
          <t>Cửa hàng Anh Vũ - SG/ 0986.315.167</t>
        </is>
      </c>
      <c r="D883" s="400" t="inlineStr">
        <is>
          <t>0986.315.167</t>
        </is>
      </c>
      <c r="E883" s="402" t="n"/>
      <c r="F883" s="401" t="inlineStr">
        <is>
          <t>87A Nguyễn Thị Nhỏ, P2, Q6, Sài Gòn</t>
        </is>
      </c>
      <c r="G883" s="400" t="inlineStr">
        <is>
          <t>SG/HCM</t>
        </is>
      </c>
      <c r="H883" s="402" t="n"/>
      <c r="J883" s="392">
        <f>IFERROR(UPPER(TRIM(B883))&amp;"|"&amp;UPPER(TRIM(C883))&amp;"|"&amp;UPPER(TRIM(D883)),"")</f>
        <v/>
      </c>
    </row>
    <row r="884" ht="15.75" customHeight="1" s="217">
      <c r="A884" s="397" t="n">
        <v>882</v>
      </c>
      <c r="B884" s="397" t="inlineStr">
        <is>
          <t>KH2869</t>
        </is>
      </c>
      <c r="C884" s="398" t="inlineStr">
        <is>
          <t>Cửa Hàng Minh Thắng- Đồng Tháp /0939.493.617</t>
        </is>
      </c>
      <c r="D884" s="397" t="inlineStr">
        <is>
          <t>0939.493.617</t>
        </is>
      </c>
      <c r="E884" s="399" t="n"/>
      <c r="F884" s="398" t="inlineStr">
        <is>
          <t>Lai Dung, Đồng Tháp</t>
        </is>
      </c>
      <c r="G884" s="397" t="inlineStr">
        <is>
          <t>DTHAP</t>
        </is>
      </c>
      <c r="H884" s="399" t="n"/>
      <c r="J884" s="392">
        <f>IFERROR(UPPER(TRIM(B884))&amp;"|"&amp;UPPER(TRIM(C884))&amp;"|"&amp;UPPER(TRIM(D884)),"")</f>
        <v/>
      </c>
    </row>
    <row r="885" ht="15.75" customHeight="1" s="217">
      <c r="A885" s="400" t="n">
        <v>883</v>
      </c>
      <c r="B885" s="400" t="inlineStr">
        <is>
          <t>KH2866</t>
        </is>
      </c>
      <c r="C885" s="401" t="inlineStr">
        <is>
          <t>Gara Lý- An Khê- Gia Lai/ 0973.488.978</t>
        </is>
      </c>
      <c r="D885" s="400" t="inlineStr">
        <is>
          <t>0973.488.978</t>
        </is>
      </c>
      <c r="E885" s="402" t="n"/>
      <c r="F885" s="401" t="inlineStr">
        <is>
          <t>Núi Đá, Ngô Mây, Gia Lai</t>
        </is>
      </c>
      <c r="G885" s="400" t="inlineStr">
        <is>
          <t>GLAI</t>
        </is>
      </c>
      <c r="H885" s="402" t="n"/>
      <c r="J885" s="392">
        <f>IFERROR(UPPER(TRIM(B885))&amp;"|"&amp;UPPER(TRIM(C885))&amp;"|"&amp;UPPER(TRIM(D885)),"")</f>
        <v/>
      </c>
    </row>
    <row r="886" ht="15.75" customHeight="1" s="217">
      <c r="A886" s="397" t="n">
        <v>884</v>
      </c>
      <c r="B886" s="397" t="inlineStr">
        <is>
          <t>KH2867</t>
        </is>
      </c>
      <c r="C886" s="398" t="inlineStr">
        <is>
          <t>Xưởng Anh Sự - SG/ 0989.060.568</t>
        </is>
      </c>
      <c r="D886" s="397" t="inlineStr">
        <is>
          <t>0989.060.568</t>
        </is>
      </c>
      <c r="E886" s="399" t="n"/>
      <c r="F886" s="398" t="inlineStr">
        <is>
          <t>Cảng Cát Lái, Sài Gòn</t>
        </is>
      </c>
      <c r="G886" s="397" t="inlineStr">
        <is>
          <t>SG/HCM</t>
        </is>
      </c>
      <c r="H886" s="399" t="n"/>
      <c r="J886" s="392">
        <f>IFERROR(UPPER(TRIM(B886))&amp;"|"&amp;UPPER(TRIM(C886))&amp;"|"&amp;UPPER(TRIM(D886)),"")</f>
        <v/>
      </c>
    </row>
    <row r="887" ht="15.75" customHeight="1" s="217">
      <c r="A887" s="400" t="n">
        <v>885</v>
      </c>
      <c r="B887" s="400" t="inlineStr">
        <is>
          <t>KH2865</t>
        </is>
      </c>
      <c r="C887" s="401" t="inlineStr">
        <is>
          <t>Phước Toàn- Sài Gòn / 0903.803.683/ 0933.803.683</t>
        </is>
      </c>
      <c r="D887" s="400" t="inlineStr">
        <is>
          <t>0903.803.683 / 0933.803.683</t>
        </is>
      </c>
      <c r="E887" s="402" t="n"/>
      <c r="F887" s="401" t="inlineStr">
        <is>
          <t>851 Kinh Dương Vương, P An Lạc, Bình Tân, SG</t>
        </is>
      </c>
      <c r="G887" s="400" t="inlineStr">
        <is>
          <t>SG/HCM</t>
        </is>
      </c>
      <c r="H887" s="402" t="n"/>
      <c r="J887" s="392">
        <f>IFERROR(UPPER(TRIM(B887))&amp;"|"&amp;UPPER(TRIM(C887))&amp;"|"&amp;UPPER(TRIM(D887)),"")</f>
        <v/>
      </c>
    </row>
    <row r="888" ht="15.75" customHeight="1" s="217">
      <c r="A888" s="397" t="n">
        <v>886</v>
      </c>
      <c r="B888" s="397" t="inlineStr">
        <is>
          <t>KH2863</t>
        </is>
      </c>
      <c r="C888" s="398" t="inlineStr">
        <is>
          <t>Công ty CP Nhân Lực - Anh Tâm 0901303585</t>
        </is>
      </c>
      <c r="D888" s="397" t="inlineStr">
        <is>
          <t>0901303585</t>
        </is>
      </c>
      <c r="E888" s="399" t="n"/>
      <c r="F888" s="398" t="inlineStr">
        <is>
          <t>147 Quốc lộ 1A, An Phú Đông, Quận 12, Tp HCM</t>
        </is>
      </c>
      <c r="G888" s="397" t="inlineStr">
        <is>
          <t>SG/HCM</t>
        </is>
      </c>
      <c r="H888" s="399" t="n"/>
      <c r="J888" s="392">
        <f>IFERROR(UPPER(TRIM(B888))&amp;"|"&amp;UPPER(TRIM(C888))&amp;"|"&amp;UPPER(TRIM(D888)),"")</f>
        <v/>
      </c>
    </row>
    <row r="889" ht="15.75" customHeight="1" s="217">
      <c r="A889" s="400" t="n">
        <v>887</v>
      </c>
      <c r="B889" s="400" t="inlineStr">
        <is>
          <t>KH2864</t>
        </is>
      </c>
      <c r="C889" s="401" t="inlineStr">
        <is>
          <t>Công ty TNHH Máy Công Trình Tùng Linh- Anh Tuấn/ 0706.289.999</t>
        </is>
      </c>
      <c r="D889" s="400" t="inlineStr">
        <is>
          <t>0706.289.999</t>
        </is>
      </c>
      <c r="E889" s="402" t="n"/>
      <c r="F889" s="401" t="inlineStr">
        <is>
          <t>Tổ dân phố Nội Thương, Dương Xá, Gia Lâm, Hà Nội</t>
        </is>
      </c>
      <c r="G889" s="400" t="inlineStr">
        <is>
          <t>SG/HCM</t>
        </is>
      </c>
      <c r="H889" s="402" t="n"/>
      <c r="J889" s="392">
        <f>IFERROR(UPPER(TRIM(B889))&amp;"|"&amp;UPPER(TRIM(C889))&amp;"|"&amp;UPPER(TRIM(D889)),"")</f>
        <v/>
      </c>
    </row>
    <row r="890" ht="15.75" customHeight="1" s="217">
      <c r="A890" s="397" t="n">
        <v>888</v>
      </c>
      <c r="B890" s="397" t="inlineStr">
        <is>
          <t>KH2862</t>
        </is>
      </c>
      <c r="C890" s="398" t="inlineStr">
        <is>
          <t>Chị Nguyên - Tân Bình, SG/ 0903.185.409</t>
        </is>
      </c>
      <c r="D890" s="397" t="inlineStr">
        <is>
          <t>0903.185.409</t>
        </is>
      </c>
      <c r="E890" s="399" t="n"/>
      <c r="F890" s="398" t="inlineStr">
        <is>
          <t>Tân Bình, Sài Gòn</t>
        </is>
      </c>
      <c r="G890" s="397" t="inlineStr">
        <is>
          <t>SG/HCM</t>
        </is>
      </c>
      <c r="H890" s="399" t="n"/>
      <c r="J890" s="392">
        <f>IFERROR(UPPER(TRIM(B890))&amp;"|"&amp;UPPER(TRIM(C890))&amp;"|"&amp;UPPER(TRIM(D890)),"")</f>
        <v/>
      </c>
    </row>
    <row r="891" ht="15.75" customHeight="1" s="217">
      <c r="A891" s="400" t="n">
        <v>889</v>
      </c>
      <c r="B891" s="400" t="inlineStr">
        <is>
          <t>KH2860</t>
        </is>
      </c>
      <c r="C891" s="401" t="inlineStr">
        <is>
          <t>Gara Tuấn - Bảo Lộc/ 0978.464.458</t>
        </is>
      </c>
      <c r="D891" s="400" t="inlineStr">
        <is>
          <t>0978.464.458</t>
        </is>
      </c>
      <c r="E891" s="402" t="n"/>
      <c r="F891" s="401" t="inlineStr">
        <is>
          <t>bảo Lộc - Lâm Đồng</t>
        </is>
      </c>
      <c r="G891" s="400" t="inlineStr">
        <is>
          <t>LDONG</t>
        </is>
      </c>
      <c r="H891" s="402" t="n"/>
      <c r="J891" s="392">
        <f>IFERROR(UPPER(TRIM(B891))&amp;"|"&amp;UPPER(TRIM(C891))&amp;"|"&amp;UPPER(TRIM(D891)),"")</f>
        <v/>
      </c>
    </row>
    <row r="892" ht="15.75" customHeight="1" s="217">
      <c r="A892" s="397" t="n">
        <v>890</v>
      </c>
      <c r="B892" s="397" t="inlineStr">
        <is>
          <t>KH2861</t>
        </is>
      </c>
      <c r="C892" s="398" t="inlineStr">
        <is>
          <t>Anh Minh- Kontum/ 0903.570.332</t>
        </is>
      </c>
      <c r="D892" s="397" t="inlineStr">
        <is>
          <t>0903.570.332</t>
        </is>
      </c>
      <c r="E892" s="399" t="n"/>
      <c r="F892" s="398" t="inlineStr">
        <is>
          <t>Kontum</t>
        </is>
      </c>
      <c r="G892" s="397" t="inlineStr">
        <is>
          <t>KTUM</t>
        </is>
      </c>
      <c r="H892" s="399" t="n"/>
      <c r="J892" s="392">
        <f>IFERROR(UPPER(TRIM(B892))&amp;"|"&amp;UPPER(TRIM(C892))&amp;"|"&amp;UPPER(TRIM(D892)),"")</f>
        <v/>
      </c>
    </row>
    <row r="893" ht="15.75" customHeight="1" s="217">
      <c r="A893" s="400" t="n">
        <v>891</v>
      </c>
      <c r="B893" s="400" t="inlineStr">
        <is>
          <t>KH2859</t>
        </is>
      </c>
      <c r="C893" s="401" t="inlineStr">
        <is>
          <t>Anh Thái- Dĩ An - 0937.677.318</t>
        </is>
      </c>
      <c r="D893" s="400" t="inlineStr">
        <is>
          <t>0937.677.318</t>
        </is>
      </c>
      <c r="E893" s="402" t="n"/>
      <c r="F893" s="401" t="inlineStr">
        <is>
          <t>Bình Dương</t>
        </is>
      </c>
      <c r="G893" s="400" t="inlineStr">
        <is>
          <t>BDUONG</t>
        </is>
      </c>
      <c r="H893" s="402" t="n"/>
      <c r="J893" s="392">
        <f>IFERROR(UPPER(TRIM(B893))&amp;"|"&amp;UPPER(TRIM(C893))&amp;"|"&amp;UPPER(TRIM(D893)),"")</f>
        <v/>
      </c>
    </row>
    <row r="894" ht="15.75" customHeight="1" s="217">
      <c r="A894" s="397" t="n">
        <v>892</v>
      </c>
      <c r="B894" s="397" t="inlineStr">
        <is>
          <t>KH2858</t>
        </is>
      </c>
      <c r="C894" s="398" t="inlineStr">
        <is>
          <t>Xưởng tiện Hổ Tài, Anh Tài: 0935.791.554</t>
        </is>
      </c>
      <c r="D894" s="397" t="inlineStr">
        <is>
          <t>0935.791.554</t>
        </is>
      </c>
      <c r="E894" s="399" t="n"/>
      <c r="F894" s="398" t="inlineStr">
        <is>
          <t>489 QL1A, KP2, Linh Xuân, Thủ Đức, qua cầu vượt Linh Xuân hướng về ngã 4 Bình Phước</t>
        </is>
      </c>
      <c r="G894" s="397" t="inlineStr">
        <is>
          <t>SG/HCM</t>
        </is>
      </c>
      <c r="H894" s="399" t="n"/>
      <c r="J894" s="392">
        <f>IFERROR(UPPER(TRIM(B894))&amp;"|"&amp;UPPER(TRIM(C894))&amp;"|"&amp;UPPER(TRIM(D894)),"")</f>
        <v/>
      </c>
    </row>
    <row r="895" ht="15.75" customHeight="1" s="217">
      <c r="A895" s="400" t="n">
        <v>893</v>
      </c>
      <c r="B895" s="400" t="inlineStr">
        <is>
          <t>KH2857</t>
        </is>
      </c>
      <c r="C895" s="401" t="inlineStr">
        <is>
          <t>Gara Luận - Bình Thuận. 0937.727.380</t>
        </is>
      </c>
      <c r="D895" s="400" t="inlineStr">
        <is>
          <t>0937.727.380</t>
        </is>
      </c>
      <c r="E895" s="402" t="n"/>
      <c r="F895" s="401" t="inlineStr">
        <is>
          <t>Gần Cây xăng dầu Đăng Nam, Vĩnh Hảo, Tuy phong, Bình Thuận</t>
        </is>
      </c>
      <c r="G895" s="400" t="inlineStr">
        <is>
          <t>BTHUAN</t>
        </is>
      </c>
      <c r="H895" s="402" t="n"/>
      <c r="J895" s="392">
        <f>IFERROR(UPPER(TRIM(B895))&amp;"|"&amp;UPPER(TRIM(C895))&amp;"|"&amp;UPPER(TRIM(D895)),"")</f>
        <v/>
      </c>
    </row>
    <row r="896" ht="15.75" customHeight="1" s="217">
      <c r="A896" s="397" t="n">
        <v>894</v>
      </c>
      <c r="B896" s="397" t="inlineStr">
        <is>
          <t>KH2856</t>
        </is>
      </c>
      <c r="C896" s="398" t="inlineStr">
        <is>
          <t>Anh Vinh- Quận 11, SG- Hàng bãi/ 0915.488.914</t>
        </is>
      </c>
      <c r="D896" s="397" t="inlineStr">
        <is>
          <t>0915.488.914</t>
        </is>
      </c>
      <c r="E896" s="399" t="n"/>
      <c r="F896" s="398" t="inlineStr">
        <is>
          <t>Sài Gòn</t>
        </is>
      </c>
      <c r="G896" s="397" t="inlineStr">
        <is>
          <t>SG/HCM</t>
        </is>
      </c>
      <c r="H896" s="399" t="n"/>
      <c r="J896" s="392">
        <f>IFERROR(UPPER(TRIM(B896))&amp;"|"&amp;UPPER(TRIM(C896))&amp;"|"&amp;UPPER(TRIM(D896)),"")</f>
        <v/>
      </c>
    </row>
    <row r="897" ht="15.75" customHeight="1" s="217">
      <c r="A897" s="400" t="n">
        <v>895</v>
      </c>
      <c r="B897" s="400" t="inlineStr">
        <is>
          <t>KH2855</t>
        </is>
      </c>
      <c r="C897" s="401" t="inlineStr">
        <is>
          <t>Xưởng anh Hân- Bà Rịa / 0937.036.616</t>
        </is>
      </c>
      <c r="D897" s="400" t="inlineStr">
        <is>
          <t>0937.036.616</t>
        </is>
      </c>
      <c r="E897" s="402" t="n"/>
      <c r="F897" s="401" t="inlineStr">
        <is>
          <t>Bà Rịa Vũng Tàu</t>
        </is>
      </c>
      <c r="G897" s="400" t="inlineStr">
        <is>
          <t>BRVT</t>
        </is>
      </c>
      <c r="H897" s="402" t="n"/>
      <c r="J897" s="392">
        <f>IFERROR(UPPER(TRIM(B897))&amp;"|"&amp;UPPER(TRIM(C897))&amp;"|"&amp;UPPER(TRIM(D897)),"")</f>
        <v/>
      </c>
    </row>
    <row r="898" ht="15.75" customHeight="1" s="217">
      <c r="A898" s="397" t="n">
        <v>896</v>
      </c>
      <c r="B898" s="397" t="inlineStr">
        <is>
          <t>KH2854</t>
        </is>
      </c>
      <c r="C898" s="398" t="inlineStr">
        <is>
          <t>Công ty CPKS Sông Bình - Bình Thuận/ 0909.028.967</t>
        </is>
      </c>
      <c r="D898" s="397" t="inlineStr">
        <is>
          <t>0909.028.967</t>
        </is>
      </c>
      <c r="E898" s="399" t="n"/>
      <c r="F898" s="398" t="inlineStr">
        <is>
          <t>Bình Thuận</t>
        </is>
      </c>
      <c r="G898" s="397" t="inlineStr">
        <is>
          <t>BTHUAN</t>
        </is>
      </c>
      <c r="H898" s="399" t="n"/>
      <c r="J898" s="392">
        <f>IFERROR(UPPER(TRIM(B898))&amp;"|"&amp;UPPER(TRIM(C898))&amp;"|"&amp;UPPER(TRIM(D898)),"")</f>
        <v/>
      </c>
    </row>
    <row r="899" ht="15.75" customHeight="1" s="217">
      <c r="A899" s="400" t="n">
        <v>897</v>
      </c>
      <c r="B899" s="400" t="inlineStr">
        <is>
          <t>KH2853</t>
        </is>
      </c>
      <c r="C899" s="401" t="inlineStr">
        <is>
          <t>Anh Hiếu xe nâng- Sài Gòn /0909.696.249</t>
        </is>
      </c>
      <c r="D899" s="400" t="inlineStr">
        <is>
          <t>0909.696.249</t>
        </is>
      </c>
      <c r="E899" s="402" t="n"/>
      <c r="F899" s="401" t="inlineStr">
        <is>
          <t>Sài Gòn</t>
        </is>
      </c>
      <c r="G899" s="400" t="inlineStr">
        <is>
          <t>SG/HCM</t>
        </is>
      </c>
      <c r="H899" s="402" t="n"/>
      <c r="J899" s="392">
        <f>IFERROR(UPPER(TRIM(B899))&amp;"|"&amp;UPPER(TRIM(C899))&amp;"|"&amp;UPPER(TRIM(D899)),"")</f>
        <v/>
      </c>
    </row>
    <row r="900" ht="15.75" customHeight="1" s="217">
      <c r="A900" s="397" t="n">
        <v>898</v>
      </c>
      <c r="B900" s="397" t="inlineStr">
        <is>
          <t>KH2852</t>
        </is>
      </c>
      <c r="C900" s="398" t="inlineStr">
        <is>
          <t>Cửa hàng Thảo Bình - Đà Nẵng/ 0919.300.604- 0905.300.604</t>
        </is>
      </c>
      <c r="D900" s="397" t="inlineStr">
        <is>
          <t>0919.300.604- / 0905.300.604</t>
        </is>
      </c>
      <c r="E900" s="399" t="n"/>
      <c r="F900" s="398" t="inlineStr">
        <is>
          <t>28 Bắc Sơn, Hòa An, Cẩm Lệ, Đà Nẵng</t>
        </is>
      </c>
      <c r="G900" s="397" t="inlineStr">
        <is>
          <t>DNANG</t>
        </is>
      </c>
      <c r="H900" s="399" t="n"/>
      <c r="J900" s="392">
        <f>IFERROR(UPPER(TRIM(B900))&amp;"|"&amp;UPPER(TRIM(C900))&amp;"|"&amp;UPPER(TRIM(D900)),"")</f>
        <v/>
      </c>
    </row>
    <row r="901" ht="15.75" customHeight="1" s="217">
      <c r="A901" s="400" t="n">
        <v>899</v>
      </c>
      <c r="B901" s="400" t="inlineStr">
        <is>
          <t>ANQ</t>
        </is>
      </c>
      <c r="C901" s="401" t="inlineStr">
        <is>
          <t>ANQING DINGLI AUTO PARTS CO.,LTD (sx supap)</t>
        </is>
      </c>
      <c r="D901" s="402" t="n"/>
      <c r="E901" s="402" t="n"/>
      <c r="F901" s="401" t="inlineStr">
        <is>
          <t>No.19 Lantian Road WangJiang County Economic development zone Anqing city,Anhui</t>
        </is>
      </c>
      <c r="G901" s="402" t="n"/>
      <c r="H901" s="402" t="n"/>
      <c r="J901" s="392">
        <f>IFERROR(UPPER(TRIM(B901))&amp;"|"&amp;UPPER(TRIM(C901))&amp;"|"&amp;UPPER(TRIM(D901)),"")</f>
        <v/>
      </c>
    </row>
    <row r="902" ht="15.75" customHeight="1" s="217">
      <c r="A902" s="397" t="n">
        <v>900</v>
      </c>
      <c r="B902" s="397" t="inlineStr">
        <is>
          <t>KH2851</t>
        </is>
      </c>
      <c r="C902" s="398" t="inlineStr">
        <is>
          <t>Gara Hùng Thuận - Hà Tĩnh / 0913.356.677-  0936.262.162</t>
        </is>
      </c>
      <c r="D902" s="397" t="inlineStr">
        <is>
          <t>0913.356.677- / 0936.262.162</t>
        </is>
      </c>
      <c r="E902" s="399" t="n"/>
      <c r="F902" s="398" t="inlineStr">
        <is>
          <t>(Gần trạm đăng kiểm) Bắc Thượng, Thạch Đài, Thạch Hà, Hà Tĩnh</t>
        </is>
      </c>
      <c r="G902" s="399" t="n"/>
      <c r="H902" s="399" t="n"/>
      <c r="J902" s="392">
        <f>IFERROR(UPPER(TRIM(B902))&amp;"|"&amp;UPPER(TRIM(C902))&amp;"|"&amp;UPPER(TRIM(D902)),"")</f>
        <v/>
      </c>
    </row>
    <row r="903" ht="15.75" customHeight="1" s="217">
      <c r="A903" s="400" t="n">
        <v>901</v>
      </c>
      <c r="B903" s="400" t="inlineStr">
        <is>
          <t>PUFENG</t>
        </is>
      </c>
      <c r="C903" s="401" t="inlineStr">
        <is>
          <t>Pufeng crankshaft (Hong Kong High Tech Auto Parts Co., Limited)</t>
        </is>
      </c>
      <c r="D903" s="402" t="n"/>
      <c r="E903" s="402" t="n"/>
      <c r="F903" s="401" t="inlineStr">
        <is>
          <t>HONG KONG</t>
        </is>
      </c>
      <c r="G903" s="402" t="n"/>
      <c r="H903" s="402" t="n"/>
      <c r="J903" s="392">
        <f>IFERROR(UPPER(TRIM(B903))&amp;"|"&amp;UPPER(TRIM(C903))&amp;"|"&amp;UPPER(TRIM(D903)),"")</f>
        <v/>
      </c>
    </row>
    <row r="904" ht="15.75" customHeight="1" s="217">
      <c r="A904" s="397" t="n">
        <v>902</v>
      </c>
      <c r="B904" s="397" t="inlineStr">
        <is>
          <t>KH2849</t>
        </is>
      </c>
      <c r="C904" s="398" t="inlineStr">
        <is>
          <t>Anh Lưu- Tân Hà - 0975.066.788</t>
        </is>
      </c>
      <c r="D904" s="397" t="inlineStr">
        <is>
          <t>0975.066.788</t>
        </is>
      </c>
      <c r="E904" s="399" t="n"/>
      <c r="F904" s="398" t="inlineStr">
        <is>
          <t>Tân Hà, Lâm Hà, Lâm Đồng</t>
        </is>
      </c>
      <c r="G904" s="397" t="inlineStr">
        <is>
          <t>LDONG</t>
        </is>
      </c>
      <c r="H904" s="399" t="n"/>
      <c r="J904" s="392">
        <f>IFERROR(UPPER(TRIM(B904))&amp;"|"&amp;UPPER(TRIM(C904))&amp;"|"&amp;UPPER(TRIM(D904)),"")</f>
        <v/>
      </c>
    </row>
    <row r="905" ht="15.75" customHeight="1" s="217">
      <c r="A905" s="400" t="n">
        <v>903</v>
      </c>
      <c r="B905" s="400" t="inlineStr">
        <is>
          <t>KH2850</t>
        </is>
      </c>
      <c r="C905" s="401" t="inlineStr">
        <is>
          <t>Anh Hùng - Gia Lai / 0978.564.888</t>
        </is>
      </c>
      <c r="D905" s="400" t="inlineStr">
        <is>
          <t>0978.564.888</t>
        </is>
      </c>
      <c r="E905" s="402" t="n"/>
      <c r="F905" s="401" t="inlineStr">
        <is>
          <t>TP. Pleiku, Gia Lai</t>
        </is>
      </c>
      <c r="G905" s="400" t="inlineStr">
        <is>
          <t>GLAI</t>
        </is>
      </c>
      <c r="H905" s="402" t="n"/>
      <c r="J905" s="392">
        <f>IFERROR(UPPER(TRIM(B905))&amp;"|"&amp;UPPER(TRIM(C905))&amp;"|"&amp;UPPER(TRIM(D905)),"")</f>
        <v/>
      </c>
    </row>
    <row r="906" ht="15.75" customHeight="1" s="217">
      <c r="A906" s="397" t="n">
        <v>904</v>
      </c>
      <c r="B906" s="397" t="inlineStr">
        <is>
          <t>KH2848</t>
        </is>
      </c>
      <c r="C906" s="398" t="inlineStr">
        <is>
          <t>Anh Doanh- Kiên Giang / 0983.455.636</t>
        </is>
      </c>
      <c r="D906" s="397" t="inlineStr">
        <is>
          <t>0983.455.636</t>
        </is>
      </c>
      <c r="E906" s="399" t="n"/>
      <c r="F906" s="398" t="inlineStr">
        <is>
          <t>Đông Dương, Phú Quôc, Kiên Giang</t>
        </is>
      </c>
      <c r="G906" s="397" t="inlineStr">
        <is>
          <t>KG</t>
        </is>
      </c>
      <c r="H906" s="399" t="n"/>
      <c r="J906" s="392">
        <f>IFERROR(UPPER(TRIM(B906))&amp;"|"&amp;UPPER(TRIM(C906))&amp;"|"&amp;UPPER(TRIM(D906)),"")</f>
        <v/>
      </c>
    </row>
    <row r="907" ht="15.75" customHeight="1" s="217">
      <c r="A907" s="400" t="n">
        <v>905</v>
      </c>
      <c r="B907" s="400" t="inlineStr">
        <is>
          <t>KH2847</t>
        </is>
      </c>
      <c r="C907" s="401" t="inlineStr">
        <is>
          <t>Cửa hàng Việt Linh- Kiên Giang/ 0914.476.448</t>
        </is>
      </c>
      <c r="D907" s="400" t="inlineStr">
        <is>
          <t>0914.476.448</t>
        </is>
      </c>
      <c r="E907" s="402" t="n"/>
      <c r="F907" s="401" t="inlineStr">
        <is>
          <t>Bình Minh, Vĩnh Thuận, Kiên Giang</t>
        </is>
      </c>
      <c r="G907" s="400" t="inlineStr">
        <is>
          <t>KG</t>
        </is>
      </c>
      <c r="H907" s="400" t="inlineStr">
        <is>
          <t>Lấy tiền: 308/40/11 Nguyễn Tri Phương, P4, Q10. ĐT: 0839.271.020</t>
        </is>
      </c>
      <c r="J907" s="392">
        <f>IFERROR(UPPER(TRIM(B907))&amp;"|"&amp;UPPER(TRIM(C907))&amp;"|"&amp;UPPER(TRIM(D907)),"")</f>
        <v/>
      </c>
    </row>
    <row r="908" ht="15.75" customHeight="1" s="217">
      <c r="A908" s="397" t="n">
        <v>906</v>
      </c>
      <c r="B908" s="397" t="inlineStr">
        <is>
          <t>KH2846</t>
        </is>
      </c>
      <c r="C908" s="398" t="inlineStr">
        <is>
          <t>Xưởng anh Thắng - Gia Lai/ 0974.403.279</t>
        </is>
      </c>
      <c r="D908" s="397" t="inlineStr">
        <is>
          <t>0974.403.279</t>
        </is>
      </c>
      <c r="E908" s="399" t="n"/>
      <c r="F908" s="398" t="inlineStr">
        <is>
          <t>Gia Lai</t>
        </is>
      </c>
      <c r="G908" s="397" t="inlineStr">
        <is>
          <t>GLAI</t>
        </is>
      </c>
      <c r="H908" s="399" t="n"/>
      <c r="J908" s="392">
        <f>IFERROR(UPPER(TRIM(B908))&amp;"|"&amp;UPPER(TRIM(C908))&amp;"|"&amp;UPPER(TRIM(D908)),"")</f>
        <v/>
      </c>
    </row>
    <row r="909" ht="15.75" customHeight="1" s="217">
      <c r="A909" s="400" t="n">
        <v>907</v>
      </c>
      <c r="B909" s="400" t="inlineStr">
        <is>
          <t>KH2845</t>
        </is>
      </c>
      <c r="C909" s="401" t="inlineStr">
        <is>
          <t>Anh Hậu - Bình Dương 0978.307.673</t>
        </is>
      </c>
      <c r="D909" s="400" t="inlineStr">
        <is>
          <t>0978.307.673</t>
        </is>
      </c>
      <c r="E909" s="402" t="n"/>
      <c r="F909" s="401" t="inlineStr">
        <is>
          <t>Bãi máy kế bên đại học nông lâm, Bình Dương</t>
        </is>
      </c>
      <c r="G909" s="400" t="inlineStr">
        <is>
          <t>SG/HCM</t>
        </is>
      </c>
      <c r="H909" s="402" t="n"/>
      <c r="J909" s="392">
        <f>IFERROR(UPPER(TRIM(B909))&amp;"|"&amp;UPPER(TRIM(C909))&amp;"|"&amp;UPPER(TRIM(D909)),"")</f>
        <v/>
      </c>
    </row>
    <row r="910" ht="15.75" customHeight="1" s="217">
      <c r="A910" s="397" t="n">
        <v>908</v>
      </c>
      <c r="B910" s="397" t="inlineStr">
        <is>
          <t>KH2844</t>
        </is>
      </c>
      <c r="C910" s="398" t="inlineStr">
        <is>
          <t>Công ty GPM - Anh Khải - Quận 2/ 0904.747.218</t>
        </is>
      </c>
      <c r="D910" s="397" t="inlineStr">
        <is>
          <t>0904.747.218</t>
        </is>
      </c>
      <c r="E910" s="399" t="n"/>
      <c r="F910" s="398" t="inlineStr">
        <is>
          <t>Bình Thuận</t>
        </is>
      </c>
      <c r="G910" s="397" t="inlineStr">
        <is>
          <t>BTHUAN</t>
        </is>
      </c>
      <c r="H910" s="399" t="n"/>
      <c r="J910" s="392">
        <f>IFERROR(UPPER(TRIM(B910))&amp;"|"&amp;UPPER(TRIM(C910))&amp;"|"&amp;UPPER(TRIM(D910)),"")</f>
        <v/>
      </c>
    </row>
    <row r="911" ht="15.75" customHeight="1" s="217">
      <c r="A911" s="400" t="n">
        <v>909</v>
      </c>
      <c r="B911" s="400" t="inlineStr">
        <is>
          <t>KH2843</t>
        </is>
      </c>
      <c r="C911" s="401" t="inlineStr">
        <is>
          <t>Anh Quý - Suối Tiên, SG/ 0834.008.378</t>
        </is>
      </c>
      <c r="D911" s="400" t="inlineStr">
        <is>
          <t>0834.008.378</t>
        </is>
      </c>
      <c r="E911" s="402" t="n"/>
      <c r="F911" s="401" t="inlineStr">
        <is>
          <t>Sài Gòn</t>
        </is>
      </c>
      <c r="G911" s="400" t="inlineStr">
        <is>
          <t>SG/HCM</t>
        </is>
      </c>
      <c r="H911" s="402" t="n"/>
      <c r="J911" s="392">
        <f>IFERROR(UPPER(TRIM(B911))&amp;"|"&amp;UPPER(TRIM(C911))&amp;"|"&amp;UPPER(TRIM(D911)),"")</f>
        <v/>
      </c>
    </row>
    <row r="912" ht="15.75" customHeight="1" s="217">
      <c r="A912" s="397" t="n">
        <v>910</v>
      </c>
      <c r="B912" s="397" t="inlineStr">
        <is>
          <t>KH2842</t>
        </is>
      </c>
      <c r="C912" s="398" t="inlineStr">
        <is>
          <t>Anh Dũng - Đà Lạt/ 0913.154.439</t>
        </is>
      </c>
      <c r="D912" s="397" t="inlineStr">
        <is>
          <t>0913.154.439</t>
        </is>
      </c>
      <c r="E912" s="399" t="n"/>
      <c r="F912" s="398" t="inlineStr">
        <is>
          <t>Đà Lạt, Lâm Đồng</t>
        </is>
      </c>
      <c r="G912" s="397" t="inlineStr">
        <is>
          <t>LDONG</t>
        </is>
      </c>
      <c r="H912" s="399" t="n"/>
      <c r="J912" s="392">
        <f>IFERROR(UPPER(TRIM(B912))&amp;"|"&amp;UPPER(TRIM(C912))&amp;"|"&amp;UPPER(TRIM(D912)),"")</f>
        <v/>
      </c>
    </row>
    <row r="913" ht="15.75" customHeight="1" s="217">
      <c r="A913" s="400" t="n">
        <v>911</v>
      </c>
      <c r="B913" s="400" t="inlineStr">
        <is>
          <t>KH2841</t>
        </is>
      </c>
      <c r="C913" s="401" t="inlineStr">
        <is>
          <t>Công Ty  Nam Tiến/ A Nam: 0978.094.910- Bà Rịa</t>
        </is>
      </c>
      <c r="D913" s="400" t="inlineStr">
        <is>
          <t>0978.094.910-</t>
        </is>
      </c>
      <c r="E913" s="402" t="n"/>
      <c r="F913" s="401" t="inlineStr">
        <is>
          <t>Tổ 1, KP. Phước Hưng, Tân Thanh, Bà Rịa</t>
        </is>
      </c>
      <c r="G913" s="402" t="n"/>
      <c r="H913" s="402" t="n"/>
      <c r="J913" s="392">
        <f>IFERROR(UPPER(TRIM(B913))&amp;"|"&amp;UPPER(TRIM(C913))&amp;"|"&amp;UPPER(TRIM(D913)),"")</f>
        <v/>
      </c>
    </row>
    <row r="914" ht="15.75" customHeight="1" s="217">
      <c r="A914" s="397" t="n">
        <v>912</v>
      </c>
      <c r="B914" s="397" t="inlineStr">
        <is>
          <t>KH2839</t>
        </is>
      </c>
      <c r="C914" s="398" t="inlineStr">
        <is>
          <t>Công Ty Thuận An Phát - BRVT/ A Đạt- 0906.009.288</t>
        </is>
      </c>
      <c r="D914" s="397" t="inlineStr">
        <is>
          <t>0906.009.288</t>
        </is>
      </c>
      <c r="E914" s="399" t="n"/>
      <c r="F914" s="398" t="inlineStr">
        <is>
          <t>Phú Mỹ, Bà Rịa Vũng Tàu</t>
        </is>
      </c>
      <c r="G914" s="397" t="inlineStr">
        <is>
          <t>BRVT</t>
        </is>
      </c>
      <c r="H914" s="399" t="n"/>
      <c r="J914" s="392">
        <f>IFERROR(UPPER(TRIM(B914))&amp;"|"&amp;UPPER(TRIM(C914))&amp;"|"&amp;UPPER(TRIM(D914)),"")</f>
        <v/>
      </c>
    </row>
    <row r="915" ht="15.75" customHeight="1" s="217">
      <c r="A915" s="400" t="n">
        <v>913</v>
      </c>
      <c r="B915" s="400" t="inlineStr">
        <is>
          <t>KH2840</t>
        </is>
      </c>
      <c r="C915" s="401" t="inlineStr">
        <is>
          <t>Anh Tuấn - Thợ xe nâng - Bình Dương/ 0977.789.564</t>
        </is>
      </c>
      <c r="D915" s="400" t="inlineStr">
        <is>
          <t>0977.789.564</t>
        </is>
      </c>
      <c r="E915" s="402" t="n"/>
      <c r="F915" s="401" t="inlineStr">
        <is>
          <t>KCN Sóng Thần, Bình Dương (cách cầu vượt Sóng Thần 2 km)</t>
        </is>
      </c>
      <c r="G915" s="400" t="inlineStr">
        <is>
          <t>BDUONG</t>
        </is>
      </c>
      <c r="H915" s="402" t="n"/>
      <c r="J915" s="392">
        <f>IFERROR(UPPER(TRIM(B915))&amp;"|"&amp;UPPER(TRIM(C915))&amp;"|"&amp;UPPER(TRIM(D915)),"")</f>
        <v/>
      </c>
    </row>
    <row r="916" ht="15.75" customHeight="1" s="217">
      <c r="A916" s="397" t="n">
        <v>914</v>
      </c>
      <c r="B916" s="397" t="inlineStr">
        <is>
          <t>KH2837</t>
        </is>
      </c>
      <c r="C916" s="398" t="inlineStr">
        <is>
          <t>Anh Quốc - Lâm Hà/ 0984.455.098</t>
        </is>
      </c>
      <c r="D916" s="397" t="inlineStr">
        <is>
          <t>0984.455.098</t>
        </is>
      </c>
      <c r="E916" s="399" t="n"/>
      <c r="F916" s="398" t="inlineStr">
        <is>
          <t>Lâm Hà, Lâm Đồng</t>
        </is>
      </c>
      <c r="G916" s="397" t="inlineStr">
        <is>
          <t>LDONG</t>
        </is>
      </c>
      <c r="H916" s="399" t="n"/>
      <c r="J916" s="392">
        <f>IFERROR(UPPER(TRIM(B916))&amp;"|"&amp;UPPER(TRIM(C916))&amp;"|"&amp;UPPER(TRIM(D916)),"")</f>
        <v/>
      </c>
    </row>
    <row r="917" ht="15.75" customHeight="1" s="217">
      <c r="A917" s="400" t="n">
        <v>915</v>
      </c>
      <c r="B917" s="400" t="inlineStr">
        <is>
          <t>KH2838</t>
        </is>
      </c>
      <c r="C917" s="401" t="inlineStr">
        <is>
          <t>Anh Bun- Đắk Lắk/ 0877.114.747</t>
        </is>
      </c>
      <c r="D917" s="400" t="inlineStr">
        <is>
          <t>0877.114.747</t>
        </is>
      </c>
      <c r="E917" s="402" t="n"/>
      <c r="F917" s="401" t="inlineStr">
        <is>
          <t>Đắk Lắk</t>
        </is>
      </c>
      <c r="G917" s="400" t="inlineStr">
        <is>
          <t>ÐL</t>
        </is>
      </c>
      <c r="H917" s="402" t="n"/>
      <c r="J917" s="392">
        <f>IFERROR(UPPER(TRIM(B917))&amp;"|"&amp;UPPER(TRIM(C917))&amp;"|"&amp;UPPER(TRIM(D917)),"")</f>
        <v/>
      </c>
    </row>
    <row r="918" ht="15.75" customHeight="1" s="217">
      <c r="A918" s="397" t="n">
        <v>916</v>
      </c>
      <c r="B918" s="397" t="inlineStr">
        <is>
          <t>KH2836</t>
        </is>
      </c>
      <c r="C918" s="398" t="inlineStr">
        <is>
          <t>Anh Việt - Hàng Xanh/ 0962.005.757</t>
        </is>
      </c>
      <c r="D918" s="397" t="inlineStr">
        <is>
          <t>0962.005.757</t>
        </is>
      </c>
      <c r="E918" s="399" t="n"/>
      <c r="F918" s="398" t="inlineStr">
        <is>
          <t>Hàng Xanh, SG</t>
        </is>
      </c>
      <c r="G918" s="397" t="inlineStr">
        <is>
          <t>SG/HCM</t>
        </is>
      </c>
      <c r="H918" s="399" t="n"/>
      <c r="J918" s="392">
        <f>IFERROR(UPPER(TRIM(B918))&amp;"|"&amp;UPPER(TRIM(C918))&amp;"|"&amp;UPPER(TRIM(D918)),"")</f>
        <v/>
      </c>
    </row>
    <row r="919" ht="15.75" customHeight="1" s="217">
      <c r="A919" s="400" t="n">
        <v>917</v>
      </c>
      <c r="B919" s="400" t="inlineStr">
        <is>
          <t>KH2835</t>
        </is>
      </c>
      <c r="C919" s="401" t="inlineStr">
        <is>
          <t>Cửa hàng Hữu Thảo- Bạc Liêu/ 0918.440.408</t>
        </is>
      </c>
      <c r="D919" s="400" t="inlineStr">
        <is>
          <t>0918.440.408</t>
        </is>
      </c>
      <c r="E919" s="402" t="n"/>
      <c r="F919" s="401" t="inlineStr">
        <is>
          <t>Châu Hưng, Vĩnh Lợi, Bạc Liêu</t>
        </is>
      </c>
      <c r="G919" s="400" t="inlineStr">
        <is>
          <t>BLIEU</t>
        </is>
      </c>
      <c r="H919" s="402" t="n"/>
      <c r="J919" s="392">
        <f>IFERROR(UPPER(TRIM(B919))&amp;"|"&amp;UPPER(TRIM(C919))&amp;"|"&amp;UPPER(TRIM(D919)),"")</f>
        <v/>
      </c>
    </row>
    <row r="920" ht="15.75" customHeight="1" s="217">
      <c r="A920" s="397" t="n">
        <v>918</v>
      </c>
      <c r="B920" s="397" t="inlineStr">
        <is>
          <t>KH2834</t>
        </is>
      </c>
      <c r="C920" s="398" t="inlineStr">
        <is>
          <t>Anh Nam - Tiền Giang/ 0983.621.612</t>
        </is>
      </c>
      <c r="D920" s="397" t="inlineStr">
        <is>
          <t>0983.621.612</t>
        </is>
      </c>
      <c r="E920" s="399" t="n"/>
      <c r="F920" s="398" t="inlineStr">
        <is>
          <t>Tiền Giang</t>
        </is>
      </c>
      <c r="G920" s="397" t="inlineStr">
        <is>
          <t>TGIANG</t>
        </is>
      </c>
      <c r="H920" s="399" t="n"/>
      <c r="J920" s="392">
        <f>IFERROR(UPPER(TRIM(B920))&amp;"|"&amp;UPPER(TRIM(C920))&amp;"|"&amp;UPPER(TRIM(D920)),"")</f>
        <v/>
      </c>
    </row>
    <row r="921" ht="15.75" customHeight="1" s="217">
      <c r="A921" s="400" t="n">
        <v>919</v>
      </c>
      <c r="B921" s="400" t="inlineStr">
        <is>
          <t>KH2833</t>
        </is>
      </c>
      <c r="C921" s="401" t="inlineStr">
        <is>
          <t>Anh Hùng - Củ Chi (chủ máy) /0984.855.149</t>
        </is>
      </c>
      <c r="D921" s="400" t="inlineStr">
        <is>
          <t>0984.855.149</t>
        </is>
      </c>
      <c r="E921" s="402" t="n"/>
      <c r="F921" s="401" t="inlineStr">
        <is>
          <t>Củ Chi, Sài Gòn</t>
        </is>
      </c>
      <c r="G921" s="400" t="inlineStr">
        <is>
          <t>SG/HCM</t>
        </is>
      </c>
      <c r="H921" s="402" t="n"/>
      <c r="J921" s="392">
        <f>IFERROR(UPPER(TRIM(B921))&amp;"|"&amp;UPPER(TRIM(C921))&amp;"|"&amp;UPPER(TRIM(D921)),"")</f>
        <v/>
      </c>
    </row>
    <row r="922" ht="15.75" customHeight="1" s="217">
      <c r="A922" s="397" t="n">
        <v>920</v>
      </c>
      <c r="B922" s="397" t="inlineStr">
        <is>
          <t>KH2832</t>
        </is>
      </c>
      <c r="C922" s="398" t="inlineStr">
        <is>
          <t>Anh Thắng -Bình Long/ 0919.674.144</t>
        </is>
      </c>
      <c r="D922" s="397" t="inlineStr">
        <is>
          <t>0919.674.144</t>
        </is>
      </c>
      <c r="E922" s="399" t="n"/>
      <c r="F922" s="398" t="inlineStr">
        <is>
          <t>Bình Long - Bình Phước</t>
        </is>
      </c>
      <c r="G922" s="397" t="inlineStr">
        <is>
          <t>BP</t>
        </is>
      </c>
      <c r="H922" s="399" t="n"/>
      <c r="J922" s="392">
        <f>IFERROR(UPPER(TRIM(B922))&amp;"|"&amp;UPPER(TRIM(C922))&amp;"|"&amp;UPPER(TRIM(D922)),"")</f>
        <v/>
      </c>
    </row>
    <row r="923" ht="15.75" customHeight="1" s="217">
      <c r="A923" s="400" t="n">
        <v>921</v>
      </c>
      <c r="B923" s="400" t="inlineStr">
        <is>
          <t>KH2831</t>
        </is>
      </c>
      <c r="C923" s="401" t="inlineStr">
        <is>
          <t>Cửa hàng Ron- Anh Tân - Ninh Thuận/ 0907.167.488</t>
        </is>
      </c>
      <c r="D923" s="400" t="inlineStr">
        <is>
          <t>0907.167.488</t>
        </is>
      </c>
      <c r="E923" s="402" t="n"/>
      <c r="F923" s="401" t="inlineStr">
        <is>
          <t>86A Trần Phú, KP 6, P. Phủ Hà Thành, TP. Phan Rang, Ninh Thuận</t>
        </is>
      </c>
      <c r="G923" s="400" t="inlineStr">
        <is>
          <t>NTHUAN</t>
        </is>
      </c>
      <c r="H923" s="402" t="n"/>
      <c r="J923" s="392">
        <f>IFERROR(UPPER(TRIM(B923))&amp;"|"&amp;UPPER(TRIM(C923))&amp;"|"&amp;UPPER(TRIM(D923)),"")</f>
        <v/>
      </c>
    </row>
    <row r="924" ht="15.75" customHeight="1" s="217">
      <c r="A924" s="397" t="n">
        <v>922</v>
      </c>
      <c r="B924" s="397" t="inlineStr">
        <is>
          <t>HUASHENG</t>
        </is>
      </c>
      <c r="C924" s="398" t="inlineStr">
        <is>
          <t>GUANGZHOU HUASHENG MACHINERY EQUIPMENT CO., LTD</t>
        </is>
      </c>
      <c r="D924" s="399" t="n"/>
      <c r="E924" s="399" t="n"/>
      <c r="F924" s="398" t="inlineStr">
        <is>
          <t>Guangzhou city, China</t>
        </is>
      </c>
      <c r="G924" s="399" t="n"/>
      <c r="H924" s="399" t="n"/>
      <c r="J924" s="392">
        <f>IFERROR(UPPER(TRIM(B924))&amp;"|"&amp;UPPER(TRIM(C924))&amp;"|"&amp;UPPER(TRIM(D924)),"")</f>
        <v/>
      </c>
    </row>
    <row r="925" ht="15.75" customHeight="1" s="217">
      <c r="A925" s="400" t="n">
        <v>923</v>
      </c>
      <c r="B925" s="400" t="inlineStr">
        <is>
          <t>KH2830</t>
        </is>
      </c>
      <c r="C925" s="401" t="inlineStr">
        <is>
          <t>Công ty M8 - Phan Thiết/ Anh Sơn: 0976.244.558</t>
        </is>
      </c>
      <c r="D925" s="400" t="inlineStr">
        <is>
          <t>0976.244.558</t>
        </is>
      </c>
      <c r="E925" s="402" t="n"/>
      <c r="F925" s="401" t="inlineStr">
        <is>
          <t>TP Phan Thiết, Bình Thuận</t>
        </is>
      </c>
      <c r="G925" s="400" t="inlineStr">
        <is>
          <t>BTHUAN</t>
        </is>
      </c>
      <c r="H925" s="402" t="n"/>
      <c r="J925" s="392">
        <f>IFERROR(UPPER(TRIM(B925))&amp;"|"&amp;UPPER(TRIM(C925))&amp;"|"&amp;UPPER(TRIM(D925)),"")</f>
        <v/>
      </c>
    </row>
    <row r="926" ht="15.75" customHeight="1" s="217">
      <c r="A926" s="397" t="n">
        <v>924</v>
      </c>
      <c r="B926" s="397" t="inlineStr">
        <is>
          <t>CHIP</t>
        </is>
      </c>
      <c r="C926" s="398" t="inlineStr">
        <is>
          <t>Chiping Jinke Xinuo Co.,Ltd (sinh hàn, bơm nhớt)</t>
        </is>
      </c>
      <c r="D926" s="399" t="n"/>
      <c r="E926" s="399" t="n"/>
      <c r="F926" s="398" t="inlineStr">
        <is>
          <t>China</t>
        </is>
      </c>
      <c r="G926" s="399" t="n"/>
      <c r="H926" s="399" t="n"/>
      <c r="J926" s="392">
        <f>IFERROR(UPPER(TRIM(B926))&amp;"|"&amp;UPPER(TRIM(C926))&amp;"|"&amp;UPPER(TRIM(D926)),"")</f>
        <v/>
      </c>
    </row>
    <row r="927" ht="15.75" customHeight="1" s="217">
      <c r="A927" s="400" t="n">
        <v>925</v>
      </c>
      <c r="B927" s="400" t="inlineStr">
        <is>
          <t>KH2829</t>
        </is>
      </c>
      <c r="C927" s="401" t="inlineStr">
        <is>
          <t>Xưởng anh Châu - Kiên Giang/  0987.185.585</t>
        </is>
      </c>
      <c r="D927" s="400" t="inlineStr">
        <is>
          <t>0987.185.585</t>
        </is>
      </c>
      <c r="E927" s="402" t="n"/>
      <c r="F927" s="401" t="inlineStr">
        <is>
          <t>Kiên Giang</t>
        </is>
      </c>
      <c r="G927" s="400" t="inlineStr">
        <is>
          <t>KG</t>
        </is>
      </c>
      <c r="H927" s="402" t="n"/>
      <c r="J927" s="392">
        <f>IFERROR(UPPER(TRIM(B927))&amp;"|"&amp;UPPER(TRIM(C927))&amp;"|"&amp;UPPER(TRIM(D927)),"")</f>
        <v/>
      </c>
    </row>
    <row r="928" ht="15.75" customHeight="1" s="217">
      <c r="A928" s="397" t="n">
        <v>926</v>
      </c>
      <c r="B928" s="397" t="inlineStr">
        <is>
          <t>KH2828</t>
        </is>
      </c>
      <c r="C928" s="398" t="inlineStr">
        <is>
          <t>GARA QUỐC NGUYÊN - PHAN RANG - ANH TRAI: 0986.007.539</t>
        </is>
      </c>
      <c r="D928" s="397" t="inlineStr">
        <is>
          <t>0986.007.539</t>
        </is>
      </c>
      <c r="E928" s="399" t="n"/>
      <c r="F928" s="398" t="inlineStr">
        <is>
          <t>TP PHAN RANG, NINH THUẬN</t>
        </is>
      </c>
      <c r="G928" s="397" t="inlineStr">
        <is>
          <t>NTHUAN</t>
        </is>
      </c>
      <c r="H928" s="399" t="n"/>
      <c r="J928" s="392">
        <f>IFERROR(UPPER(TRIM(B928))&amp;"|"&amp;UPPER(TRIM(C928))&amp;"|"&amp;UPPER(TRIM(D928)),"")</f>
        <v/>
      </c>
    </row>
    <row r="929" ht="15.75" customHeight="1" s="217">
      <c r="A929" s="400" t="n">
        <v>927</v>
      </c>
      <c r="B929" s="400" t="inlineStr">
        <is>
          <t>KH2827</t>
        </is>
      </c>
      <c r="C929" s="401" t="inlineStr">
        <is>
          <t>Anh Trung - Đà Lạt/ 0971.293.949</t>
        </is>
      </c>
      <c r="D929" s="400" t="inlineStr">
        <is>
          <t>0971.293.949</t>
        </is>
      </c>
      <c r="E929" s="402" t="n"/>
      <c r="F929" s="401" t="inlineStr">
        <is>
          <t>Đà Lạt - Lâm Đồng</t>
        </is>
      </c>
      <c r="G929" s="400" t="inlineStr">
        <is>
          <t>LDONG</t>
        </is>
      </c>
      <c r="H929" s="402" t="n"/>
      <c r="J929" s="392">
        <f>IFERROR(UPPER(TRIM(B929))&amp;"|"&amp;UPPER(TRIM(C929))&amp;"|"&amp;UPPER(TRIM(D929)),"")</f>
        <v/>
      </c>
    </row>
    <row r="930" ht="15.75" customHeight="1" s="217">
      <c r="A930" s="397" t="n">
        <v>928</v>
      </c>
      <c r="B930" s="397" t="inlineStr">
        <is>
          <t>KH2826</t>
        </is>
      </c>
      <c r="C930" s="398" t="inlineStr">
        <is>
          <t>CH phụ tùng Ô tô Thành Tiến - Huế/ 0905.522.511</t>
        </is>
      </c>
      <c r="D930" s="397" t="inlineStr">
        <is>
          <t>0905.522.511</t>
        </is>
      </c>
      <c r="E930" s="399" t="n"/>
      <c r="F930" s="398" t="inlineStr">
        <is>
          <t>157 An Dương Vương, Phường An Đông, TP. Huế, Tỉnh Thừa Thiên Huế</t>
        </is>
      </c>
      <c r="G930" s="397" t="inlineStr">
        <is>
          <t>HUE</t>
        </is>
      </c>
      <c r="H930" s="399" t="n"/>
      <c r="J930" s="392">
        <f>IFERROR(UPPER(TRIM(B930))&amp;"|"&amp;UPPER(TRIM(C930))&amp;"|"&amp;UPPER(TRIM(D930)),"")</f>
        <v/>
      </c>
    </row>
    <row r="931" ht="15.75" customHeight="1" s="217">
      <c r="A931" s="400" t="n">
        <v>929</v>
      </c>
      <c r="B931" s="400" t="inlineStr">
        <is>
          <t>KH2825</t>
        </is>
      </c>
      <c r="C931" s="401" t="inlineStr">
        <is>
          <t>Xưởng tiện anh Đạt - Đắk Nông / 0899.350.623</t>
        </is>
      </c>
      <c r="D931" s="400" t="inlineStr">
        <is>
          <t>0899.350.623</t>
        </is>
      </c>
      <c r="E931" s="402" t="n"/>
      <c r="F931" s="401" t="inlineStr">
        <is>
          <t>Gia Nghĩa - Đăk Nông</t>
        </is>
      </c>
      <c r="G931" s="400" t="inlineStr">
        <is>
          <t>DNONG</t>
        </is>
      </c>
      <c r="H931" s="402" t="n"/>
      <c r="J931" s="392">
        <f>IFERROR(UPPER(TRIM(B931))&amp;"|"&amp;UPPER(TRIM(C931))&amp;"|"&amp;UPPER(TRIM(D931)),"")</f>
        <v/>
      </c>
    </row>
    <row r="932" ht="15.75" customHeight="1" s="217">
      <c r="A932" s="397" t="n">
        <v>930</v>
      </c>
      <c r="B932" s="397" t="inlineStr">
        <is>
          <t>KH2824</t>
        </is>
      </c>
      <c r="C932" s="398" t="inlineStr">
        <is>
          <t>Anh Sen - Bình Phước - 0974.485.959</t>
        </is>
      </c>
      <c r="D932" s="397" t="inlineStr">
        <is>
          <t>0974.485.959</t>
        </is>
      </c>
      <c r="E932" s="399" t="n"/>
      <c r="F932" s="398" t="inlineStr">
        <is>
          <t>TX Đồng Xoài, Bình Phước</t>
        </is>
      </c>
      <c r="G932" s="397" t="inlineStr">
        <is>
          <t>BP</t>
        </is>
      </c>
      <c r="H932" s="399" t="n"/>
      <c r="J932" s="392">
        <f>IFERROR(UPPER(TRIM(B932))&amp;"|"&amp;UPPER(TRIM(C932))&amp;"|"&amp;UPPER(TRIM(D932)),"")</f>
        <v/>
      </c>
    </row>
    <row r="933" ht="15.75" customHeight="1" s="217">
      <c r="A933" s="400" t="n">
        <v>931</v>
      </c>
      <c r="B933" s="400" t="inlineStr">
        <is>
          <t>KH2822</t>
        </is>
      </c>
      <c r="C933" s="401" t="inlineStr">
        <is>
          <t>Cửa hàng Cường Tuyết - ĐắkLắk/ 0913.436.317</t>
        </is>
      </c>
      <c r="D933" s="400" t="inlineStr">
        <is>
          <t>0913.436.317</t>
        </is>
      </c>
      <c r="E933" s="402" t="n"/>
      <c r="F933" s="401" t="inlineStr">
        <is>
          <t>Buôn Ma Thuột, Đắk Lắk</t>
        </is>
      </c>
      <c r="G933" s="400" t="inlineStr">
        <is>
          <t>ÐL</t>
        </is>
      </c>
      <c r="H933" s="402" t="n"/>
      <c r="J933" s="392">
        <f>IFERROR(UPPER(TRIM(B933))&amp;"|"&amp;UPPER(TRIM(C933))&amp;"|"&amp;UPPER(TRIM(D933)),"")</f>
        <v/>
      </c>
    </row>
    <row r="934" ht="15.75" customHeight="1" s="217">
      <c r="A934" s="397" t="n">
        <v>932</v>
      </c>
      <c r="B934" s="397" t="inlineStr">
        <is>
          <t>KH2823</t>
        </is>
      </c>
      <c r="C934" s="398" t="inlineStr">
        <is>
          <t>Anh Cường - Tân Vạn/ 0918.595.992</t>
        </is>
      </c>
      <c r="D934" s="397" t="inlineStr">
        <is>
          <t>0918.595.992</t>
        </is>
      </c>
      <c r="E934" s="399" t="n"/>
      <c r="F934" s="398" t="inlineStr">
        <is>
          <t>Tân Vạn, Đồng Nai</t>
        </is>
      </c>
      <c r="G934" s="397" t="inlineStr">
        <is>
          <t>ÐNAI</t>
        </is>
      </c>
      <c r="H934" s="399" t="n"/>
      <c r="J934" s="392">
        <f>IFERROR(UPPER(TRIM(B934))&amp;"|"&amp;UPPER(TRIM(C934))&amp;"|"&amp;UPPER(TRIM(D934)),"")</f>
        <v/>
      </c>
    </row>
    <row r="935" ht="15.75" customHeight="1" s="217">
      <c r="A935" s="400" t="n">
        <v>933</v>
      </c>
      <c r="B935" s="400" t="inlineStr">
        <is>
          <t>WEIHUI</t>
        </is>
      </c>
      <c r="C935" s="401" t="inlineStr">
        <is>
          <t>WEIHUI BAITE RADIATOR CO.,LTD  (Két nước, két nhớt)</t>
        </is>
      </c>
      <c r="D935" s="402" t="n"/>
      <c r="E935" s="402" t="n"/>
      <c r="F935" s="401" t="inlineStr">
        <is>
          <t>WEIHUI, HENAN PROVINCE, CHINA</t>
        </is>
      </c>
      <c r="G935" s="402" t="n"/>
      <c r="H935" s="402" t="n"/>
      <c r="J935" s="392">
        <f>IFERROR(UPPER(TRIM(B935))&amp;"|"&amp;UPPER(TRIM(C935))&amp;"|"&amp;UPPER(TRIM(D935)),"")</f>
        <v/>
      </c>
    </row>
    <row r="936" ht="15.75" customHeight="1" s="217">
      <c r="A936" s="397" t="n">
        <v>934</v>
      </c>
      <c r="B936" s="397" t="inlineStr">
        <is>
          <t>KH2820</t>
        </is>
      </c>
      <c r="C936" s="398" t="inlineStr">
        <is>
          <t>Anh Hiếu - Khánh Hòa/ 0905.090.352</t>
        </is>
      </c>
      <c r="D936" s="397" t="inlineStr">
        <is>
          <t>0905.090.352</t>
        </is>
      </c>
      <c r="E936" s="399" t="n"/>
      <c r="F936" s="398" t="inlineStr">
        <is>
          <t>Diên Khánh, Khánh Hòa</t>
        </is>
      </c>
      <c r="G936" s="397" t="inlineStr">
        <is>
          <t>NTRANG</t>
        </is>
      </c>
      <c r="H936" s="399" t="n"/>
      <c r="J936" s="392">
        <f>IFERROR(UPPER(TRIM(B936))&amp;"|"&amp;UPPER(TRIM(C936))&amp;"|"&amp;UPPER(TRIM(D936)),"")</f>
        <v/>
      </c>
    </row>
    <row r="937" ht="15.75" customHeight="1" s="217">
      <c r="A937" s="400" t="n">
        <v>935</v>
      </c>
      <c r="B937" s="400" t="inlineStr">
        <is>
          <t>KH2821</t>
        </is>
      </c>
      <c r="C937" s="401" t="inlineStr">
        <is>
          <t>Cửa hàng Cơ Giới Việt - Tây Ninh/ 0918.339.790</t>
        </is>
      </c>
      <c r="D937" s="400" t="inlineStr">
        <is>
          <t>0918.339.790</t>
        </is>
      </c>
      <c r="E937" s="402" t="n"/>
      <c r="F937" s="401" t="inlineStr">
        <is>
          <t>Đường 30/4, PK.5, P.4, TP. Tây Ninh</t>
        </is>
      </c>
      <c r="G937" s="400" t="inlineStr">
        <is>
          <t>TNINH</t>
        </is>
      </c>
      <c r="H937" s="402" t="n"/>
      <c r="J937" s="392">
        <f>IFERROR(UPPER(TRIM(B937))&amp;"|"&amp;UPPER(TRIM(C937))&amp;"|"&amp;UPPER(TRIM(D937)),"")</f>
        <v/>
      </c>
    </row>
    <row r="938" ht="15.75" customHeight="1" s="217">
      <c r="A938" s="397" t="n">
        <v>936</v>
      </c>
      <c r="B938" s="397" t="inlineStr">
        <is>
          <t>KH2818</t>
        </is>
      </c>
      <c r="C938" s="398" t="inlineStr">
        <is>
          <t>Cửa hàng Châu Hồng- Gia Lai/ Anh Hiếu: 0978.365.246</t>
        </is>
      </c>
      <c r="D938" s="397" t="inlineStr">
        <is>
          <t>0978.365.246</t>
        </is>
      </c>
      <c r="E938" s="399" t="n"/>
      <c r="F938" s="398" t="inlineStr">
        <is>
          <t>68 Hùng Vương, Phú Túc, Krong Pa, GIA LAI</t>
        </is>
      </c>
      <c r="G938" s="397" t="inlineStr">
        <is>
          <t>GLAI</t>
        </is>
      </c>
      <c r="H938" s="399" t="n"/>
      <c r="J938" s="392">
        <f>IFERROR(UPPER(TRIM(B938))&amp;"|"&amp;UPPER(TRIM(C938))&amp;"|"&amp;UPPER(TRIM(D938)),"")</f>
        <v/>
      </c>
    </row>
    <row r="939" ht="15.75" customHeight="1" s="217">
      <c r="A939" s="400" t="n">
        <v>937</v>
      </c>
      <c r="B939" s="400" t="inlineStr">
        <is>
          <t>KH2819</t>
        </is>
      </c>
      <c r="C939" s="401" t="inlineStr">
        <is>
          <t>GIA THỊNH ( TURBO)- SG / 0793.070.708</t>
        </is>
      </c>
      <c r="D939" s="400" t="inlineStr">
        <is>
          <t>0793.070.708</t>
        </is>
      </c>
      <c r="E939" s="402" t="n"/>
      <c r="F939" s="401" t="inlineStr">
        <is>
          <t>Nơ Trang Long, Sài Gòn</t>
        </is>
      </c>
      <c r="G939" s="400" t="inlineStr">
        <is>
          <t>SG/HCM</t>
        </is>
      </c>
      <c r="H939" s="402" t="n"/>
      <c r="J939" s="392">
        <f>IFERROR(UPPER(TRIM(B939))&amp;"|"&amp;UPPER(TRIM(C939))&amp;"|"&amp;UPPER(TRIM(D939)),"")</f>
        <v/>
      </c>
    </row>
    <row r="940" ht="15.75" customHeight="1" s="217">
      <c r="A940" s="397" t="n">
        <v>938</v>
      </c>
      <c r="B940" s="397" t="inlineStr">
        <is>
          <t>KH2817</t>
        </is>
      </c>
      <c r="C940" s="398" t="inlineStr">
        <is>
          <t>Cửa hàng anh Giao - Nha Trang/ 0376.627.089</t>
        </is>
      </c>
      <c r="D940" s="397" t="inlineStr">
        <is>
          <t>0376.627.089</t>
        </is>
      </c>
      <c r="E940" s="399" t="n"/>
      <c r="F940" s="398" t="inlineStr">
        <is>
          <t>32 đường Cầu Dứa Phú Nông, Vĩnh Hiệp, Nha Trang, Khánh Hòa</t>
        </is>
      </c>
      <c r="G940" s="397" t="inlineStr">
        <is>
          <t>NTRANG</t>
        </is>
      </c>
      <c r="H940" s="399" t="n"/>
      <c r="J940" s="392">
        <f>IFERROR(UPPER(TRIM(B940))&amp;"|"&amp;UPPER(TRIM(C940))&amp;"|"&amp;UPPER(TRIM(D940)),"")</f>
        <v/>
      </c>
    </row>
    <row r="941" ht="15.75" customHeight="1" s="217">
      <c r="A941" s="400" t="n">
        <v>939</v>
      </c>
      <c r="B941" s="400" t="inlineStr">
        <is>
          <t>KH2814</t>
        </is>
      </c>
      <c r="C941" s="401" t="inlineStr">
        <is>
          <t>Quốc Tỷ - Nhơn Trạch / 0982.296.426</t>
        </is>
      </c>
      <c r="D941" s="400" t="inlineStr">
        <is>
          <t>0982.296.426</t>
        </is>
      </c>
      <c r="E941" s="402" t="n"/>
      <c r="F941" s="401" t="inlineStr">
        <is>
          <t>Âp Bến Sắp, Xã Hiền Phước, Nhơn Trạch, Đồng Nai</t>
        </is>
      </c>
      <c r="G941" s="400" t="inlineStr">
        <is>
          <t>ÐNAI</t>
        </is>
      </c>
      <c r="H941" s="402" t="n"/>
      <c r="J941" s="392">
        <f>IFERROR(UPPER(TRIM(B941))&amp;"|"&amp;UPPER(TRIM(C941))&amp;"|"&amp;UPPER(TRIM(D941)),"")</f>
        <v/>
      </c>
    </row>
    <row r="942" ht="15.75" customHeight="1" s="217">
      <c r="A942" s="397" t="n">
        <v>940</v>
      </c>
      <c r="B942" s="397" t="inlineStr">
        <is>
          <t>KH2815</t>
        </is>
      </c>
      <c r="C942" s="398" t="inlineStr">
        <is>
          <t>Anh Phú - Bãi Máy Phú Phúc - Suối Tiên/ 0913.903.095</t>
        </is>
      </c>
      <c r="D942" s="397" t="inlineStr">
        <is>
          <t>0913.903.095</t>
        </is>
      </c>
      <c r="E942" s="399" t="n"/>
      <c r="F942" s="398" t="inlineStr">
        <is>
          <t>Suối Tiên, TPHCM</t>
        </is>
      </c>
      <c r="G942" s="397" t="inlineStr">
        <is>
          <t>SG/HCM</t>
        </is>
      </c>
      <c r="H942" s="399" t="n"/>
      <c r="J942" s="392">
        <f>IFERROR(UPPER(TRIM(B942))&amp;"|"&amp;UPPER(TRIM(C942))&amp;"|"&amp;UPPER(TRIM(D942)),"")</f>
        <v/>
      </c>
    </row>
    <row r="943" ht="15.75" customHeight="1" s="217">
      <c r="A943" s="400" t="n">
        <v>941</v>
      </c>
      <c r="B943" s="400" t="inlineStr">
        <is>
          <t>KH2816</t>
        </is>
      </c>
      <c r="C943" s="401" t="inlineStr">
        <is>
          <t>Anh Thành - Phan Rang ( chủ máy)/ 0966.330.868</t>
        </is>
      </c>
      <c r="D943" s="400" t="inlineStr">
        <is>
          <t>0966.330.868</t>
        </is>
      </c>
      <c r="E943" s="402" t="n"/>
      <c r="F943" s="401" t="inlineStr">
        <is>
          <t>TP Phan Rang - Tháp Chàm, Ninh Thuận</t>
        </is>
      </c>
      <c r="G943" s="400" t="inlineStr">
        <is>
          <t>NTHUAN</t>
        </is>
      </c>
      <c r="H943" s="402" t="n"/>
      <c r="J943" s="392">
        <f>IFERROR(UPPER(TRIM(B943))&amp;"|"&amp;UPPER(TRIM(C943))&amp;"|"&amp;UPPER(TRIM(D943)),"")</f>
        <v/>
      </c>
    </row>
    <row r="944" ht="15.75" customHeight="1" s="217">
      <c r="A944" s="397" t="n">
        <v>942</v>
      </c>
      <c r="B944" s="397" t="inlineStr">
        <is>
          <t>KH2811</t>
        </is>
      </c>
      <c r="C944" s="398" t="inlineStr">
        <is>
          <t>Anh Phúc - SG/ 0938.134.956</t>
        </is>
      </c>
      <c r="D944" s="397" t="inlineStr">
        <is>
          <t>0938.134.956</t>
        </is>
      </c>
      <c r="E944" s="399" t="n"/>
      <c r="F944" s="398" t="inlineStr">
        <is>
          <t>Sài Gòn</t>
        </is>
      </c>
      <c r="G944" s="397" t="inlineStr">
        <is>
          <t>SG/HCM</t>
        </is>
      </c>
      <c r="H944" s="399" t="n"/>
      <c r="J944" s="392">
        <f>IFERROR(UPPER(TRIM(B944))&amp;"|"&amp;UPPER(TRIM(C944))&amp;"|"&amp;UPPER(TRIM(D944)),"")</f>
        <v/>
      </c>
    </row>
    <row r="945" ht="15.75" customHeight="1" s="217">
      <c r="A945" s="400" t="n">
        <v>943</v>
      </c>
      <c r="B945" s="400" t="inlineStr">
        <is>
          <t>KH2812</t>
        </is>
      </c>
      <c r="C945" s="401" t="inlineStr">
        <is>
          <t>Kiểm kê thiếu hàng hóa, chờ xử lý trách nhiệm nhân viên</t>
        </is>
      </c>
      <c r="D945" s="402" t="n"/>
      <c r="E945" s="402" t="n"/>
      <c r="F945" s="403" t="n"/>
      <c r="G945" s="402" t="n"/>
      <c r="H945" s="400" t="inlineStr">
        <is>
          <t>Tài khoản để xử lý trách nhiệm về hàng hóa đối với nhân viên</t>
        </is>
      </c>
      <c r="J945" s="392">
        <f>IFERROR(UPPER(TRIM(B945))&amp;"|"&amp;UPPER(TRIM(C945))&amp;"|"&amp;UPPER(TRIM(D945)),"")</f>
        <v/>
      </c>
    </row>
    <row r="946" ht="15.75" customHeight="1" s="217">
      <c r="A946" s="397" t="n">
        <v>944</v>
      </c>
      <c r="B946" s="397" t="inlineStr">
        <is>
          <t>KH2813</t>
        </is>
      </c>
      <c r="C946" s="398" t="inlineStr">
        <is>
          <t>Cửa hàng Phúc Điền - Bình Dương / Anh Hậu 0901.303.798</t>
        </is>
      </c>
      <c r="D946" s="397" t="inlineStr">
        <is>
          <t>0901.303.798</t>
        </is>
      </c>
      <c r="E946" s="399" t="n"/>
      <c r="F946" s="398" t="inlineStr">
        <is>
          <t>521/21/26 Nguyễn Tri Phương, An Bình, Dĩ An, Bình Dương</t>
        </is>
      </c>
      <c r="G946" s="397" t="inlineStr">
        <is>
          <t>BDUONG</t>
        </is>
      </c>
      <c r="H946" s="399" t="n"/>
      <c r="J946" s="392">
        <f>IFERROR(UPPER(TRIM(B946))&amp;"|"&amp;UPPER(TRIM(C946))&amp;"|"&amp;UPPER(TRIM(D946)),"")</f>
        <v/>
      </c>
    </row>
    <row r="947" ht="15.75" customHeight="1" s="217">
      <c r="A947" s="400" t="n">
        <v>945</v>
      </c>
      <c r="B947" s="400" t="inlineStr">
        <is>
          <t>KH2810</t>
        </is>
      </c>
      <c r="C947" s="401" t="inlineStr">
        <is>
          <t>Anh Ty - Lạc Dương- Lâm Đồng / 0974.242.419</t>
        </is>
      </c>
      <c r="D947" s="400" t="inlineStr">
        <is>
          <t>0974.242.419</t>
        </is>
      </c>
      <c r="E947" s="402" t="n"/>
      <c r="F947" s="401" t="inlineStr">
        <is>
          <t>Lâm Đồng</t>
        </is>
      </c>
      <c r="G947" s="400" t="inlineStr">
        <is>
          <t>LDONG</t>
        </is>
      </c>
      <c r="H947" s="400" t="inlineStr">
        <is>
          <t>gửi công nợ vào mail</t>
        </is>
      </c>
      <c r="J947" s="392">
        <f>IFERROR(UPPER(TRIM(B947))&amp;"|"&amp;UPPER(TRIM(C947))&amp;"|"&amp;UPPER(TRIM(D947)),"")</f>
        <v/>
      </c>
    </row>
    <row r="948" ht="15.75" customHeight="1" s="217">
      <c r="A948" s="397" t="n">
        <v>946</v>
      </c>
      <c r="B948" s="397" t="inlineStr">
        <is>
          <t>KH2808</t>
        </is>
      </c>
      <c r="C948" s="398" t="inlineStr">
        <is>
          <t>Anh Tú - Chín Nghĩa/ 0977.307.205</t>
        </is>
      </c>
      <c r="D948" s="397" t="inlineStr">
        <is>
          <t>0977.307.205</t>
        </is>
      </c>
      <c r="E948" s="399" t="n"/>
      <c r="F948" s="398" t="inlineStr">
        <is>
          <t>Chín Nghĩa, Quảng Ngãi</t>
        </is>
      </c>
      <c r="G948" s="397" t="inlineStr">
        <is>
          <t>QUNGAI</t>
        </is>
      </c>
      <c r="H948" s="399" t="n"/>
      <c r="J948" s="392">
        <f>IFERROR(UPPER(TRIM(B948))&amp;"|"&amp;UPPER(TRIM(C948))&amp;"|"&amp;UPPER(TRIM(D948)),"")</f>
        <v/>
      </c>
    </row>
    <row r="949" ht="15.75" customHeight="1" s="217">
      <c r="A949" s="393" t="n">
        <v>947</v>
      </c>
      <c r="B949" s="393" t="inlineStr">
        <is>
          <t>KH2809</t>
        </is>
      </c>
      <c r="C949" s="394" t="inlineStr">
        <is>
          <t>Nam Bang - Chị Loan-  Gia Lai/ 0913.824.951</t>
        </is>
      </c>
      <c r="D949" s="393" t="inlineStr">
        <is>
          <t>0913.824.951</t>
        </is>
      </c>
      <c r="E949" s="393" t="inlineStr">
        <is>
          <t>VIP NGOẠI LỆ</t>
        </is>
      </c>
      <c r="F949" s="394" t="inlineStr">
        <is>
          <t>Gia Lai</t>
        </is>
      </c>
      <c r="G949" s="393" t="inlineStr">
        <is>
          <t>GLAI</t>
        </is>
      </c>
      <c r="H949" s="395" t="n"/>
      <c r="J949" s="392">
        <f>IFERROR(UPPER(TRIM(B949))&amp;"|"&amp;UPPER(TRIM(C949))&amp;"|"&amp;UPPER(TRIM(D949)),"")</f>
        <v/>
      </c>
    </row>
    <row r="950" ht="15.75" customHeight="1" s="217">
      <c r="A950" s="397" t="n">
        <v>948</v>
      </c>
      <c r="B950" s="397" t="inlineStr">
        <is>
          <t>KH2807</t>
        </is>
      </c>
      <c r="C950" s="398" t="inlineStr">
        <is>
          <t>Anh Tuyên - Tân Hiệp, Bình Phước/ 0973.473.347</t>
        </is>
      </c>
      <c r="D950" s="397" t="inlineStr">
        <is>
          <t>0973.473.347</t>
        </is>
      </c>
      <c r="E950" s="399" t="n"/>
      <c r="F950" s="398" t="inlineStr">
        <is>
          <t>Tân Hiệp, Bình Phước</t>
        </is>
      </c>
      <c r="G950" s="397" t="inlineStr">
        <is>
          <t>BP</t>
        </is>
      </c>
      <c r="H950" s="399" t="n"/>
      <c r="J950" s="392">
        <f>IFERROR(UPPER(TRIM(B950))&amp;"|"&amp;UPPER(TRIM(C950))&amp;"|"&amp;UPPER(TRIM(D950)),"")</f>
        <v/>
      </c>
    </row>
    <row r="951" ht="15.75" customHeight="1" s="217">
      <c r="A951" s="400" t="n">
        <v>949</v>
      </c>
      <c r="B951" s="400" t="inlineStr">
        <is>
          <t>KH2806</t>
        </is>
      </c>
      <c r="C951" s="401" t="inlineStr">
        <is>
          <t>Công ty Anh Dương- Biên Hòa/ 0986.770.012</t>
        </is>
      </c>
      <c r="D951" s="400" t="inlineStr">
        <is>
          <t>0986.770.012</t>
        </is>
      </c>
      <c r="E951" s="402" t="n"/>
      <c r="F951" s="401" t="inlineStr">
        <is>
          <t>Biên Hòa, Đồng Nai</t>
        </is>
      </c>
      <c r="G951" s="400" t="inlineStr">
        <is>
          <t>ÐNAI</t>
        </is>
      </c>
      <c r="H951" s="402" t="n"/>
      <c r="J951" s="392">
        <f>IFERROR(UPPER(TRIM(B951))&amp;"|"&amp;UPPER(TRIM(C951))&amp;"|"&amp;UPPER(TRIM(D951)),"")</f>
        <v/>
      </c>
    </row>
    <row r="952" ht="15.75" customHeight="1" s="217">
      <c r="A952" s="397" t="n">
        <v>950</v>
      </c>
      <c r="B952" s="397" t="inlineStr">
        <is>
          <t>KH2805</t>
        </is>
      </c>
      <c r="C952" s="398" t="inlineStr">
        <is>
          <t>Anh Vũ - Ninh Thuận/ 0972.896.090</t>
        </is>
      </c>
      <c r="D952" s="397" t="inlineStr">
        <is>
          <t>0972.896.090</t>
        </is>
      </c>
      <c r="E952" s="399" t="n"/>
      <c r="F952" s="398" t="inlineStr">
        <is>
          <t>TP. Phan Rang - Tháp Chàm, Ninh Thuận</t>
        </is>
      </c>
      <c r="G952" s="397" t="inlineStr">
        <is>
          <t>NTHUAN</t>
        </is>
      </c>
      <c r="H952" s="399" t="n"/>
      <c r="J952" s="392">
        <f>IFERROR(UPPER(TRIM(B952))&amp;"|"&amp;UPPER(TRIM(C952))&amp;"|"&amp;UPPER(TRIM(D952)),"")</f>
        <v/>
      </c>
    </row>
    <row r="953" ht="15.75" customHeight="1" s="217">
      <c r="A953" s="400" t="n">
        <v>951</v>
      </c>
      <c r="B953" s="400" t="inlineStr">
        <is>
          <t>HANZHOU</t>
        </is>
      </c>
      <c r="C953" s="401" t="inlineStr">
        <is>
          <t>HANGZHOU HENGJING TRADING CO.,LTD (Chuyên Doosan chính hãng)</t>
        </is>
      </c>
      <c r="D953" s="402" t="n"/>
      <c r="E953" s="402" t="n"/>
      <c r="F953" s="401" t="inlineStr">
        <is>
          <t>No. 2666, Desheng East Road, Wanpin Autopart Market, Hangzhou, Zhejiang, China</t>
        </is>
      </c>
      <c r="G953" s="402" t="n"/>
      <c r="H953" s="402" t="n"/>
      <c r="J953" s="392">
        <f>IFERROR(UPPER(TRIM(B953))&amp;"|"&amp;UPPER(TRIM(C953))&amp;"|"&amp;UPPER(TRIM(D953)),"")</f>
        <v/>
      </c>
    </row>
    <row r="954" ht="15.75" customHeight="1" s="217">
      <c r="A954" s="397" t="n">
        <v>952</v>
      </c>
      <c r="B954" s="397" t="inlineStr">
        <is>
          <t>KH2803</t>
        </is>
      </c>
      <c r="C954" s="398" t="inlineStr">
        <is>
          <t>Xưởng Anh Viên - Đồng Xoài 0914.264.099</t>
        </is>
      </c>
      <c r="D954" s="397" t="inlineStr">
        <is>
          <t>0914.264.099</t>
        </is>
      </c>
      <c r="E954" s="399" t="n"/>
      <c r="F954" s="398" t="inlineStr">
        <is>
          <t>Thị xã Đồng Xoài, Bình Phước</t>
        </is>
      </c>
      <c r="G954" s="397" t="inlineStr">
        <is>
          <t>BP</t>
        </is>
      </c>
      <c r="H954" s="399" t="n"/>
      <c r="J954" s="392">
        <f>IFERROR(UPPER(TRIM(B954))&amp;"|"&amp;UPPER(TRIM(C954))&amp;"|"&amp;UPPER(TRIM(D954)),"")</f>
        <v/>
      </c>
    </row>
    <row r="955" ht="15.75" customHeight="1" s="217">
      <c r="A955" s="400" t="n">
        <v>953</v>
      </c>
      <c r="B955" s="400" t="inlineStr">
        <is>
          <t>KH2804</t>
        </is>
      </c>
      <c r="C955" s="401" t="inlineStr">
        <is>
          <t>Anh Điền xe nâng- SG / 0906.967.080</t>
        </is>
      </c>
      <c r="D955" s="400" t="inlineStr">
        <is>
          <t>0906.967.080</t>
        </is>
      </c>
      <c r="E955" s="402" t="n"/>
      <c r="F955" s="401" t="inlineStr">
        <is>
          <t>195/25 QL1A, Bình Chiểu, Thủ Đức, Sài Gòn</t>
        </is>
      </c>
      <c r="G955" s="400" t="inlineStr">
        <is>
          <t>SG/HCM</t>
        </is>
      </c>
      <c r="H955" s="402" t="n"/>
      <c r="J955" s="392">
        <f>IFERROR(UPPER(TRIM(B955))&amp;"|"&amp;UPPER(TRIM(C955))&amp;"|"&amp;UPPER(TRIM(D955)),"")</f>
        <v/>
      </c>
    </row>
    <row r="956" ht="15.75" customHeight="1" s="217">
      <c r="A956" s="397" t="n">
        <v>954</v>
      </c>
      <c r="B956" s="397" t="inlineStr">
        <is>
          <t>JDGUANGZHOU</t>
        </is>
      </c>
      <c r="C956" s="398" t="inlineStr">
        <is>
          <t>JUNDA MACHINERY &amp; EQUIPMENT CO.,LTD (đại lý miểng và bạc Nhật)</t>
        </is>
      </c>
      <c r="D956" s="399" t="n"/>
      <c r="E956" s="399" t="n"/>
      <c r="F956" s="398" t="inlineStr">
        <is>
          <t>Guangzhou, China</t>
        </is>
      </c>
      <c r="G956" s="399" t="n"/>
      <c r="H956" s="399" t="n"/>
      <c r="J956" s="392">
        <f>IFERROR(UPPER(TRIM(B956))&amp;"|"&amp;UPPER(TRIM(C956))&amp;"|"&amp;UPPER(TRIM(D956)),"")</f>
        <v/>
      </c>
    </row>
    <row r="957" ht="15.75" customHeight="1" s="217">
      <c r="A957" s="400" t="n">
        <v>955</v>
      </c>
      <c r="B957" s="400" t="inlineStr">
        <is>
          <t>KH2802</t>
        </is>
      </c>
      <c r="C957" s="401" t="inlineStr">
        <is>
          <t>Cửa hàng Thành Thái - Thanh Hóa 0912.395.597/ 0989.795.597</t>
        </is>
      </c>
      <c r="D957" s="400" t="inlineStr">
        <is>
          <t>0912.395.597 / 0989.795.597</t>
        </is>
      </c>
      <c r="E957" s="402" t="n"/>
      <c r="F957" s="401" t="inlineStr">
        <is>
          <t>48 Cửa Tả, P. Lam Sơn, TP. Thanh Hóa</t>
        </is>
      </c>
      <c r="G957" s="400" t="inlineStr">
        <is>
          <t>QNAM</t>
        </is>
      </c>
      <c r="H957" s="402" t="n"/>
      <c r="J957" s="392">
        <f>IFERROR(UPPER(TRIM(B957))&amp;"|"&amp;UPPER(TRIM(C957))&amp;"|"&amp;UPPER(TRIM(D957)),"")</f>
        <v/>
      </c>
    </row>
    <row r="958" ht="15.75" customHeight="1" s="217">
      <c r="A958" s="397" t="n">
        <v>956</v>
      </c>
      <c r="B958" s="397" t="inlineStr">
        <is>
          <t>MARUN</t>
        </is>
      </c>
      <c r="C958" s="398" t="inlineStr">
        <is>
          <t>MARUN MACHINERY EQUIPMENT CO.</t>
        </is>
      </c>
      <c r="D958" s="399" t="n"/>
      <c r="E958" s="399" t="n"/>
      <c r="F958" s="398" t="inlineStr">
        <is>
          <t>Building 112,No.110 Donghuan road,Tianhe district,Guangzhou City,China</t>
        </is>
      </c>
      <c r="G958" s="399" t="n"/>
      <c r="H958" s="399" t="n"/>
      <c r="J958" s="392">
        <f>IFERROR(UPPER(TRIM(B958))&amp;"|"&amp;UPPER(TRIM(C958))&amp;"|"&amp;UPPER(TRIM(D958)),"")</f>
        <v/>
      </c>
    </row>
    <row r="959" ht="15.75" customHeight="1" s="217">
      <c r="A959" s="400" t="n">
        <v>957</v>
      </c>
      <c r="B959" s="400" t="inlineStr">
        <is>
          <t>NICE</t>
        </is>
      </c>
      <c r="C959" s="401" t="inlineStr">
        <is>
          <t>NICE IN GASKET - GUANG DONG SHUNDE MING YE IMPORT AND EXPORT CO.,LTD</t>
        </is>
      </c>
      <c r="D959" s="402" t="n"/>
      <c r="E959" s="402" t="n"/>
      <c r="F959" s="401" t="inlineStr">
        <is>
          <t>Guangzhou City,China</t>
        </is>
      </c>
      <c r="G959" s="402" t="n"/>
      <c r="H959" s="402" t="n"/>
      <c r="J959" s="392">
        <f>IFERROR(UPPER(TRIM(B959))&amp;"|"&amp;UPPER(TRIM(C959))&amp;"|"&amp;UPPER(TRIM(D959)),"")</f>
        <v/>
      </c>
    </row>
    <row r="960" ht="15.75" customHeight="1" s="217">
      <c r="A960" s="397" t="n">
        <v>958</v>
      </c>
      <c r="B960" s="397" t="inlineStr">
        <is>
          <t>KH2801</t>
        </is>
      </c>
      <c r="C960" s="398" t="inlineStr">
        <is>
          <t>Anh Cảnh- SG / 0909.616.236</t>
        </is>
      </c>
      <c r="D960" s="397" t="inlineStr">
        <is>
          <t>0909.616.236</t>
        </is>
      </c>
      <c r="E960" s="399" t="n"/>
      <c r="F960" s="398" t="inlineStr">
        <is>
          <t>Huyện Bình Chánh, TPHCM</t>
        </is>
      </c>
      <c r="G960" s="397" t="inlineStr">
        <is>
          <t>SG/HCM</t>
        </is>
      </c>
      <c r="H960" s="399" t="n"/>
      <c r="J960" s="392">
        <f>IFERROR(UPPER(TRIM(B960))&amp;"|"&amp;UPPER(TRIM(C960))&amp;"|"&amp;UPPER(TRIM(D960)),"")</f>
        <v/>
      </c>
    </row>
    <row r="961" ht="15.75" customHeight="1" s="217">
      <c r="A961" s="400" t="n">
        <v>959</v>
      </c>
      <c r="B961" s="400" t="inlineStr">
        <is>
          <t>KH2800</t>
        </is>
      </c>
      <c r="C961" s="401" t="inlineStr">
        <is>
          <t>Trường Thọ - Hải Phòng - 0966.709.362</t>
        </is>
      </c>
      <c r="D961" s="400" t="inlineStr">
        <is>
          <t>0966.709.362</t>
        </is>
      </c>
      <c r="E961" s="402" t="n"/>
      <c r="F961" s="401" t="inlineStr">
        <is>
          <t>Lê Chân, Hải Phòng</t>
        </is>
      </c>
      <c r="G961" s="400" t="inlineStr">
        <is>
          <t>SG/HCM</t>
        </is>
      </c>
      <c r="H961" s="402" t="n"/>
      <c r="J961" s="392">
        <f>IFERROR(UPPER(TRIM(B961))&amp;"|"&amp;UPPER(TRIM(C961))&amp;"|"&amp;UPPER(TRIM(D961)),"")</f>
        <v/>
      </c>
    </row>
    <row r="962" ht="15.75" customHeight="1" s="217">
      <c r="A962" s="397" t="n">
        <v>960</v>
      </c>
      <c r="B962" s="397" t="inlineStr">
        <is>
          <t>KH2799</t>
        </is>
      </c>
      <c r="C962" s="398" t="inlineStr">
        <is>
          <t>Anh Phú - Quảng Ngãi/ 0905.112.225</t>
        </is>
      </c>
      <c r="D962" s="397" t="inlineStr">
        <is>
          <t>0905.112.225</t>
        </is>
      </c>
      <c r="E962" s="399" t="n"/>
      <c r="F962" s="398" t="inlineStr">
        <is>
          <t>Quảng Ngãi</t>
        </is>
      </c>
      <c r="G962" s="397" t="inlineStr">
        <is>
          <t>QUNGAI</t>
        </is>
      </c>
      <c r="H962" s="399" t="n"/>
      <c r="J962" s="392">
        <f>IFERROR(UPPER(TRIM(B962))&amp;"|"&amp;UPPER(TRIM(C962))&amp;"|"&amp;UPPER(TRIM(D962)),"")</f>
        <v/>
      </c>
    </row>
    <row r="963" ht="15.75" customHeight="1" s="217">
      <c r="A963" s="400" t="n">
        <v>961</v>
      </c>
      <c r="B963" s="400" t="inlineStr">
        <is>
          <t>KH2798</t>
        </is>
      </c>
      <c r="C963" s="401" t="inlineStr">
        <is>
          <t>Anh Thụy - Phú Quốc/ 0913.561.828</t>
        </is>
      </c>
      <c r="D963" s="400" t="inlineStr">
        <is>
          <t>0913.561.828</t>
        </is>
      </c>
      <c r="E963" s="402" t="n"/>
      <c r="F963" s="401" t="inlineStr">
        <is>
          <t>Phú Quốc - Kiên Giang</t>
        </is>
      </c>
      <c r="G963" s="400" t="inlineStr">
        <is>
          <t>KG</t>
        </is>
      </c>
      <c r="H963" s="402" t="n"/>
      <c r="J963" s="392">
        <f>IFERROR(UPPER(TRIM(B963))&amp;"|"&amp;UPPER(TRIM(C963))&amp;"|"&amp;UPPER(TRIM(D963)),"")</f>
        <v/>
      </c>
    </row>
    <row r="964" ht="15.75" customHeight="1" s="217">
      <c r="A964" s="397" t="n">
        <v>962</v>
      </c>
      <c r="B964" s="397" t="inlineStr">
        <is>
          <t>KH2796</t>
        </is>
      </c>
      <c r="C964" s="398" t="inlineStr">
        <is>
          <t>Xưởng Anh Vũ -Xuyên Mộc, Bà Rịa / 0963.440.454</t>
        </is>
      </c>
      <c r="D964" s="397" t="inlineStr">
        <is>
          <t>0963.440.454</t>
        </is>
      </c>
      <c r="E964" s="399" t="n"/>
      <c r="F964" s="398" t="inlineStr">
        <is>
          <t>Đất Đỏ, Bà Rịa - Vũng Tàu</t>
        </is>
      </c>
      <c r="G964" s="397" t="inlineStr">
        <is>
          <t>BRVT</t>
        </is>
      </c>
      <c r="H964" s="399" t="n"/>
      <c r="J964" s="392">
        <f>IFERROR(UPPER(TRIM(B964))&amp;"|"&amp;UPPER(TRIM(C964))&amp;"|"&amp;UPPER(TRIM(D964)),"")</f>
        <v/>
      </c>
    </row>
    <row r="965" ht="15.75" customHeight="1" s="217">
      <c r="A965" s="400" t="n">
        <v>963</v>
      </c>
      <c r="B965" s="400" t="inlineStr">
        <is>
          <t>KH2797</t>
        </is>
      </c>
      <c r="C965" s="401" t="inlineStr">
        <is>
          <t>Anh Bảo - Đà Lạt/ 0334.514.841</t>
        </is>
      </c>
      <c r="D965" s="400" t="inlineStr">
        <is>
          <t>0334.514.841</t>
        </is>
      </c>
      <c r="E965" s="402" t="n"/>
      <c r="F965" s="401" t="inlineStr">
        <is>
          <t>TP. Đà Lạt, Lâm Đồng</t>
        </is>
      </c>
      <c r="G965" s="400" t="inlineStr">
        <is>
          <t>LDONG</t>
        </is>
      </c>
      <c r="H965" s="402" t="n"/>
      <c r="J965" s="392">
        <f>IFERROR(UPPER(TRIM(B965))&amp;"|"&amp;UPPER(TRIM(C965))&amp;"|"&amp;UPPER(TRIM(D965)),"")</f>
        <v/>
      </c>
    </row>
    <row r="966" ht="15.75" customHeight="1" s="217">
      <c r="A966" s="397" t="n">
        <v>964</v>
      </c>
      <c r="B966" s="397" t="inlineStr">
        <is>
          <t>TDC</t>
        </is>
      </c>
      <c r="C966" s="398" t="inlineStr">
        <is>
          <t>TDC AUTO PART LTD</t>
        </is>
      </c>
      <c r="D966" s="399" t="n"/>
      <c r="E966" s="399" t="n"/>
      <c r="F966" s="398" t="inlineStr">
        <is>
          <t>TAIWAN</t>
        </is>
      </c>
      <c r="G966" s="399" t="n"/>
      <c r="H966" s="399" t="n"/>
      <c r="J966" s="392">
        <f>IFERROR(UPPER(TRIM(B966))&amp;"|"&amp;UPPER(TRIM(C966))&amp;"|"&amp;UPPER(TRIM(D966)),"")</f>
        <v/>
      </c>
    </row>
    <row r="967" ht="15.75" customHeight="1" s="217">
      <c r="A967" s="400" t="n">
        <v>965</v>
      </c>
      <c r="B967" s="400" t="inlineStr">
        <is>
          <t>YANTAI</t>
        </is>
      </c>
      <c r="C967" s="401" t="inlineStr">
        <is>
          <t>YANTAI CHUNSHENG SLIDING BEARING CO.LTD</t>
        </is>
      </c>
      <c r="D967" s="402" t="n"/>
      <c r="E967" s="402" t="n"/>
      <c r="F967" s="401" t="inlineStr">
        <is>
          <t>NO.27 JINGSI ROAD HI-TECH ZONE, YANTAI CITY, SHANDONG PROVINCE, CHINA 264670</t>
        </is>
      </c>
      <c r="G967" s="402" t="n"/>
      <c r="H967" s="402" t="n"/>
      <c r="J967" s="392">
        <f>IFERROR(UPPER(TRIM(B967))&amp;"|"&amp;UPPER(TRIM(C967))&amp;"|"&amp;UPPER(TRIM(D967)),"")</f>
        <v/>
      </c>
    </row>
    <row r="968" ht="15.75" customHeight="1" s="217">
      <c r="A968" s="397" t="n">
        <v>966</v>
      </c>
      <c r="B968" s="397" t="inlineStr">
        <is>
          <t>ZHO</t>
        </is>
      </c>
      <c r="C968" s="398" t="inlineStr">
        <is>
          <t>ZHONGZHOU HONGYU MACHINERY MANUFACTURE LTD/ ZHENGZHOU TOWAY IMPORT AND EXPORT  (CYLINDER HEAD/ BLOCK)</t>
        </is>
      </c>
      <c r="D968" s="399" t="n"/>
      <c r="E968" s="399" t="n"/>
      <c r="F968" s="398" t="inlineStr">
        <is>
          <t>CHINA</t>
        </is>
      </c>
      <c r="G968" s="399" t="n"/>
      <c r="H968" s="399" t="n"/>
      <c r="J968" s="392">
        <f>IFERROR(UPPER(TRIM(B968))&amp;"|"&amp;UPPER(TRIM(C968))&amp;"|"&amp;UPPER(TRIM(D968)),"")</f>
        <v/>
      </c>
    </row>
    <row r="969" ht="15.75" customHeight="1" s="217">
      <c r="A969" s="400" t="n">
        <v>967</v>
      </c>
      <c r="B969" s="400" t="inlineStr">
        <is>
          <t>KH2795</t>
        </is>
      </c>
      <c r="C969" s="401" t="inlineStr">
        <is>
          <t>Chị Loan - Bình Dương / 0946.424.455</t>
        </is>
      </c>
      <c r="D969" s="400" t="inlineStr">
        <is>
          <t>0946.424.455</t>
        </is>
      </c>
      <c r="E969" s="402" t="n"/>
      <c r="F969" s="401" t="inlineStr">
        <is>
          <t>Cầu Phú Cường, Bình Dương</t>
        </is>
      </c>
      <c r="G969" s="400" t="inlineStr">
        <is>
          <t>BDUONG</t>
        </is>
      </c>
      <c r="H969" s="402" t="n"/>
      <c r="J969" s="392">
        <f>IFERROR(UPPER(TRIM(B969))&amp;"|"&amp;UPPER(TRIM(C969))&amp;"|"&amp;UPPER(TRIM(D969)),"")</f>
        <v/>
      </c>
    </row>
    <row r="970" ht="15.75" customHeight="1" s="217">
      <c r="A970" s="397" t="n">
        <v>968</v>
      </c>
      <c r="B970" s="397" t="inlineStr">
        <is>
          <t>CHANGSHA</t>
        </is>
      </c>
      <c r="C970" s="398" t="inlineStr">
        <is>
          <t>CHANGSHA HAOCHANG MACHINERY EQUIPMENT CO., LTD  (crankshaft)</t>
        </is>
      </c>
      <c r="D970" s="399" t="n"/>
      <c r="E970" s="399" t="n"/>
      <c r="F970" s="398" t="inlineStr">
        <is>
          <t>No. 448 ShaoShan Road, Yuhua District, Changsha, China</t>
        </is>
      </c>
      <c r="G970" s="399" t="n"/>
      <c r="H970" s="399" t="n"/>
      <c r="J970" s="392">
        <f>IFERROR(UPPER(TRIM(B970))&amp;"|"&amp;UPPER(TRIM(C970))&amp;"|"&amp;UPPER(TRIM(D970)),"")</f>
        <v/>
      </c>
    </row>
    <row r="971" ht="15.75" customHeight="1" s="217">
      <c r="A971" s="400" t="n">
        <v>969</v>
      </c>
      <c r="B971" s="400" t="inlineStr">
        <is>
          <t>KH2793</t>
        </is>
      </c>
      <c r="C971" s="401" t="inlineStr">
        <is>
          <t>Anh Triệu - Đồng Nai/ 0987.134.291- 0977.922.291</t>
        </is>
      </c>
      <c r="D971" s="400" t="inlineStr">
        <is>
          <t>0987.134.291- / 0977.922.291</t>
        </is>
      </c>
      <c r="E971" s="402" t="n"/>
      <c r="F971" s="401" t="inlineStr">
        <is>
          <t>Ấp Tân Hữu, xã Xuân Thành, huyện Xuân Lộc, Tỉnh Đồng Nai</t>
        </is>
      </c>
      <c r="G971" s="400" t="inlineStr">
        <is>
          <t>ÐNAI</t>
        </is>
      </c>
      <c r="H971" s="402" t="n"/>
      <c r="J971" s="392">
        <f>IFERROR(UPPER(TRIM(B971))&amp;"|"&amp;UPPER(TRIM(C971))&amp;"|"&amp;UPPER(TRIM(D971)),"")</f>
        <v/>
      </c>
    </row>
    <row r="972" ht="15.75" customHeight="1" s="217">
      <c r="A972" s="397" t="n">
        <v>970</v>
      </c>
      <c r="B972" s="397" t="inlineStr">
        <is>
          <t>KH2794</t>
        </is>
      </c>
      <c r="C972" s="398" t="inlineStr">
        <is>
          <t>Cửa hàng Thành Luân - Bình Tân/ 0903.724.432</t>
        </is>
      </c>
      <c r="D972" s="397" t="inlineStr">
        <is>
          <t>0903.724.432</t>
        </is>
      </c>
      <c r="E972" s="399" t="n"/>
      <c r="F972" s="398" t="inlineStr">
        <is>
          <t>578 Kinh Dương Vương, P. An Lạc, Q. Bình Tân</t>
        </is>
      </c>
      <c r="G972" s="397" t="inlineStr">
        <is>
          <t>SG/HCM</t>
        </is>
      </c>
      <c r="H972" s="399" t="n"/>
      <c r="J972" s="392">
        <f>IFERROR(UPPER(TRIM(B972))&amp;"|"&amp;UPPER(TRIM(C972))&amp;"|"&amp;UPPER(TRIM(D972)),"")</f>
        <v/>
      </c>
    </row>
    <row r="973" ht="15.75" customHeight="1" s="217">
      <c r="A973" s="400" t="n">
        <v>971</v>
      </c>
      <c r="B973" s="400" t="inlineStr">
        <is>
          <t>PNC</t>
        </is>
      </c>
      <c r="C973" s="401" t="inlineStr">
        <is>
          <t>PNC EXCAVATOR PARTS CO.,LTD</t>
        </is>
      </c>
      <c r="D973" s="402" t="n"/>
      <c r="E973" s="402" t="n"/>
      <c r="F973" s="401" t="inlineStr">
        <is>
          <t>China</t>
        </is>
      </c>
      <c r="G973" s="402" t="n"/>
      <c r="H973" s="402" t="n"/>
      <c r="J973" s="392">
        <f>IFERROR(UPPER(TRIM(B973))&amp;"|"&amp;UPPER(TRIM(C973))&amp;"|"&amp;UPPER(TRIM(D973)),"")</f>
        <v/>
      </c>
    </row>
    <row r="974" ht="15.75" customHeight="1" s="217">
      <c r="A974" s="397" t="n">
        <v>972</v>
      </c>
      <c r="B974" s="397" t="inlineStr">
        <is>
          <t>KH2791</t>
        </is>
      </c>
      <c r="C974" s="398" t="inlineStr">
        <is>
          <t>Anh Cảnh - Bình Phước/ 0986.904.015</t>
        </is>
      </c>
      <c r="D974" s="397" t="inlineStr">
        <is>
          <t>0986.904.015</t>
        </is>
      </c>
      <c r="E974" s="399" t="n"/>
      <c r="F974" s="398" t="inlineStr">
        <is>
          <t>Phước Long, Bình Phước</t>
        </is>
      </c>
      <c r="G974" s="397" t="inlineStr">
        <is>
          <t>BP</t>
        </is>
      </c>
      <c r="H974" s="399" t="n"/>
      <c r="J974" s="392">
        <f>IFERROR(UPPER(TRIM(B974))&amp;"|"&amp;UPPER(TRIM(C974))&amp;"|"&amp;UPPER(TRIM(D974)),"")</f>
        <v/>
      </c>
    </row>
    <row r="975" ht="15.75" customHeight="1" s="217">
      <c r="A975" s="400" t="n">
        <v>973</v>
      </c>
      <c r="B975" s="400" t="inlineStr">
        <is>
          <t>KH2792</t>
        </is>
      </c>
      <c r="C975" s="401" t="inlineStr">
        <is>
          <t>Anh Phong - xe nâng SÀI GÒN/ 0979.698.454</t>
        </is>
      </c>
      <c r="D975" s="400" t="inlineStr">
        <is>
          <t>0979.698.454</t>
        </is>
      </c>
      <c r="E975" s="402" t="n"/>
      <c r="F975" s="401" t="inlineStr">
        <is>
          <t>TPHCM</t>
        </is>
      </c>
      <c r="G975" s="400" t="inlineStr">
        <is>
          <t>SG/HCM</t>
        </is>
      </c>
      <c r="H975" s="402" t="n"/>
      <c r="J975" s="392">
        <f>IFERROR(UPPER(TRIM(B975))&amp;"|"&amp;UPPER(TRIM(C975))&amp;"|"&amp;UPPER(TRIM(D975)),"")</f>
        <v/>
      </c>
    </row>
    <row r="976" ht="15.75" customHeight="1" s="217">
      <c r="A976" s="397" t="n">
        <v>974</v>
      </c>
      <c r="B976" s="397" t="inlineStr">
        <is>
          <t>KH2790</t>
        </is>
      </c>
      <c r="C976" s="398" t="inlineStr">
        <is>
          <t>Anh Lâm- Đà Lạt/ 0937.024.941</t>
        </is>
      </c>
      <c r="D976" s="397" t="inlineStr">
        <is>
          <t>0937.024.941</t>
        </is>
      </c>
      <c r="E976" s="399" t="n"/>
      <c r="F976" s="398" t="inlineStr">
        <is>
          <t>Đà Lạt - Lâm Đồng</t>
        </is>
      </c>
      <c r="G976" s="397" t="inlineStr">
        <is>
          <t>LDONG</t>
        </is>
      </c>
      <c r="H976" s="399" t="n"/>
      <c r="J976" s="392">
        <f>IFERROR(UPPER(TRIM(B976))&amp;"|"&amp;UPPER(TRIM(C976))&amp;"|"&amp;UPPER(TRIM(D976)),"")</f>
        <v/>
      </c>
    </row>
    <row r="977" ht="15.75" customHeight="1" s="217">
      <c r="A977" s="400" t="n">
        <v>975</v>
      </c>
      <c r="B977" s="400" t="inlineStr">
        <is>
          <t>KH2788</t>
        </is>
      </c>
      <c r="C977" s="401" t="inlineStr">
        <is>
          <t>Anh Nhí - Phan Rang/ 0905.138.232</t>
        </is>
      </c>
      <c r="D977" s="400" t="inlineStr">
        <is>
          <t>0905.138.232</t>
        </is>
      </c>
      <c r="E977" s="402" t="n"/>
      <c r="F977" s="401" t="inlineStr">
        <is>
          <t>TP. Phan Rang - Tháp Chàm, Ninh Thuận</t>
        </is>
      </c>
      <c r="G977" s="400" t="inlineStr">
        <is>
          <t>NTHUAN</t>
        </is>
      </c>
      <c r="H977" s="402" t="n"/>
      <c r="J977" s="392">
        <f>IFERROR(UPPER(TRIM(B977))&amp;"|"&amp;UPPER(TRIM(C977))&amp;"|"&amp;UPPER(TRIM(D977)),"")</f>
        <v/>
      </c>
    </row>
    <row r="978" ht="15.75" customHeight="1" s="217">
      <c r="A978" s="397" t="n">
        <v>976</v>
      </c>
      <c r="B978" s="397" t="inlineStr">
        <is>
          <t>KH2789</t>
        </is>
      </c>
      <c r="C978" s="398" t="inlineStr">
        <is>
          <t>Anh Phương - KonTum/ 0793.543.678</t>
        </is>
      </c>
      <c r="D978" s="397" t="inlineStr">
        <is>
          <t>0793.543.678</t>
        </is>
      </c>
      <c r="E978" s="399" t="n"/>
      <c r="F978" s="398" t="inlineStr">
        <is>
          <t>KonTum</t>
        </is>
      </c>
      <c r="G978" s="397" t="inlineStr">
        <is>
          <t>KTUM</t>
        </is>
      </c>
      <c r="H978" s="399" t="n"/>
      <c r="J978" s="392">
        <f>IFERROR(UPPER(TRIM(B978))&amp;"|"&amp;UPPER(TRIM(C978))&amp;"|"&amp;UPPER(TRIM(D978)),"")</f>
        <v/>
      </c>
    </row>
    <row r="979" ht="15.75" customHeight="1" s="217">
      <c r="A979" s="400" t="n">
        <v>977</v>
      </c>
      <c r="B979" s="400" t="inlineStr">
        <is>
          <t>KH2787</t>
        </is>
      </c>
      <c r="C979" s="401" t="inlineStr">
        <is>
          <t>Anh Trung - Đồng Tháp/ 0913.967.133</t>
        </is>
      </c>
      <c r="D979" s="400" t="inlineStr">
        <is>
          <t>0913.967.133</t>
        </is>
      </c>
      <c r="E979" s="402" t="n"/>
      <c r="F979" s="401" t="inlineStr">
        <is>
          <t>Cao Lãnh, Đồng Tháp</t>
        </is>
      </c>
      <c r="G979" s="400" t="inlineStr">
        <is>
          <t>DTHAP</t>
        </is>
      </c>
      <c r="H979" s="402" t="n"/>
      <c r="J979" s="392">
        <f>IFERROR(UPPER(TRIM(B979))&amp;"|"&amp;UPPER(TRIM(C979))&amp;"|"&amp;UPPER(TRIM(D979)),"")</f>
        <v/>
      </c>
    </row>
    <row r="980" ht="15.75" customHeight="1" s="217">
      <c r="A980" s="397" t="n">
        <v>978</v>
      </c>
      <c r="B980" s="397" t="inlineStr">
        <is>
          <t>KH2785</t>
        </is>
      </c>
      <c r="C980" s="398" t="inlineStr">
        <is>
          <t>Anh Đức - SG/ 0384.119.280</t>
        </is>
      </c>
      <c r="D980" s="397" t="inlineStr">
        <is>
          <t>0384.119.280</t>
        </is>
      </c>
      <c r="E980" s="399" t="n"/>
      <c r="F980" s="398" t="inlineStr">
        <is>
          <t>Sài Gòn</t>
        </is>
      </c>
      <c r="G980" s="397" t="inlineStr">
        <is>
          <t>SG/HCM</t>
        </is>
      </c>
      <c r="H980" s="399" t="n"/>
      <c r="J980" s="392">
        <f>IFERROR(UPPER(TRIM(B980))&amp;"|"&amp;UPPER(TRIM(C980))&amp;"|"&amp;UPPER(TRIM(D980)),"")</f>
        <v/>
      </c>
    </row>
    <row r="981" ht="15.75" customHeight="1" s="217">
      <c r="A981" s="400" t="n">
        <v>979</v>
      </c>
      <c r="B981" s="400" t="inlineStr">
        <is>
          <t>KH2786</t>
        </is>
      </c>
      <c r="C981" s="401" t="inlineStr">
        <is>
          <t>Anh Quang - Biên Hòa/ 0817.372.879</t>
        </is>
      </c>
      <c r="D981" s="400" t="inlineStr">
        <is>
          <t>0817.372.879</t>
        </is>
      </c>
      <c r="E981" s="402" t="n"/>
      <c r="F981" s="401" t="inlineStr">
        <is>
          <t>Biên Hòa - Đồng Nai</t>
        </is>
      </c>
      <c r="G981" s="400" t="inlineStr">
        <is>
          <t>ÐNAI</t>
        </is>
      </c>
      <c r="H981" s="402" t="n"/>
      <c r="J981" s="392">
        <f>IFERROR(UPPER(TRIM(B981))&amp;"|"&amp;UPPER(TRIM(C981))&amp;"|"&amp;UPPER(TRIM(D981)),"")</f>
        <v/>
      </c>
    </row>
    <row r="982" ht="15.75" customHeight="1" s="217">
      <c r="A982" s="397" t="n">
        <v>980</v>
      </c>
      <c r="B982" s="397" t="inlineStr">
        <is>
          <t>PERKINS</t>
        </is>
      </c>
      <c r="C982" s="398" t="inlineStr">
        <is>
          <t>CAT &amp; PERKINS DEALERS - HONGKONG - (13202891528@163.com)</t>
        </is>
      </c>
      <c r="D982" s="397" t="inlineStr">
        <is>
          <t>13202891528</t>
        </is>
      </c>
      <c r="E982" s="399" t="n"/>
      <c r="F982" s="398" t="inlineStr">
        <is>
          <t>HONG KONG</t>
        </is>
      </c>
      <c r="G982" s="399" t="n"/>
      <c r="H982" s="399" t="n"/>
      <c r="J982" s="392">
        <f>IFERROR(UPPER(TRIM(B982))&amp;"|"&amp;UPPER(TRIM(C982))&amp;"|"&amp;UPPER(TRIM(D982)),"")</f>
        <v/>
      </c>
    </row>
    <row r="983" ht="15.75" customHeight="1" s="217">
      <c r="A983" s="400" t="n">
        <v>981</v>
      </c>
      <c r="B983" s="400" t="inlineStr">
        <is>
          <t>KH2782</t>
        </is>
      </c>
      <c r="C983" s="401" t="inlineStr">
        <is>
          <t>Công ty Cơ Giới Á Châu/ 0906.900.010</t>
        </is>
      </c>
      <c r="D983" s="400" t="inlineStr">
        <is>
          <t>0906.900.010</t>
        </is>
      </c>
      <c r="E983" s="402" t="n"/>
      <c r="F983" s="401" t="inlineStr">
        <is>
          <t>Q12, SG</t>
        </is>
      </c>
      <c r="G983" s="400" t="inlineStr">
        <is>
          <t>SG/HCM</t>
        </is>
      </c>
      <c r="H983" s="402" t="n"/>
      <c r="J983" s="392">
        <f>IFERROR(UPPER(TRIM(B983))&amp;"|"&amp;UPPER(TRIM(C983))&amp;"|"&amp;UPPER(TRIM(D983)),"")</f>
        <v/>
      </c>
    </row>
    <row r="984" ht="15.75" customHeight="1" s="217">
      <c r="A984" s="397" t="n">
        <v>982</v>
      </c>
      <c r="B984" s="397" t="inlineStr">
        <is>
          <t>KH2783</t>
        </is>
      </c>
      <c r="C984" s="398" t="inlineStr">
        <is>
          <t>Xưởng Phong Tưởng - Đắk Nông/ 0985.452.926</t>
        </is>
      </c>
      <c r="D984" s="397" t="inlineStr">
        <is>
          <t>0985.452.926</t>
        </is>
      </c>
      <c r="E984" s="399" t="n"/>
      <c r="F984" s="398" t="inlineStr">
        <is>
          <t>Kiến Đức, Đắk Nông</t>
        </is>
      </c>
      <c r="G984" s="397" t="inlineStr">
        <is>
          <t>DNONG</t>
        </is>
      </c>
      <c r="H984" s="399" t="n"/>
      <c r="J984" s="392">
        <f>IFERROR(UPPER(TRIM(B984))&amp;"|"&amp;UPPER(TRIM(C984))&amp;"|"&amp;UPPER(TRIM(D984)),"")</f>
        <v/>
      </c>
    </row>
    <row r="985" ht="15.75" customHeight="1" s="217">
      <c r="A985" s="400" t="n">
        <v>983</v>
      </c>
      <c r="B985" s="400" t="inlineStr">
        <is>
          <t>KH2784</t>
        </is>
      </c>
      <c r="C985" s="401" t="inlineStr">
        <is>
          <t>Anh Khuê - SG/ 0913.837.666</t>
        </is>
      </c>
      <c r="D985" s="400" t="inlineStr">
        <is>
          <t>0913.837.666</t>
        </is>
      </c>
      <c r="E985" s="402" t="n"/>
      <c r="F985" s="401" t="inlineStr">
        <is>
          <t>Thạnh Lộc, Q12, Sài Gòn</t>
        </is>
      </c>
      <c r="G985" s="400" t="inlineStr">
        <is>
          <t>SG/HCM</t>
        </is>
      </c>
      <c r="H985" s="402" t="n"/>
      <c r="J985" s="392">
        <f>IFERROR(UPPER(TRIM(B985))&amp;"|"&amp;UPPER(TRIM(C985))&amp;"|"&amp;UPPER(TRIM(D985)),"")</f>
        <v/>
      </c>
    </row>
    <row r="986" ht="15.75" customHeight="1" s="217">
      <c r="A986" s="397" t="n">
        <v>984</v>
      </c>
      <c r="B986" s="397" t="inlineStr">
        <is>
          <t>KH2779</t>
        </is>
      </c>
      <c r="C986" s="398" t="inlineStr">
        <is>
          <t>Quốc Anh - Đăk Lăk/ 0905.100.525</t>
        </is>
      </c>
      <c r="D986" s="397" t="inlineStr">
        <is>
          <t>0905.100.525</t>
        </is>
      </c>
      <c r="E986" s="399" t="n"/>
      <c r="F986" s="398" t="inlineStr">
        <is>
          <t>Đăk Lăk</t>
        </is>
      </c>
      <c r="G986" s="397" t="inlineStr">
        <is>
          <t>ÐL</t>
        </is>
      </c>
      <c r="H986" s="399" t="n"/>
      <c r="J986" s="392">
        <f>IFERROR(UPPER(TRIM(B986))&amp;"|"&amp;UPPER(TRIM(C986))&amp;"|"&amp;UPPER(TRIM(D986)),"")</f>
        <v/>
      </c>
    </row>
    <row r="987" ht="15.75" customHeight="1" s="217">
      <c r="A987" s="400" t="n">
        <v>985</v>
      </c>
      <c r="B987" s="400" t="inlineStr">
        <is>
          <t>KH2780</t>
        </is>
      </c>
      <c r="C987" s="401" t="inlineStr">
        <is>
          <t>Xưởng Anh Hòa - SG/ 0394.410.871</t>
        </is>
      </c>
      <c r="D987" s="400" t="inlineStr">
        <is>
          <t>0394.410.871</t>
        </is>
      </c>
      <c r="E987" s="402" t="n"/>
      <c r="F987" s="401" t="inlineStr">
        <is>
          <t>Q9, TPHCM</t>
        </is>
      </c>
      <c r="G987" s="400" t="inlineStr">
        <is>
          <t>SG/HCM</t>
        </is>
      </c>
      <c r="H987" s="402" t="n"/>
      <c r="J987" s="392">
        <f>IFERROR(UPPER(TRIM(B987))&amp;"|"&amp;UPPER(TRIM(C987))&amp;"|"&amp;UPPER(TRIM(D987)),"")</f>
        <v/>
      </c>
    </row>
    <row r="988" ht="15.75" customHeight="1" s="217">
      <c r="A988" s="397" t="n">
        <v>986</v>
      </c>
      <c r="B988" s="397" t="inlineStr">
        <is>
          <t>KH2781</t>
        </is>
      </c>
      <c r="C988" s="398" t="inlineStr">
        <is>
          <t>Cửa Hàng Long Thịnh - SG/ 0902.728.767</t>
        </is>
      </c>
      <c r="D988" s="397" t="inlineStr">
        <is>
          <t>0902.728.767</t>
        </is>
      </c>
      <c r="E988" s="399" t="n"/>
      <c r="F988" s="398" t="inlineStr">
        <is>
          <t>271 Nguyễn Trãi, P. Nguyễn Cư Trinh, Q1, SG</t>
        </is>
      </c>
      <c r="G988" s="397" t="inlineStr">
        <is>
          <t>HX</t>
        </is>
      </c>
      <c r="H988" s="399" t="n"/>
      <c r="J988" s="392">
        <f>IFERROR(UPPER(TRIM(B988))&amp;"|"&amp;UPPER(TRIM(C988))&amp;"|"&amp;UPPER(TRIM(D988)),"")</f>
        <v/>
      </c>
    </row>
    <row r="989" ht="15.75" customHeight="1" s="217">
      <c r="A989" s="400" t="n">
        <v>987</v>
      </c>
      <c r="B989" s="400" t="inlineStr">
        <is>
          <t>KH2778</t>
        </is>
      </c>
      <c r="C989" s="401" t="inlineStr">
        <is>
          <t>Anh Đạt - Bình Dương / 0913.535.816</t>
        </is>
      </c>
      <c r="D989" s="400" t="inlineStr">
        <is>
          <t>0913.535.816</t>
        </is>
      </c>
      <c r="E989" s="402" t="n"/>
      <c r="F989" s="401" t="inlineStr">
        <is>
          <t>Bình Dương</t>
        </is>
      </c>
      <c r="G989" s="400" t="inlineStr">
        <is>
          <t>BDUONG</t>
        </is>
      </c>
      <c r="H989" s="402" t="n"/>
      <c r="J989" s="392">
        <f>IFERROR(UPPER(TRIM(B989))&amp;"|"&amp;UPPER(TRIM(C989))&amp;"|"&amp;UPPER(TRIM(D989)),"")</f>
        <v/>
      </c>
    </row>
    <row r="990" ht="15.75" customHeight="1" s="217">
      <c r="A990" s="397" t="n">
        <v>988</v>
      </c>
      <c r="B990" s="397" t="inlineStr">
        <is>
          <t>KH2777</t>
        </is>
      </c>
      <c r="C990" s="398" t="inlineStr">
        <is>
          <t>Công Ty Anh Quý - Quảng Ngãi/ 0905.107.170</t>
        </is>
      </c>
      <c r="D990" s="397" t="inlineStr">
        <is>
          <t>0905.107.170</t>
        </is>
      </c>
      <c r="E990" s="399" t="n"/>
      <c r="F990" s="398" t="inlineStr">
        <is>
          <t>Quảng Ngãi</t>
        </is>
      </c>
      <c r="G990" s="397" t="inlineStr">
        <is>
          <t>QUNGAI</t>
        </is>
      </c>
      <c r="H990" s="399" t="n"/>
      <c r="J990" s="392">
        <f>IFERROR(UPPER(TRIM(B990))&amp;"|"&amp;UPPER(TRIM(C990))&amp;"|"&amp;UPPER(TRIM(D990)),"")</f>
        <v/>
      </c>
    </row>
    <row r="991" ht="15.75" customHeight="1" s="217">
      <c r="A991" s="400" t="n">
        <v>989</v>
      </c>
      <c r="B991" s="400" t="inlineStr">
        <is>
          <t>KH2774</t>
        </is>
      </c>
      <c r="C991" s="401" t="inlineStr">
        <is>
          <t>Cửa hàng Anh Kiệt - Quảng Ngãi/ 0947.833.345</t>
        </is>
      </c>
      <c r="D991" s="400" t="inlineStr">
        <is>
          <t>0947.833.345</t>
        </is>
      </c>
      <c r="E991" s="402" t="n"/>
      <c r="F991" s="401" t="inlineStr">
        <is>
          <t>148 Đường 3/2, TT Ba Tơ, Quảng Ngãi</t>
        </is>
      </c>
      <c r="G991" s="400" t="inlineStr">
        <is>
          <t>QUNGAI</t>
        </is>
      </c>
      <c r="H991" s="402" t="n"/>
      <c r="J991" s="392">
        <f>IFERROR(UPPER(TRIM(B991))&amp;"|"&amp;UPPER(TRIM(C991))&amp;"|"&amp;UPPER(TRIM(D991)),"")</f>
        <v/>
      </c>
    </row>
    <row r="992" ht="15.75" customHeight="1" s="217">
      <c r="A992" s="397" t="n">
        <v>990</v>
      </c>
      <c r="B992" s="397" t="inlineStr">
        <is>
          <t>KH2775</t>
        </is>
      </c>
      <c r="C992" s="398" t="inlineStr">
        <is>
          <t>Anh Trường - SG/ 0908.319.817</t>
        </is>
      </c>
      <c r="D992" s="397" t="inlineStr">
        <is>
          <t>0908.319.817</t>
        </is>
      </c>
      <c r="E992" s="399" t="n"/>
      <c r="F992" s="398" t="inlineStr">
        <is>
          <t>SG</t>
        </is>
      </c>
      <c r="G992" s="397" t="inlineStr">
        <is>
          <t>SG/HCM</t>
        </is>
      </c>
      <c r="H992" s="399" t="n"/>
      <c r="J992" s="392">
        <f>IFERROR(UPPER(TRIM(B992))&amp;"|"&amp;UPPER(TRIM(C992))&amp;"|"&amp;UPPER(TRIM(D992)),"")</f>
        <v/>
      </c>
    </row>
    <row r="993" ht="15.75" customHeight="1" s="217">
      <c r="A993" s="400" t="n">
        <v>991</v>
      </c>
      <c r="B993" s="400" t="inlineStr">
        <is>
          <t>KH2776</t>
        </is>
      </c>
      <c r="C993" s="401" t="inlineStr">
        <is>
          <t>CH Hưng Phát -Đồng Nai/ Chị Thu- 0937.470.405</t>
        </is>
      </c>
      <c r="D993" s="400" t="inlineStr">
        <is>
          <t>0937.470.405</t>
        </is>
      </c>
      <c r="E993" s="402" t="n"/>
      <c r="F993" s="401" t="inlineStr">
        <is>
          <t>1999 ấp Thanh Thọ, Phú Xuân, Tân Phú, Đồng Nai</t>
        </is>
      </c>
      <c r="G993" s="400" t="inlineStr">
        <is>
          <t>ÐNAI</t>
        </is>
      </c>
      <c r="H993" s="402" t="n"/>
      <c r="J993" s="392">
        <f>IFERROR(UPPER(TRIM(B993))&amp;"|"&amp;UPPER(TRIM(C993))&amp;"|"&amp;UPPER(TRIM(D993)),"")</f>
        <v/>
      </c>
    </row>
    <row r="994" ht="15.75" customHeight="1" s="217">
      <c r="A994" s="397" t="n">
        <v>992</v>
      </c>
      <c r="B994" s="397" t="inlineStr">
        <is>
          <t>KH2773</t>
        </is>
      </c>
      <c r="C994" s="398" t="inlineStr">
        <is>
          <t>Anh Kích - Ninh Thuận / 0933.215.540</t>
        </is>
      </c>
      <c r="D994" s="397" t="inlineStr">
        <is>
          <t>0933.215.540</t>
        </is>
      </c>
      <c r="E994" s="399" t="n"/>
      <c r="F994" s="398" t="inlineStr">
        <is>
          <t>Ninh Thuận</t>
        </is>
      </c>
      <c r="G994" s="397" t="inlineStr">
        <is>
          <t>NTHUAN</t>
        </is>
      </c>
      <c r="H994" s="399" t="n"/>
      <c r="J994" s="392">
        <f>IFERROR(UPPER(TRIM(B994))&amp;"|"&amp;UPPER(TRIM(C994))&amp;"|"&amp;UPPER(TRIM(D994)),"")</f>
        <v/>
      </c>
    </row>
    <row r="995" ht="15.75" customHeight="1" s="217">
      <c r="A995" s="400" t="n">
        <v>993</v>
      </c>
      <c r="B995" s="400" t="inlineStr">
        <is>
          <t>TUAN</t>
        </is>
      </c>
      <c r="C995" s="401" t="inlineStr">
        <is>
          <t>Anh Tuấn - Nắp sinh hàn Quận 5 / 0908.000.332</t>
        </is>
      </c>
      <c r="D995" s="400" t="inlineStr">
        <is>
          <t>0908.000.332</t>
        </is>
      </c>
      <c r="E995" s="402" t="n"/>
      <c r="F995" s="401" t="inlineStr">
        <is>
          <t>Bến xe Chợ Lớn, Quận 5</t>
        </is>
      </c>
      <c r="G995" s="402" t="n"/>
      <c r="H995" s="402" t="n"/>
      <c r="J995" s="392">
        <f>IFERROR(UPPER(TRIM(B995))&amp;"|"&amp;UPPER(TRIM(C995))&amp;"|"&amp;UPPER(TRIM(D995)),"")</f>
        <v/>
      </c>
    </row>
    <row r="996" ht="15.75" customHeight="1" s="217">
      <c r="A996" s="397" t="n">
        <v>994</v>
      </c>
      <c r="B996" s="397" t="inlineStr">
        <is>
          <t>KH2772</t>
        </is>
      </c>
      <c r="C996" s="398" t="inlineStr">
        <is>
          <t>Xưởng Lộc Phát - Bình Phước / 0982.283.205</t>
        </is>
      </c>
      <c r="D996" s="397" t="inlineStr">
        <is>
          <t>0982.283.205</t>
        </is>
      </c>
      <c r="E996" s="399" t="n"/>
      <c r="F996" s="398" t="inlineStr">
        <is>
          <t>Bù Đăng, Bình Phước</t>
        </is>
      </c>
      <c r="G996" s="397" t="inlineStr">
        <is>
          <t>BP</t>
        </is>
      </c>
      <c r="H996" s="399" t="n"/>
      <c r="J996" s="392">
        <f>IFERROR(UPPER(TRIM(B996))&amp;"|"&amp;UPPER(TRIM(C996))&amp;"|"&amp;UPPER(TRIM(D996)),"")</f>
        <v/>
      </c>
    </row>
    <row r="997" ht="15.75" customHeight="1" s="217">
      <c r="A997" s="400" t="n">
        <v>995</v>
      </c>
      <c r="B997" s="400" t="inlineStr">
        <is>
          <t>KH2771</t>
        </is>
      </c>
      <c r="C997" s="401" t="inlineStr">
        <is>
          <t>Công ty TNHH ĐT - XD Phan Hanh - Khánh Hoà/Chị Huyền - 0358.071.677</t>
        </is>
      </c>
      <c r="D997" s="400" t="inlineStr">
        <is>
          <t>0358.071.677</t>
        </is>
      </c>
      <c r="E997" s="402" t="n"/>
      <c r="F997" s="401" t="inlineStr">
        <is>
          <t>Phước Điền, P. Nam Nha Trang, Khánh Hoà</t>
        </is>
      </c>
      <c r="G997" s="400" t="inlineStr">
        <is>
          <t>NTRANG</t>
        </is>
      </c>
      <c r="H997" s="402" t="n"/>
      <c r="J997" s="392">
        <f>IFERROR(UPPER(TRIM(B997))&amp;"|"&amp;UPPER(TRIM(C997))&amp;"|"&amp;UPPER(TRIM(D997)),"")</f>
        <v/>
      </c>
    </row>
    <row r="998" ht="15.75" customHeight="1" s="217">
      <c r="A998" s="397" t="n">
        <v>996</v>
      </c>
      <c r="B998" s="397" t="inlineStr">
        <is>
          <t>KH2769</t>
        </is>
      </c>
      <c r="C998" s="398" t="inlineStr">
        <is>
          <t>Anh Tư- Bãi Cát Bình Phước / 0971.731.878</t>
        </is>
      </c>
      <c r="D998" s="397" t="inlineStr">
        <is>
          <t>0971.731.878</t>
        </is>
      </c>
      <c r="E998" s="399" t="n"/>
      <c r="F998" s="398" t="inlineStr">
        <is>
          <t>Bình Phước</t>
        </is>
      </c>
      <c r="G998" s="397" t="inlineStr">
        <is>
          <t>BP</t>
        </is>
      </c>
      <c r="H998" s="399" t="n"/>
      <c r="J998" s="392">
        <f>IFERROR(UPPER(TRIM(B998))&amp;"|"&amp;UPPER(TRIM(C998))&amp;"|"&amp;UPPER(TRIM(D998)),"")</f>
        <v/>
      </c>
    </row>
    <row r="999" ht="15.75" customHeight="1" s="217">
      <c r="A999" s="400" t="n">
        <v>997</v>
      </c>
      <c r="B999" s="400" t="inlineStr">
        <is>
          <t>KH2770</t>
        </is>
      </c>
      <c r="C999" s="401" t="inlineStr">
        <is>
          <t>Anh Đam (xe nhà) - Bình Dương /0946.874.946</t>
        </is>
      </c>
      <c r="D999" s="400" t="inlineStr">
        <is>
          <t>0946.874.946</t>
        </is>
      </c>
      <c r="E999" s="402" t="n"/>
      <c r="F999" s="401" t="inlineStr">
        <is>
          <t>Vòng xoay An Phú, Bình Dương</t>
        </is>
      </c>
      <c r="G999" s="400" t="inlineStr">
        <is>
          <t>BDUONG</t>
        </is>
      </c>
      <c r="H999" s="402" t="n"/>
      <c r="J999" s="392">
        <f>IFERROR(UPPER(TRIM(B999))&amp;"|"&amp;UPPER(TRIM(C999))&amp;"|"&amp;UPPER(TRIM(D999)),"")</f>
        <v/>
      </c>
    </row>
    <row r="1000" ht="15.75" customHeight="1" s="217">
      <c r="A1000" s="397" t="n">
        <v>998</v>
      </c>
      <c r="B1000" s="397" t="inlineStr">
        <is>
          <t>KH2768</t>
        </is>
      </c>
      <c r="C1000" s="398" t="inlineStr">
        <is>
          <t>Anh Dũng - Ninh Thuận / 0913.183.862</t>
        </is>
      </c>
      <c r="D1000" s="397" t="inlineStr">
        <is>
          <t>0913.183.862</t>
        </is>
      </c>
      <c r="E1000" s="399" t="n"/>
      <c r="F1000" s="398" t="inlineStr">
        <is>
          <t>Ninh Thuận</t>
        </is>
      </c>
      <c r="G1000" s="397" t="inlineStr">
        <is>
          <t>NTHUAN</t>
        </is>
      </c>
      <c r="H1000" s="399" t="n"/>
      <c r="J1000" s="392">
        <f>IFERROR(UPPER(TRIM(B1000))&amp;"|"&amp;UPPER(TRIM(C1000))&amp;"|"&amp;UPPER(TRIM(D1000)),"")</f>
        <v/>
      </c>
    </row>
    <row r="1001" ht="15.75" customHeight="1" s="217">
      <c r="A1001" s="400" t="n">
        <v>999</v>
      </c>
      <c r="B1001" s="400" t="inlineStr">
        <is>
          <t>KH2767</t>
        </is>
      </c>
      <c r="C1001" s="401" t="inlineStr">
        <is>
          <t>Anh Phong - Bạc Liêu/ 0913.177.500</t>
        </is>
      </c>
      <c r="D1001" s="400" t="inlineStr">
        <is>
          <t>0913.177.500</t>
        </is>
      </c>
      <c r="E1001" s="402" t="n"/>
      <c r="F1001" s="401" t="inlineStr">
        <is>
          <t>Bạc Liêu</t>
        </is>
      </c>
      <c r="G1001" s="400" t="inlineStr">
        <is>
          <t>BLIEU</t>
        </is>
      </c>
      <c r="H1001" s="402" t="n"/>
      <c r="J1001" s="392">
        <f>IFERROR(UPPER(TRIM(B1001))&amp;"|"&amp;UPPER(TRIM(C1001))&amp;"|"&amp;UPPER(TRIM(D1001)),"")</f>
        <v/>
      </c>
    </row>
    <row r="1002" ht="15.75" customHeight="1" s="217">
      <c r="A1002" s="397" t="n">
        <v>1000</v>
      </c>
      <c r="B1002" s="397" t="inlineStr">
        <is>
          <t>KH2765</t>
        </is>
      </c>
      <c r="C1002" s="398" t="inlineStr">
        <is>
          <t>Anh Thuận - Bình Phước/ 0947.416.535</t>
        </is>
      </c>
      <c r="D1002" s="397" t="inlineStr">
        <is>
          <t>0947.416.535</t>
        </is>
      </c>
      <c r="E1002" s="399" t="n"/>
      <c r="F1002" s="398" t="inlineStr">
        <is>
          <t>Tân Hiệp, Bình Phước</t>
        </is>
      </c>
      <c r="G1002" s="397" t="inlineStr">
        <is>
          <t>BP</t>
        </is>
      </c>
      <c r="H1002" s="399" t="n"/>
      <c r="J1002" s="392">
        <f>IFERROR(UPPER(TRIM(B1002))&amp;"|"&amp;UPPER(TRIM(C1002))&amp;"|"&amp;UPPER(TRIM(D1002)),"")</f>
        <v/>
      </c>
    </row>
    <row r="1003" ht="15.75" customHeight="1" s="217">
      <c r="A1003" s="400" t="n">
        <v>1001</v>
      </c>
      <c r="B1003" s="400" t="inlineStr">
        <is>
          <t>KH2766</t>
        </is>
      </c>
      <c r="C1003" s="401" t="inlineStr">
        <is>
          <t>Anh Bin - Bình Phước/ 0814.922.222</t>
        </is>
      </c>
      <c r="D1003" s="400" t="inlineStr">
        <is>
          <t>0814.922.222</t>
        </is>
      </c>
      <c r="E1003" s="402" t="n"/>
      <c r="F1003" s="401" t="inlineStr">
        <is>
          <t>Bù Gia Mập, Bình Phước</t>
        </is>
      </c>
      <c r="G1003" s="400" t="inlineStr">
        <is>
          <t>BP</t>
        </is>
      </c>
      <c r="H1003" s="402" t="n"/>
      <c r="J1003" s="392">
        <f>IFERROR(UPPER(TRIM(B1003))&amp;"|"&amp;UPPER(TRIM(C1003))&amp;"|"&amp;UPPER(TRIM(D1003)),"")</f>
        <v/>
      </c>
    </row>
    <row r="1004" ht="15.75" customHeight="1" s="217">
      <c r="A1004" s="397" t="n">
        <v>1002</v>
      </c>
      <c r="B1004" s="397" t="inlineStr">
        <is>
          <t>KH2763</t>
        </is>
      </c>
      <c r="C1004" s="398" t="inlineStr">
        <is>
          <t>Quang Nhẫn (GARA) - Bình Dương/ 0908.775.492</t>
        </is>
      </c>
      <c r="D1004" s="397" t="inlineStr">
        <is>
          <t>0908.775.492</t>
        </is>
      </c>
      <c r="E1004" s="399" t="n"/>
      <c r="F1004" s="398" t="inlineStr">
        <is>
          <t>310 Diệp Lâm - Thuận An - Bình Dương</t>
        </is>
      </c>
      <c r="G1004" s="397" t="inlineStr">
        <is>
          <t>BDUONG</t>
        </is>
      </c>
      <c r="H1004" s="399" t="n"/>
      <c r="J1004" s="392">
        <f>IFERROR(UPPER(TRIM(B1004))&amp;"|"&amp;UPPER(TRIM(C1004))&amp;"|"&amp;UPPER(TRIM(D1004)),"")</f>
        <v/>
      </c>
    </row>
    <row r="1005" ht="15.75" customHeight="1" s="217">
      <c r="A1005" s="400" t="n">
        <v>1003</v>
      </c>
      <c r="B1005" s="400" t="inlineStr">
        <is>
          <t>KH2764</t>
        </is>
      </c>
      <c r="C1005" s="401" t="inlineStr">
        <is>
          <t>Anh Nhạ - Trà Vinh / 0944.220.140</t>
        </is>
      </c>
      <c r="D1005" s="400" t="inlineStr">
        <is>
          <t>0944.220.140</t>
        </is>
      </c>
      <c r="E1005" s="402" t="n"/>
      <c r="F1005" s="401" t="inlineStr">
        <is>
          <t>Duyên Hải, Trà Vinh</t>
        </is>
      </c>
      <c r="G1005" s="400" t="inlineStr">
        <is>
          <t>TV</t>
        </is>
      </c>
      <c r="H1005" s="402" t="n"/>
      <c r="J1005" s="392">
        <f>IFERROR(UPPER(TRIM(B1005))&amp;"|"&amp;UPPER(TRIM(C1005))&amp;"|"&amp;UPPER(TRIM(D1005)),"")</f>
        <v/>
      </c>
    </row>
    <row r="1006" ht="15.75" customHeight="1" s="217">
      <c r="A1006" s="397" t="n">
        <v>1004</v>
      </c>
      <c r="B1006" s="397" t="inlineStr">
        <is>
          <t>KH2760</t>
        </is>
      </c>
      <c r="C1006" s="398" t="inlineStr">
        <is>
          <t>Anh Long - Bình Dương/ 0364.897.439</t>
        </is>
      </c>
      <c r="D1006" s="397" t="inlineStr">
        <is>
          <t>0364.897.439</t>
        </is>
      </c>
      <c r="E1006" s="399" t="n"/>
      <c r="F1006" s="398" t="inlineStr">
        <is>
          <t>Phú Giáo, Bình Dương</t>
        </is>
      </c>
      <c r="G1006" s="397" t="inlineStr">
        <is>
          <t>BDUONG</t>
        </is>
      </c>
      <c r="H1006" s="399" t="n"/>
      <c r="J1006" s="392">
        <f>IFERROR(UPPER(TRIM(B1006))&amp;"|"&amp;UPPER(TRIM(C1006))&amp;"|"&amp;UPPER(TRIM(D1006)),"")</f>
        <v/>
      </c>
    </row>
    <row r="1007" ht="15.75" customHeight="1" s="217">
      <c r="A1007" s="400" t="n">
        <v>1005</v>
      </c>
      <c r="B1007" s="400" t="inlineStr">
        <is>
          <t>KH2761</t>
        </is>
      </c>
      <c r="C1007" s="401" t="inlineStr">
        <is>
          <t>Anh Phương - Suối Tiên / 0388.978.232</t>
        </is>
      </c>
      <c r="D1007" s="400" t="inlineStr">
        <is>
          <t>0388.978.232</t>
        </is>
      </c>
      <c r="E1007" s="402" t="n"/>
      <c r="F1007" s="401" t="inlineStr">
        <is>
          <t>20/25 XLHN KP6 ,Phường Linh Trung, Thủ Đức, Sài Gòn</t>
        </is>
      </c>
      <c r="G1007" s="400" t="inlineStr">
        <is>
          <t>SG/HCM</t>
        </is>
      </c>
      <c r="H1007" s="402" t="n"/>
      <c r="J1007" s="392">
        <f>IFERROR(UPPER(TRIM(B1007))&amp;"|"&amp;UPPER(TRIM(C1007))&amp;"|"&amp;UPPER(TRIM(D1007)),"")</f>
        <v/>
      </c>
    </row>
    <row r="1008" ht="15.75" customHeight="1" s="217">
      <c r="A1008" s="397" t="n">
        <v>1006</v>
      </c>
      <c r="B1008" s="397" t="inlineStr">
        <is>
          <t>KH2762</t>
        </is>
      </c>
      <c r="C1008" s="398" t="inlineStr">
        <is>
          <t>Anh Sáu - Đắk Nông / 0989.359.525</t>
        </is>
      </c>
      <c r="D1008" s="397" t="inlineStr">
        <is>
          <t>0989.359.525</t>
        </is>
      </c>
      <c r="E1008" s="399" t="n"/>
      <c r="F1008" s="398" t="inlineStr">
        <is>
          <t>Đắk nông</t>
        </is>
      </c>
      <c r="G1008" s="397" t="inlineStr">
        <is>
          <t>DNONG</t>
        </is>
      </c>
      <c r="H1008" s="399" t="n"/>
      <c r="J1008" s="392">
        <f>IFERROR(UPPER(TRIM(B1008))&amp;"|"&amp;UPPER(TRIM(C1008))&amp;"|"&amp;UPPER(TRIM(D1008)),"")</f>
        <v/>
      </c>
    </row>
    <row r="1009" ht="15.75" customHeight="1" s="217">
      <c r="A1009" s="400" t="n">
        <v>1007</v>
      </c>
      <c r="B1009" s="400" t="inlineStr">
        <is>
          <t>KH2758</t>
        </is>
      </c>
      <c r="C1009" s="401" t="inlineStr">
        <is>
          <t>Xưởng Nguyễn Quyền - Kon Tum/ Anh Quyền: 0985.530.627</t>
        </is>
      </c>
      <c r="D1009" s="400" t="inlineStr">
        <is>
          <t>0985.530.627</t>
        </is>
      </c>
      <c r="E1009" s="402" t="n"/>
      <c r="F1009" s="401" t="inlineStr">
        <is>
          <t>Thôn 14A, X. Đăk Pét, H. Đăk Glei, Kon Tum</t>
        </is>
      </c>
      <c r="G1009" s="400" t="inlineStr">
        <is>
          <t>KTUM</t>
        </is>
      </c>
      <c r="H1009" s="402" t="n"/>
      <c r="J1009" s="392">
        <f>IFERROR(UPPER(TRIM(B1009))&amp;"|"&amp;UPPER(TRIM(C1009))&amp;"|"&amp;UPPER(TRIM(D1009)),"")</f>
        <v/>
      </c>
    </row>
    <row r="1010" ht="15.75" customHeight="1" s="217">
      <c r="A1010" s="397" t="n">
        <v>1008</v>
      </c>
      <c r="B1010" s="397" t="inlineStr">
        <is>
          <t>KH2759</t>
        </is>
      </c>
      <c r="C1010" s="398" t="inlineStr">
        <is>
          <t>Công ty 230- Bảo Lộc / 0984.230.230</t>
        </is>
      </c>
      <c r="D1010" s="397" t="inlineStr">
        <is>
          <t>0984.230.230</t>
        </is>
      </c>
      <c r="E1010" s="399" t="n"/>
      <c r="F1010" s="398" t="inlineStr">
        <is>
          <t>Bảo Lộc</t>
        </is>
      </c>
      <c r="G1010" s="397" t="inlineStr">
        <is>
          <t>LDONG</t>
        </is>
      </c>
      <c r="H1010" s="399" t="n"/>
      <c r="J1010" s="392">
        <f>IFERROR(UPPER(TRIM(B1010))&amp;"|"&amp;UPPER(TRIM(C1010))&amp;"|"&amp;UPPER(TRIM(D1010)),"")</f>
        <v/>
      </c>
    </row>
    <row r="1011" ht="15.75" customHeight="1" s="217">
      <c r="A1011" s="400" t="n">
        <v>1009</v>
      </c>
      <c r="B1011" s="400" t="inlineStr">
        <is>
          <t>KH2757</t>
        </is>
      </c>
      <c r="C1011" s="401" t="inlineStr">
        <is>
          <t>Anh Thông ( turbo)- SG / 0937.878.193</t>
        </is>
      </c>
      <c r="D1011" s="400" t="inlineStr">
        <is>
          <t>0937.878.193</t>
        </is>
      </c>
      <c r="E1011" s="402" t="n"/>
      <c r="F1011" s="401" t="inlineStr">
        <is>
          <t>126/2 Nguyễn Du, Gò Vấp</t>
        </is>
      </c>
      <c r="G1011" s="400" t="inlineStr">
        <is>
          <t>SG/HCM</t>
        </is>
      </c>
      <c r="H1011" s="402" t="n"/>
      <c r="J1011" s="392">
        <f>IFERROR(UPPER(TRIM(B1011))&amp;"|"&amp;UPPER(TRIM(C1011))&amp;"|"&amp;UPPER(TRIM(D1011)),"")</f>
        <v/>
      </c>
    </row>
    <row r="1012" ht="15.75" customHeight="1" s="217">
      <c r="A1012" s="397" t="n">
        <v>1010</v>
      </c>
      <c r="B1012" s="397" t="inlineStr">
        <is>
          <t>KH2756</t>
        </is>
      </c>
      <c r="C1012" s="398" t="inlineStr">
        <is>
          <t>Anh Thực - An Giang/ 0972.159.383</t>
        </is>
      </c>
      <c r="D1012" s="397" t="inlineStr">
        <is>
          <t>0972.159.383</t>
        </is>
      </c>
      <c r="E1012" s="399" t="n"/>
      <c r="F1012" s="398" t="inlineStr">
        <is>
          <t>Châu Đốc, An Giang</t>
        </is>
      </c>
      <c r="G1012" s="397" t="inlineStr">
        <is>
          <t>ANGIANG</t>
        </is>
      </c>
      <c r="H1012" s="399" t="n"/>
      <c r="J1012" s="392">
        <f>IFERROR(UPPER(TRIM(B1012))&amp;"|"&amp;UPPER(TRIM(C1012))&amp;"|"&amp;UPPER(TRIM(D1012)),"")</f>
        <v/>
      </c>
    </row>
    <row r="1013" ht="15.75" customHeight="1" s="217">
      <c r="A1013" s="400" t="n">
        <v>1011</v>
      </c>
      <c r="B1013" s="400" t="inlineStr">
        <is>
          <t>KH2755</t>
        </is>
      </c>
      <c r="C1013" s="401" t="inlineStr">
        <is>
          <t>Xưởng tiện Gia Thành- đối diện Cty Miền Nam mới/ 0918.393.020</t>
        </is>
      </c>
      <c r="D1013" s="400" t="inlineStr">
        <is>
          <t>0918.393.020</t>
        </is>
      </c>
      <c r="E1013" s="402" t="n"/>
      <c r="F1013" s="401" t="inlineStr">
        <is>
          <t>Sài Gòn</t>
        </is>
      </c>
      <c r="G1013" s="400" t="inlineStr">
        <is>
          <t>SG/HCM</t>
        </is>
      </c>
      <c r="H1013" s="402" t="n"/>
      <c r="J1013" s="392">
        <f>IFERROR(UPPER(TRIM(B1013))&amp;"|"&amp;UPPER(TRIM(C1013))&amp;"|"&amp;UPPER(TRIM(D1013)),"")</f>
        <v/>
      </c>
    </row>
    <row r="1014" ht="15.75" customHeight="1" s="217">
      <c r="A1014" s="397" t="n">
        <v>1012</v>
      </c>
      <c r="B1014" s="397" t="inlineStr">
        <is>
          <t>KH2754</t>
        </is>
      </c>
      <c r="C1014" s="398" t="inlineStr">
        <is>
          <t>Anh Tuân - SG/ 0378.904.290</t>
        </is>
      </c>
      <c r="D1014" s="397" t="inlineStr">
        <is>
          <t>0378.904.290</t>
        </is>
      </c>
      <c r="E1014" s="399" t="n"/>
      <c r="F1014" s="398" t="inlineStr">
        <is>
          <t>Sài Gòn</t>
        </is>
      </c>
      <c r="G1014" s="397" t="inlineStr">
        <is>
          <t>SG/HCM</t>
        </is>
      </c>
      <c r="H1014" s="399" t="n"/>
      <c r="J1014" s="392">
        <f>IFERROR(UPPER(TRIM(B1014))&amp;"|"&amp;UPPER(TRIM(C1014))&amp;"|"&amp;UPPER(TRIM(D1014)),"")</f>
        <v/>
      </c>
    </row>
    <row r="1015" ht="15.75" customHeight="1" s="217">
      <c r="A1015" s="400" t="n">
        <v>1013</v>
      </c>
      <c r="B1015" s="400" t="inlineStr">
        <is>
          <t>KH2753</t>
        </is>
      </c>
      <c r="C1015" s="401" t="inlineStr">
        <is>
          <t>CTY XD và Lắp Máy VN - Ninh Bình/ A Nam: 0986.925.789</t>
        </is>
      </c>
      <c r="D1015" s="400" t="inlineStr">
        <is>
          <t>0986.925.789</t>
        </is>
      </c>
      <c r="E1015" s="402" t="n"/>
      <c r="F1015" s="401" t="inlineStr">
        <is>
          <t>Lô C2, KCN Khánh Phúc, X. Ninh Phúc, TP. Ninh Bình, T. Ninh Bình</t>
        </is>
      </c>
      <c r="G1015" s="400" t="inlineStr">
        <is>
          <t>SG/HCM</t>
        </is>
      </c>
      <c r="H1015" s="402" t="n"/>
      <c r="J1015" s="392">
        <f>IFERROR(UPPER(TRIM(B1015))&amp;"|"&amp;UPPER(TRIM(C1015))&amp;"|"&amp;UPPER(TRIM(D1015)),"")</f>
        <v/>
      </c>
    </row>
    <row r="1016" ht="15.75" customHeight="1" s="217">
      <c r="A1016" s="397" t="n">
        <v>1014</v>
      </c>
      <c r="B1016" s="397" t="inlineStr">
        <is>
          <t>KH2752</t>
        </is>
      </c>
      <c r="C1016" s="398" t="inlineStr">
        <is>
          <t>Công ty CP Đầu Tư, TM XD TOCHI/ anh Tùng: 0961.563.699</t>
        </is>
      </c>
      <c r="D1016" s="397" t="inlineStr">
        <is>
          <t>0961.563.699</t>
        </is>
      </c>
      <c r="E1016" s="399" t="n"/>
      <c r="F1016" s="398" t="inlineStr">
        <is>
          <t>Hà Nội</t>
        </is>
      </c>
      <c r="G1016" s="397" t="inlineStr">
        <is>
          <t>HN</t>
        </is>
      </c>
      <c r="H1016" s="399" t="n"/>
      <c r="J1016" s="392">
        <f>IFERROR(UPPER(TRIM(B1016))&amp;"|"&amp;UPPER(TRIM(C1016))&amp;"|"&amp;UPPER(TRIM(D1016)),"")</f>
        <v/>
      </c>
    </row>
    <row r="1017" ht="15.75" customHeight="1" s="217">
      <c r="A1017" s="400" t="n">
        <v>1015</v>
      </c>
      <c r="B1017" s="400" t="inlineStr">
        <is>
          <t>KH2751</t>
        </is>
      </c>
      <c r="C1017" s="401" t="inlineStr">
        <is>
          <t>Xưởng Anh Sang- Phú Quốc/ 0971.220.229</t>
        </is>
      </c>
      <c r="D1017" s="400" t="inlineStr">
        <is>
          <t>0971.220.229</t>
        </is>
      </c>
      <c r="E1017" s="402" t="n"/>
      <c r="F1017" s="401" t="inlineStr">
        <is>
          <t>Phú Quốc</t>
        </is>
      </c>
      <c r="G1017" s="400" t="inlineStr">
        <is>
          <t>PYEN</t>
        </is>
      </c>
      <c r="H1017" s="402" t="n"/>
      <c r="J1017" s="392">
        <f>IFERROR(UPPER(TRIM(B1017))&amp;"|"&amp;UPPER(TRIM(C1017))&amp;"|"&amp;UPPER(TRIM(D1017)),"")</f>
        <v/>
      </c>
    </row>
    <row r="1018" ht="15.75" customHeight="1" s="217">
      <c r="A1018" s="397" t="n">
        <v>1016</v>
      </c>
      <c r="B1018" s="397" t="inlineStr">
        <is>
          <t>KH2750</t>
        </is>
      </c>
      <c r="C1018" s="398" t="inlineStr">
        <is>
          <t>Xưởng Anh Minh - Lâm Hà/ 0919.928.752- 0345.839.567</t>
        </is>
      </c>
      <c r="D1018" s="397" t="inlineStr">
        <is>
          <t>0919.928.752- / 0345.839.567</t>
        </is>
      </c>
      <c r="E1018" s="399" t="n"/>
      <c r="F1018" s="398" t="inlineStr">
        <is>
          <t>Lâm Hà, Lâm Đồng</t>
        </is>
      </c>
      <c r="G1018" s="397" t="inlineStr">
        <is>
          <t>LDONG</t>
        </is>
      </c>
      <c r="H1018" s="399" t="n"/>
      <c r="J1018" s="392">
        <f>IFERROR(UPPER(TRIM(B1018))&amp;"|"&amp;UPPER(TRIM(C1018))&amp;"|"&amp;UPPER(TRIM(D1018)),"")</f>
        <v/>
      </c>
    </row>
    <row r="1019" ht="15.75" customHeight="1" s="217">
      <c r="A1019" s="400" t="n">
        <v>1017</v>
      </c>
      <c r="B1019" s="400" t="inlineStr">
        <is>
          <t>KH2749</t>
        </is>
      </c>
      <c r="C1019" s="401" t="inlineStr">
        <is>
          <t>Cửa hàng Thanh Hưởng - Kiên Giang/0918.122.988</t>
        </is>
      </c>
      <c r="D1019" s="400" t="inlineStr">
        <is>
          <t>0918.122.988</t>
        </is>
      </c>
      <c r="E1019" s="402" t="n"/>
      <c r="F1019" s="401" t="inlineStr">
        <is>
          <t>Cầu Lung Lớn/ Kiên Lương/ Kiên Giang</t>
        </is>
      </c>
      <c r="G1019" s="400" t="inlineStr">
        <is>
          <t>KG</t>
        </is>
      </c>
      <c r="H1019" s="400" t="inlineStr">
        <is>
          <t>Lấy tiền: 308/40/11 Nguyễn Tri Phương, P4, Q10. ĐT: 0839.271.020</t>
        </is>
      </c>
      <c r="J1019" s="392">
        <f>IFERROR(UPPER(TRIM(B1019))&amp;"|"&amp;UPPER(TRIM(C1019))&amp;"|"&amp;UPPER(TRIM(D1019)),"")</f>
        <v/>
      </c>
    </row>
    <row r="1020" ht="15.75" customHeight="1" s="217">
      <c r="A1020" s="397" t="n">
        <v>1018</v>
      </c>
      <c r="B1020" s="397" t="inlineStr">
        <is>
          <t>KH2748</t>
        </is>
      </c>
      <c r="C1020" s="398" t="inlineStr">
        <is>
          <t>Xưởng cơ khí Cty khai thác và chế biến đá An Giang/ A. Hải: 0973.001.655</t>
        </is>
      </c>
      <c r="D1020" s="397" t="inlineStr">
        <is>
          <t>0973.001.655</t>
        </is>
      </c>
      <c r="E1020" s="399" t="n"/>
      <c r="F1020" s="398" t="inlineStr">
        <is>
          <t>TL 942, Xã Cô Tô, Tri Tôn, An Giang</t>
        </is>
      </c>
      <c r="G1020" s="397" t="inlineStr">
        <is>
          <t>ANGIANG</t>
        </is>
      </c>
      <c r="H1020" s="399" t="n"/>
      <c r="J1020" s="392">
        <f>IFERROR(UPPER(TRIM(B1020))&amp;"|"&amp;UPPER(TRIM(C1020))&amp;"|"&amp;UPPER(TRIM(D1020)),"")</f>
        <v/>
      </c>
    </row>
    <row r="1021" ht="15.75" customHeight="1" s="217">
      <c r="A1021" s="400" t="n">
        <v>1019</v>
      </c>
      <c r="B1021" s="400" t="inlineStr">
        <is>
          <t>KH2747</t>
        </is>
      </c>
      <c r="C1021" s="401" t="inlineStr">
        <is>
          <t>Xưởng anh Cảnh - Đồng Nai/ 0919.134.231</t>
        </is>
      </c>
      <c r="D1021" s="400" t="inlineStr">
        <is>
          <t>0919.134.231</t>
        </is>
      </c>
      <c r="E1021" s="402" t="n"/>
      <c r="F1021" s="401" t="inlineStr">
        <is>
          <t>Xuân Lộc, Đồng Nai</t>
        </is>
      </c>
      <c r="G1021" s="402" t="n"/>
      <c r="H1021" s="402" t="n"/>
      <c r="J1021" s="392">
        <f>IFERROR(UPPER(TRIM(B1021))&amp;"|"&amp;UPPER(TRIM(C1021))&amp;"|"&amp;UPPER(TRIM(D1021)),"")</f>
        <v/>
      </c>
    </row>
    <row r="1022" ht="15.75" customHeight="1" s="217">
      <c r="A1022" s="397" t="n">
        <v>1020</v>
      </c>
      <c r="B1022" s="397" t="inlineStr">
        <is>
          <t>KH2746</t>
        </is>
      </c>
      <c r="C1022" s="398" t="inlineStr">
        <is>
          <t>Xưởng Anh Lực- Bình Thuận / 0985.554.259</t>
        </is>
      </c>
      <c r="D1022" s="397" t="inlineStr">
        <is>
          <t>0985.554.259</t>
        </is>
      </c>
      <c r="E1022" s="399" t="n"/>
      <c r="F1022" s="398" t="inlineStr">
        <is>
          <t>Bình Thuận</t>
        </is>
      </c>
      <c r="G1022" s="397" t="inlineStr">
        <is>
          <t>BTHUAN</t>
        </is>
      </c>
      <c r="H1022" s="399" t="n"/>
      <c r="J1022" s="392">
        <f>IFERROR(UPPER(TRIM(B1022))&amp;"|"&amp;UPPER(TRIM(C1022))&amp;"|"&amp;UPPER(TRIM(D1022)),"")</f>
        <v/>
      </c>
    </row>
    <row r="1023" ht="15.75" customHeight="1" s="217">
      <c r="A1023" s="400" t="n">
        <v>1021</v>
      </c>
      <c r="B1023" s="400" t="inlineStr">
        <is>
          <t>KH2745</t>
        </is>
      </c>
      <c r="C1023" s="401" t="inlineStr">
        <is>
          <t>Cửa hàng Nông Ngư Cơ - Trảng Bàng - Tây Ninh, A Sang</t>
        </is>
      </c>
      <c r="D1023" s="402" t="n"/>
      <c r="E1023" s="402" t="n"/>
      <c r="F1023" s="401" t="inlineStr">
        <is>
          <t>Trảng Bàng, Tây Ninh</t>
        </is>
      </c>
      <c r="G1023" s="402" t="n"/>
      <c r="H1023" s="402" t="n"/>
      <c r="J1023" s="392">
        <f>IFERROR(UPPER(TRIM(B1023))&amp;"|"&amp;UPPER(TRIM(C1023))&amp;"|"&amp;UPPER(TRIM(D1023)),"")</f>
        <v/>
      </c>
    </row>
    <row r="1024" ht="15.75" customHeight="1" s="217">
      <c r="A1024" s="397" t="n">
        <v>1022</v>
      </c>
      <c r="B1024" s="397" t="inlineStr">
        <is>
          <t>KH2744</t>
        </is>
      </c>
      <c r="C1024" s="398" t="inlineStr">
        <is>
          <t>CH phụ tùng ô tô Hồng Xuân/ 0912.704.794</t>
        </is>
      </c>
      <c r="D1024" s="397" t="inlineStr">
        <is>
          <t>0912.704.794</t>
        </is>
      </c>
      <c r="E1024" s="399" t="n"/>
      <c r="F1024" s="398" t="inlineStr">
        <is>
          <t>469 Lê Duẩn TP Pleiku - Gia Lai</t>
        </is>
      </c>
      <c r="G1024" s="397" t="inlineStr">
        <is>
          <t>GLAI</t>
        </is>
      </c>
      <c r="H1024" s="399" t="n"/>
      <c r="J1024" s="392">
        <f>IFERROR(UPPER(TRIM(B1024))&amp;"|"&amp;UPPER(TRIM(C1024))&amp;"|"&amp;UPPER(TRIM(D1024)),"")</f>
        <v/>
      </c>
    </row>
    <row r="1025" ht="15.75" customHeight="1" s="217">
      <c r="A1025" s="400" t="n">
        <v>1023</v>
      </c>
      <c r="B1025" s="400" t="inlineStr">
        <is>
          <t>KH2743</t>
        </is>
      </c>
      <c r="C1025" s="401" t="inlineStr">
        <is>
          <t>Xưởng anh Thành - Vũng Tàu/ 0905.638.839</t>
        </is>
      </c>
      <c r="D1025" s="400" t="inlineStr">
        <is>
          <t>0905.638.839</t>
        </is>
      </c>
      <c r="E1025" s="402" t="n"/>
      <c r="F1025" s="401" t="inlineStr">
        <is>
          <t>Hẻm 468 Bình Giả, Bà Rịa Vũng Tàu</t>
        </is>
      </c>
      <c r="G1025" s="400" t="inlineStr">
        <is>
          <t>BRVT</t>
        </is>
      </c>
      <c r="H1025" s="402" t="n"/>
      <c r="J1025" s="392">
        <f>IFERROR(UPPER(TRIM(B1025))&amp;"|"&amp;UPPER(TRIM(C1025))&amp;"|"&amp;UPPER(TRIM(D1025)),"")</f>
        <v/>
      </c>
    </row>
    <row r="1026" ht="15.75" customHeight="1" s="217">
      <c r="A1026" s="397" t="n">
        <v>1024</v>
      </c>
      <c r="B1026" s="397" t="inlineStr">
        <is>
          <t>KH2741</t>
        </is>
      </c>
      <c r="C1026" s="398" t="inlineStr">
        <is>
          <t>Xưởng Tiện Tấn Tài - Bình Dương/ A. Được: 0938.571.118</t>
        </is>
      </c>
      <c r="D1026" s="397" t="inlineStr">
        <is>
          <t>0938.571.118</t>
        </is>
      </c>
      <c r="E1026" s="399" t="n"/>
      <c r="F1026" s="398" t="inlineStr">
        <is>
          <t>743 KP 2, An Phú, Thuận An, Bình Dương</t>
        </is>
      </c>
      <c r="G1026" s="397" t="inlineStr">
        <is>
          <t>BDUONG</t>
        </is>
      </c>
      <c r="H1026" s="399" t="n"/>
      <c r="J1026" s="392">
        <f>IFERROR(UPPER(TRIM(B1026))&amp;"|"&amp;UPPER(TRIM(C1026))&amp;"|"&amp;UPPER(TRIM(D1026)),"")</f>
        <v/>
      </c>
    </row>
    <row r="1027" ht="15.75" customHeight="1" s="217">
      <c r="A1027" s="400" t="n">
        <v>1025</v>
      </c>
      <c r="B1027" s="400" t="inlineStr">
        <is>
          <t>KH2742</t>
        </is>
      </c>
      <c r="C1027" s="401" t="inlineStr">
        <is>
          <t>Cửa Hàng Kim Hoàng - SG/ 0909.211.639</t>
        </is>
      </c>
      <c r="D1027" s="400" t="inlineStr">
        <is>
          <t>0909.211.639</t>
        </is>
      </c>
      <c r="E1027" s="402" t="n"/>
      <c r="F1027" s="401" t="inlineStr">
        <is>
          <t>Quận 5, TPHCM</t>
        </is>
      </c>
      <c r="G1027" s="400" t="inlineStr">
        <is>
          <t>SG/HCM</t>
        </is>
      </c>
      <c r="H1027" s="402" t="n"/>
      <c r="J1027" s="392">
        <f>IFERROR(UPPER(TRIM(B1027))&amp;"|"&amp;UPPER(TRIM(C1027))&amp;"|"&amp;UPPER(TRIM(D1027)),"")</f>
        <v/>
      </c>
    </row>
    <row r="1028" ht="15.75" customHeight="1" s="217">
      <c r="A1028" s="397" t="n">
        <v>1026</v>
      </c>
      <c r="B1028" s="397" t="inlineStr">
        <is>
          <t>KH2738</t>
        </is>
      </c>
      <c r="C1028" s="398" t="inlineStr">
        <is>
          <t>Xưởng anh Dũng - Ninh Thuận/ 0903.836.610</t>
        </is>
      </c>
      <c r="D1028" s="397" t="inlineStr">
        <is>
          <t>0903.836.610</t>
        </is>
      </c>
      <c r="E1028" s="399" t="n"/>
      <c r="F1028" s="398" t="inlineStr">
        <is>
          <t>QL1A Ngã 3 Tân Hội, Ninh Thuận</t>
        </is>
      </c>
      <c r="G1028" s="397" t="inlineStr">
        <is>
          <t>NTHUAN</t>
        </is>
      </c>
      <c r="H1028" s="399" t="n"/>
      <c r="J1028" s="392">
        <f>IFERROR(UPPER(TRIM(B1028))&amp;"|"&amp;UPPER(TRIM(C1028))&amp;"|"&amp;UPPER(TRIM(D1028)),"")</f>
        <v/>
      </c>
    </row>
    <row r="1029" ht="15.75" customHeight="1" s="217">
      <c r="A1029" s="400" t="n">
        <v>1027</v>
      </c>
      <c r="B1029" s="400" t="inlineStr">
        <is>
          <t>KH2739</t>
        </is>
      </c>
      <c r="C1029" s="401" t="inlineStr">
        <is>
          <t>Cửa hàng anh Cường - Cà Mau/ 0918.949.558</t>
        </is>
      </c>
      <c r="D1029" s="400" t="inlineStr">
        <is>
          <t>0918.949.558</t>
        </is>
      </c>
      <c r="E1029" s="402" t="n"/>
      <c r="F1029" s="401" t="inlineStr">
        <is>
          <t>TP Cà Mau</t>
        </is>
      </c>
      <c r="G1029" s="400" t="inlineStr">
        <is>
          <t>CMAU</t>
        </is>
      </c>
      <c r="H1029" s="400" t="inlineStr">
        <is>
          <t>Gửi chành Tuấn Hưng - 245 Thái Phiên</t>
        </is>
      </c>
      <c r="J1029" s="392">
        <f>IFERROR(UPPER(TRIM(B1029))&amp;"|"&amp;UPPER(TRIM(C1029))&amp;"|"&amp;UPPER(TRIM(D1029)),"")</f>
        <v/>
      </c>
    </row>
    <row r="1030" ht="15.75" customHeight="1" s="217">
      <c r="A1030" s="397" t="n">
        <v>1028</v>
      </c>
      <c r="B1030" s="397" t="inlineStr">
        <is>
          <t>KH2740</t>
        </is>
      </c>
      <c r="C1030" s="398" t="inlineStr">
        <is>
          <t>Cửa hàng Hải Đen - SG/ 0918.985.623</t>
        </is>
      </c>
      <c r="D1030" s="397" t="inlineStr">
        <is>
          <t>0918.985.623</t>
        </is>
      </c>
      <c r="E1030" s="399" t="n"/>
      <c r="F1030" s="398" t="inlineStr">
        <is>
          <t>684 Kinh Dương Vương, SG</t>
        </is>
      </c>
      <c r="G1030" s="397" t="inlineStr">
        <is>
          <t>SG/HCM</t>
        </is>
      </c>
      <c r="H1030" s="399" t="n"/>
      <c r="J1030" s="392">
        <f>IFERROR(UPPER(TRIM(B1030))&amp;"|"&amp;UPPER(TRIM(C1030))&amp;"|"&amp;UPPER(TRIM(D1030)),"")</f>
        <v/>
      </c>
    </row>
    <row r="1031" ht="15.75" customHeight="1" s="217">
      <c r="A1031" s="400" t="n">
        <v>1029</v>
      </c>
      <c r="B1031" s="400" t="inlineStr">
        <is>
          <t>KH2735</t>
        </is>
      </c>
      <c r="C1031" s="401" t="inlineStr">
        <is>
          <t>TURBO - QUỐC CƯỜNG - GIA LAI/ Anh Cường- 0935.778.797</t>
        </is>
      </c>
      <c r="D1031" s="400" t="inlineStr">
        <is>
          <t>0935.778.797</t>
        </is>
      </c>
      <c r="E1031" s="402" t="n"/>
      <c r="F1031" s="401" t="inlineStr">
        <is>
          <t>67 Tạ Quang Bửu, Pleiku, Gia Lai</t>
        </is>
      </c>
      <c r="G1031" s="400" t="inlineStr">
        <is>
          <t>GLAI</t>
        </is>
      </c>
      <c r="H1031" s="402" t="n"/>
      <c r="J1031" s="392">
        <f>IFERROR(UPPER(TRIM(B1031))&amp;"|"&amp;UPPER(TRIM(C1031))&amp;"|"&amp;UPPER(TRIM(D1031)),"")</f>
        <v/>
      </c>
    </row>
    <row r="1032" ht="15.75" customHeight="1" s="217">
      <c r="A1032" s="397" t="n">
        <v>1030</v>
      </c>
      <c r="B1032" s="397" t="inlineStr">
        <is>
          <t>KH2736</t>
        </is>
      </c>
      <c r="C1032" s="398" t="inlineStr">
        <is>
          <t>Cửa hàng Đông Nam - Cà Mau/ 0944.752.852</t>
        </is>
      </c>
      <c r="D1032" s="397" t="inlineStr">
        <is>
          <t>0944.752.852</t>
        </is>
      </c>
      <c r="E1032" s="399" t="n"/>
      <c r="F1032" s="398" t="inlineStr">
        <is>
          <t>TT Năm Căn, huyện Năm Căn, TP Cà Mau</t>
        </is>
      </c>
      <c r="G1032" s="397" t="inlineStr">
        <is>
          <t>CMAU</t>
        </is>
      </c>
      <c r="H1032" s="399" t="n"/>
      <c r="J1032" s="392">
        <f>IFERROR(UPPER(TRIM(B1032))&amp;"|"&amp;UPPER(TRIM(C1032))&amp;"|"&amp;UPPER(TRIM(D1032)),"")</f>
        <v/>
      </c>
    </row>
    <row r="1033" ht="15.75" customHeight="1" s="217">
      <c r="A1033" s="400" t="n">
        <v>1031</v>
      </c>
      <c r="B1033" s="400" t="inlineStr">
        <is>
          <t>KH2737</t>
        </is>
      </c>
      <c r="C1033" s="401" t="inlineStr">
        <is>
          <t>Cửa hàng Tiến Sang -Tiền Giang/ 0908.945.587</t>
        </is>
      </c>
      <c r="D1033" s="400" t="inlineStr">
        <is>
          <t>0908.945.587</t>
        </is>
      </c>
      <c r="E1033" s="402" t="n"/>
      <c r="F1033" s="401" t="inlineStr">
        <is>
          <t>Cái Bè - Tiền Giang</t>
        </is>
      </c>
      <c r="G1033" s="400" t="inlineStr">
        <is>
          <t>TGIANG</t>
        </is>
      </c>
      <c r="H1033" s="402" t="n"/>
      <c r="J1033" s="392">
        <f>IFERROR(UPPER(TRIM(B1033))&amp;"|"&amp;UPPER(TRIM(C1033))&amp;"|"&amp;UPPER(TRIM(D1033)),"")</f>
        <v/>
      </c>
    </row>
    <row r="1034" ht="15.75" customHeight="1" s="217">
      <c r="A1034" s="397" t="n">
        <v>1032</v>
      </c>
      <c r="B1034" s="397" t="inlineStr">
        <is>
          <t>KH2734</t>
        </is>
      </c>
      <c r="C1034" s="398" t="inlineStr">
        <is>
          <t>Xưởng Anh Lợi- Bến Cát / 0986.093.408</t>
        </is>
      </c>
      <c r="D1034" s="397" t="inlineStr">
        <is>
          <t>0986.093.408</t>
        </is>
      </c>
      <c r="E1034" s="399" t="n"/>
      <c r="F1034" s="398" t="inlineStr">
        <is>
          <t>Bến Cát</t>
        </is>
      </c>
      <c r="G1034" s="397" t="inlineStr">
        <is>
          <t>BDUONG</t>
        </is>
      </c>
      <c r="H1034" s="399" t="n"/>
      <c r="J1034" s="392">
        <f>IFERROR(UPPER(TRIM(B1034))&amp;"|"&amp;UPPER(TRIM(C1034))&amp;"|"&amp;UPPER(TRIM(D1034)),"")</f>
        <v/>
      </c>
    </row>
    <row r="1035" ht="15.75" customHeight="1" s="217">
      <c r="A1035" s="400" t="n">
        <v>1033</v>
      </c>
      <c r="B1035" s="400" t="inlineStr">
        <is>
          <t>KH2733</t>
        </is>
      </c>
      <c r="C1035" s="401" t="inlineStr">
        <is>
          <t>Cửa hàng Hùng Cường- Kiên Giang/ 0945.252.778</t>
        </is>
      </c>
      <c r="D1035" s="400" t="inlineStr">
        <is>
          <t>0945.252.778</t>
        </is>
      </c>
      <c r="E1035" s="402" t="n"/>
      <c r="F1035" s="401" t="inlineStr">
        <is>
          <t>Số 26, Ấp Vĩnh Phươc 2, Thị Trấn Vĩnh Thuận, Kiên Giang</t>
        </is>
      </c>
      <c r="G1035" s="400" t="inlineStr">
        <is>
          <t>KG</t>
        </is>
      </c>
      <c r="H1035" s="402" t="n"/>
      <c r="J1035" s="392">
        <f>IFERROR(UPPER(TRIM(B1035))&amp;"|"&amp;UPPER(TRIM(C1035))&amp;"|"&amp;UPPER(TRIM(D1035)),"")</f>
        <v/>
      </c>
    </row>
    <row r="1036" ht="15.75" customHeight="1" s="217">
      <c r="A1036" s="397" t="n">
        <v>1034</v>
      </c>
      <c r="B1036" s="397" t="inlineStr">
        <is>
          <t>KH2732</t>
        </is>
      </c>
      <c r="C1036" s="398" t="inlineStr">
        <is>
          <t>CH ANH THANH - Thủ Đức, Sài Gòn/ 0909.115.583- 0907.115.583</t>
        </is>
      </c>
      <c r="D1036" s="397" t="inlineStr">
        <is>
          <t>0909.115.583- / 0907.115.583</t>
        </is>
      </c>
      <c r="E1036" s="399" t="n"/>
      <c r="F1036" s="398" t="inlineStr">
        <is>
          <t>18B Đường Tam Bình, Hiệp Bình Phước, Thủ Đức, SG</t>
        </is>
      </c>
      <c r="G1036" s="397" t="inlineStr">
        <is>
          <t>SG/HCM</t>
        </is>
      </c>
      <c r="H1036" s="399" t="n"/>
      <c r="J1036" s="392">
        <f>IFERROR(UPPER(TRIM(B1036))&amp;"|"&amp;UPPER(TRIM(C1036))&amp;"|"&amp;UPPER(TRIM(D1036)),"")</f>
        <v/>
      </c>
    </row>
    <row r="1037" ht="15.75" customHeight="1" s="217">
      <c r="A1037" s="400" t="n">
        <v>1035</v>
      </c>
      <c r="B1037" s="400" t="inlineStr">
        <is>
          <t>KH2730</t>
        </is>
      </c>
      <c r="C1037" s="401" t="inlineStr">
        <is>
          <t>Cửa hàng Vạn Lực - ĐắkLắk/ 0913.444.533</t>
        </is>
      </c>
      <c r="D1037" s="400" t="inlineStr">
        <is>
          <t>0913.444.533</t>
        </is>
      </c>
      <c r="E1037" s="402" t="n"/>
      <c r="F1037" s="401" t="inlineStr">
        <is>
          <t>7 Nguyễn Thị Minh Khai, ĐăkLắk</t>
        </is>
      </c>
      <c r="G1037" s="400" t="inlineStr">
        <is>
          <t>ÐL</t>
        </is>
      </c>
      <c r="H1037" s="402" t="n"/>
      <c r="J1037" s="392">
        <f>IFERROR(UPPER(TRIM(B1037))&amp;"|"&amp;UPPER(TRIM(C1037))&amp;"|"&amp;UPPER(TRIM(D1037)),"")</f>
        <v/>
      </c>
    </row>
    <row r="1038" ht="15.75" customHeight="1" s="217">
      <c r="A1038" s="397" t="n">
        <v>1036</v>
      </c>
      <c r="B1038" s="397" t="inlineStr">
        <is>
          <t>KH2731</t>
        </is>
      </c>
      <c r="C1038" s="398" t="inlineStr">
        <is>
          <t>Anh Dương - Bình Phước/ 0975.280.610</t>
        </is>
      </c>
      <c r="D1038" s="397" t="inlineStr">
        <is>
          <t>0975.280.610</t>
        </is>
      </c>
      <c r="E1038" s="399" t="n"/>
      <c r="F1038" s="398" t="inlineStr">
        <is>
          <t>Phước Long, Bình Phước</t>
        </is>
      </c>
      <c r="G1038" s="397" t="inlineStr">
        <is>
          <t>BP</t>
        </is>
      </c>
      <c r="H1038" s="399" t="n"/>
      <c r="J1038" s="392">
        <f>IFERROR(UPPER(TRIM(B1038))&amp;"|"&amp;UPPER(TRIM(C1038))&amp;"|"&amp;UPPER(TRIM(D1038)),"")</f>
        <v/>
      </c>
    </row>
    <row r="1039" ht="15.75" customHeight="1" s="217">
      <c r="A1039" s="400" t="n">
        <v>1037</v>
      </c>
      <c r="B1039" s="400" t="inlineStr">
        <is>
          <t>DUTCH</t>
        </is>
      </c>
      <c r="C1039" s="401" t="inlineStr">
        <is>
          <t>DUTCH ENGINE PARTS</t>
        </is>
      </c>
      <c r="D1039" s="402" t="n"/>
      <c r="E1039" s="402" t="n"/>
      <c r="F1039" s="401" t="inlineStr">
        <is>
          <t>NEDERLAND (FPT IVECO)</t>
        </is>
      </c>
      <c r="G1039" s="402" t="n"/>
      <c r="H1039" s="402" t="n"/>
      <c r="J1039" s="392">
        <f>IFERROR(UPPER(TRIM(B1039))&amp;"|"&amp;UPPER(TRIM(C1039))&amp;"|"&amp;UPPER(TRIM(D1039)),"")</f>
        <v/>
      </c>
    </row>
    <row r="1040" ht="15.75" customHeight="1" s="217">
      <c r="A1040" s="397" t="n">
        <v>1038</v>
      </c>
      <c r="B1040" s="397" t="inlineStr">
        <is>
          <t>KH2729</t>
        </is>
      </c>
      <c r="C1040" s="398" t="inlineStr">
        <is>
          <t>Xưởng anh Hùng - Bình Thuận/ 0363.277.258</t>
        </is>
      </c>
      <c r="D1040" s="397" t="inlineStr">
        <is>
          <t>0363.277.258</t>
        </is>
      </c>
      <c r="E1040" s="399" t="n"/>
      <c r="F1040" s="398" t="inlineStr">
        <is>
          <t>Tuy Phong, Bình Thuận</t>
        </is>
      </c>
      <c r="G1040" s="397" t="inlineStr">
        <is>
          <t>NTHUAN</t>
        </is>
      </c>
      <c r="H1040" s="399" t="n"/>
      <c r="J1040" s="392">
        <f>IFERROR(UPPER(TRIM(B1040))&amp;"|"&amp;UPPER(TRIM(C1040))&amp;"|"&amp;UPPER(TRIM(D1040)),"")</f>
        <v/>
      </c>
    </row>
    <row r="1041" ht="15.75" customHeight="1" s="217">
      <c r="A1041" s="400" t="n">
        <v>1039</v>
      </c>
      <c r="B1041" s="400" t="inlineStr">
        <is>
          <t>KH2728</t>
        </is>
      </c>
      <c r="C1041" s="401" t="inlineStr">
        <is>
          <t>Xưởng Anh Thạch - Đồng Nai / 0989.412.357</t>
        </is>
      </c>
      <c r="D1041" s="400" t="inlineStr">
        <is>
          <t>0989.412.357</t>
        </is>
      </c>
      <c r="E1041" s="402" t="n"/>
      <c r="F1041" s="401" t="inlineStr">
        <is>
          <t>Đồng Nai</t>
        </is>
      </c>
      <c r="G1041" s="400" t="inlineStr">
        <is>
          <t>ÐNAI</t>
        </is>
      </c>
      <c r="H1041" s="402" t="n"/>
      <c r="J1041" s="392">
        <f>IFERROR(UPPER(TRIM(B1041))&amp;"|"&amp;UPPER(TRIM(C1041))&amp;"|"&amp;UPPER(TRIM(D1041)),"")</f>
        <v/>
      </c>
    </row>
    <row r="1042" ht="15.75" customHeight="1" s="217">
      <c r="A1042" s="397" t="n">
        <v>1040</v>
      </c>
      <c r="B1042" s="397" t="inlineStr">
        <is>
          <t>KH2726</t>
        </is>
      </c>
      <c r="C1042" s="398" t="inlineStr">
        <is>
          <t>Anh Thông- Bảo Lộc/ 0382.529.375</t>
        </is>
      </c>
      <c r="D1042" s="397" t="inlineStr">
        <is>
          <t>0382.529.375</t>
        </is>
      </c>
      <c r="E1042" s="399" t="n"/>
      <c r="F1042" s="398" t="inlineStr">
        <is>
          <t>TP Bảo Lộc, Lâm Đồng</t>
        </is>
      </c>
      <c r="G1042" s="397" t="inlineStr">
        <is>
          <t>LDONG</t>
        </is>
      </c>
      <c r="H1042" s="399" t="n"/>
      <c r="J1042" s="392">
        <f>IFERROR(UPPER(TRIM(B1042))&amp;"|"&amp;UPPER(TRIM(C1042))&amp;"|"&amp;UPPER(TRIM(D1042)),"")</f>
        <v/>
      </c>
    </row>
    <row r="1043" ht="15.75" customHeight="1" s="217">
      <c r="A1043" s="400" t="n">
        <v>1041</v>
      </c>
      <c r="B1043" s="400" t="inlineStr">
        <is>
          <t>KH2727</t>
        </is>
      </c>
      <c r="C1043" s="401" t="inlineStr">
        <is>
          <t>CH Trung Mẫn - Bình Thuận/ 0919.187.400</t>
        </is>
      </c>
      <c r="D1043" s="400" t="inlineStr">
        <is>
          <t>0919.187.400</t>
        </is>
      </c>
      <c r="E1043" s="402" t="n"/>
      <c r="F1043" s="401" t="inlineStr">
        <is>
          <t>Phan Thiết, Bình Thuận</t>
        </is>
      </c>
      <c r="G1043" s="400" t="inlineStr">
        <is>
          <t>BTHUAN</t>
        </is>
      </c>
      <c r="H1043" s="402" t="n"/>
      <c r="J1043" s="392">
        <f>IFERROR(UPPER(TRIM(B1043))&amp;"|"&amp;UPPER(TRIM(C1043))&amp;"|"&amp;UPPER(TRIM(D1043)),"")</f>
        <v/>
      </c>
    </row>
    <row r="1044" ht="15.75" customHeight="1" s="217">
      <c r="A1044" s="397" t="n">
        <v>1042</v>
      </c>
      <c r="B1044" s="397" t="inlineStr">
        <is>
          <t>KH2725</t>
        </is>
      </c>
      <c r="C1044" s="398" t="inlineStr">
        <is>
          <t>Anh Hiến - KonTum/ 0976.675.708</t>
        </is>
      </c>
      <c r="D1044" s="397" t="inlineStr">
        <is>
          <t>0976.675.708</t>
        </is>
      </c>
      <c r="E1044" s="399" t="n"/>
      <c r="F1044" s="398" t="inlineStr">
        <is>
          <t>KonTum</t>
        </is>
      </c>
      <c r="G1044" s="397" t="inlineStr">
        <is>
          <t>KTUM</t>
        </is>
      </c>
      <c r="H1044" s="399" t="n"/>
      <c r="J1044" s="392">
        <f>IFERROR(UPPER(TRIM(B1044))&amp;"|"&amp;UPPER(TRIM(C1044))&amp;"|"&amp;UPPER(TRIM(D1044)),"")</f>
        <v/>
      </c>
    </row>
    <row r="1045" ht="15.75" customHeight="1" s="217">
      <c r="A1045" s="400" t="n">
        <v>1043</v>
      </c>
      <c r="B1045" s="400" t="inlineStr">
        <is>
          <t>KH2723</t>
        </is>
      </c>
      <c r="C1045" s="401" t="inlineStr">
        <is>
          <t>Xưởng Văn Hoàng - Cầu Bình Phước 1/ 0913.670.703</t>
        </is>
      </c>
      <c r="D1045" s="400" t="inlineStr">
        <is>
          <t>0913.670.703</t>
        </is>
      </c>
      <c r="E1045" s="402" t="n"/>
      <c r="F1045" s="401" t="inlineStr">
        <is>
          <t>Sài gòn</t>
        </is>
      </c>
      <c r="G1045" s="400" t="inlineStr">
        <is>
          <t>SG/HCM</t>
        </is>
      </c>
      <c r="H1045" s="402" t="n"/>
      <c r="J1045" s="392">
        <f>IFERROR(UPPER(TRIM(B1045))&amp;"|"&amp;UPPER(TRIM(C1045))&amp;"|"&amp;UPPER(TRIM(D1045)),"")</f>
        <v/>
      </c>
    </row>
    <row r="1046" ht="15.75" customHeight="1" s="217">
      <c r="A1046" s="397" t="n">
        <v>1044</v>
      </c>
      <c r="B1046" s="397" t="inlineStr">
        <is>
          <t>KH2724</t>
        </is>
      </c>
      <c r="C1046" s="398" t="inlineStr">
        <is>
          <t>Anh Cam - BX Miền Đông mới /0908.457.057</t>
        </is>
      </c>
      <c r="D1046" s="397" t="inlineStr">
        <is>
          <t>0908.457.057</t>
        </is>
      </c>
      <c r="E1046" s="399" t="n"/>
      <c r="F1046" s="398" t="inlineStr">
        <is>
          <t>Đường số 13, BX Miền Đông mới, Sài gòn</t>
        </is>
      </c>
      <c r="G1046" s="397" t="inlineStr">
        <is>
          <t>SG/HCM</t>
        </is>
      </c>
      <c r="H1046" s="399" t="n"/>
      <c r="J1046" s="392">
        <f>IFERROR(UPPER(TRIM(B1046))&amp;"|"&amp;UPPER(TRIM(C1046))&amp;"|"&amp;UPPER(TRIM(D1046)),"")</f>
        <v/>
      </c>
    </row>
    <row r="1047" ht="15.75" customHeight="1" s="217">
      <c r="A1047" s="400" t="n">
        <v>1045</v>
      </c>
      <c r="B1047" s="400" t="inlineStr">
        <is>
          <t>KH2722</t>
        </is>
      </c>
      <c r="C1047" s="401" t="inlineStr">
        <is>
          <t>Xưởng Anh Minh - Lâm Hà/ A Minh: 0345.839.567</t>
        </is>
      </c>
      <c r="D1047" s="400" t="inlineStr">
        <is>
          <t>0345.839.567</t>
        </is>
      </c>
      <c r="E1047" s="402" t="n"/>
      <c r="F1047" s="401" t="inlineStr">
        <is>
          <t>Lâm Hà, Lâm Đồng</t>
        </is>
      </c>
      <c r="G1047" s="400" t="inlineStr">
        <is>
          <t>LDONG</t>
        </is>
      </c>
      <c r="H1047" s="402" t="n"/>
      <c r="J1047" s="392">
        <f>IFERROR(UPPER(TRIM(B1047))&amp;"|"&amp;UPPER(TRIM(C1047))&amp;"|"&amp;UPPER(TRIM(D1047)),"")</f>
        <v/>
      </c>
    </row>
    <row r="1048" ht="15.75" customHeight="1" s="217">
      <c r="A1048" s="397" t="n">
        <v>1046</v>
      </c>
      <c r="B1048" s="397" t="inlineStr">
        <is>
          <t>KH2721</t>
        </is>
      </c>
      <c r="C1048" s="398" t="inlineStr">
        <is>
          <t>CH Thái Dương - Quảng Trị  0914.702.333</t>
        </is>
      </c>
      <c r="D1048" s="397" t="inlineStr">
        <is>
          <t>0914.702.333</t>
        </is>
      </c>
      <c r="E1048" s="399" t="n"/>
      <c r="F1048" s="398" t="inlineStr">
        <is>
          <t>TP. Đông Hà - Quảng Trị</t>
        </is>
      </c>
      <c r="G1048" s="399" t="n"/>
      <c r="H1048" s="399" t="n"/>
      <c r="J1048" s="392">
        <f>IFERROR(UPPER(TRIM(B1048))&amp;"|"&amp;UPPER(TRIM(C1048))&amp;"|"&amp;UPPER(TRIM(D1048)),"")</f>
        <v/>
      </c>
    </row>
    <row r="1049" ht="15.75" customHeight="1" s="217">
      <c r="A1049" s="400" t="n">
        <v>1047</v>
      </c>
      <c r="B1049" s="400" t="inlineStr">
        <is>
          <t>KH2719</t>
        </is>
      </c>
      <c r="C1049" s="401" t="inlineStr">
        <is>
          <t>Cửa hàng Lê Vũ- Đồng Tháp/ 0913.705.057/ 0382.981.888</t>
        </is>
      </c>
      <c r="D1049" s="400" t="inlineStr">
        <is>
          <t>0913.705.057 / 0382.981.888</t>
        </is>
      </c>
      <c r="E1049" s="402" t="n"/>
      <c r="F1049" s="401" t="inlineStr">
        <is>
          <t>226 Hùng Vương, Thị Trấn Sa Rài, Huyện Tân Hông, Đồng Tháp</t>
        </is>
      </c>
      <c r="G1049" s="402" t="n"/>
      <c r="H1049" s="402" t="n"/>
      <c r="J1049" s="392">
        <f>IFERROR(UPPER(TRIM(B1049))&amp;"|"&amp;UPPER(TRIM(C1049))&amp;"|"&amp;UPPER(TRIM(D1049)),"")</f>
        <v/>
      </c>
    </row>
    <row r="1050" ht="15.75" customHeight="1" s="217">
      <c r="A1050" s="397" t="n">
        <v>1048</v>
      </c>
      <c r="B1050" s="397" t="inlineStr">
        <is>
          <t>KH2720</t>
        </is>
      </c>
      <c r="C1050" s="398" t="inlineStr">
        <is>
          <t>Cửa hàng Quang Minh -Vĩnh Long/ anh Hùng: 0919.493.993</t>
        </is>
      </c>
      <c r="D1050" s="397" t="inlineStr">
        <is>
          <t>0919.493.993</t>
        </is>
      </c>
      <c r="E1050" s="399" t="n"/>
      <c r="F1050" s="398" t="inlineStr">
        <is>
          <t>52 ĐINH TIÊN HOÀNG, P.8, TP VĨNH LONG</t>
        </is>
      </c>
      <c r="G1050" s="397" t="inlineStr">
        <is>
          <t>VĨNH LONG</t>
        </is>
      </c>
      <c r="H1050" s="399" t="n"/>
      <c r="J1050" s="392">
        <f>IFERROR(UPPER(TRIM(B1050))&amp;"|"&amp;UPPER(TRIM(C1050))&amp;"|"&amp;UPPER(TRIM(D1050)),"")</f>
        <v/>
      </c>
    </row>
    <row r="1051" ht="15.75" customHeight="1" s="217">
      <c r="A1051" s="400" t="n">
        <v>1049</v>
      </c>
      <c r="B1051" s="400" t="inlineStr">
        <is>
          <t>KH2717</t>
        </is>
      </c>
      <c r="C1051" s="401" t="inlineStr">
        <is>
          <t>Anh Hùng  - Phan Rý / 0918.655.070</t>
        </is>
      </c>
      <c r="D1051" s="400" t="inlineStr">
        <is>
          <t>0918.655.070</t>
        </is>
      </c>
      <c r="E1051" s="402" t="n"/>
      <c r="F1051" s="401" t="inlineStr">
        <is>
          <t>Phan Rý, Bình Thuận</t>
        </is>
      </c>
      <c r="G1051" s="400" t="inlineStr">
        <is>
          <t>BTHUAN</t>
        </is>
      </c>
      <c r="H1051" s="402" t="n"/>
      <c r="J1051" s="392">
        <f>IFERROR(UPPER(TRIM(B1051))&amp;"|"&amp;UPPER(TRIM(C1051))&amp;"|"&amp;UPPER(TRIM(D1051)),"")</f>
        <v/>
      </c>
    </row>
    <row r="1052" ht="15.75" customHeight="1" s="217">
      <c r="A1052" s="397" t="n">
        <v>1050</v>
      </c>
      <c r="B1052" s="397" t="inlineStr">
        <is>
          <t>KH2718</t>
        </is>
      </c>
      <c r="C1052" s="398" t="inlineStr">
        <is>
          <t>Anh Huy - Bình Phước/ 0933.525.310</t>
        </is>
      </c>
      <c r="D1052" s="397" t="inlineStr">
        <is>
          <t>0933.525.310</t>
        </is>
      </c>
      <c r="E1052" s="399" t="n"/>
      <c r="F1052" s="398" t="inlineStr">
        <is>
          <t>Tân Hiệp, Bình Phước</t>
        </is>
      </c>
      <c r="G1052" s="397" t="inlineStr">
        <is>
          <t>BP</t>
        </is>
      </c>
      <c r="H1052" s="399" t="n"/>
      <c r="J1052" s="392">
        <f>IFERROR(UPPER(TRIM(B1052))&amp;"|"&amp;UPPER(TRIM(C1052))&amp;"|"&amp;UPPER(TRIM(D1052)),"")</f>
        <v/>
      </c>
    </row>
    <row r="1053" ht="15.75" customHeight="1" s="217">
      <c r="A1053" s="400" t="n">
        <v>1051</v>
      </c>
      <c r="B1053" s="400" t="inlineStr">
        <is>
          <t>KH2716</t>
        </is>
      </c>
      <c r="C1053" s="401" t="inlineStr">
        <is>
          <t>CH Đức Anh - Đối diện BX Miền Đông mới /0934.814.688</t>
        </is>
      </c>
      <c r="D1053" s="400" t="inlineStr">
        <is>
          <t>0934.814.688</t>
        </is>
      </c>
      <c r="E1053" s="402" t="n"/>
      <c r="F1053" s="401" t="inlineStr">
        <is>
          <t>Sài gòn</t>
        </is>
      </c>
      <c r="G1053" s="400" t="inlineStr">
        <is>
          <t>SG/HCM</t>
        </is>
      </c>
      <c r="H1053" s="402" t="n"/>
      <c r="J1053" s="392">
        <f>IFERROR(UPPER(TRIM(B1053))&amp;"|"&amp;UPPER(TRIM(C1053))&amp;"|"&amp;UPPER(TRIM(D1053)),"")</f>
        <v/>
      </c>
    </row>
    <row r="1054" ht="15.75" customHeight="1" s="217">
      <c r="A1054" s="397" t="n">
        <v>1052</v>
      </c>
      <c r="B1054" s="397" t="inlineStr">
        <is>
          <t>KH2715</t>
        </is>
      </c>
      <c r="C1054" s="398" t="inlineStr">
        <is>
          <t>Anh Quang - Quận 10 / 0919.806.060</t>
        </is>
      </c>
      <c r="D1054" s="397" t="inlineStr">
        <is>
          <t>0919.806.060</t>
        </is>
      </c>
      <c r="E1054" s="399" t="n"/>
      <c r="F1054" s="398" t="inlineStr">
        <is>
          <t>53 Nguyễn Lâm, P6, Quận 10, Sài Gòn</t>
        </is>
      </c>
      <c r="G1054" s="397" t="inlineStr">
        <is>
          <t>SG/HCM</t>
        </is>
      </c>
      <c r="H1054" s="399" t="n"/>
      <c r="J1054" s="392">
        <f>IFERROR(UPPER(TRIM(B1054))&amp;"|"&amp;UPPER(TRIM(C1054))&amp;"|"&amp;UPPER(TRIM(D1054)),"")</f>
        <v/>
      </c>
    </row>
    <row r="1055" ht="15.75" customHeight="1" s="217">
      <c r="A1055" s="400" t="n">
        <v>1053</v>
      </c>
      <c r="B1055" s="400" t="inlineStr">
        <is>
          <t>KH2714</t>
        </is>
      </c>
      <c r="C1055" s="401" t="inlineStr">
        <is>
          <t>Gara Quốc Đạt - Bình Phước/ 0903.699.281</t>
        </is>
      </c>
      <c r="D1055" s="400" t="inlineStr">
        <is>
          <t>0903.699.281</t>
        </is>
      </c>
      <c r="E1055" s="402" t="n"/>
      <c r="F1055" s="401" t="inlineStr">
        <is>
          <t>TT Lộc Ninh, Bình Phước</t>
        </is>
      </c>
      <c r="G1055" s="400" t="inlineStr">
        <is>
          <t>BP</t>
        </is>
      </c>
      <c r="H1055" s="402" t="n"/>
      <c r="J1055" s="392">
        <f>IFERROR(UPPER(TRIM(B1055))&amp;"|"&amp;UPPER(TRIM(C1055))&amp;"|"&amp;UPPER(TRIM(D1055)),"")</f>
        <v/>
      </c>
    </row>
    <row r="1056" ht="15.75" customHeight="1" s="217">
      <c r="A1056" s="397" t="n">
        <v>1054</v>
      </c>
      <c r="B1056" s="397" t="inlineStr">
        <is>
          <t>KH2713</t>
        </is>
      </c>
      <c r="C1056" s="398" t="inlineStr">
        <is>
          <t>Anh Tuấn - Bình Thuận/ 0976.590.947</t>
        </is>
      </c>
      <c r="D1056" s="397" t="inlineStr">
        <is>
          <t>0976.590.947</t>
        </is>
      </c>
      <c r="E1056" s="399" t="n"/>
      <c r="F1056" s="398" t="inlineStr">
        <is>
          <t>Lagi, Bình Thuận</t>
        </is>
      </c>
      <c r="G1056" s="397" t="inlineStr">
        <is>
          <t>BTHUAN</t>
        </is>
      </c>
      <c r="H1056" s="399" t="n"/>
      <c r="J1056" s="392">
        <f>IFERROR(UPPER(TRIM(B1056))&amp;"|"&amp;UPPER(TRIM(C1056))&amp;"|"&amp;UPPER(TRIM(D1056)),"")</f>
        <v/>
      </c>
    </row>
    <row r="1057" ht="15.75" customHeight="1" s="217">
      <c r="A1057" s="400" t="n">
        <v>1055</v>
      </c>
      <c r="B1057" s="400" t="inlineStr">
        <is>
          <t>KH2712</t>
        </is>
      </c>
      <c r="C1057" s="401" t="inlineStr">
        <is>
          <t>Anh Đạt - Suối Tiên/ 0325.160.606</t>
        </is>
      </c>
      <c r="D1057" s="400" t="inlineStr">
        <is>
          <t>0325.160.606</t>
        </is>
      </c>
      <c r="E1057" s="402" t="n"/>
      <c r="F1057" s="401" t="inlineStr">
        <is>
          <t>Suối Tiên, SG</t>
        </is>
      </c>
      <c r="G1057" s="400" t="inlineStr">
        <is>
          <t>SG/HCM</t>
        </is>
      </c>
      <c r="H1057" s="402" t="n"/>
      <c r="J1057" s="392">
        <f>IFERROR(UPPER(TRIM(B1057))&amp;"|"&amp;UPPER(TRIM(C1057))&amp;"|"&amp;UPPER(TRIM(D1057)),"")</f>
        <v/>
      </c>
    </row>
    <row r="1058" ht="15.75" customHeight="1" s="217">
      <c r="A1058" s="397" t="n">
        <v>1056</v>
      </c>
      <c r="B1058" s="397" t="inlineStr">
        <is>
          <t>KH2711</t>
        </is>
      </c>
      <c r="C1058" s="398" t="inlineStr">
        <is>
          <t>Cửa hàng Vạn Phát Hưng (chuyên đồ Hàn) - Quận 5</t>
        </is>
      </c>
      <c r="D1058" s="399" t="n"/>
      <c r="E1058" s="399" t="n"/>
      <c r="F1058" s="398" t="inlineStr">
        <is>
          <t>(đối diện) 12 Đặng Thái Thân, Quận 5</t>
        </is>
      </c>
      <c r="G1058" s="397" t="inlineStr">
        <is>
          <t>SG/HCM</t>
        </is>
      </c>
      <c r="H1058" s="399" t="n"/>
      <c r="J1058" s="392">
        <f>IFERROR(UPPER(TRIM(B1058))&amp;"|"&amp;UPPER(TRIM(C1058))&amp;"|"&amp;UPPER(TRIM(D1058)),"")</f>
        <v/>
      </c>
    </row>
    <row r="1059" ht="15.75" customHeight="1" s="217">
      <c r="A1059" s="400" t="n">
        <v>1057</v>
      </c>
      <c r="B1059" s="400" t="inlineStr">
        <is>
          <t>KH2709</t>
        </is>
      </c>
      <c r="C1059" s="401" t="inlineStr">
        <is>
          <t>Xưởng Anh Thanh - Mỹ Tho/ 0918.230.757</t>
        </is>
      </c>
      <c r="D1059" s="400" t="inlineStr">
        <is>
          <t>0918.230.757</t>
        </is>
      </c>
      <c r="E1059" s="402" t="n"/>
      <c r="F1059" s="401" t="inlineStr">
        <is>
          <t>Mỹ Tho, Tiền Giang</t>
        </is>
      </c>
      <c r="G1059" s="400" t="inlineStr">
        <is>
          <t>TGIANG</t>
        </is>
      </c>
      <c r="H1059" s="402" t="n"/>
      <c r="J1059" s="392">
        <f>IFERROR(UPPER(TRIM(B1059))&amp;"|"&amp;UPPER(TRIM(C1059))&amp;"|"&amp;UPPER(TRIM(D1059)),"")</f>
        <v/>
      </c>
    </row>
    <row r="1060" ht="15.75" customHeight="1" s="217">
      <c r="A1060" s="397" t="n">
        <v>1058</v>
      </c>
      <c r="B1060" s="397" t="inlineStr">
        <is>
          <t>KH2710</t>
        </is>
      </c>
      <c r="C1060" s="398" t="inlineStr">
        <is>
          <t>Anh Tuấn Bu - Bình Thuận/ 0984.137.588</t>
        </is>
      </c>
      <c r="D1060" s="397" t="inlineStr">
        <is>
          <t>0984.137.588</t>
        </is>
      </c>
      <c r="E1060" s="399" t="n"/>
      <c r="F1060" s="398" t="inlineStr">
        <is>
          <t>Ngã 3 Cầu Nam, Tuy Phong, Bình Thuận</t>
        </is>
      </c>
      <c r="G1060" s="397" t="inlineStr">
        <is>
          <t>BTHUAN</t>
        </is>
      </c>
      <c r="H1060" s="399" t="n"/>
      <c r="J1060" s="392">
        <f>IFERROR(UPPER(TRIM(B1060))&amp;"|"&amp;UPPER(TRIM(C1060))&amp;"|"&amp;UPPER(TRIM(D1060)),"")</f>
        <v/>
      </c>
    </row>
    <row r="1061" ht="15.75" customHeight="1" s="217">
      <c r="A1061" s="400" t="n">
        <v>1059</v>
      </c>
      <c r="B1061" s="400" t="inlineStr">
        <is>
          <t>KH2707</t>
        </is>
      </c>
      <c r="C1061" s="401" t="inlineStr">
        <is>
          <t>Anh Toàn - Gia Lai/ 0908.018.333</t>
        </is>
      </c>
      <c r="D1061" s="400" t="inlineStr">
        <is>
          <t>0908.018.333</t>
        </is>
      </c>
      <c r="E1061" s="402" t="n"/>
      <c r="F1061" s="401" t="inlineStr">
        <is>
          <t>Phú Thiện, Gia Lai</t>
        </is>
      </c>
      <c r="G1061" s="400" t="inlineStr">
        <is>
          <t>GLAI</t>
        </is>
      </c>
      <c r="H1061" s="402" t="n"/>
      <c r="J1061" s="392">
        <f>IFERROR(UPPER(TRIM(B1061))&amp;"|"&amp;UPPER(TRIM(C1061))&amp;"|"&amp;UPPER(TRIM(D1061)),"")</f>
        <v/>
      </c>
    </row>
    <row r="1062" ht="15.75" customHeight="1" s="217">
      <c r="A1062" s="397" t="n">
        <v>1060</v>
      </c>
      <c r="B1062" s="397" t="inlineStr">
        <is>
          <t>KH2708</t>
        </is>
      </c>
      <c r="C1062" s="398" t="inlineStr">
        <is>
          <t>Công ty Hải Nam- Anh Tú / 0886.692.888</t>
        </is>
      </c>
      <c r="D1062" s="397" t="inlineStr">
        <is>
          <t>0886.692.888</t>
        </is>
      </c>
      <c r="E1062" s="399" t="n"/>
      <c r="F1062" s="398" t="inlineStr">
        <is>
          <t>Minh Hòa, Kinh Môn, Hải Dương</t>
        </is>
      </c>
      <c r="G1062" s="397" t="inlineStr">
        <is>
          <t>HN</t>
        </is>
      </c>
      <c r="H1062" s="399" t="n"/>
      <c r="J1062" s="392">
        <f>IFERROR(UPPER(TRIM(B1062))&amp;"|"&amp;UPPER(TRIM(C1062))&amp;"|"&amp;UPPER(TRIM(D1062)),"")</f>
        <v/>
      </c>
    </row>
    <row r="1063" ht="15.75" customHeight="1" s="217">
      <c r="A1063" s="400" t="n">
        <v>1061</v>
      </c>
      <c r="B1063" s="400" t="inlineStr">
        <is>
          <t>KH2706</t>
        </is>
      </c>
      <c r="C1063" s="401" t="inlineStr">
        <is>
          <t>Công ty Thiên Mã (bán lọc) / Nghĩa - 0909.037.569</t>
        </is>
      </c>
      <c r="D1063" s="400" t="inlineStr">
        <is>
          <t>0909.037.569</t>
        </is>
      </c>
      <c r="E1063" s="402" t="n"/>
      <c r="F1063" s="401" t="inlineStr">
        <is>
          <t>444 Hoàng Hữu Nam, P. Long Thạnh Mỹ, Quận. 9, TP. HCM</t>
        </is>
      </c>
      <c r="G1063" s="400" t="inlineStr">
        <is>
          <t>SG/HCM</t>
        </is>
      </c>
      <c r="H1063" s="402" t="n"/>
      <c r="J1063" s="392">
        <f>IFERROR(UPPER(TRIM(B1063))&amp;"|"&amp;UPPER(TRIM(C1063))&amp;"|"&amp;UPPER(TRIM(D1063)),"")</f>
        <v/>
      </c>
    </row>
    <row r="1064" ht="15.75" customHeight="1" s="217">
      <c r="A1064" s="397" t="n">
        <v>1062</v>
      </c>
      <c r="B1064" s="397" t="inlineStr">
        <is>
          <t>KH2705</t>
        </is>
      </c>
      <c r="C1064" s="398" t="inlineStr">
        <is>
          <t>Xưởng anh Thương - Đức Trọng 0976.349.600</t>
        </is>
      </c>
      <c r="D1064" s="397" t="inlineStr">
        <is>
          <t>0976.349.600</t>
        </is>
      </c>
      <c r="E1064" s="399" t="n"/>
      <c r="F1064" s="398" t="inlineStr">
        <is>
          <t>Ngã 3 Tân Hội, Đức Trọng</t>
        </is>
      </c>
      <c r="G1064" s="397" t="inlineStr">
        <is>
          <t>LDONG</t>
        </is>
      </c>
      <c r="H1064" s="399" t="n"/>
      <c r="J1064" s="392">
        <f>IFERROR(UPPER(TRIM(B1064))&amp;"|"&amp;UPPER(TRIM(C1064))&amp;"|"&amp;UPPER(TRIM(D1064)),"")</f>
        <v/>
      </c>
    </row>
    <row r="1065" ht="15.75" customHeight="1" s="217">
      <c r="A1065" s="400" t="n">
        <v>1063</v>
      </c>
      <c r="B1065" s="400" t="inlineStr">
        <is>
          <t>KH2704</t>
        </is>
      </c>
      <c r="C1065" s="401" t="inlineStr">
        <is>
          <t>( KO DÙNG) CH Phụ Tùng Ri Tuyền - Kiên Giang / A.Ri: 0944.456.712</t>
        </is>
      </c>
      <c r="D1065" s="400" t="inlineStr">
        <is>
          <t>0944.456.712</t>
        </is>
      </c>
      <c r="E1065" s="402" t="n"/>
      <c r="F1065" s="401" t="inlineStr">
        <is>
          <t>Xã Hoà Chánh, Huyện U Minh Thượng, Kiên Giang</t>
        </is>
      </c>
      <c r="G1065" s="400" t="inlineStr">
        <is>
          <t>CMAU</t>
        </is>
      </c>
      <c r="H1065" s="402" t="n"/>
      <c r="J1065" s="392">
        <f>IFERROR(UPPER(TRIM(B1065))&amp;"|"&amp;UPPER(TRIM(C1065))&amp;"|"&amp;UPPER(TRIM(D1065)),"")</f>
        <v/>
      </c>
    </row>
    <row r="1066" ht="15.75" customHeight="1" s="217">
      <c r="A1066" s="397" t="n">
        <v>1064</v>
      </c>
      <c r="B1066" s="397" t="inlineStr">
        <is>
          <t>KH2702</t>
        </is>
      </c>
      <c r="C1066" s="398" t="inlineStr">
        <is>
          <t>Anh Đạo - Khánh Hòa/ 0906.511.830</t>
        </is>
      </c>
      <c r="D1066" s="397" t="inlineStr">
        <is>
          <t>0906.511.830</t>
        </is>
      </c>
      <c r="E1066" s="399" t="n"/>
      <c r="F1066" s="398" t="inlineStr">
        <is>
          <t>Đài Cát- Ninh Hòa- Khánh Hòa</t>
        </is>
      </c>
      <c r="G1066" s="397" t="inlineStr">
        <is>
          <t>NTRANG</t>
        </is>
      </c>
      <c r="H1066" s="399" t="n"/>
      <c r="J1066" s="392">
        <f>IFERROR(UPPER(TRIM(B1066))&amp;"|"&amp;UPPER(TRIM(C1066))&amp;"|"&amp;UPPER(TRIM(D1066)),"")</f>
        <v/>
      </c>
    </row>
    <row r="1067" ht="15.75" customHeight="1" s="217">
      <c r="A1067" s="400" t="n">
        <v>1065</v>
      </c>
      <c r="B1067" s="400" t="inlineStr">
        <is>
          <t>KH2703</t>
        </is>
      </c>
      <c r="C1067" s="401" t="inlineStr">
        <is>
          <t>Cửa Hàng Anh Trung - Bình Chánh /0919.678.539</t>
        </is>
      </c>
      <c r="D1067" s="400" t="inlineStr">
        <is>
          <t>0919678539 / 0919.678.539</t>
        </is>
      </c>
      <c r="E1067" s="402" t="n"/>
      <c r="F1067" s="401" t="inlineStr">
        <is>
          <t>B6/6 Ấp 2, xã Tân Kiên, Bình Chánh , TP HCM</t>
        </is>
      </c>
      <c r="G1067" s="400" t="inlineStr">
        <is>
          <t>SG/HCM</t>
        </is>
      </c>
      <c r="H1067" s="402" t="n"/>
      <c r="J1067" s="392">
        <f>IFERROR(UPPER(TRIM(B1067))&amp;"|"&amp;UPPER(TRIM(C1067))&amp;"|"&amp;UPPER(TRIM(D1067)),"")</f>
        <v/>
      </c>
    </row>
    <row r="1068" ht="15.75" customHeight="1" s="217">
      <c r="A1068" s="397" t="n">
        <v>1066</v>
      </c>
      <c r="B1068" s="397" t="inlineStr">
        <is>
          <t>KH2701</t>
        </is>
      </c>
      <c r="C1068" s="398" t="inlineStr">
        <is>
          <t>Xưởng tiện A Tâm - QL13 - 0932.544.542</t>
        </is>
      </c>
      <c r="D1068" s="397" t="inlineStr">
        <is>
          <t>0932.544.542</t>
        </is>
      </c>
      <c r="E1068" s="399" t="n"/>
      <c r="F1068" s="398" t="inlineStr">
        <is>
          <t>Gần Ngã Tư Bình Phước</t>
        </is>
      </c>
      <c r="G1068" s="397" t="inlineStr">
        <is>
          <t>SG/HCM</t>
        </is>
      </c>
      <c r="H1068" s="399" t="n"/>
      <c r="J1068" s="392">
        <f>IFERROR(UPPER(TRIM(B1068))&amp;"|"&amp;UPPER(TRIM(C1068))&amp;"|"&amp;UPPER(TRIM(D1068)),"")</f>
        <v/>
      </c>
    </row>
    <row r="1069" ht="15.75" customHeight="1" s="217">
      <c r="A1069" s="400" t="n">
        <v>1067</v>
      </c>
      <c r="B1069" s="400" t="inlineStr">
        <is>
          <t>KH2699</t>
        </is>
      </c>
      <c r="C1069" s="401" t="inlineStr">
        <is>
          <t>Anh Hiếu - Ninh Thuận - 0971.845.999</t>
        </is>
      </c>
      <c r="D1069" s="400" t="inlineStr">
        <is>
          <t>0971.845.999</t>
        </is>
      </c>
      <c r="E1069" s="402" t="n"/>
      <c r="F1069" s="401" t="inlineStr">
        <is>
          <t>Cà Ná, Ninh Thuận</t>
        </is>
      </c>
      <c r="G1069" s="400" t="inlineStr">
        <is>
          <t>NTHUAN</t>
        </is>
      </c>
      <c r="H1069" s="402" t="n"/>
      <c r="J1069" s="392">
        <f>IFERROR(UPPER(TRIM(B1069))&amp;"|"&amp;UPPER(TRIM(C1069))&amp;"|"&amp;UPPER(TRIM(D1069)),"")</f>
        <v/>
      </c>
    </row>
    <row r="1070" ht="15.75" customHeight="1" s="217">
      <c r="A1070" s="397" t="n">
        <v>1068</v>
      </c>
      <c r="B1070" s="397" t="inlineStr">
        <is>
          <t>KH2700</t>
        </is>
      </c>
      <c r="C1070" s="398" t="inlineStr">
        <is>
          <t>Anh Đức - Quy Nhơn/0917.169.583</t>
        </is>
      </c>
      <c r="D1070" s="397" t="inlineStr">
        <is>
          <t>0917.169.583</t>
        </is>
      </c>
      <c r="E1070" s="399" t="n"/>
      <c r="F1070" s="398" t="inlineStr">
        <is>
          <t>Quy Nhơn - Bình Định</t>
        </is>
      </c>
      <c r="G1070" s="397" t="inlineStr">
        <is>
          <t>BDINH</t>
        </is>
      </c>
      <c r="H1070" s="399" t="n"/>
      <c r="J1070" s="392">
        <f>IFERROR(UPPER(TRIM(B1070))&amp;"|"&amp;UPPER(TRIM(C1070))&amp;"|"&amp;UPPER(TRIM(D1070)),"")</f>
        <v/>
      </c>
    </row>
    <row r="1071" ht="15.75" customHeight="1" s="217">
      <c r="A1071" s="400" t="n">
        <v>1069</v>
      </c>
      <c r="B1071" s="400" t="inlineStr">
        <is>
          <t>KH2697</t>
        </is>
      </c>
      <c r="C1071" s="401" t="inlineStr">
        <is>
          <t>Cửa hàng Phú Thọ - Quảng Trị / Anh Phước: 0913.447.907</t>
        </is>
      </c>
      <c r="D1071" s="400" t="inlineStr">
        <is>
          <t>0913.447.907</t>
        </is>
      </c>
      <c r="E1071" s="402" t="n"/>
      <c r="F1071" s="401" t="inlineStr">
        <is>
          <t>441 Lên Duẩn, TP. Đông Hà - Quảng Trị</t>
        </is>
      </c>
      <c r="G1071" s="402" t="n"/>
      <c r="H1071" s="402" t="n"/>
      <c r="J1071" s="392">
        <f>IFERROR(UPPER(TRIM(B1071))&amp;"|"&amp;UPPER(TRIM(C1071))&amp;"|"&amp;UPPER(TRIM(D1071)),"")</f>
        <v/>
      </c>
    </row>
    <row r="1072" ht="15.75" customHeight="1" s="217">
      <c r="A1072" s="397" t="n">
        <v>1070</v>
      </c>
      <c r="B1072" s="397" t="inlineStr">
        <is>
          <t>KH2698</t>
        </is>
      </c>
      <c r="C1072" s="398" t="inlineStr">
        <is>
          <t>Cửa hàng Huy Mai - Quận 1/ 0906.222.038</t>
        </is>
      </c>
      <c r="D1072" s="397" t="inlineStr">
        <is>
          <t>0906222038 / 0906.222.038</t>
        </is>
      </c>
      <c r="E1072" s="399" t="n"/>
      <c r="F1072" s="398" t="inlineStr">
        <is>
          <t>251 Nguyễn Công Trứ, P. Nguyễn Thái Bình, Quận 1, TP.HCM</t>
        </is>
      </c>
      <c r="G1072" s="397" t="inlineStr">
        <is>
          <t>SG/HCM</t>
        </is>
      </c>
      <c r="H1072" s="399" t="n"/>
      <c r="J1072" s="392">
        <f>IFERROR(UPPER(TRIM(B1072))&amp;"|"&amp;UPPER(TRIM(C1072))&amp;"|"&amp;UPPER(TRIM(D1072)),"")</f>
        <v/>
      </c>
    </row>
    <row r="1073" ht="15.75" customHeight="1" s="217">
      <c r="A1073" s="400" t="n">
        <v>1071</v>
      </c>
      <c r="B1073" s="400" t="inlineStr">
        <is>
          <t>KH2695</t>
        </is>
      </c>
      <c r="C1073" s="401" t="inlineStr">
        <is>
          <t>Cửa Hàng Hữu Phùng - Bình Chánh / 0908.476.749</t>
        </is>
      </c>
      <c r="D1073" s="400" t="inlineStr">
        <is>
          <t>0908.476.749</t>
        </is>
      </c>
      <c r="E1073" s="402" t="n"/>
      <c r="F1073" s="401" t="inlineStr">
        <is>
          <t>Vòng xoay An Lạc, Bình Chánh, QL1A, Hồ Chí Minh</t>
        </is>
      </c>
      <c r="G1073" s="400" t="inlineStr">
        <is>
          <t>SG/HCM</t>
        </is>
      </c>
      <c r="H1073" s="402" t="n"/>
      <c r="J1073" s="392">
        <f>IFERROR(UPPER(TRIM(B1073))&amp;"|"&amp;UPPER(TRIM(C1073))&amp;"|"&amp;UPPER(TRIM(D1073)),"")</f>
        <v/>
      </c>
    </row>
    <row r="1074" ht="15.75" customHeight="1" s="217">
      <c r="A1074" s="397" t="n">
        <v>1072</v>
      </c>
      <c r="B1074" s="397" t="inlineStr">
        <is>
          <t>KH2696</t>
        </is>
      </c>
      <c r="C1074" s="398" t="inlineStr">
        <is>
          <t>Anh Trường - Bảo Lộc/ Anh Trường: 0976.404.461</t>
        </is>
      </c>
      <c r="D1074" s="397" t="inlineStr">
        <is>
          <t>0976.404.461</t>
        </is>
      </c>
      <c r="E1074" s="399" t="n"/>
      <c r="F1074" s="398" t="inlineStr">
        <is>
          <t>Bảo Lộc, Lâm Đồng</t>
        </is>
      </c>
      <c r="G1074" s="397" t="inlineStr">
        <is>
          <t>LDONG</t>
        </is>
      </c>
      <c r="H1074" s="399" t="n"/>
      <c r="J1074" s="392">
        <f>IFERROR(UPPER(TRIM(B1074))&amp;"|"&amp;UPPER(TRIM(C1074))&amp;"|"&amp;UPPER(TRIM(D1074)),"")</f>
        <v/>
      </c>
    </row>
    <row r="1075" ht="15.75" customHeight="1" s="217">
      <c r="A1075" s="400" t="n">
        <v>1073</v>
      </c>
      <c r="B1075" s="400" t="inlineStr">
        <is>
          <t>KH2693</t>
        </is>
      </c>
      <c r="C1075" s="401" t="inlineStr">
        <is>
          <t>Xưởng Tiện Minh Chính- Gia Lai/ 0972.234.300</t>
        </is>
      </c>
      <c r="D1075" s="400" t="inlineStr">
        <is>
          <t>0972234300 / 0972.234.300</t>
        </is>
      </c>
      <c r="E1075" s="402" t="n"/>
      <c r="F1075" s="401" t="inlineStr">
        <is>
          <t>Gia Lai</t>
        </is>
      </c>
      <c r="G1075" s="400" t="inlineStr">
        <is>
          <t>GLAI</t>
        </is>
      </c>
      <c r="H1075" s="402" t="n"/>
      <c r="J1075" s="392">
        <f>IFERROR(UPPER(TRIM(B1075))&amp;"|"&amp;UPPER(TRIM(C1075))&amp;"|"&amp;UPPER(TRIM(D1075)),"")</f>
        <v/>
      </c>
    </row>
    <row r="1076" ht="15.75" customHeight="1" s="217">
      <c r="A1076" s="397" t="n">
        <v>1074</v>
      </c>
      <c r="B1076" s="397" t="inlineStr">
        <is>
          <t>KH2694</t>
        </is>
      </c>
      <c r="C1076" s="398" t="inlineStr">
        <is>
          <t>Anh Hợp - Bến Tre/ 0845.945.491</t>
        </is>
      </c>
      <c r="D1076" s="397" t="inlineStr">
        <is>
          <t>0845945491 / 0845.945.491</t>
        </is>
      </c>
      <c r="E1076" s="399" t="n"/>
      <c r="F1076" s="398" t="inlineStr">
        <is>
          <t>Giồng TRôm, Bến Tre</t>
        </is>
      </c>
      <c r="G1076" s="397" t="inlineStr">
        <is>
          <t>BTRE</t>
        </is>
      </c>
      <c r="H1076" s="399" t="n"/>
      <c r="J1076" s="392">
        <f>IFERROR(UPPER(TRIM(B1076))&amp;"|"&amp;UPPER(TRIM(C1076))&amp;"|"&amp;UPPER(TRIM(D1076)),"")</f>
        <v/>
      </c>
    </row>
    <row r="1077" ht="15.75" customHeight="1" s="217">
      <c r="A1077" s="400" t="n">
        <v>1075</v>
      </c>
      <c r="B1077" s="400" t="inlineStr">
        <is>
          <t>KH2692</t>
        </is>
      </c>
      <c r="C1077" s="401" t="inlineStr">
        <is>
          <t>Xưởng Anh Phi - An Giang/ 0972.451.141</t>
        </is>
      </c>
      <c r="D1077" s="400" t="inlineStr">
        <is>
          <t>0972.451.141</t>
        </is>
      </c>
      <c r="E1077" s="402" t="n"/>
      <c r="F1077" s="401" t="inlineStr">
        <is>
          <t>An Giang</t>
        </is>
      </c>
      <c r="G1077" s="400" t="inlineStr">
        <is>
          <t>ANGIANG</t>
        </is>
      </c>
      <c r="H1077" s="402" t="n"/>
      <c r="J1077" s="392">
        <f>IFERROR(UPPER(TRIM(B1077))&amp;"|"&amp;UPPER(TRIM(C1077))&amp;"|"&amp;UPPER(TRIM(D1077)),"")</f>
        <v/>
      </c>
    </row>
    <row r="1078" ht="15.75" customHeight="1" s="217">
      <c r="A1078" s="397" t="n">
        <v>1076</v>
      </c>
      <c r="B1078" s="397" t="inlineStr">
        <is>
          <t>SINOCMP</t>
        </is>
      </c>
      <c r="C1078" s="398" t="inlineStr">
        <is>
          <t>CMP TECHNOLOGY CO.,LTD (bán lẻ phụ tùng)</t>
        </is>
      </c>
      <c r="D1078" s="399" t="n"/>
      <c r="E1078" s="399" t="n"/>
      <c r="F1078" s="398" t="inlineStr">
        <is>
          <t>Shenzhen, China</t>
        </is>
      </c>
      <c r="G1078" s="399" t="n"/>
      <c r="H1078" s="399" t="n"/>
      <c r="J1078" s="392">
        <f>IFERROR(UPPER(TRIM(B1078))&amp;"|"&amp;UPPER(TRIM(C1078))&amp;"|"&amp;UPPER(TRIM(D1078)),"")</f>
        <v/>
      </c>
    </row>
    <row r="1079" ht="15.75" customHeight="1" s="217">
      <c r="A1079" s="400" t="n">
        <v>1077</v>
      </c>
      <c r="B1079" s="400" t="inlineStr">
        <is>
          <t>KH2691</t>
        </is>
      </c>
      <c r="C1079" s="401" t="inlineStr">
        <is>
          <t>Anh Vũ - Tuy Hòa 0935.010.382</t>
        </is>
      </c>
      <c r="D1079" s="400" t="inlineStr">
        <is>
          <t>0935010382 / 0935.010.382</t>
        </is>
      </c>
      <c r="E1079" s="402" t="n"/>
      <c r="F1079" s="401" t="inlineStr">
        <is>
          <t>TP Tuy Hòa, Phú Yên</t>
        </is>
      </c>
      <c r="G1079" s="400" t="inlineStr">
        <is>
          <t>PYEN</t>
        </is>
      </c>
      <c r="H1079" s="402" t="n"/>
      <c r="J1079" s="392">
        <f>IFERROR(UPPER(TRIM(B1079))&amp;"|"&amp;UPPER(TRIM(C1079))&amp;"|"&amp;UPPER(TRIM(D1079)),"")</f>
        <v/>
      </c>
    </row>
    <row r="1080" ht="15.75" customHeight="1" s="217">
      <c r="A1080" s="397" t="n">
        <v>1078</v>
      </c>
      <c r="B1080" s="397" t="inlineStr">
        <is>
          <t>KH2689</t>
        </is>
      </c>
      <c r="C1080" s="398" t="inlineStr">
        <is>
          <t>ANH VŨ - BÀ RỊA 0908.565.883</t>
        </is>
      </c>
      <c r="D1080" s="397" t="inlineStr">
        <is>
          <t>0908.565.883</t>
        </is>
      </c>
      <c r="E1080" s="399" t="n"/>
      <c r="F1080" s="398" t="inlineStr">
        <is>
          <t>Bà Rịa Vũng Tàu</t>
        </is>
      </c>
      <c r="G1080" s="397" t="inlineStr">
        <is>
          <t>BRVT</t>
        </is>
      </c>
      <c r="H1080" s="399" t="n"/>
      <c r="J1080" s="392">
        <f>IFERROR(UPPER(TRIM(B1080))&amp;"|"&amp;UPPER(TRIM(C1080))&amp;"|"&amp;UPPER(TRIM(D1080)),"")</f>
        <v/>
      </c>
    </row>
    <row r="1081" ht="15.75" customHeight="1" s="217">
      <c r="A1081" s="400" t="n">
        <v>1079</v>
      </c>
      <c r="B1081" s="400" t="inlineStr">
        <is>
          <t>KH2690</t>
        </is>
      </c>
      <c r="C1081" s="401" t="inlineStr">
        <is>
          <t>Cửa Hàng Phước Lộc - Bình Chánh / A Long: 0985.024.255</t>
        </is>
      </c>
      <c r="D1081" s="400" t="inlineStr">
        <is>
          <t>0985.024.255</t>
        </is>
      </c>
      <c r="E1081" s="402" t="n"/>
      <c r="F1081" s="401" t="inlineStr">
        <is>
          <t>D9/61B QL1A, BÌNH CHÁNH, TP.HCM</t>
        </is>
      </c>
      <c r="G1081" s="400" t="inlineStr">
        <is>
          <t>SG/HCM</t>
        </is>
      </c>
      <c r="H1081" s="402" t="n"/>
      <c r="J1081" s="392">
        <f>IFERROR(UPPER(TRIM(B1081))&amp;"|"&amp;UPPER(TRIM(C1081))&amp;"|"&amp;UPPER(TRIM(D1081)),"")</f>
        <v/>
      </c>
    </row>
    <row r="1082" ht="15.75" customHeight="1" s="217">
      <c r="A1082" s="397" t="n">
        <v>1080</v>
      </c>
      <c r="B1082" s="397" t="inlineStr">
        <is>
          <t>KH2688</t>
        </is>
      </c>
      <c r="C1082" s="398" t="inlineStr">
        <is>
          <t>Gara Tú Mai - Nha Trang/ Anh Bảo: 0905.612.255</t>
        </is>
      </c>
      <c r="D1082" s="397" t="inlineStr">
        <is>
          <t>0905612255 / 0905.612.255</t>
        </is>
      </c>
      <c r="E1082" s="399" t="n"/>
      <c r="F1082" s="398" t="inlineStr">
        <is>
          <t>TP Nha Trang</t>
        </is>
      </c>
      <c r="G1082" s="397" t="inlineStr">
        <is>
          <t>NTRANG</t>
        </is>
      </c>
      <c r="H1082" s="399" t="n"/>
      <c r="J1082" s="392">
        <f>IFERROR(UPPER(TRIM(B1082))&amp;"|"&amp;UPPER(TRIM(C1082))&amp;"|"&amp;UPPER(TRIM(D1082)),"")</f>
        <v/>
      </c>
    </row>
    <row r="1083" ht="15.75" customHeight="1" s="217">
      <c r="A1083" s="400" t="n">
        <v>1081</v>
      </c>
      <c r="B1083" s="400" t="inlineStr">
        <is>
          <t>KH2687</t>
        </is>
      </c>
      <c r="C1083" s="401" t="inlineStr">
        <is>
          <t>Cửa hàng phụ tùng Ô tô Duẩn / 0903.925.524</t>
        </is>
      </c>
      <c r="D1083" s="400" t="inlineStr">
        <is>
          <t>903925524 / 0903.925.524</t>
        </is>
      </c>
      <c r="E1083" s="402" t="n"/>
      <c r="F1083" s="401" t="inlineStr">
        <is>
          <t>499 QL13, Hiệp Bình Phước, Thủ Đức</t>
        </is>
      </c>
      <c r="G1083" s="400" t="inlineStr">
        <is>
          <t>SG/HCM</t>
        </is>
      </c>
      <c r="H1083" s="402" t="n"/>
      <c r="J1083" s="392">
        <f>IFERROR(UPPER(TRIM(B1083))&amp;"|"&amp;UPPER(TRIM(C1083))&amp;"|"&amp;UPPER(TRIM(D1083)),"")</f>
        <v/>
      </c>
    </row>
    <row r="1084" ht="15.75" customHeight="1" s="217">
      <c r="A1084" s="397" t="n">
        <v>1082</v>
      </c>
      <c r="B1084" s="397" t="inlineStr">
        <is>
          <t>KH2686</t>
        </is>
      </c>
      <c r="C1084" s="398" t="inlineStr">
        <is>
          <t>Xưởng anh Mười - Ninh Thuận/ 0913.785.540</t>
        </is>
      </c>
      <c r="D1084" s="397" t="inlineStr">
        <is>
          <t>0913.785.540</t>
        </is>
      </c>
      <c r="E1084" s="399" t="n"/>
      <c r="F1084" s="398" t="inlineStr">
        <is>
          <t>Ngã 3 Tân Hội, QL1A, Tháp Chàm, Ninh Thuận</t>
        </is>
      </c>
      <c r="G1084" s="397" t="inlineStr">
        <is>
          <t>NTHUAN</t>
        </is>
      </c>
      <c r="H1084" s="399" t="n"/>
      <c r="J1084" s="392">
        <f>IFERROR(UPPER(TRIM(B1084))&amp;"|"&amp;UPPER(TRIM(C1084))&amp;"|"&amp;UPPER(TRIM(D1084)),"")</f>
        <v/>
      </c>
    </row>
    <row r="1085" ht="15.75" customHeight="1" s="217">
      <c r="A1085" s="400" t="n">
        <v>1083</v>
      </c>
      <c r="B1085" s="400" t="inlineStr">
        <is>
          <t>KH2685</t>
        </is>
      </c>
      <c r="C1085" s="401" t="inlineStr">
        <is>
          <t>Cửa hàng Chín Vẹn - Cao Lãnh 0918.899.017</t>
        </is>
      </c>
      <c r="D1085" s="400" t="inlineStr">
        <is>
          <t>0918.899.017</t>
        </is>
      </c>
      <c r="E1085" s="402" t="n"/>
      <c r="F1085" s="401" t="inlineStr">
        <is>
          <t>81 Thủ Khoa Huân, Mỹ Phú</t>
        </is>
      </c>
      <c r="G1085" s="400" t="inlineStr">
        <is>
          <t>DTHAP</t>
        </is>
      </c>
      <c r="H1085" s="402" t="n"/>
      <c r="J1085" s="392">
        <f>IFERROR(UPPER(TRIM(B1085))&amp;"|"&amp;UPPER(TRIM(C1085))&amp;"|"&amp;UPPER(TRIM(D1085)),"")</f>
        <v/>
      </c>
    </row>
    <row r="1086" ht="15.75" customHeight="1" s="217">
      <c r="A1086" s="397" t="n">
        <v>1084</v>
      </c>
      <c r="B1086" s="397" t="inlineStr">
        <is>
          <t>KH2683</t>
        </is>
      </c>
      <c r="C1086" s="398" t="inlineStr">
        <is>
          <t>CH Thiệu Văn Ly - Nha Trang / 0914.161.453</t>
        </is>
      </c>
      <c r="D1086" s="397" t="inlineStr">
        <is>
          <t>0914.161.453</t>
        </is>
      </c>
      <c r="E1086" s="399" t="n"/>
      <c r="F1086" s="398" t="inlineStr">
        <is>
          <t>116 Đường 2/4, Phường Văn Thạnh, Nha Trang</t>
        </is>
      </c>
      <c r="G1086" s="397" t="inlineStr">
        <is>
          <t>NTRANG</t>
        </is>
      </c>
      <c r="H1086" s="399" t="n"/>
      <c r="J1086" s="392">
        <f>IFERROR(UPPER(TRIM(B1086))&amp;"|"&amp;UPPER(TRIM(C1086))&amp;"|"&amp;UPPER(TRIM(D1086)),"")</f>
        <v/>
      </c>
    </row>
    <row r="1087" ht="15.75" customHeight="1" s="217">
      <c r="A1087" s="400" t="n">
        <v>1085</v>
      </c>
      <c r="B1087" s="400" t="inlineStr">
        <is>
          <t>KH2684</t>
        </is>
      </c>
      <c r="C1087" s="401" t="inlineStr">
        <is>
          <t>CH Khánh Phát - Bạc Liêu/ Anh Vinh: 0939.877.781</t>
        </is>
      </c>
      <c r="D1087" s="400" t="inlineStr">
        <is>
          <t>0939.877.781</t>
        </is>
      </c>
      <c r="E1087" s="402" t="n"/>
      <c r="F1087" s="401" t="inlineStr">
        <is>
          <t>191 Võ Thị Sáu, Bạc Liêu</t>
        </is>
      </c>
      <c r="G1087" s="400" t="inlineStr">
        <is>
          <t>BLIEU</t>
        </is>
      </c>
      <c r="H1087" s="402" t="n"/>
      <c r="J1087" s="392">
        <f>IFERROR(UPPER(TRIM(B1087))&amp;"|"&amp;UPPER(TRIM(C1087))&amp;"|"&amp;UPPER(TRIM(D1087)),"")</f>
        <v/>
      </c>
    </row>
    <row r="1088" ht="15.75" customHeight="1" s="217">
      <c r="A1088" s="397" t="n">
        <v>1086</v>
      </c>
      <c r="B1088" s="397" t="inlineStr">
        <is>
          <t>KH2682</t>
        </is>
      </c>
      <c r="C1088" s="398" t="inlineStr">
        <is>
          <t>Anh Thắng (chủ máy)- Bình Dương/ 0918.337.168</t>
        </is>
      </c>
      <c r="D1088" s="397" t="inlineStr">
        <is>
          <t>0918.337.168</t>
        </is>
      </c>
      <c r="E1088" s="399" t="n"/>
      <c r="F1088" s="398" t="inlineStr">
        <is>
          <t>Bàu Bàng, Bình Dương</t>
        </is>
      </c>
      <c r="G1088" s="397" t="inlineStr">
        <is>
          <t>BDUONG</t>
        </is>
      </c>
      <c r="H1088" s="399" t="n"/>
      <c r="J1088" s="392">
        <f>IFERROR(UPPER(TRIM(B1088))&amp;"|"&amp;UPPER(TRIM(C1088))&amp;"|"&amp;UPPER(TRIM(D1088)),"")</f>
        <v/>
      </c>
    </row>
    <row r="1089" ht="15.75" customHeight="1" s="217">
      <c r="A1089" s="400" t="n">
        <v>1087</v>
      </c>
      <c r="B1089" s="400" t="inlineStr">
        <is>
          <t>KH2681</t>
        </is>
      </c>
      <c r="C1089" s="401" t="inlineStr">
        <is>
          <t>Xưởng Cơ khí Tiến Châu - Bình Định/ Anh Châu: 0966.855.017 - 0907.489.507 (CNO)</t>
        </is>
      </c>
      <c r="D1089" s="400" t="inlineStr">
        <is>
          <t>0966.855.017 / 0907.489.507</t>
        </is>
      </c>
      <c r="E1089" s="402" t="n"/>
      <c r="F1089" s="401" t="inlineStr">
        <is>
          <t>Trần Phú, TT Tam Quan,  Hoài Nhơn, Bình Định</t>
        </is>
      </c>
      <c r="G1089" s="400" t="inlineStr">
        <is>
          <t>BDINH</t>
        </is>
      </c>
      <c r="H1089" s="402" t="n"/>
      <c r="J1089" s="392">
        <f>IFERROR(UPPER(TRIM(B1089))&amp;"|"&amp;UPPER(TRIM(C1089))&amp;"|"&amp;UPPER(TRIM(D1089)),"")</f>
        <v/>
      </c>
    </row>
    <row r="1090" ht="15.75" customHeight="1" s="217">
      <c r="A1090" s="397" t="n">
        <v>1088</v>
      </c>
      <c r="B1090" s="397" t="inlineStr">
        <is>
          <t>CVPK</t>
        </is>
      </c>
      <c r="C1090" s="398" t="inlineStr">
        <is>
          <t>YUANSEN NEW PRECISION MACHINERY (GUANGZHOU) COMPANY (Chuyên bơm nước)</t>
        </is>
      </c>
      <c r="D1090" s="399" t="n"/>
      <c r="E1090" s="399" t="n"/>
      <c r="F1090" s="398" t="inlineStr">
        <is>
          <t>No.2408,2A floor,Jinhubao Building,Dongtai Square,Yongping Street,Bauiyun District, Guangzhou</t>
        </is>
      </c>
      <c r="G1090" s="399" t="n"/>
      <c r="H1090" s="399" t="n"/>
      <c r="J1090" s="392">
        <f>IFERROR(UPPER(TRIM(B1090))&amp;"|"&amp;UPPER(TRIM(C1090))&amp;"|"&amp;UPPER(TRIM(D1090)),"")</f>
        <v/>
      </c>
    </row>
    <row r="1091" ht="15.75" customHeight="1" s="217">
      <c r="A1091" s="400" t="n">
        <v>1089</v>
      </c>
      <c r="B1091" s="400" t="inlineStr">
        <is>
          <t>DEB</t>
        </is>
      </c>
      <c r="C1091" s="401" t="inlineStr">
        <is>
          <t>Hubei DEB Auto Parts Co., LTD/ HUBEI DIYIBO AUTOMOBILE PARTS CO., LTD (Miểng)</t>
        </is>
      </c>
      <c r="D1091" s="402" t="n"/>
      <c r="E1091" s="402" t="n"/>
      <c r="F1091" s="401" t="inlineStr">
        <is>
          <t>No.126 Zhongxing Road, South District, Xiangyang(Zaoyang) city, Hubei China</t>
        </is>
      </c>
      <c r="G1091" s="402" t="n"/>
      <c r="H1091" s="402" t="n"/>
      <c r="J1091" s="392">
        <f>IFERROR(UPPER(TRIM(B1091))&amp;"|"&amp;UPPER(TRIM(C1091))&amp;"|"&amp;UPPER(TRIM(D1091)),"")</f>
        <v/>
      </c>
    </row>
    <row r="1092" ht="15.75" customHeight="1" s="217">
      <c r="A1092" s="397" t="n">
        <v>1090</v>
      </c>
      <c r="B1092" s="397" t="inlineStr">
        <is>
          <t>KH2679</t>
        </is>
      </c>
      <c r="C1092" s="398" t="inlineStr">
        <is>
          <t>CH Kim Loan - Quận 5</t>
        </is>
      </c>
      <c r="D1092" s="399" t="n"/>
      <c r="E1092" s="399" t="n"/>
      <c r="F1092" s="398" t="inlineStr">
        <is>
          <t>62 Tạ Uyên, Quận 5</t>
        </is>
      </c>
      <c r="G1092" s="399" t="n"/>
      <c r="H1092" s="399" t="n"/>
      <c r="J1092" s="392">
        <f>IFERROR(UPPER(TRIM(B1092))&amp;"|"&amp;UPPER(TRIM(C1092))&amp;"|"&amp;UPPER(TRIM(D1092)),"")</f>
        <v/>
      </c>
    </row>
    <row r="1093" ht="15.75" customHeight="1" s="217">
      <c r="A1093" s="400" t="n">
        <v>1091</v>
      </c>
      <c r="B1093" s="400" t="inlineStr">
        <is>
          <t>KH2680</t>
        </is>
      </c>
      <c r="C1093" s="401" t="inlineStr">
        <is>
          <t>Anh Cường - Bình Định/ 0914.013.367</t>
        </is>
      </c>
      <c r="D1093" s="400" t="inlineStr">
        <is>
          <t>0914.013.367</t>
        </is>
      </c>
      <c r="E1093" s="402" t="n"/>
      <c r="F1093" s="401" t="inlineStr">
        <is>
          <t>Bình Định</t>
        </is>
      </c>
      <c r="G1093" s="400" t="inlineStr">
        <is>
          <t>BDINH</t>
        </is>
      </c>
      <c r="H1093" s="402" t="n"/>
      <c r="J1093" s="392">
        <f>IFERROR(UPPER(TRIM(B1093))&amp;"|"&amp;UPPER(TRIM(C1093))&amp;"|"&amp;UPPER(TRIM(D1093)),"")</f>
        <v/>
      </c>
    </row>
    <row r="1094" ht="15.75" customHeight="1" s="217">
      <c r="A1094" s="397" t="n">
        <v>1092</v>
      </c>
      <c r="B1094" s="397" t="inlineStr">
        <is>
          <t>KH2677</t>
        </is>
      </c>
      <c r="C1094" s="398" t="inlineStr">
        <is>
          <t>Cửa hàng Nam Phương - Đà Nẵng - 0905.512.209</t>
        </is>
      </c>
      <c r="D1094" s="397" t="inlineStr">
        <is>
          <t>0905.512.209</t>
        </is>
      </c>
      <c r="E1094" s="399" t="n"/>
      <c r="F1094" s="398" t="inlineStr">
        <is>
          <t>52 Cao  Sơn Pháo, P. Hóa An, Cẩm Lệ, Đà Nẵng</t>
        </is>
      </c>
      <c r="G1094" s="397" t="inlineStr">
        <is>
          <t>DNANG</t>
        </is>
      </c>
      <c r="H1094" s="399" t="n"/>
      <c r="J1094" s="392">
        <f>IFERROR(UPPER(TRIM(B1094))&amp;"|"&amp;UPPER(TRIM(C1094))&amp;"|"&amp;UPPER(TRIM(D1094)),"")</f>
        <v/>
      </c>
    </row>
    <row r="1095" ht="15.75" customHeight="1" s="217">
      <c r="A1095" s="400" t="n">
        <v>1093</v>
      </c>
      <c r="B1095" s="400" t="inlineStr">
        <is>
          <t>KH2678</t>
        </is>
      </c>
      <c r="C1095" s="401" t="inlineStr">
        <is>
          <t>Xưởng tiện Anh Khoa - Gia Lai - 0906.136.143</t>
        </is>
      </c>
      <c r="D1095" s="400" t="inlineStr">
        <is>
          <t>0906.136.143</t>
        </is>
      </c>
      <c r="E1095" s="402" t="n"/>
      <c r="F1095" s="401" t="inlineStr">
        <is>
          <t>Pleicu, Gia Lai</t>
        </is>
      </c>
      <c r="G1095" s="400" t="inlineStr">
        <is>
          <t>GLAI</t>
        </is>
      </c>
      <c r="H1095" s="402" t="n"/>
      <c r="J1095" s="392">
        <f>IFERROR(UPPER(TRIM(B1095))&amp;"|"&amp;UPPER(TRIM(C1095))&amp;"|"&amp;UPPER(TRIM(D1095)),"")</f>
        <v/>
      </c>
    </row>
    <row r="1096" ht="15.75" customHeight="1" s="217">
      <c r="A1096" s="397" t="n">
        <v>1094</v>
      </c>
      <c r="B1096" s="397" t="inlineStr">
        <is>
          <t>KH2676</t>
        </is>
      </c>
      <c r="C1096" s="398" t="inlineStr">
        <is>
          <t>Công ty Khai Thác Khoáng Sản Hưng Hà - 0985.292.629</t>
        </is>
      </c>
      <c r="D1096" s="397" t="inlineStr">
        <is>
          <t>0985.292.629</t>
        </is>
      </c>
      <c r="E1096" s="399" t="n"/>
      <c r="F1096" s="398" t="inlineStr">
        <is>
          <t>Đà Nẵng</t>
        </is>
      </c>
      <c r="G1096" s="397" t="inlineStr">
        <is>
          <t>DNANG</t>
        </is>
      </c>
      <c r="H1096" s="399" t="n"/>
      <c r="J1096" s="392">
        <f>IFERROR(UPPER(TRIM(B1096))&amp;"|"&amp;UPPER(TRIM(C1096))&amp;"|"&amp;UPPER(TRIM(D1096)),"")</f>
        <v/>
      </c>
    </row>
    <row r="1097" ht="15.75" customHeight="1" s="217">
      <c r="A1097" s="400" t="n">
        <v>1095</v>
      </c>
      <c r="B1097" s="400" t="inlineStr">
        <is>
          <t>DIA</t>
        </is>
      </c>
      <c r="C1097" s="401" t="inlineStr">
        <is>
          <t>CHUNG MING  ENTERPRISE CO.,LTD (DIAMOND)</t>
        </is>
      </c>
      <c r="D1097" s="402" t="n"/>
      <c r="E1097" s="402" t="n"/>
      <c r="F1097" s="401" t="inlineStr">
        <is>
          <t>Taiwan, R.O.C</t>
        </is>
      </c>
      <c r="G1097" s="402" t="n"/>
      <c r="H1097" s="402" t="n"/>
      <c r="J1097" s="392">
        <f>IFERROR(UPPER(TRIM(B1097))&amp;"|"&amp;UPPER(TRIM(C1097))&amp;"|"&amp;UPPER(TRIM(D1097)),"")</f>
        <v/>
      </c>
    </row>
    <row r="1098" ht="15.75" customHeight="1" s="217">
      <c r="A1098" s="397" t="n">
        <v>1096</v>
      </c>
      <c r="B1098" s="397" t="inlineStr">
        <is>
          <t>KH2674</t>
        </is>
      </c>
      <c r="C1098" s="398" t="inlineStr">
        <is>
          <t>Cơ sở phục hồi turbo OSAMAN - Bình Tân - 0977.652.349</t>
        </is>
      </c>
      <c r="D1098" s="397" t="inlineStr">
        <is>
          <t>0977.652.349</t>
        </is>
      </c>
      <c r="E1098" s="399" t="n"/>
      <c r="F1098" s="398" t="inlineStr">
        <is>
          <t>296 Kinh Dương Vương, An Lạc, Bình Tân</t>
        </is>
      </c>
      <c r="G1098" s="397" t="inlineStr">
        <is>
          <t>SG/HCM</t>
        </is>
      </c>
      <c r="H1098" s="399" t="n"/>
      <c r="J1098" s="392">
        <f>IFERROR(UPPER(TRIM(B1098))&amp;"|"&amp;UPPER(TRIM(C1098))&amp;"|"&amp;UPPER(TRIM(D1098)),"")</f>
        <v/>
      </c>
    </row>
    <row r="1099" ht="15.75" customHeight="1" s="217">
      <c r="A1099" s="400" t="n">
        <v>1097</v>
      </c>
      <c r="B1099" s="400" t="inlineStr">
        <is>
          <t>KH2675</t>
        </is>
      </c>
      <c r="C1099" s="401" t="inlineStr">
        <is>
          <t>Chị Hương - Long Xuyên/ 0914.576.090</t>
        </is>
      </c>
      <c r="D1099" s="400" t="inlineStr">
        <is>
          <t>0914.576.090</t>
        </is>
      </c>
      <c r="E1099" s="402" t="n"/>
      <c r="F1099" s="401" t="inlineStr">
        <is>
          <t>Long Xuyên - An Giang</t>
        </is>
      </c>
      <c r="G1099" s="400" t="inlineStr">
        <is>
          <t>ANGIANG</t>
        </is>
      </c>
      <c r="H1099" s="402" t="n"/>
      <c r="J1099" s="392">
        <f>IFERROR(UPPER(TRIM(B1099))&amp;"|"&amp;UPPER(TRIM(C1099))&amp;"|"&amp;UPPER(TRIM(D1099)),"")</f>
        <v/>
      </c>
    </row>
    <row r="1100" ht="15.75" customHeight="1" s="217">
      <c r="A1100" s="397" t="n">
        <v>1098</v>
      </c>
      <c r="B1100" s="397" t="inlineStr">
        <is>
          <t>KH2671</t>
        </is>
      </c>
      <c r="C1100" s="398" t="inlineStr">
        <is>
          <t>Anh Toàn (turbo) Thủ Đức - 0974.497.748, QL1A (cây xăng Quốc Phong, đối diện chợ đầu mối)</t>
        </is>
      </c>
      <c r="D1100" s="397" t="inlineStr">
        <is>
          <t>0974.497.748</t>
        </is>
      </c>
      <c r="E1100" s="399" t="n"/>
      <c r="F1100" s="398" t="inlineStr">
        <is>
          <t>Thủ Đức, TPHCM</t>
        </is>
      </c>
      <c r="G1100" s="397" t="inlineStr">
        <is>
          <t>SG/HCM</t>
        </is>
      </c>
      <c r="H1100" s="399" t="n"/>
      <c r="J1100" s="392">
        <f>IFERROR(UPPER(TRIM(B1100))&amp;"|"&amp;UPPER(TRIM(C1100))&amp;"|"&amp;UPPER(TRIM(D1100)),"")</f>
        <v/>
      </c>
    </row>
    <row r="1101" ht="15.75" customHeight="1" s="217">
      <c r="A1101" s="400" t="n">
        <v>1099</v>
      </c>
      <c r="B1101" s="400" t="inlineStr">
        <is>
          <t>KH2672</t>
        </is>
      </c>
      <c r="C1101" s="401" t="inlineStr">
        <is>
          <t>Anh Trung KOBE- Ninh Hòa, Khánh Hòa/ 0913.768.177</t>
        </is>
      </c>
      <c r="D1101" s="400" t="inlineStr">
        <is>
          <t>0913.768.177</t>
        </is>
      </c>
      <c r="E1101" s="402" t="n"/>
      <c r="F1101" s="401" t="inlineStr">
        <is>
          <t>QL1A, Ninh Ích, Ninh An, Ninh Hoà,  Khánh Hòa</t>
        </is>
      </c>
      <c r="G1101" s="400" t="inlineStr">
        <is>
          <t>NTRANG</t>
        </is>
      </c>
      <c r="H1101" s="402" t="n"/>
      <c r="J1101" s="392">
        <f>IFERROR(UPPER(TRIM(B1101))&amp;"|"&amp;UPPER(TRIM(C1101))&amp;"|"&amp;UPPER(TRIM(D1101)),"")</f>
        <v/>
      </c>
    </row>
    <row r="1102" ht="15.75" customHeight="1" s="217">
      <c r="A1102" s="397" t="n">
        <v>1100</v>
      </c>
      <c r="B1102" s="397" t="inlineStr">
        <is>
          <t>KH2673</t>
        </is>
      </c>
      <c r="C1102" s="398" t="inlineStr">
        <is>
          <t>Xưởng anh Hoàng - Bảo Lộc/ 0903.305.383</t>
        </is>
      </c>
      <c r="D1102" s="397" t="inlineStr">
        <is>
          <t>0903.305.383</t>
        </is>
      </c>
      <c r="E1102" s="399" t="n"/>
      <c r="F1102" s="398" t="inlineStr">
        <is>
          <t>TP Bảo Lộc, Lâm Đồng</t>
        </is>
      </c>
      <c r="G1102" s="397" t="inlineStr">
        <is>
          <t>LDONG</t>
        </is>
      </c>
      <c r="H1102" s="399" t="n"/>
      <c r="J1102" s="392">
        <f>IFERROR(UPPER(TRIM(B1102))&amp;"|"&amp;UPPER(TRIM(C1102))&amp;"|"&amp;UPPER(TRIM(D1102)),"")</f>
        <v/>
      </c>
    </row>
    <row r="1103" ht="15.75" customHeight="1" s="217">
      <c r="A1103" s="400" t="n">
        <v>1101</v>
      </c>
      <c r="B1103" s="400" t="inlineStr">
        <is>
          <t>KH2667</t>
        </is>
      </c>
      <c r="C1103" s="401" t="inlineStr">
        <is>
          <t>Công ty Việt Hàn (Mobis, Doosan, bơm nhớt)</t>
        </is>
      </c>
      <c r="D1103" s="402" t="n"/>
      <c r="E1103" s="402" t="n"/>
      <c r="F1103" s="401" t="inlineStr">
        <is>
          <t>330/12 Ba Đình, P 10, Q 8, HCM</t>
        </is>
      </c>
      <c r="G1103" s="402" t="n"/>
      <c r="H1103" s="402" t="n"/>
      <c r="J1103" s="392">
        <f>IFERROR(UPPER(TRIM(B1103))&amp;"|"&amp;UPPER(TRIM(C1103))&amp;"|"&amp;UPPER(TRIM(D1103)),"")</f>
        <v/>
      </c>
    </row>
    <row r="1104" ht="15.75" customHeight="1" s="217">
      <c r="A1104" s="397" t="n">
        <v>1102</v>
      </c>
      <c r="B1104" s="397" t="inlineStr">
        <is>
          <t>KH2668</t>
        </is>
      </c>
      <c r="C1104" s="398" t="inlineStr">
        <is>
          <t>Cửa hàng Thành Vũ  - Quảng Nam/ 0905.696.550 /0787.312.352</t>
        </is>
      </c>
      <c r="D1104" s="397" t="inlineStr">
        <is>
          <t>0905.696.550 / 0787.312.352</t>
        </is>
      </c>
      <c r="E1104" s="399" t="n"/>
      <c r="F1104" s="398" t="inlineStr">
        <is>
          <t>485 Hùng Vương, TP. Tam Kỳ - Quảng Nam</t>
        </is>
      </c>
      <c r="G1104" s="397" t="inlineStr">
        <is>
          <t>QNAM</t>
        </is>
      </c>
      <c r="H1104" s="399" t="n"/>
      <c r="J1104" s="392">
        <f>IFERROR(UPPER(TRIM(B1104))&amp;"|"&amp;UPPER(TRIM(C1104))&amp;"|"&amp;UPPER(TRIM(D1104)),"")</f>
        <v/>
      </c>
    </row>
    <row r="1105" ht="15.75" customHeight="1" s="217">
      <c r="A1105" s="400" t="n">
        <v>1103</v>
      </c>
      <c r="B1105" s="400" t="inlineStr">
        <is>
          <t>KH2669</t>
        </is>
      </c>
      <c r="C1105" s="401" t="inlineStr">
        <is>
          <t>Cửa hàng Anh Hiệp - Phú Quôc / 0975.582.898-0837.472.579</t>
        </is>
      </c>
      <c r="D1105" s="400" t="inlineStr">
        <is>
          <t>0975.582.898-0837</t>
        </is>
      </c>
      <c r="E1105" s="402" t="n"/>
      <c r="F1105" s="401" t="inlineStr">
        <is>
          <t>Dương Đông-Phú Quốc</t>
        </is>
      </c>
      <c r="G1105" s="400" t="inlineStr">
        <is>
          <t>SG/HCM</t>
        </is>
      </c>
      <c r="H1105" s="402" t="n"/>
      <c r="J1105" s="392">
        <f>IFERROR(UPPER(TRIM(B1105))&amp;"|"&amp;UPPER(TRIM(C1105))&amp;"|"&amp;UPPER(TRIM(D1105)),"")</f>
        <v/>
      </c>
    </row>
    <row r="1106" ht="15.75" customHeight="1" s="217">
      <c r="A1106" s="397" t="n">
        <v>1104</v>
      </c>
      <c r="B1106" s="397" t="inlineStr">
        <is>
          <t>KH2670</t>
        </is>
      </c>
      <c r="C1106" s="398" t="inlineStr">
        <is>
          <t>Xưởng Anh Hải - Bình Chánh / 0915.696.250</t>
        </is>
      </c>
      <c r="D1106" s="397" t="inlineStr">
        <is>
          <t>0915.696.250</t>
        </is>
      </c>
      <c r="E1106" s="399" t="n"/>
      <c r="F1106" s="398" t="inlineStr">
        <is>
          <t>133, QL1A, AAps1, Mỹ Yên, Bình Chánh, HCM</t>
        </is>
      </c>
      <c r="G1106" s="397" t="inlineStr">
        <is>
          <t>SG/HCM</t>
        </is>
      </c>
      <c r="H1106" s="399" t="n"/>
      <c r="J1106" s="392">
        <f>IFERROR(UPPER(TRIM(B1106))&amp;"|"&amp;UPPER(TRIM(C1106))&amp;"|"&amp;UPPER(TRIM(D1106)),"")</f>
        <v/>
      </c>
    </row>
    <row r="1107" ht="15.75" customHeight="1" s="217">
      <c r="A1107" s="400" t="n">
        <v>1105</v>
      </c>
      <c r="B1107" s="400" t="inlineStr">
        <is>
          <t>KH2666</t>
        </is>
      </c>
      <c r="C1107" s="401" t="inlineStr">
        <is>
          <t>Anh Hùng - Suối Tiên / 0356.895.044</t>
        </is>
      </c>
      <c r="D1107" s="400" t="inlineStr">
        <is>
          <t>0356.895.044</t>
        </is>
      </c>
      <c r="E1107" s="402" t="n"/>
      <c r="F1107" s="401" t="inlineStr">
        <is>
          <t>Sài Gòn</t>
        </is>
      </c>
      <c r="G1107" s="400" t="inlineStr">
        <is>
          <t>SG/HCM</t>
        </is>
      </c>
      <c r="H1107" s="402" t="n"/>
      <c r="J1107" s="392">
        <f>IFERROR(UPPER(TRIM(B1107))&amp;"|"&amp;UPPER(TRIM(C1107))&amp;"|"&amp;UPPER(TRIM(D1107)),"")</f>
        <v/>
      </c>
    </row>
    <row r="1108" ht="15.75" customHeight="1" s="217">
      <c r="A1108" s="397" t="n">
        <v>1106</v>
      </c>
      <c r="B1108" s="397" t="inlineStr">
        <is>
          <t>TA1</t>
        </is>
      </c>
      <c r="C1108" s="398" t="inlineStr">
        <is>
          <t>Trung Anh - Hà Nội / 0981.768.677</t>
        </is>
      </c>
      <c r="D1108" s="397" t="inlineStr">
        <is>
          <t>0981.768.677</t>
        </is>
      </c>
      <c r="E1108" s="399" t="n"/>
      <c r="F1108" s="398" t="inlineStr">
        <is>
          <t>Hà Nội</t>
        </is>
      </c>
      <c r="G1108" s="399" t="n"/>
      <c r="H1108" s="399" t="n"/>
      <c r="J1108" s="392">
        <f>IFERROR(UPPER(TRIM(B1108))&amp;"|"&amp;UPPER(TRIM(C1108))&amp;"|"&amp;UPPER(TRIM(D1108)),"")</f>
        <v/>
      </c>
    </row>
    <row r="1109" ht="15.75" customHeight="1" s="217">
      <c r="A1109" s="400" t="n">
        <v>1107</v>
      </c>
      <c r="B1109" s="400" t="inlineStr">
        <is>
          <t>KH2665</t>
        </is>
      </c>
      <c r="C1109" s="401" t="inlineStr">
        <is>
          <t>Anh Phong - Bình Thuận - 0352.694.448</t>
        </is>
      </c>
      <c r="D1109" s="400" t="inlineStr">
        <is>
          <t>0352.694.448</t>
        </is>
      </c>
      <c r="E1109" s="402" t="n"/>
      <c r="F1109" s="401" t="inlineStr">
        <is>
          <t>Bình Thuận</t>
        </is>
      </c>
      <c r="G1109" s="400" t="inlineStr">
        <is>
          <t>BTHUAN</t>
        </is>
      </c>
      <c r="H1109" s="402" t="n"/>
      <c r="J1109" s="392">
        <f>IFERROR(UPPER(TRIM(B1109))&amp;"|"&amp;UPPER(TRIM(C1109))&amp;"|"&amp;UPPER(TRIM(D1109)),"")</f>
        <v/>
      </c>
    </row>
    <row r="1110" ht="15.75" customHeight="1" s="217">
      <c r="A1110" s="397" t="n">
        <v>1108</v>
      </c>
      <c r="B1110" s="397" t="inlineStr">
        <is>
          <t>KH2664</t>
        </is>
      </c>
      <c r="C1110" s="398" t="inlineStr">
        <is>
          <t>Cửa hàng Thanh Trúc - Cà Mau/ 0918.562.559</t>
        </is>
      </c>
      <c r="D1110" s="397" t="inlineStr">
        <is>
          <t>0918.562.559</t>
        </is>
      </c>
      <c r="E1110" s="399" t="n"/>
      <c r="F1110" s="398" t="inlineStr">
        <is>
          <t>TP Cà Mau</t>
        </is>
      </c>
      <c r="G1110" s="397" t="inlineStr">
        <is>
          <t>CMAU</t>
        </is>
      </c>
      <c r="H1110" s="399" t="n"/>
      <c r="J1110" s="392">
        <f>IFERROR(UPPER(TRIM(B1110))&amp;"|"&amp;UPPER(TRIM(C1110))&amp;"|"&amp;UPPER(TRIM(D1110)),"")</f>
        <v/>
      </c>
    </row>
    <row r="1111" ht="15.75" customHeight="1" s="217">
      <c r="A1111" s="400" t="n">
        <v>1109</v>
      </c>
      <c r="B1111" s="400" t="inlineStr">
        <is>
          <t>KH2662</t>
        </is>
      </c>
      <c r="C1111" s="401" t="inlineStr">
        <is>
          <t>Anh Bình - Đà Nẵng/ 0913.478.474</t>
        </is>
      </c>
      <c r="D1111" s="400" t="inlineStr">
        <is>
          <t>0913.478.474</t>
        </is>
      </c>
      <c r="E1111" s="402" t="n"/>
      <c r="F1111" s="401" t="inlineStr">
        <is>
          <t>Đà Nẵng</t>
        </is>
      </c>
      <c r="G1111" s="400" t="inlineStr">
        <is>
          <t>DNANG</t>
        </is>
      </c>
      <c r="H1111" s="402" t="n"/>
      <c r="J1111" s="392">
        <f>IFERROR(UPPER(TRIM(B1111))&amp;"|"&amp;UPPER(TRIM(C1111))&amp;"|"&amp;UPPER(TRIM(D1111)),"")</f>
        <v/>
      </c>
    </row>
    <row r="1112" ht="15.75" customHeight="1" s="217">
      <c r="A1112" s="397" t="n">
        <v>1110</v>
      </c>
      <c r="B1112" s="397" t="inlineStr">
        <is>
          <t>KH2663</t>
        </is>
      </c>
      <c r="C1112" s="398" t="inlineStr">
        <is>
          <t>Xưởng tiện Lương Nhi, Bình Chánh / 0762.756.828</t>
        </is>
      </c>
      <c r="D1112" s="397" t="inlineStr">
        <is>
          <t>0762.756.828</t>
        </is>
      </c>
      <c r="E1112" s="399" t="n"/>
      <c r="F1112" s="398" t="inlineStr">
        <is>
          <t>QL1A, 185A/8 xã An Phú Tây, Bình Chánh, HCM</t>
        </is>
      </c>
      <c r="G1112" s="397" t="inlineStr">
        <is>
          <t>SG/HCM</t>
        </is>
      </c>
      <c r="H1112" s="399" t="n"/>
      <c r="J1112" s="392">
        <f>IFERROR(UPPER(TRIM(B1112))&amp;"|"&amp;UPPER(TRIM(C1112))&amp;"|"&amp;UPPER(TRIM(D1112)),"")</f>
        <v/>
      </c>
    </row>
    <row r="1113" ht="15.75" customHeight="1" s="217">
      <c r="A1113" s="400" t="n">
        <v>1111</v>
      </c>
      <c r="B1113" s="400" t="inlineStr">
        <is>
          <t>KH2661</t>
        </is>
      </c>
      <c r="C1113" s="401" t="inlineStr">
        <is>
          <t>Anh Tý - Bến Cát/ 0988.337.720</t>
        </is>
      </c>
      <c r="D1113" s="400" t="inlineStr">
        <is>
          <t>0988.337.720</t>
        </is>
      </c>
      <c r="E1113" s="402" t="n"/>
      <c r="F1113" s="401" t="inlineStr">
        <is>
          <t>Bến Cát - Bình Dương</t>
        </is>
      </c>
      <c r="G1113" s="400" t="inlineStr">
        <is>
          <t>BDUONG</t>
        </is>
      </c>
      <c r="H1113" s="402" t="n"/>
      <c r="J1113" s="392">
        <f>IFERROR(UPPER(TRIM(B1113))&amp;"|"&amp;UPPER(TRIM(C1113))&amp;"|"&amp;UPPER(TRIM(D1113)),"")</f>
        <v/>
      </c>
    </row>
    <row r="1114" ht="15.75" customHeight="1" s="217">
      <c r="A1114" s="397" t="n">
        <v>1112</v>
      </c>
      <c r="B1114" s="397" t="inlineStr">
        <is>
          <t>KH2660</t>
        </is>
      </c>
      <c r="C1114" s="398" t="inlineStr">
        <is>
          <t>Gara Chí Tâm - Kontum/ 0973.262.565</t>
        </is>
      </c>
      <c r="D1114" s="397" t="inlineStr">
        <is>
          <t>0973.262.565</t>
        </is>
      </c>
      <c r="E1114" s="399" t="n"/>
      <c r="F1114" s="398" t="inlineStr">
        <is>
          <t>Đăk Lây, Kontum</t>
        </is>
      </c>
      <c r="G1114" s="397" t="inlineStr">
        <is>
          <t>KTUM</t>
        </is>
      </c>
      <c r="H1114" s="399" t="n"/>
      <c r="J1114" s="392">
        <f>IFERROR(UPPER(TRIM(B1114))&amp;"|"&amp;UPPER(TRIM(C1114))&amp;"|"&amp;UPPER(TRIM(D1114)),"")</f>
        <v/>
      </c>
    </row>
    <row r="1115" ht="15.75" customHeight="1" s="217">
      <c r="A1115" s="400" t="n">
        <v>1113</v>
      </c>
      <c r="B1115" s="400" t="inlineStr">
        <is>
          <t>KH2658</t>
        </is>
      </c>
      <c r="C1115" s="401" t="inlineStr">
        <is>
          <t>Cty XD Anh Tuấn Quang / anh Cường : 0973.033.768</t>
        </is>
      </c>
      <c r="D1115" s="400" t="inlineStr">
        <is>
          <t>0973.033.768</t>
        </is>
      </c>
      <c r="E1115" s="402" t="n"/>
      <c r="F1115" s="401" t="inlineStr">
        <is>
          <t>Bình Dương</t>
        </is>
      </c>
      <c r="G1115" s="400" t="inlineStr">
        <is>
          <t>BDUONG</t>
        </is>
      </c>
      <c r="H1115" s="402" t="n"/>
      <c r="J1115" s="392">
        <f>IFERROR(UPPER(TRIM(B1115))&amp;"|"&amp;UPPER(TRIM(C1115))&amp;"|"&amp;UPPER(TRIM(D1115)),"")</f>
        <v/>
      </c>
    </row>
    <row r="1116" ht="15.75" customHeight="1" s="217">
      <c r="A1116" s="393" t="n">
        <v>1114</v>
      </c>
      <c r="B1116" s="393" t="inlineStr">
        <is>
          <t>KH2659</t>
        </is>
      </c>
      <c r="C1116" s="394" t="inlineStr">
        <is>
          <t>Cửa hàng Thủy Hòa - Huế/ 0914.450.207</t>
        </is>
      </c>
      <c r="D1116" s="393" t="inlineStr">
        <is>
          <t>0914.450.207</t>
        </is>
      </c>
      <c r="E1116" s="393" t="inlineStr">
        <is>
          <t>KHÁCH VIP</t>
        </is>
      </c>
      <c r="F1116" s="394" t="inlineStr">
        <is>
          <t>30 An Dương Vương, TP Huế</t>
        </is>
      </c>
      <c r="G1116" s="393" t="inlineStr">
        <is>
          <t>HUE</t>
        </is>
      </c>
      <c r="H1116" s="393" t="inlineStr">
        <is>
          <t>1. Khu vực KCN Tân Bình (Phường Tây Thạnh)
Nhà xe: Xe Hòa
Số điện thoại: 0908209875
Địa chỉ: KCN Tân Bình, Phường Tây Thạnh, Quận Tân Phú.
Ghi chú: Xe Tuấn Lớn.
2. Khu vực Quận Tân Phú (Phường Tân Thới Hòa)
Nhà xe: Nhà xe Khả Thiện
Địa chỉ: Số 4 Lương Thế Vinh, Phường Tân Thới Hòa, Quận Tân Phú, TP. HCM.</t>
        </is>
      </c>
      <c r="J1116" s="392">
        <f>IFERROR(UPPER(TRIM(B1116))&amp;"|"&amp;UPPER(TRIM(C1116))&amp;"|"&amp;UPPER(TRIM(D1116)),"")</f>
        <v/>
      </c>
    </row>
    <row r="1117" ht="15.75" customHeight="1" s="217">
      <c r="A1117" s="400" t="n">
        <v>1115</v>
      </c>
      <c r="B1117" s="400" t="inlineStr">
        <is>
          <t>KH2657</t>
        </is>
      </c>
      <c r="C1117" s="401" t="inlineStr">
        <is>
          <t>Cửa hàng Thành Vinh - Quảng Ngãi/ DĐ: 0914.119.244</t>
        </is>
      </c>
      <c r="D1117" s="400" t="inlineStr">
        <is>
          <t>0914.119.244</t>
        </is>
      </c>
      <c r="E1117" s="402" t="n"/>
      <c r="F1117" s="401" t="inlineStr">
        <is>
          <t>22 Đinh Tiên Hoàng - TP Quảng Ngãi</t>
        </is>
      </c>
      <c r="G1117" s="400" t="inlineStr">
        <is>
          <t>QUNGAI</t>
        </is>
      </c>
      <c r="H1117" s="402" t="n"/>
      <c r="J1117" s="392">
        <f>IFERROR(UPPER(TRIM(B1117))&amp;"|"&amp;UPPER(TRIM(C1117))&amp;"|"&amp;UPPER(TRIM(D1117)),"")</f>
        <v/>
      </c>
    </row>
    <row r="1118" ht="15.75" customHeight="1" s="217">
      <c r="A1118" s="397" t="n">
        <v>1116</v>
      </c>
      <c r="B1118" s="397" t="inlineStr">
        <is>
          <t>KH2656</t>
        </is>
      </c>
      <c r="C1118" s="398" t="inlineStr">
        <is>
          <t>Anh Tiến - Quận 12/ 0908.625.469- 0916.051.469</t>
        </is>
      </c>
      <c r="D1118" s="397" t="inlineStr">
        <is>
          <t>0908.625.469- / 0916.051.469</t>
        </is>
      </c>
      <c r="E1118" s="399" t="n"/>
      <c r="F1118" s="398" t="inlineStr">
        <is>
          <t>76/5 Tổ 18, KP.1, P. Hiệp Thành, Quận 12, TPHCM</t>
        </is>
      </c>
      <c r="G1118" s="397" t="inlineStr">
        <is>
          <t>SG/HCM</t>
        </is>
      </c>
      <c r="H1118" s="399" t="n"/>
      <c r="J1118" s="392">
        <f>IFERROR(UPPER(TRIM(B1118))&amp;"|"&amp;UPPER(TRIM(C1118))&amp;"|"&amp;UPPER(TRIM(D1118)),"")</f>
        <v/>
      </c>
    </row>
    <row r="1119" ht="15.75" customHeight="1" s="217">
      <c r="A1119" s="400" t="n">
        <v>1117</v>
      </c>
      <c r="B1119" s="400" t="inlineStr">
        <is>
          <t>KH2654</t>
        </is>
      </c>
      <c r="C1119" s="401" t="inlineStr">
        <is>
          <t>Anh Bu - Long An / 0949.198.880</t>
        </is>
      </c>
      <c r="D1119" s="400" t="inlineStr">
        <is>
          <t>0949.198.880</t>
        </is>
      </c>
      <c r="E1119" s="402" t="n"/>
      <c r="F1119" s="401" t="inlineStr">
        <is>
          <t>Mộc Hóa, Long An</t>
        </is>
      </c>
      <c r="G1119" s="400" t="inlineStr">
        <is>
          <t>LA</t>
        </is>
      </c>
      <c r="H1119" s="402" t="n"/>
      <c r="J1119" s="392">
        <f>IFERROR(UPPER(TRIM(B1119))&amp;"|"&amp;UPPER(TRIM(C1119))&amp;"|"&amp;UPPER(TRIM(D1119)),"")</f>
        <v/>
      </c>
    </row>
    <row r="1120" ht="15.75" customHeight="1" s="217">
      <c r="A1120" s="397" t="n">
        <v>1118</v>
      </c>
      <c r="B1120" s="397" t="inlineStr">
        <is>
          <t>KH2655</t>
        </is>
      </c>
      <c r="C1120" s="398" t="inlineStr">
        <is>
          <t>Xưởng tiện Thanh Vui - Quy Nhơn/ Anh Vui: 0913.462.997</t>
        </is>
      </c>
      <c r="D1120" s="397" t="inlineStr">
        <is>
          <t>0913.462.997</t>
        </is>
      </c>
      <c r="E1120" s="399" t="n"/>
      <c r="F1120" s="398" t="inlineStr">
        <is>
          <t>54 Hùng Vương - TP Quy Nhơn - Bình Định</t>
        </is>
      </c>
      <c r="G1120" s="397" t="inlineStr">
        <is>
          <t>BDINH</t>
        </is>
      </c>
      <c r="H1120" s="399" t="n"/>
      <c r="J1120" s="392">
        <f>IFERROR(UPPER(TRIM(B1120))&amp;"|"&amp;UPPER(TRIM(C1120))&amp;"|"&amp;UPPER(TRIM(D1120)),"")</f>
        <v/>
      </c>
    </row>
    <row r="1121" ht="15.75" customHeight="1" s="217">
      <c r="A1121" s="400" t="n">
        <v>1119</v>
      </c>
      <c r="B1121" s="400" t="inlineStr">
        <is>
          <t>KH2653</t>
        </is>
      </c>
      <c r="C1121" s="401" t="inlineStr">
        <is>
          <t>Cửa hàng Tuyết Thông - Quy Nhơn/ DĐ: 0934.814.461</t>
        </is>
      </c>
      <c r="D1121" s="400" t="inlineStr">
        <is>
          <t>0934.814.461</t>
        </is>
      </c>
      <c r="E1121" s="402" t="n"/>
      <c r="F1121" s="401" t="inlineStr">
        <is>
          <t>796 Trần Hưng Đạo, TP Quy Nhơn, Bình Định</t>
        </is>
      </c>
      <c r="G1121" s="400" t="inlineStr">
        <is>
          <t>BDINH</t>
        </is>
      </c>
      <c r="H1121" s="402" t="n"/>
      <c r="J1121" s="392">
        <f>IFERROR(UPPER(TRIM(B1121))&amp;"|"&amp;UPPER(TRIM(C1121))&amp;"|"&amp;UPPER(TRIM(D1121)),"")</f>
        <v/>
      </c>
    </row>
    <row r="1122" ht="15.75" customHeight="1" s="217">
      <c r="A1122" s="397" t="n">
        <v>1120</v>
      </c>
      <c r="B1122" s="397" t="inlineStr">
        <is>
          <t>KH2651</t>
        </is>
      </c>
      <c r="C1122" s="398" t="inlineStr">
        <is>
          <t>Anh Tý - Xuân Lộc, Đồng Nai / 0906.894.262</t>
        </is>
      </c>
      <c r="D1122" s="397" t="inlineStr">
        <is>
          <t>0906.894.262</t>
        </is>
      </c>
      <c r="E1122" s="399" t="n"/>
      <c r="F1122" s="398" t="inlineStr">
        <is>
          <t>Căn cứ 4, Xuân Lộc, Đồng Nai</t>
        </is>
      </c>
      <c r="G1122" s="397" t="inlineStr">
        <is>
          <t>ÐNAI</t>
        </is>
      </c>
      <c r="H1122" s="399" t="n"/>
      <c r="J1122" s="392">
        <f>IFERROR(UPPER(TRIM(B1122))&amp;"|"&amp;UPPER(TRIM(C1122))&amp;"|"&amp;UPPER(TRIM(D1122)),"")</f>
        <v/>
      </c>
    </row>
    <row r="1123" ht="15.75" customHeight="1" s="217">
      <c r="A1123" s="400" t="n">
        <v>1121</v>
      </c>
      <c r="B1123" s="400" t="inlineStr">
        <is>
          <t>KH2652</t>
        </is>
      </c>
      <c r="C1123" s="401" t="inlineStr">
        <is>
          <t>Chú Xuân - Bình Định/ 0936.298.970</t>
        </is>
      </c>
      <c r="D1123" s="400" t="inlineStr">
        <is>
          <t>0936.298.970</t>
        </is>
      </c>
      <c r="E1123" s="402" t="n"/>
      <c r="F1123" s="401" t="inlineStr">
        <is>
          <t>Phước An, Tuy Phước, Bình Định</t>
        </is>
      </c>
      <c r="G1123" s="400" t="inlineStr">
        <is>
          <t>BDINH</t>
        </is>
      </c>
      <c r="H1123" s="402" t="n"/>
      <c r="J1123" s="392">
        <f>IFERROR(UPPER(TRIM(B1123))&amp;"|"&amp;UPPER(TRIM(C1123))&amp;"|"&amp;UPPER(TRIM(D1123)),"")</f>
        <v/>
      </c>
    </row>
    <row r="1124" ht="15.75" customHeight="1" s="217">
      <c r="A1124" s="397" t="n">
        <v>1122</v>
      </c>
      <c r="B1124" s="397" t="inlineStr">
        <is>
          <t>KH2650</t>
        </is>
      </c>
      <c r="C1124" s="398" t="inlineStr">
        <is>
          <t>Anh Long, thợ máy - Ngã 3 Tân Vạn - 0918.265.773</t>
        </is>
      </c>
      <c r="D1124" s="397" t="inlineStr">
        <is>
          <t>0918.265.773</t>
        </is>
      </c>
      <c r="E1124" s="399" t="n"/>
      <c r="F1124" s="398" t="inlineStr">
        <is>
          <t>Bình Dương</t>
        </is>
      </c>
      <c r="G1124" s="397" t="inlineStr">
        <is>
          <t>BDUONG</t>
        </is>
      </c>
      <c r="H1124" s="399" t="n"/>
      <c r="J1124" s="392">
        <f>IFERROR(UPPER(TRIM(B1124))&amp;"|"&amp;UPPER(TRIM(C1124))&amp;"|"&amp;UPPER(TRIM(D1124)),"")</f>
        <v/>
      </c>
    </row>
    <row r="1125" ht="15.75" customHeight="1" s="217">
      <c r="A1125" s="400" t="n">
        <v>1123</v>
      </c>
      <c r="B1125" s="400" t="inlineStr">
        <is>
          <t>KH2649</t>
        </is>
      </c>
      <c r="C1125" s="401" t="inlineStr">
        <is>
          <t>Cửa hàng Phước - Quận 11, Sài Gòn</t>
        </is>
      </c>
      <c r="D1125" s="402" t="n"/>
      <c r="E1125" s="402" t="n"/>
      <c r="F1125" s="401" t="inlineStr">
        <is>
          <t>Số 5 Thái Phiên, P6, Quận 11</t>
        </is>
      </c>
      <c r="G1125" s="400" t="inlineStr">
        <is>
          <t>SG/HCM</t>
        </is>
      </c>
      <c r="H1125" s="402" t="n"/>
      <c r="J1125" s="392">
        <f>IFERROR(UPPER(TRIM(B1125))&amp;"|"&amp;UPPER(TRIM(C1125))&amp;"|"&amp;UPPER(TRIM(D1125)),"")</f>
        <v/>
      </c>
    </row>
    <row r="1126" ht="15.75" customHeight="1" s="217">
      <c r="A1126" s="397" t="n">
        <v>1124</v>
      </c>
      <c r="B1126" s="397" t="inlineStr">
        <is>
          <t>KH2645</t>
        </is>
      </c>
      <c r="C1126" s="398" t="inlineStr">
        <is>
          <t>Công ty Bình Minh (BMC Việt Nam) - CN Sài Gòn / 0932.315.396/ 0985.322.655</t>
        </is>
      </c>
      <c r="D1126" s="397" t="inlineStr">
        <is>
          <t>0932.315.396 / 0985.322.655</t>
        </is>
      </c>
      <c r="E1126" s="399" t="n"/>
      <c r="F1126" s="398" t="inlineStr">
        <is>
          <t>Gần ngã 3 Tân Vạn</t>
        </is>
      </c>
      <c r="G1126" s="397" t="inlineStr">
        <is>
          <t>SG/HCM</t>
        </is>
      </c>
      <c r="H1126" s="399" t="n"/>
      <c r="J1126" s="392">
        <f>IFERROR(UPPER(TRIM(B1126))&amp;"|"&amp;UPPER(TRIM(C1126))&amp;"|"&amp;UPPER(TRIM(D1126)),"")</f>
        <v/>
      </c>
    </row>
    <row r="1127" ht="15.75" customHeight="1" s="217">
      <c r="A1127" s="400" t="n">
        <v>1125</v>
      </c>
      <c r="B1127" s="400" t="inlineStr">
        <is>
          <t>KH2646</t>
        </is>
      </c>
      <c r="C1127" s="401" t="inlineStr">
        <is>
          <t>Cửa hàng Vinh - An Sương / 0909.847.234</t>
        </is>
      </c>
      <c r="D1127" s="400" t="inlineStr">
        <is>
          <t>0909.847.234</t>
        </is>
      </c>
      <c r="E1127" s="402" t="n"/>
      <c r="F1127" s="401" t="inlineStr">
        <is>
          <t>2567, QL1A, KP3, P. Tân Thuận Hưng, Quận 12</t>
        </is>
      </c>
      <c r="G1127" s="400" t="inlineStr">
        <is>
          <t>SG/HCM</t>
        </is>
      </c>
      <c r="H1127" s="402" t="n"/>
      <c r="J1127" s="392">
        <f>IFERROR(UPPER(TRIM(B1127))&amp;"|"&amp;UPPER(TRIM(C1127))&amp;"|"&amp;UPPER(TRIM(D1127)),"")</f>
        <v/>
      </c>
    </row>
    <row r="1128" ht="15.75" customHeight="1" s="217">
      <c r="A1128" s="397" t="n">
        <v>1126</v>
      </c>
      <c r="B1128" s="397" t="inlineStr">
        <is>
          <t>KH2647</t>
        </is>
      </c>
      <c r="C1128" s="398" t="inlineStr">
        <is>
          <t>Anh Đảng - Bình Dương - 0986.124.579</t>
        </is>
      </c>
      <c r="D1128" s="397" t="inlineStr">
        <is>
          <t>0986.124.579</t>
        </is>
      </c>
      <c r="E1128" s="399" t="n"/>
      <c r="F1128" s="398" t="inlineStr">
        <is>
          <t>Bình Dương</t>
        </is>
      </c>
      <c r="G1128" s="397" t="inlineStr">
        <is>
          <t>BDUONG</t>
        </is>
      </c>
      <c r="H1128" s="399" t="n"/>
      <c r="J1128" s="392">
        <f>IFERROR(UPPER(TRIM(B1128))&amp;"|"&amp;UPPER(TRIM(C1128))&amp;"|"&amp;UPPER(TRIM(D1128)),"")</f>
        <v/>
      </c>
    </row>
    <row r="1129" ht="15.75" customHeight="1" s="217">
      <c r="A1129" s="400" t="n">
        <v>1127</v>
      </c>
      <c r="B1129" s="400" t="inlineStr">
        <is>
          <t>KH2648</t>
        </is>
      </c>
      <c r="C1129" s="401" t="inlineStr">
        <is>
          <t>Anh Bôn - Phan Rang/ 0918.772.118</t>
        </is>
      </c>
      <c r="D1129" s="400" t="inlineStr">
        <is>
          <t>0918.772.118</t>
        </is>
      </c>
      <c r="E1129" s="402" t="n"/>
      <c r="F1129" s="401" t="inlineStr">
        <is>
          <t>145 đường 21/8 Phan Rang , Ninh Thuận</t>
        </is>
      </c>
      <c r="G1129" s="400" t="inlineStr">
        <is>
          <t>NTHUAN</t>
        </is>
      </c>
      <c r="H1129" s="402" t="n"/>
      <c r="J1129" s="392">
        <f>IFERROR(UPPER(TRIM(B1129))&amp;"|"&amp;UPPER(TRIM(C1129))&amp;"|"&amp;UPPER(TRIM(D1129)),"")</f>
        <v/>
      </c>
    </row>
    <row r="1130" ht="15.75" customHeight="1" s="217">
      <c r="A1130" s="397" t="n">
        <v>1128</v>
      </c>
      <c r="B1130" s="397" t="inlineStr">
        <is>
          <t>KH2644</t>
        </is>
      </c>
      <c r="C1130" s="398" t="inlineStr">
        <is>
          <t>Công Ty Gạch Tuynel Hoa Viên - Tân Uyên - 0961.550.081</t>
        </is>
      </c>
      <c r="D1130" s="397" t="inlineStr">
        <is>
          <t>0961.550.081</t>
        </is>
      </c>
      <c r="E1130" s="399" t="n"/>
      <c r="F1130" s="398" t="inlineStr">
        <is>
          <t>Bắc Tân Uyên, Bình Dương</t>
        </is>
      </c>
      <c r="G1130" s="397" t="inlineStr">
        <is>
          <t>BDUONG</t>
        </is>
      </c>
      <c r="H1130" s="399" t="n"/>
      <c r="J1130" s="392">
        <f>IFERROR(UPPER(TRIM(B1130))&amp;"|"&amp;UPPER(TRIM(C1130))&amp;"|"&amp;UPPER(TRIM(D1130)),"")</f>
        <v/>
      </c>
    </row>
    <row r="1131" ht="15.75" customHeight="1" s="217">
      <c r="A1131" s="400" t="n">
        <v>1129</v>
      </c>
      <c r="B1131" s="400" t="inlineStr">
        <is>
          <t>KH2642</t>
        </is>
      </c>
      <c r="C1131" s="401" t="inlineStr">
        <is>
          <t>Công ty Trung Hải - Mỏ đá Quỳ Hợp, Nghệ An - A Tú  0911.177.781/ 0979.977.781</t>
        </is>
      </c>
      <c r="D1131" s="400" t="inlineStr">
        <is>
          <t>0911.177.781 / 0979.977.781</t>
        </is>
      </c>
      <c r="E1131" s="402" t="n"/>
      <c r="F1131" s="401" t="inlineStr">
        <is>
          <t>QUỲ HỢP, NGHỆ AN</t>
        </is>
      </c>
      <c r="G1131" s="400" t="inlineStr">
        <is>
          <t>HN</t>
        </is>
      </c>
      <c r="H1131" s="400" t="inlineStr">
        <is>
          <t>Xe nhận hàng tại Vinh đi Quỳ Hợp: [Tên] Xe08080 - Điện thoại] 0985227213; Tên] Xe20070 - [Điện thoại] 0335110969; [Tên] Xehoangba - [Điện thoại] 0968978289; [Tên] Xe9512 -  [Di động] 0988817701; [Tên] Xe9116 - [Di động] 0978457019;</t>
        </is>
      </c>
      <c r="J1131" s="392">
        <f>IFERROR(UPPER(TRIM(B1131))&amp;"|"&amp;UPPER(TRIM(C1131))&amp;"|"&amp;UPPER(TRIM(D1131)),"")</f>
        <v/>
      </c>
    </row>
    <row r="1132" ht="15.75" customHeight="1" s="217">
      <c r="A1132" s="397" t="n">
        <v>1130</v>
      </c>
      <c r="B1132" s="397" t="inlineStr">
        <is>
          <t>KH2643</t>
        </is>
      </c>
      <c r="C1132" s="398" t="inlineStr">
        <is>
          <t>Xưởng (Gara) A Danh - Phan Rang/ 0937.471.490</t>
        </is>
      </c>
      <c r="D1132" s="397" t="inlineStr">
        <is>
          <t>0937.471.490</t>
        </is>
      </c>
      <c r="E1132" s="399" t="n"/>
      <c r="F1132" s="398" t="inlineStr">
        <is>
          <t>TP Phan Rang Tháp Chàm, Ninh Thuận</t>
        </is>
      </c>
      <c r="G1132" s="397" t="inlineStr">
        <is>
          <t>NTHUAN</t>
        </is>
      </c>
      <c r="H1132" s="399" t="n"/>
      <c r="J1132" s="392">
        <f>IFERROR(UPPER(TRIM(B1132))&amp;"|"&amp;UPPER(TRIM(C1132))&amp;"|"&amp;UPPER(TRIM(D1132)),"")</f>
        <v/>
      </c>
    </row>
    <row r="1133" ht="15.75" customHeight="1" s="217">
      <c r="A1133" s="400" t="n">
        <v>1131</v>
      </c>
      <c r="B1133" s="400" t="inlineStr">
        <is>
          <t>KH2641</t>
        </is>
      </c>
      <c r="C1133" s="401" t="inlineStr">
        <is>
          <t>Anh Tòng (chủ máy) - Bến Cát/ 0975.717.273</t>
        </is>
      </c>
      <c r="D1133" s="400" t="inlineStr">
        <is>
          <t>0975.717.273</t>
        </is>
      </c>
      <c r="E1133" s="402" t="n"/>
      <c r="F1133" s="401" t="inlineStr">
        <is>
          <t>Bến Cát - Bình Dương</t>
        </is>
      </c>
      <c r="G1133" s="400" t="inlineStr">
        <is>
          <t>BDUONG</t>
        </is>
      </c>
      <c r="H1133" s="402" t="n"/>
      <c r="J1133" s="392">
        <f>IFERROR(UPPER(TRIM(B1133))&amp;"|"&amp;UPPER(TRIM(C1133))&amp;"|"&amp;UPPER(TRIM(D1133)),"")</f>
        <v/>
      </c>
    </row>
    <row r="1134" ht="15.75" customHeight="1" s="217">
      <c r="A1134" s="397" t="n">
        <v>1132</v>
      </c>
      <c r="B1134" s="397" t="inlineStr">
        <is>
          <t>KH2640</t>
        </is>
      </c>
      <c r="C1134" s="398" t="inlineStr">
        <is>
          <t>Xưởng anh Thắng - Bình Dương/ 0903.186.081</t>
        </is>
      </c>
      <c r="D1134" s="397" t="inlineStr">
        <is>
          <t>0903.186.081</t>
        </is>
      </c>
      <c r="E1134" s="399" t="n"/>
      <c r="F1134" s="398" t="inlineStr">
        <is>
          <t>Mỹ Phước, Tân Vạn, Bình Dương</t>
        </is>
      </c>
      <c r="G1134" s="397" t="inlineStr">
        <is>
          <t>BDUONG</t>
        </is>
      </c>
      <c r="H1134" s="399" t="n"/>
      <c r="J1134" s="392">
        <f>IFERROR(UPPER(TRIM(B1134))&amp;"|"&amp;UPPER(TRIM(C1134))&amp;"|"&amp;UPPER(TRIM(D1134)),"")</f>
        <v/>
      </c>
    </row>
    <row r="1135" ht="15.75" customHeight="1" s="217">
      <c r="A1135" s="400" t="n">
        <v>1133</v>
      </c>
      <c r="B1135" s="400" t="inlineStr">
        <is>
          <t>KH2639</t>
        </is>
      </c>
      <c r="C1135" s="401" t="inlineStr">
        <is>
          <t>Xưởng tiện Quốc Chương - QL13/  0908.838.229</t>
        </is>
      </c>
      <c r="D1135" s="400" t="inlineStr">
        <is>
          <t>0908.838.229</t>
        </is>
      </c>
      <c r="E1135" s="402" t="n"/>
      <c r="F1135" s="401" t="inlineStr">
        <is>
          <t>794 QL13, Hiệp Bình Phước, Thủ Đức</t>
        </is>
      </c>
      <c r="G1135" s="400" t="inlineStr">
        <is>
          <t>SG/HCM</t>
        </is>
      </c>
      <c r="H1135" s="402" t="n"/>
      <c r="J1135" s="392">
        <f>IFERROR(UPPER(TRIM(B1135))&amp;"|"&amp;UPPER(TRIM(C1135))&amp;"|"&amp;UPPER(TRIM(D1135)),"")</f>
        <v/>
      </c>
    </row>
    <row r="1136" ht="15.75" customHeight="1" s="217">
      <c r="A1136" s="397" t="n">
        <v>1134</v>
      </c>
      <c r="B1136" s="397" t="inlineStr">
        <is>
          <t>KH2636</t>
        </is>
      </c>
      <c r="C1136" s="398" t="inlineStr">
        <is>
          <t>Anh Bảo - Bình Tân - Sài Gòn/ 0949.711.711</t>
        </is>
      </c>
      <c r="D1136" s="397" t="inlineStr">
        <is>
          <t>0949.711.711</t>
        </is>
      </c>
      <c r="E1136" s="399" t="n"/>
      <c r="F1136" s="398" t="inlineStr">
        <is>
          <t>Cầu Nước Lên, Bình Tân</t>
        </is>
      </c>
      <c r="G1136" s="397" t="inlineStr">
        <is>
          <t>SG/HCM</t>
        </is>
      </c>
      <c r="H1136" s="399" t="n"/>
      <c r="J1136" s="392">
        <f>IFERROR(UPPER(TRIM(B1136))&amp;"|"&amp;UPPER(TRIM(C1136))&amp;"|"&amp;UPPER(TRIM(D1136)),"")</f>
        <v/>
      </c>
    </row>
    <row r="1137" ht="15.75" customHeight="1" s="217">
      <c r="A1137" s="400" t="n">
        <v>1135</v>
      </c>
      <c r="B1137" s="400" t="inlineStr">
        <is>
          <t>KH2637</t>
        </is>
      </c>
      <c r="C1137" s="401" t="inlineStr">
        <is>
          <t>Anh Hậu - Bà Rịa - 0937.352.919</t>
        </is>
      </c>
      <c r="D1137" s="400" t="inlineStr">
        <is>
          <t>0937.352.919</t>
        </is>
      </c>
      <c r="E1137" s="402" t="n"/>
      <c r="F1137" s="401" t="inlineStr">
        <is>
          <t>Bình Giã, Châu Đức, Bà Rịa Vũng Tàu</t>
        </is>
      </c>
      <c r="G1137" s="400" t="inlineStr">
        <is>
          <t>BRVT</t>
        </is>
      </c>
      <c r="H1137" s="402" t="n"/>
      <c r="J1137" s="392">
        <f>IFERROR(UPPER(TRIM(B1137))&amp;"|"&amp;UPPER(TRIM(C1137))&amp;"|"&amp;UPPER(TRIM(D1137)),"")</f>
        <v/>
      </c>
    </row>
    <row r="1138" ht="15.75" customHeight="1" s="217">
      <c r="A1138" s="397" t="n">
        <v>1136</v>
      </c>
      <c r="B1138" s="397" t="inlineStr">
        <is>
          <t>KH2638</t>
        </is>
      </c>
      <c r="C1138" s="398" t="inlineStr">
        <is>
          <t>Anh Nhị - Di Linh - 0934.365.674</t>
        </is>
      </c>
      <c r="D1138" s="397" t="inlineStr">
        <is>
          <t>0934.365.674</t>
        </is>
      </c>
      <c r="E1138" s="399" t="n"/>
      <c r="F1138" s="398" t="inlineStr">
        <is>
          <t>Di Linh, Lâm Đồng</t>
        </is>
      </c>
      <c r="G1138" s="397" t="inlineStr">
        <is>
          <t>LDONG</t>
        </is>
      </c>
      <c r="H1138" s="399" t="n"/>
      <c r="J1138" s="392">
        <f>IFERROR(UPPER(TRIM(B1138))&amp;"|"&amp;UPPER(TRIM(C1138))&amp;"|"&amp;UPPER(TRIM(D1138)),"")</f>
        <v/>
      </c>
    </row>
    <row r="1139" ht="15.75" customHeight="1" s="217">
      <c r="A1139" s="400" t="n">
        <v>1137</v>
      </c>
      <c r="B1139" s="400" t="inlineStr">
        <is>
          <t>KH2635</t>
        </is>
      </c>
      <c r="C1139" s="401" t="inlineStr">
        <is>
          <t>Cửa hàng ô tô Minh Trường - Nha Trang - 0903.554.323</t>
        </is>
      </c>
      <c r="D1139" s="400" t="inlineStr">
        <is>
          <t>0903.554.323</t>
        </is>
      </c>
      <c r="E1139" s="402" t="n"/>
      <c r="F1139" s="401" t="inlineStr">
        <is>
          <t>50 đường 2/4 Vạn Thạnh, Nha Trang, Khánh Hòa</t>
        </is>
      </c>
      <c r="G1139" s="400" t="inlineStr">
        <is>
          <t>NTRANG</t>
        </is>
      </c>
      <c r="H1139" s="402" t="n"/>
      <c r="J1139" s="392">
        <f>IFERROR(UPPER(TRIM(B1139))&amp;"|"&amp;UPPER(TRIM(C1139))&amp;"|"&amp;UPPER(TRIM(D1139)),"")</f>
        <v/>
      </c>
    </row>
    <row r="1140" ht="15.75" customHeight="1" s="217">
      <c r="A1140" s="397" t="n">
        <v>1138</v>
      </c>
      <c r="B1140" s="397" t="inlineStr">
        <is>
          <t>KH2634</t>
        </is>
      </c>
      <c r="C1140" s="398" t="inlineStr">
        <is>
          <t>TURBO - ANH KỲ - BÌNH CHÁNH/ Anh Kỳ: 0909.639.007</t>
        </is>
      </c>
      <c r="D1140" s="397" t="inlineStr">
        <is>
          <t>0909.639.007</t>
        </is>
      </c>
      <c r="E1140" s="399" t="n"/>
      <c r="F1140" s="398" t="inlineStr">
        <is>
          <t>16 QL1A, Tân Túc, Bình Chánh, Sài Gòn</t>
        </is>
      </c>
      <c r="G1140" s="397" t="inlineStr">
        <is>
          <t>SG/HCM</t>
        </is>
      </c>
      <c r="H1140" s="399" t="n"/>
      <c r="J1140" s="392">
        <f>IFERROR(UPPER(TRIM(B1140))&amp;"|"&amp;UPPER(TRIM(C1140))&amp;"|"&amp;UPPER(TRIM(D1140)),"")</f>
        <v/>
      </c>
    </row>
    <row r="1141" ht="15.75" customHeight="1" s="217">
      <c r="A1141" s="400" t="n">
        <v>1139</v>
      </c>
      <c r="B1141" s="400" t="inlineStr">
        <is>
          <t>KH2631</t>
        </is>
      </c>
      <c r="C1141" s="401" t="inlineStr">
        <is>
          <t>Anh Quốc - Ninh Hoà, Khánh Hoà / 0962.495.347</t>
        </is>
      </c>
      <c r="D1141" s="400" t="inlineStr">
        <is>
          <t>0962.495.347</t>
        </is>
      </c>
      <c r="E1141" s="402" t="n"/>
      <c r="F1141" s="401" t="inlineStr">
        <is>
          <t>Ninh Hoà, Khánh Hoà</t>
        </is>
      </c>
      <c r="G1141" s="400" t="inlineStr">
        <is>
          <t>NTRANG</t>
        </is>
      </c>
      <c r="H1141" s="402" t="n"/>
      <c r="J1141" s="392">
        <f>IFERROR(UPPER(TRIM(B1141))&amp;"|"&amp;UPPER(TRIM(C1141))&amp;"|"&amp;UPPER(TRIM(D1141)),"")</f>
        <v/>
      </c>
    </row>
    <row r="1142" ht="15.75" customHeight="1" s="217">
      <c r="A1142" s="397" t="n">
        <v>1140</v>
      </c>
      <c r="B1142" s="397" t="inlineStr">
        <is>
          <t>KH2632</t>
        </is>
      </c>
      <c r="C1142" s="398" t="inlineStr">
        <is>
          <t>Xưởng A Thành, Sóc Trăng / 0376.676.276</t>
        </is>
      </c>
      <c r="D1142" s="397" t="inlineStr">
        <is>
          <t>0376.676.276</t>
        </is>
      </c>
      <c r="E1142" s="399" t="n"/>
      <c r="F1142" s="398" t="inlineStr">
        <is>
          <t>53 Ngô Gia Tự, TP Sóc Trăng</t>
        </is>
      </c>
      <c r="G1142" s="397" t="inlineStr">
        <is>
          <t>STRANG</t>
        </is>
      </c>
      <c r="H1142" s="399" t="n"/>
      <c r="J1142" s="392">
        <f>IFERROR(UPPER(TRIM(B1142))&amp;"|"&amp;UPPER(TRIM(C1142))&amp;"|"&amp;UPPER(TRIM(D1142)),"")</f>
        <v/>
      </c>
    </row>
    <row r="1143" ht="15.75" customHeight="1" s="217">
      <c r="A1143" s="400" t="n">
        <v>1141</v>
      </c>
      <c r="B1143" s="400" t="inlineStr">
        <is>
          <t>KH2633</t>
        </is>
      </c>
      <c r="C1143" s="401" t="inlineStr">
        <is>
          <t>Xưởng Anh Tuấn - Xuân Lộc, Đồng Nai / 0933.551.505</t>
        </is>
      </c>
      <c r="D1143" s="400" t="inlineStr">
        <is>
          <t>0933.551.505</t>
        </is>
      </c>
      <c r="E1143" s="402" t="n"/>
      <c r="F1143" s="401" t="inlineStr">
        <is>
          <t>Xuân Lộc, Đồng Nai</t>
        </is>
      </c>
      <c r="G1143" s="400" t="inlineStr">
        <is>
          <t>ÐNAI</t>
        </is>
      </c>
      <c r="H1143" s="402" t="n"/>
      <c r="J1143" s="392">
        <f>IFERROR(UPPER(TRIM(B1143))&amp;"|"&amp;UPPER(TRIM(C1143))&amp;"|"&amp;UPPER(TRIM(D1143)),"")</f>
        <v/>
      </c>
    </row>
    <row r="1144" ht="15.75" customHeight="1" s="217">
      <c r="A1144" s="397" t="n">
        <v>1142</v>
      </c>
      <c r="B1144" s="397" t="inlineStr">
        <is>
          <t>KH2630</t>
        </is>
      </c>
      <c r="C1144" s="398" t="inlineStr">
        <is>
          <t>Xưởng Đức Minh - Đăk Nông - 0984.660.099</t>
        </is>
      </c>
      <c r="D1144" s="397" t="inlineStr">
        <is>
          <t>0984.660.099</t>
        </is>
      </c>
      <c r="E1144" s="399" t="n"/>
      <c r="F1144" s="398" t="inlineStr">
        <is>
          <t>Đăk R'lâp, Đắk Nông</t>
        </is>
      </c>
      <c r="G1144" s="397" t="inlineStr">
        <is>
          <t>DNONG</t>
        </is>
      </c>
      <c r="H1144" s="399" t="n"/>
      <c r="J1144" s="392">
        <f>IFERROR(UPPER(TRIM(B1144))&amp;"|"&amp;UPPER(TRIM(C1144))&amp;"|"&amp;UPPER(TRIM(D1144)),"")</f>
        <v/>
      </c>
    </row>
    <row r="1145" ht="15.75" customHeight="1" s="217">
      <c r="A1145" s="400" t="n">
        <v>1143</v>
      </c>
      <c r="B1145" s="400" t="inlineStr">
        <is>
          <t>SAMSUN</t>
        </is>
      </c>
      <c r="C1145" s="401" t="inlineStr">
        <is>
          <t>SAMSUN SEGMAN VE GOMLEK SAN. TIC. LTD. STI (sec măng ART)</t>
        </is>
      </c>
      <c r="D1145" s="402" t="n"/>
      <c r="E1145" s="402" t="n"/>
      <c r="F1145" s="401" t="inlineStr">
        <is>
          <t>Osb Organize Sanayi Bulvari. No. 48, Samsun/ Turkey</t>
        </is>
      </c>
      <c r="G1145" s="402" t="n"/>
      <c r="H1145" s="402" t="n"/>
      <c r="J1145" s="392">
        <f>IFERROR(UPPER(TRIM(B1145))&amp;"|"&amp;UPPER(TRIM(C1145))&amp;"|"&amp;UPPER(TRIM(D1145)),"")</f>
        <v/>
      </c>
    </row>
    <row r="1146" ht="15.75" customHeight="1" s="217">
      <c r="A1146" s="397" t="n">
        <v>1144</v>
      </c>
      <c r="B1146" s="397" t="inlineStr">
        <is>
          <t>KH2629</t>
        </is>
      </c>
      <c r="C1146" s="398" t="inlineStr">
        <is>
          <t>Anh Hùng - Bình Thuận/ 0989.198.283</t>
        </is>
      </c>
      <c r="D1146" s="397" t="inlineStr">
        <is>
          <t>0989.198.283</t>
        </is>
      </c>
      <c r="E1146" s="399" t="n"/>
      <c r="F1146" s="398" t="inlineStr">
        <is>
          <t>Bình Thuận</t>
        </is>
      </c>
      <c r="G1146" s="397" t="inlineStr">
        <is>
          <t>BTHUAN</t>
        </is>
      </c>
      <c r="H1146" s="399" t="n"/>
      <c r="J1146" s="392">
        <f>IFERROR(UPPER(TRIM(B1146))&amp;"|"&amp;UPPER(TRIM(C1146))&amp;"|"&amp;UPPER(TRIM(D1146)),"")</f>
        <v/>
      </c>
    </row>
    <row r="1147" ht="15.75" customHeight="1" s="217">
      <c r="A1147" s="400" t="n">
        <v>1145</v>
      </c>
      <c r="B1147" s="400" t="inlineStr">
        <is>
          <t>KH2628</t>
        </is>
      </c>
      <c r="C1147" s="401" t="inlineStr">
        <is>
          <t>Anh Minh (turbo) - Điện Biên Phủ-Bình Thạnh / 0972.332.144-0903.997.322</t>
        </is>
      </c>
      <c r="D1147" s="400" t="inlineStr">
        <is>
          <t>0972.332.144-0903</t>
        </is>
      </c>
      <c r="E1147" s="402" t="n"/>
      <c r="F1147" s="401" t="inlineStr">
        <is>
          <t>27/221/35 Điện Biên Phủ, P.15, Bình Thạnh, TP HCM</t>
        </is>
      </c>
      <c r="G1147" s="400" t="inlineStr">
        <is>
          <t>SG/HCM</t>
        </is>
      </c>
      <c r="H1147" s="402" t="n"/>
      <c r="J1147" s="392">
        <f>IFERROR(UPPER(TRIM(B1147))&amp;"|"&amp;UPPER(TRIM(C1147))&amp;"|"&amp;UPPER(TRIM(D1147)),"")</f>
        <v/>
      </c>
    </row>
    <row r="1148" ht="15.75" customHeight="1" s="217">
      <c r="A1148" s="397" t="n">
        <v>1146</v>
      </c>
      <c r="B1148" s="397" t="inlineStr">
        <is>
          <t>KH2627</t>
        </is>
      </c>
      <c r="C1148" s="398" t="inlineStr">
        <is>
          <t>Gara Phước Tài - Phan Rý, Bình Thuận/ 0388.782.741</t>
        </is>
      </c>
      <c r="D1148" s="397" t="inlineStr">
        <is>
          <t>0388.782.741</t>
        </is>
      </c>
      <c r="E1148" s="399" t="n"/>
      <c r="F1148" s="398" t="inlineStr">
        <is>
          <t>Bình Thuận</t>
        </is>
      </c>
      <c r="G1148" s="397" t="inlineStr">
        <is>
          <t>BTHUAN</t>
        </is>
      </c>
      <c r="H1148" s="399" t="n"/>
      <c r="J1148" s="392">
        <f>IFERROR(UPPER(TRIM(B1148))&amp;"|"&amp;UPPER(TRIM(C1148))&amp;"|"&amp;UPPER(TRIM(D1148)),"")</f>
        <v/>
      </c>
    </row>
    <row r="1149" ht="15.75" customHeight="1" s="217">
      <c r="A1149" s="400" t="n">
        <v>1147</v>
      </c>
      <c r="B1149" s="400" t="inlineStr">
        <is>
          <t>KH2626</t>
        </is>
      </c>
      <c r="C1149" s="401" t="inlineStr">
        <is>
          <t>Anh Thưởng - Sài Gòn/ 0909.218.291</t>
        </is>
      </c>
      <c r="D1149" s="400" t="inlineStr">
        <is>
          <t>0909.218.291</t>
        </is>
      </c>
      <c r="E1149" s="402" t="n"/>
      <c r="F1149" s="401" t="inlineStr">
        <is>
          <t>Nơ Trang Long, Sài Gòn</t>
        </is>
      </c>
      <c r="G1149" s="400" t="inlineStr">
        <is>
          <t>SG/HCM</t>
        </is>
      </c>
      <c r="H1149" s="402" t="n"/>
      <c r="J1149" s="392">
        <f>IFERROR(UPPER(TRIM(B1149))&amp;"|"&amp;UPPER(TRIM(C1149))&amp;"|"&amp;UPPER(TRIM(D1149)),"")</f>
        <v/>
      </c>
    </row>
    <row r="1150" ht="15.75" customHeight="1" s="217">
      <c r="A1150" s="397" t="n">
        <v>1148</v>
      </c>
      <c r="B1150" s="397" t="inlineStr">
        <is>
          <t>KH2625</t>
        </is>
      </c>
      <c r="C1150" s="398" t="inlineStr">
        <is>
          <t>Anh Long - Bình Dương/ 0917.976.669</t>
        </is>
      </c>
      <c r="D1150" s="397" t="inlineStr">
        <is>
          <t>0917.976.669</t>
        </is>
      </c>
      <c r="E1150" s="399" t="n"/>
      <c r="F1150" s="398" t="inlineStr">
        <is>
          <t>Bình Dương</t>
        </is>
      </c>
      <c r="G1150" s="397" t="inlineStr">
        <is>
          <t>BDUONG</t>
        </is>
      </c>
      <c r="H1150" s="399" t="n"/>
      <c r="J1150" s="392">
        <f>IFERROR(UPPER(TRIM(B1150))&amp;"|"&amp;UPPER(TRIM(C1150))&amp;"|"&amp;UPPER(TRIM(D1150)),"")</f>
        <v/>
      </c>
    </row>
    <row r="1151" ht="15.75" customHeight="1" s="217">
      <c r="A1151" s="400" t="n">
        <v>1149</v>
      </c>
      <c r="B1151" s="400" t="inlineStr">
        <is>
          <t>KH2624</t>
        </is>
      </c>
      <c r="C1151" s="401" t="inlineStr">
        <is>
          <t>Xưởng tiện anh Tâm - Bình Chánh/ 0938.632.387</t>
        </is>
      </c>
      <c r="D1151" s="400" t="inlineStr">
        <is>
          <t>0938.632.387</t>
        </is>
      </c>
      <c r="E1151" s="402" t="n"/>
      <c r="F1151" s="401" t="inlineStr">
        <is>
          <t>Tân Túc, Bình Chánh, TP HCM</t>
        </is>
      </c>
      <c r="G1151" s="400" t="inlineStr">
        <is>
          <t>SG/HCM</t>
        </is>
      </c>
      <c r="H1151" s="402" t="n"/>
      <c r="J1151" s="392">
        <f>IFERROR(UPPER(TRIM(B1151))&amp;"|"&amp;UPPER(TRIM(C1151))&amp;"|"&amp;UPPER(TRIM(D1151)),"")</f>
        <v/>
      </c>
    </row>
    <row r="1152" ht="15.75" customHeight="1" s="217">
      <c r="A1152" s="397" t="n">
        <v>1150</v>
      </c>
      <c r="B1152" s="397" t="inlineStr">
        <is>
          <t>KH2621</t>
        </is>
      </c>
      <c r="C1152" s="398" t="inlineStr">
        <is>
          <t>Xưởng Minh Nhật - Đồng Nai/ 0908.426.276</t>
        </is>
      </c>
      <c r="D1152" s="397" t="inlineStr">
        <is>
          <t>0908.426.276</t>
        </is>
      </c>
      <c r="E1152" s="399" t="n"/>
      <c r="F1152" s="398" t="inlineStr">
        <is>
          <t>Đồng Nai (gần Bình Thuận)</t>
        </is>
      </c>
      <c r="G1152" s="397" t="inlineStr">
        <is>
          <t>ÐNAI</t>
        </is>
      </c>
      <c r="H1152" s="399" t="n"/>
      <c r="J1152" s="392">
        <f>IFERROR(UPPER(TRIM(B1152))&amp;"|"&amp;UPPER(TRIM(C1152))&amp;"|"&amp;UPPER(TRIM(D1152)),"")</f>
        <v/>
      </c>
    </row>
    <row r="1153" ht="15.75" customHeight="1" s="217">
      <c r="A1153" s="400" t="n">
        <v>1151</v>
      </c>
      <c r="B1153" s="400" t="inlineStr">
        <is>
          <t>KH2622</t>
        </is>
      </c>
      <c r="C1153" s="401" t="inlineStr">
        <is>
          <t>Xưởng Hoàng Vũ - Phan Thiết/ 0977.789.481</t>
        </is>
      </c>
      <c r="D1153" s="400" t="inlineStr">
        <is>
          <t>0977.789.481</t>
        </is>
      </c>
      <c r="E1153" s="402" t="n"/>
      <c r="F1153" s="401" t="inlineStr">
        <is>
          <t>Phan Thiết, Bình Thuận</t>
        </is>
      </c>
      <c r="G1153" s="400" t="inlineStr">
        <is>
          <t>BTHUAN</t>
        </is>
      </c>
      <c r="H1153" s="402" t="n"/>
      <c r="J1153" s="392">
        <f>IFERROR(UPPER(TRIM(B1153))&amp;"|"&amp;UPPER(TRIM(C1153))&amp;"|"&amp;UPPER(TRIM(D1153)),"")</f>
        <v/>
      </c>
    </row>
    <row r="1154" ht="15.75" customHeight="1" s="217">
      <c r="A1154" s="397" t="n">
        <v>1152</v>
      </c>
      <c r="B1154" s="397" t="inlineStr">
        <is>
          <t>KH2623</t>
        </is>
      </c>
      <c r="C1154" s="398" t="inlineStr">
        <is>
          <t>Xưởng anh Minh - Đức Trọng/ 0918.815.022</t>
        </is>
      </c>
      <c r="D1154" s="397" t="inlineStr">
        <is>
          <t>0918.815.022</t>
        </is>
      </c>
      <c r="E1154" s="399" t="n"/>
      <c r="F1154" s="398" t="inlineStr">
        <is>
          <t>Đức Trọng - Lâm Đồng</t>
        </is>
      </c>
      <c r="G1154" s="397" t="inlineStr">
        <is>
          <t>LDONG</t>
        </is>
      </c>
      <c r="H1154" s="399" t="n"/>
      <c r="J1154" s="392">
        <f>IFERROR(UPPER(TRIM(B1154))&amp;"|"&amp;UPPER(TRIM(C1154))&amp;"|"&amp;UPPER(TRIM(D1154)),"")</f>
        <v/>
      </c>
    </row>
    <row r="1155" ht="15.75" customHeight="1" s="217">
      <c r="A1155" s="400" t="n">
        <v>1153</v>
      </c>
      <c r="B1155" s="400" t="inlineStr">
        <is>
          <t>KH2619</t>
        </is>
      </c>
      <c r="C1155" s="401" t="inlineStr">
        <is>
          <t>Xưởng Anh Minh - Nguyễn Văn Linh, SG / 0908.199.380</t>
        </is>
      </c>
      <c r="D1155" s="400" t="inlineStr">
        <is>
          <t>0908.199.380</t>
        </is>
      </c>
      <c r="E1155" s="402" t="n"/>
      <c r="F1155" s="401" t="inlineStr">
        <is>
          <t>Nguyễn Văn Linh - Sài Gòn</t>
        </is>
      </c>
      <c r="G1155" s="400" t="inlineStr">
        <is>
          <t>SG/HCM</t>
        </is>
      </c>
      <c r="H1155" s="402" t="n"/>
      <c r="J1155" s="392">
        <f>IFERROR(UPPER(TRIM(B1155))&amp;"|"&amp;UPPER(TRIM(C1155))&amp;"|"&amp;UPPER(TRIM(D1155)),"")</f>
        <v/>
      </c>
    </row>
    <row r="1156" ht="15.75" customHeight="1" s="217">
      <c r="A1156" s="397" t="n">
        <v>1154</v>
      </c>
      <c r="B1156" s="397" t="inlineStr">
        <is>
          <t>KH2620</t>
        </is>
      </c>
      <c r="C1156" s="398" t="inlineStr">
        <is>
          <t>Chị Chừng - Cầu Đúc Nhỏ, Thủ Đức/ 0365.257.009</t>
        </is>
      </c>
      <c r="D1156" s="397" t="inlineStr">
        <is>
          <t>0365.257.009</t>
        </is>
      </c>
      <c r="E1156" s="399" t="n"/>
      <c r="F1156" s="398" t="inlineStr">
        <is>
          <t>Sài Gòn</t>
        </is>
      </c>
      <c r="G1156" s="397" t="inlineStr">
        <is>
          <t>SG/HCM</t>
        </is>
      </c>
      <c r="H1156" s="399" t="n"/>
      <c r="J1156" s="392">
        <f>IFERROR(UPPER(TRIM(B1156))&amp;"|"&amp;UPPER(TRIM(C1156))&amp;"|"&amp;UPPER(TRIM(D1156)),"")</f>
        <v/>
      </c>
    </row>
    <row r="1157" ht="15.75" customHeight="1" s="217">
      <c r="A1157" s="400" t="n">
        <v>1155</v>
      </c>
      <c r="B1157" s="400" t="inlineStr">
        <is>
          <t>KH2617</t>
        </is>
      </c>
      <c r="C1157" s="401" t="inlineStr">
        <is>
          <t>CH Phụ Tùng ô tô Quang Năng - Bình Chánh/ Anh Năng: 0919.040.204</t>
        </is>
      </c>
      <c r="D1157" s="400" t="inlineStr">
        <is>
          <t>0919.040.204</t>
        </is>
      </c>
      <c r="E1157" s="402" t="n"/>
      <c r="F1157" s="401" t="inlineStr">
        <is>
          <t>97A/4 Quốc lộ 1A, An Phú Tây, Bình Chánh, TP Hồ Chí Minh</t>
        </is>
      </c>
      <c r="G1157" s="400" t="inlineStr">
        <is>
          <t>SG/HCM</t>
        </is>
      </c>
      <c r="H1157" s="402" t="n"/>
      <c r="J1157" s="392">
        <f>IFERROR(UPPER(TRIM(B1157))&amp;"|"&amp;UPPER(TRIM(C1157))&amp;"|"&amp;UPPER(TRIM(D1157)),"")</f>
        <v/>
      </c>
    </row>
    <row r="1158" ht="15.75" customHeight="1" s="217">
      <c r="A1158" s="397" t="n">
        <v>1156</v>
      </c>
      <c r="B1158" s="397" t="inlineStr">
        <is>
          <t>KH2618</t>
        </is>
      </c>
      <c r="C1158" s="398" t="inlineStr">
        <is>
          <t>Xưởng Anh Thuần - Di Linh, Lâm Đồng/Anh Thuần: 0902.663.479</t>
        </is>
      </c>
      <c r="D1158" s="397" t="inlineStr">
        <is>
          <t>0902.663.479</t>
        </is>
      </c>
      <c r="E1158" s="399" t="n"/>
      <c r="F1158" s="398" t="inlineStr">
        <is>
          <t>45A Đồng Lạc 2, Đinh Lạc, Di Linh, Lâm Đồng</t>
        </is>
      </c>
      <c r="G1158" s="397" t="inlineStr">
        <is>
          <t>LDONG</t>
        </is>
      </c>
      <c r="H1158" s="399" t="n"/>
      <c r="J1158" s="392">
        <f>IFERROR(UPPER(TRIM(B1158))&amp;"|"&amp;UPPER(TRIM(C1158))&amp;"|"&amp;UPPER(TRIM(D1158)),"")</f>
        <v/>
      </c>
    </row>
    <row r="1159" ht="15.75" customHeight="1" s="217">
      <c r="A1159" s="400" t="n">
        <v>1157</v>
      </c>
      <c r="B1159" s="400" t="inlineStr">
        <is>
          <t>KH2615</t>
        </is>
      </c>
      <c r="C1159" s="401" t="inlineStr">
        <is>
          <t>Anh Đức - Tây Ninh/ 0975.486.949</t>
        </is>
      </c>
      <c r="D1159" s="400" t="inlineStr">
        <is>
          <t>0975.486.949</t>
        </is>
      </c>
      <c r="E1159" s="402" t="n"/>
      <c r="F1159" s="401" t="inlineStr">
        <is>
          <t>607A Trần Phú, Tây Ninh</t>
        </is>
      </c>
      <c r="G1159" s="400" t="inlineStr">
        <is>
          <t>TNINH</t>
        </is>
      </c>
      <c r="H1159" s="402" t="n"/>
      <c r="J1159" s="392">
        <f>IFERROR(UPPER(TRIM(B1159))&amp;"|"&amp;UPPER(TRIM(C1159))&amp;"|"&amp;UPPER(TRIM(D1159)),"")</f>
        <v/>
      </c>
    </row>
    <row r="1160" ht="15.75" customHeight="1" s="217">
      <c r="A1160" s="397" t="n">
        <v>1158</v>
      </c>
      <c r="B1160" s="397" t="inlineStr">
        <is>
          <t>KH2616</t>
        </is>
      </c>
      <c r="C1160" s="398" t="inlineStr">
        <is>
          <t>Xưởng anh Cường - SG/ 0987.453.518</t>
        </is>
      </c>
      <c r="D1160" s="397" t="inlineStr">
        <is>
          <t>0987.453.518</t>
        </is>
      </c>
      <c r="E1160" s="399" t="n"/>
      <c r="F1160" s="398" t="inlineStr">
        <is>
          <t>KP4 Tân Túc, Bình Chánh, Sài gòn</t>
        </is>
      </c>
      <c r="G1160" s="397" t="inlineStr">
        <is>
          <t>SG/HCM</t>
        </is>
      </c>
      <c r="H1160" s="399" t="n"/>
      <c r="J1160" s="392">
        <f>IFERROR(UPPER(TRIM(B1160))&amp;"|"&amp;UPPER(TRIM(C1160))&amp;"|"&amp;UPPER(TRIM(D1160)),"")</f>
        <v/>
      </c>
    </row>
    <row r="1161" ht="15.75" customHeight="1" s="217">
      <c r="A1161" s="400" t="n">
        <v>1159</v>
      </c>
      <c r="B1161" s="400" t="inlineStr">
        <is>
          <t>KH2613</t>
        </is>
      </c>
      <c r="C1161" s="401" t="inlineStr">
        <is>
          <t>Anh Giang (chủ xe) - Đăk Nông - 0905.377.575</t>
        </is>
      </c>
      <c r="D1161" s="400" t="inlineStr">
        <is>
          <t>0905.377.575</t>
        </is>
      </c>
      <c r="E1161" s="402" t="n"/>
      <c r="F1161" s="401" t="inlineStr">
        <is>
          <t>Đăk Nông</t>
        </is>
      </c>
      <c r="G1161" s="400" t="inlineStr">
        <is>
          <t>DNONG</t>
        </is>
      </c>
      <c r="H1161" s="402" t="n"/>
      <c r="J1161" s="392">
        <f>IFERROR(UPPER(TRIM(B1161))&amp;"|"&amp;UPPER(TRIM(C1161))&amp;"|"&amp;UPPER(TRIM(D1161)),"")</f>
        <v/>
      </c>
    </row>
    <row r="1162" ht="15.75" customHeight="1" s="217">
      <c r="A1162" s="397" t="n">
        <v>1160</v>
      </c>
      <c r="B1162" s="397" t="inlineStr">
        <is>
          <t>KH2614</t>
        </is>
      </c>
      <c r="C1162" s="398" t="inlineStr">
        <is>
          <t>Công ty An Phát Thịnh (mua bán sửa chữa xe nâng) / A Thinh - 0903.848.696</t>
        </is>
      </c>
      <c r="D1162" s="397" t="inlineStr">
        <is>
          <t>0903.848.696</t>
        </is>
      </c>
      <c r="E1162" s="399" t="n"/>
      <c r="F1162" s="398" t="inlineStr">
        <is>
          <t>Sài Gòn</t>
        </is>
      </c>
      <c r="G1162" s="397" t="inlineStr">
        <is>
          <t>SG/HCM</t>
        </is>
      </c>
      <c r="H1162" s="399" t="n"/>
      <c r="J1162" s="392">
        <f>IFERROR(UPPER(TRIM(B1162))&amp;"|"&amp;UPPER(TRIM(C1162))&amp;"|"&amp;UPPER(TRIM(D1162)),"")</f>
        <v/>
      </c>
    </row>
    <row r="1163" ht="15.75" customHeight="1" s="217">
      <c r="A1163" s="400" t="n">
        <v>1161</v>
      </c>
      <c r="B1163" s="400" t="inlineStr">
        <is>
          <t>KH2610</t>
        </is>
      </c>
      <c r="C1163" s="401" t="inlineStr">
        <is>
          <t>Xưởng Anh Oanh  - Phan Rang / 0972.158.772</t>
        </is>
      </c>
      <c r="D1163" s="400" t="inlineStr">
        <is>
          <t>0972.158.772</t>
        </is>
      </c>
      <c r="E1163" s="402" t="n"/>
      <c r="F1163" s="401" t="inlineStr">
        <is>
          <t>Phan Rang - Ninh Thuận</t>
        </is>
      </c>
      <c r="G1163" s="400" t="inlineStr">
        <is>
          <t>NTHUAN</t>
        </is>
      </c>
      <c r="H1163" s="402" t="n"/>
      <c r="J1163" s="392">
        <f>IFERROR(UPPER(TRIM(B1163))&amp;"|"&amp;UPPER(TRIM(C1163))&amp;"|"&amp;UPPER(TRIM(D1163)),"")</f>
        <v/>
      </c>
    </row>
    <row r="1164" ht="15.75" customHeight="1" s="217">
      <c r="A1164" s="397" t="n">
        <v>1162</v>
      </c>
      <c r="B1164" s="397" t="inlineStr">
        <is>
          <t>KH2611</t>
        </is>
      </c>
      <c r="C1164" s="398" t="inlineStr">
        <is>
          <t>A Phong - Gia Lai/ 0936.494.991</t>
        </is>
      </c>
      <c r="D1164" s="397" t="inlineStr">
        <is>
          <t>0936.494.991</t>
        </is>
      </c>
      <c r="E1164" s="399" t="n"/>
      <c r="F1164" s="398" t="inlineStr">
        <is>
          <t>Gia Lai</t>
        </is>
      </c>
      <c r="G1164" s="397" t="inlineStr">
        <is>
          <t>GLAI</t>
        </is>
      </c>
      <c r="H1164" s="399" t="n"/>
      <c r="J1164" s="392">
        <f>IFERROR(UPPER(TRIM(B1164))&amp;"|"&amp;UPPER(TRIM(C1164))&amp;"|"&amp;UPPER(TRIM(D1164)),"")</f>
        <v/>
      </c>
    </row>
    <row r="1165" ht="15.75" customHeight="1" s="217">
      <c r="A1165" s="400" t="n">
        <v>1163</v>
      </c>
      <c r="B1165" s="400" t="inlineStr">
        <is>
          <t>KH2612</t>
        </is>
      </c>
      <c r="C1165" s="401" t="inlineStr">
        <is>
          <t>Khuyến Chi - Kiên Giang - 0912.218.707</t>
        </is>
      </c>
      <c r="D1165" s="400" t="inlineStr">
        <is>
          <t>0912.218.707</t>
        </is>
      </c>
      <c r="E1165" s="402" t="n"/>
      <c r="F1165" s="401" t="inlineStr">
        <is>
          <t>Kiên Lương, Kiên Giang</t>
        </is>
      </c>
      <c r="G1165" s="400" t="inlineStr">
        <is>
          <t>KG</t>
        </is>
      </c>
      <c r="H1165" s="402" t="n"/>
      <c r="J1165" s="392">
        <f>IFERROR(UPPER(TRIM(B1165))&amp;"|"&amp;UPPER(TRIM(C1165))&amp;"|"&amp;UPPER(TRIM(D1165)),"")</f>
        <v/>
      </c>
    </row>
    <row r="1166" ht="15.75" customHeight="1" s="217">
      <c r="A1166" s="397" t="n">
        <v>1164</v>
      </c>
      <c r="B1166" s="397" t="inlineStr">
        <is>
          <t>KH2609</t>
        </is>
      </c>
      <c r="C1166" s="398" t="inlineStr">
        <is>
          <t>Công ty Đê Kè Hải Dương - Anh Ka / 0913.256.236</t>
        </is>
      </c>
      <c r="D1166" s="397" t="inlineStr">
        <is>
          <t>0913.256.236</t>
        </is>
      </c>
      <c r="E1166" s="399" t="n"/>
      <c r="F1166" s="398" t="inlineStr">
        <is>
          <t>Hải Dương</t>
        </is>
      </c>
      <c r="G1166" s="397" t="inlineStr">
        <is>
          <t>HN</t>
        </is>
      </c>
      <c r="H1166" s="399" t="n"/>
      <c r="J1166" s="392">
        <f>IFERROR(UPPER(TRIM(B1166))&amp;"|"&amp;UPPER(TRIM(C1166))&amp;"|"&amp;UPPER(TRIM(D1166)),"")</f>
        <v/>
      </c>
    </row>
    <row r="1167" ht="15.75" customHeight="1" s="217">
      <c r="A1167" s="400" t="n">
        <v>1165</v>
      </c>
      <c r="B1167" s="400" t="inlineStr">
        <is>
          <t>KH2607</t>
        </is>
      </c>
      <c r="C1167" s="401" t="inlineStr">
        <is>
          <t>Anh Quý - Ngã 4 Gò Mây/ 0899.481.639</t>
        </is>
      </c>
      <c r="D1167" s="400" t="inlineStr">
        <is>
          <t>0899.481.639</t>
        </is>
      </c>
      <c r="E1167" s="402" t="n"/>
      <c r="F1167" s="401" t="inlineStr">
        <is>
          <t>Ngã Tư Gò Mây - Sài Gòn</t>
        </is>
      </c>
      <c r="G1167" s="400" t="inlineStr">
        <is>
          <t>SG/HCM</t>
        </is>
      </c>
      <c r="H1167" s="402" t="n"/>
      <c r="J1167" s="392">
        <f>IFERROR(UPPER(TRIM(B1167))&amp;"|"&amp;UPPER(TRIM(C1167))&amp;"|"&amp;UPPER(TRIM(D1167)),"")</f>
        <v/>
      </c>
    </row>
    <row r="1168" ht="15.75" customHeight="1" s="217">
      <c r="A1168" s="397" t="n">
        <v>1166</v>
      </c>
      <c r="B1168" s="397" t="inlineStr">
        <is>
          <t>KH2608</t>
        </is>
      </c>
      <c r="C1168" s="398" t="inlineStr">
        <is>
          <t>Xưởng Tự Lực - Phú Yên/ 0985.668.973</t>
        </is>
      </c>
      <c r="D1168" s="397" t="inlineStr">
        <is>
          <t>0985.668.973</t>
        </is>
      </c>
      <c r="E1168" s="399" t="n"/>
      <c r="F1168" s="398" t="inlineStr">
        <is>
          <t>Phú Yên</t>
        </is>
      </c>
      <c r="G1168" s="397" t="inlineStr">
        <is>
          <t>PYEN</t>
        </is>
      </c>
      <c r="H1168" s="399" t="n"/>
      <c r="J1168" s="392">
        <f>IFERROR(UPPER(TRIM(B1168))&amp;"|"&amp;UPPER(TRIM(C1168))&amp;"|"&amp;UPPER(TRIM(D1168)),"")</f>
        <v/>
      </c>
    </row>
    <row r="1169" ht="15.75" customHeight="1" s="217">
      <c r="A1169" s="400" t="n">
        <v>1167</v>
      </c>
      <c r="B1169" s="400" t="inlineStr">
        <is>
          <t>KH2606</t>
        </is>
      </c>
      <c r="C1169" s="401" t="inlineStr">
        <is>
          <t>Anh Bảo - Kiên Giang -  0985.035.613</t>
        </is>
      </c>
      <c r="D1169" s="400" t="inlineStr">
        <is>
          <t>0985.035.613</t>
        </is>
      </c>
      <c r="E1169" s="402" t="n"/>
      <c r="F1169" s="401" t="inlineStr">
        <is>
          <t>Hà Tiên - Kiên Giang</t>
        </is>
      </c>
      <c r="G1169" s="400" t="inlineStr">
        <is>
          <t>KG</t>
        </is>
      </c>
      <c r="H1169" s="400" t="inlineStr">
        <is>
          <t>Chành A Nam - 0986.997.903</t>
        </is>
      </c>
      <c r="J1169" s="392">
        <f>IFERROR(UPPER(TRIM(B1169))&amp;"|"&amp;UPPER(TRIM(C1169))&amp;"|"&amp;UPPER(TRIM(D1169)),"")</f>
        <v/>
      </c>
    </row>
    <row r="1170" ht="15.75" customHeight="1" s="217">
      <c r="A1170" s="397" t="n">
        <v>1168</v>
      </c>
      <c r="B1170" s="397" t="inlineStr">
        <is>
          <t>KH2604</t>
        </is>
      </c>
      <c r="C1170" s="398" t="inlineStr">
        <is>
          <t>Xưởng Anh Huy  - Phan Rang (nợ khó đòi) / 0815.911.905</t>
        </is>
      </c>
      <c r="D1170" s="397" t="inlineStr">
        <is>
          <t>0815.911.905</t>
        </is>
      </c>
      <c r="E1170" s="399" t="n"/>
      <c r="F1170" s="398" t="inlineStr">
        <is>
          <t>Phan Rang - Ninh Thuận</t>
        </is>
      </c>
      <c r="G1170" s="397" t="inlineStr">
        <is>
          <t>NTHUAN</t>
        </is>
      </c>
      <c r="H1170" s="399" t="n"/>
      <c r="J1170" s="392">
        <f>IFERROR(UPPER(TRIM(B1170))&amp;"|"&amp;UPPER(TRIM(C1170))&amp;"|"&amp;UPPER(TRIM(D1170)),"")</f>
        <v/>
      </c>
    </row>
    <row r="1171" ht="15.75" customHeight="1" s="217">
      <c r="A1171" s="400" t="n">
        <v>1169</v>
      </c>
      <c r="B1171" s="400" t="inlineStr">
        <is>
          <t>KH2605</t>
        </is>
      </c>
      <c r="C1171" s="401" t="inlineStr">
        <is>
          <t>Anh Tự - Bến Lức - Long An / 0949.878.717</t>
        </is>
      </c>
      <c r="D1171" s="400" t="inlineStr">
        <is>
          <t>0949.878.717</t>
        </is>
      </c>
      <c r="E1171" s="402" t="n"/>
      <c r="F1171" s="401" t="inlineStr">
        <is>
          <t>Bến Lức - Long An</t>
        </is>
      </c>
      <c r="G1171" s="400" t="inlineStr">
        <is>
          <t>LA</t>
        </is>
      </c>
      <c r="H1171" s="402" t="n"/>
      <c r="J1171" s="392">
        <f>IFERROR(UPPER(TRIM(B1171))&amp;"|"&amp;UPPER(TRIM(C1171))&amp;"|"&amp;UPPER(TRIM(D1171)),"")</f>
        <v/>
      </c>
    </row>
    <row r="1172" ht="15.75" customHeight="1" s="217">
      <c r="A1172" s="397" t="n">
        <v>1170</v>
      </c>
      <c r="B1172" s="397" t="inlineStr">
        <is>
          <t>KH2603</t>
        </is>
      </c>
      <c r="C1172" s="398" t="inlineStr">
        <is>
          <t>Anh Nhân - Vĩnh Long/ 0942.978.877</t>
        </is>
      </c>
      <c r="D1172" s="397" t="inlineStr">
        <is>
          <t>0942.978.877</t>
        </is>
      </c>
      <c r="E1172" s="399" t="n"/>
      <c r="F1172" s="398" t="inlineStr">
        <is>
          <t>Vĩnh Long</t>
        </is>
      </c>
      <c r="G1172" s="397" t="inlineStr">
        <is>
          <t>VĨNH LONG</t>
        </is>
      </c>
      <c r="H1172" s="399" t="n"/>
      <c r="J1172" s="392">
        <f>IFERROR(UPPER(TRIM(B1172))&amp;"|"&amp;UPPER(TRIM(C1172))&amp;"|"&amp;UPPER(TRIM(D1172)),"")</f>
        <v/>
      </c>
    </row>
    <row r="1173" ht="15.75" customHeight="1" s="217">
      <c r="A1173" s="400" t="n">
        <v>1171</v>
      </c>
      <c r="B1173" s="400" t="inlineStr">
        <is>
          <t>KH2602</t>
        </is>
      </c>
      <c r="C1173" s="401" t="inlineStr">
        <is>
          <t>Anh Phố - Phú Quốc / 0377.760.077</t>
        </is>
      </c>
      <c r="D1173" s="400" t="inlineStr">
        <is>
          <t>0377.760.077</t>
        </is>
      </c>
      <c r="E1173" s="402" t="n"/>
      <c r="F1173" s="401" t="inlineStr">
        <is>
          <t>Phú Quốc - Kiên Giang</t>
        </is>
      </c>
      <c r="G1173" s="400" t="inlineStr">
        <is>
          <t>KG</t>
        </is>
      </c>
      <c r="H1173" s="402" t="n"/>
      <c r="J1173" s="392">
        <f>IFERROR(UPPER(TRIM(B1173))&amp;"|"&amp;UPPER(TRIM(C1173))&amp;"|"&amp;UPPER(TRIM(D1173)),"")</f>
        <v/>
      </c>
    </row>
    <row r="1174" ht="15.75" customHeight="1" s="217">
      <c r="A1174" s="397" t="n">
        <v>1172</v>
      </c>
      <c r="B1174" s="397" t="inlineStr">
        <is>
          <t>KH2601</t>
        </is>
      </c>
      <c r="C1174" s="398" t="inlineStr">
        <is>
          <t>Anh Hiệp - Bình Dương - 0963.866.200</t>
        </is>
      </c>
      <c r="D1174" s="397" t="inlineStr">
        <is>
          <t>0963.866.200</t>
        </is>
      </c>
      <c r="E1174" s="399" t="n"/>
      <c r="F1174" s="398" t="inlineStr">
        <is>
          <t>Bình Chuẩn, Bình Dương</t>
        </is>
      </c>
      <c r="G1174" s="397" t="inlineStr">
        <is>
          <t>BDUONG</t>
        </is>
      </c>
      <c r="H1174" s="399" t="n"/>
      <c r="J1174" s="392">
        <f>IFERROR(UPPER(TRIM(B1174))&amp;"|"&amp;UPPER(TRIM(C1174))&amp;"|"&amp;UPPER(TRIM(D1174)),"")</f>
        <v/>
      </c>
    </row>
    <row r="1175" ht="15.75" customHeight="1" s="217">
      <c r="A1175" s="400" t="n">
        <v>1173</v>
      </c>
      <c r="B1175" s="400" t="inlineStr">
        <is>
          <t>KH2597</t>
        </is>
      </c>
      <c r="C1175" s="401" t="inlineStr">
        <is>
          <t>Anh Lượm (chủ máy) - Bến Cát / 0918.930.628</t>
        </is>
      </c>
      <c r="D1175" s="400" t="inlineStr">
        <is>
          <t>0918.930.628</t>
        </is>
      </c>
      <c r="E1175" s="402" t="n"/>
      <c r="F1175" s="401" t="inlineStr">
        <is>
          <t>Bến Cát - Bình Dương</t>
        </is>
      </c>
      <c r="G1175" s="400" t="inlineStr">
        <is>
          <t>BDUONG</t>
        </is>
      </c>
      <c r="H1175" s="402" t="n"/>
      <c r="J1175" s="392">
        <f>IFERROR(UPPER(TRIM(B1175))&amp;"|"&amp;UPPER(TRIM(C1175))&amp;"|"&amp;UPPER(TRIM(D1175)),"")</f>
        <v/>
      </c>
    </row>
    <row r="1176" ht="15.75" customHeight="1" s="217">
      <c r="A1176" s="397" t="n">
        <v>1174</v>
      </c>
      <c r="B1176" s="397" t="inlineStr">
        <is>
          <t>KH2598</t>
        </is>
      </c>
      <c r="C1176" s="398" t="inlineStr">
        <is>
          <t>Xưởng Anh Giàu - Nhơn Trạch / 0979.908.409</t>
        </is>
      </c>
      <c r="D1176" s="397" t="inlineStr">
        <is>
          <t>0979.908.409</t>
        </is>
      </c>
      <c r="E1176" s="399" t="n"/>
      <c r="F1176" s="398" t="inlineStr">
        <is>
          <t>Nhơn Trạch, Đồng Nai</t>
        </is>
      </c>
      <c r="G1176" s="397" t="inlineStr">
        <is>
          <t>ÐNAI</t>
        </is>
      </c>
      <c r="H1176" s="399" t="n"/>
      <c r="J1176" s="392">
        <f>IFERROR(UPPER(TRIM(B1176))&amp;"|"&amp;UPPER(TRIM(C1176))&amp;"|"&amp;UPPER(TRIM(D1176)),"")</f>
        <v/>
      </c>
    </row>
    <row r="1177" ht="15.75" customHeight="1" s="217">
      <c r="A1177" s="400" t="n">
        <v>1175</v>
      </c>
      <c r="B1177" s="400" t="inlineStr">
        <is>
          <t>KH2599</t>
        </is>
      </c>
      <c r="C1177" s="401" t="inlineStr">
        <is>
          <t>Anh Vinh - Đồng Tháp - 0975.215.068</t>
        </is>
      </c>
      <c r="D1177" s="400" t="inlineStr">
        <is>
          <t>0975.215.068</t>
        </is>
      </c>
      <c r="E1177" s="402" t="n"/>
      <c r="F1177" s="401" t="inlineStr">
        <is>
          <t>Đồng Tháp</t>
        </is>
      </c>
      <c r="G1177" s="400" t="inlineStr">
        <is>
          <t>DTHAP</t>
        </is>
      </c>
      <c r="H1177" s="402" t="n"/>
      <c r="J1177" s="392">
        <f>IFERROR(UPPER(TRIM(B1177))&amp;"|"&amp;UPPER(TRIM(C1177))&amp;"|"&amp;UPPER(TRIM(D1177)),"")</f>
        <v/>
      </c>
    </row>
    <row r="1178" ht="15.75" customHeight="1" s="217">
      <c r="A1178" s="397" t="n">
        <v>1176</v>
      </c>
      <c r="B1178" s="397" t="inlineStr">
        <is>
          <t>KH2600</t>
        </is>
      </c>
      <c r="C1178" s="398" t="inlineStr">
        <is>
          <t>Xưởng tiện Quế Thuận - Sài Gòn/ Anh Đạt: 0835.678.938 - 0906.817.318</t>
        </is>
      </c>
      <c r="D1178" s="397" t="inlineStr">
        <is>
          <t>0835.678.938 / 0906.817.318</t>
        </is>
      </c>
      <c r="E1178" s="399" t="n"/>
      <c r="F1178" s="398" t="inlineStr">
        <is>
          <t>363 Hà Huy Giáp, Tổ 17, Khu phố 3, P. An Phú Đông, Sài Gòn</t>
        </is>
      </c>
      <c r="G1178" s="397" t="inlineStr">
        <is>
          <t>SG/HCM</t>
        </is>
      </c>
      <c r="H1178" s="399" t="n"/>
      <c r="J1178" s="392">
        <f>IFERROR(UPPER(TRIM(B1178))&amp;"|"&amp;UPPER(TRIM(C1178))&amp;"|"&amp;UPPER(TRIM(D1178)),"")</f>
        <v/>
      </c>
    </row>
    <row r="1179" ht="15.75" customHeight="1" s="217">
      <c r="A1179" s="400" t="n">
        <v>1177</v>
      </c>
      <c r="B1179" s="400" t="inlineStr">
        <is>
          <t>KH2596</t>
        </is>
      </c>
      <c r="C1179" s="401" t="inlineStr">
        <is>
          <t>CH Cơ Giới Tây Nguyên, Kon Tum - Anh Tiếp: 0981.002.772</t>
        </is>
      </c>
      <c r="D1179" s="400" t="inlineStr">
        <is>
          <t>0981.002.772</t>
        </is>
      </c>
      <c r="E1179" s="402" t="n"/>
      <c r="F1179" s="401" t="inlineStr">
        <is>
          <t>Kontum</t>
        </is>
      </c>
      <c r="G1179" s="400" t="inlineStr">
        <is>
          <t>KTUM</t>
        </is>
      </c>
      <c r="H1179" s="402" t="n"/>
      <c r="J1179" s="392">
        <f>IFERROR(UPPER(TRIM(B1179))&amp;"|"&amp;UPPER(TRIM(C1179))&amp;"|"&amp;UPPER(TRIM(D1179)),"")</f>
        <v/>
      </c>
    </row>
    <row r="1180" ht="15.75" customHeight="1" s="217">
      <c r="A1180" s="397" t="n">
        <v>1178</v>
      </c>
      <c r="B1180" s="397" t="inlineStr">
        <is>
          <t>KH2595</t>
        </is>
      </c>
      <c r="C1180" s="398" t="inlineStr">
        <is>
          <t>Xưởng Quốc Tuấn - Di Linh/ 0989.027.489</t>
        </is>
      </c>
      <c r="D1180" s="397" t="inlineStr">
        <is>
          <t>0989.027.489</t>
        </is>
      </c>
      <c r="E1180" s="399" t="n"/>
      <c r="F1180" s="398" t="inlineStr">
        <is>
          <t>Di Linh, Lâm Đồng</t>
        </is>
      </c>
      <c r="G1180" s="397" t="inlineStr">
        <is>
          <t>LDONG</t>
        </is>
      </c>
      <c r="H1180" s="399" t="n"/>
      <c r="J1180" s="392">
        <f>IFERROR(UPPER(TRIM(B1180))&amp;"|"&amp;UPPER(TRIM(C1180))&amp;"|"&amp;UPPER(TRIM(D1180)),"")</f>
        <v/>
      </c>
    </row>
    <row r="1181" ht="15.75" customHeight="1" s="217">
      <c r="A1181" s="400" t="n">
        <v>1179</v>
      </c>
      <c r="B1181" s="400" t="inlineStr">
        <is>
          <t>KH2594</t>
        </is>
      </c>
      <c r="C1181" s="401" t="inlineStr">
        <is>
          <t>Xưởng/ cửa hàng Minh Nhựt - Đồng Nai - 0989.576.203</t>
        </is>
      </c>
      <c r="D1181" s="400" t="inlineStr">
        <is>
          <t>0989.576.203</t>
        </is>
      </c>
      <c r="E1181" s="402" t="n"/>
      <c r="F1181" s="401" t="inlineStr">
        <is>
          <t>Đồng Nai</t>
        </is>
      </c>
      <c r="G1181" s="400" t="inlineStr">
        <is>
          <t>ÐNAI</t>
        </is>
      </c>
      <c r="H1181" s="402" t="n"/>
      <c r="J1181" s="392">
        <f>IFERROR(UPPER(TRIM(B1181))&amp;"|"&amp;UPPER(TRIM(C1181))&amp;"|"&amp;UPPER(TRIM(D1181)),"")</f>
        <v/>
      </c>
    </row>
    <row r="1182" ht="15.75" customHeight="1" s="217">
      <c r="A1182" s="397" t="n">
        <v>1180</v>
      </c>
      <c r="B1182" s="397" t="inlineStr">
        <is>
          <t>KH2593</t>
        </is>
      </c>
      <c r="C1182" s="398" t="inlineStr">
        <is>
          <t>Gara Anh Hoàng - Gia Lai/ 0976.674.683</t>
        </is>
      </c>
      <c r="D1182" s="397" t="inlineStr">
        <is>
          <t>0976.674.683</t>
        </is>
      </c>
      <c r="E1182" s="399" t="n"/>
      <c r="F1182" s="398" t="inlineStr">
        <is>
          <t>Gia Lai</t>
        </is>
      </c>
      <c r="G1182" s="397" t="inlineStr">
        <is>
          <t>GLAI</t>
        </is>
      </c>
      <c r="H1182" s="399" t="n"/>
      <c r="J1182" s="392">
        <f>IFERROR(UPPER(TRIM(B1182))&amp;"|"&amp;UPPER(TRIM(C1182))&amp;"|"&amp;UPPER(TRIM(D1182)),"")</f>
        <v/>
      </c>
    </row>
    <row r="1183" ht="15.75" customHeight="1" s="217">
      <c r="A1183" s="400" t="n">
        <v>1181</v>
      </c>
      <c r="B1183" s="400" t="inlineStr">
        <is>
          <t>KH2589</t>
        </is>
      </c>
      <c r="C1183" s="401" t="inlineStr">
        <is>
          <t>Xưởng anh Ngọc - Bảo Lộc - 0977.253.167</t>
        </is>
      </c>
      <c r="D1183" s="400" t="inlineStr">
        <is>
          <t>0977.253.167</t>
        </is>
      </c>
      <c r="E1183" s="402" t="n"/>
      <c r="F1183" s="401" t="inlineStr">
        <is>
          <t>Bảo Lộc, Lâm Đồng</t>
        </is>
      </c>
      <c r="G1183" s="400" t="inlineStr">
        <is>
          <t>LDONG</t>
        </is>
      </c>
      <c r="H1183" s="402" t="n"/>
      <c r="J1183" s="392">
        <f>IFERROR(UPPER(TRIM(B1183))&amp;"|"&amp;UPPER(TRIM(C1183))&amp;"|"&amp;UPPER(TRIM(D1183)),"")</f>
        <v/>
      </c>
    </row>
    <row r="1184" ht="15.75" customHeight="1" s="217">
      <c r="A1184" s="397" t="n">
        <v>1182</v>
      </c>
      <c r="B1184" s="397" t="inlineStr">
        <is>
          <t>KH2590</t>
        </is>
      </c>
      <c r="C1184" s="398" t="inlineStr">
        <is>
          <t>Xưởng A Châu - Vĩnh Phú 14 - 0907.570.003</t>
        </is>
      </c>
      <c r="D1184" s="397" t="inlineStr">
        <is>
          <t>0907.570.003</t>
        </is>
      </c>
      <c r="E1184" s="399" t="n"/>
      <c r="F1184" s="398" t="inlineStr">
        <is>
          <t>Vĩnh Phú 14, Thuận An, Bình Dương</t>
        </is>
      </c>
      <c r="G1184" s="397" t="inlineStr">
        <is>
          <t>SG/HCM</t>
        </is>
      </c>
      <c r="H1184" s="399" t="n"/>
      <c r="J1184" s="392">
        <f>IFERROR(UPPER(TRIM(B1184))&amp;"|"&amp;UPPER(TRIM(C1184))&amp;"|"&amp;UPPER(TRIM(D1184)),"")</f>
        <v/>
      </c>
    </row>
    <row r="1185" ht="15.75" customHeight="1" s="217">
      <c r="A1185" s="400" t="n">
        <v>1183</v>
      </c>
      <c r="B1185" s="400" t="inlineStr">
        <is>
          <t>KH2591</t>
        </is>
      </c>
      <c r="C1185" s="401" t="inlineStr">
        <is>
          <t>Xưởng A Quá - Bà Rịa Vũng Tàu - 0903.637.987</t>
        </is>
      </c>
      <c r="D1185" s="400" t="inlineStr">
        <is>
          <t>0903.637.987</t>
        </is>
      </c>
      <c r="E1185" s="402" t="n"/>
      <c r="F1185" s="401" t="inlineStr">
        <is>
          <t>Ấp Bắc 3, Xã Hòa Long, TP Bà Rịa</t>
        </is>
      </c>
      <c r="G1185" s="400" t="inlineStr">
        <is>
          <t>BRVT</t>
        </is>
      </c>
      <c r="H1185" s="402" t="n"/>
      <c r="J1185" s="392">
        <f>IFERROR(UPPER(TRIM(B1185))&amp;"|"&amp;UPPER(TRIM(C1185))&amp;"|"&amp;UPPER(TRIM(D1185)),"")</f>
        <v/>
      </c>
    </row>
    <row r="1186" ht="15.75" customHeight="1" s="217">
      <c r="A1186" s="397" t="n">
        <v>1184</v>
      </c>
      <c r="B1186" s="397" t="inlineStr">
        <is>
          <t>KH2592</t>
        </is>
      </c>
      <c r="C1186" s="398" t="inlineStr">
        <is>
          <t>Xưởng Anh Huy  - Phan Rang / 0784.325.000</t>
        </is>
      </c>
      <c r="D1186" s="397" t="inlineStr">
        <is>
          <t>0784.325.000</t>
        </is>
      </c>
      <c r="E1186" s="399" t="n"/>
      <c r="F1186" s="398" t="inlineStr">
        <is>
          <t>Phan Rang - Ninh Thuận</t>
        </is>
      </c>
      <c r="G1186" s="397" t="inlineStr">
        <is>
          <t>NTHUAN</t>
        </is>
      </c>
      <c r="H1186" s="399" t="n"/>
      <c r="J1186" s="392">
        <f>IFERROR(UPPER(TRIM(B1186))&amp;"|"&amp;UPPER(TRIM(C1186))&amp;"|"&amp;UPPER(TRIM(D1186)),"")</f>
        <v/>
      </c>
    </row>
    <row r="1187" ht="15.75" customHeight="1" s="217">
      <c r="A1187" s="400" t="n">
        <v>1185</v>
      </c>
      <c r="B1187" s="400" t="inlineStr">
        <is>
          <t>KH2587</t>
        </is>
      </c>
      <c r="C1187" s="401" t="inlineStr">
        <is>
          <t>Anh Nhị - Di Linh/ 0392.526.452</t>
        </is>
      </c>
      <c r="D1187" s="400" t="inlineStr">
        <is>
          <t>0392.526.452</t>
        </is>
      </c>
      <c r="E1187" s="402" t="n"/>
      <c r="F1187" s="401" t="inlineStr">
        <is>
          <t>Di Linh, Lâm Đồng</t>
        </is>
      </c>
      <c r="G1187" s="400" t="inlineStr">
        <is>
          <t>LDONG</t>
        </is>
      </c>
      <c r="H1187" s="402" t="n"/>
      <c r="J1187" s="392">
        <f>IFERROR(UPPER(TRIM(B1187))&amp;"|"&amp;UPPER(TRIM(C1187))&amp;"|"&amp;UPPER(TRIM(D1187)),"")</f>
        <v/>
      </c>
    </row>
    <row r="1188" ht="15.75" customHeight="1" s="217">
      <c r="A1188" s="397" t="n">
        <v>1186</v>
      </c>
      <c r="B1188" s="397" t="inlineStr">
        <is>
          <t>KH2588</t>
        </is>
      </c>
      <c r="C1188" s="398" t="inlineStr">
        <is>
          <t>Xưởng Năm Lợi - Đồng Tháp - 0988.090.902</t>
        </is>
      </c>
      <c r="D1188" s="397" t="inlineStr">
        <is>
          <t>0988.090.902</t>
        </is>
      </c>
      <c r="E1188" s="399" t="n"/>
      <c r="F1188" s="398" t="inlineStr">
        <is>
          <t>Đồng Tháp</t>
        </is>
      </c>
      <c r="G1188" s="397" t="inlineStr">
        <is>
          <t>DTHAP</t>
        </is>
      </c>
      <c r="H1188" s="399" t="n"/>
      <c r="J1188" s="392">
        <f>IFERROR(UPPER(TRIM(B1188))&amp;"|"&amp;UPPER(TRIM(C1188))&amp;"|"&amp;UPPER(TRIM(D1188)),"")</f>
        <v/>
      </c>
    </row>
    <row r="1189" ht="15.75" customHeight="1" s="217">
      <c r="A1189" s="400" t="n">
        <v>1187</v>
      </c>
      <c r="B1189" s="400" t="inlineStr">
        <is>
          <t>KH2585</t>
        </is>
      </c>
      <c r="C1189" s="401" t="inlineStr">
        <is>
          <t>Gara A Thuật - Sài Gòn/ 0965.918.887</t>
        </is>
      </c>
      <c r="D1189" s="400" t="inlineStr">
        <is>
          <t>0965.918.887</t>
        </is>
      </c>
      <c r="E1189" s="402" t="n"/>
      <c r="F1189" s="401" t="inlineStr">
        <is>
          <t>Sài Gòn</t>
        </is>
      </c>
      <c r="G1189" s="400" t="inlineStr">
        <is>
          <t>SG/HCM</t>
        </is>
      </c>
      <c r="H1189" s="402" t="n"/>
      <c r="J1189" s="392">
        <f>IFERROR(UPPER(TRIM(B1189))&amp;"|"&amp;UPPER(TRIM(C1189))&amp;"|"&amp;UPPER(TRIM(D1189)),"")</f>
        <v/>
      </c>
    </row>
    <row r="1190" ht="15.75" customHeight="1" s="217">
      <c r="A1190" s="397" t="n">
        <v>1188</v>
      </c>
      <c r="B1190" s="397" t="inlineStr">
        <is>
          <t>KH2586</t>
        </is>
      </c>
      <c r="C1190" s="398" t="inlineStr">
        <is>
          <t>Xưởng A Phong - Gia Lai/ 0976.265.639</t>
        </is>
      </c>
      <c r="D1190" s="397" t="inlineStr">
        <is>
          <t>0976.265.639</t>
        </is>
      </c>
      <c r="E1190" s="399" t="n"/>
      <c r="F1190" s="398" t="inlineStr">
        <is>
          <t>Gia Lai</t>
        </is>
      </c>
      <c r="G1190" s="397" t="inlineStr">
        <is>
          <t>GLAI</t>
        </is>
      </c>
      <c r="H1190" s="399" t="n"/>
      <c r="J1190" s="392">
        <f>IFERROR(UPPER(TRIM(B1190))&amp;"|"&amp;UPPER(TRIM(C1190))&amp;"|"&amp;UPPER(TRIM(D1190)),"")</f>
        <v/>
      </c>
    </row>
    <row r="1191" ht="15.75" customHeight="1" s="217">
      <c r="A1191" s="400" t="n">
        <v>1189</v>
      </c>
      <c r="B1191" s="400" t="inlineStr">
        <is>
          <t>KH2583</t>
        </is>
      </c>
      <c r="C1191" s="401" t="inlineStr">
        <is>
          <t>Gara A Phương - Đăk Lăk - 0943.520.905</t>
        </is>
      </c>
      <c r="D1191" s="400" t="inlineStr">
        <is>
          <t>0943.520.905</t>
        </is>
      </c>
      <c r="E1191" s="402" t="n"/>
      <c r="F1191" s="401" t="inlineStr">
        <is>
          <t>126 Hà Huy Tập, Đăk Lăk</t>
        </is>
      </c>
      <c r="G1191" s="400" t="inlineStr">
        <is>
          <t>ÐL</t>
        </is>
      </c>
      <c r="H1191" s="402" t="n"/>
      <c r="J1191" s="392">
        <f>IFERROR(UPPER(TRIM(B1191))&amp;"|"&amp;UPPER(TRIM(C1191))&amp;"|"&amp;UPPER(TRIM(D1191)),"")</f>
        <v/>
      </c>
    </row>
    <row r="1192" ht="15.75" customHeight="1" s="217">
      <c r="A1192" s="397" t="n">
        <v>1190</v>
      </c>
      <c r="B1192" s="397" t="inlineStr">
        <is>
          <t>KH2584</t>
        </is>
      </c>
      <c r="C1192" s="398" t="inlineStr">
        <is>
          <t>Xưởng Anh Chiến - Gia Lai - 0983.636.137</t>
        </is>
      </c>
      <c r="D1192" s="397" t="inlineStr">
        <is>
          <t>0983.636.137</t>
        </is>
      </c>
      <c r="E1192" s="399" t="n"/>
      <c r="F1192" s="398" t="inlineStr">
        <is>
          <t>Gia Lai</t>
        </is>
      </c>
      <c r="G1192" s="397" t="inlineStr">
        <is>
          <t>GLAI</t>
        </is>
      </c>
      <c r="H1192" s="399" t="n"/>
      <c r="J1192" s="392">
        <f>IFERROR(UPPER(TRIM(B1192))&amp;"|"&amp;UPPER(TRIM(C1192))&amp;"|"&amp;UPPER(TRIM(D1192)),"")</f>
        <v/>
      </c>
    </row>
    <row r="1193" ht="15.75" customHeight="1" s="217">
      <c r="A1193" s="400" t="n">
        <v>1191</v>
      </c>
      <c r="B1193" s="400" t="inlineStr">
        <is>
          <t>KH2582</t>
        </is>
      </c>
      <c r="C1193" s="401" t="inlineStr">
        <is>
          <t>Xưởng tiện Anh Minh - Gia Lai / 0978.346.036</t>
        </is>
      </c>
      <c r="D1193" s="400" t="inlineStr">
        <is>
          <t>0978.346.036</t>
        </is>
      </c>
      <c r="E1193" s="402" t="n"/>
      <c r="F1193" s="401" t="inlineStr">
        <is>
          <t>Gia Lai</t>
        </is>
      </c>
      <c r="G1193" s="400" t="inlineStr">
        <is>
          <t>GLAI</t>
        </is>
      </c>
      <c r="H1193" s="402" t="n"/>
      <c r="J1193" s="392">
        <f>IFERROR(UPPER(TRIM(B1193))&amp;"|"&amp;UPPER(TRIM(C1193))&amp;"|"&amp;UPPER(TRIM(D1193)),"")</f>
        <v/>
      </c>
    </row>
    <row r="1194" ht="15.75" customHeight="1" s="217">
      <c r="A1194" s="397" t="n">
        <v>1192</v>
      </c>
      <c r="B1194" s="397" t="inlineStr">
        <is>
          <t>KH2580</t>
        </is>
      </c>
      <c r="C1194" s="398" t="inlineStr">
        <is>
          <t>TURBO - KHÁNH AN - QUẬN 12/ Anh An: 0909.074.933</t>
        </is>
      </c>
      <c r="D1194" s="397" t="inlineStr">
        <is>
          <t>0909.074.933</t>
        </is>
      </c>
      <c r="E1194" s="399" t="n"/>
      <c r="F1194" s="398" t="inlineStr">
        <is>
          <t>Số 88/ 1B, quốc lộ 1A, P. Tân Thới Nhất, Quận 12, TP HCM</t>
        </is>
      </c>
      <c r="G1194" s="397" t="inlineStr">
        <is>
          <t>SG/HCM</t>
        </is>
      </c>
      <c r="H1194" s="399" t="n"/>
      <c r="J1194" s="392">
        <f>IFERROR(UPPER(TRIM(B1194))&amp;"|"&amp;UPPER(TRIM(C1194))&amp;"|"&amp;UPPER(TRIM(D1194)),"")</f>
        <v/>
      </c>
    </row>
    <row r="1195" ht="15.75" customHeight="1" s="217">
      <c r="A1195" s="400" t="n">
        <v>1193</v>
      </c>
      <c r="B1195" s="400" t="inlineStr">
        <is>
          <t>KH2581</t>
        </is>
      </c>
      <c r="C1195" s="401" t="inlineStr">
        <is>
          <t>Cửa hàng Anh Sơn (turbo) - Quận 12 - 0909.589.517</t>
        </is>
      </c>
      <c r="D1195" s="400" t="inlineStr">
        <is>
          <t>0909.589.517</t>
        </is>
      </c>
      <c r="E1195" s="402" t="n"/>
      <c r="F1195" s="401" t="inlineStr">
        <is>
          <t>2611 Quốc lộ 1A, P. Tân Hưng Thuận, Quận 12, Sài Gòn</t>
        </is>
      </c>
      <c r="G1195" s="400" t="inlineStr">
        <is>
          <t>SG/HCM</t>
        </is>
      </c>
      <c r="H1195" s="402" t="n"/>
      <c r="J1195" s="392">
        <f>IFERROR(UPPER(TRIM(B1195))&amp;"|"&amp;UPPER(TRIM(C1195))&amp;"|"&amp;UPPER(TRIM(D1195)),"")</f>
        <v/>
      </c>
    </row>
    <row r="1196" ht="15.75" customHeight="1" s="217">
      <c r="A1196" s="397" t="n">
        <v>1194</v>
      </c>
      <c r="B1196" s="397" t="inlineStr">
        <is>
          <t>KH2579</t>
        </is>
      </c>
      <c r="C1196" s="398" t="inlineStr">
        <is>
          <t>Cửa hàng Phước Hải - Bình Thuận - 0906.906.473</t>
        </is>
      </c>
      <c r="D1196" s="397" t="inlineStr">
        <is>
          <t>0906.906.473</t>
        </is>
      </c>
      <c r="E1196" s="399" t="n"/>
      <c r="F1196" s="398" t="inlineStr">
        <is>
          <t>Quốc lộ 1, Liên Hương, Tuy Phong, Bình Thuận</t>
        </is>
      </c>
      <c r="G1196" s="397" t="inlineStr">
        <is>
          <t>BTHUAN</t>
        </is>
      </c>
      <c r="H1196" s="399" t="n"/>
      <c r="J1196" s="392">
        <f>IFERROR(UPPER(TRIM(B1196))&amp;"|"&amp;UPPER(TRIM(C1196))&amp;"|"&amp;UPPER(TRIM(D1196)),"")</f>
        <v/>
      </c>
    </row>
    <row r="1197" ht="15.75" customHeight="1" s="217">
      <c r="A1197" s="400" t="n">
        <v>1195</v>
      </c>
      <c r="B1197" s="400" t="inlineStr">
        <is>
          <t>KH2576</t>
        </is>
      </c>
      <c r="C1197" s="401" t="inlineStr">
        <is>
          <t>Cửa hàng Anh Toàn - Quận 2 /A Toàn- 0909.207.677</t>
        </is>
      </c>
      <c r="D1197" s="400" t="inlineStr">
        <is>
          <t>0909.207.677</t>
        </is>
      </c>
      <c r="E1197" s="402" t="n"/>
      <c r="F1197" s="401" t="inlineStr">
        <is>
          <t>71/4 Đường 12, phường An Khánh, TP Thủ Đức, TP HCM</t>
        </is>
      </c>
      <c r="G1197" s="400" t="inlineStr">
        <is>
          <t>SG/HCM</t>
        </is>
      </c>
      <c r="H1197" s="402" t="n"/>
      <c r="J1197" s="392">
        <f>IFERROR(UPPER(TRIM(B1197))&amp;"|"&amp;UPPER(TRIM(C1197))&amp;"|"&amp;UPPER(TRIM(D1197)),"")</f>
        <v/>
      </c>
    </row>
    <row r="1198" ht="15.75" customHeight="1" s="217">
      <c r="A1198" s="397" t="n">
        <v>1196</v>
      </c>
      <c r="B1198" s="397" t="inlineStr">
        <is>
          <t>KH2577</t>
        </is>
      </c>
      <c r="C1198" s="398" t="inlineStr">
        <is>
          <t>Xưởng tiện Hữu Ký - Đồng Nai - Chị Dung/ 0902.721.019</t>
        </is>
      </c>
      <c r="D1198" s="397" t="inlineStr">
        <is>
          <t>0902.721.019</t>
        </is>
      </c>
      <c r="E1198" s="399" t="n"/>
      <c r="F1198" s="398" t="inlineStr">
        <is>
          <t>Cầu vượt Long Khánh, Biên Hòa, Đồng Nai</t>
        </is>
      </c>
      <c r="G1198" s="397" t="inlineStr">
        <is>
          <t>ÐNAI</t>
        </is>
      </c>
      <c r="H1198" s="399" t="n"/>
      <c r="J1198" s="392">
        <f>IFERROR(UPPER(TRIM(B1198))&amp;"|"&amp;UPPER(TRIM(C1198))&amp;"|"&amp;UPPER(TRIM(D1198)),"")</f>
        <v/>
      </c>
    </row>
    <row r="1199" ht="15.75" customHeight="1" s="217">
      <c r="A1199" s="400" t="n">
        <v>1197</v>
      </c>
      <c r="B1199" s="400" t="inlineStr">
        <is>
          <t>KH2578</t>
        </is>
      </c>
      <c r="C1199" s="401" t="inlineStr">
        <is>
          <t>Cơ khí Hai Huỳnh - Bình Chánh/ Anh Quỳnh: 0908.606.760</t>
        </is>
      </c>
      <c r="D1199" s="400" t="inlineStr">
        <is>
          <t>0908.606.760</t>
        </is>
      </c>
      <c r="E1199" s="402" t="n"/>
      <c r="F1199" s="401" t="inlineStr">
        <is>
          <t>D5/2F Khu phố 4, Tân Túc, Bình Chánh, TP Hồ Chí Minh</t>
        </is>
      </c>
      <c r="G1199" s="400" t="inlineStr">
        <is>
          <t>SG/HCM</t>
        </is>
      </c>
      <c r="H1199" s="402" t="n"/>
      <c r="J1199" s="392">
        <f>IFERROR(UPPER(TRIM(B1199))&amp;"|"&amp;UPPER(TRIM(C1199))&amp;"|"&amp;UPPER(TRIM(D1199)),"")</f>
        <v/>
      </c>
    </row>
    <row r="1200" ht="15.75" customHeight="1" s="217">
      <c r="A1200" s="397" t="n">
        <v>1198</v>
      </c>
      <c r="B1200" s="397" t="inlineStr">
        <is>
          <t>KH2575</t>
        </is>
      </c>
      <c r="C1200" s="398" t="inlineStr">
        <is>
          <t>Xưởng tiện Đại Thành - Đồng Nai/ 0913.642.592</t>
        </is>
      </c>
      <c r="D1200" s="397" t="inlineStr">
        <is>
          <t>0913.642.592</t>
        </is>
      </c>
      <c r="E1200" s="399" t="n"/>
      <c r="F1200" s="398" t="inlineStr">
        <is>
          <t>Tam Hiệp, Biên Hòa, Đồng Nai</t>
        </is>
      </c>
      <c r="G1200" s="397" t="inlineStr">
        <is>
          <t>ÐNAI</t>
        </is>
      </c>
      <c r="H1200" s="399" t="n"/>
      <c r="J1200" s="392">
        <f>IFERROR(UPPER(TRIM(B1200))&amp;"|"&amp;UPPER(TRIM(C1200))&amp;"|"&amp;UPPER(TRIM(D1200)),"")</f>
        <v/>
      </c>
    </row>
    <row r="1201" ht="15.75" customHeight="1" s="217">
      <c r="A1201" s="400" t="n">
        <v>1199</v>
      </c>
      <c r="B1201" s="400" t="inlineStr">
        <is>
          <t>KH2572</t>
        </is>
      </c>
      <c r="C1201" s="401" t="inlineStr">
        <is>
          <t>Anh Thuyết - Bình Dương (chủ xe) / 0967.148.137</t>
        </is>
      </c>
      <c r="D1201" s="400" t="inlineStr">
        <is>
          <t>0967.148.137</t>
        </is>
      </c>
      <c r="E1201" s="402" t="n"/>
      <c r="F1201" s="401" t="inlineStr">
        <is>
          <t>Bình Dương</t>
        </is>
      </c>
      <c r="G1201" s="400" t="inlineStr">
        <is>
          <t>BDUONG</t>
        </is>
      </c>
      <c r="H1201" s="402" t="n"/>
      <c r="J1201" s="392">
        <f>IFERROR(UPPER(TRIM(B1201))&amp;"|"&amp;UPPER(TRIM(C1201))&amp;"|"&amp;UPPER(TRIM(D1201)),"")</f>
        <v/>
      </c>
    </row>
    <row r="1202" ht="15.75" customHeight="1" s="217">
      <c r="A1202" s="397" t="n">
        <v>1200</v>
      </c>
      <c r="B1202" s="397" t="inlineStr">
        <is>
          <t>KH2573</t>
        </is>
      </c>
      <c r="C1202" s="398" t="inlineStr">
        <is>
          <t>Anh Ngọc - Sài Gòn (chủ xe) / 0987.922.477</t>
        </is>
      </c>
      <c r="D1202" s="397" t="inlineStr">
        <is>
          <t>0987.922.477</t>
        </is>
      </c>
      <c r="E1202" s="399" t="n"/>
      <c r="F1202" s="398" t="inlineStr">
        <is>
          <t>141 Lý Chiêu Thắng, Quận 3</t>
        </is>
      </c>
      <c r="G1202" s="397" t="inlineStr">
        <is>
          <t>SG/HCM</t>
        </is>
      </c>
      <c r="H1202" s="399" t="n"/>
      <c r="J1202" s="392">
        <f>IFERROR(UPPER(TRIM(B1202))&amp;"|"&amp;UPPER(TRIM(C1202))&amp;"|"&amp;UPPER(TRIM(D1202)),"")</f>
        <v/>
      </c>
    </row>
    <row r="1203" ht="15.75" customHeight="1" s="217">
      <c r="A1203" s="400" t="n">
        <v>1201</v>
      </c>
      <c r="B1203" s="400" t="inlineStr">
        <is>
          <t>KH2574</t>
        </is>
      </c>
      <c r="C1203" s="401" t="inlineStr">
        <is>
          <t>Cửa hàng Trung Việt - Bà Rịa Vũng Tàu - 0919.277.017</t>
        </is>
      </c>
      <c r="D1203" s="400" t="inlineStr">
        <is>
          <t>0919.277.017</t>
        </is>
      </c>
      <c r="E1203" s="402" t="n"/>
      <c r="F1203" s="401" t="inlineStr">
        <is>
          <t>QL51, Ấp Thị Vải, Xã Mỹ Xuân, Bà Rịa Vũng Tàu (đối diện chợ Mỹ Xuân)</t>
        </is>
      </c>
      <c r="G1203" s="400" t="inlineStr">
        <is>
          <t>BRVT</t>
        </is>
      </c>
      <c r="H1203" s="402" t="n"/>
      <c r="J1203" s="392">
        <f>IFERROR(UPPER(TRIM(B1203))&amp;"|"&amp;UPPER(TRIM(C1203))&amp;"|"&amp;UPPER(TRIM(D1203)),"")</f>
        <v/>
      </c>
    </row>
    <row r="1204" ht="15.75" customHeight="1" s="217">
      <c r="A1204" s="397" t="n">
        <v>1202</v>
      </c>
      <c r="B1204" s="397" t="inlineStr">
        <is>
          <t>KH2570</t>
        </is>
      </c>
      <c r="C1204" s="398" t="inlineStr">
        <is>
          <t>Xưởng tiện Anh Thuận - Quy Nhơn/ 0905.623.420 - 0981.681.145</t>
        </is>
      </c>
      <c r="D1204" s="397" t="inlineStr">
        <is>
          <t>0905.623.420 / 0981.681.145</t>
        </is>
      </c>
      <c r="E1204" s="399" t="n"/>
      <c r="F1204" s="398" t="inlineStr">
        <is>
          <t>Quy Nhơn, Bình Định</t>
        </is>
      </c>
      <c r="G1204" s="397" t="inlineStr">
        <is>
          <t>BDINH</t>
        </is>
      </c>
      <c r="H1204" s="399" t="n"/>
      <c r="J1204" s="392">
        <f>IFERROR(UPPER(TRIM(B1204))&amp;"|"&amp;UPPER(TRIM(C1204))&amp;"|"&amp;UPPER(TRIM(D1204)),"")</f>
        <v/>
      </c>
    </row>
    <row r="1205" ht="15.75" customHeight="1" s="217">
      <c r="A1205" s="400" t="n">
        <v>1203</v>
      </c>
      <c r="B1205" s="400" t="inlineStr">
        <is>
          <t>KH2571</t>
        </is>
      </c>
      <c r="C1205" s="401" t="inlineStr">
        <is>
          <t>Xưởng tiện Anh Luân - QL13 - 0904.368.334/0973.215.255</t>
        </is>
      </c>
      <c r="D1205" s="400" t="inlineStr">
        <is>
          <t>0904.368.334 / 0973.215.255</t>
        </is>
      </c>
      <c r="E1205" s="402" t="n"/>
      <c r="F1205" s="401" t="inlineStr">
        <is>
          <t>Đối diện cây xăng 47, QL13</t>
        </is>
      </c>
      <c r="G1205" s="400" t="inlineStr">
        <is>
          <t>SG/HCM</t>
        </is>
      </c>
      <c r="H1205" s="402" t="n"/>
      <c r="J1205" s="392">
        <f>IFERROR(UPPER(TRIM(B1205))&amp;"|"&amp;UPPER(TRIM(C1205))&amp;"|"&amp;UPPER(TRIM(D1205)),"")</f>
        <v/>
      </c>
    </row>
    <row r="1206" ht="15.75" customHeight="1" s="217">
      <c r="A1206" s="397" t="n">
        <v>1204</v>
      </c>
      <c r="B1206" s="397" t="inlineStr">
        <is>
          <t>KH2569</t>
        </is>
      </c>
      <c r="C1206" s="398" t="inlineStr">
        <is>
          <t>Xưởng Tấn Uy - Phan Rang/ 0908.643.468</t>
        </is>
      </c>
      <c r="D1206" s="397" t="inlineStr">
        <is>
          <t>0908.643.468</t>
        </is>
      </c>
      <c r="E1206" s="399" t="n"/>
      <c r="F1206" s="398" t="inlineStr">
        <is>
          <t>Quốc lộ 1, Phan Rang, Ninh Thuận</t>
        </is>
      </c>
      <c r="G1206" s="397" t="inlineStr">
        <is>
          <t>NTHUAN</t>
        </is>
      </c>
      <c r="H1206" s="399" t="n"/>
      <c r="J1206" s="392">
        <f>IFERROR(UPPER(TRIM(B1206))&amp;"|"&amp;UPPER(TRIM(C1206))&amp;"|"&amp;UPPER(TRIM(D1206)),"")</f>
        <v/>
      </c>
    </row>
    <row r="1207" ht="15.75" customHeight="1" s="217">
      <c r="A1207" s="400" t="n">
        <v>1205</v>
      </c>
      <c r="B1207" s="400" t="inlineStr">
        <is>
          <t>KH2568</t>
        </is>
      </c>
      <c r="C1207" s="401" t="inlineStr">
        <is>
          <t>Xưởng Anh Vũ - Bình Thuận / 0818.762.769 - 0917.625.869</t>
        </is>
      </c>
      <c r="D1207" s="400" t="inlineStr">
        <is>
          <t>0818.762.769 / 0917.625.869</t>
        </is>
      </c>
      <c r="E1207" s="402" t="n"/>
      <c r="F1207" s="401" t="inlineStr">
        <is>
          <t>Lagi, Bình Thuận</t>
        </is>
      </c>
      <c r="G1207" s="400" t="inlineStr">
        <is>
          <t>BTHUAN</t>
        </is>
      </c>
      <c r="H1207" s="402" t="n"/>
      <c r="J1207" s="392">
        <f>IFERROR(UPPER(TRIM(B1207))&amp;"|"&amp;UPPER(TRIM(C1207))&amp;"|"&amp;UPPER(TRIM(D1207)),"")</f>
        <v/>
      </c>
    </row>
    <row r="1208" ht="15.75" customHeight="1" s="217">
      <c r="A1208" s="397" t="n">
        <v>1206</v>
      </c>
      <c r="B1208" s="397" t="inlineStr">
        <is>
          <t>KH2566</t>
        </is>
      </c>
      <c r="C1208" s="398" t="inlineStr">
        <is>
          <t>Anh Luân - Bình Dương - 0972.371.857</t>
        </is>
      </c>
      <c r="D1208" s="397" t="inlineStr">
        <is>
          <t>0972.371.857</t>
        </is>
      </c>
      <c r="E1208" s="399" t="n"/>
      <c r="F1208" s="398" t="inlineStr">
        <is>
          <t>Bình Dương</t>
        </is>
      </c>
      <c r="G1208" s="397" t="inlineStr">
        <is>
          <t>BDUONG</t>
        </is>
      </c>
      <c r="H1208" s="399" t="n"/>
      <c r="J1208" s="392">
        <f>IFERROR(UPPER(TRIM(B1208))&amp;"|"&amp;UPPER(TRIM(C1208))&amp;"|"&amp;UPPER(TRIM(D1208)),"")</f>
        <v/>
      </c>
    </row>
    <row r="1209" ht="15.75" customHeight="1" s="217">
      <c r="A1209" s="400" t="n">
        <v>1207</v>
      </c>
      <c r="B1209" s="400" t="inlineStr">
        <is>
          <t>KH2567</t>
        </is>
      </c>
      <c r="C1209" s="401" t="inlineStr">
        <is>
          <t>Cửa hàng Anh Cường - Trà Vinh/ 0989.006.959</t>
        </is>
      </c>
      <c r="D1209" s="400" t="inlineStr">
        <is>
          <t>0989.006.959</t>
        </is>
      </c>
      <c r="E1209" s="402" t="n"/>
      <c r="F1209" s="401" t="inlineStr">
        <is>
          <t>187A Hùng Vương, khóm 2, Phường 5, TP Trà Vinh</t>
        </is>
      </c>
      <c r="G1209" s="400" t="inlineStr">
        <is>
          <t>TV</t>
        </is>
      </c>
      <c r="H1209" s="402" t="n"/>
      <c r="J1209" s="392">
        <f>IFERROR(UPPER(TRIM(B1209))&amp;"|"&amp;UPPER(TRIM(C1209))&amp;"|"&amp;UPPER(TRIM(D1209)),"")</f>
        <v/>
      </c>
    </row>
    <row r="1210" ht="15.75" customHeight="1" s="217">
      <c r="A1210" s="397" t="n">
        <v>1208</v>
      </c>
      <c r="B1210" s="397" t="inlineStr">
        <is>
          <t>JRONE</t>
        </is>
      </c>
      <c r="C1210" s="398" t="inlineStr">
        <is>
          <t>JIANG SU EASYLAND AUTOMOTIVE CORP (Turbo Jrone)</t>
        </is>
      </c>
      <c r="D1210" s="399" t="n"/>
      <c r="E1210" s="399" t="n"/>
      <c r="F1210" s="398" t="inlineStr">
        <is>
          <t>No.30 Yanchang Road, Yanquiao area, Huishan Economic Development Jone, Wuxi, Jiangsu Province, China</t>
        </is>
      </c>
      <c r="G1210" s="399" t="n"/>
      <c r="H1210" s="399" t="n"/>
      <c r="J1210" s="392">
        <f>IFERROR(UPPER(TRIM(B1210))&amp;"|"&amp;UPPER(TRIM(C1210))&amp;"|"&amp;UPPER(TRIM(D1210)),"")</f>
        <v/>
      </c>
    </row>
    <row r="1211" ht="15.75" customHeight="1" s="217">
      <c r="A1211" s="400" t="n">
        <v>1209</v>
      </c>
      <c r="B1211" s="400" t="inlineStr">
        <is>
          <t>KH2565</t>
        </is>
      </c>
      <c r="C1211" s="401" t="inlineStr">
        <is>
          <t>Xưởng Anh Nhơn - Bình Định - 0976.890.807</t>
        </is>
      </c>
      <c r="D1211" s="400" t="inlineStr">
        <is>
          <t>0976.890.807</t>
        </is>
      </c>
      <c r="E1211" s="402" t="n"/>
      <c r="F1211" s="401" t="inlineStr">
        <is>
          <t>Ngô Mai, Phù Cát, Bình Định</t>
        </is>
      </c>
      <c r="G1211" s="400" t="inlineStr">
        <is>
          <t>BDINH</t>
        </is>
      </c>
      <c r="H1211" s="402" t="n"/>
      <c r="J1211" s="392">
        <f>IFERROR(UPPER(TRIM(B1211))&amp;"|"&amp;UPPER(TRIM(C1211))&amp;"|"&amp;UPPER(TRIM(D1211)),"")</f>
        <v/>
      </c>
    </row>
    <row r="1212" ht="15.75" customHeight="1" s="217">
      <c r="A1212" s="397" t="n">
        <v>1210</v>
      </c>
      <c r="B1212" s="397" t="inlineStr">
        <is>
          <t>KH2564</t>
        </is>
      </c>
      <c r="C1212" s="398" t="inlineStr">
        <is>
          <t>Xưởng tiện Siêu Môn, Đăk Lăk - Anh Vũ - 0905.213.911</t>
        </is>
      </c>
      <c r="D1212" s="397" t="inlineStr">
        <is>
          <t>0905.213.911</t>
        </is>
      </c>
      <c r="E1212" s="399" t="n"/>
      <c r="F1212" s="398" t="inlineStr">
        <is>
          <t>Hùng Vương, Đắk Lắk</t>
        </is>
      </c>
      <c r="G1212" s="397" t="inlineStr">
        <is>
          <t>ÐL</t>
        </is>
      </c>
      <c r="H1212" s="399" t="n"/>
      <c r="J1212" s="392">
        <f>IFERROR(UPPER(TRIM(B1212))&amp;"|"&amp;UPPER(TRIM(C1212))&amp;"|"&amp;UPPER(TRIM(D1212)),"")</f>
        <v/>
      </c>
    </row>
    <row r="1213" ht="15.75" customHeight="1" s="217">
      <c r="A1213" s="400" t="n">
        <v>1211</v>
      </c>
      <c r="B1213" s="400" t="inlineStr">
        <is>
          <t>KH2563</t>
        </is>
      </c>
      <c r="C1213" s="401" t="inlineStr">
        <is>
          <t>Công ty CP AVICO VIỆT NAM, Tel: 02462.532.668</t>
        </is>
      </c>
      <c r="D1213" s="400" t="inlineStr">
        <is>
          <t>02462.532.668</t>
        </is>
      </c>
      <c r="E1213" s="402" t="n"/>
      <c r="F1213" s="401" t="inlineStr">
        <is>
          <t>Phúc Tiến - Bình yên - Thạch Thất - Hà Nội</t>
        </is>
      </c>
      <c r="G1213" s="400" t="inlineStr">
        <is>
          <t>SG/HCM</t>
        </is>
      </c>
      <c r="H1213" s="402" t="n"/>
      <c r="J1213" s="392">
        <f>IFERROR(UPPER(TRIM(B1213))&amp;"|"&amp;UPPER(TRIM(C1213))&amp;"|"&amp;UPPER(TRIM(D1213)),"")</f>
        <v/>
      </c>
    </row>
    <row r="1214" ht="15.75" customHeight="1" s="217">
      <c r="A1214" s="397" t="n">
        <v>1212</v>
      </c>
      <c r="B1214" s="397" t="inlineStr">
        <is>
          <t>THL1</t>
        </is>
      </c>
      <c r="C1214" s="398" t="inlineStr">
        <is>
          <t>Công ty Tân Hòa Lợi (chuyên phớt, vòng bi) - Sài Gòn</t>
        </is>
      </c>
      <c r="D1214" s="399" t="n"/>
      <c r="E1214" s="399" t="n"/>
      <c r="F1214" s="398" t="inlineStr">
        <is>
          <t>Tân Phú, Sài Gòn</t>
        </is>
      </c>
      <c r="G1214" s="399" t="n"/>
      <c r="H1214" s="399" t="n"/>
      <c r="J1214" s="392">
        <f>IFERROR(UPPER(TRIM(B1214))&amp;"|"&amp;UPPER(TRIM(C1214))&amp;"|"&amp;UPPER(TRIM(D1214)),"")</f>
        <v/>
      </c>
    </row>
    <row r="1215" ht="15.75" customHeight="1" s="217">
      <c r="A1215" s="400" t="n">
        <v>1213</v>
      </c>
      <c r="B1215" s="400" t="inlineStr">
        <is>
          <t>KH2559</t>
        </is>
      </c>
      <c r="C1215" s="401" t="inlineStr">
        <is>
          <t>Anh Quyền (nhà máy gạch) - Đồng Nai (gần Bình Thuận)/ 0919.792.090</t>
        </is>
      </c>
      <c r="D1215" s="400" t="inlineStr">
        <is>
          <t>0919.792.090</t>
        </is>
      </c>
      <c r="E1215" s="402" t="n"/>
      <c r="F1215" s="401" t="inlineStr">
        <is>
          <t>Đồng Nai</t>
        </is>
      </c>
      <c r="G1215" s="400" t="inlineStr">
        <is>
          <t>ÐNAI</t>
        </is>
      </c>
      <c r="H1215" s="402" t="n"/>
      <c r="J1215" s="392">
        <f>IFERROR(UPPER(TRIM(B1215))&amp;"|"&amp;UPPER(TRIM(C1215))&amp;"|"&amp;UPPER(TRIM(D1215)),"")</f>
        <v/>
      </c>
    </row>
    <row r="1216" ht="15.75" customHeight="1" s="217">
      <c r="A1216" s="397" t="n">
        <v>1214</v>
      </c>
      <c r="B1216" s="397" t="inlineStr">
        <is>
          <t>KH2560</t>
        </is>
      </c>
      <c r="C1216" s="398" t="inlineStr">
        <is>
          <t>Cửa hàng Nga Triển - Quy Nhơn - 0983.791.075</t>
        </is>
      </c>
      <c r="D1216" s="397" t="inlineStr">
        <is>
          <t>0983.791.075</t>
        </is>
      </c>
      <c r="E1216" s="399" t="n"/>
      <c r="F1216" s="398" t="inlineStr">
        <is>
          <t>762 Trần Hưng Đạo, Quy Nhơn</t>
        </is>
      </c>
      <c r="G1216" s="397" t="inlineStr">
        <is>
          <t>BDINH</t>
        </is>
      </c>
      <c r="H1216" s="399" t="n"/>
      <c r="J1216" s="392">
        <f>IFERROR(UPPER(TRIM(B1216))&amp;"|"&amp;UPPER(TRIM(C1216))&amp;"|"&amp;UPPER(TRIM(D1216)),"")</f>
        <v/>
      </c>
    </row>
    <row r="1217" ht="15.75" customHeight="1" s="217">
      <c r="A1217" s="400" t="n">
        <v>1215</v>
      </c>
      <c r="B1217" s="400" t="inlineStr">
        <is>
          <t>KH2561</t>
        </is>
      </c>
      <c r="C1217" s="401" t="inlineStr">
        <is>
          <t>Xưởng Anh Thanh - Bà Rịa / 0919.154.538</t>
        </is>
      </c>
      <c r="D1217" s="400" t="inlineStr">
        <is>
          <t>0919.154.538</t>
        </is>
      </c>
      <c r="E1217" s="402" t="n"/>
      <c r="F1217" s="401" t="inlineStr">
        <is>
          <t>Bà Rịa  Vũng Tàu - TP Vũng Tàu</t>
        </is>
      </c>
      <c r="G1217" s="400" t="inlineStr">
        <is>
          <t>BRVT</t>
        </is>
      </c>
      <c r="H1217" s="402" t="n"/>
      <c r="J1217" s="392">
        <f>IFERROR(UPPER(TRIM(B1217))&amp;"|"&amp;UPPER(TRIM(C1217))&amp;"|"&amp;UPPER(TRIM(D1217)),"")</f>
        <v/>
      </c>
    </row>
    <row r="1218" ht="15.75" customHeight="1" s="217">
      <c r="A1218" s="397" t="n">
        <v>1216</v>
      </c>
      <c r="B1218" s="397" t="inlineStr">
        <is>
          <t>KH2562</t>
        </is>
      </c>
      <c r="C1218" s="398" t="inlineStr">
        <is>
          <t>Xưởng tiện Đức Huy - Đức Trong - Lâm Đồng - 0909.533.397</t>
        </is>
      </c>
      <c r="D1218" s="397" t="inlineStr">
        <is>
          <t>0909.533.397</t>
        </is>
      </c>
      <c r="E1218" s="399" t="n"/>
      <c r="F1218" s="398" t="inlineStr">
        <is>
          <t>Đức Trọng - Lâm Đồng</t>
        </is>
      </c>
      <c r="G1218" s="397" t="inlineStr">
        <is>
          <t>LDONG</t>
        </is>
      </c>
      <c r="H1218" s="399" t="n"/>
      <c r="J1218" s="392">
        <f>IFERROR(UPPER(TRIM(B1218))&amp;"|"&amp;UPPER(TRIM(C1218))&amp;"|"&amp;UPPER(TRIM(D1218)),"")</f>
        <v/>
      </c>
    </row>
    <row r="1219" ht="15.75" customHeight="1" s="217">
      <c r="A1219" s="400" t="n">
        <v>1217</v>
      </c>
      <c r="B1219" s="400" t="inlineStr">
        <is>
          <t>KH2558</t>
        </is>
      </c>
      <c r="C1219" s="401" t="inlineStr">
        <is>
          <t>Phước Thắng - Bà Rịa - 0764.359.359</t>
        </is>
      </c>
      <c r="D1219" s="400" t="inlineStr">
        <is>
          <t>0764.359.359</t>
        </is>
      </c>
      <c r="E1219" s="402" t="n"/>
      <c r="F1219" s="401" t="inlineStr">
        <is>
          <t>Bà Rịa Vũng Tàu</t>
        </is>
      </c>
      <c r="G1219" s="400" t="inlineStr">
        <is>
          <t>BRVT</t>
        </is>
      </c>
      <c r="H1219" s="402" t="n"/>
      <c r="J1219" s="392">
        <f>IFERROR(UPPER(TRIM(B1219))&amp;"|"&amp;UPPER(TRIM(C1219))&amp;"|"&amp;UPPER(TRIM(D1219)),"")</f>
        <v/>
      </c>
    </row>
    <row r="1220" ht="15.75" customHeight="1" s="217">
      <c r="A1220" s="397" t="n">
        <v>1218</v>
      </c>
      <c r="B1220" s="397" t="inlineStr">
        <is>
          <t>KH2557</t>
        </is>
      </c>
      <c r="C1220" s="398" t="inlineStr">
        <is>
          <t>Anh Công (Gara) - Đăk Nông - 0328.480.480</t>
        </is>
      </c>
      <c r="D1220" s="397" t="inlineStr">
        <is>
          <t>0328.480.480</t>
        </is>
      </c>
      <c r="E1220" s="399" t="n"/>
      <c r="F1220" s="398" t="inlineStr">
        <is>
          <t>Xã Nam Dong, Huyện Cư Jut, Đăk Nông</t>
        </is>
      </c>
      <c r="G1220" s="397" t="inlineStr">
        <is>
          <t>DNONG</t>
        </is>
      </c>
      <c r="H1220" s="399" t="n"/>
      <c r="J1220" s="392">
        <f>IFERROR(UPPER(TRIM(B1220))&amp;"|"&amp;UPPER(TRIM(C1220))&amp;"|"&amp;UPPER(TRIM(D1220)),"")</f>
        <v/>
      </c>
    </row>
    <row r="1221" ht="15.75" customHeight="1" s="217">
      <c r="A1221" s="400" t="n">
        <v>1219</v>
      </c>
      <c r="B1221" s="400" t="inlineStr">
        <is>
          <t>KH2555</t>
        </is>
      </c>
      <c r="C1221" s="401" t="inlineStr">
        <is>
          <t>Anh Dũng (thợ máy) - Tây Ninh/ 0908.273.545</t>
        </is>
      </c>
      <c r="D1221" s="400" t="inlineStr">
        <is>
          <t>0908.273.545</t>
        </is>
      </c>
      <c r="E1221" s="402" t="n"/>
      <c r="F1221" s="401" t="inlineStr">
        <is>
          <t>Sài Gòn</t>
        </is>
      </c>
      <c r="G1221" s="400" t="inlineStr">
        <is>
          <t>SG/HCM</t>
        </is>
      </c>
      <c r="H1221" s="402" t="n"/>
      <c r="J1221" s="392">
        <f>IFERROR(UPPER(TRIM(B1221))&amp;"|"&amp;UPPER(TRIM(C1221))&amp;"|"&amp;UPPER(TRIM(D1221)),"")</f>
        <v/>
      </c>
    </row>
    <row r="1222" ht="15.75" customHeight="1" s="217">
      <c r="A1222" s="397" t="n">
        <v>1220</v>
      </c>
      <c r="B1222" s="397" t="inlineStr">
        <is>
          <t>KH2556</t>
        </is>
      </c>
      <c r="C1222" s="398" t="inlineStr">
        <is>
          <t>ANH TUẤN (thợ máy) - Suối tiên - 0913.609.221</t>
        </is>
      </c>
      <c r="D1222" s="397" t="inlineStr">
        <is>
          <t>0913.609.221</t>
        </is>
      </c>
      <c r="E1222" s="399" t="n"/>
      <c r="F1222" s="398" t="inlineStr">
        <is>
          <t>Sài Gòn</t>
        </is>
      </c>
      <c r="G1222" s="397" t="inlineStr">
        <is>
          <t>SG/HCM</t>
        </is>
      </c>
      <c r="H1222" s="399" t="n"/>
      <c r="J1222" s="392">
        <f>IFERROR(UPPER(TRIM(B1222))&amp;"|"&amp;UPPER(TRIM(C1222))&amp;"|"&amp;UPPER(TRIM(D1222)),"")</f>
        <v/>
      </c>
    </row>
    <row r="1223" ht="15.75" customHeight="1" s="217">
      <c r="A1223" s="400" t="n">
        <v>1221</v>
      </c>
      <c r="B1223" s="400" t="inlineStr">
        <is>
          <t>MAYXUC</t>
        </is>
      </c>
      <c r="C1223" s="401" t="inlineStr">
        <is>
          <t>Bãi máy Công ty Miền Nam</t>
        </is>
      </c>
      <c r="D1223" s="402" t="n"/>
      <c r="E1223" s="402" t="n"/>
      <c r="F1223" s="401" t="inlineStr">
        <is>
          <t>TP.HCM</t>
        </is>
      </c>
      <c r="G1223" s="400" t="inlineStr">
        <is>
          <t>SG/HCM</t>
        </is>
      </c>
      <c r="H1223" s="402" t="n"/>
      <c r="J1223" s="392">
        <f>IFERROR(UPPER(TRIM(B1223))&amp;"|"&amp;UPPER(TRIM(C1223))&amp;"|"&amp;UPPER(TRIM(D1223)),"")</f>
        <v/>
      </c>
    </row>
    <row r="1224" ht="15.75" customHeight="1" s="217">
      <c r="A1224" s="397" t="n">
        <v>1222</v>
      </c>
      <c r="B1224" s="397" t="inlineStr">
        <is>
          <t>KH2553</t>
        </is>
      </c>
      <c r="C1224" s="398" t="inlineStr">
        <is>
          <t>XƯỞNG ANH SỬU, NGÃ 3 CÁI MÉP, BÀ RỊA VŨNG TÀU  - 0946.085.831</t>
        </is>
      </c>
      <c r="D1224" s="397" t="inlineStr">
        <is>
          <t>0946.085.831</t>
        </is>
      </c>
      <c r="E1224" s="399" t="n"/>
      <c r="F1224" s="398" t="inlineStr">
        <is>
          <t>Bà Rịa Vũng Tàu</t>
        </is>
      </c>
      <c r="G1224" s="397" t="inlineStr">
        <is>
          <t>BRVT</t>
        </is>
      </c>
      <c r="H1224" s="399" t="n"/>
      <c r="J1224" s="392">
        <f>IFERROR(UPPER(TRIM(B1224))&amp;"|"&amp;UPPER(TRIM(C1224))&amp;"|"&amp;UPPER(TRIM(D1224)),"")</f>
        <v/>
      </c>
    </row>
    <row r="1225" ht="15.75" customHeight="1" s="217">
      <c r="A1225" s="400" t="n">
        <v>1223</v>
      </c>
      <c r="B1225" s="400" t="inlineStr">
        <is>
          <t>KH2554</t>
        </is>
      </c>
      <c r="C1225" s="401" t="inlineStr">
        <is>
          <t>Xưởng Anh Trí  (Gara) - Nha Trang - 0906.440.449</t>
        </is>
      </c>
      <c r="D1225" s="400" t="inlineStr">
        <is>
          <t>0906.440.449</t>
        </is>
      </c>
      <c r="E1225" s="402" t="n"/>
      <c r="F1225" s="401" t="inlineStr">
        <is>
          <t>Hiệp Sơn - Nha Trang</t>
        </is>
      </c>
      <c r="G1225" s="400" t="inlineStr">
        <is>
          <t>NTRANG</t>
        </is>
      </c>
      <c r="H1225" s="402" t="n"/>
      <c r="J1225" s="392">
        <f>IFERROR(UPPER(TRIM(B1225))&amp;"|"&amp;UPPER(TRIM(C1225))&amp;"|"&amp;UPPER(TRIM(D1225)),"")</f>
        <v/>
      </c>
    </row>
    <row r="1226" ht="15.75" customHeight="1" s="217">
      <c r="A1226" s="397" t="n">
        <v>1224</v>
      </c>
      <c r="B1226" s="397" t="inlineStr">
        <is>
          <t>KH2552</t>
        </is>
      </c>
      <c r="C1226" s="398" t="inlineStr">
        <is>
          <t>Anh Đức - Trạm Thành Công Phú Riềng - 0975.201.096</t>
        </is>
      </c>
      <c r="D1226" s="397" t="inlineStr">
        <is>
          <t>0975.201.096</t>
        </is>
      </c>
      <c r="E1226" s="399" t="n"/>
      <c r="F1226" s="398" t="inlineStr">
        <is>
          <t>Bình Phước</t>
        </is>
      </c>
      <c r="G1226" s="397" t="inlineStr">
        <is>
          <t>BP</t>
        </is>
      </c>
      <c r="H1226" s="399" t="n"/>
      <c r="J1226" s="392">
        <f>IFERROR(UPPER(TRIM(B1226))&amp;"|"&amp;UPPER(TRIM(C1226))&amp;"|"&amp;UPPER(TRIM(D1226)),"")</f>
        <v/>
      </c>
    </row>
    <row r="1227" ht="15.75" customHeight="1" s="217">
      <c r="A1227" s="400" t="n">
        <v>1225</v>
      </c>
      <c r="B1227" s="400" t="inlineStr">
        <is>
          <t>KH2549</t>
        </is>
      </c>
      <c r="C1227" s="401" t="inlineStr">
        <is>
          <t>Xưởng Phương Long -Hố Nai-  Biên Hoà/  0948.503.544</t>
        </is>
      </c>
      <c r="D1227" s="400" t="inlineStr">
        <is>
          <t>0948.503.544</t>
        </is>
      </c>
      <c r="E1227" s="402" t="n"/>
      <c r="F1227" s="401" t="inlineStr">
        <is>
          <t>101 Hoàng Văn Bổn, Tân Biên,Biên Hòa, Đồng Nai</t>
        </is>
      </c>
      <c r="G1227" s="400" t="inlineStr">
        <is>
          <t>ÐNAI</t>
        </is>
      </c>
      <c r="H1227" s="402" t="n"/>
      <c r="J1227" s="392">
        <f>IFERROR(UPPER(TRIM(B1227))&amp;"|"&amp;UPPER(TRIM(C1227))&amp;"|"&amp;UPPER(TRIM(D1227)),"")</f>
        <v/>
      </c>
    </row>
    <row r="1228" ht="15.75" customHeight="1" s="217">
      <c r="A1228" s="397" t="n">
        <v>1226</v>
      </c>
      <c r="B1228" s="397" t="inlineStr">
        <is>
          <t>KH2550</t>
        </is>
      </c>
      <c r="C1228" s="398" t="inlineStr">
        <is>
          <t>Xưởng tiện Anh Cảnh, Đầm Sen - Sài Gòn / 0913.878.059</t>
        </is>
      </c>
      <c r="D1228" s="397" t="inlineStr">
        <is>
          <t>0913.878.059</t>
        </is>
      </c>
      <c r="E1228" s="399" t="n"/>
      <c r="F1228" s="398" t="inlineStr">
        <is>
          <t>389, Lũy Bán Bích, Sài Gòn</t>
        </is>
      </c>
      <c r="G1228" s="397" t="inlineStr">
        <is>
          <t>SG/HCM</t>
        </is>
      </c>
      <c r="H1228" s="399" t="n"/>
      <c r="J1228" s="392">
        <f>IFERROR(UPPER(TRIM(B1228))&amp;"|"&amp;UPPER(TRIM(C1228))&amp;"|"&amp;UPPER(TRIM(D1228)),"")</f>
        <v/>
      </c>
    </row>
    <row r="1229" ht="15.75" customHeight="1" s="217">
      <c r="A1229" s="400" t="n">
        <v>1227</v>
      </c>
      <c r="B1229" s="400" t="inlineStr">
        <is>
          <t>KH2551</t>
        </is>
      </c>
      <c r="C1229" s="401" t="inlineStr">
        <is>
          <t>Cửa hàng Tấn Đạt - Kiên Giang / 0949.484.488</t>
        </is>
      </c>
      <c r="D1229" s="400" t="inlineStr">
        <is>
          <t>0949.484.488</t>
        </is>
      </c>
      <c r="E1229" s="402" t="n"/>
      <c r="F1229" s="401" t="inlineStr">
        <is>
          <t>95 Trần Quang Khải, P. An Hòa, TP. Rạch Giá, Kiên Giang</t>
        </is>
      </c>
      <c r="G1229" s="400" t="inlineStr">
        <is>
          <t>KG</t>
        </is>
      </c>
      <c r="H1229" s="402" t="n"/>
      <c r="J1229" s="392">
        <f>IFERROR(UPPER(TRIM(B1229))&amp;"|"&amp;UPPER(TRIM(C1229))&amp;"|"&amp;UPPER(TRIM(D1229)),"")</f>
        <v/>
      </c>
    </row>
    <row r="1230" ht="15.75" customHeight="1" s="217">
      <c r="A1230" s="397" t="n">
        <v>1228</v>
      </c>
      <c r="B1230" s="397" t="inlineStr">
        <is>
          <t>KH2547</t>
        </is>
      </c>
      <c r="C1230" s="398" t="inlineStr">
        <is>
          <t>Cửa hàng Tín Ưng 3 - Kiên Giang/ Anh Thắng: 0363.750.334</t>
        </is>
      </c>
      <c r="D1230" s="397" t="inlineStr">
        <is>
          <t>0363.750.334</t>
        </is>
      </c>
      <c r="E1230" s="399" t="n"/>
      <c r="F1230" s="398" t="inlineStr">
        <is>
          <t>Bình Giang, Hòn Đất, Kiên Giang</t>
        </is>
      </c>
      <c r="G1230" s="397" t="inlineStr">
        <is>
          <t>KG</t>
        </is>
      </c>
      <c r="H1230" s="399" t="n"/>
      <c r="J1230" s="392">
        <f>IFERROR(UPPER(TRIM(B1230))&amp;"|"&amp;UPPER(TRIM(C1230))&amp;"|"&amp;UPPER(TRIM(D1230)),"")</f>
        <v/>
      </c>
    </row>
    <row r="1231" ht="15.75" customHeight="1" s="217">
      <c r="A1231" s="400" t="n">
        <v>1229</v>
      </c>
      <c r="B1231" s="400" t="inlineStr">
        <is>
          <t>KH2548</t>
        </is>
      </c>
      <c r="C1231" s="401" t="inlineStr">
        <is>
          <t>Anh Triều (Gara) - Đắk Hà/ 0368.543.778</t>
        </is>
      </c>
      <c r="D1231" s="400" t="inlineStr">
        <is>
          <t>0368.543.778</t>
        </is>
      </c>
      <c r="E1231" s="402" t="n"/>
      <c r="F1231" s="401" t="inlineStr">
        <is>
          <t>Đăk Hà, Kontum</t>
        </is>
      </c>
      <c r="G1231" s="400" t="inlineStr">
        <is>
          <t>KTUM</t>
        </is>
      </c>
      <c r="H1231" s="402" t="n"/>
      <c r="J1231" s="392">
        <f>IFERROR(UPPER(TRIM(B1231))&amp;"|"&amp;UPPER(TRIM(C1231))&amp;"|"&amp;UPPER(TRIM(D1231)),"")</f>
        <v/>
      </c>
    </row>
    <row r="1232" ht="15.75" customHeight="1" s="217">
      <c r="A1232" s="397" t="n">
        <v>1230</v>
      </c>
      <c r="B1232" s="397" t="inlineStr">
        <is>
          <t>KH2546</t>
        </is>
      </c>
      <c r="C1232" s="398" t="inlineStr">
        <is>
          <t>CH Quốc Tuấn - Đồng Nai/ 0918.650.463</t>
        </is>
      </c>
      <c r="D1232" s="397" t="inlineStr">
        <is>
          <t>0918.650.463</t>
        </is>
      </c>
      <c r="E1232" s="399" t="n"/>
      <c r="F1232" s="398" t="inlineStr">
        <is>
          <t>Long Khánh, Đồng Nai</t>
        </is>
      </c>
      <c r="G1232" s="397" t="inlineStr">
        <is>
          <t>ÐNAI</t>
        </is>
      </c>
      <c r="H1232" s="399" t="n"/>
      <c r="J1232" s="392">
        <f>IFERROR(UPPER(TRIM(B1232))&amp;"|"&amp;UPPER(TRIM(C1232))&amp;"|"&amp;UPPER(TRIM(D1232)),"")</f>
        <v/>
      </c>
    </row>
    <row r="1233" ht="15.75" customHeight="1" s="217">
      <c r="A1233" s="400" t="n">
        <v>1231</v>
      </c>
      <c r="B1233" s="400" t="inlineStr">
        <is>
          <t>KH2545</t>
        </is>
      </c>
      <c r="C1233" s="401" t="inlineStr">
        <is>
          <t>Xưởng Tiên A Út - Kon tum / 0932.828.679</t>
        </is>
      </c>
      <c r="D1233" s="400" t="inlineStr">
        <is>
          <t>0932.828.679</t>
        </is>
      </c>
      <c r="E1233" s="402" t="n"/>
      <c r="F1233" s="401" t="inlineStr">
        <is>
          <t>Kon tum</t>
        </is>
      </c>
      <c r="G1233" s="400" t="inlineStr">
        <is>
          <t>KTUM</t>
        </is>
      </c>
      <c r="H1233" s="402" t="n"/>
      <c r="J1233" s="392">
        <f>IFERROR(UPPER(TRIM(B1233))&amp;"|"&amp;UPPER(TRIM(C1233))&amp;"|"&amp;UPPER(TRIM(D1233)),"")</f>
        <v/>
      </c>
    </row>
    <row r="1234" ht="15.75" customHeight="1" s="217">
      <c r="A1234" s="397" t="n">
        <v>1232</v>
      </c>
      <c r="B1234" s="397" t="inlineStr">
        <is>
          <t>KH2544</t>
        </is>
      </c>
      <c r="C1234" s="398" t="inlineStr">
        <is>
          <t>Xưởng tiện Anh Tý - Ngã 4 Ga - 0938.795.395 (chú ý thu nợ )</t>
        </is>
      </c>
      <c r="D1234" s="397" t="inlineStr">
        <is>
          <t>0938.795.395</t>
        </is>
      </c>
      <c r="E1234" s="399" t="n"/>
      <c r="F1234" s="398" t="inlineStr">
        <is>
          <t>Ngã 4 Ga, Quận 12, Sài Gòn</t>
        </is>
      </c>
      <c r="G1234" s="397" t="inlineStr">
        <is>
          <t>SG/HCM</t>
        </is>
      </c>
      <c r="H1234" s="399" t="n"/>
      <c r="J1234" s="392">
        <f>IFERROR(UPPER(TRIM(B1234))&amp;"|"&amp;UPPER(TRIM(C1234))&amp;"|"&amp;UPPER(TRIM(D1234)),"")</f>
        <v/>
      </c>
    </row>
    <row r="1235" ht="15.75" customHeight="1" s="217">
      <c r="A1235" s="400" t="n">
        <v>1233</v>
      </c>
      <c r="B1235" s="400" t="inlineStr">
        <is>
          <t>KH2542</t>
        </is>
      </c>
      <c r="C1235" s="401" t="inlineStr">
        <is>
          <t>Anh Đôn (Xưởng) - Ninh Thuận - 0931.202.826</t>
        </is>
      </c>
      <c r="D1235" s="400" t="inlineStr">
        <is>
          <t>0931.202.826</t>
        </is>
      </c>
      <c r="E1235" s="402" t="n"/>
      <c r="F1235" s="401" t="inlineStr">
        <is>
          <t>Phan Rang Tháp Chàm, Ninh Thuận</t>
        </is>
      </c>
      <c r="G1235" s="400" t="inlineStr">
        <is>
          <t>NTHUAN</t>
        </is>
      </c>
      <c r="H1235" s="402" t="n"/>
      <c r="J1235" s="392">
        <f>IFERROR(UPPER(TRIM(B1235))&amp;"|"&amp;UPPER(TRIM(C1235))&amp;"|"&amp;UPPER(TRIM(D1235)),"")</f>
        <v/>
      </c>
    </row>
    <row r="1236" ht="15.75" customHeight="1" s="217">
      <c r="A1236" s="397" t="n">
        <v>1234</v>
      </c>
      <c r="B1236" s="397" t="inlineStr">
        <is>
          <t>KH2543</t>
        </is>
      </c>
      <c r="C1236" s="398" t="inlineStr">
        <is>
          <t>Garage Minh Đạt - Quận 12 - 0981.913.154</t>
        </is>
      </c>
      <c r="D1236" s="397" t="inlineStr">
        <is>
          <t>0981.913.154</t>
        </is>
      </c>
      <c r="E1236" s="399" t="n"/>
      <c r="F1236" s="398" t="inlineStr">
        <is>
          <t>Đường TA13, Lê Thị Riêng</t>
        </is>
      </c>
      <c r="G1236" s="397" t="inlineStr">
        <is>
          <t>SG/HCM</t>
        </is>
      </c>
      <c r="H1236" s="399" t="n"/>
      <c r="J1236" s="392">
        <f>IFERROR(UPPER(TRIM(B1236))&amp;"|"&amp;UPPER(TRIM(C1236))&amp;"|"&amp;UPPER(TRIM(D1236)),"")</f>
        <v/>
      </c>
    </row>
    <row r="1237" ht="15.75" customHeight="1" s="217">
      <c r="A1237" s="400" t="n">
        <v>1235</v>
      </c>
      <c r="B1237" s="400" t="inlineStr">
        <is>
          <t>KH2540</t>
        </is>
      </c>
      <c r="C1237" s="401" t="inlineStr">
        <is>
          <t>Xưởng tiện A Phương - Trị An - 0948.503.544</t>
        </is>
      </c>
      <c r="D1237" s="400" t="inlineStr">
        <is>
          <t>0948.503.544</t>
        </is>
      </c>
      <c r="E1237" s="402" t="n"/>
      <c r="F1237" s="401" t="inlineStr">
        <is>
          <t>Ngã 3 Trị An, Quốc lộ 1, Đồng Nai</t>
        </is>
      </c>
      <c r="G1237" s="400" t="inlineStr">
        <is>
          <t>ÐNAI</t>
        </is>
      </c>
      <c r="H1237" s="402" t="n"/>
      <c r="J1237" s="392">
        <f>IFERROR(UPPER(TRIM(B1237))&amp;"|"&amp;UPPER(TRIM(C1237))&amp;"|"&amp;UPPER(TRIM(D1237)),"")</f>
        <v/>
      </c>
    </row>
    <row r="1238" ht="15.75" customHeight="1" s="217">
      <c r="A1238" s="397" t="n">
        <v>1236</v>
      </c>
      <c r="B1238" s="397" t="inlineStr">
        <is>
          <t>KH2541</t>
        </is>
      </c>
      <c r="C1238" s="398" t="inlineStr">
        <is>
          <t>Xưởng tiện Hữu Thừa - Long An - 0908.741.009</t>
        </is>
      </c>
      <c r="D1238" s="397" t="inlineStr">
        <is>
          <t>0908.741.009</t>
        </is>
      </c>
      <c r="E1238" s="399" t="n"/>
      <c r="F1238" s="398" t="inlineStr">
        <is>
          <t>Tân An, Long An</t>
        </is>
      </c>
      <c r="G1238" s="397" t="inlineStr">
        <is>
          <t>LA</t>
        </is>
      </c>
      <c r="H1238" s="399" t="n"/>
      <c r="J1238" s="392">
        <f>IFERROR(UPPER(TRIM(B1238))&amp;"|"&amp;UPPER(TRIM(C1238))&amp;"|"&amp;UPPER(TRIM(D1238)),"")</f>
        <v/>
      </c>
    </row>
    <row r="1239" ht="15.75" customHeight="1" s="217">
      <c r="A1239" s="400" t="n">
        <v>1237</v>
      </c>
      <c r="B1239" s="400" t="inlineStr">
        <is>
          <t>KH2539</t>
        </is>
      </c>
      <c r="C1239" s="401" t="inlineStr">
        <is>
          <t>Anh Hiệp - Gia Lai/ 0978.719.789</t>
        </is>
      </c>
      <c r="D1239" s="400" t="inlineStr">
        <is>
          <t>0978.719.789</t>
        </is>
      </c>
      <c r="E1239" s="402" t="n"/>
      <c r="F1239" s="401" t="inlineStr">
        <is>
          <t>Gia Lai</t>
        </is>
      </c>
      <c r="G1239" s="400" t="inlineStr">
        <is>
          <t>GLAI</t>
        </is>
      </c>
      <c r="H1239" s="402" t="n"/>
      <c r="J1239" s="392">
        <f>IFERROR(UPPER(TRIM(B1239))&amp;"|"&amp;UPPER(TRIM(C1239))&amp;"|"&amp;UPPER(TRIM(D1239)),"")</f>
        <v/>
      </c>
    </row>
    <row r="1240" ht="15.75" customHeight="1" s="217">
      <c r="A1240" s="397" t="n">
        <v>1238</v>
      </c>
      <c r="B1240" s="397" t="inlineStr">
        <is>
          <t>KH2538</t>
        </is>
      </c>
      <c r="C1240" s="398" t="inlineStr">
        <is>
          <t>Anh Hà - Quảng Nam - 0915.786.086</t>
        </is>
      </c>
      <c r="D1240" s="397" t="inlineStr">
        <is>
          <t>0915.786.086</t>
        </is>
      </c>
      <c r="E1240" s="399" t="n"/>
      <c r="F1240" s="398" t="inlineStr">
        <is>
          <t>Quảng Nam</t>
        </is>
      </c>
      <c r="G1240" s="397" t="inlineStr">
        <is>
          <t>QNAM</t>
        </is>
      </c>
      <c r="H1240" s="399" t="n"/>
      <c r="J1240" s="392">
        <f>IFERROR(UPPER(TRIM(B1240))&amp;"|"&amp;UPPER(TRIM(C1240))&amp;"|"&amp;UPPER(TRIM(D1240)),"")</f>
        <v/>
      </c>
    </row>
    <row r="1241" ht="15.75" customHeight="1" s="217">
      <c r="A1241" s="400" t="n">
        <v>1239</v>
      </c>
      <c r="B1241" s="400" t="inlineStr">
        <is>
          <t>KH2537</t>
        </is>
      </c>
      <c r="C1241" s="401" t="inlineStr">
        <is>
          <t>XƯỞNG ANH PHÚC , BẢO LỘC - 0978.236 .446</t>
        </is>
      </c>
      <c r="D1241" s="402" t="n"/>
      <c r="E1241" s="402" t="n"/>
      <c r="F1241" s="401" t="inlineStr">
        <is>
          <t>Bảo Lộc, Lâm Đồng</t>
        </is>
      </c>
      <c r="G1241" s="400" t="inlineStr">
        <is>
          <t>LDONG</t>
        </is>
      </c>
      <c r="H1241" s="402" t="n"/>
      <c r="J1241" s="392">
        <f>IFERROR(UPPER(TRIM(B1241))&amp;"|"&amp;UPPER(TRIM(C1241))&amp;"|"&amp;UPPER(TRIM(D1241)),"")</f>
        <v/>
      </c>
    </row>
    <row r="1242" ht="15.75" customHeight="1" s="217">
      <c r="A1242" s="397" t="n">
        <v>1240</v>
      </c>
      <c r="B1242" s="397" t="inlineStr">
        <is>
          <t>KH2534</t>
        </is>
      </c>
      <c r="C1242" s="398" t="inlineStr">
        <is>
          <t>Xưởng Ba Dẹo - Hooc Môn / 0907.361.292</t>
        </is>
      </c>
      <c r="D1242" s="397" t="inlineStr">
        <is>
          <t>0907.361.292</t>
        </is>
      </c>
      <c r="E1242" s="399" t="n"/>
      <c r="F1242" s="398" t="inlineStr">
        <is>
          <t>Hooc Môn, Sài Gòn</t>
        </is>
      </c>
      <c r="G1242" s="397" t="inlineStr">
        <is>
          <t>SG/HCM</t>
        </is>
      </c>
      <c r="H1242" s="399" t="n"/>
      <c r="J1242" s="392">
        <f>IFERROR(UPPER(TRIM(B1242))&amp;"|"&amp;UPPER(TRIM(C1242))&amp;"|"&amp;UPPER(TRIM(D1242)),"")</f>
        <v/>
      </c>
    </row>
    <row r="1243" ht="15.75" customHeight="1" s="217">
      <c r="A1243" s="400" t="n">
        <v>1241</v>
      </c>
      <c r="B1243" s="400" t="inlineStr">
        <is>
          <t>KH2535</t>
        </is>
      </c>
      <c r="C1243" s="401" t="inlineStr">
        <is>
          <t>ANH TUẤN (thợ tiện) - Bến xe Miền Đông 0914.542.896</t>
        </is>
      </c>
      <c r="D1243" s="400" t="inlineStr">
        <is>
          <t>0914.542.896</t>
        </is>
      </c>
      <c r="E1243" s="402" t="n"/>
      <c r="F1243" s="401" t="inlineStr">
        <is>
          <t>Quốc lộ 13</t>
        </is>
      </c>
      <c r="G1243" s="400" t="inlineStr">
        <is>
          <t>SG/HCM</t>
        </is>
      </c>
      <c r="H1243" s="402" t="n"/>
      <c r="J1243" s="392">
        <f>IFERROR(UPPER(TRIM(B1243))&amp;"|"&amp;UPPER(TRIM(C1243))&amp;"|"&amp;UPPER(TRIM(D1243)),"")</f>
        <v/>
      </c>
    </row>
    <row r="1244" ht="15.75" customHeight="1" s="217">
      <c r="A1244" s="397" t="n">
        <v>1242</v>
      </c>
      <c r="B1244" s="397" t="inlineStr">
        <is>
          <t>KH2536</t>
        </is>
      </c>
      <c r="C1244" s="398" t="inlineStr">
        <is>
          <t>XƯỞNG QUỐC NGUYÊN - PHAN RANG - 0917.181.576</t>
        </is>
      </c>
      <c r="D1244" s="397" t="inlineStr">
        <is>
          <t>0917.181.576</t>
        </is>
      </c>
      <c r="E1244" s="399" t="n"/>
      <c r="F1244" s="398" t="inlineStr">
        <is>
          <t>TỔ 2 KHU 1, P PHỦ HÀ, TP PHAN RANG, NINH THUẬN</t>
        </is>
      </c>
      <c r="G1244" s="397" t="inlineStr">
        <is>
          <t>NTHUAN</t>
        </is>
      </c>
      <c r="H1244" s="399" t="n"/>
      <c r="J1244" s="392">
        <f>IFERROR(UPPER(TRIM(B1244))&amp;"|"&amp;UPPER(TRIM(C1244))&amp;"|"&amp;UPPER(TRIM(D1244)),"")</f>
        <v/>
      </c>
    </row>
    <row r="1245" ht="15.75" customHeight="1" s="217">
      <c r="A1245" s="400" t="n">
        <v>1243</v>
      </c>
      <c r="B1245" s="400" t="inlineStr">
        <is>
          <t>KH2531</t>
        </is>
      </c>
      <c r="C1245" s="401" t="inlineStr">
        <is>
          <t>Anh Thắng - Bù Đốp/ 0972.738.838/ 0981.918.029</t>
        </is>
      </c>
      <c r="D1245" s="400" t="inlineStr">
        <is>
          <t>0972.738.838 / 0981.918.029</t>
        </is>
      </c>
      <c r="E1245" s="402" t="n"/>
      <c r="F1245" s="401" t="inlineStr">
        <is>
          <t>Bù Đốp - Bình Phước</t>
        </is>
      </c>
      <c r="G1245" s="400" t="inlineStr">
        <is>
          <t>BP</t>
        </is>
      </c>
      <c r="H1245" s="402" t="n"/>
      <c r="J1245" s="392">
        <f>IFERROR(UPPER(TRIM(B1245))&amp;"|"&amp;UPPER(TRIM(C1245))&amp;"|"&amp;UPPER(TRIM(D1245)),"")</f>
        <v/>
      </c>
    </row>
    <row r="1246" ht="15.75" customHeight="1" s="217">
      <c r="A1246" s="397" t="n">
        <v>1244</v>
      </c>
      <c r="B1246" s="397" t="inlineStr">
        <is>
          <t>KH2532</t>
        </is>
      </c>
      <c r="C1246" s="398" t="inlineStr">
        <is>
          <t>Anh Hải - Công ty Trí Thịnh/ 0947.040.105</t>
        </is>
      </c>
      <c r="D1246" s="397" t="inlineStr">
        <is>
          <t>0947.040.105</t>
        </is>
      </c>
      <c r="E1246" s="399" t="n"/>
      <c r="F1246" s="398" t="inlineStr">
        <is>
          <t>Sài Gòn</t>
        </is>
      </c>
      <c r="G1246" s="397" t="inlineStr">
        <is>
          <t>SG/HCM</t>
        </is>
      </c>
      <c r="H1246" s="399" t="n"/>
      <c r="J1246" s="392">
        <f>IFERROR(UPPER(TRIM(B1246))&amp;"|"&amp;UPPER(TRIM(C1246))&amp;"|"&amp;UPPER(TRIM(D1246)),"")</f>
        <v/>
      </c>
    </row>
    <row r="1247" ht="15.75" customHeight="1" s="217">
      <c r="A1247" s="400" t="n">
        <v>1245</v>
      </c>
      <c r="B1247" s="400" t="inlineStr">
        <is>
          <t>KH2533</t>
        </is>
      </c>
      <c r="C1247" s="401" t="inlineStr">
        <is>
          <t>Xưởng Anh Trí (Gara Nhất Trí) - Bảo Lộc/ 0918.525.765</t>
        </is>
      </c>
      <c r="D1247" s="400" t="inlineStr">
        <is>
          <t>0918.525.765</t>
        </is>
      </c>
      <c r="E1247" s="402" t="n"/>
      <c r="F1247" s="401" t="inlineStr">
        <is>
          <t>Bảo Lộc - Lâm Đồng</t>
        </is>
      </c>
      <c r="G1247" s="400" t="inlineStr">
        <is>
          <t>LDONG</t>
        </is>
      </c>
      <c r="H1247" s="402" t="n"/>
      <c r="J1247" s="392">
        <f>IFERROR(UPPER(TRIM(B1247))&amp;"|"&amp;UPPER(TRIM(C1247))&amp;"|"&amp;UPPER(TRIM(D1247)),"")</f>
        <v/>
      </c>
    </row>
    <row r="1248" ht="15.75" customHeight="1" s="217">
      <c r="A1248" s="397" t="n">
        <v>1246</v>
      </c>
      <c r="B1248" s="397" t="inlineStr">
        <is>
          <t>KH2529</t>
        </is>
      </c>
      <c r="C1248" s="398" t="inlineStr">
        <is>
          <t>Cửa Hàng Thanh Long , Đức Trọng - 0918.816.758/ C.nợ 0982.055.739</t>
        </is>
      </c>
      <c r="D1248" s="397" t="inlineStr">
        <is>
          <t>0918.816.758 / 0982.055.739</t>
        </is>
      </c>
      <c r="E1248" s="399" t="n"/>
      <c r="F1248" s="398" t="inlineStr">
        <is>
          <t>SỐ 13, TỔ 24 ĐỨC TRỌNG, LÂM ĐỒNG</t>
        </is>
      </c>
      <c r="G1248" s="397" t="inlineStr">
        <is>
          <t>LDONG</t>
        </is>
      </c>
      <c r="H1248" s="399" t="n"/>
      <c r="J1248" s="392">
        <f>IFERROR(UPPER(TRIM(B1248))&amp;"|"&amp;UPPER(TRIM(C1248))&amp;"|"&amp;UPPER(TRIM(D1248)),"")</f>
        <v/>
      </c>
    </row>
    <row r="1249" ht="15.75" customHeight="1" s="217">
      <c r="A1249" s="400" t="n">
        <v>1247</v>
      </c>
      <c r="B1249" s="400" t="inlineStr">
        <is>
          <t>KH2530</t>
        </is>
      </c>
      <c r="C1249" s="401" t="inlineStr">
        <is>
          <t>XƯỞNG ANH PHONG , BÙ ĐỐP ,BÌNH PHƯỚC -   0989.509.986</t>
        </is>
      </c>
      <c r="D1249" s="400" t="inlineStr">
        <is>
          <t>0989.509.986</t>
        </is>
      </c>
      <c r="E1249" s="402" t="n"/>
      <c r="F1249" s="401" t="inlineStr">
        <is>
          <t>BÙ ĐỐP ,BÌNH PHƯỚC</t>
        </is>
      </c>
      <c r="G1249" s="400" t="inlineStr">
        <is>
          <t>BP</t>
        </is>
      </c>
      <c r="H1249" s="402" t="n"/>
      <c r="J1249" s="392">
        <f>IFERROR(UPPER(TRIM(B1249))&amp;"|"&amp;UPPER(TRIM(C1249))&amp;"|"&amp;UPPER(TRIM(D1249)),"")</f>
        <v/>
      </c>
    </row>
    <row r="1250" ht="15.75" customHeight="1" s="217">
      <c r="A1250" s="397" t="n">
        <v>1248</v>
      </c>
      <c r="B1250" s="397" t="inlineStr">
        <is>
          <t>KH2528</t>
        </is>
      </c>
      <c r="C1250" s="398" t="inlineStr">
        <is>
          <t>Công ty Đa Hà Phát - Biên Hòa - A Đồng 0978.089.784</t>
        </is>
      </c>
      <c r="D1250" s="397" t="inlineStr">
        <is>
          <t>0978.089.784</t>
        </is>
      </c>
      <c r="E1250" s="399" t="n"/>
      <c r="F1250" s="398" t="inlineStr">
        <is>
          <t>Võ Nguyên Giáp, Biên Hòa, Đồng Nai</t>
        </is>
      </c>
      <c r="G1250" s="397" t="inlineStr">
        <is>
          <t>ÐNAI</t>
        </is>
      </c>
      <c r="H1250" s="399" t="n"/>
      <c r="J1250" s="392">
        <f>IFERROR(UPPER(TRIM(B1250))&amp;"|"&amp;UPPER(TRIM(C1250))&amp;"|"&amp;UPPER(TRIM(D1250)),"")</f>
        <v/>
      </c>
    </row>
    <row r="1251" ht="15.75" customHeight="1" s="217">
      <c r="A1251" s="400" t="n">
        <v>1249</v>
      </c>
      <c r="B1251" s="400" t="inlineStr">
        <is>
          <t>KH2526</t>
        </is>
      </c>
      <c r="C1251" s="401" t="inlineStr">
        <is>
          <t>XƯỞNG MINH DUY - BÌNH DƯƠNG - 0978.192.884</t>
        </is>
      </c>
      <c r="D1251" s="400" t="inlineStr">
        <is>
          <t>0978.192.884</t>
        </is>
      </c>
      <c r="E1251" s="402" t="n"/>
      <c r="F1251" s="401" t="inlineStr">
        <is>
          <t>Bàu Bàng - Bình Dương</t>
        </is>
      </c>
      <c r="G1251" s="400" t="inlineStr">
        <is>
          <t>BDUONG</t>
        </is>
      </c>
      <c r="H1251" s="402" t="n"/>
      <c r="J1251" s="392">
        <f>IFERROR(UPPER(TRIM(B1251))&amp;"|"&amp;UPPER(TRIM(C1251))&amp;"|"&amp;UPPER(TRIM(D1251)),"")</f>
        <v/>
      </c>
    </row>
    <row r="1252" ht="15.75" customHeight="1" s="217">
      <c r="A1252" s="397" t="n">
        <v>1250</v>
      </c>
      <c r="B1252" s="397" t="inlineStr">
        <is>
          <t>KH2527</t>
        </is>
      </c>
      <c r="C1252" s="398" t="inlineStr">
        <is>
          <t>Anh Huy (Gara) - Bình Phước - 0971.836.092</t>
        </is>
      </c>
      <c r="D1252" s="397" t="inlineStr">
        <is>
          <t>0971.836.092</t>
        </is>
      </c>
      <c r="E1252" s="399" t="n"/>
      <c r="F1252" s="398" t="inlineStr">
        <is>
          <t>Hớn Quảng - Bình Phước</t>
        </is>
      </c>
      <c r="G1252" s="397" t="inlineStr">
        <is>
          <t>BP</t>
        </is>
      </c>
      <c r="H1252" s="399" t="n"/>
      <c r="J1252" s="392">
        <f>IFERROR(UPPER(TRIM(B1252))&amp;"|"&amp;UPPER(TRIM(C1252))&amp;"|"&amp;UPPER(TRIM(D1252)),"")</f>
        <v/>
      </c>
    </row>
    <row r="1253" ht="15.75" customHeight="1" s="217">
      <c r="A1253" s="400" t="n">
        <v>1251</v>
      </c>
      <c r="B1253" s="400" t="inlineStr">
        <is>
          <t>KH2525</t>
        </is>
      </c>
      <c r="C1253" s="401" t="inlineStr">
        <is>
          <t>Xưởng tiên Quốc Mập-Long Xuyên- An Giang/ 0913.103.057</t>
        </is>
      </c>
      <c r="D1253" s="400" t="inlineStr">
        <is>
          <t>0913.103.057</t>
        </is>
      </c>
      <c r="E1253" s="402" t="n"/>
      <c r="F1253" s="401" t="inlineStr">
        <is>
          <t>145 Trần Hưng Đạo, TP Long Xuyên, An Giang</t>
        </is>
      </c>
      <c r="G1253" s="400" t="inlineStr">
        <is>
          <t>ANGIANG</t>
        </is>
      </c>
      <c r="H1253" s="402" t="n"/>
      <c r="J1253" s="392">
        <f>IFERROR(UPPER(TRIM(B1253))&amp;"|"&amp;UPPER(TRIM(C1253))&amp;"|"&amp;UPPER(TRIM(D1253)),"")</f>
        <v/>
      </c>
    </row>
    <row r="1254" ht="15.75" customHeight="1" s="217">
      <c r="A1254" s="397" t="n">
        <v>1252</v>
      </c>
      <c r="B1254" s="397" t="inlineStr">
        <is>
          <t>KH2522</t>
        </is>
      </c>
      <c r="C1254" s="398" t="inlineStr">
        <is>
          <t>Xưởng tiện Anh Mười - Tiền Giang/ 0919.647.492</t>
        </is>
      </c>
      <c r="D1254" s="397" t="inlineStr">
        <is>
          <t>0919.647.492</t>
        </is>
      </c>
      <c r="E1254" s="399" t="n"/>
      <c r="F1254" s="398" t="inlineStr">
        <is>
          <t>Mỹ Tho, Tiền Giang</t>
        </is>
      </c>
      <c r="G1254" s="397" t="inlineStr">
        <is>
          <t>TGIANG</t>
        </is>
      </c>
      <c r="H1254" s="397" t="inlineStr">
        <is>
          <t>Giao hàng thu tiền Chành 36 Trần Chánh Chiếu - 0913.134.956 - từ 16h30 đến 18h. Giao qua xưởng Quế Hưng - Ngã tư Bình Phước - 0908.916.067</t>
        </is>
      </c>
      <c r="J1254" s="392">
        <f>IFERROR(UPPER(TRIM(B1254))&amp;"|"&amp;UPPER(TRIM(C1254))&amp;"|"&amp;UPPER(TRIM(D1254)),"")</f>
        <v/>
      </c>
    </row>
    <row r="1255" ht="15.75" customHeight="1" s="217">
      <c r="A1255" s="400" t="n">
        <v>1253</v>
      </c>
      <c r="B1255" s="400" t="inlineStr">
        <is>
          <t>KH2523</t>
        </is>
      </c>
      <c r="C1255" s="401" t="inlineStr">
        <is>
          <t>Xưởng tiện A Châu - Gia Lai/ 0903.504.921</t>
        </is>
      </c>
      <c r="D1255" s="400" t="inlineStr">
        <is>
          <t>0903.504.921</t>
        </is>
      </c>
      <c r="E1255" s="402" t="n"/>
      <c r="F1255" s="401" t="inlineStr">
        <is>
          <t>34 CÙ CHÍNH LAN , GIA LAI</t>
        </is>
      </c>
      <c r="G1255" s="400" t="inlineStr">
        <is>
          <t>GLAI</t>
        </is>
      </c>
      <c r="H1255" s="402" t="n"/>
      <c r="J1255" s="392">
        <f>IFERROR(UPPER(TRIM(B1255))&amp;"|"&amp;UPPER(TRIM(C1255))&amp;"|"&amp;UPPER(TRIM(D1255)),"")</f>
        <v/>
      </c>
    </row>
    <row r="1256" ht="15.75" customHeight="1" s="217">
      <c r="A1256" s="397" t="n">
        <v>1254</v>
      </c>
      <c r="B1256" s="397" t="inlineStr">
        <is>
          <t>KH2524</t>
        </is>
      </c>
      <c r="C1256" s="398" t="inlineStr">
        <is>
          <t>Xưởng tiện A Long - Gia Lai/ 0914.148.541</t>
        </is>
      </c>
      <c r="D1256" s="397" t="inlineStr">
        <is>
          <t>0914.148.541</t>
        </is>
      </c>
      <c r="E1256" s="399" t="n"/>
      <c r="F1256" s="398" t="inlineStr">
        <is>
          <t>190 LÊ THÁNH TÔN , PLEICU, GIA LAI</t>
        </is>
      </c>
      <c r="G1256" s="397" t="inlineStr">
        <is>
          <t>GLAI</t>
        </is>
      </c>
      <c r="H1256" s="399" t="n"/>
      <c r="J1256" s="392">
        <f>IFERROR(UPPER(TRIM(B1256))&amp;"|"&amp;UPPER(TRIM(C1256))&amp;"|"&amp;UPPER(TRIM(D1256)),"")</f>
        <v/>
      </c>
    </row>
    <row r="1257" ht="15.75" customHeight="1" s="217">
      <c r="A1257" s="400" t="n">
        <v>1255</v>
      </c>
      <c r="B1257" s="400" t="inlineStr">
        <is>
          <t>KH2521</t>
        </is>
      </c>
      <c r="C1257" s="401" t="inlineStr">
        <is>
          <t>Cty Đại Kim Tượng - Nhà Bè - Sài Gòn - 0902.664.634</t>
        </is>
      </c>
      <c r="D1257" s="400" t="inlineStr">
        <is>
          <t>0902.664.634</t>
        </is>
      </c>
      <c r="E1257" s="402" t="n"/>
      <c r="F1257" s="401" t="inlineStr">
        <is>
          <t>Nhà Bè - Sài Gòn</t>
        </is>
      </c>
      <c r="G1257" s="400" t="inlineStr">
        <is>
          <t>SG/HCM</t>
        </is>
      </c>
      <c r="H1257" s="402" t="n"/>
      <c r="J1257" s="392">
        <f>IFERROR(UPPER(TRIM(B1257))&amp;"|"&amp;UPPER(TRIM(C1257))&amp;"|"&amp;UPPER(TRIM(D1257)),"")</f>
        <v/>
      </c>
    </row>
    <row r="1258" ht="15.75" customHeight="1" s="217">
      <c r="A1258" s="397" t="n">
        <v>1256</v>
      </c>
      <c r="B1258" s="397" t="inlineStr">
        <is>
          <t>KH2519</t>
        </is>
      </c>
      <c r="C1258" s="398" t="inlineStr">
        <is>
          <t>XƯỞNG TÂN SANG - ĐỒNG NAI/ 0933.414.914</t>
        </is>
      </c>
      <c r="D1258" s="397" t="inlineStr">
        <is>
          <t>0933.414.914</t>
        </is>
      </c>
      <c r="E1258" s="399" t="n"/>
      <c r="F1258" s="398" t="inlineStr">
        <is>
          <t>VĨNH TÂN, VĨNH CỬU, ĐỒNG NAI</t>
        </is>
      </c>
      <c r="G1258" s="397" t="inlineStr">
        <is>
          <t>ÐNAI</t>
        </is>
      </c>
      <c r="H1258" s="397" t="inlineStr">
        <is>
          <t>Địa chỉ giao hàng: xe Kim ánh - 510 Kinh Dương Vương/ 0988.249.496</t>
        </is>
      </c>
      <c r="J1258" s="392">
        <f>IFERROR(UPPER(TRIM(B1258))&amp;"|"&amp;UPPER(TRIM(C1258))&amp;"|"&amp;UPPER(TRIM(D1258)),"")</f>
        <v/>
      </c>
    </row>
    <row r="1259" ht="15.75" customHeight="1" s="217">
      <c r="A1259" s="400" t="n">
        <v>1257</v>
      </c>
      <c r="B1259" s="400" t="inlineStr">
        <is>
          <t>KH2520</t>
        </is>
      </c>
      <c r="C1259" s="401" t="inlineStr">
        <is>
          <t>Xưởng tiện Hồng Phước - ĐắkLắk/ Cô Phước 0913.437.166</t>
        </is>
      </c>
      <c r="D1259" s="400" t="inlineStr">
        <is>
          <t>0913.437.166</t>
        </is>
      </c>
      <c r="E1259" s="402" t="n"/>
      <c r="F1259" s="401" t="inlineStr">
        <is>
          <t>TP Buôn Ma Thuột, ĐắkLắk</t>
        </is>
      </c>
      <c r="G1259" s="400" t="inlineStr">
        <is>
          <t>ÐL</t>
        </is>
      </c>
      <c r="H1259" s="402" t="n"/>
      <c r="J1259" s="392">
        <f>IFERROR(UPPER(TRIM(B1259))&amp;"|"&amp;UPPER(TRIM(C1259))&amp;"|"&amp;UPPER(TRIM(D1259)),"")</f>
        <v/>
      </c>
    </row>
    <row r="1260" ht="15.75" customHeight="1" s="217">
      <c r="A1260" s="397" t="n">
        <v>1258</v>
      </c>
      <c r="B1260" s="397" t="inlineStr">
        <is>
          <t>KH2517</t>
        </is>
      </c>
      <c r="C1260" s="398" t="inlineStr">
        <is>
          <t>Xưởng Minh Mẫn - Bảo Lộc , Lâm Đồng / A Triết 0918.772.485</t>
        </is>
      </c>
      <c r="D1260" s="397" t="inlineStr">
        <is>
          <t>0918.772.485</t>
        </is>
      </c>
      <c r="E1260" s="399" t="n"/>
      <c r="F1260" s="398" t="inlineStr">
        <is>
          <t>Bảo Lộc - Lâm Đồng</t>
        </is>
      </c>
      <c r="G1260" s="397" t="inlineStr">
        <is>
          <t>LDONG</t>
        </is>
      </c>
      <c r="H1260" s="399" t="n"/>
      <c r="J1260" s="392">
        <f>IFERROR(UPPER(TRIM(B1260))&amp;"|"&amp;UPPER(TRIM(C1260))&amp;"|"&amp;UPPER(TRIM(D1260)),"")</f>
        <v/>
      </c>
    </row>
    <row r="1261" ht="15.75" customHeight="1" s="217">
      <c r="A1261" s="400" t="n">
        <v>1259</v>
      </c>
      <c r="B1261" s="400" t="inlineStr">
        <is>
          <t>KH2518</t>
        </is>
      </c>
      <c r="C1261" s="401" t="inlineStr">
        <is>
          <t>Cửa hàng Ô tô Văn Bích/ Quảng Ngãi 0914.505.652/ 0914.128.377</t>
        </is>
      </c>
      <c r="D1261" s="400" t="inlineStr">
        <is>
          <t>0914.505.652 / 0914.128.377</t>
        </is>
      </c>
      <c r="E1261" s="402" t="n"/>
      <c r="F1261" s="401" t="inlineStr">
        <is>
          <t>ĐINH TIÊN HOÀNG ,NGHĨA CHÀNH BẮC ,QUẢNG NGÃI</t>
        </is>
      </c>
      <c r="G1261" s="400" t="inlineStr">
        <is>
          <t>QUNGAI</t>
        </is>
      </c>
      <c r="H1261" s="402" t="n"/>
      <c r="J1261" s="392">
        <f>IFERROR(UPPER(TRIM(B1261))&amp;"|"&amp;UPPER(TRIM(C1261))&amp;"|"&amp;UPPER(TRIM(D1261)),"")</f>
        <v/>
      </c>
    </row>
    <row r="1262" ht="15.75" customHeight="1" s="217">
      <c r="A1262" s="397" t="n">
        <v>1260</v>
      </c>
      <c r="B1262" s="397" t="inlineStr">
        <is>
          <t>KH2515</t>
        </is>
      </c>
      <c r="C1262" s="398" t="inlineStr">
        <is>
          <t>Anh Thành - Suối tiên/ 0905.774.679 - 0986.509.779</t>
        </is>
      </c>
      <c r="D1262" s="397" t="inlineStr">
        <is>
          <t>0905.774.679 / 0986.509.779</t>
        </is>
      </c>
      <c r="E1262" s="399" t="n"/>
      <c r="F1262" s="398" t="inlineStr">
        <is>
          <t>Suối tiên, TPHCM</t>
        </is>
      </c>
      <c r="G1262" s="397" t="inlineStr">
        <is>
          <t>SG/HCM</t>
        </is>
      </c>
      <c r="H1262" s="399" t="n"/>
      <c r="J1262" s="392">
        <f>IFERROR(UPPER(TRIM(B1262))&amp;"|"&amp;UPPER(TRIM(C1262))&amp;"|"&amp;UPPER(TRIM(D1262)),"")</f>
        <v/>
      </c>
    </row>
    <row r="1263" ht="15.75" customHeight="1" s="217">
      <c r="A1263" s="400" t="n">
        <v>1261</v>
      </c>
      <c r="B1263" s="400" t="inlineStr">
        <is>
          <t>KH2516</t>
        </is>
      </c>
      <c r="C1263" s="401" t="inlineStr">
        <is>
          <t>Cửa hàng Phước Thịnh - Châu Đốc - An Giang / 0967.878.288</t>
        </is>
      </c>
      <c r="D1263" s="400" t="inlineStr">
        <is>
          <t>0967.878.288</t>
        </is>
      </c>
      <c r="E1263" s="402" t="n"/>
      <c r="F1263" s="401" t="inlineStr">
        <is>
          <t>Châu Đốc - An Giang</t>
        </is>
      </c>
      <c r="G1263" s="400" t="inlineStr">
        <is>
          <t>ANGIANG</t>
        </is>
      </c>
      <c r="H1263" s="402" t="n"/>
      <c r="J1263" s="392">
        <f>IFERROR(UPPER(TRIM(B1263))&amp;"|"&amp;UPPER(TRIM(C1263))&amp;"|"&amp;UPPER(TRIM(D1263)),"")</f>
        <v/>
      </c>
    </row>
    <row r="1264" ht="15.75" customHeight="1" s="217">
      <c r="A1264" s="397" t="n">
        <v>1262</v>
      </c>
      <c r="B1264" s="397" t="inlineStr">
        <is>
          <t>CAK</t>
        </is>
      </c>
      <c r="C1264" s="398" t="inlineStr">
        <is>
          <t>XI'AN KAKA POWER MACHINERY CO., LTD (chuyên CAT)</t>
        </is>
      </c>
      <c r="D1264" s="399" t="n"/>
      <c r="E1264" s="399" t="n"/>
      <c r="F1264" s="398" t="inlineStr">
        <is>
          <t>D7, Huijin Chuangye Yuan, Caotan 6th road, Economic Development zone, Xi'an City, Shaanxi</t>
        </is>
      </c>
      <c r="G1264" s="399" t="n"/>
      <c r="H1264" s="399" t="n"/>
      <c r="J1264" s="392">
        <f>IFERROR(UPPER(TRIM(B1264))&amp;"|"&amp;UPPER(TRIM(C1264))&amp;"|"&amp;UPPER(TRIM(D1264)),"")</f>
        <v/>
      </c>
    </row>
    <row r="1265" ht="15.75" customHeight="1" s="217">
      <c r="A1265" s="400" t="n">
        <v>1263</v>
      </c>
      <c r="B1265" s="400" t="inlineStr">
        <is>
          <t>KH2514</t>
        </is>
      </c>
      <c r="C1265" s="401" t="inlineStr">
        <is>
          <t>Xưởng tiện Đoàn Hiền - Kontum/ 0988.330.137</t>
        </is>
      </c>
      <c r="D1265" s="400" t="inlineStr">
        <is>
          <t>0988.330.137</t>
        </is>
      </c>
      <c r="E1265" s="402" t="n"/>
      <c r="F1265" s="401" t="inlineStr">
        <is>
          <t>Kontum</t>
        </is>
      </c>
      <c r="G1265" s="400" t="inlineStr">
        <is>
          <t>KTUM</t>
        </is>
      </c>
      <c r="H1265" s="402" t="n"/>
      <c r="J1265" s="392">
        <f>IFERROR(UPPER(TRIM(B1265))&amp;"|"&amp;UPPER(TRIM(C1265))&amp;"|"&amp;UPPER(TRIM(D1265)),"")</f>
        <v/>
      </c>
    </row>
    <row r="1266" ht="15.75" customHeight="1" s="217">
      <c r="A1266" s="397" t="n">
        <v>1264</v>
      </c>
      <c r="B1266" s="397" t="inlineStr">
        <is>
          <t>KH2513</t>
        </is>
      </c>
      <c r="C1266" s="398" t="inlineStr">
        <is>
          <t>Gara Nô - Di Linh / 0948.547.786</t>
        </is>
      </c>
      <c r="D1266" s="397" t="inlineStr">
        <is>
          <t>0948.547.786</t>
        </is>
      </c>
      <c r="E1266" s="399" t="n"/>
      <c r="F1266" s="398" t="inlineStr">
        <is>
          <t>Di Linh - Lâm Đồng</t>
        </is>
      </c>
      <c r="G1266" s="397" t="inlineStr">
        <is>
          <t>LDONG</t>
        </is>
      </c>
      <c r="H1266" s="399" t="n"/>
      <c r="J1266" s="392">
        <f>IFERROR(UPPER(TRIM(B1266))&amp;"|"&amp;UPPER(TRIM(C1266))&amp;"|"&amp;UPPER(TRIM(D1266)),"")</f>
        <v/>
      </c>
    </row>
    <row r="1267" ht="15.75" customHeight="1" s="217">
      <c r="A1267" s="400" t="n">
        <v>1265</v>
      </c>
      <c r="B1267" s="400" t="inlineStr">
        <is>
          <t>VXB</t>
        </is>
      </c>
      <c r="C1267" s="401" t="inlineStr">
        <is>
          <t>WENZHOU XINBAO AUTOMOBILE PARTS (sx supap)</t>
        </is>
      </c>
      <c r="D1267" s="402" t="n"/>
      <c r="E1267" s="402" t="n"/>
      <c r="F1267" s="401" t="inlineStr">
        <is>
          <t>No. 102 Changchun South Rd Yuyang Town, PingYang County, Zhejiang</t>
        </is>
      </c>
      <c r="G1267" s="402" t="n"/>
      <c r="H1267" s="402" t="n"/>
      <c r="J1267" s="392">
        <f>IFERROR(UPPER(TRIM(B1267))&amp;"|"&amp;UPPER(TRIM(C1267))&amp;"|"&amp;UPPER(TRIM(D1267)),"")</f>
        <v/>
      </c>
    </row>
    <row r="1268" ht="15.75" customHeight="1" s="217">
      <c r="A1268" s="397" t="n">
        <v>1266</v>
      </c>
      <c r="B1268" s="397" t="inlineStr">
        <is>
          <t>KH2510</t>
        </is>
      </c>
      <c r="C1268" s="398" t="inlineStr">
        <is>
          <t>Xưởng Tiến Dũng - Bàu Bàng - Bình Dương / A Dũng 0977.456.999</t>
        </is>
      </c>
      <c r="D1268" s="397" t="inlineStr">
        <is>
          <t>0977.456.999</t>
        </is>
      </c>
      <c r="E1268" s="399" t="n"/>
      <c r="F1268" s="398" t="inlineStr">
        <is>
          <t>Bàu Bàng - Bình Dương</t>
        </is>
      </c>
      <c r="G1268" s="397" t="inlineStr">
        <is>
          <t>BDUONG</t>
        </is>
      </c>
      <c r="H1268" s="399" t="n"/>
      <c r="J1268" s="392">
        <f>IFERROR(UPPER(TRIM(B1268))&amp;"|"&amp;UPPER(TRIM(C1268))&amp;"|"&amp;UPPER(TRIM(D1268)),"")</f>
        <v/>
      </c>
    </row>
    <row r="1269" ht="15.75" customHeight="1" s="217">
      <c r="A1269" s="400" t="n">
        <v>1267</v>
      </c>
      <c r="B1269" s="400" t="inlineStr">
        <is>
          <t>KH2511</t>
        </is>
      </c>
      <c r="C1269" s="401" t="inlineStr">
        <is>
          <t>Anh Cư - Gara Trường Sơn - Bình Phước / 0888.588.252</t>
        </is>
      </c>
      <c r="D1269" s="400" t="inlineStr">
        <is>
          <t>0888.588.252</t>
        </is>
      </c>
      <c r="E1269" s="402" t="n"/>
      <c r="F1269" s="401" t="inlineStr">
        <is>
          <t>Bù Đăng - Bình Phước</t>
        </is>
      </c>
      <c r="G1269" s="400" t="inlineStr">
        <is>
          <t>BP</t>
        </is>
      </c>
      <c r="H1269" s="402" t="n"/>
      <c r="J1269" s="392">
        <f>IFERROR(UPPER(TRIM(B1269))&amp;"|"&amp;UPPER(TRIM(C1269))&amp;"|"&amp;UPPER(TRIM(D1269)),"")</f>
        <v/>
      </c>
    </row>
    <row r="1270" ht="15.75" customHeight="1" s="217">
      <c r="A1270" s="397" t="n">
        <v>1268</v>
      </c>
      <c r="B1270" s="397" t="inlineStr">
        <is>
          <t>KH2512</t>
        </is>
      </c>
      <c r="C1270" s="398" t="inlineStr">
        <is>
          <t>Anh Vỹ - Bù Đốp/ 0978.803.979</t>
        </is>
      </c>
      <c r="D1270" s="397" t="inlineStr">
        <is>
          <t>0978.803.979</t>
        </is>
      </c>
      <c r="E1270" s="399" t="n"/>
      <c r="F1270" s="398" t="inlineStr">
        <is>
          <t>Bù Đốp - Bình Phước</t>
        </is>
      </c>
      <c r="G1270" s="397" t="inlineStr">
        <is>
          <t>BP</t>
        </is>
      </c>
      <c r="H1270" s="399" t="n"/>
      <c r="J1270" s="392">
        <f>IFERROR(UPPER(TRIM(B1270))&amp;"|"&amp;UPPER(TRIM(C1270))&amp;"|"&amp;UPPER(TRIM(D1270)),"")</f>
        <v/>
      </c>
    </row>
    <row r="1271" ht="15.75" customHeight="1" s="217">
      <c r="A1271" s="400" t="n">
        <v>1269</v>
      </c>
      <c r="B1271" s="400" t="inlineStr">
        <is>
          <t>KH2507</t>
        </is>
      </c>
      <c r="C1271" s="401" t="inlineStr">
        <is>
          <t>Cửa hàng Thoa Ron - ĐắkLắk/ 0943.754.179</t>
        </is>
      </c>
      <c r="D1271" s="400" t="inlineStr">
        <is>
          <t>0943.754.179</t>
        </is>
      </c>
      <c r="E1271" s="402" t="n"/>
      <c r="F1271" s="401" t="inlineStr">
        <is>
          <t>ĐắkLắk</t>
        </is>
      </c>
      <c r="G1271" s="400" t="inlineStr">
        <is>
          <t>ÐL</t>
        </is>
      </c>
      <c r="H1271" s="402" t="n"/>
      <c r="J1271" s="392">
        <f>IFERROR(UPPER(TRIM(B1271))&amp;"|"&amp;UPPER(TRIM(C1271))&amp;"|"&amp;UPPER(TRIM(D1271)),"")</f>
        <v/>
      </c>
    </row>
    <row r="1272" ht="15.75" customHeight="1" s="217">
      <c r="A1272" s="397" t="n">
        <v>1270</v>
      </c>
      <c r="B1272" s="397" t="inlineStr">
        <is>
          <t>KH2508</t>
        </is>
      </c>
      <c r="C1272" s="398" t="inlineStr">
        <is>
          <t>Cửa hàng Hậu Nghĩa (Chị Trang) - An Giang / 0903.984.555</t>
        </is>
      </c>
      <c r="D1272" s="397" t="inlineStr">
        <is>
          <t>0903.984.555</t>
        </is>
      </c>
      <c r="E1272" s="399" t="n"/>
      <c r="F1272" s="398" t="inlineStr">
        <is>
          <t>TP Long Xuyên, An Giang</t>
        </is>
      </c>
      <c r="G1272" s="397" t="inlineStr">
        <is>
          <t>ANGIANG</t>
        </is>
      </c>
      <c r="H1272" s="399" t="n"/>
      <c r="J1272" s="392">
        <f>IFERROR(UPPER(TRIM(B1272))&amp;"|"&amp;UPPER(TRIM(C1272))&amp;"|"&amp;UPPER(TRIM(D1272)),"")</f>
        <v/>
      </c>
    </row>
    <row r="1273" ht="15.75" customHeight="1" s="217">
      <c r="A1273" s="400" t="n">
        <v>1271</v>
      </c>
      <c r="B1273" s="400" t="inlineStr">
        <is>
          <t>KH2509</t>
        </is>
      </c>
      <c r="C1273" s="401" t="inlineStr">
        <is>
          <t>Phụ tùng ô tô Trung Quốc Nguyễn Khải Hoàn - Đồng Nai - 0903.744.066</t>
        </is>
      </c>
      <c r="D1273" s="400" t="inlineStr">
        <is>
          <t>0903.744.066</t>
        </is>
      </c>
      <c r="E1273" s="402" t="n"/>
      <c r="F1273" s="401" t="inlineStr">
        <is>
          <t>Biên Hòa, Đồng Nai</t>
        </is>
      </c>
      <c r="G1273" s="402" t="n"/>
      <c r="H1273" s="402" t="n"/>
      <c r="J1273" s="392">
        <f>IFERROR(UPPER(TRIM(B1273))&amp;"|"&amp;UPPER(TRIM(C1273))&amp;"|"&amp;UPPER(TRIM(D1273)),"")</f>
        <v/>
      </c>
    </row>
    <row r="1274" ht="15.75" customHeight="1" s="217">
      <c r="A1274" s="397" t="n">
        <v>1272</v>
      </c>
      <c r="B1274" s="397" t="inlineStr">
        <is>
          <t>KH2506</t>
        </is>
      </c>
      <c r="C1274" s="398" t="inlineStr">
        <is>
          <t>Cty Cổ phần Xây dựng Hạ tầng Đại Phong - Anh Tuyên/ 0357.521.280</t>
        </is>
      </c>
      <c r="D1274" s="397" t="inlineStr">
        <is>
          <t>0357.521.280</t>
        </is>
      </c>
      <c r="E1274" s="399" t="n"/>
      <c r="F1274" s="398" t="inlineStr">
        <is>
          <t>Thị trấn Lâm - Ý Yên - Nam Định</t>
        </is>
      </c>
      <c r="G1274" s="399" t="n"/>
      <c r="H1274" s="399" t="n"/>
      <c r="J1274" s="392">
        <f>IFERROR(UPPER(TRIM(B1274))&amp;"|"&amp;UPPER(TRIM(C1274))&amp;"|"&amp;UPPER(TRIM(D1274)),"")</f>
        <v/>
      </c>
    </row>
    <row r="1275" ht="15.75" customHeight="1" s="217">
      <c r="A1275" s="400" t="n">
        <v>1273</v>
      </c>
      <c r="B1275" s="400" t="inlineStr">
        <is>
          <t>KH2500</t>
        </is>
      </c>
      <c r="C1275" s="401" t="inlineStr">
        <is>
          <t>Cửa hàng anh Nghĩa - Bến Tre / 0918.056.235</t>
        </is>
      </c>
      <c r="D1275" s="400" t="inlineStr">
        <is>
          <t>0918.056.235</t>
        </is>
      </c>
      <c r="E1275" s="402" t="n"/>
      <c r="F1275" s="401" t="inlineStr">
        <is>
          <t>Bến Tre</t>
        </is>
      </c>
      <c r="G1275" s="400" t="inlineStr">
        <is>
          <t>BTRE</t>
        </is>
      </c>
      <c r="H1275" s="402" t="n"/>
      <c r="J1275" s="392">
        <f>IFERROR(UPPER(TRIM(B1275))&amp;"|"&amp;UPPER(TRIM(C1275))&amp;"|"&amp;UPPER(TRIM(D1275)),"")</f>
        <v/>
      </c>
    </row>
    <row r="1276" ht="15.75" customHeight="1" s="217">
      <c r="A1276" s="397" t="n">
        <v>1274</v>
      </c>
      <c r="B1276" s="397" t="inlineStr">
        <is>
          <t>KH2501</t>
        </is>
      </c>
      <c r="C1276" s="398" t="inlineStr">
        <is>
          <t>Xưởng anh Dũng Gầy - Bình Phước/ 0909.840.356</t>
        </is>
      </c>
      <c r="D1276" s="397" t="inlineStr">
        <is>
          <t>0909.840.356</t>
        </is>
      </c>
      <c r="E1276" s="399" t="n"/>
      <c r="F1276" s="398" t="inlineStr">
        <is>
          <t>Lộc Ninh, Bình Phước</t>
        </is>
      </c>
      <c r="G1276" s="397" t="inlineStr">
        <is>
          <t>BP</t>
        </is>
      </c>
      <c r="H1276" s="399" t="n"/>
      <c r="J1276" s="392">
        <f>IFERROR(UPPER(TRIM(B1276))&amp;"|"&amp;UPPER(TRIM(C1276))&amp;"|"&amp;UPPER(TRIM(D1276)),"")</f>
        <v/>
      </c>
    </row>
    <row r="1277" ht="15.75" customHeight="1" s="217">
      <c r="A1277" s="400" t="n">
        <v>1275</v>
      </c>
      <c r="B1277" s="400" t="inlineStr">
        <is>
          <t>KH2502</t>
        </is>
      </c>
      <c r="C1277" s="401" t="inlineStr">
        <is>
          <t>Xưởng Tấn Tài - Pleiku / 0984.504.754</t>
        </is>
      </c>
      <c r="D1277" s="400" t="inlineStr">
        <is>
          <t>0984.504.754</t>
        </is>
      </c>
      <c r="E1277" s="402" t="n"/>
      <c r="F1277" s="401" t="inlineStr">
        <is>
          <t>19C Lê Đại Hành, Pleiku, Gia Lai</t>
        </is>
      </c>
      <c r="G1277" s="400" t="inlineStr">
        <is>
          <t>GLAI</t>
        </is>
      </c>
      <c r="H1277" s="402" t="n"/>
      <c r="J1277" s="392">
        <f>IFERROR(UPPER(TRIM(B1277))&amp;"|"&amp;UPPER(TRIM(C1277))&amp;"|"&amp;UPPER(TRIM(D1277)),"")</f>
        <v/>
      </c>
    </row>
    <row r="1278" ht="15.75" customHeight="1" s="217">
      <c r="A1278" s="397" t="n">
        <v>1276</v>
      </c>
      <c r="B1278" s="397" t="inlineStr">
        <is>
          <t>KH2503</t>
        </is>
      </c>
      <c r="C1278" s="398" t="inlineStr">
        <is>
          <t>Anh Hoài chủ xe - Di Linh, Lâm Đồng / 0964.522.345</t>
        </is>
      </c>
      <c r="D1278" s="397" t="inlineStr">
        <is>
          <t>0964.522.345</t>
        </is>
      </c>
      <c r="E1278" s="399" t="n"/>
      <c r="F1278" s="398" t="inlineStr">
        <is>
          <t>Di Linh, Lâm Đồng</t>
        </is>
      </c>
      <c r="G1278" s="397" t="inlineStr">
        <is>
          <t>LDONG</t>
        </is>
      </c>
      <c r="H1278" s="399" t="n"/>
      <c r="J1278" s="392">
        <f>IFERROR(UPPER(TRIM(B1278))&amp;"|"&amp;UPPER(TRIM(C1278))&amp;"|"&amp;UPPER(TRIM(D1278)),"")</f>
        <v/>
      </c>
    </row>
    <row r="1279" ht="15.75" customHeight="1" s="217">
      <c r="A1279" s="400" t="n">
        <v>1277</v>
      </c>
      <c r="B1279" s="400" t="inlineStr">
        <is>
          <t>KH2504</t>
        </is>
      </c>
      <c r="C1279" s="401" t="inlineStr">
        <is>
          <t>Cửa hàng Tiến Minh (chị Tuyền) - Khánh Hòa / 0918.827.086</t>
        </is>
      </c>
      <c r="D1279" s="400" t="inlineStr">
        <is>
          <t>0918.827.086</t>
        </is>
      </c>
      <c r="E1279" s="402" t="n"/>
      <c r="F1279" s="401" t="inlineStr">
        <is>
          <t>Quốc lộ 1A, Vạn Bình, Vạn Ninh, Khánh Hòa</t>
        </is>
      </c>
      <c r="G1279" s="400" t="inlineStr">
        <is>
          <t>NTRANG</t>
        </is>
      </c>
      <c r="H1279" s="400" t="inlineStr">
        <is>
          <t>Địa chỉ giao hàng: xe Kim ánh - 510 Kinh Dương Vương/ 0988.249.496</t>
        </is>
      </c>
      <c r="J1279" s="392">
        <f>IFERROR(UPPER(TRIM(B1279))&amp;"|"&amp;UPPER(TRIM(C1279))&amp;"|"&amp;UPPER(TRIM(D1279)),"")</f>
        <v/>
      </c>
    </row>
    <row r="1280" ht="15.75" customHeight="1" s="217">
      <c r="A1280" s="397" t="n">
        <v>1278</v>
      </c>
      <c r="B1280" s="397" t="inlineStr">
        <is>
          <t>KH2505</t>
        </is>
      </c>
      <c r="C1280" s="398" t="inlineStr">
        <is>
          <t>Anh Sâm - Bãi máy Busan - Cầu Vượt Sóng Thần - 0938.009.359</t>
        </is>
      </c>
      <c r="D1280" s="397" t="inlineStr">
        <is>
          <t>0938.009.359</t>
        </is>
      </c>
      <c r="E1280" s="399" t="n"/>
      <c r="F1280" s="398" t="inlineStr">
        <is>
          <t>Cầu Vượt Sóng Thần, Sài Gòn</t>
        </is>
      </c>
      <c r="G1280" s="397" t="inlineStr">
        <is>
          <t>SG/HCM</t>
        </is>
      </c>
      <c r="H1280" s="399" t="n"/>
      <c r="J1280" s="392">
        <f>IFERROR(UPPER(TRIM(B1280))&amp;"|"&amp;UPPER(TRIM(C1280))&amp;"|"&amp;UPPER(TRIM(D1280)),"")</f>
        <v/>
      </c>
    </row>
    <row r="1281" ht="15.75" customHeight="1" s="217">
      <c r="A1281" s="400" t="n">
        <v>1279</v>
      </c>
      <c r="B1281" s="400" t="inlineStr">
        <is>
          <t>KH2499</t>
        </is>
      </c>
      <c r="C1281" s="401" t="inlineStr">
        <is>
          <t>CTy TNHH MTN Ô tô Việt Đông Phong / 0979.882.979</t>
        </is>
      </c>
      <c r="D1281" s="400" t="inlineStr">
        <is>
          <t>0979.882.979</t>
        </is>
      </c>
      <c r="E1281" s="402" t="n"/>
      <c r="F1281" s="401" t="inlineStr">
        <is>
          <t>Binh Duong</t>
        </is>
      </c>
      <c r="G1281" s="400" t="inlineStr">
        <is>
          <t>BDUONG</t>
        </is>
      </c>
      <c r="H1281" s="402" t="n"/>
      <c r="J1281" s="392">
        <f>IFERROR(UPPER(TRIM(B1281))&amp;"|"&amp;UPPER(TRIM(C1281))&amp;"|"&amp;UPPER(TRIM(D1281)),"")</f>
        <v/>
      </c>
    </row>
    <row r="1282" ht="15.75" customHeight="1" s="217">
      <c r="A1282" s="397" t="n">
        <v>1280</v>
      </c>
      <c r="B1282" s="397" t="inlineStr">
        <is>
          <t>KH2497</t>
        </is>
      </c>
      <c r="C1282" s="398" t="inlineStr">
        <is>
          <t>Cửa hàng anh Nam - An Giang/ 0997.818.388</t>
        </is>
      </c>
      <c r="D1282" s="397" t="inlineStr">
        <is>
          <t>0997.818.388</t>
        </is>
      </c>
      <c r="E1282" s="399" t="n"/>
      <c r="F1282" s="398" t="inlineStr">
        <is>
          <t>Thành phố Long Xuyên, An Giang</t>
        </is>
      </c>
      <c r="G1282" s="397" t="inlineStr">
        <is>
          <t>ANGIANG</t>
        </is>
      </c>
      <c r="H1282" s="399" t="n"/>
      <c r="J1282" s="392">
        <f>IFERROR(UPPER(TRIM(B1282))&amp;"|"&amp;UPPER(TRIM(C1282))&amp;"|"&amp;UPPER(TRIM(D1282)),"")</f>
        <v/>
      </c>
    </row>
    <row r="1283" ht="15.75" customHeight="1" s="217">
      <c r="A1283" s="400" t="n">
        <v>1281</v>
      </c>
      <c r="B1283" s="400" t="inlineStr">
        <is>
          <t>KH2498</t>
        </is>
      </c>
      <c r="C1283" s="401" t="inlineStr">
        <is>
          <t>Xưởng Anh Khánh -  Ngã 4 An Sương / 0913.770.687</t>
        </is>
      </c>
      <c r="D1283" s="400" t="inlineStr">
        <is>
          <t>0913.770.687</t>
        </is>
      </c>
      <c r="E1283" s="402" t="n"/>
      <c r="F1283" s="401" t="inlineStr">
        <is>
          <t>Sài Gòn</t>
        </is>
      </c>
      <c r="G1283" s="400" t="inlineStr">
        <is>
          <t>SG/HCM</t>
        </is>
      </c>
      <c r="H1283" s="402" t="n"/>
      <c r="J1283" s="392">
        <f>IFERROR(UPPER(TRIM(B1283))&amp;"|"&amp;UPPER(TRIM(C1283))&amp;"|"&amp;UPPER(TRIM(D1283)),"")</f>
        <v/>
      </c>
    </row>
    <row r="1284" ht="15.75" customHeight="1" s="217">
      <c r="A1284" s="397" t="n">
        <v>1282</v>
      </c>
      <c r="B1284" s="397" t="inlineStr">
        <is>
          <t>KH2496</t>
        </is>
      </c>
      <c r="C1284" s="398" t="inlineStr">
        <is>
          <t>Anh Nhất - Bình Dương / 0937.010.035</t>
        </is>
      </c>
      <c r="D1284" s="397" t="inlineStr">
        <is>
          <t>0937.010.035</t>
        </is>
      </c>
      <c r="E1284" s="399" t="n"/>
      <c r="F1284" s="398" t="inlineStr">
        <is>
          <t>Bến Cát - Bình dương</t>
        </is>
      </c>
      <c r="G1284" s="397" t="inlineStr">
        <is>
          <t>BDUONG</t>
        </is>
      </c>
      <c r="H1284" s="399" t="n"/>
      <c r="J1284" s="392">
        <f>IFERROR(UPPER(TRIM(B1284))&amp;"|"&amp;UPPER(TRIM(C1284))&amp;"|"&amp;UPPER(TRIM(D1284)),"")</f>
        <v/>
      </c>
    </row>
    <row r="1285" ht="15.75" customHeight="1" s="217">
      <c r="A1285" s="400" t="n">
        <v>1283</v>
      </c>
      <c r="B1285" s="400" t="inlineStr">
        <is>
          <t>KH2495</t>
        </is>
      </c>
      <c r="C1285" s="401" t="inlineStr">
        <is>
          <t>Cửa hàng Chín Nghĩa - Quận 5 - 0913.635.233</t>
        </is>
      </c>
      <c r="D1285" s="400" t="inlineStr">
        <is>
          <t>0913.635.233</t>
        </is>
      </c>
      <c r="E1285" s="402" t="n"/>
      <c r="F1285" s="401" t="inlineStr">
        <is>
          <t>Quận 5, Sài Gòn</t>
        </is>
      </c>
      <c r="G1285" s="402" t="n"/>
      <c r="H1285" s="402" t="n"/>
      <c r="J1285" s="392">
        <f>IFERROR(UPPER(TRIM(B1285))&amp;"|"&amp;UPPER(TRIM(C1285))&amp;"|"&amp;UPPER(TRIM(D1285)),"")</f>
        <v/>
      </c>
    </row>
    <row r="1286" ht="15.75" customHeight="1" s="217">
      <c r="A1286" s="397" t="n">
        <v>1284</v>
      </c>
      <c r="B1286" s="397" t="inlineStr">
        <is>
          <t>KH2493</t>
        </is>
      </c>
      <c r="C1286" s="398" t="inlineStr">
        <is>
          <t>Minh Thành - Sài Gòn /0905.069.805 - 0903.684.438</t>
        </is>
      </c>
      <c r="D1286" s="397" t="inlineStr">
        <is>
          <t>0905.069.805 / 0903.684.438</t>
        </is>
      </c>
      <c r="E1286" s="399" t="n"/>
      <c r="F1286" s="398" t="inlineStr">
        <is>
          <t>693 QL13, Sài Gòn</t>
        </is>
      </c>
      <c r="G1286" s="397" t="inlineStr">
        <is>
          <t>SG/HCM</t>
        </is>
      </c>
      <c r="H1286" s="399" t="n"/>
      <c r="J1286" s="392">
        <f>IFERROR(UPPER(TRIM(B1286))&amp;"|"&amp;UPPER(TRIM(C1286))&amp;"|"&amp;UPPER(TRIM(D1286)),"")</f>
        <v/>
      </c>
    </row>
    <row r="1287" ht="15.75" customHeight="1" s="217">
      <c r="A1287" s="400" t="n">
        <v>1285</v>
      </c>
      <c r="B1287" s="400" t="inlineStr">
        <is>
          <t>KH2494</t>
        </is>
      </c>
      <c r="C1287" s="401" t="inlineStr">
        <is>
          <t>Cơ Khí Thông - Chị Ny - Đắk Tô/ 0327.524.877</t>
        </is>
      </c>
      <c r="D1287" s="400" t="inlineStr">
        <is>
          <t>0327.524.877</t>
        </is>
      </c>
      <c r="E1287" s="402" t="n"/>
      <c r="F1287" s="401" t="inlineStr">
        <is>
          <t>Đăk Tô - Kontum</t>
        </is>
      </c>
      <c r="G1287" s="400" t="inlineStr">
        <is>
          <t>KTUM</t>
        </is>
      </c>
      <c r="H1287" s="402" t="n"/>
      <c r="J1287" s="392">
        <f>IFERROR(UPPER(TRIM(B1287))&amp;"|"&amp;UPPER(TRIM(C1287))&amp;"|"&amp;UPPER(TRIM(D1287)),"")</f>
        <v/>
      </c>
    </row>
    <row r="1288" ht="15.75" customHeight="1" s="217">
      <c r="A1288" s="397" t="n">
        <v>1286</v>
      </c>
      <c r="B1288" s="397" t="inlineStr">
        <is>
          <t>KH2492</t>
        </is>
      </c>
      <c r="C1288" s="398" t="inlineStr">
        <is>
          <t>Công Ty Minh Huy - Anh Trí / 0941.988.558 - 0911.688.448</t>
        </is>
      </c>
      <c r="D1288" s="397" t="inlineStr">
        <is>
          <t>0941.988.558 / 0911.688.448</t>
        </is>
      </c>
      <c r="E1288" s="399" t="n"/>
      <c r="F1288" s="398" t="inlineStr">
        <is>
          <t>Quận 12, TPHCM</t>
        </is>
      </c>
      <c r="G1288" s="397" t="inlineStr">
        <is>
          <t>SG/HCM</t>
        </is>
      </c>
      <c r="H1288" s="399" t="n"/>
      <c r="J1288" s="392">
        <f>IFERROR(UPPER(TRIM(B1288))&amp;"|"&amp;UPPER(TRIM(C1288))&amp;"|"&amp;UPPER(TRIM(D1288)),"")</f>
        <v/>
      </c>
    </row>
    <row r="1289" ht="15.75" customHeight="1" s="217">
      <c r="A1289" s="400" t="n">
        <v>1287</v>
      </c>
      <c r="B1289" s="400" t="inlineStr">
        <is>
          <t>KH2491</t>
        </is>
      </c>
      <c r="C1289" s="401" t="inlineStr">
        <is>
          <t>Xưởng tiện Quảng Thành - Sài Gòn / 0903.886.810</t>
        </is>
      </c>
      <c r="D1289" s="400" t="inlineStr">
        <is>
          <t>0903.886.810</t>
        </is>
      </c>
      <c r="E1289" s="402" t="n"/>
      <c r="F1289" s="401" t="inlineStr">
        <is>
          <t>20 Văn Thân, Quận 6, TP. HCM</t>
        </is>
      </c>
      <c r="G1289" s="400" t="inlineStr">
        <is>
          <t>SG/HCM</t>
        </is>
      </c>
      <c r="H1289" s="402" t="n"/>
      <c r="J1289" s="392">
        <f>IFERROR(UPPER(TRIM(B1289))&amp;"|"&amp;UPPER(TRIM(C1289))&amp;"|"&amp;UPPER(TRIM(D1289)),"")</f>
        <v/>
      </c>
    </row>
    <row r="1290" ht="15.75" customHeight="1" s="217">
      <c r="A1290" s="397" t="n">
        <v>1288</v>
      </c>
      <c r="B1290" s="397" t="inlineStr">
        <is>
          <t>KH2488</t>
        </is>
      </c>
      <c r="C1290" s="398" t="inlineStr">
        <is>
          <t>Xưởng tiện Anh Nghĩa - Gia Lai / 0902.434.794</t>
        </is>
      </c>
      <c r="D1290" s="397" t="inlineStr">
        <is>
          <t>0902.434.794</t>
        </is>
      </c>
      <c r="E1290" s="399" t="n"/>
      <c r="F1290" s="398" t="inlineStr">
        <is>
          <t>37 Nguyễn Chí Thanh - Gia Lai</t>
        </is>
      </c>
      <c r="G1290" s="397" t="inlineStr">
        <is>
          <t>GLAI</t>
        </is>
      </c>
      <c r="H1290" s="399" t="n"/>
      <c r="J1290" s="392">
        <f>IFERROR(UPPER(TRIM(B1290))&amp;"|"&amp;UPPER(TRIM(C1290))&amp;"|"&amp;UPPER(TRIM(D1290)),"")</f>
        <v/>
      </c>
    </row>
    <row r="1291" ht="15.75" customHeight="1" s="217">
      <c r="A1291" s="400" t="n">
        <v>1289</v>
      </c>
      <c r="B1291" s="400" t="inlineStr">
        <is>
          <t>KH2489</t>
        </is>
      </c>
      <c r="C1291" s="401" t="inlineStr">
        <is>
          <t>Gara Anh Minh - Gia Lai / 0965.667.897</t>
        </is>
      </c>
      <c r="D1291" s="400" t="inlineStr">
        <is>
          <t>0965.667.897</t>
        </is>
      </c>
      <c r="E1291" s="402" t="n"/>
      <c r="F1291" s="401" t="inlineStr">
        <is>
          <t>Gia Lai</t>
        </is>
      </c>
      <c r="G1291" s="400" t="inlineStr">
        <is>
          <t>GLAI</t>
        </is>
      </c>
      <c r="H1291" s="402" t="n"/>
      <c r="J1291" s="392">
        <f>IFERROR(UPPER(TRIM(B1291))&amp;"|"&amp;UPPER(TRIM(C1291))&amp;"|"&amp;UPPER(TRIM(D1291)),"")</f>
        <v/>
      </c>
    </row>
    <row r="1292" ht="15.75" customHeight="1" s="217">
      <c r="A1292" s="397" t="n">
        <v>1290</v>
      </c>
      <c r="B1292" s="397" t="inlineStr">
        <is>
          <t>KH2490</t>
        </is>
      </c>
      <c r="C1292" s="398" t="inlineStr">
        <is>
          <t>(không dùng ) Lộc Hưng - An Khê, Gia Lai/ 0326.142.729</t>
        </is>
      </c>
      <c r="D1292" s="397" t="inlineStr">
        <is>
          <t>0326.142.729</t>
        </is>
      </c>
      <c r="E1292" s="399" t="n"/>
      <c r="F1292" s="398" t="inlineStr">
        <is>
          <t>Gia Lai</t>
        </is>
      </c>
      <c r="G1292" s="397" t="inlineStr">
        <is>
          <t>GLAI</t>
        </is>
      </c>
      <c r="H1292" s="397" t="inlineStr">
        <is>
          <t>Cửa hàng Lộc Hưng - Gia Lai khách hàng đồ gầm, được công nơ</t>
        </is>
      </c>
      <c r="J1292" s="392">
        <f>IFERROR(UPPER(TRIM(B1292))&amp;"|"&amp;UPPER(TRIM(C1292))&amp;"|"&amp;UPPER(TRIM(D1292)),"")</f>
        <v/>
      </c>
    </row>
    <row r="1293" ht="15.75" customHeight="1" s="217">
      <c r="A1293" s="400" t="n">
        <v>1291</v>
      </c>
      <c r="B1293" s="400" t="inlineStr">
        <is>
          <t>KH2486</t>
        </is>
      </c>
      <c r="C1293" s="401" t="inlineStr">
        <is>
          <t>Anh Việt - xưởng tiện 112 Yên Đồ, Pleiku / 0935.021.120/0965.021.120</t>
        </is>
      </c>
      <c r="D1293" s="400" t="inlineStr">
        <is>
          <t>0935.021.120 / 0965.021.120</t>
        </is>
      </c>
      <c r="E1293" s="402" t="n"/>
      <c r="F1293" s="401" t="inlineStr">
        <is>
          <t>112 Yên Đồ, TP Pleiku, Gia Lai</t>
        </is>
      </c>
      <c r="G1293" s="400" t="inlineStr">
        <is>
          <t>GLAI</t>
        </is>
      </c>
      <c r="H1293" s="402" t="n"/>
      <c r="J1293" s="392">
        <f>IFERROR(UPPER(TRIM(B1293))&amp;"|"&amp;UPPER(TRIM(C1293))&amp;"|"&amp;UPPER(TRIM(D1293)),"")</f>
        <v/>
      </c>
    </row>
    <row r="1294" ht="15.75" customHeight="1" s="217">
      <c r="A1294" s="397" t="n">
        <v>1292</v>
      </c>
      <c r="B1294" s="397" t="inlineStr">
        <is>
          <t>KH2487</t>
        </is>
      </c>
      <c r="C1294" s="398" t="inlineStr">
        <is>
          <t>Anh Hưng - KonTum / 0393.190.351</t>
        </is>
      </c>
      <c r="D1294" s="397" t="inlineStr">
        <is>
          <t>0393.190.351</t>
        </is>
      </c>
      <c r="E1294" s="399" t="n"/>
      <c r="F1294" s="398" t="inlineStr">
        <is>
          <t>KonTum</t>
        </is>
      </c>
      <c r="G1294" s="397" t="inlineStr">
        <is>
          <t>KTUM</t>
        </is>
      </c>
      <c r="H1294" s="399" t="n"/>
      <c r="J1294" s="392">
        <f>IFERROR(UPPER(TRIM(B1294))&amp;"|"&amp;UPPER(TRIM(C1294))&amp;"|"&amp;UPPER(TRIM(D1294)),"")</f>
        <v/>
      </c>
    </row>
    <row r="1295" ht="15.75" customHeight="1" s="217">
      <c r="A1295" s="400" t="n">
        <v>1293</v>
      </c>
      <c r="B1295" s="400" t="inlineStr">
        <is>
          <t>KH2485</t>
        </is>
      </c>
      <c r="C1295" s="401" t="inlineStr">
        <is>
          <t>Anh Thịnh - Công ty Cổ Phần ĐTXNK 515 / 0983.590.459</t>
        </is>
      </c>
      <c r="D1295" s="400" t="inlineStr">
        <is>
          <t>0983.590.459</t>
        </is>
      </c>
      <c r="E1295" s="402" t="n"/>
      <c r="F1295" s="401" t="inlineStr">
        <is>
          <t>Quận 8 - Sài Gòn</t>
        </is>
      </c>
      <c r="G1295" s="400" t="inlineStr">
        <is>
          <t>SG/HCM</t>
        </is>
      </c>
      <c r="H1295" s="402" t="n"/>
      <c r="J1295" s="392">
        <f>IFERROR(UPPER(TRIM(B1295))&amp;"|"&amp;UPPER(TRIM(C1295))&amp;"|"&amp;UPPER(TRIM(D1295)),"")</f>
        <v/>
      </c>
    </row>
    <row r="1296" ht="15.75" customHeight="1" s="217">
      <c r="A1296" s="397" t="n">
        <v>1294</v>
      </c>
      <c r="B1296" s="397" t="inlineStr">
        <is>
          <t>KH2482</t>
        </is>
      </c>
      <c r="C1296" s="398" t="inlineStr">
        <is>
          <t>Anh Đen - Cty Hoàng Huy Long Bình Dương / 0972.659.116</t>
        </is>
      </c>
      <c r="D1296" s="397" t="inlineStr">
        <is>
          <t>0972.659.116</t>
        </is>
      </c>
      <c r="E1296" s="399" t="n"/>
      <c r="F1296" s="398" t="inlineStr">
        <is>
          <t>Bến Cát - Bình dương</t>
        </is>
      </c>
      <c r="G1296" s="397" t="inlineStr">
        <is>
          <t>BDUONG</t>
        </is>
      </c>
      <c r="H1296" s="399" t="n"/>
      <c r="J1296" s="392">
        <f>IFERROR(UPPER(TRIM(B1296))&amp;"|"&amp;UPPER(TRIM(C1296))&amp;"|"&amp;UPPER(TRIM(D1296)),"")</f>
        <v/>
      </c>
    </row>
    <row r="1297" ht="15.75" customHeight="1" s="217">
      <c r="A1297" s="400" t="n">
        <v>1295</v>
      </c>
      <c r="B1297" s="400" t="inlineStr">
        <is>
          <t>KH2483</t>
        </is>
      </c>
      <c r="C1297" s="401" t="inlineStr">
        <is>
          <t>Xưởng Tấn Phát - Dầu Tiếng / 0392.083.015</t>
        </is>
      </c>
      <c r="D1297" s="400" t="inlineStr">
        <is>
          <t>0392.083.015</t>
        </is>
      </c>
      <c r="E1297" s="402" t="n"/>
      <c r="F1297" s="401" t="inlineStr">
        <is>
          <t>Xã Long Hòa, Dầu Tiếng - Bình Dương</t>
        </is>
      </c>
      <c r="G1297" s="400" t="inlineStr">
        <is>
          <t>BDUONG</t>
        </is>
      </c>
      <c r="H1297" s="402" t="n"/>
      <c r="J1297" s="392">
        <f>IFERROR(UPPER(TRIM(B1297))&amp;"|"&amp;UPPER(TRIM(C1297))&amp;"|"&amp;UPPER(TRIM(D1297)),"")</f>
        <v/>
      </c>
    </row>
    <row r="1298" ht="15.75" customHeight="1" s="217">
      <c r="A1298" s="397" t="n">
        <v>1296</v>
      </c>
      <c r="B1298" s="397" t="inlineStr">
        <is>
          <t>KH2484</t>
        </is>
      </c>
      <c r="C1298" s="398" t="inlineStr">
        <is>
          <t>Anh Nghĩa - Củ Chi, Sài Gòn / 0909.029.628</t>
        </is>
      </c>
      <c r="D1298" s="397" t="inlineStr">
        <is>
          <t>0909.029.628</t>
        </is>
      </c>
      <c r="E1298" s="399" t="n"/>
      <c r="F1298" s="398" t="inlineStr">
        <is>
          <t>416 Nguyễn Văn Khả, cầu Bến Mương, Củ Chi</t>
        </is>
      </c>
      <c r="G1298" s="397" t="inlineStr">
        <is>
          <t>SG/HCM</t>
        </is>
      </c>
      <c r="H1298" s="399" t="n"/>
      <c r="J1298" s="392">
        <f>IFERROR(UPPER(TRIM(B1298))&amp;"|"&amp;UPPER(TRIM(C1298))&amp;"|"&amp;UPPER(TRIM(D1298)),"")</f>
        <v/>
      </c>
    </row>
    <row r="1299" ht="15.75" customHeight="1" s="217">
      <c r="A1299" s="400" t="n">
        <v>1297</v>
      </c>
      <c r="B1299" s="400" t="inlineStr">
        <is>
          <t>KH2481</t>
        </is>
      </c>
      <c r="C1299" s="401" t="inlineStr">
        <is>
          <t>Xưởng Tuyền Giang - Bình Dương - 0917.499.955</t>
        </is>
      </c>
      <c r="D1299" s="400" t="inlineStr">
        <is>
          <t>0917.499.955</t>
        </is>
      </c>
      <c r="E1299" s="402" t="n"/>
      <c r="F1299" s="401" t="inlineStr">
        <is>
          <t>Bàu Bàng, Bình Dương</t>
        </is>
      </c>
      <c r="G1299" s="400" t="inlineStr">
        <is>
          <t>BDUONG</t>
        </is>
      </c>
      <c r="H1299" s="402" t="n"/>
      <c r="J1299" s="392">
        <f>IFERROR(UPPER(TRIM(B1299))&amp;"|"&amp;UPPER(TRIM(C1299))&amp;"|"&amp;UPPER(TRIM(D1299)),"")</f>
        <v/>
      </c>
    </row>
    <row r="1300" ht="15.75" customHeight="1" s="217">
      <c r="A1300" s="397" t="n">
        <v>1298</v>
      </c>
      <c r="B1300" s="397" t="inlineStr">
        <is>
          <t>KH2480</t>
        </is>
      </c>
      <c r="C1300" s="398" t="inlineStr">
        <is>
          <t>Cửa hàng Minh Tiến - Đăk Lăk / 0367.781.116</t>
        </is>
      </c>
      <c r="D1300" s="397" t="inlineStr">
        <is>
          <t>0367.781.116</t>
        </is>
      </c>
      <c r="E1300" s="399" t="n"/>
      <c r="F1300" s="398" t="inlineStr">
        <is>
          <t>Đăk Lăk</t>
        </is>
      </c>
      <c r="G1300" s="397" t="inlineStr">
        <is>
          <t>ÐL</t>
        </is>
      </c>
      <c r="H1300" s="399" t="n"/>
      <c r="J1300" s="392">
        <f>IFERROR(UPPER(TRIM(B1300))&amp;"|"&amp;UPPER(TRIM(C1300))&amp;"|"&amp;UPPER(TRIM(D1300)),"")</f>
        <v/>
      </c>
    </row>
    <row r="1301" ht="15.75" customHeight="1" s="217">
      <c r="A1301" s="400" t="n">
        <v>1299</v>
      </c>
      <c r="B1301" s="400" t="inlineStr">
        <is>
          <t>KH2479</t>
        </is>
      </c>
      <c r="C1301" s="401" t="inlineStr">
        <is>
          <t>Cửa hàng Xuân Long - Đà Lạt/ 0913.153.939</t>
        </is>
      </c>
      <c r="D1301" s="400" t="inlineStr">
        <is>
          <t>0913.153.939</t>
        </is>
      </c>
      <c r="E1301" s="402" t="n"/>
      <c r="F1301" s="401" t="inlineStr">
        <is>
          <t>TP Đà Lạt, tỉnh Lâm Đồng</t>
        </is>
      </c>
      <c r="G1301" s="400" t="inlineStr">
        <is>
          <t>LDONG</t>
        </is>
      </c>
      <c r="H1301" s="402" t="n"/>
      <c r="J1301" s="392">
        <f>IFERROR(UPPER(TRIM(B1301))&amp;"|"&amp;UPPER(TRIM(C1301))&amp;"|"&amp;UPPER(TRIM(D1301)),"")</f>
        <v/>
      </c>
    </row>
    <row r="1302" ht="15.75" customHeight="1" s="217">
      <c r="A1302" s="397" t="n">
        <v>1300</v>
      </c>
      <c r="B1302" s="397" t="inlineStr">
        <is>
          <t>KH2478</t>
        </is>
      </c>
      <c r="C1302" s="398" t="inlineStr">
        <is>
          <t>Cửa hàng Hoàng Sinh - Đức Trọng/ 0908.840.259</t>
        </is>
      </c>
      <c r="D1302" s="397" t="inlineStr">
        <is>
          <t>0908.840.259</t>
        </is>
      </c>
      <c r="E1302" s="399" t="n"/>
      <c r="F1302" s="398" t="inlineStr">
        <is>
          <t>Đức Trọng, Lâm Đồng</t>
        </is>
      </c>
      <c r="G1302" s="397" t="inlineStr">
        <is>
          <t>LDONG</t>
        </is>
      </c>
      <c r="H1302" s="399" t="n"/>
      <c r="J1302" s="392">
        <f>IFERROR(UPPER(TRIM(B1302))&amp;"|"&amp;UPPER(TRIM(C1302))&amp;"|"&amp;UPPER(TRIM(D1302)),"")</f>
        <v/>
      </c>
    </row>
    <row r="1303" ht="15.75" customHeight="1" s="217">
      <c r="A1303" s="400" t="n">
        <v>1301</v>
      </c>
      <c r="B1303" s="400" t="inlineStr">
        <is>
          <t>KH2474</t>
        </is>
      </c>
      <c r="C1303" s="401" t="inlineStr">
        <is>
          <t>Anh Vương - Công ty MACMA / 0938.399.887</t>
        </is>
      </c>
      <c r="D1303" s="400" t="inlineStr">
        <is>
          <t>0938.399.887</t>
        </is>
      </c>
      <c r="E1303" s="402" t="n"/>
      <c r="F1303" s="401" t="inlineStr">
        <is>
          <t>Sài Gòn</t>
        </is>
      </c>
      <c r="G1303" s="400" t="inlineStr">
        <is>
          <t>SG/HCM</t>
        </is>
      </c>
      <c r="H1303" s="402" t="n"/>
      <c r="J1303" s="392">
        <f>IFERROR(UPPER(TRIM(B1303))&amp;"|"&amp;UPPER(TRIM(C1303))&amp;"|"&amp;UPPER(TRIM(D1303)),"")</f>
        <v/>
      </c>
    </row>
    <row r="1304" ht="15.75" customHeight="1" s="217">
      <c r="A1304" s="397" t="n">
        <v>1302</v>
      </c>
      <c r="B1304" s="397" t="inlineStr">
        <is>
          <t>KH2475</t>
        </is>
      </c>
      <c r="C1304" s="398" t="inlineStr">
        <is>
          <t>Anh Phong - Công ty Nguyên Cát / 0918.193.747</t>
        </is>
      </c>
      <c r="D1304" s="397" t="inlineStr">
        <is>
          <t>0918.193.747</t>
        </is>
      </c>
      <c r="E1304" s="399" t="n"/>
      <c r="F1304" s="398" t="inlineStr">
        <is>
          <t>529/19 Nguyễn Tri Phương, P8, Q10, TP.HCM</t>
        </is>
      </c>
      <c r="G1304" s="397" t="inlineStr">
        <is>
          <t>SG/HCM</t>
        </is>
      </c>
      <c r="H1304" s="399" t="n"/>
      <c r="J1304" s="392">
        <f>IFERROR(UPPER(TRIM(B1304))&amp;"|"&amp;UPPER(TRIM(C1304))&amp;"|"&amp;UPPER(TRIM(D1304)),"")</f>
        <v/>
      </c>
    </row>
    <row r="1305" ht="15.75" customHeight="1" s="217">
      <c r="A1305" s="400" t="n">
        <v>1303</v>
      </c>
      <c r="B1305" s="400" t="inlineStr">
        <is>
          <t>KH2476</t>
        </is>
      </c>
      <c r="C1305" s="401" t="inlineStr">
        <is>
          <t>Anh Dũng - Công ty XD Thái Bình Dương/0913.867.765</t>
        </is>
      </c>
      <c r="D1305" s="400" t="inlineStr">
        <is>
          <t>0913.867.765</t>
        </is>
      </c>
      <c r="E1305" s="402" t="n"/>
      <c r="F1305" s="401" t="inlineStr">
        <is>
          <t>9/4 Bình Quới A, Thuận An, Bình Dương</t>
        </is>
      </c>
      <c r="G1305" s="400" t="inlineStr">
        <is>
          <t>BDUONG</t>
        </is>
      </c>
      <c r="H1305" s="402" t="n"/>
      <c r="J1305" s="392">
        <f>IFERROR(UPPER(TRIM(B1305))&amp;"|"&amp;UPPER(TRIM(C1305))&amp;"|"&amp;UPPER(TRIM(D1305)),"")</f>
        <v/>
      </c>
    </row>
    <row r="1306" ht="15.75" customHeight="1" s="217">
      <c r="A1306" s="397" t="n">
        <v>1304</v>
      </c>
      <c r="B1306" s="397" t="inlineStr">
        <is>
          <t>KH2477</t>
        </is>
      </c>
      <c r="C1306" s="398" t="inlineStr">
        <is>
          <t>Anh Phước - KonTum/ 0964.590.164</t>
        </is>
      </c>
      <c r="D1306" s="397" t="inlineStr">
        <is>
          <t>0964.590.164</t>
        </is>
      </c>
      <c r="E1306" s="399" t="n"/>
      <c r="F1306" s="398" t="inlineStr">
        <is>
          <t>KonTum</t>
        </is>
      </c>
      <c r="G1306" s="397" t="inlineStr">
        <is>
          <t>KTUM</t>
        </is>
      </c>
      <c r="H1306" s="399" t="n"/>
      <c r="J1306" s="392">
        <f>IFERROR(UPPER(TRIM(B1306))&amp;"|"&amp;UPPER(TRIM(C1306))&amp;"|"&amp;UPPER(TRIM(D1306)),"")</f>
        <v/>
      </c>
    </row>
    <row r="1307" ht="15.75" customHeight="1" s="217">
      <c r="A1307" s="400" t="n">
        <v>1305</v>
      </c>
      <c r="B1307" s="400" t="inlineStr">
        <is>
          <t>KH2472</t>
        </is>
      </c>
      <c r="C1307" s="401" t="inlineStr">
        <is>
          <t>Anh Phương - Đồng Nai / 0933.905.463</t>
        </is>
      </c>
      <c r="D1307" s="400" t="inlineStr">
        <is>
          <t>0933.905.463</t>
        </is>
      </c>
      <c r="E1307" s="402" t="n"/>
      <c r="F1307" s="401" t="inlineStr">
        <is>
          <t>Khu phố Hiện Cường, Định Quán, Đồng Nai</t>
        </is>
      </c>
      <c r="G1307" s="400" t="inlineStr">
        <is>
          <t>ÐNAI</t>
        </is>
      </c>
      <c r="H1307" s="402" t="n"/>
      <c r="J1307" s="392">
        <f>IFERROR(UPPER(TRIM(B1307))&amp;"|"&amp;UPPER(TRIM(C1307))&amp;"|"&amp;UPPER(TRIM(D1307)),"")</f>
        <v/>
      </c>
    </row>
    <row r="1308" ht="15.75" customHeight="1" s="217">
      <c r="A1308" s="397" t="n">
        <v>1306</v>
      </c>
      <c r="B1308" s="397" t="inlineStr">
        <is>
          <t>KH2473</t>
        </is>
      </c>
      <c r="C1308" s="398" t="inlineStr">
        <is>
          <t>Anh Thọ chuyên ron - Quốc lộ 13</t>
        </is>
      </c>
      <c r="D1308" s="399" t="n"/>
      <c r="E1308" s="399" t="n"/>
      <c r="F1308" s="398" t="inlineStr">
        <is>
          <t>Quốc lộ 13, Q. Thủ Đức, TPHCM</t>
        </is>
      </c>
      <c r="G1308" s="397" t="inlineStr">
        <is>
          <t>SG/HCM</t>
        </is>
      </c>
      <c r="H1308" s="399" t="n"/>
      <c r="J1308" s="392">
        <f>IFERROR(UPPER(TRIM(B1308))&amp;"|"&amp;UPPER(TRIM(C1308))&amp;"|"&amp;UPPER(TRIM(D1308)),"")</f>
        <v/>
      </c>
    </row>
    <row r="1309" ht="15.75" customHeight="1" s="217">
      <c r="A1309" s="400" t="n">
        <v>1307</v>
      </c>
      <c r="B1309" s="400" t="inlineStr">
        <is>
          <t>KH2471</t>
        </is>
      </c>
      <c r="C1309" s="401" t="inlineStr">
        <is>
          <t>Anh Tài - Tri Tôn - An Giang/ 0913.781.247</t>
        </is>
      </c>
      <c r="D1309" s="400" t="inlineStr">
        <is>
          <t>0913.781.247</t>
        </is>
      </c>
      <c r="E1309" s="402" t="n"/>
      <c r="F1309" s="401" t="inlineStr">
        <is>
          <t>Tri Tôn - An Giang</t>
        </is>
      </c>
      <c r="G1309" s="400" t="inlineStr">
        <is>
          <t>ANGIANG</t>
        </is>
      </c>
      <c r="H1309" s="402" t="n"/>
      <c r="J1309" s="392">
        <f>IFERROR(UPPER(TRIM(B1309))&amp;"|"&amp;UPPER(TRIM(C1309))&amp;"|"&amp;UPPER(TRIM(D1309)),"")</f>
        <v/>
      </c>
    </row>
    <row r="1310" ht="15.75" customHeight="1" s="217">
      <c r="A1310" s="397" t="n">
        <v>1308</v>
      </c>
      <c r="B1310" s="397" t="inlineStr">
        <is>
          <t>KH2467</t>
        </is>
      </c>
      <c r="C1310" s="398" t="inlineStr">
        <is>
          <t>Xưởng Thành Vinh - Bến Cát/ 0919.887.278</t>
        </is>
      </c>
      <c r="D1310" s="397" t="inlineStr">
        <is>
          <t>0919.887.278</t>
        </is>
      </c>
      <c r="E1310" s="399" t="n"/>
      <c r="F1310" s="398" t="inlineStr">
        <is>
          <t>Bến Cát - Bình Dương</t>
        </is>
      </c>
      <c r="G1310" s="397" t="inlineStr">
        <is>
          <t>BDUONG</t>
        </is>
      </c>
      <c r="H1310" s="399" t="n"/>
      <c r="J1310" s="392">
        <f>IFERROR(UPPER(TRIM(B1310))&amp;"|"&amp;UPPER(TRIM(C1310))&amp;"|"&amp;UPPER(TRIM(D1310)),"")</f>
        <v/>
      </c>
    </row>
    <row r="1311" ht="15.75" customHeight="1" s="217">
      <c r="A1311" s="400" t="n">
        <v>1309</v>
      </c>
      <c r="B1311" s="400" t="inlineStr">
        <is>
          <t>KH2468</t>
        </is>
      </c>
      <c r="C1311" s="401" t="inlineStr">
        <is>
          <t>Anh Giáp - Phú Quốc / 0707.424.272</t>
        </is>
      </c>
      <c r="D1311" s="400" t="inlineStr">
        <is>
          <t>0707.424.272</t>
        </is>
      </c>
      <c r="E1311" s="402" t="n"/>
      <c r="F1311" s="401" t="inlineStr">
        <is>
          <t>Phú Quốc - Kiên Giang</t>
        </is>
      </c>
      <c r="G1311" s="400" t="inlineStr">
        <is>
          <t>KG</t>
        </is>
      </c>
      <c r="H1311" s="402" t="n"/>
      <c r="J1311" s="392">
        <f>IFERROR(UPPER(TRIM(B1311))&amp;"|"&amp;UPPER(TRIM(C1311))&amp;"|"&amp;UPPER(TRIM(D1311)),"")</f>
        <v/>
      </c>
    </row>
    <row r="1312" ht="15.75" customHeight="1" s="217">
      <c r="A1312" s="397" t="n">
        <v>1310</v>
      </c>
      <c r="B1312" s="397" t="inlineStr">
        <is>
          <t>KH2469</t>
        </is>
      </c>
      <c r="C1312" s="398" t="inlineStr">
        <is>
          <t>Anh Lập - Công ty TCE - SG / 0968.966.527</t>
        </is>
      </c>
      <c r="D1312" s="397" t="inlineStr">
        <is>
          <t>0968.966.527</t>
        </is>
      </c>
      <c r="E1312" s="399" t="n"/>
      <c r="F1312" s="398" t="inlineStr">
        <is>
          <t>Sài Gòn</t>
        </is>
      </c>
      <c r="G1312" s="397" t="inlineStr">
        <is>
          <t>SG/HCM</t>
        </is>
      </c>
      <c r="H1312" s="399" t="n"/>
      <c r="J1312" s="392">
        <f>IFERROR(UPPER(TRIM(B1312))&amp;"|"&amp;UPPER(TRIM(C1312))&amp;"|"&amp;UPPER(TRIM(D1312)),"")</f>
        <v/>
      </c>
    </row>
    <row r="1313" ht="15.75" customHeight="1" s="217">
      <c r="A1313" s="400" t="n">
        <v>1311</v>
      </c>
      <c r="B1313" s="400" t="inlineStr">
        <is>
          <t>KH2470</t>
        </is>
      </c>
      <c r="C1313" s="401" t="inlineStr">
        <is>
          <t>Anh Yên (GARA) - Bình Dương/0918.039.522</t>
        </is>
      </c>
      <c r="D1313" s="400" t="inlineStr">
        <is>
          <t>0918.039.522</t>
        </is>
      </c>
      <c r="E1313" s="402" t="n"/>
      <c r="F1313" s="401" t="inlineStr">
        <is>
          <t>Thuận An - Bình Dương</t>
        </is>
      </c>
      <c r="G1313" s="400" t="inlineStr">
        <is>
          <t>BDUONG</t>
        </is>
      </c>
      <c r="H1313" s="402" t="n"/>
      <c r="J1313" s="392">
        <f>IFERROR(UPPER(TRIM(B1313))&amp;"|"&amp;UPPER(TRIM(C1313))&amp;"|"&amp;UPPER(TRIM(D1313)),"")</f>
        <v/>
      </c>
    </row>
    <row r="1314" ht="15.75" customHeight="1" s="217">
      <c r="A1314" s="397" t="n">
        <v>1312</v>
      </c>
      <c r="B1314" s="397" t="inlineStr">
        <is>
          <t>KH2466</t>
        </is>
      </c>
      <c r="C1314" s="398" t="inlineStr">
        <is>
          <t>Anh Bằng - Bến Cát/ 0919.487.693</t>
        </is>
      </c>
      <c r="D1314" s="397" t="inlineStr">
        <is>
          <t>0919.487.693</t>
        </is>
      </c>
      <c r="E1314" s="399" t="n"/>
      <c r="F1314" s="398" t="inlineStr">
        <is>
          <t>Khu phố 8, phường Chánh Phú Hòa, Bến Cát - Bình Dương</t>
        </is>
      </c>
      <c r="G1314" s="397" t="inlineStr">
        <is>
          <t>BDUONG</t>
        </is>
      </c>
      <c r="H1314" s="399" t="n"/>
      <c r="J1314" s="392">
        <f>IFERROR(UPPER(TRIM(B1314))&amp;"|"&amp;UPPER(TRIM(C1314))&amp;"|"&amp;UPPER(TRIM(D1314)),"")</f>
        <v/>
      </c>
    </row>
    <row r="1315" ht="15.75" customHeight="1" s="217">
      <c r="A1315" s="400" t="n">
        <v>1313</v>
      </c>
      <c r="B1315" s="400" t="inlineStr">
        <is>
          <t>KH2464</t>
        </is>
      </c>
      <c r="C1315" s="401" t="inlineStr">
        <is>
          <t>Anh Hiển - Hà Tiên / 0989.230.016</t>
        </is>
      </c>
      <c r="D1315" s="400" t="inlineStr">
        <is>
          <t>0989.230.016</t>
        </is>
      </c>
      <c r="E1315" s="402" t="n"/>
      <c r="F1315" s="401" t="inlineStr">
        <is>
          <t>Hà Tiên, Kiên Giang</t>
        </is>
      </c>
      <c r="G1315" s="400" t="inlineStr">
        <is>
          <t>KG</t>
        </is>
      </c>
      <c r="H1315" s="402" t="n"/>
      <c r="J1315" s="392">
        <f>IFERROR(UPPER(TRIM(B1315))&amp;"|"&amp;UPPER(TRIM(C1315))&amp;"|"&amp;UPPER(TRIM(D1315)),"")</f>
        <v/>
      </c>
    </row>
    <row r="1316" ht="15.75" customHeight="1" s="217">
      <c r="A1316" s="397" t="n">
        <v>1314</v>
      </c>
      <c r="B1316" s="397" t="inlineStr">
        <is>
          <t>KH2465</t>
        </is>
      </c>
      <c r="C1316" s="398" t="inlineStr">
        <is>
          <t>Anh Pháp - Bảo Lộc / 0984.393.020</t>
        </is>
      </c>
      <c r="D1316" s="397" t="inlineStr">
        <is>
          <t>0984.393.020</t>
        </is>
      </c>
      <c r="E1316" s="399" t="n"/>
      <c r="F1316" s="398" t="inlineStr">
        <is>
          <t>Bảo Lộc, Lâm Đồng</t>
        </is>
      </c>
      <c r="G1316" s="397" t="inlineStr">
        <is>
          <t>LDONG</t>
        </is>
      </c>
      <c r="H1316" s="399" t="n"/>
      <c r="J1316" s="392">
        <f>IFERROR(UPPER(TRIM(B1316))&amp;"|"&amp;UPPER(TRIM(C1316))&amp;"|"&amp;UPPER(TRIM(D1316)),"")</f>
        <v/>
      </c>
    </row>
    <row r="1317" ht="15.75" customHeight="1" s="217">
      <c r="A1317" s="400" t="n">
        <v>1315</v>
      </c>
      <c r="B1317" s="400" t="inlineStr">
        <is>
          <t>KH2463</t>
        </is>
      </c>
      <c r="C1317" s="401" t="inlineStr">
        <is>
          <t>Anh Lữ - Phụ tùng Trung Quốc / 0909.769.377</t>
        </is>
      </c>
      <c r="D1317" s="400" t="inlineStr">
        <is>
          <t>0909.769.377</t>
        </is>
      </c>
      <c r="E1317" s="402" t="n"/>
      <c r="F1317" s="401" t="inlineStr">
        <is>
          <t>Sài Gòn</t>
        </is>
      </c>
      <c r="G1317" s="400" t="inlineStr">
        <is>
          <t>SG/HCM</t>
        </is>
      </c>
      <c r="H1317" s="402" t="n"/>
      <c r="J1317" s="392">
        <f>IFERROR(UPPER(TRIM(B1317))&amp;"|"&amp;UPPER(TRIM(C1317))&amp;"|"&amp;UPPER(TRIM(D1317)),"")</f>
        <v/>
      </c>
    </row>
    <row r="1318" ht="15.75" customHeight="1" s="217">
      <c r="A1318" s="397" t="n">
        <v>1316</v>
      </c>
      <c r="B1318" s="397" t="inlineStr">
        <is>
          <t>KH2462</t>
        </is>
      </c>
      <c r="C1318" s="398" t="inlineStr">
        <is>
          <t>Anh Bảy- Sài Gòn/ 0918.060.817</t>
        </is>
      </c>
      <c r="D1318" s="397" t="inlineStr">
        <is>
          <t>0918.060.817</t>
        </is>
      </c>
      <c r="E1318" s="399" t="n"/>
      <c r="F1318" s="398" t="inlineStr">
        <is>
          <t>Sài Gòn</t>
        </is>
      </c>
      <c r="G1318" s="397" t="inlineStr">
        <is>
          <t>SG/HCM</t>
        </is>
      </c>
      <c r="H1318" s="399" t="n"/>
      <c r="J1318" s="392">
        <f>IFERROR(UPPER(TRIM(B1318))&amp;"|"&amp;UPPER(TRIM(C1318))&amp;"|"&amp;UPPER(TRIM(D1318)),"")</f>
        <v/>
      </c>
    </row>
    <row r="1319" ht="15.75" customHeight="1" s="217">
      <c r="A1319" s="400" t="n">
        <v>1317</v>
      </c>
      <c r="B1319" s="400" t="inlineStr">
        <is>
          <t>KH2461</t>
        </is>
      </c>
      <c r="C1319" s="401" t="inlineStr">
        <is>
          <t>Anh Sửu - Khánh Hòa / 0961.108.639</t>
        </is>
      </c>
      <c r="D1319" s="400" t="inlineStr">
        <is>
          <t>0961.108.639</t>
        </is>
      </c>
      <c r="E1319" s="402" t="n"/>
      <c r="F1319" s="401" t="inlineStr">
        <is>
          <t>Tu Bông, Vạn Ninh, Khánh Hòa</t>
        </is>
      </c>
      <c r="G1319" s="400" t="inlineStr">
        <is>
          <t>NTRANG</t>
        </is>
      </c>
      <c r="H1319" s="402" t="n"/>
      <c r="J1319" s="392">
        <f>IFERROR(UPPER(TRIM(B1319))&amp;"|"&amp;UPPER(TRIM(C1319))&amp;"|"&amp;UPPER(TRIM(D1319)),"")</f>
        <v/>
      </c>
    </row>
    <row r="1320" ht="15.75" customHeight="1" s="217">
      <c r="A1320" s="397" t="n">
        <v>1318</v>
      </c>
      <c r="B1320" s="397" t="inlineStr">
        <is>
          <t>KH2458</t>
        </is>
      </c>
      <c r="C1320" s="398" t="inlineStr">
        <is>
          <t>Xưởng Vĩnh Thuận, Vĩnh Tân, Đồng Nai/ 0966.059.909</t>
        </is>
      </c>
      <c r="D1320" s="397" t="inlineStr">
        <is>
          <t>0966.059.909</t>
        </is>
      </c>
      <c r="E1320" s="399" t="n"/>
      <c r="F1320" s="398" t="inlineStr">
        <is>
          <t>Vĩnh Tân, Đồng Nai</t>
        </is>
      </c>
      <c r="G1320" s="397" t="inlineStr">
        <is>
          <t>ÐNAI</t>
        </is>
      </c>
      <c r="H1320" s="399" t="n"/>
      <c r="J1320" s="392">
        <f>IFERROR(UPPER(TRIM(B1320))&amp;"|"&amp;UPPER(TRIM(C1320))&amp;"|"&amp;UPPER(TRIM(D1320)),"")</f>
        <v/>
      </c>
    </row>
    <row r="1321" ht="15.75" customHeight="1" s="217">
      <c r="A1321" s="400" t="n">
        <v>1319</v>
      </c>
      <c r="B1321" s="400" t="inlineStr">
        <is>
          <t>KH2459</t>
        </is>
      </c>
      <c r="C1321" s="401" t="inlineStr">
        <is>
          <t>Anh Thành - Củ Chi (chủ máy) / 0914.594.459</t>
        </is>
      </c>
      <c r="D1321" s="400" t="inlineStr">
        <is>
          <t>0914.594.459</t>
        </is>
      </c>
      <c r="E1321" s="402" t="n"/>
      <c r="F1321" s="401" t="inlineStr">
        <is>
          <t>Củ Chi, Sài Gòn</t>
        </is>
      </c>
      <c r="G1321" s="400" t="inlineStr">
        <is>
          <t>SG/HCM</t>
        </is>
      </c>
      <c r="H1321" s="402" t="n"/>
      <c r="J1321" s="392">
        <f>IFERROR(UPPER(TRIM(B1321))&amp;"|"&amp;UPPER(TRIM(C1321))&amp;"|"&amp;UPPER(TRIM(D1321)),"")</f>
        <v/>
      </c>
    </row>
    <row r="1322" ht="15.75" customHeight="1" s="217">
      <c r="A1322" s="397" t="n">
        <v>1320</v>
      </c>
      <c r="B1322" s="397" t="inlineStr">
        <is>
          <t>KH2460</t>
        </is>
      </c>
      <c r="C1322" s="398" t="inlineStr">
        <is>
          <t>Anh Vũ - Bạc Liêu / 0829.354.669 - 0907.527.211</t>
        </is>
      </c>
      <c r="D1322" s="397" t="inlineStr">
        <is>
          <t>0829.354.669 / 0907.527.211</t>
        </is>
      </c>
      <c r="E1322" s="399" t="n"/>
      <c r="F1322" s="398" t="inlineStr">
        <is>
          <t>Bạc Liêu</t>
        </is>
      </c>
      <c r="G1322" s="397" t="inlineStr">
        <is>
          <t>BLIEU</t>
        </is>
      </c>
      <c r="H1322" s="399" t="n"/>
      <c r="J1322" s="392">
        <f>IFERROR(UPPER(TRIM(B1322))&amp;"|"&amp;UPPER(TRIM(C1322))&amp;"|"&amp;UPPER(TRIM(D1322)),"")</f>
        <v/>
      </c>
    </row>
    <row r="1323" ht="15.75" customHeight="1" s="217">
      <c r="A1323" s="400" t="n">
        <v>1321</v>
      </c>
      <c r="B1323" s="400" t="inlineStr">
        <is>
          <t>KH2457</t>
        </is>
      </c>
      <c r="C1323" s="401" t="inlineStr">
        <is>
          <t>Anh Hậu - Vĩnh Long / 0906.625.339</t>
        </is>
      </c>
      <c r="D1323" s="400" t="inlineStr">
        <is>
          <t>0906.625.339</t>
        </is>
      </c>
      <c r="E1323" s="402" t="n"/>
      <c r="F1323" s="401" t="inlineStr">
        <is>
          <t>Vĩnh Long</t>
        </is>
      </c>
      <c r="G1323" s="402" t="n"/>
      <c r="H1323" s="402" t="n"/>
      <c r="J1323" s="392">
        <f>IFERROR(UPPER(TRIM(B1323))&amp;"|"&amp;UPPER(TRIM(C1323))&amp;"|"&amp;UPPER(TRIM(D1323)),"")</f>
        <v/>
      </c>
    </row>
    <row r="1324" ht="15.75" customHeight="1" s="217">
      <c r="A1324" s="397" t="n">
        <v>1322</v>
      </c>
      <c r="B1324" s="397" t="inlineStr">
        <is>
          <t>KH2456</t>
        </is>
      </c>
      <c r="C1324" s="398" t="inlineStr">
        <is>
          <t>Anh Lịch - Thuận An, Bình Dương / 0918.721.826</t>
        </is>
      </c>
      <c r="D1324" s="397" t="inlineStr">
        <is>
          <t>0918.721.826</t>
        </is>
      </c>
      <c r="E1324" s="399" t="n"/>
      <c r="F1324" s="398" t="inlineStr">
        <is>
          <t>Thuận An, Bình Dương</t>
        </is>
      </c>
      <c r="G1324" s="399" t="n"/>
      <c r="H1324" s="399" t="n"/>
      <c r="J1324" s="392">
        <f>IFERROR(UPPER(TRIM(B1324))&amp;"|"&amp;UPPER(TRIM(C1324))&amp;"|"&amp;UPPER(TRIM(D1324)),"")</f>
        <v/>
      </c>
    </row>
    <row r="1325" ht="15.75" customHeight="1" s="217">
      <c r="A1325" s="400" t="n">
        <v>1323</v>
      </c>
      <c r="B1325" s="400" t="inlineStr">
        <is>
          <t>KH2455</t>
        </is>
      </c>
      <c r="C1325" s="401" t="inlineStr">
        <is>
          <t>Xưởng anh Nhật - Đình Bình Thắng, Dĩ An, Bình Dương / 0982.371.901</t>
        </is>
      </c>
      <c r="D1325" s="400" t="inlineStr">
        <is>
          <t>0982.371.901</t>
        </is>
      </c>
      <c r="E1325" s="402" t="n"/>
      <c r="F1325" s="401" t="inlineStr">
        <is>
          <t>Bình Dương</t>
        </is>
      </c>
      <c r="G1325" s="400" t="inlineStr">
        <is>
          <t>SG/HCM</t>
        </is>
      </c>
      <c r="H1325" s="402" t="n"/>
      <c r="J1325" s="392">
        <f>IFERROR(UPPER(TRIM(B1325))&amp;"|"&amp;UPPER(TRIM(C1325))&amp;"|"&amp;UPPER(TRIM(D1325)),"")</f>
        <v/>
      </c>
    </row>
    <row r="1326" ht="15.75" customHeight="1" s="217">
      <c r="A1326" s="397" t="n">
        <v>1324</v>
      </c>
      <c r="B1326" s="397" t="inlineStr">
        <is>
          <t>KH2450</t>
        </is>
      </c>
      <c r="C1326" s="398" t="inlineStr">
        <is>
          <t>Anh Sơn - Lộc Ninh, Bình Phước/ 0867.163.339</t>
        </is>
      </c>
      <c r="D1326" s="397" t="inlineStr">
        <is>
          <t>0867.163.339</t>
        </is>
      </c>
      <c r="E1326" s="399" t="n"/>
      <c r="F1326" s="398" t="inlineStr">
        <is>
          <t>Lộc Ninh, Bình Phước</t>
        </is>
      </c>
      <c r="G1326" s="397" t="inlineStr">
        <is>
          <t>BP</t>
        </is>
      </c>
      <c r="H1326" s="399" t="n"/>
      <c r="J1326" s="392">
        <f>IFERROR(UPPER(TRIM(B1326))&amp;"|"&amp;UPPER(TRIM(C1326))&amp;"|"&amp;UPPER(TRIM(D1326)),"")</f>
        <v/>
      </c>
    </row>
    <row r="1327" ht="15.75" customHeight="1" s="217">
      <c r="A1327" s="400" t="n">
        <v>1325</v>
      </c>
      <c r="B1327" s="400" t="inlineStr">
        <is>
          <t>KH2451</t>
        </is>
      </c>
      <c r="C1327" s="401" t="inlineStr">
        <is>
          <t>Anh Tiếp - Bình Dương / 0913.860.866</t>
        </is>
      </c>
      <c r="D1327" s="400" t="inlineStr">
        <is>
          <t>0913.860.866</t>
        </is>
      </c>
      <c r="E1327" s="402" t="n"/>
      <c r="F1327" s="401" t="inlineStr">
        <is>
          <t>Bình Dương</t>
        </is>
      </c>
      <c r="G1327" s="402" t="n"/>
      <c r="H1327" s="402" t="n"/>
      <c r="J1327" s="392">
        <f>IFERROR(UPPER(TRIM(B1327))&amp;"|"&amp;UPPER(TRIM(C1327))&amp;"|"&amp;UPPER(TRIM(D1327)),"")</f>
        <v/>
      </c>
    </row>
    <row r="1328" ht="15.75" customHeight="1" s="217">
      <c r="A1328" s="397" t="n">
        <v>1326</v>
      </c>
      <c r="B1328" s="397" t="inlineStr">
        <is>
          <t>KH2452</t>
        </is>
      </c>
      <c r="C1328" s="398" t="inlineStr">
        <is>
          <t>Anh Toàn (Tý) - Đồng Nai / 0902.622.025</t>
        </is>
      </c>
      <c r="D1328" s="397" t="inlineStr">
        <is>
          <t>0902.622.025</t>
        </is>
      </c>
      <c r="E1328" s="399" t="n"/>
      <c r="F1328" s="398" t="inlineStr">
        <is>
          <t>Xuân Lộc - Đồng Nai</t>
        </is>
      </c>
      <c r="G1328" s="397" t="inlineStr">
        <is>
          <t>ÐNAI</t>
        </is>
      </c>
      <c r="H1328" s="399" t="n"/>
      <c r="J1328" s="392">
        <f>IFERROR(UPPER(TRIM(B1328))&amp;"|"&amp;UPPER(TRIM(C1328))&amp;"|"&amp;UPPER(TRIM(D1328)),"")</f>
        <v/>
      </c>
    </row>
    <row r="1329" ht="15.75" customHeight="1" s="217">
      <c r="A1329" s="400" t="n">
        <v>1327</v>
      </c>
      <c r="B1329" s="400" t="inlineStr">
        <is>
          <t>KH2453</t>
        </is>
      </c>
      <c r="C1329" s="401" t="inlineStr">
        <is>
          <t>Anh Tuyên - Phan Rang, Ninh Thuận / 0971.670.678</t>
        </is>
      </c>
      <c r="D1329" s="400" t="inlineStr">
        <is>
          <t>0971.670.678</t>
        </is>
      </c>
      <c r="E1329" s="402" t="n"/>
      <c r="F1329" s="401" t="inlineStr">
        <is>
          <t>Phan Rang Tháp Chàm, Ninh Thuận</t>
        </is>
      </c>
      <c r="G1329" s="400" t="inlineStr">
        <is>
          <t>NTHUAN</t>
        </is>
      </c>
      <c r="H1329" s="402" t="n"/>
      <c r="J1329" s="392">
        <f>IFERROR(UPPER(TRIM(B1329))&amp;"|"&amp;UPPER(TRIM(C1329))&amp;"|"&amp;UPPER(TRIM(D1329)),"")</f>
        <v/>
      </c>
    </row>
    <row r="1330" ht="15.75" customHeight="1" s="217">
      <c r="A1330" s="397" t="n">
        <v>1328</v>
      </c>
      <c r="B1330" s="397" t="inlineStr">
        <is>
          <t>KH2454</t>
        </is>
      </c>
      <c r="C1330" s="398" t="inlineStr">
        <is>
          <t>Anh Năm - Nha Trang / 0976.376.548</t>
        </is>
      </c>
      <c r="D1330" s="397" t="inlineStr">
        <is>
          <t>0976.376.548</t>
        </is>
      </c>
      <c r="E1330" s="399" t="n"/>
      <c r="F1330" s="398" t="inlineStr">
        <is>
          <t>Nha Trang - Khánh Hòa</t>
        </is>
      </c>
      <c r="G1330" s="397" t="inlineStr">
        <is>
          <t>NTRANG</t>
        </is>
      </c>
      <c r="H1330" s="399" t="n"/>
      <c r="J1330" s="392">
        <f>IFERROR(UPPER(TRIM(B1330))&amp;"|"&amp;UPPER(TRIM(C1330))&amp;"|"&amp;UPPER(TRIM(D1330)),"")</f>
        <v/>
      </c>
    </row>
    <row r="1331" ht="15.75" customHeight="1" s="217">
      <c r="A1331" s="400" t="n">
        <v>1329</v>
      </c>
      <c r="B1331" s="400" t="inlineStr">
        <is>
          <t>KH2448</t>
        </is>
      </c>
      <c r="C1331" s="401" t="inlineStr">
        <is>
          <t>Chị Chung - Sài Gòn / 0352.737.063</t>
        </is>
      </c>
      <c r="D1331" s="400" t="inlineStr">
        <is>
          <t>0352.737.063</t>
        </is>
      </c>
      <c r="E1331" s="402" t="n"/>
      <c r="F1331" s="401" t="inlineStr">
        <is>
          <t>Sài Gòn</t>
        </is>
      </c>
      <c r="G1331" s="400" t="inlineStr">
        <is>
          <t>SG/HCM</t>
        </is>
      </c>
      <c r="H1331" s="402" t="n"/>
      <c r="J1331" s="392">
        <f>IFERROR(UPPER(TRIM(B1331))&amp;"|"&amp;UPPER(TRIM(C1331))&amp;"|"&amp;UPPER(TRIM(D1331)),"")</f>
        <v/>
      </c>
    </row>
    <row r="1332" ht="15.75" customHeight="1" s="217">
      <c r="A1332" s="397" t="n">
        <v>1330</v>
      </c>
      <c r="B1332" s="397" t="inlineStr">
        <is>
          <t>KH2449</t>
        </is>
      </c>
      <c r="C1332" s="398" t="inlineStr">
        <is>
          <t>Chú Thanh - Bình Dương/ 0918.126.627</t>
        </is>
      </c>
      <c r="D1332" s="397" t="inlineStr">
        <is>
          <t>0918.126.627</t>
        </is>
      </c>
      <c r="E1332" s="399" t="n"/>
      <c r="F1332" s="398" t="inlineStr">
        <is>
          <t>Bình Dương (qua Bến Cát)</t>
        </is>
      </c>
      <c r="G1332" s="397" t="inlineStr">
        <is>
          <t>BDUONG</t>
        </is>
      </c>
      <c r="H1332" s="399" t="n"/>
      <c r="J1332" s="392">
        <f>IFERROR(UPPER(TRIM(B1332))&amp;"|"&amp;UPPER(TRIM(C1332))&amp;"|"&amp;UPPER(TRIM(D1332)),"")</f>
        <v/>
      </c>
    </row>
    <row r="1333" ht="15.75" customHeight="1" s="217">
      <c r="A1333" s="400" t="n">
        <v>1331</v>
      </c>
      <c r="B1333" s="400" t="inlineStr">
        <is>
          <t>KH2446</t>
        </is>
      </c>
      <c r="C1333" s="401" t="inlineStr">
        <is>
          <t>Xưởng Cao Thắng - Đức Trọng/ 0982.040.028</t>
        </is>
      </c>
      <c r="D1333" s="400" t="inlineStr">
        <is>
          <t>0982.040.028</t>
        </is>
      </c>
      <c r="E1333" s="402" t="n"/>
      <c r="F1333" s="401" t="inlineStr">
        <is>
          <t>Đức Trọng, Lâm Đồng</t>
        </is>
      </c>
      <c r="G1333" s="400" t="inlineStr">
        <is>
          <t>LDONG</t>
        </is>
      </c>
      <c r="H1333" s="402" t="n"/>
      <c r="J1333" s="392">
        <f>IFERROR(UPPER(TRIM(B1333))&amp;"|"&amp;UPPER(TRIM(C1333))&amp;"|"&amp;UPPER(TRIM(D1333)),"")</f>
        <v/>
      </c>
    </row>
    <row r="1334" ht="15.75" customHeight="1" s="217">
      <c r="A1334" s="397" t="n">
        <v>1332</v>
      </c>
      <c r="B1334" s="397" t="inlineStr">
        <is>
          <t>KH2447</t>
        </is>
      </c>
      <c r="C1334" s="398" t="inlineStr">
        <is>
          <t>Anh Hiếu -Tây Ninh - 0849.204.201</t>
        </is>
      </c>
      <c r="D1334" s="397" t="inlineStr">
        <is>
          <t>0849.204.201</t>
        </is>
      </c>
      <c r="E1334" s="399" t="n"/>
      <c r="F1334" s="398" t="inlineStr">
        <is>
          <t>Châu Thành -Tây Ninh</t>
        </is>
      </c>
      <c r="G1334" s="397" t="inlineStr">
        <is>
          <t>TNINH</t>
        </is>
      </c>
      <c r="H1334" s="399" t="n"/>
      <c r="J1334" s="392">
        <f>IFERROR(UPPER(TRIM(B1334))&amp;"|"&amp;UPPER(TRIM(C1334))&amp;"|"&amp;UPPER(TRIM(D1334)),"")</f>
        <v/>
      </c>
    </row>
    <row r="1335" ht="15.75" customHeight="1" s="217">
      <c r="A1335" s="400" t="n">
        <v>1333</v>
      </c>
      <c r="B1335" s="400" t="inlineStr">
        <is>
          <t>KH2445</t>
        </is>
      </c>
      <c r="C1335" s="401" t="inlineStr">
        <is>
          <t>Anh Thủ - Komatsu/ 0909.514.846</t>
        </is>
      </c>
      <c r="D1335" s="400" t="inlineStr">
        <is>
          <t>0909.514.846</t>
        </is>
      </c>
      <c r="E1335" s="402" t="n"/>
      <c r="F1335" s="401" t="inlineStr">
        <is>
          <t>Đồng Nai</t>
        </is>
      </c>
      <c r="G1335" s="400" t="inlineStr">
        <is>
          <t>SG/HCM</t>
        </is>
      </c>
      <c r="H1335" s="402" t="n"/>
      <c r="J1335" s="392">
        <f>IFERROR(UPPER(TRIM(B1335))&amp;"|"&amp;UPPER(TRIM(C1335))&amp;"|"&amp;UPPER(TRIM(D1335)),"")</f>
        <v/>
      </c>
    </row>
    <row r="1336" ht="15.75" customHeight="1" s="217">
      <c r="A1336" s="397" t="n">
        <v>1334</v>
      </c>
      <c r="B1336" s="397" t="inlineStr">
        <is>
          <t>KH2442</t>
        </is>
      </c>
      <c r="C1336" s="398" t="inlineStr">
        <is>
          <t>Anh Hùng - Bãi máy Bình Dương/ 0982.755.676</t>
        </is>
      </c>
      <c r="D1336" s="397" t="inlineStr">
        <is>
          <t>0982.755.676</t>
        </is>
      </c>
      <c r="E1336" s="399" t="n"/>
      <c r="F1336" s="398" t="inlineStr">
        <is>
          <t>Bình Dương</t>
        </is>
      </c>
      <c r="G1336" s="397" t="inlineStr">
        <is>
          <t>SG/HCM</t>
        </is>
      </c>
      <c r="H1336" s="399" t="n"/>
      <c r="J1336" s="392">
        <f>IFERROR(UPPER(TRIM(B1336))&amp;"|"&amp;UPPER(TRIM(C1336))&amp;"|"&amp;UPPER(TRIM(D1336)),"")</f>
        <v/>
      </c>
    </row>
    <row r="1337" ht="15.75" customHeight="1" s="217">
      <c r="A1337" s="400" t="n">
        <v>1335</v>
      </c>
      <c r="B1337" s="400" t="inlineStr">
        <is>
          <t>KH2443</t>
        </is>
      </c>
      <c r="C1337" s="401" t="inlineStr">
        <is>
          <t>Anh Huyên - Bình Phước/ 0983.474.864</t>
        </is>
      </c>
      <c r="D1337" s="400" t="inlineStr">
        <is>
          <t>0983.474.864</t>
        </is>
      </c>
      <c r="E1337" s="402" t="n"/>
      <c r="F1337" s="401" t="inlineStr">
        <is>
          <t>Bình Phước</t>
        </is>
      </c>
      <c r="G1337" s="402" t="n"/>
      <c r="H1337" s="402" t="n"/>
      <c r="J1337" s="392">
        <f>IFERROR(UPPER(TRIM(B1337))&amp;"|"&amp;UPPER(TRIM(C1337))&amp;"|"&amp;UPPER(TRIM(D1337)),"")</f>
        <v/>
      </c>
    </row>
    <row r="1338" ht="15.75" customHeight="1" s="217">
      <c r="A1338" s="397" t="n">
        <v>1336</v>
      </c>
      <c r="B1338" s="397" t="inlineStr">
        <is>
          <t>KH2444</t>
        </is>
      </c>
      <c r="C1338" s="398" t="inlineStr">
        <is>
          <t>Gara Thọ - Bình Dương / 0988.042.303</t>
        </is>
      </c>
      <c r="D1338" s="397" t="inlineStr">
        <is>
          <t>0988.042.303</t>
        </is>
      </c>
      <c r="E1338" s="399" t="n"/>
      <c r="F1338" s="398" t="inlineStr">
        <is>
          <t>Bình Dương</t>
        </is>
      </c>
      <c r="G1338" s="399" t="n"/>
      <c r="H1338" s="399" t="n"/>
      <c r="J1338" s="392">
        <f>IFERROR(UPPER(TRIM(B1338))&amp;"|"&amp;UPPER(TRIM(C1338))&amp;"|"&amp;UPPER(TRIM(D1338)),"")</f>
        <v/>
      </c>
    </row>
    <row r="1339" ht="15.75" customHeight="1" s="217">
      <c r="A1339" s="400" t="n">
        <v>1337</v>
      </c>
      <c r="B1339" s="400" t="inlineStr">
        <is>
          <t>KH2439</t>
        </is>
      </c>
      <c r="C1339" s="401" t="inlineStr">
        <is>
          <t>Xưởng Thế Lực - Bù Đăng, Bình Phước/0975.601.106</t>
        </is>
      </c>
      <c r="D1339" s="400" t="inlineStr">
        <is>
          <t>0975.601.106</t>
        </is>
      </c>
      <c r="E1339" s="402" t="n"/>
      <c r="F1339" s="401" t="inlineStr">
        <is>
          <t>Đức Liễu, Bù Đăng, Bình Phước</t>
        </is>
      </c>
      <c r="G1339" s="400" t="inlineStr">
        <is>
          <t>BP</t>
        </is>
      </c>
      <c r="H1339" s="402" t="n"/>
      <c r="J1339" s="392">
        <f>IFERROR(UPPER(TRIM(B1339))&amp;"|"&amp;UPPER(TRIM(C1339))&amp;"|"&amp;UPPER(TRIM(D1339)),"")</f>
        <v/>
      </c>
    </row>
    <row r="1340" ht="15.75" customHeight="1" s="217">
      <c r="A1340" s="397" t="n">
        <v>1338</v>
      </c>
      <c r="B1340" s="397" t="inlineStr">
        <is>
          <t>KH2440</t>
        </is>
      </c>
      <c r="C1340" s="398" t="inlineStr">
        <is>
          <t>Chị Thoa - Phạm Văn Đồng, Sài Gòn/0908.228.858</t>
        </is>
      </c>
      <c r="D1340" s="397" t="inlineStr">
        <is>
          <t>0908.228.858</t>
        </is>
      </c>
      <c r="E1340" s="399" t="n"/>
      <c r="F1340" s="398" t="inlineStr">
        <is>
          <t>Sài Gòn</t>
        </is>
      </c>
      <c r="G1340" s="397" t="inlineStr">
        <is>
          <t>SG/HCM</t>
        </is>
      </c>
      <c r="H1340" s="399" t="n"/>
      <c r="J1340" s="392">
        <f>IFERROR(UPPER(TRIM(B1340))&amp;"|"&amp;UPPER(TRIM(C1340))&amp;"|"&amp;UPPER(TRIM(D1340)),"")</f>
        <v/>
      </c>
    </row>
    <row r="1341" ht="15.75" customHeight="1" s="217">
      <c r="A1341" s="400" t="n">
        <v>1339</v>
      </c>
      <c r="B1341" s="400" t="inlineStr">
        <is>
          <t>KH2441</t>
        </is>
      </c>
      <c r="C1341" s="401" t="inlineStr">
        <is>
          <t>Gara Anh Lý - Kon Tum / 0914.063.156</t>
        </is>
      </c>
      <c r="D1341" s="400" t="inlineStr">
        <is>
          <t>0914.063.156</t>
        </is>
      </c>
      <c r="E1341" s="402" t="n"/>
      <c r="F1341" s="401" t="inlineStr">
        <is>
          <t>Ngô Đức Đệ - Kon tum</t>
        </is>
      </c>
      <c r="G1341" s="400" t="inlineStr">
        <is>
          <t>KTUM</t>
        </is>
      </c>
      <c r="H1341" s="402" t="n"/>
      <c r="J1341" s="392">
        <f>IFERROR(UPPER(TRIM(B1341))&amp;"|"&amp;UPPER(TRIM(C1341))&amp;"|"&amp;UPPER(TRIM(D1341)),"")</f>
        <v/>
      </c>
    </row>
    <row r="1342" ht="15.75" customHeight="1" s="217">
      <c r="A1342" s="397" t="n">
        <v>1340</v>
      </c>
      <c r="B1342" s="397" t="inlineStr">
        <is>
          <t>KH2438</t>
        </is>
      </c>
      <c r="C1342" s="398" t="inlineStr">
        <is>
          <t>Anh Hiến -   Chung cư Đồng An -Bình Dương / 0909.442.937</t>
        </is>
      </c>
      <c r="D1342" s="397" t="inlineStr">
        <is>
          <t>0909.442.937</t>
        </is>
      </c>
      <c r="E1342" s="399" t="n"/>
      <c r="F1342" s="398" t="inlineStr">
        <is>
          <t>Bình Dương</t>
        </is>
      </c>
      <c r="G1342" s="399" t="n"/>
      <c r="H1342" s="399" t="n"/>
      <c r="J1342" s="392">
        <f>IFERROR(UPPER(TRIM(B1342))&amp;"|"&amp;UPPER(TRIM(C1342))&amp;"|"&amp;UPPER(TRIM(D1342)),"")</f>
        <v/>
      </c>
    </row>
    <row r="1343" ht="15.75" customHeight="1" s="217">
      <c r="A1343" s="400" t="n">
        <v>1341</v>
      </c>
      <c r="B1343" s="400" t="inlineStr">
        <is>
          <t>KH2437</t>
        </is>
      </c>
      <c r="C1343" s="401" t="inlineStr">
        <is>
          <t>Anh Lợi - Quận 7 Sài Gòn / 0906.625.363</t>
        </is>
      </c>
      <c r="D1343" s="400" t="inlineStr">
        <is>
          <t>0906.625.363</t>
        </is>
      </c>
      <c r="E1343" s="402" t="n"/>
      <c r="F1343" s="401" t="inlineStr">
        <is>
          <t>Hẻm 366 Phạm Hữu Điều, Quận 7, Sài Gòn</t>
        </is>
      </c>
      <c r="G1343" s="400" t="inlineStr">
        <is>
          <t>SG/HCM</t>
        </is>
      </c>
      <c r="H1343" s="402" t="n"/>
      <c r="J1343" s="392">
        <f>IFERROR(UPPER(TRIM(B1343))&amp;"|"&amp;UPPER(TRIM(C1343))&amp;"|"&amp;UPPER(TRIM(D1343)),"")</f>
        <v/>
      </c>
    </row>
    <row r="1344" ht="15.75" customHeight="1" s="217">
      <c r="A1344" s="397" t="n">
        <v>1342</v>
      </c>
      <c r="B1344" s="397" t="inlineStr">
        <is>
          <t>KH2434</t>
        </is>
      </c>
      <c r="C1344" s="398" t="inlineStr">
        <is>
          <t>Công ty An Lim / 0915.798.659</t>
        </is>
      </c>
      <c r="D1344" s="397" t="inlineStr">
        <is>
          <t>0915.798.659</t>
        </is>
      </c>
      <c r="E1344" s="399" t="n"/>
      <c r="F1344" s="398" t="inlineStr">
        <is>
          <t>Sài Gòn</t>
        </is>
      </c>
      <c r="G1344" s="397" t="inlineStr">
        <is>
          <t>SG/HCM</t>
        </is>
      </c>
      <c r="H1344" s="399" t="n"/>
      <c r="J1344" s="392">
        <f>IFERROR(UPPER(TRIM(B1344))&amp;"|"&amp;UPPER(TRIM(C1344))&amp;"|"&amp;UPPER(TRIM(D1344)),"")</f>
        <v/>
      </c>
    </row>
    <row r="1345" ht="15.75" customHeight="1" s="217">
      <c r="A1345" s="400" t="n">
        <v>1343</v>
      </c>
      <c r="B1345" s="400" t="inlineStr">
        <is>
          <t>KH2435</t>
        </is>
      </c>
      <c r="C1345" s="401" t="inlineStr">
        <is>
          <t>Anh Phùng - Xưởng làm ron Đắk Lăk / 0763.799.739</t>
        </is>
      </c>
      <c r="D1345" s="400" t="inlineStr">
        <is>
          <t>0763.799.739</t>
        </is>
      </c>
      <c r="E1345" s="402" t="n"/>
      <c r="F1345" s="401" t="inlineStr">
        <is>
          <t>60 Đinh Tiên Hoàng ,TP  Buôn Ma Thuột-Đắk Lăk</t>
        </is>
      </c>
      <c r="G1345" s="400" t="inlineStr">
        <is>
          <t>ÐL</t>
        </is>
      </c>
      <c r="H1345" s="402" t="n"/>
      <c r="J1345" s="392">
        <f>IFERROR(UPPER(TRIM(B1345))&amp;"|"&amp;UPPER(TRIM(C1345))&amp;"|"&amp;UPPER(TRIM(D1345)),"")</f>
        <v/>
      </c>
    </row>
    <row r="1346" ht="15.75" customHeight="1" s="217">
      <c r="A1346" s="397" t="n">
        <v>1344</v>
      </c>
      <c r="B1346" s="397" t="inlineStr">
        <is>
          <t>KH2436</t>
        </is>
      </c>
      <c r="C1346" s="398" t="inlineStr">
        <is>
          <t>Anh Phong - Bù Đăng, Bình Phước/0775.200.747</t>
        </is>
      </c>
      <c r="D1346" s="397" t="inlineStr">
        <is>
          <t>0775.200.747</t>
        </is>
      </c>
      <c r="E1346" s="399" t="n"/>
      <c r="F1346" s="398" t="inlineStr">
        <is>
          <t>Bù Đăng, Bình Phước</t>
        </is>
      </c>
      <c r="G1346" s="397" t="inlineStr">
        <is>
          <t>BP</t>
        </is>
      </c>
      <c r="H1346" s="399" t="n"/>
      <c r="J1346" s="392">
        <f>IFERROR(UPPER(TRIM(B1346))&amp;"|"&amp;UPPER(TRIM(C1346))&amp;"|"&amp;UPPER(TRIM(D1346)),"")</f>
        <v/>
      </c>
    </row>
    <row r="1347" ht="15.75" customHeight="1" s="217">
      <c r="A1347" s="400" t="n">
        <v>1345</v>
      </c>
      <c r="B1347" s="400" t="inlineStr">
        <is>
          <t>KH2432</t>
        </is>
      </c>
      <c r="C1347" s="401" t="inlineStr">
        <is>
          <t>Anh Chinh - Công ty Đá Hóa An - Mỏ 5B, Bà Rịa, Vũng Tàu  / 0929.424.918</t>
        </is>
      </c>
      <c r="D1347" s="400" t="inlineStr">
        <is>
          <t>0929.424.918</t>
        </is>
      </c>
      <c r="E1347" s="402" t="n"/>
      <c r="F1347" s="401" t="inlineStr">
        <is>
          <t>Bà Rịa, Vũng Tàu</t>
        </is>
      </c>
      <c r="G1347" s="400" t="inlineStr">
        <is>
          <t>BRVT</t>
        </is>
      </c>
      <c r="H1347" s="402" t="n"/>
      <c r="J1347" s="392">
        <f>IFERROR(UPPER(TRIM(B1347))&amp;"|"&amp;UPPER(TRIM(C1347))&amp;"|"&amp;UPPER(TRIM(D1347)),"")</f>
        <v/>
      </c>
    </row>
    <row r="1348" ht="15.75" customHeight="1" s="217">
      <c r="A1348" s="397" t="n">
        <v>1346</v>
      </c>
      <c r="B1348" s="397" t="inlineStr">
        <is>
          <t>KH2433</t>
        </is>
      </c>
      <c r="C1348" s="398" t="inlineStr">
        <is>
          <t>Cửa hàng Ron- anh Tiến - Đắk Nông / 0986.007.486</t>
        </is>
      </c>
      <c r="D1348" s="397" t="inlineStr">
        <is>
          <t>0986.007.486</t>
        </is>
      </c>
      <c r="E1348" s="399" t="n"/>
      <c r="F1348" s="398" t="inlineStr">
        <is>
          <t>Gia Nghĩa - Đăk Nông</t>
        </is>
      </c>
      <c r="G1348" s="397" t="inlineStr">
        <is>
          <t>DNONG</t>
        </is>
      </c>
      <c r="H1348" s="399" t="n"/>
      <c r="J1348" s="392">
        <f>IFERROR(UPPER(TRIM(B1348))&amp;"|"&amp;UPPER(TRIM(C1348))&amp;"|"&amp;UPPER(TRIM(D1348)),"")</f>
        <v/>
      </c>
    </row>
    <row r="1349" ht="15.75" customHeight="1" s="217">
      <c r="A1349" s="400" t="n">
        <v>1347</v>
      </c>
      <c r="B1349" s="400" t="inlineStr">
        <is>
          <t>KH2431</t>
        </is>
      </c>
      <c r="C1349" s="401" t="inlineStr">
        <is>
          <t>Anh Phước (Gara) - Bảo Lộc, Lâm Đồng / 0392.588.802</t>
        </is>
      </c>
      <c r="D1349" s="400" t="inlineStr">
        <is>
          <t>0392.588.802</t>
        </is>
      </c>
      <c r="E1349" s="402" t="n"/>
      <c r="F1349" s="401" t="inlineStr">
        <is>
          <t>51E Trần Phú, Lộc Sơn, TP Bảo Lộc, Lâm Đồng</t>
        </is>
      </c>
      <c r="G1349" s="400" t="inlineStr">
        <is>
          <t>LDONG</t>
        </is>
      </c>
      <c r="H1349" s="402" t="n"/>
      <c r="J1349" s="392">
        <f>IFERROR(UPPER(TRIM(B1349))&amp;"|"&amp;UPPER(TRIM(C1349))&amp;"|"&amp;UPPER(TRIM(D1349)),"")</f>
        <v/>
      </c>
    </row>
    <row r="1350" ht="15.75" customHeight="1" s="217">
      <c r="A1350" s="397" t="n">
        <v>1348</v>
      </c>
      <c r="B1350" s="397" t="inlineStr">
        <is>
          <t>KH2428</t>
        </is>
      </c>
      <c r="C1350" s="398" t="inlineStr">
        <is>
          <t>Gara  Dương - Phan Thiết / 0973.723.604- 0784.240.208</t>
        </is>
      </c>
      <c r="D1350" s="397" t="inlineStr">
        <is>
          <t>0973.723.604- / 0784.240.208</t>
        </is>
      </c>
      <c r="E1350" s="399" t="n"/>
      <c r="F1350" s="398" t="inlineStr">
        <is>
          <t>QL1Q Phong Nẫm- Phan Thiết - Bình Thuận</t>
        </is>
      </c>
      <c r="G1350" s="397" t="inlineStr">
        <is>
          <t>BTHUAN</t>
        </is>
      </c>
      <c r="H1350" s="399" t="n"/>
      <c r="J1350" s="392">
        <f>IFERROR(UPPER(TRIM(B1350))&amp;"|"&amp;UPPER(TRIM(C1350))&amp;"|"&amp;UPPER(TRIM(D1350)),"")</f>
        <v/>
      </c>
    </row>
    <row r="1351" ht="15.75" customHeight="1" s="217">
      <c r="A1351" s="400" t="n">
        <v>1349</v>
      </c>
      <c r="B1351" s="400" t="inlineStr">
        <is>
          <t>KH2429</t>
        </is>
      </c>
      <c r="C1351" s="401" t="inlineStr">
        <is>
          <t>Xưởng anh Cơ - Kontum / 0971.997.567</t>
        </is>
      </c>
      <c r="D1351" s="400" t="inlineStr">
        <is>
          <t>0971.997.567</t>
        </is>
      </c>
      <c r="E1351" s="402" t="n"/>
      <c r="F1351" s="401" t="inlineStr">
        <is>
          <t>Đăk Tô - Kon Tum</t>
        </is>
      </c>
      <c r="G1351" s="400" t="inlineStr">
        <is>
          <t>KTUM</t>
        </is>
      </c>
      <c r="H1351" s="402" t="n"/>
      <c r="J1351" s="392">
        <f>IFERROR(UPPER(TRIM(B1351))&amp;"|"&amp;UPPER(TRIM(C1351))&amp;"|"&amp;UPPER(TRIM(D1351)),"")</f>
        <v/>
      </c>
    </row>
    <row r="1352" ht="15.75" customHeight="1" s="217">
      <c r="A1352" s="397" t="n">
        <v>1350</v>
      </c>
      <c r="B1352" s="397" t="inlineStr">
        <is>
          <t>KH2430</t>
        </is>
      </c>
      <c r="C1352" s="398" t="inlineStr">
        <is>
          <t>(không dùng) Anh Năm - Nha Trang/ 096.376.548</t>
        </is>
      </c>
      <c r="D1352" s="397" t="inlineStr">
        <is>
          <t>096.376.548</t>
        </is>
      </c>
      <c r="E1352" s="399" t="n"/>
      <c r="F1352" s="398" t="inlineStr">
        <is>
          <t>Khu công nghiệp Suối Dầu - Nha Trang</t>
        </is>
      </c>
      <c r="G1352" s="397" t="inlineStr">
        <is>
          <t>NTRANG</t>
        </is>
      </c>
      <c r="H1352" s="399" t="n"/>
      <c r="J1352" s="392">
        <f>IFERROR(UPPER(TRIM(B1352))&amp;"|"&amp;UPPER(TRIM(C1352))&amp;"|"&amp;UPPER(TRIM(D1352)),"")</f>
        <v/>
      </c>
    </row>
    <row r="1353" ht="15.75" customHeight="1" s="217">
      <c r="A1353" s="400" t="n">
        <v>1351</v>
      </c>
      <c r="B1353" s="400" t="inlineStr">
        <is>
          <t>ABG</t>
        </is>
      </c>
      <c r="C1353" s="401" t="inlineStr">
        <is>
          <t>Công ty ABG / Văn Anh - Hà Nội</t>
        </is>
      </c>
      <c r="D1353" s="402" t="n"/>
      <c r="E1353" s="402" t="n"/>
      <c r="F1353" s="401" t="inlineStr">
        <is>
          <t>256/143 Nguyễn Chính, Thịnh Liệt, Hà Nội</t>
        </is>
      </c>
      <c r="G1353" s="402" t="n"/>
      <c r="H1353" s="402" t="n"/>
      <c r="J1353" s="392">
        <f>IFERROR(UPPER(TRIM(B1353))&amp;"|"&amp;UPPER(TRIM(C1353))&amp;"|"&amp;UPPER(TRIM(D1353)),"")</f>
        <v/>
      </c>
    </row>
    <row r="1354" ht="15.75" customHeight="1" s="217">
      <c r="A1354" s="397" t="n">
        <v>1352</v>
      </c>
      <c r="B1354" s="397" t="inlineStr">
        <is>
          <t>KH2427</t>
        </is>
      </c>
      <c r="C1354" s="398" t="inlineStr">
        <is>
          <t>Xưởng tiện anh Lâm (chị Linh) - Đắklắk / 0905.326.363</t>
        </is>
      </c>
      <c r="D1354" s="397" t="inlineStr">
        <is>
          <t>0905.326.363</t>
        </is>
      </c>
      <c r="E1354" s="399" t="n"/>
      <c r="F1354" s="398" t="inlineStr">
        <is>
          <t>18 Ngô Tất Tố - Đăklăk</t>
        </is>
      </c>
      <c r="G1354" s="397" t="inlineStr">
        <is>
          <t>ÐL</t>
        </is>
      </c>
      <c r="H1354" s="399" t="n"/>
      <c r="J1354" s="392">
        <f>IFERROR(UPPER(TRIM(B1354))&amp;"|"&amp;UPPER(TRIM(C1354))&amp;"|"&amp;UPPER(TRIM(D1354)),"")</f>
        <v/>
      </c>
    </row>
    <row r="1355" ht="15.75" customHeight="1" s="217">
      <c r="A1355" s="400" t="n">
        <v>1353</v>
      </c>
      <c r="B1355" s="400" t="inlineStr">
        <is>
          <t>KH2426</t>
        </is>
      </c>
      <c r="C1355" s="401" t="inlineStr">
        <is>
          <t>Xưởng tiện anh Việt -Long Khánh, Đồng Nai/0937.853.222</t>
        </is>
      </c>
      <c r="D1355" s="400" t="inlineStr">
        <is>
          <t>0937.853.222</t>
        </is>
      </c>
      <c r="E1355" s="402" t="n"/>
      <c r="F1355" s="401" t="inlineStr">
        <is>
          <t>Long Khánh, Đồng Nai</t>
        </is>
      </c>
      <c r="G1355" s="400" t="inlineStr">
        <is>
          <t>ÐNAI</t>
        </is>
      </c>
      <c r="H1355" s="402" t="n"/>
      <c r="J1355" s="392">
        <f>IFERROR(UPPER(TRIM(B1355))&amp;"|"&amp;UPPER(TRIM(C1355))&amp;"|"&amp;UPPER(TRIM(D1355)),"")</f>
        <v/>
      </c>
    </row>
    <row r="1356" ht="15.75" customHeight="1" s="217">
      <c r="A1356" s="397" t="n">
        <v>1354</v>
      </c>
      <c r="B1356" s="397" t="inlineStr">
        <is>
          <t>KH2425</t>
        </is>
      </c>
      <c r="C1356" s="398" t="inlineStr">
        <is>
          <t>Anh Vũ - cửa hàng Cao Nguyên, Kontum/0986.029.678/0901.958.171</t>
        </is>
      </c>
      <c r="D1356" s="397" t="inlineStr">
        <is>
          <t>0986.029.678 / 0901.958.171</t>
        </is>
      </c>
      <c r="E1356" s="399" t="n"/>
      <c r="F1356" s="398" t="inlineStr">
        <is>
          <t>Km8 Thanh Trung, phường Ngô Mây, TP Kontum</t>
        </is>
      </c>
      <c r="G1356" s="397" t="inlineStr">
        <is>
          <t>KTUM</t>
        </is>
      </c>
      <c r="H1356" s="399" t="n"/>
      <c r="J1356" s="392">
        <f>IFERROR(UPPER(TRIM(B1356))&amp;"|"&amp;UPPER(TRIM(C1356))&amp;"|"&amp;UPPER(TRIM(D1356)),"")</f>
        <v/>
      </c>
    </row>
    <row r="1357" ht="15.75" customHeight="1" s="217">
      <c r="A1357" s="400" t="n">
        <v>1355</v>
      </c>
      <c r="B1357" s="400" t="inlineStr">
        <is>
          <t>KH2424</t>
        </is>
      </c>
      <c r="C1357" s="401" t="inlineStr">
        <is>
          <t>Anh Sơn - Sài Gòn / 0909.396.261</t>
        </is>
      </c>
      <c r="D1357" s="400" t="inlineStr">
        <is>
          <t>0909.396.261</t>
        </is>
      </c>
      <c r="E1357" s="402" t="n"/>
      <c r="F1357" s="401" t="inlineStr">
        <is>
          <t>216 Đào Sư Tích, Phước Lộc, Nhà Bè, Sài Gòn</t>
        </is>
      </c>
      <c r="G1357" s="400" t="inlineStr">
        <is>
          <t>SG/HCM</t>
        </is>
      </c>
      <c r="H1357" s="402" t="n"/>
      <c r="J1357" s="392">
        <f>IFERROR(UPPER(TRIM(B1357))&amp;"|"&amp;UPPER(TRIM(C1357))&amp;"|"&amp;UPPER(TRIM(D1357)),"")</f>
        <v/>
      </c>
    </row>
    <row r="1358" ht="15.75" customHeight="1" s="217">
      <c r="A1358" s="397" t="n">
        <v>1356</v>
      </c>
      <c r="B1358" s="397" t="inlineStr">
        <is>
          <t>KH2423</t>
        </is>
      </c>
      <c r="C1358" s="398" t="inlineStr">
        <is>
          <t>Xưởng Thành Vinh - Ngọc Hồi, Kontum / 0976.728.280</t>
        </is>
      </c>
      <c r="D1358" s="397" t="inlineStr">
        <is>
          <t>0976.728.280</t>
        </is>
      </c>
      <c r="E1358" s="399" t="n"/>
      <c r="F1358" s="398" t="inlineStr">
        <is>
          <t>Đăk Mốt, Ngọc Hồi, Kon tum</t>
        </is>
      </c>
      <c r="G1358" s="397" t="inlineStr">
        <is>
          <t>KTUM</t>
        </is>
      </c>
      <c r="H1358" s="399" t="n"/>
      <c r="J1358" s="392">
        <f>IFERROR(UPPER(TRIM(B1358))&amp;"|"&amp;UPPER(TRIM(C1358))&amp;"|"&amp;UPPER(TRIM(D1358)),"")</f>
        <v/>
      </c>
    </row>
    <row r="1359" ht="15.75" customHeight="1" s="217">
      <c r="A1359" s="400" t="n">
        <v>1357</v>
      </c>
      <c r="B1359" s="400" t="inlineStr">
        <is>
          <t>KH2420</t>
        </is>
      </c>
      <c r="C1359" s="401" t="inlineStr">
        <is>
          <t>Xưởng tiện Thuận Hòa - QL 51-Biên Hoà/ 0797.964.066</t>
        </is>
      </c>
      <c r="D1359" s="400" t="inlineStr">
        <is>
          <t>0797.964.066</t>
        </is>
      </c>
      <c r="E1359" s="402" t="n"/>
      <c r="F1359" s="401" t="inlineStr">
        <is>
          <t>QL 51 (gần vòng xoay cổng 11) , Biên Hoà,  Đồng Nai</t>
        </is>
      </c>
      <c r="G1359" s="400" t="inlineStr">
        <is>
          <t>ÐNAI</t>
        </is>
      </c>
      <c r="H1359" s="402" t="n"/>
      <c r="J1359" s="392">
        <f>IFERROR(UPPER(TRIM(B1359))&amp;"|"&amp;UPPER(TRIM(C1359))&amp;"|"&amp;UPPER(TRIM(D1359)),"")</f>
        <v/>
      </c>
    </row>
    <row r="1360" ht="15.75" customHeight="1" s="217">
      <c r="A1360" s="397" t="n">
        <v>1358</v>
      </c>
      <c r="B1360" s="397" t="inlineStr">
        <is>
          <t>KH2421</t>
        </is>
      </c>
      <c r="C1360" s="398" t="inlineStr">
        <is>
          <t>Xưởng tiện Tuấn Hùng - Ngã tư An Sương, Quốc lộ 22 / 0918.062.839</t>
        </is>
      </c>
      <c r="D1360" s="397" t="inlineStr">
        <is>
          <t>0918.062.839</t>
        </is>
      </c>
      <c r="E1360" s="399" t="n"/>
      <c r="F1360" s="398" t="inlineStr">
        <is>
          <t>Ngã tư an Sương - Quốc lộ 22</t>
        </is>
      </c>
      <c r="G1360" s="397" t="inlineStr">
        <is>
          <t>SG/HCM</t>
        </is>
      </c>
      <c r="H1360" s="399" t="n"/>
      <c r="J1360" s="392">
        <f>IFERROR(UPPER(TRIM(B1360))&amp;"|"&amp;UPPER(TRIM(C1360))&amp;"|"&amp;UPPER(TRIM(D1360)),"")</f>
        <v/>
      </c>
    </row>
    <row r="1361" ht="15.75" customHeight="1" s="217">
      <c r="A1361" s="400" t="n">
        <v>1359</v>
      </c>
      <c r="B1361" s="400" t="inlineStr">
        <is>
          <t>KH2422</t>
        </is>
      </c>
      <c r="C1361" s="401" t="inlineStr">
        <is>
          <t>Gara Đồng Tiến - Gia Lai / 0353.956.820</t>
        </is>
      </c>
      <c r="D1361" s="400" t="inlineStr">
        <is>
          <t>0353.956.820</t>
        </is>
      </c>
      <c r="E1361" s="402" t="n"/>
      <c r="F1361" s="401" t="inlineStr">
        <is>
          <t>Trường Chinh - Gia Lai</t>
        </is>
      </c>
      <c r="G1361" s="400" t="inlineStr">
        <is>
          <t>GLAI</t>
        </is>
      </c>
      <c r="H1361" s="402" t="n"/>
      <c r="J1361" s="392">
        <f>IFERROR(UPPER(TRIM(B1361))&amp;"|"&amp;UPPER(TRIM(C1361))&amp;"|"&amp;UPPER(TRIM(D1361)),"")</f>
        <v/>
      </c>
    </row>
    <row r="1362" ht="15.75" customHeight="1" s="217">
      <c r="A1362" s="397" t="n">
        <v>1360</v>
      </c>
      <c r="B1362" s="397" t="inlineStr">
        <is>
          <t>KH2419</t>
        </is>
      </c>
      <c r="C1362" s="398" t="inlineStr">
        <is>
          <t>Anh Vĩnh (Gara) - Quảng Ngãi / 0914.324.081</t>
        </is>
      </c>
      <c r="D1362" s="397" t="inlineStr">
        <is>
          <t>0914.324.081</t>
        </is>
      </c>
      <c r="E1362" s="399" t="n"/>
      <c r="F1362" s="398" t="inlineStr">
        <is>
          <t>Quảng Ngãi</t>
        </is>
      </c>
      <c r="G1362" s="397" t="inlineStr">
        <is>
          <t>QUNGAI</t>
        </is>
      </c>
      <c r="H1362" s="399" t="n"/>
      <c r="J1362" s="392">
        <f>IFERROR(UPPER(TRIM(B1362))&amp;"|"&amp;UPPER(TRIM(C1362))&amp;"|"&amp;UPPER(TRIM(D1362)),"")</f>
        <v/>
      </c>
    </row>
    <row r="1363" ht="15.75" customHeight="1" s="217">
      <c r="A1363" s="400" t="n">
        <v>1361</v>
      </c>
      <c r="B1363" s="400" t="inlineStr">
        <is>
          <t>KH2416</t>
        </is>
      </c>
      <c r="C1363" s="401" t="inlineStr">
        <is>
          <t>Xưởng tiện Anh Lợi - Vĩnh Phú 17 / Anh Lợi: 0914.377.116/ Anh Thanh: 0909.967.893</t>
        </is>
      </c>
      <c r="D1363" s="400" t="inlineStr">
        <is>
          <t>0914.377.116 / 0909.967.893</t>
        </is>
      </c>
      <c r="E1363" s="402" t="n"/>
      <c r="F1363" s="401" t="inlineStr">
        <is>
          <t>Vĩnh Phú 17, Thuận An, Bình Dương</t>
        </is>
      </c>
      <c r="G1363" s="400" t="inlineStr">
        <is>
          <t>BDUONG</t>
        </is>
      </c>
      <c r="H1363" s="402" t="n"/>
      <c r="J1363" s="392">
        <f>IFERROR(UPPER(TRIM(B1363))&amp;"|"&amp;UPPER(TRIM(C1363))&amp;"|"&amp;UPPER(TRIM(D1363)),"")</f>
        <v/>
      </c>
    </row>
    <row r="1364" ht="15.75" customHeight="1" s="217">
      <c r="A1364" s="397" t="n">
        <v>1362</v>
      </c>
      <c r="B1364" s="397" t="inlineStr">
        <is>
          <t>KH2417</t>
        </is>
      </c>
      <c r="C1364" s="398" t="inlineStr">
        <is>
          <t>Xưởng anh Sáu -  Vòng xoay cổng 11- TP Biên Hòa/0979.732.419</t>
        </is>
      </c>
      <c r="D1364" s="397" t="inlineStr">
        <is>
          <t>0979.732.419</t>
        </is>
      </c>
      <c r="E1364" s="399" t="n"/>
      <c r="F1364" s="398" t="inlineStr">
        <is>
          <t>Biên Hòa - Đồng Nai</t>
        </is>
      </c>
      <c r="G1364" s="397" t="inlineStr">
        <is>
          <t>ÐNAI</t>
        </is>
      </c>
      <c r="H1364" s="399" t="n"/>
      <c r="J1364" s="392">
        <f>IFERROR(UPPER(TRIM(B1364))&amp;"|"&amp;UPPER(TRIM(C1364))&amp;"|"&amp;UPPER(TRIM(D1364)),"")</f>
        <v/>
      </c>
    </row>
    <row r="1365" ht="15.75" customHeight="1" s="217">
      <c r="A1365" s="400" t="n">
        <v>1363</v>
      </c>
      <c r="B1365" s="400" t="inlineStr">
        <is>
          <t>KH2418</t>
        </is>
      </c>
      <c r="C1365" s="401" t="inlineStr">
        <is>
          <t>Anh Luân (xưởng Trâm Anh) - Bình Dương / 0972.371.857</t>
        </is>
      </c>
      <c r="D1365" s="400" t="inlineStr">
        <is>
          <t>0972.371.857</t>
        </is>
      </c>
      <c r="E1365" s="402" t="n"/>
      <c r="F1365" s="401" t="inlineStr">
        <is>
          <t>Vòng xoay An Phú, Bình Dương</t>
        </is>
      </c>
      <c r="G1365" s="400" t="inlineStr">
        <is>
          <t>BDUONG</t>
        </is>
      </c>
      <c r="H1365" s="402" t="n"/>
      <c r="J1365" s="392">
        <f>IFERROR(UPPER(TRIM(B1365))&amp;"|"&amp;UPPER(TRIM(C1365))&amp;"|"&amp;UPPER(TRIM(D1365)),"")</f>
        <v/>
      </c>
    </row>
    <row r="1366" ht="15.75" customHeight="1" s="217">
      <c r="A1366" s="397" t="n">
        <v>1364</v>
      </c>
      <c r="B1366" s="397" t="inlineStr">
        <is>
          <t>KH2414</t>
        </is>
      </c>
      <c r="C1366" s="398" t="inlineStr">
        <is>
          <t>Anh Sang - Bình Phước/ 0354.878.293</t>
        </is>
      </c>
      <c r="D1366" s="397" t="inlineStr">
        <is>
          <t>0354.878.293</t>
        </is>
      </c>
      <c r="E1366" s="399" t="n"/>
      <c r="F1366" s="398" t="inlineStr">
        <is>
          <t>Bình Long, Bình Phước</t>
        </is>
      </c>
      <c r="G1366" s="397" t="inlineStr">
        <is>
          <t>BP</t>
        </is>
      </c>
      <c r="H1366" s="399" t="n"/>
      <c r="J1366" s="392">
        <f>IFERROR(UPPER(TRIM(B1366))&amp;"|"&amp;UPPER(TRIM(C1366))&amp;"|"&amp;UPPER(TRIM(D1366)),"")</f>
        <v/>
      </c>
    </row>
    <row r="1367" ht="15.75" customHeight="1" s="217">
      <c r="A1367" s="400" t="n">
        <v>1365</v>
      </c>
      <c r="B1367" s="400" t="inlineStr">
        <is>
          <t>KH2415</t>
        </is>
      </c>
      <c r="C1367" s="401" t="inlineStr">
        <is>
          <t>Xưởng tiện Út Minh Nghĩa III - Tây Ninh / Anh Bạc 0903.046.633</t>
        </is>
      </c>
      <c r="D1367" s="400" t="inlineStr">
        <is>
          <t>0903.046.633</t>
        </is>
      </c>
      <c r="E1367" s="402" t="n"/>
      <c r="F1367" s="401" t="inlineStr">
        <is>
          <t>Hòa Thành, Tây Ninh</t>
        </is>
      </c>
      <c r="G1367" s="400" t="inlineStr">
        <is>
          <t>TNINH</t>
        </is>
      </c>
      <c r="H1367" s="402" t="n"/>
      <c r="J1367" s="392">
        <f>IFERROR(UPPER(TRIM(B1367))&amp;"|"&amp;UPPER(TRIM(C1367))&amp;"|"&amp;UPPER(TRIM(D1367)),"")</f>
        <v/>
      </c>
    </row>
    <row r="1368" ht="15.75" customHeight="1" s="217">
      <c r="A1368" s="397" t="n">
        <v>1366</v>
      </c>
      <c r="B1368" s="397" t="inlineStr">
        <is>
          <t>KH2413</t>
        </is>
      </c>
      <c r="C1368" s="398" t="inlineStr">
        <is>
          <t>Cửa hàng anh Thông - Kiên Giang / 0972.353.159 / 0917.758.400</t>
        </is>
      </c>
      <c r="D1368" s="397" t="inlineStr">
        <is>
          <t>0972.353.159 / 0917.758.400</t>
        </is>
      </c>
      <c r="E1368" s="399" t="n"/>
      <c r="F1368" s="398" t="inlineStr">
        <is>
          <t>Tổ 4 ấp Sơn Kiên, xã Kiên Bình, huyện Kiên Lương, An Giang</t>
        </is>
      </c>
      <c r="G1368" s="397" t="inlineStr">
        <is>
          <t>KG</t>
        </is>
      </c>
      <c r="H1368" s="399" t="n"/>
      <c r="J1368" s="392">
        <f>IFERROR(UPPER(TRIM(B1368))&amp;"|"&amp;UPPER(TRIM(C1368))&amp;"|"&amp;UPPER(TRIM(D1368)),"")</f>
        <v/>
      </c>
    </row>
    <row r="1369" ht="15.75" customHeight="1" s="217">
      <c r="A1369" s="400" t="n">
        <v>1367</v>
      </c>
      <c r="B1369" s="400" t="inlineStr">
        <is>
          <t>KH2411</t>
        </is>
      </c>
      <c r="C1369" s="401" t="inlineStr">
        <is>
          <t>Anh Vũ - Quốc lộ 13 / 0949.664.064</t>
        </is>
      </c>
      <c r="D1369" s="400" t="inlineStr">
        <is>
          <t>0949.664.064</t>
        </is>
      </c>
      <c r="E1369" s="402" t="n"/>
      <c r="F1369" s="401" t="inlineStr">
        <is>
          <t>776 Quốc lộ 13, Thủ Đức, Sài Gòn</t>
        </is>
      </c>
      <c r="G1369" s="400" t="inlineStr">
        <is>
          <t>SG/HCM</t>
        </is>
      </c>
      <c r="H1369" s="402" t="n"/>
      <c r="J1369" s="392">
        <f>IFERROR(UPPER(TRIM(B1369))&amp;"|"&amp;UPPER(TRIM(C1369))&amp;"|"&amp;UPPER(TRIM(D1369)),"")</f>
        <v/>
      </c>
    </row>
    <row r="1370" ht="15.75" customHeight="1" s="217">
      <c r="A1370" s="397" t="n">
        <v>1368</v>
      </c>
      <c r="B1370" s="397" t="inlineStr">
        <is>
          <t>KH2412</t>
        </is>
      </c>
      <c r="C1370" s="398" t="inlineStr">
        <is>
          <t>Minh Châu - Hà Nội - Phụ tùng Trung Quốc - 0932.780.662</t>
        </is>
      </c>
      <c r="D1370" s="397" t="inlineStr">
        <is>
          <t>0932.780.662</t>
        </is>
      </c>
      <c r="E1370" s="399" t="n"/>
      <c r="F1370" s="398" t="inlineStr">
        <is>
          <t>Long Biên - Hà Nội</t>
        </is>
      </c>
      <c r="G1370" s="397" t="inlineStr">
        <is>
          <t>HN</t>
        </is>
      </c>
      <c r="H1370" s="399" t="n"/>
      <c r="J1370" s="392">
        <f>IFERROR(UPPER(TRIM(B1370))&amp;"|"&amp;UPPER(TRIM(C1370))&amp;"|"&amp;UPPER(TRIM(D1370)),"")</f>
        <v/>
      </c>
    </row>
    <row r="1371" ht="15.75" customHeight="1" s="217">
      <c r="A1371" s="400" t="n">
        <v>1369</v>
      </c>
      <c r="B1371" s="400" t="inlineStr">
        <is>
          <t>KH2410</t>
        </is>
      </c>
      <c r="C1371" s="401" t="inlineStr">
        <is>
          <t>Chị Hằng - Campuchia (khách mua máy CAT) 012.752.780</t>
        </is>
      </c>
      <c r="D1371" s="400" t="inlineStr">
        <is>
          <t>012.752.780</t>
        </is>
      </c>
      <c r="E1371" s="402" t="n"/>
      <c r="F1371" s="401" t="inlineStr">
        <is>
          <t>Phnompenh, Cambodia</t>
        </is>
      </c>
      <c r="G1371" s="400" t="inlineStr">
        <is>
          <t>CPC</t>
        </is>
      </c>
      <c r="H1371" s="402" t="n"/>
      <c r="J1371" s="392">
        <f>IFERROR(UPPER(TRIM(B1371))&amp;"|"&amp;UPPER(TRIM(C1371))&amp;"|"&amp;UPPER(TRIM(D1371)),"")</f>
        <v/>
      </c>
    </row>
    <row r="1372" ht="15.75" customHeight="1" s="217">
      <c r="A1372" s="397" t="n">
        <v>1370</v>
      </c>
      <c r="B1372" s="397" t="inlineStr">
        <is>
          <t>KH2408</t>
        </is>
      </c>
      <c r="C1372" s="398" t="inlineStr">
        <is>
          <t>Xưởng tiện Quế Hưng - Ngã tư Bình Phước/ A. Duy 0907.116.523</t>
        </is>
      </c>
      <c r="D1372" s="397" t="inlineStr">
        <is>
          <t>0907.116.523</t>
        </is>
      </c>
      <c r="E1372" s="399" t="n"/>
      <c r="F1372" s="398" t="inlineStr">
        <is>
          <t>QL1A, Thủ Đức, Sài Gòn</t>
        </is>
      </c>
      <c r="G1372" s="397" t="inlineStr">
        <is>
          <t>SG/HCM</t>
        </is>
      </c>
      <c r="H1372" s="399" t="n"/>
      <c r="J1372" s="392">
        <f>IFERROR(UPPER(TRIM(B1372))&amp;"|"&amp;UPPER(TRIM(C1372))&amp;"|"&amp;UPPER(TRIM(D1372)),"")</f>
        <v/>
      </c>
    </row>
    <row r="1373" ht="15.75" customHeight="1" s="217">
      <c r="A1373" s="400" t="n">
        <v>1371</v>
      </c>
      <c r="B1373" s="400" t="inlineStr">
        <is>
          <t>KH2409</t>
        </is>
      </c>
      <c r="C1373" s="401" t="inlineStr">
        <is>
          <t>(Thu chi hộ tiền gia công) Xưởng anh Châu - QL13/  0903.338.153</t>
        </is>
      </c>
      <c r="D1373" s="400" t="inlineStr">
        <is>
          <t>0903.338.153</t>
        </is>
      </c>
      <c r="E1373" s="402" t="n"/>
      <c r="F1373" s="401" t="inlineStr">
        <is>
          <t>Hiệp Bình Phước, QL13, Thủ Đức</t>
        </is>
      </c>
      <c r="G1373" s="400" t="inlineStr">
        <is>
          <t>SG/HCM</t>
        </is>
      </c>
      <c r="H1373" s="402" t="n"/>
      <c r="J1373" s="392">
        <f>IFERROR(UPPER(TRIM(B1373))&amp;"|"&amp;UPPER(TRIM(C1373))&amp;"|"&amp;UPPER(TRIM(D1373)),"")</f>
        <v/>
      </c>
    </row>
    <row r="1374" ht="15.75" customHeight="1" s="217">
      <c r="A1374" s="397" t="n">
        <v>1372</v>
      </c>
      <c r="B1374" s="397" t="inlineStr">
        <is>
          <t>KH2406</t>
        </is>
      </c>
      <c r="C1374" s="398" t="inlineStr">
        <is>
          <t>Anh Cư (Gara) - Bình Phước / 0919.514.799</t>
        </is>
      </c>
      <c r="D1374" s="397" t="inlineStr">
        <is>
          <t>0919.514.799</t>
        </is>
      </c>
      <c r="E1374" s="399" t="n"/>
      <c r="F1374" s="398" t="inlineStr">
        <is>
          <t>Bình Phước</t>
        </is>
      </c>
      <c r="G1374" s="397" t="inlineStr">
        <is>
          <t>BP</t>
        </is>
      </c>
      <c r="H1374" s="399" t="n"/>
      <c r="J1374" s="392">
        <f>IFERROR(UPPER(TRIM(B1374))&amp;"|"&amp;UPPER(TRIM(C1374))&amp;"|"&amp;UPPER(TRIM(D1374)),"")</f>
        <v/>
      </c>
    </row>
    <row r="1375" ht="15.75" customHeight="1" s="217">
      <c r="A1375" s="400" t="n">
        <v>1373</v>
      </c>
      <c r="B1375" s="400" t="inlineStr">
        <is>
          <t>KH2407</t>
        </is>
      </c>
      <c r="C1375" s="401" t="inlineStr">
        <is>
          <t>Xưởng Kim Đồng - Đăk Nông/ 0906.520.476 - 0987.242.915</t>
        </is>
      </c>
      <c r="D1375" s="400" t="inlineStr">
        <is>
          <t>0906.520.476 / 0987.242.915</t>
        </is>
      </c>
      <c r="E1375" s="402" t="n"/>
      <c r="F1375" s="401" t="inlineStr">
        <is>
          <t>Đăk Nông</t>
        </is>
      </c>
      <c r="G1375" s="400" t="inlineStr">
        <is>
          <t>DNONG</t>
        </is>
      </c>
      <c r="H1375" s="402" t="n"/>
      <c r="J1375" s="392">
        <f>IFERROR(UPPER(TRIM(B1375))&amp;"|"&amp;UPPER(TRIM(C1375))&amp;"|"&amp;UPPER(TRIM(D1375)),"")</f>
        <v/>
      </c>
    </row>
    <row r="1376" ht="15.75" customHeight="1" s="217">
      <c r="A1376" s="397" t="n">
        <v>1374</v>
      </c>
      <c r="B1376" s="397" t="inlineStr">
        <is>
          <t>KH2403</t>
        </is>
      </c>
      <c r="C1376" s="398" t="inlineStr">
        <is>
          <t>Xưởng Phú Nguyễn - Đăk Lăk / 0913.604.647</t>
        </is>
      </c>
      <c r="D1376" s="397" t="inlineStr">
        <is>
          <t>0913.604.647</t>
        </is>
      </c>
      <c r="E1376" s="399" t="n"/>
      <c r="F1376" s="398" t="inlineStr">
        <is>
          <t>27 Trần Quý Cáp, Buôn Mê Thuột, Đắk Lắk</t>
        </is>
      </c>
      <c r="G1376" s="397" t="inlineStr">
        <is>
          <t>ÐL</t>
        </is>
      </c>
      <c r="H1376" s="399" t="n"/>
      <c r="J1376" s="392">
        <f>IFERROR(UPPER(TRIM(B1376))&amp;"|"&amp;UPPER(TRIM(C1376))&amp;"|"&amp;UPPER(TRIM(D1376)),"")</f>
        <v/>
      </c>
    </row>
    <row r="1377" ht="15.75" customHeight="1" s="217">
      <c r="A1377" s="400" t="n">
        <v>1375</v>
      </c>
      <c r="B1377" s="400" t="inlineStr">
        <is>
          <t>KH2404</t>
        </is>
      </c>
      <c r="C1377" s="401" t="inlineStr">
        <is>
          <t>Anh Thân - Ngã 4 Bình Phước/ 0946.173.226</t>
        </is>
      </c>
      <c r="D1377" s="400" t="inlineStr">
        <is>
          <t>0946.173.226</t>
        </is>
      </c>
      <c r="E1377" s="402" t="n"/>
      <c r="F1377" s="401" t="inlineStr">
        <is>
          <t>Ngã 4 Bình Phước, Thủ Đức, TP HCM</t>
        </is>
      </c>
      <c r="G1377" s="400" t="inlineStr">
        <is>
          <t>SG/HCM</t>
        </is>
      </c>
      <c r="H1377" s="402" t="n"/>
      <c r="J1377" s="392">
        <f>IFERROR(UPPER(TRIM(B1377))&amp;"|"&amp;UPPER(TRIM(C1377))&amp;"|"&amp;UPPER(TRIM(D1377)),"")</f>
        <v/>
      </c>
    </row>
    <row r="1378" ht="15.75" customHeight="1" s="217">
      <c r="A1378" s="397" t="n">
        <v>1376</v>
      </c>
      <c r="B1378" s="397" t="inlineStr">
        <is>
          <t>KH2405</t>
        </is>
      </c>
      <c r="C1378" s="398" t="inlineStr">
        <is>
          <t>A TUẤN (xưởng Tuấn Linh) - KONTUM / 0975.053.678</t>
        </is>
      </c>
      <c r="D1378" s="397" t="inlineStr">
        <is>
          <t>0975.053.678</t>
        </is>
      </c>
      <c r="E1378" s="399" t="n"/>
      <c r="F1378" s="398" t="inlineStr">
        <is>
          <t>Phan Đình Phùng, Kontum</t>
        </is>
      </c>
      <c r="G1378" s="397" t="inlineStr">
        <is>
          <t>KTUM</t>
        </is>
      </c>
      <c r="H1378" s="399" t="n"/>
      <c r="J1378" s="392">
        <f>IFERROR(UPPER(TRIM(B1378))&amp;"|"&amp;UPPER(TRIM(C1378))&amp;"|"&amp;UPPER(TRIM(D1378)),"")</f>
        <v/>
      </c>
    </row>
    <row r="1379" ht="15.75" customHeight="1" s="217">
      <c r="A1379" s="400" t="n">
        <v>1377</v>
      </c>
      <c r="B1379" s="400" t="inlineStr">
        <is>
          <t>KH2402</t>
        </is>
      </c>
      <c r="C1379" s="401" t="inlineStr">
        <is>
          <t>A Thành cao (thợ mài tự do) QL13 - 0901.144.864</t>
        </is>
      </c>
      <c r="D1379" s="400" t="inlineStr">
        <is>
          <t>0901.144.864</t>
        </is>
      </c>
      <c r="E1379" s="402" t="n"/>
      <c r="F1379" s="401" t="inlineStr">
        <is>
          <t>QL13, Thủ Đức</t>
        </is>
      </c>
      <c r="G1379" s="400" t="inlineStr">
        <is>
          <t>SG/HCM</t>
        </is>
      </c>
      <c r="H1379" s="402" t="n"/>
      <c r="J1379" s="392">
        <f>IFERROR(UPPER(TRIM(B1379))&amp;"|"&amp;UPPER(TRIM(C1379))&amp;"|"&amp;UPPER(TRIM(D1379)),"")</f>
        <v/>
      </c>
    </row>
    <row r="1380" ht="15.75" customHeight="1" s="217">
      <c r="A1380" s="397" t="n">
        <v>1378</v>
      </c>
      <c r="B1380" s="397" t="inlineStr">
        <is>
          <t>KH2401</t>
        </is>
      </c>
      <c r="C1380" s="398" t="inlineStr">
        <is>
          <t>Công ty Đá Hóa An - Biên Hòa (Tổng công ty) / Anh Diện - 0963.091.204</t>
        </is>
      </c>
      <c r="D1380" s="397" t="inlineStr">
        <is>
          <t>0963.091.204</t>
        </is>
      </c>
      <c r="E1380" s="399" t="n"/>
      <c r="F1380" s="398" t="inlineStr">
        <is>
          <t>Biên Hòa - Đồng Nai</t>
        </is>
      </c>
      <c r="G1380" s="397" t="inlineStr">
        <is>
          <t>ÐNAI</t>
        </is>
      </c>
      <c r="H1380" s="399" t="n"/>
      <c r="J1380" s="392">
        <f>IFERROR(UPPER(TRIM(B1380))&amp;"|"&amp;UPPER(TRIM(C1380))&amp;"|"&amp;UPPER(TRIM(D1380)),"")</f>
        <v/>
      </c>
    </row>
    <row r="1381" ht="15.75" customHeight="1" s="217">
      <c r="A1381" s="400" t="n">
        <v>1379</v>
      </c>
      <c r="B1381" s="400" t="inlineStr">
        <is>
          <t>KH2400</t>
        </is>
      </c>
      <c r="C1381" s="401" t="inlineStr">
        <is>
          <t>Anh Hùng - Q9 - Sài Gòn/ 0797.239.542</t>
        </is>
      </c>
      <c r="D1381" s="400" t="inlineStr">
        <is>
          <t>0797.239.542</t>
        </is>
      </c>
      <c r="E1381" s="402" t="n"/>
      <c r="F1381" s="401" t="inlineStr">
        <is>
          <t>Quận 9 - TP.HCM</t>
        </is>
      </c>
      <c r="G1381" s="400" t="inlineStr">
        <is>
          <t>SG/HCM</t>
        </is>
      </c>
      <c r="H1381" s="402" t="n"/>
      <c r="J1381" s="392">
        <f>IFERROR(UPPER(TRIM(B1381))&amp;"|"&amp;UPPER(TRIM(C1381))&amp;"|"&amp;UPPER(TRIM(D1381)),"")</f>
        <v/>
      </c>
    </row>
    <row r="1382" ht="15.75" customHeight="1" s="217">
      <c r="A1382" s="397" t="n">
        <v>1380</v>
      </c>
      <c r="B1382" s="397" t="inlineStr">
        <is>
          <t>KH2399</t>
        </is>
      </c>
      <c r="C1382" s="398" t="inlineStr">
        <is>
          <t>Anh Thanh (Phước Hải) - Hàng Xanh</t>
        </is>
      </c>
      <c r="D1382" s="399" t="n"/>
      <c r="E1382" s="399" t="n"/>
      <c r="F1382" s="398" t="inlineStr">
        <is>
          <t>Sài Gòn</t>
        </is>
      </c>
      <c r="G1382" s="397" t="inlineStr">
        <is>
          <t>SG/HCM</t>
        </is>
      </c>
      <c r="H1382" s="399" t="n"/>
      <c r="J1382" s="392">
        <f>IFERROR(UPPER(TRIM(B1382))&amp;"|"&amp;UPPER(TRIM(C1382))&amp;"|"&amp;UPPER(TRIM(D1382)),"")</f>
        <v/>
      </c>
    </row>
    <row r="1383" ht="15.75" customHeight="1" s="217">
      <c r="A1383" s="400" t="n">
        <v>1381</v>
      </c>
      <c r="B1383" s="400" t="inlineStr">
        <is>
          <t>TRANPHAT</t>
        </is>
      </c>
      <c r="C1383" s="401" t="inlineStr">
        <is>
          <t>Cửa hàng Trần Phát / A Định 0938.816.481 (chuyên đồ CAT)</t>
        </is>
      </c>
      <c r="D1383" s="400" t="inlineStr">
        <is>
          <t>0938.816.481</t>
        </is>
      </c>
      <c r="E1383" s="402" t="n"/>
      <c r="F1383" s="401" t="inlineStr">
        <is>
          <t>Sài Gòn</t>
        </is>
      </c>
      <c r="G1383" s="400" t="inlineStr">
        <is>
          <t>SG/HCM</t>
        </is>
      </c>
      <c r="H1383" s="402" t="n"/>
      <c r="J1383" s="392">
        <f>IFERROR(UPPER(TRIM(B1383))&amp;"|"&amp;UPPER(TRIM(C1383))&amp;"|"&amp;UPPER(TRIM(D1383)),"")</f>
        <v/>
      </c>
    </row>
    <row r="1384" ht="15.75" customHeight="1" s="217">
      <c r="A1384" s="397" t="n">
        <v>1382</v>
      </c>
      <c r="B1384" s="397" t="inlineStr">
        <is>
          <t>KH2395</t>
        </is>
      </c>
      <c r="C1384" s="398" t="inlineStr">
        <is>
          <t>Công ty TNHH Khoáng Sản Hưng Thịnh/ A Trí 0932.924.628 - 0917.607.417</t>
        </is>
      </c>
      <c r="D1384" s="397" t="inlineStr">
        <is>
          <t>0932.924.628 / 0917.607.417</t>
        </is>
      </c>
      <c r="E1384" s="399" t="n"/>
      <c r="F1384" s="398" t="inlineStr">
        <is>
          <t>255 Nguyễn Biểu, P2, Q5, TP HCM</t>
        </is>
      </c>
      <c r="G1384" s="397" t="inlineStr">
        <is>
          <t>SG/HCM</t>
        </is>
      </c>
      <c r="H1384" s="399" t="n"/>
      <c r="J1384" s="392">
        <f>IFERROR(UPPER(TRIM(B1384))&amp;"|"&amp;UPPER(TRIM(C1384))&amp;"|"&amp;UPPER(TRIM(D1384)),"")</f>
        <v/>
      </c>
    </row>
    <row r="1385" ht="15.75" customHeight="1" s="217">
      <c r="A1385" s="400" t="n">
        <v>1383</v>
      </c>
      <c r="B1385" s="400" t="inlineStr">
        <is>
          <t>KH2396</t>
        </is>
      </c>
      <c r="C1385" s="401" t="inlineStr">
        <is>
          <t>Anh Tiền (xưởng) Đại Nam - Bình Dương/ 0976.145.306</t>
        </is>
      </c>
      <c r="D1385" s="400" t="inlineStr">
        <is>
          <t>0976.145.306</t>
        </is>
      </c>
      <c r="E1385" s="402" t="n"/>
      <c r="F1385" s="401" t="inlineStr">
        <is>
          <t>Đại Nam, Bình Dương</t>
        </is>
      </c>
      <c r="G1385" s="400" t="inlineStr">
        <is>
          <t>BDUONG</t>
        </is>
      </c>
      <c r="H1385" s="402" t="n"/>
      <c r="J1385" s="392">
        <f>IFERROR(UPPER(TRIM(B1385))&amp;"|"&amp;UPPER(TRIM(C1385))&amp;"|"&amp;UPPER(TRIM(D1385)),"")</f>
        <v/>
      </c>
    </row>
    <row r="1386" ht="15.75" customHeight="1" s="217">
      <c r="A1386" s="397" t="n">
        <v>1384</v>
      </c>
      <c r="B1386" s="397" t="inlineStr">
        <is>
          <t>KH2397</t>
        </is>
      </c>
      <c r="C1386" s="398" t="inlineStr">
        <is>
          <t>Xưởng anh Dũng - Đăk Lăk / 0982.433.998</t>
        </is>
      </c>
      <c r="D1386" s="397" t="inlineStr">
        <is>
          <t>0982.433.998</t>
        </is>
      </c>
      <c r="E1386" s="399" t="n"/>
      <c r="F1386" s="398" t="inlineStr">
        <is>
          <t>Km14 Quốc lộ 14 Đăk Lăk</t>
        </is>
      </c>
      <c r="G1386" s="397" t="inlineStr">
        <is>
          <t>ÐL</t>
        </is>
      </c>
      <c r="H1386" s="399" t="n"/>
      <c r="J1386" s="392">
        <f>IFERROR(UPPER(TRIM(B1386))&amp;"|"&amp;UPPER(TRIM(C1386))&amp;"|"&amp;UPPER(TRIM(D1386)),"")</f>
        <v/>
      </c>
    </row>
    <row r="1387" ht="15.75" customHeight="1" s="217">
      <c r="A1387" s="400" t="n">
        <v>1385</v>
      </c>
      <c r="B1387" s="400" t="inlineStr">
        <is>
          <t>KH2398</t>
        </is>
      </c>
      <c r="C1387" s="401" t="inlineStr">
        <is>
          <t>Anh Quân - Bình Dương/ 0961.207.805</t>
        </is>
      </c>
      <c r="D1387" s="400" t="inlineStr">
        <is>
          <t>0961.207.805</t>
        </is>
      </c>
      <c r="E1387" s="402" t="n"/>
      <c r="F1387" s="401" t="inlineStr">
        <is>
          <t>Dĩ An, Bình Dương</t>
        </is>
      </c>
      <c r="G1387" s="400" t="inlineStr">
        <is>
          <t>SG/HCM</t>
        </is>
      </c>
      <c r="H1387" s="402" t="n"/>
      <c r="J1387" s="392">
        <f>IFERROR(UPPER(TRIM(B1387))&amp;"|"&amp;UPPER(TRIM(C1387))&amp;"|"&amp;UPPER(TRIM(D1387)),"")</f>
        <v/>
      </c>
    </row>
    <row r="1388" ht="15.75" customHeight="1" s="217">
      <c r="A1388" s="397" t="n">
        <v>1386</v>
      </c>
      <c r="B1388" s="397" t="inlineStr">
        <is>
          <t>KH2394</t>
        </is>
      </c>
      <c r="C1388" s="398" t="inlineStr">
        <is>
          <t>Anh Chọn - Công ty Hồng An / 0978.989.081</t>
        </is>
      </c>
      <c r="D1388" s="397" t="inlineStr">
        <is>
          <t>0978.989.081</t>
        </is>
      </c>
      <c r="E1388" s="399" t="n"/>
      <c r="F1388" s="398" t="inlineStr">
        <is>
          <t>Quận 11 - Sài Gòn</t>
        </is>
      </c>
      <c r="G1388" s="397" t="inlineStr">
        <is>
          <t>SG/HCM</t>
        </is>
      </c>
      <c r="H1388" s="399" t="n"/>
      <c r="J1388" s="392">
        <f>IFERROR(UPPER(TRIM(B1388))&amp;"|"&amp;UPPER(TRIM(C1388))&amp;"|"&amp;UPPER(TRIM(D1388)),"")</f>
        <v/>
      </c>
    </row>
    <row r="1389" ht="15.75" customHeight="1" s="217">
      <c r="A1389" s="400" t="n">
        <v>1387</v>
      </c>
      <c r="B1389" s="400" t="inlineStr">
        <is>
          <t>KH2391</t>
        </is>
      </c>
      <c r="C1389" s="401" t="inlineStr">
        <is>
          <t>Xưởng tiện Anh Đạt - Quận 10, Sài Gòn/ 0903.631.333</t>
        </is>
      </c>
      <c r="D1389" s="400" t="inlineStr">
        <is>
          <t>0903.631.333</t>
        </is>
      </c>
      <c r="E1389" s="402" t="n"/>
      <c r="F1389" s="401" t="inlineStr">
        <is>
          <t>112 Trần Nhân Tông-Phường 2-Quận 10 - TP HCM</t>
        </is>
      </c>
      <c r="G1389" s="400" t="inlineStr">
        <is>
          <t>SG/HCM</t>
        </is>
      </c>
      <c r="H1389" s="402" t="n"/>
      <c r="J1389" s="392">
        <f>IFERROR(UPPER(TRIM(B1389))&amp;"|"&amp;UPPER(TRIM(C1389))&amp;"|"&amp;UPPER(TRIM(D1389)),"")</f>
        <v/>
      </c>
    </row>
    <row r="1390" ht="15.75" customHeight="1" s="217">
      <c r="A1390" s="397" t="n">
        <v>1388</v>
      </c>
      <c r="B1390" s="397" t="inlineStr">
        <is>
          <t>KH2392</t>
        </is>
      </c>
      <c r="C1390" s="398" t="inlineStr">
        <is>
          <t>Xưởng tiện Danh Nghĩa - Sài Gòn/ Anh Danh: 0903.999.559 - 0903.373.656</t>
        </is>
      </c>
      <c r="D1390" s="397" t="inlineStr">
        <is>
          <t>0903.999.559 / 0903.373.656</t>
        </is>
      </c>
      <c r="E1390" s="399" t="n"/>
      <c r="F1390" s="398" t="inlineStr">
        <is>
          <t>40/10 Đường số 8, P. Trường Thọ, TP Thủ Đức, TP Hồ Chí Minh</t>
        </is>
      </c>
      <c r="G1390" s="397" t="inlineStr">
        <is>
          <t>SG/HCM</t>
        </is>
      </c>
      <c r="H1390" s="399" t="n"/>
      <c r="J1390" s="392">
        <f>IFERROR(UPPER(TRIM(B1390))&amp;"|"&amp;UPPER(TRIM(C1390))&amp;"|"&amp;UPPER(TRIM(D1390)),"")</f>
        <v/>
      </c>
    </row>
    <row r="1391" ht="15.75" customHeight="1" s="217">
      <c r="A1391" s="400" t="n">
        <v>1389</v>
      </c>
      <c r="B1391" s="400" t="inlineStr">
        <is>
          <t>KH2393</t>
        </is>
      </c>
      <c r="C1391" s="401" t="inlineStr">
        <is>
          <t>Anh Phương - Sài Gòn / 0988.356.268</t>
        </is>
      </c>
      <c r="D1391" s="400" t="inlineStr">
        <is>
          <t>0988.356.268</t>
        </is>
      </c>
      <c r="E1391" s="402" t="n"/>
      <c r="F1391" s="401" t="inlineStr">
        <is>
          <t>Cầu Rạch Chiếc, Xa Lộ Hà Nội, Q9, Sài Gòn</t>
        </is>
      </c>
      <c r="G1391" s="400" t="inlineStr">
        <is>
          <t>SG/HCM</t>
        </is>
      </c>
      <c r="H1391" s="402" t="n"/>
      <c r="J1391" s="392">
        <f>IFERROR(UPPER(TRIM(B1391))&amp;"|"&amp;UPPER(TRIM(C1391))&amp;"|"&amp;UPPER(TRIM(D1391)),"")</f>
        <v/>
      </c>
    </row>
    <row r="1392" ht="15.75" customHeight="1" s="217">
      <c r="A1392" s="397" t="n">
        <v>1390</v>
      </c>
      <c r="B1392" s="397" t="inlineStr">
        <is>
          <t>KH2390</t>
        </is>
      </c>
      <c r="C1392" s="398" t="inlineStr">
        <is>
          <t>Anh Kiều - Kiến Đức, Đăk Nông / 0963.151.222</t>
        </is>
      </c>
      <c r="D1392" s="397" t="inlineStr">
        <is>
          <t>0963.151.222</t>
        </is>
      </c>
      <c r="E1392" s="399" t="n"/>
      <c r="F1392" s="404" t="n"/>
      <c r="G1392" s="397" t="inlineStr">
        <is>
          <t>DNONG</t>
        </is>
      </c>
      <c r="H1392" s="399" t="n"/>
      <c r="J1392" s="392">
        <f>IFERROR(UPPER(TRIM(B1392))&amp;"|"&amp;UPPER(TRIM(C1392))&amp;"|"&amp;UPPER(TRIM(D1392)),"")</f>
        <v/>
      </c>
    </row>
    <row r="1393" ht="15.75" customHeight="1" s="217">
      <c r="A1393" s="400" t="n">
        <v>1391</v>
      </c>
      <c r="B1393" s="400" t="inlineStr">
        <is>
          <t>KH2387</t>
        </is>
      </c>
      <c r="C1393" s="401" t="inlineStr">
        <is>
          <t>Xưởng tiện anh Tý - Quận 5, Sài Gòn / 0903.833.767</t>
        </is>
      </c>
      <c r="D1393" s="400" t="inlineStr">
        <is>
          <t>0903.833.767</t>
        </is>
      </c>
      <c r="E1393" s="402" t="n"/>
      <c r="F1393" s="401" t="inlineStr">
        <is>
          <t>145 Huỳnh Mẫn Đạt, P8, Q5, Sài Gòn</t>
        </is>
      </c>
      <c r="G1393" s="400" t="inlineStr">
        <is>
          <t>SG/HCM</t>
        </is>
      </c>
      <c r="H1393" s="402" t="n"/>
      <c r="J1393" s="392">
        <f>IFERROR(UPPER(TRIM(B1393))&amp;"|"&amp;UPPER(TRIM(C1393))&amp;"|"&amp;UPPER(TRIM(D1393)),"")</f>
        <v/>
      </c>
    </row>
    <row r="1394" ht="15.75" customHeight="1" s="217">
      <c r="A1394" s="397" t="n">
        <v>1392</v>
      </c>
      <c r="B1394" s="397" t="inlineStr">
        <is>
          <t>KH2388</t>
        </is>
      </c>
      <c r="C1394" s="398" t="inlineStr">
        <is>
          <t>Anh Vũ - Đăk Lăk / 0978.902.174</t>
        </is>
      </c>
      <c r="D1394" s="397" t="inlineStr">
        <is>
          <t>0978.902.174</t>
        </is>
      </c>
      <c r="E1394" s="399" t="n"/>
      <c r="F1394" s="398" t="inlineStr">
        <is>
          <t>Đắk Lăk</t>
        </is>
      </c>
      <c r="G1394" s="397" t="inlineStr">
        <is>
          <t>ÐL</t>
        </is>
      </c>
      <c r="H1394" s="399" t="n"/>
      <c r="J1394" s="392">
        <f>IFERROR(UPPER(TRIM(B1394))&amp;"|"&amp;UPPER(TRIM(C1394))&amp;"|"&amp;UPPER(TRIM(D1394)),"")</f>
        <v/>
      </c>
    </row>
    <row r="1395" ht="15.75" customHeight="1" s="217">
      <c r="A1395" s="400" t="n">
        <v>1393</v>
      </c>
      <c r="B1395" s="400" t="inlineStr">
        <is>
          <t>KH2389</t>
        </is>
      </c>
      <c r="C1395" s="401" t="inlineStr">
        <is>
          <t>Anh Hùng - Phước Long, Bình Phước / 0918.439.535</t>
        </is>
      </c>
      <c r="D1395" s="400" t="inlineStr">
        <is>
          <t>0918.439.535</t>
        </is>
      </c>
      <c r="E1395" s="402" t="n"/>
      <c r="F1395" s="401" t="inlineStr">
        <is>
          <t>Phước Long, Bình Phước</t>
        </is>
      </c>
      <c r="G1395" s="400" t="inlineStr">
        <is>
          <t>BP</t>
        </is>
      </c>
      <c r="H1395" s="402" t="n"/>
      <c r="J1395" s="392">
        <f>IFERROR(UPPER(TRIM(B1395))&amp;"|"&amp;UPPER(TRIM(C1395))&amp;"|"&amp;UPPER(TRIM(D1395)),"")</f>
        <v/>
      </c>
    </row>
    <row r="1396" ht="15.75" customHeight="1" s="217">
      <c r="A1396" s="397" t="n">
        <v>1394</v>
      </c>
      <c r="B1396" s="397" t="inlineStr">
        <is>
          <t>KH2386</t>
        </is>
      </c>
      <c r="C1396" s="398" t="inlineStr">
        <is>
          <t>Anh Bảy - Bình Long / 0977.572.422</t>
        </is>
      </c>
      <c r="D1396" s="397" t="inlineStr">
        <is>
          <t>0977.572.422</t>
        </is>
      </c>
      <c r="E1396" s="399" t="n"/>
      <c r="F1396" s="398" t="inlineStr">
        <is>
          <t>Bình Long, Bình Phước</t>
        </is>
      </c>
      <c r="G1396" s="397" t="inlineStr">
        <is>
          <t>BP</t>
        </is>
      </c>
      <c r="H1396" s="399" t="n"/>
      <c r="J1396" s="392">
        <f>IFERROR(UPPER(TRIM(B1396))&amp;"|"&amp;UPPER(TRIM(C1396))&amp;"|"&amp;UPPER(TRIM(D1396)),"")</f>
        <v/>
      </c>
    </row>
    <row r="1397" ht="15.75" customHeight="1" s="217">
      <c r="A1397" s="400" t="n">
        <v>1395</v>
      </c>
      <c r="B1397" s="400" t="inlineStr">
        <is>
          <t>KH2384</t>
        </is>
      </c>
      <c r="C1397" s="401" t="inlineStr">
        <is>
          <t>Anh An - Củ Chi/ 0986.773.889</t>
        </is>
      </c>
      <c r="D1397" s="400" t="inlineStr">
        <is>
          <t>0986.773.889</t>
        </is>
      </c>
      <c r="E1397" s="402" t="n"/>
      <c r="F1397" s="401" t="inlineStr">
        <is>
          <t>Củ Chi - Sài Gòn</t>
        </is>
      </c>
      <c r="G1397" s="400" t="inlineStr">
        <is>
          <t>SG/HCM</t>
        </is>
      </c>
      <c r="H1397" s="402" t="n"/>
      <c r="J1397" s="392">
        <f>IFERROR(UPPER(TRIM(B1397))&amp;"|"&amp;UPPER(TRIM(C1397))&amp;"|"&amp;UPPER(TRIM(D1397)),"")</f>
        <v/>
      </c>
    </row>
    <row r="1398" ht="15.75" customHeight="1" s="217">
      <c r="A1398" s="397" t="n">
        <v>1396</v>
      </c>
      <c r="B1398" s="397" t="inlineStr">
        <is>
          <t>KH2385</t>
        </is>
      </c>
      <c r="C1398" s="398" t="inlineStr">
        <is>
          <t>Anh Hải - Long An</t>
        </is>
      </c>
      <c r="D1398" s="399" t="n"/>
      <c r="E1398" s="399" t="n"/>
      <c r="F1398" s="398" t="inlineStr">
        <is>
          <t>Long An</t>
        </is>
      </c>
      <c r="G1398" s="397" t="inlineStr">
        <is>
          <t>LA</t>
        </is>
      </c>
      <c r="H1398" s="399" t="n"/>
      <c r="J1398" s="392">
        <f>IFERROR(UPPER(TRIM(B1398))&amp;"|"&amp;UPPER(TRIM(C1398))&amp;"|"&amp;UPPER(TRIM(D1398)),"")</f>
        <v/>
      </c>
    </row>
    <row r="1399" ht="15.75" customHeight="1" s="217">
      <c r="A1399" s="400" t="n">
        <v>1397</v>
      </c>
      <c r="B1399" s="400" t="inlineStr">
        <is>
          <t>KH2382</t>
        </is>
      </c>
      <c r="C1399" s="401" t="inlineStr">
        <is>
          <t>Anh Tình - Bảo Lộc, Lâm Đồng / 0967.300.524</t>
        </is>
      </c>
      <c r="D1399" s="400" t="inlineStr">
        <is>
          <t>0967.300.524</t>
        </is>
      </c>
      <c r="E1399" s="402" t="n"/>
      <c r="F1399" s="401" t="inlineStr">
        <is>
          <t>Bảo Lộc - Lâm Đồng</t>
        </is>
      </c>
      <c r="G1399" s="400" t="inlineStr">
        <is>
          <t>LDONG</t>
        </is>
      </c>
      <c r="H1399" s="402" t="n"/>
      <c r="J1399" s="392">
        <f>IFERROR(UPPER(TRIM(B1399))&amp;"|"&amp;UPPER(TRIM(C1399))&amp;"|"&amp;UPPER(TRIM(D1399)),"")</f>
        <v/>
      </c>
    </row>
    <row r="1400" ht="15.75" customHeight="1" s="217">
      <c r="A1400" s="397" t="n">
        <v>1398</v>
      </c>
      <c r="B1400" s="397" t="inlineStr">
        <is>
          <t>KH2383</t>
        </is>
      </c>
      <c r="C1400" s="398" t="inlineStr">
        <is>
          <t>Anh Phú (chủ máy) - Thuận An - Bình Dương (Vòng xoay An Phú) / 0963.182.294</t>
        </is>
      </c>
      <c r="D1400" s="397" t="inlineStr">
        <is>
          <t>0963.182.294</t>
        </is>
      </c>
      <c r="E1400" s="399" t="n"/>
      <c r="F1400" s="398" t="inlineStr">
        <is>
          <t>Thuận An, BÌnh Dương</t>
        </is>
      </c>
      <c r="G1400" s="397" t="inlineStr">
        <is>
          <t>BDUONG</t>
        </is>
      </c>
      <c r="H1400" s="399" t="n"/>
      <c r="J1400" s="392">
        <f>IFERROR(UPPER(TRIM(B1400))&amp;"|"&amp;UPPER(TRIM(C1400))&amp;"|"&amp;UPPER(TRIM(D1400)),"")</f>
        <v/>
      </c>
    </row>
    <row r="1401" ht="15.75" customHeight="1" s="217">
      <c r="A1401" s="400" t="n">
        <v>1399</v>
      </c>
      <c r="B1401" s="400" t="inlineStr">
        <is>
          <t>COGIOI3MIEN</t>
        </is>
      </c>
      <c r="C1401" s="401" t="inlineStr">
        <is>
          <t>Công ty Cơ Giới Ba Miền - Sài Gòn</t>
        </is>
      </c>
      <c r="D1401" s="402" t="n"/>
      <c r="E1401" s="402" t="n"/>
      <c r="F1401" s="401" t="inlineStr">
        <is>
          <t>36/24 Yên Thế, Phường 2, Quận Tân Bình, TP Hồ Chí Minh, Việt Nam</t>
        </is>
      </c>
      <c r="G1401" s="402" t="n"/>
      <c r="H1401" s="402" t="n"/>
      <c r="J1401" s="392">
        <f>IFERROR(UPPER(TRIM(B1401))&amp;"|"&amp;UPPER(TRIM(C1401))&amp;"|"&amp;UPPER(TRIM(D1401)),"")</f>
        <v/>
      </c>
    </row>
    <row r="1402" ht="15.75" customHeight="1" s="217">
      <c r="A1402" s="397" t="n">
        <v>1400</v>
      </c>
      <c r="B1402" s="397" t="inlineStr">
        <is>
          <t>KH2381</t>
        </is>
      </c>
      <c r="C1402" s="398" t="inlineStr">
        <is>
          <t>Anh Đức - Bảo Lộc, Lâm Đồng / 0984.885.462</t>
        </is>
      </c>
      <c r="D1402" s="397" t="inlineStr">
        <is>
          <t>0984.885.462</t>
        </is>
      </c>
      <c r="E1402" s="399" t="n"/>
      <c r="F1402" s="398" t="inlineStr">
        <is>
          <t>Bảo Lộc, Lâm Đồng</t>
        </is>
      </c>
      <c r="G1402" s="397" t="inlineStr">
        <is>
          <t>LDONG</t>
        </is>
      </c>
      <c r="H1402" s="399" t="n"/>
      <c r="J1402" s="392">
        <f>IFERROR(UPPER(TRIM(B1402))&amp;"|"&amp;UPPER(TRIM(C1402))&amp;"|"&amp;UPPER(TRIM(D1402)),"")</f>
        <v/>
      </c>
    </row>
    <row r="1403" ht="15.75" customHeight="1" s="217">
      <c r="A1403" s="400" t="n">
        <v>1401</v>
      </c>
      <c r="B1403" s="400" t="inlineStr">
        <is>
          <t>KH2379</t>
        </is>
      </c>
      <c r="C1403" s="401" t="inlineStr">
        <is>
          <t>Xưởng Anh Hưng  - Đăk Lăk / 0898.383.233</t>
        </is>
      </c>
      <c r="D1403" s="400" t="inlineStr">
        <is>
          <t>0898.383.233</t>
        </is>
      </c>
      <c r="E1403" s="402" t="n"/>
      <c r="F1403" s="401" t="inlineStr">
        <is>
          <t>Đăk Lăk</t>
        </is>
      </c>
      <c r="G1403" s="400" t="inlineStr">
        <is>
          <t>ÐL</t>
        </is>
      </c>
      <c r="H1403" s="402" t="n"/>
      <c r="J1403" s="392">
        <f>IFERROR(UPPER(TRIM(B1403))&amp;"|"&amp;UPPER(TRIM(C1403))&amp;"|"&amp;UPPER(TRIM(D1403)),"")</f>
        <v/>
      </c>
    </row>
    <row r="1404" ht="15.75" customHeight="1" s="217">
      <c r="A1404" s="397" t="n">
        <v>1402</v>
      </c>
      <c r="B1404" s="397" t="inlineStr">
        <is>
          <t>KH2380</t>
        </is>
      </c>
      <c r="C1404" s="398" t="inlineStr">
        <is>
          <t>Anh Toàn - Vũng Tàu/ 0362.254.191</t>
        </is>
      </c>
      <c r="D1404" s="397" t="inlineStr">
        <is>
          <t>0362.254.191</t>
        </is>
      </c>
      <c r="E1404" s="399" t="n"/>
      <c r="F1404" s="398" t="inlineStr">
        <is>
          <t>Vũng Tàu</t>
        </is>
      </c>
      <c r="G1404" s="397" t="inlineStr">
        <is>
          <t>BRVT</t>
        </is>
      </c>
      <c r="H1404" s="399" t="n"/>
      <c r="J1404" s="392">
        <f>IFERROR(UPPER(TRIM(B1404))&amp;"|"&amp;UPPER(TRIM(C1404))&amp;"|"&amp;UPPER(TRIM(D1404)),"")</f>
        <v/>
      </c>
    </row>
    <row r="1405" ht="15.75" customHeight="1" s="217">
      <c r="A1405" s="400" t="n">
        <v>1403</v>
      </c>
      <c r="B1405" s="400" t="inlineStr">
        <is>
          <t>KH2378</t>
        </is>
      </c>
      <c r="C1405" s="401" t="inlineStr">
        <is>
          <t>Anh Hà - Xưởng Sơn Hà/ Bến Cát, Bình Dương/ 0977.244.377</t>
        </is>
      </c>
      <c r="D1405" s="400" t="inlineStr">
        <is>
          <t>0977.244.377</t>
        </is>
      </c>
      <c r="E1405" s="402" t="n"/>
      <c r="F1405" s="401" t="inlineStr">
        <is>
          <t>Bến Cát - Bình Dương</t>
        </is>
      </c>
      <c r="G1405" s="400" t="inlineStr">
        <is>
          <t>BDUONG</t>
        </is>
      </c>
      <c r="H1405" s="402" t="n"/>
      <c r="J1405" s="392">
        <f>IFERROR(UPPER(TRIM(B1405))&amp;"|"&amp;UPPER(TRIM(C1405))&amp;"|"&amp;UPPER(TRIM(D1405)),"")</f>
        <v/>
      </c>
    </row>
    <row r="1406" ht="15.75" customHeight="1" s="217">
      <c r="A1406" s="397" t="n">
        <v>1404</v>
      </c>
      <c r="B1406" s="397" t="inlineStr">
        <is>
          <t>KH2376</t>
        </is>
      </c>
      <c r="C1406" s="398" t="inlineStr">
        <is>
          <t>Anh Hải - Bình Long, Bình Phước/ 0918.587.583</t>
        </is>
      </c>
      <c r="D1406" s="397" t="inlineStr">
        <is>
          <t>0918.587.583</t>
        </is>
      </c>
      <c r="E1406" s="399" t="n"/>
      <c r="F1406" s="398" t="inlineStr">
        <is>
          <t>Bình Long, Bình Phước</t>
        </is>
      </c>
      <c r="G1406" s="397" t="inlineStr">
        <is>
          <t>BP</t>
        </is>
      </c>
      <c r="H1406" s="399" t="n"/>
      <c r="J1406" s="392">
        <f>IFERROR(UPPER(TRIM(B1406))&amp;"|"&amp;UPPER(TRIM(C1406))&amp;"|"&amp;UPPER(TRIM(D1406)),"")</f>
        <v/>
      </c>
    </row>
    <row r="1407" ht="15.75" customHeight="1" s="217">
      <c r="A1407" s="400" t="n">
        <v>1405</v>
      </c>
      <c r="B1407" s="400" t="inlineStr">
        <is>
          <t>KH2377</t>
        </is>
      </c>
      <c r="C1407" s="401" t="inlineStr">
        <is>
          <t>Anh Hậu (chủ máy) - Sài Gòn / 0903.854.344 - Nợ khó đòi</t>
        </is>
      </c>
      <c r="D1407" s="400" t="inlineStr">
        <is>
          <t>0903.854.344</t>
        </is>
      </c>
      <c r="E1407" s="402" t="n"/>
      <c r="F1407" s="401" t="inlineStr">
        <is>
          <t>Sài gòn</t>
        </is>
      </c>
      <c r="G1407" s="400" t="inlineStr">
        <is>
          <t>SG/HCM</t>
        </is>
      </c>
      <c r="H1407" s="402" t="n"/>
      <c r="J1407" s="392">
        <f>IFERROR(UPPER(TRIM(B1407))&amp;"|"&amp;UPPER(TRIM(C1407))&amp;"|"&amp;UPPER(TRIM(D1407)),"")</f>
        <v/>
      </c>
    </row>
    <row r="1408" ht="15.75" customHeight="1" s="217">
      <c r="A1408" s="397" t="n">
        <v>1406</v>
      </c>
      <c r="B1408" s="397" t="inlineStr">
        <is>
          <t>KH2375</t>
        </is>
      </c>
      <c r="C1408" s="398" t="inlineStr">
        <is>
          <t>Xưởng tiện Hòa Hưng - Gò Dưa/ Anh Chẫm: 0907.715.713 - 0703.038.849 (Zalo)</t>
        </is>
      </c>
      <c r="D1408" s="397" t="inlineStr">
        <is>
          <t>0907.715.713 / 0703.038.849</t>
        </is>
      </c>
      <c r="E1408" s="399" t="n"/>
      <c r="F1408" s="398" t="inlineStr">
        <is>
          <t>388 Quốc lộ 1A, Ngã 4 Gò Dưa, Thủ Đức</t>
        </is>
      </c>
      <c r="G1408" s="397" t="inlineStr">
        <is>
          <t>SG/HCM</t>
        </is>
      </c>
      <c r="H1408" s="399" t="n"/>
      <c r="J1408" s="392">
        <f>IFERROR(UPPER(TRIM(B1408))&amp;"|"&amp;UPPER(TRIM(C1408))&amp;"|"&amp;UPPER(TRIM(D1408)),"")</f>
        <v/>
      </c>
    </row>
    <row r="1409" ht="15.75" customHeight="1" s="217">
      <c r="A1409" s="400" t="n">
        <v>1407</v>
      </c>
      <c r="B1409" s="400" t="inlineStr">
        <is>
          <t>HENAN</t>
        </is>
      </c>
      <c r="C1409" s="401" t="inlineStr">
        <is>
          <t>HENAN OLA MARINE DIESEL ENGINE CO.,LTD (SX MẶT MÁY + LỐC MÁY)</t>
        </is>
      </c>
      <c r="D1409" s="402" t="n"/>
      <c r="E1409" s="402" t="n"/>
      <c r="F1409" s="401" t="inlineStr">
        <is>
          <t>ADD:  NO. 1, LIYUAN ROAD, FUGOU COUNTY, ZHOUKUO CITY, HENAN PROVINCE, CHINA</t>
        </is>
      </c>
      <c r="G1409" s="402" t="n"/>
      <c r="H1409" s="402" t="n"/>
      <c r="J1409" s="392">
        <f>IFERROR(UPPER(TRIM(B1409))&amp;"|"&amp;UPPER(TRIM(C1409))&amp;"|"&amp;UPPER(TRIM(D1409)),"")</f>
        <v/>
      </c>
    </row>
    <row r="1410" ht="15.75" customHeight="1" s="217">
      <c r="A1410" s="397" t="n">
        <v>1408</v>
      </c>
      <c r="B1410" s="397" t="inlineStr">
        <is>
          <t>KH2373</t>
        </is>
      </c>
      <c r="C1410" s="398" t="inlineStr">
        <is>
          <t>Anh Dũng - Gara Dũng Kiệt, KonTum/ 0905.934.952</t>
        </is>
      </c>
      <c r="D1410" s="397" t="inlineStr">
        <is>
          <t>0905.934.952</t>
        </is>
      </c>
      <c r="E1410" s="399" t="n"/>
      <c r="F1410" s="398" t="inlineStr">
        <is>
          <t>KonTum</t>
        </is>
      </c>
      <c r="G1410" s="397" t="inlineStr">
        <is>
          <t>KTUM</t>
        </is>
      </c>
      <c r="H1410" s="399" t="n"/>
      <c r="J1410" s="392">
        <f>IFERROR(UPPER(TRIM(B1410))&amp;"|"&amp;UPPER(TRIM(C1410))&amp;"|"&amp;UPPER(TRIM(D1410)),"")</f>
        <v/>
      </c>
    </row>
    <row r="1411" ht="15.75" customHeight="1" s="217">
      <c r="A1411" s="400" t="n">
        <v>1409</v>
      </c>
      <c r="B1411" s="400" t="inlineStr">
        <is>
          <t>KH2374</t>
        </is>
      </c>
      <c r="C1411" s="401" t="inlineStr">
        <is>
          <t>Anh Chương - Gia Lai/ 0913.430.716</t>
        </is>
      </c>
      <c r="D1411" s="400" t="inlineStr">
        <is>
          <t>0913.430.716</t>
        </is>
      </c>
      <c r="E1411" s="402" t="n"/>
      <c r="F1411" s="401" t="inlineStr">
        <is>
          <t>Gia Lai</t>
        </is>
      </c>
      <c r="G1411" s="400" t="inlineStr">
        <is>
          <t>GLAI</t>
        </is>
      </c>
      <c r="H1411" s="402" t="n"/>
      <c r="J1411" s="392">
        <f>IFERROR(UPPER(TRIM(B1411))&amp;"|"&amp;UPPER(TRIM(C1411))&amp;"|"&amp;UPPER(TRIM(D1411)),"")</f>
        <v/>
      </c>
    </row>
    <row r="1412" ht="15.75" customHeight="1" s="217">
      <c r="A1412" s="397" t="n">
        <v>1410</v>
      </c>
      <c r="B1412" s="397" t="inlineStr">
        <is>
          <t>KH2370</t>
        </is>
      </c>
      <c r="C1412" s="398" t="inlineStr">
        <is>
          <t>Cửa hàng Anh Tâm - An Khê - Gia Lai / 0914.097.729</t>
        </is>
      </c>
      <c r="D1412" s="397" t="inlineStr">
        <is>
          <t>0914.097.729</t>
        </is>
      </c>
      <c r="E1412" s="399" t="n"/>
      <c r="F1412" s="398" t="inlineStr">
        <is>
          <t>An Khê, Gia Lai</t>
        </is>
      </c>
      <c r="G1412" s="397" t="inlineStr">
        <is>
          <t>GLAI</t>
        </is>
      </c>
      <c r="H1412" s="399" t="n"/>
      <c r="J1412" s="392">
        <f>IFERROR(UPPER(TRIM(B1412))&amp;"|"&amp;UPPER(TRIM(C1412))&amp;"|"&amp;UPPER(TRIM(D1412)),"")</f>
        <v/>
      </c>
    </row>
    <row r="1413" ht="15.75" customHeight="1" s="217">
      <c r="A1413" s="400" t="n">
        <v>1411</v>
      </c>
      <c r="B1413" s="400" t="inlineStr">
        <is>
          <t>KH2371</t>
        </is>
      </c>
      <c r="C1413" s="401" t="inlineStr">
        <is>
          <t>Anh Trung, Kontum / 0914.122.077</t>
        </is>
      </c>
      <c r="D1413" s="400" t="inlineStr">
        <is>
          <t>0914.122.077</t>
        </is>
      </c>
      <c r="E1413" s="402" t="n"/>
      <c r="F1413" s="401" t="inlineStr">
        <is>
          <t>Kontum</t>
        </is>
      </c>
      <c r="G1413" s="400" t="inlineStr">
        <is>
          <t>KTUM</t>
        </is>
      </c>
      <c r="H1413" s="402" t="n"/>
      <c r="J1413" s="392">
        <f>IFERROR(UPPER(TRIM(B1413))&amp;"|"&amp;UPPER(TRIM(C1413))&amp;"|"&amp;UPPER(TRIM(D1413)),"")</f>
        <v/>
      </c>
    </row>
    <row r="1414" ht="15.75" customHeight="1" s="217">
      <c r="A1414" s="397" t="n">
        <v>1412</v>
      </c>
      <c r="B1414" s="397" t="inlineStr">
        <is>
          <t>KH2372</t>
        </is>
      </c>
      <c r="C1414" s="398" t="inlineStr">
        <is>
          <t>Xưởng Minh Thành - QL13, Sài Gòn/ A. Sang 0702.651.484 (nợ khó đòi)</t>
        </is>
      </c>
      <c r="D1414" s="397" t="inlineStr">
        <is>
          <t>0702.651.484</t>
        </is>
      </c>
      <c r="E1414" s="399" t="n"/>
      <c r="F1414" s="398" t="inlineStr">
        <is>
          <t>Quốc lộ 13, Q.Thủ Đức, TPHCM</t>
        </is>
      </c>
      <c r="G1414" s="397" t="inlineStr">
        <is>
          <t>SG/HCM</t>
        </is>
      </c>
      <c r="H1414" s="399" t="n"/>
      <c r="J1414" s="392">
        <f>IFERROR(UPPER(TRIM(B1414))&amp;"|"&amp;UPPER(TRIM(C1414))&amp;"|"&amp;UPPER(TRIM(D1414)),"")</f>
        <v/>
      </c>
    </row>
    <row r="1415" ht="15.75" customHeight="1" s="217">
      <c r="A1415" s="400" t="n">
        <v>1413</v>
      </c>
      <c r="B1415" s="400" t="inlineStr">
        <is>
          <t>KH2368</t>
        </is>
      </c>
      <c r="C1415" s="401" t="inlineStr">
        <is>
          <t>Anh Thọ - Tuy Đức - Đăk Nông / 0988.700.042</t>
        </is>
      </c>
      <c r="D1415" s="400" t="inlineStr">
        <is>
          <t>0988.700.042</t>
        </is>
      </c>
      <c r="E1415" s="402" t="n"/>
      <c r="F1415" s="401" t="inlineStr">
        <is>
          <t>Tuy Đức, Đăk Nông</t>
        </is>
      </c>
      <c r="G1415" s="400" t="inlineStr">
        <is>
          <t>DNONG</t>
        </is>
      </c>
      <c r="H1415" s="402" t="n"/>
      <c r="J1415" s="392">
        <f>IFERROR(UPPER(TRIM(B1415))&amp;"|"&amp;UPPER(TRIM(C1415))&amp;"|"&amp;UPPER(TRIM(D1415)),"")</f>
        <v/>
      </c>
    </row>
    <row r="1416" ht="15.75" customHeight="1" s="217">
      <c r="A1416" s="397" t="n">
        <v>1414</v>
      </c>
      <c r="B1416" s="397" t="inlineStr">
        <is>
          <t>KH2369</t>
        </is>
      </c>
      <c r="C1416" s="398" t="inlineStr">
        <is>
          <t>Anh Tuân - Phước Long -  Bình Phước / 0985.566.888</t>
        </is>
      </c>
      <c r="D1416" s="397" t="inlineStr">
        <is>
          <t>0985.566.888</t>
        </is>
      </c>
      <c r="E1416" s="399" t="n"/>
      <c r="F1416" s="398" t="inlineStr">
        <is>
          <t>Phước Long, Bình Phước</t>
        </is>
      </c>
      <c r="G1416" s="397" t="inlineStr">
        <is>
          <t>BP</t>
        </is>
      </c>
      <c r="H1416" s="399" t="n"/>
      <c r="J1416" s="392">
        <f>IFERROR(UPPER(TRIM(B1416))&amp;"|"&amp;UPPER(TRIM(C1416))&amp;"|"&amp;UPPER(TRIM(D1416)),"")</f>
        <v/>
      </c>
    </row>
    <row r="1417" ht="15.75" customHeight="1" s="217">
      <c r="A1417" s="400" t="n">
        <v>1415</v>
      </c>
      <c r="B1417" s="400" t="inlineStr">
        <is>
          <t>KH2367</t>
        </is>
      </c>
      <c r="C1417" s="401" t="inlineStr">
        <is>
          <t>Xưởng tiện Út Minh Nghĩa - Hòa Thành - Tây Ninh / 0903.610.360</t>
        </is>
      </c>
      <c r="D1417" s="400" t="inlineStr">
        <is>
          <t>0903.610.360</t>
        </is>
      </c>
      <c r="E1417" s="402" t="n"/>
      <c r="F1417" s="401" t="inlineStr">
        <is>
          <t>Hòa Thành, Tây Ninh</t>
        </is>
      </c>
      <c r="G1417" s="400" t="inlineStr">
        <is>
          <t>TNINH</t>
        </is>
      </c>
      <c r="H1417" s="402" t="n"/>
      <c r="J1417" s="392">
        <f>IFERROR(UPPER(TRIM(B1417))&amp;"|"&amp;UPPER(TRIM(C1417))&amp;"|"&amp;UPPER(TRIM(D1417)),"")</f>
        <v/>
      </c>
    </row>
    <row r="1418" ht="15.75" customHeight="1" s="217">
      <c r="A1418" s="397" t="n">
        <v>1416</v>
      </c>
      <c r="B1418" s="397" t="inlineStr">
        <is>
          <t>KH2362</t>
        </is>
      </c>
      <c r="C1418" s="398" t="inlineStr">
        <is>
          <t>Anh Điền (thợ máy) Đại Nam - Bình Dương/ 0966.636.127</t>
        </is>
      </c>
      <c r="D1418" s="397" t="inlineStr">
        <is>
          <t>0966.636.127</t>
        </is>
      </c>
      <c r="E1418" s="399" t="n"/>
      <c r="F1418" s="398" t="inlineStr">
        <is>
          <t>Đại Nam, Bình Dương</t>
        </is>
      </c>
      <c r="G1418" s="397" t="inlineStr">
        <is>
          <t>BDUONG</t>
        </is>
      </c>
      <c r="H1418" s="399" t="n"/>
      <c r="J1418" s="392">
        <f>IFERROR(UPPER(TRIM(B1418))&amp;"|"&amp;UPPER(TRIM(C1418))&amp;"|"&amp;UPPER(TRIM(D1418)),"")</f>
        <v/>
      </c>
    </row>
    <row r="1419" ht="15.75" customHeight="1" s="217">
      <c r="A1419" s="400" t="n">
        <v>1417</v>
      </c>
      <c r="B1419" s="400" t="inlineStr">
        <is>
          <t>KH2363</t>
        </is>
      </c>
      <c r="C1419" s="401" t="inlineStr">
        <is>
          <t>Vũ Khiêm - Đăk Song, Đăk Nông/ 0977.058.717</t>
        </is>
      </c>
      <c r="D1419" s="400" t="inlineStr">
        <is>
          <t>0977.058.717</t>
        </is>
      </c>
      <c r="E1419" s="402" t="n"/>
      <c r="F1419" s="401" t="inlineStr">
        <is>
          <t>Đăk Song, Đăk Nông</t>
        </is>
      </c>
      <c r="G1419" s="400" t="inlineStr">
        <is>
          <t>DNONG</t>
        </is>
      </c>
      <c r="H1419" s="402" t="n"/>
      <c r="J1419" s="392">
        <f>IFERROR(UPPER(TRIM(B1419))&amp;"|"&amp;UPPER(TRIM(C1419))&amp;"|"&amp;UPPER(TRIM(D1419)),"")</f>
        <v/>
      </c>
    </row>
    <row r="1420" ht="15.75" customHeight="1" s="217">
      <c r="A1420" s="397" t="n">
        <v>1418</v>
      </c>
      <c r="B1420" s="397" t="inlineStr">
        <is>
          <t>KH2364</t>
        </is>
      </c>
      <c r="C1420" s="398" t="inlineStr">
        <is>
          <t>Anh Danh, Lộc Ninh, Bình Phước / 0937.593.423-0982.610.171</t>
        </is>
      </c>
      <c r="D1420" s="397" t="inlineStr">
        <is>
          <t>0937.593.423-0982</t>
        </is>
      </c>
      <c r="E1420" s="399" t="n"/>
      <c r="F1420" s="398" t="inlineStr">
        <is>
          <t>Lộc Ninh, Bình Phước</t>
        </is>
      </c>
      <c r="G1420" s="397" t="inlineStr">
        <is>
          <t>BP</t>
        </is>
      </c>
      <c r="H1420" s="399" t="n"/>
      <c r="J1420" s="392">
        <f>IFERROR(UPPER(TRIM(B1420))&amp;"|"&amp;UPPER(TRIM(C1420))&amp;"|"&amp;UPPER(TRIM(D1420)),"")</f>
        <v/>
      </c>
    </row>
    <row r="1421" ht="15.75" customHeight="1" s="217">
      <c r="A1421" s="400" t="n">
        <v>1419</v>
      </c>
      <c r="B1421" s="400" t="inlineStr">
        <is>
          <t>KH2365</t>
        </is>
      </c>
      <c r="C1421" s="401" t="inlineStr">
        <is>
          <t>Anh Thanh - Bù Đăng - Bình Phước - 0988.417.464</t>
        </is>
      </c>
      <c r="D1421" s="400" t="inlineStr">
        <is>
          <t>0988.417.464</t>
        </is>
      </c>
      <c r="E1421" s="402" t="n"/>
      <c r="F1421" s="401" t="inlineStr">
        <is>
          <t>KM32, Đức Liễu, Bù Đăng - Bình Phước</t>
        </is>
      </c>
      <c r="G1421" s="400" t="inlineStr">
        <is>
          <t>BP</t>
        </is>
      </c>
      <c r="H1421" s="402" t="n"/>
      <c r="J1421" s="392">
        <f>IFERROR(UPPER(TRIM(B1421))&amp;"|"&amp;UPPER(TRIM(C1421))&amp;"|"&amp;UPPER(TRIM(D1421)),"")</f>
        <v/>
      </c>
    </row>
    <row r="1422" ht="15.75" customHeight="1" s="217">
      <c r="A1422" s="397" t="n">
        <v>1420</v>
      </c>
      <c r="B1422" s="397" t="inlineStr">
        <is>
          <t>KH2366</t>
        </is>
      </c>
      <c r="C1422" s="398" t="inlineStr">
        <is>
          <t>Xưởng Duy Tân, Lộc Ninh, Bình Phước / 0941.560.499</t>
        </is>
      </c>
      <c r="D1422" s="397" t="inlineStr">
        <is>
          <t>0941.560.499</t>
        </is>
      </c>
      <c r="E1422" s="399" t="n"/>
      <c r="F1422" s="398" t="inlineStr">
        <is>
          <t>Lộc Ninh, Bình Phước</t>
        </is>
      </c>
      <c r="G1422" s="397" t="inlineStr">
        <is>
          <t>BP</t>
        </is>
      </c>
      <c r="H1422" s="399" t="n"/>
      <c r="J1422" s="392">
        <f>IFERROR(UPPER(TRIM(B1422))&amp;"|"&amp;UPPER(TRIM(C1422))&amp;"|"&amp;UPPER(TRIM(D1422)),"")</f>
        <v/>
      </c>
    </row>
    <row r="1423" ht="15.75" customHeight="1" s="217">
      <c r="A1423" s="400" t="n">
        <v>1421</v>
      </c>
      <c r="B1423" s="400" t="inlineStr">
        <is>
          <t>KH2361</t>
        </is>
      </c>
      <c r="C1423" s="401" t="inlineStr">
        <is>
          <t>Công ty Đức Đạt -  Gia Lai (công trình tại Bình Phước)/ A. Nam: 0914.168.689</t>
        </is>
      </c>
      <c r="D1423" s="400" t="inlineStr">
        <is>
          <t>0914.168.689</t>
        </is>
      </c>
      <c r="E1423" s="402" t="n"/>
      <c r="F1423" s="401" t="inlineStr">
        <is>
          <t>Hàng gửi đi Bình Phước</t>
        </is>
      </c>
      <c r="G1423" s="400" t="inlineStr">
        <is>
          <t>GLAI</t>
        </is>
      </c>
      <c r="H1423" s="402" t="n"/>
      <c r="J1423" s="392">
        <f>IFERROR(UPPER(TRIM(B1423))&amp;"|"&amp;UPPER(TRIM(C1423))&amp;"|"&amp;UPPER(TRIM(D1423)),"")</f>
        <v/>
      </c>
    </row>
    <row r="1424" ht="15.75" customHeight="1" s="217">
      <c r="A1424" s="397" t="n">
        <v>1422</v>
      </c>
      <c r="B1424" s="397" t="inlineStr">
        <is>
          <t>TANLOC</t>
        </is>
      </c>
      <c r="C1424" s="398" t="inlineStr">
        <is>
          <t>Tân Lộc - Sài Gòn, chuyên hàng Mỹ / 0919.696.009</t>
        </is>
      </c>
      <c r="D1424" s="397" t="inlineStr">
        <is>
          <t>0919.696.009</t>
        </is>
      </c>
      <c r="E1424" s="399" t="n"/>
      <c r="F1424" s="398" t="inlineStr">
        <is>
          <t>Nguyễn Thái Bình, Quận 1, Sài Gòn</t>
        </is>
      </c>
      <c r="G1424" s="399" t="n"/>
      <c r="H1424" s="399" t="n"/>
      <c r="J1424" s="392">
        <f>IFERROR(UPPER(TRIM(B1424))&amp;"|"&amp;UPPER(TRIM(C1424))&amp;"|"&amp;UPPER(TRIM(D1424)),"")</f>
        <v/>
      </c>
    </row>
    <row r="1425" ht="15.75" customHeight="1" s="217">
      <c r="A1425" s="400" t="n">
        <v>1423</v>
      </c>
      <c r="B1425" s="400" t="inlineStr">
        <is>
          <t>KH2358</t>
        </is>
      </c>
      <c r="C1425" s="401" t="inlineStr">
        <is>
          <t>Cửa hàng Mạnh Hùng - Long Khánh, Đồng Nai/0938.586.586</t>
        </is>
      </c>
      <c r="D1425" s="400" t="inlineStr">
        <is>
          <t>0938.586.586</t>
        </is>
      </c>
      <c r="E1425" s="402" t="n"/>
      <c r="F1425" s="401" t="inlineStr">
        <is>
          <t>Long Khánh, Đồng Nai</t>
        </is>
      </c>
      <c r="G1425" s="400" t="inlineStr">
        <is>
          <t>ÐNAI</t>
        </is>
      </c>
      <c r="H1425" s="402" t="n"/>
      <c r="J1425" s="392">
        <f>IFERROR(UPPER(TRIM(B1425))&amp;"|"&amp;UPPER(TRIM(C1425))&amp;"|"&amp;UPPER(TRIM(D1425)),"")</f>
        <v/>
      </c>
    </row>
    <row r="1426" ht="15.75" customHeight="1" s="217">
      <c r="A1426" s="397" t="n">
        <v>1424</v>
      </c>
      <c r="B1426" s="397" t="inlineStr">
        <is>
          <t>KH2359</t>
        </is>
      </c>
      <c r="C1426" s="398" t="inlineStr">
        <is>
          <t>A TUẤN - KONTUM -  0385.200.678</t>
        </is>
      </c>
      <c r="D1426" s="397" t="inlineStr">
        <is>
          <t>0385.200.678</t>
        </is>
      </c>
      <c r="E1426" s="399" t="n"/>
      <c r="F1426" s="398" t="inlineStr">
        <is>
          <t>Kontum</t>
        </is>
      </c>
      <c r="G1426" s="397" t="inlineStr">
        <is>
          <t>KTUM</t>
        </is>
      </c>
      <c r="H1426" s="399" t="n"/>
      <c r="J1426" s="392">
        <f>IFERROR(UPPER(TRIM(B1426))&amp;"|"&amp;UPPER(TRIM(C1426))&amp;"|"&amp;UPPER(TRIM(D1426)),"")</f>
        <v/>
      </c>
    </row>
    <row r="1427" ht="15.75" customHeight="1" s="217">
      <c r="A1427" s="400" t="n">
        <v>1425</v>
      </c>
      <c r="B1427" s="400" t="inlineStr">
        <is>
          <t>KH2360</t>
        </is>
      </c>
      <c r="C1427" s="401" t="inlineStr">
        <is>
          <t>CÔNG TY THÀNH PHÁT - NHA TRANG / A ĐỊNH 0975.508.718</t>
        </is>
      </c>
      <c r="D1427" s="400" t="inlineStr">
        <is>
          <t>0975.508.718</t>
        </is>
      </c>
      <c r="E1427" s="402" t="n"/>
      <c r="F1427" s="401" t="inlineStr">
        <is>
          <t>NHA TRANG</t>
        </is>
      </c>
      <c r="G1427" s="400" t="inlineStr">
        <is>
          <t>NTRANG</t>
        </is>
      </c>
      <c r="H1427" s="402" t="n"/>
      <c r="J1427" s="392">
        <f>IFERROR(UPPER(TRIM(B1427))&amp;"|"&amp;UPPER(TRIM(C1427))&amp;"|"&amp;UPPER(TRIM(D1427)),"")</f>
        <v/>
      </c>
    </row>
    <row r="1428" ht="15.75" customHeight="1" s="217">
      <c r="A1428" s="397" t="n">
        <v>1426</v>
      </c>
      <c r="B1428" s="397" t="inlineStr">
        <is>
          <t>KH2355</t>
        </is>
      </c>
      <c r="C1428" s="398" t="inlineStr">
        <is>
          <t>Anh Bôn - Phú Yên/ 0916.854.051</t>
        </is>
      </c>
      <c r="D1428" s="397" t="inlineStr">
        <is>
          <t>0916.854.051</t>
        </is>
      </c>
      <c r="E1428" s="399" t="n"/>
      <c r="F1428" s="398" t="inlineStr">
        <is>
          <t>Tuy Hòa, Phú Yên</t>
        </is>
      </c>
      <c r="G1428" s="397" t="inlineStr">
        <is>
          <t>PYEN</t>
        </is>
      </c>
      <c r="H1428" s="399" t="n"/>
      <c r="J1428" s="392">
        <f>IFERROR(UPPER(TRIM(B1428))&amp;"|"&amp;UPPER(TRIM(C1428))&amp;"|"&amp;UPPER(TRIM(D1428)),"")</f>
        <v/>
      </c>
    </row>
    <row r="1429" ht="15.75" customHeight="1" s="217">
      <c r="A1429" s="400" t="n">
        <v>1427</v>
      </c>
      <c r="B1429" s="400" t="inlineStr">
        <is>
          <t>KH2356</t>
        </is>
      </c>
      <c r="C1429" s="401" t="inlineStr">
        <is>
          <t>Xưởng tiện Anh Thành - QL13 - 0973.460.773/ 0909.274.328</t>
        </is>
      </c>
      <c r="D1429" s="400" t="inlineStr">
        <is>
          <t>0973.460.773 / 0909.274.328</t>
        </is>
      </c>
      <c r="E1429" s="402" t="n"/>
      <c r="F1429" s="401" t="inlineStr">
        <is>
          <t>Ngã Tư Bình Phước</t>
        </is>
      </c>
      <c r="G1429" s="400" t="inlineStr">
        <is>
          <t>SG/HCM</t>
        </is>
      </c>
      <c r="H1429" s="402" t="n"/>
      <c r="J1429" s="392">
        <f>IFERROR(UPPER(TRIM(B1429))&amp;"|"&amp;UPPER(TRIM(C1429))&amp;"|"&amp;UPPER(TRIM(D1429)),"")</f>
        <v/>
      </c>
    </row>
    <row r="1430" ht="15.75" customHeight="1" s="217">
      <c r="A1430" s="397" t="n">
        <v>1428</v>
      </c>
      <c r="B1430" s="397" t="inlineStr">
        <is>
          <t>KH2357</t>
        </is>
      </c>
      <c r="C1430" s="398" t="inlineStr">
        <is>
          <t>Anh Lý, An Phú Đông, Quận 12/ 0913.904.360</t>
        </is>
      </c>
      <c r="D1430" s="397" t="inlineStr">
        <is>
          <t>0913.904.360</t>
        </is>
      </c>
      <c r="E1430" s="399" t="n"/>
      <c r="F1430" s="398" t="inlineStr">
        <is>
          <t>An Phú Đông, Quận 12, TPHCM</t>
        </is>
      </c>
      <c r="G1430" s="397" t="inlineStr">
        <is>
          <t>SG/HCM</t>
        </is>
      </c>
      <c r="H1430" s="399" t="n"/>
      <c r="J1430" s="392">
        <f>IFERROR(UPPER(TRIM(B1430))&amp;"|"&amp;UPPER(TRIM(C1430))&amp;"|"&amp;UPPER(TRIM(D1430)),"")</f>
        <v/>
      </c>
    </row>
    <row r="1431" ht="15.75" customHeight="1" s="217">
      <c r="A1431" s="400" t="n">
        <v>1429</v>
      </c>
      <c r="B1431" s="400" t="inlineStr">
        <is>
          <t>KH2354</t>
        </is>
      </c>
      <c r="C1431" s="401" t="inlineStr">
        <is>
          <t>Xưởng Anh Bình (Bé) - Bình Chánh / 0916.881.139</t>
        </is>
      </c>
      <c r="D1431" s="400" t="inlineStr">
        <is>
          <t>0916.881.139</t>
        </is>
      </c>
      <c r="E1431" s="402" t="n"/>
      <c r="F1431" s="401" t="inlineStr">
        <is>
          <t>11/24 Quốc Lộ 1A, Bình Chánh (cách cầu vượt Nguyễn Văn Linh 700m)</t>
        </is>
      </c>
      <c r="G1431" s="400" t="inlineStr">
        <is>
          <t>SG/HCM</t>
        </is>
      </c>
      <c r="H1431" s="402" t="n"/>
      <c r="J1431" s="392">
        <f>IFERROR(UPPER(TRIM(B1431))&amp;"|"&amp;UPPER(TRIM(C1431))&amp;"|"&amp;UPPER(TRIM(D1431)),"")</f>
        <v/>
      </c>
    </row>
    <row r="1432" ht="15.75" customHeight="1" s="217">
      <c r="A1432" s="397" t="n">
        <v>1430</v>
      </c>
      <c r="B1432" s="397" t="inlineStr">
        <is>
          <t>KH2353</t>
        </is>
      </c>
      <c r="C1432" s="398" t="inlineStr">
        <is>
          <t>Công ty CP XÂY DỰNG CƠ KHÍ A74/ CHỊ PHƯỢNG - 0915.588.099</t>
        </is>
      </c>
      <c r="D1432" s="397" t="inlineStr">
        <is>
          <t>0915.588.099</t>
        </is>
      </c>
      <c r="E1432" s="399" t="n"/>
      <c r="F1432" s="398" t="inlineStr">
        <is>
          <t>CỤM CN TÂN AN 1. P. TÂN AN, TP BUÔN MÊ THUỘT, ĐĂK LĂK</t>
        </is>
      </c>
      <c r="G1432" s="397" t="inlineStr">
        <is>
          <t>ÐL</t>
        </is>
      </c>
      <c r="H1432" s="399" t="n"/>
      <c r="J1432" s="392">
        <f>IFERROR(UPPER(TRIM(B1432))&amp;"|"&amp;UPPER(TRIM(C1432))&amp;"|"&amp;UPPER(TRIM(D1432)),"")</f>
        <v/>
      </c>
    </row>
    <row r="1433" ht="15.75" customHeight="1" s="217">
      <c r="A1433" s="400" t="n">
        <v>1431</v>
      </c>
      <c r="B1433" s="400" t="inlineStr">
        <is>
          <t>KH2352</t>
        </is>
      </c>
      <c r="C1433" s="401" t="inlineStr">
        <is>
          <t>Xưởng anh Thành - Đồng Xoài, Bình Phước/ 0918.474.165</t>
        </is>
      </c>
      <c r="D1433" s="400" t="inlineStr">
        <is>
          <t>0918.474.165</t>
        </is>
      </c>
      <c r="E1433" s="402" t="n"/>
      <c r="F1433" s="401" t="inlineStr">
        <is>
          <t>TX Đồng Xoài, Bình Phước</t>
        </is>
      </c>
      <c r="G1433" s="400" t="inlineStr">
        <is>
          <t>BP</t>
        </is>
      </c>
      <c r="H1433" s="402" t="n"/>
      <c r="J1433" s="392">
        <f>IFERROR(UPPER(TRIM(B1433))&amp;"|"&amp;UPPER(TRIM(C1433))&amp;"|"&amp;UPPER(TRIM(D1433)),"")</f>
        <v/>
      </c>
    </row>
    <row r="1434" ht="15.75" customHeight="1" s="217">
      <c r="A1434" s="397" t="n">
        <v>1432</v>
      </c>
      <c r="B1434" s="397" t="inlineStr">
        <is>
          <t>KH2350</t>
        </is>
      </c>
      <c r="C1434" s="398" t="inlineStr">
        <is>
          <t>Cửa hàng HÙNG DŨNG - KIÊN GIANG - 0839.444.949/0967.949.394</t>
        </is>
      </c>
      <c r="D1434" s="397" t="inlineStr">
        <is>
          <t>0839.444.949 / 0967.949.394</t>
        </is>
      </c>
      <c r="E1434" s="399" t="n"/>
      <c r="F1434" s="398" t="inlineStr">
        <is>
          <t>Ba Hòn, Kiên Lương, Kiên Giang</t>
        </is>
      </c>
      <c r="G1434" s="397" t="inlineStr">
        <is>
          <t>KG</t>
        </is>
      </c>
      <c r="H1434" s="399" t="n"/>
      <c r="J1434" s="392">
        <f>IFERROR(UPPER(TRIM(B1434))&amp;"|"&amp;UPPER(TRIM(C1434))&amp;"|"&amp;UPPER(TRIM(D1434)),"")</f>
        <v/>
      </c>
    </row>
    <row r="1435" ht="15.75" customHeight="1" s="217">
      <c r="A1435" s="400" t="n">
        <v>1433</v>
      </c>
      <c r="B1435" s="400" t="inlineStr">
        <is>
          <t>KH2351</t>
        </is>
      </c>
      <c r="C1435" s="401" t="inlineStr">
        <is>
          <t>Anh Học - Cần Thơ - 0941.210.258</t>
        </is>
      </c>
      <c r="D1435" s="400" t="inlineStr">
        <is>
          <t>0941.210.258</t>
        </is>
      </c>
      <c r="E1435" s="402" t="n"/>
      <c r="F1435" s="401" t="inlineStr">
        <is>
          <t>Cần Thơ</t>
        </is>
      </c>
      <c r="G1435" s="400" t="inlineStr">
        <is>
          <t>CTHO</t>
        </is>
      </c>
      <c r="H1435" s="402" t="n"/>
      <c r="J1435" s="392">
        <f>IFERROR(UPPER(TRIM(B1435))&amp;"|"&amp;UPPER(TRIM(C1435))&amp;"|"&amp;UPPER(TRIM(D1435)),"")</f>
        <v/>
      </c>
    </row>
    <row r="1436" ht="15.75" customHeight="1" s="217">
      <c r="A1436" s="397" t="n">
        <v>1434</v>
      </c>
      <c r="B1436" s="397" t="inlineStr">
        <is>
          <t>KH2349</t>
        </is>
      </c>
      <c r="C1436" s="398" t="inlineStr">
        <is>
          <t>Xưởng tiện Anh Thanh - SG/ 0934.725.809</t>
        </is>
      </c>
      <c r="D1436" s="397" t="inlineStr">
        <is>
          <t>0934.725.809</t>
        </is>
      </c>
      <c r="E1436" s="399" t="n"/>
      <c r="F1436" s="398" t="inlineStr">
        <is>
          <t>318 quốc lộ 1A (Ngã 4 Bình Phước đi về phía Suối Tiên)</t>
        </is>
      </c>
      <c r="G1436" s="397" t="inlineStr">
        <is>
          <t>SG/HCM</t>
        </is>
      </c>
      <c r="H1436" s="399" t="n"/>
      <c r="J1436" s="392">
        <f>IFERROR(UPPER(TRIM(B1436))&amp;"|"&amp;UPPER(TRIM(C1436))&amp;"|"&amp;UPPER(TRIM(D1436)),"")</f>
        <v/>
      </c>
    </row>
    <row r="1437" ht="15.75" customHeight="1" s="217">
      <c r="A1437" s="400" t="n">
        <v>1435</v>
      </c>
      <c r="B1437" s="400" t="inlineStr">
        <is>
          <t>KH2348</t>
        </is>
      </c>
      <c r="C1437" s="401" t="inlineStr">
        <is>
          <t>Anh Tưởng - Đồng Tháp/ 0944.465.027</t>
        </is>
      </c>
      <c r="D1437" s="400" t="inlineStr">
        <is>
          <t>0944.465.027</t>
        </is>
      </c>
      <c r="E1437" s="402" t="n"/>
      <c r="F1437" s="401" t="inlineStr">
        <is>
          <t>Đồng Tháp</t>
        </is>
      </c>
      <c r="G1437" s="400" t="inlineStr">
        <is>
          <t>DTHAP</t>
        </is>
      </c>
      <c r="H1437" s="402" t="n"/>
      <c r="J1437" s="392">
        <f>IFERROR(UPPER(TRIM(B1437))&amp;"|"&amp;UPPER(TRIM(C1437))&amp;"|"&amp;UPPER(TRIM(D1437)),"")</f>
        <v/>
      </c>
    </row>
    <row r="1438" ht="15.75" customHeight="1" s="217">
      <c r="A1438" s="397" t="n">
        <v>1436</v>
      </c>
      <c r="B1438" s="397" t="inlineStr">
        <is>
          <t>KH2346</t>
        </is>
      </c>
      <c r="C1438" s="398" t="inlineStr">
        <is>
          <t>Công Ty Thiên Ấn - Phú Mỹ, Bà Rịa Vũng Tàu/ C Thảo 0909.383.793 - A Hải 0935.242.998</t>
        </is>
      </c>
      <c r="D1438" s="397" t="inlineStr">
        <is>
          <t>0909.383.793 / 0935.242.998</t>
        </is>
      </c>
      <c r="E1438" s="399" t="n"/>
      <c r="F1438" s="398" t="inlineStr">
        <is>
          <t>Phú Mỹ, Bà Rịa Vũng Tàu</t>
        </is>
      </c>
      <c r="G1438" s="397" t="inlineStr">
        <is>
          <t>BRVT</t>
        </is>
      </c>
      <c r="H1438" s="399" t="n"/>
      <c r="J1438" s="392">
        <f>IFERROR(UPPER(TRIM(B1438))&amp;"|"&amp;UPPER(TRIM(C1438))&amp;"|"&amp;UPPER(TRIM(D1438)),"")</f>
        <v/>
      </c>
    </row>
    <row r="1439" ht="15.75" customHeight="1" s="217">
      <c r="A1439" s="400" t="n">
        <v>1437</v>
      </c>
      <c r="B1439" s="400" t="inlineStr">
        <is>
          <t>KH2347</t>
        </is>
      </c>
      <c r="C1439" s="401" t="inlineStr">
        <is>
          <t>Bãi Máy Hưng Phát - Bình Chánh / 0918.995.803</t>
        </is>
      </c>
      <c r="D1439" s="400" t="inlineStr">
        <is>
          <t>0918.995.803</t>
        </is>
      </c>
      <c r="E1439" s="402" t="n"/>
      <c r="F1439" s="401" t="inlineStr">
        <is>
          <t>Sài Gòn</t>
        </is>
      </c>
      <c r="G1439" s="400" t="inlineStr">
        <is>
          <t>SG/HCM</t>
        </is>
      </c>
      <c r="H1439" s="402" t="n"/>
      <c r="J1439" s="392">
        <f>IFERROR(UPPER(TRIM(B1439))&amp;"|"&amp;UPPER(TRIM(C1439))&amp;"|"&amp;UPPER(TRIM(D1439)),"")</f>
        <v/>
      </c>
    </row>
    <row r="1440" ht="15.75" customHeight="1" s="217">
      <c r="A1440" s="397" t="n">
        <v>1438</v>
      </c>
      <c r="B1440" s="397" t="inlineStr">
        <is>
          <t>KH2344</t>
        </is>
      </c>
      <c r="C1440" s="398" t="inlineStr">
        <is>
          <t>Anh Tèo - Hooc Môn, Sài Gòn / 0908.194.659</t>
        </is>
      </c>
      <c r="D1440" s="397" t="inlineStr">
        <is>
          <t>0908.194.659</t>
        </is>
      </c>
      <c r="E1440" s="399" t="n"/>
      <c r="F1440" s="398" t="inlineStr">
        <is>
          <t>Sài Gòn</t>
        </is>
      </c>
      <c r="G1440" s="397" t="inlineStr">
        <is>
          <t>SG/HCM</t>
        </is>
      </c>
      <c r="H1440" s="399" t="n"/>
      <c r="J1440" s="392">
        <f>IFERROR(UPPER(TRIM(B1440))&amp;"|"&amp;UPPER(TRIM(C1440))&amp;"|"&amp;UPPER(TRIM(D1440)),"")</f>
        <v/>
      </c>
    </row>
    <row r="1441" ht="15.75" customHeight="1" s="217">
      <c r="A1441" s="400" t="n">
        <v>1439</v>
      </c>
      <c r="B1441" s="400" t="inlineStr">
        <is>
          <t>KH2345</t>
        </is>
      </c>
      <c r="C1441" s="401" t="inlineStr">
        <is>
          <t>Anh Khanh -  Q7 - chuyên Cummins - 0902.717.810</t>
        </is>
      </c>
      <c r="D1441" s="400" t="inlineStr">
        <is>
          <t>0902.717.810</t>
        </is>
      </c>
      <c r="E1441" s="402" t="n"/>
      <c r="F1441" s="401" t="inlineStr">
        <is>
          <t>Quận 7</t>
        </is>
      </c>
      <c r="G1441" s="400" t="inlineStr">
        <is>
          <t>SG/HCM</t>
        </is>
      </c>
      <c r="H1441" s="402" t="n"/>
      <c r="J1441" s="392">
        <f>IFERROR(UPPER(TRIM(B1441))&amp;"|"&amp;UPPER(TRIM(C1441))&amp;"|"&amp;UPPER(TRIM(D1441)),"")</f>
        <v/>
      </c>
    </row>
    <row r="1442" ht="15.75" customHeight="1" s="217">
      <c r="A1442" s="397" t="n">
        <v>1440</v>
      </c>
      <c r="B1442" s="397" t="inlineStr">
        <is>
          <t>KH2343</t>
        </is>
      </c>
      <c r="C1442" s="398" t="inlineStr">
        <is>
          <t>Cửa Hàng Dung Nghĩa -Anh An - Củ Chi / 0961.814.388</t>
        </is>
      </c>
      <c r="D1442" s="397" t="inlineStr">
        <is>
          <t>0961.814.388</t>
        </is>
      </c>
      <c r="E1442" s="399" t="n"/>
      <c r="F1442" s="398" t="inlineStr">
        <is>
          <t>Sài Gòn</t>
        </is>
      </c>
      <c r="G1442" s="397" t="inlineStr">
        <is>
          <t>SG/HCM</t>
        </is>
      </c>
      <c r="H1442" s="399" t="n"/>
      <c r="J1442" s="392">
        <f>IFERROR(UPPER(TRIM(B1442))&amp;"|"&amp;UPPER(TRIM(C1442))&amp;"|"&amp;UPPER(TRIM(D1442)),"")</f>
        <v/>
      </c>
    </row>
    <row r="1443" ht="15.75" customHeight="1" s="217">
      <c r="A1443" s="400" t="n">
        <v>1441</v>
      </c>
      <c r="B1443" s="400" t="inlineStr">
        <is>
          <t>KH2342</t>
        </is>
      </c>
      <c r="C1443" s="401" t="inlineStr">
        <is>
          <t>Anh Tân - Tân Lộc, Cà Mau/ 0949.271.515</t>
        </is>
      </c>
      <c r="D1443" s="400" t="inlineStr">
        <is>
          <t>0949.271.515</t>
        </is>
      </c>
      <c r="E1443" s="402" t="n"/>
      <c r="F1443" s="401" t="inlineStr">
        <is>
          <t>Tân Lộc, Cà Mau</t>
        </is>
      </c>
      <c r="G1443" s="400" t="inlineStr">
        <is>
          <t>CMAU</t>
        </is>
      </c>
      <c r="H1443" s="402" t="n"/>
      <c r="J1443" s="392">
        <f>IFERROR(UPPER(TRIM(B1443))&amp;"|"&amp;UPPER(TRIM(C1443))&amp;"|"&amp;UPPER(TRIM(D1443)),"")</f>
        <v/>
      </c>
    </row>
    <row r="1444" ht="15.75" customHeight="1" s="217">
      <c r="A1444" s="397" t="n">
        <v>1442</v>
      </c>
      <c r="B1444" s="397" t="inlineStr">
        <is>
          <t>KH2339</t>
        </is>
      </c>
      <c r="C1444" s="398" t="inlineStr">
        <is>
          <t>Ga ra Tuấn - Di Linh/ 0978.142.574 - 0912.513.818</t>
        </is>
      </c>
      <c r="D1444" s="397" t="inlineStr">
        <is>
          <t>0978.142.574 / 0912.513.818</t>
        </is>
      </c>
      <c r="E1444" s="399" t="n"/>
      <c r="F1444" s="398" t="inlineStr">
        <is>
          <t>Di Linh, Lâm Đồng</t>
        </is>
      </c>
      <c r="G1444" s="397" t="inlineStr">
        <is>
          <t>LDONG</t>
        </is>
      </c>
      <c r="H1444" s="399" t="n"/>
      <c r="J1444" s="392">
        <f>IFERROR(UPPER(TRIM(B1444))&amp;"|"&amp;UPPER(TRIM(C1444))&amp;"|"&amp;UPPER(TRIM(D1444)),"")</f>
        <v/>
      </c>
    </row>
    <row r="1445" ht="15.75" customHeight="1" s="217">
      <c r="A1445" s="400" t="n">
        <v>1443</v>
      </c>
      <c r="B1445" s="400" t="inlineStr">
        <is>
          <t>KH2340</t>
        </is>
      </c>
      <c r="C1445" s="401" t="inlineStr">
        <is>
          <t>Anh Giáp - Cà Mau - 0918.306.394</t>
        </is>
      </c>
      <c r="D1445" s="400" t="inlineStr">
        <is>
          <t>0918.306.394</t>
        </is>
      </c>
      <c r="E1445" s="402" t="n"/>
      <c r="F1445" s="401" t="inlineStr">
        <is>
          <t>Cà Mau</t>
        </is>
      </c>
      <c r="G1445" s="400" t="inlineStr">
        <is>
          <t>CMAU</t>
        </is>
      </c>
      <c r="H1445" s="402" t="n"/>
      <c r="J1445" s="392">
        <f>IFERROR(UPPER(TRIM(B1445))&amp;"|"&amp;UPPER(TRIM(C1445))&amp;"|"&amp;UPPER(TRIM(D1445)),"")</f>
        <v/>
      </c>
    </row>
    <row r="1446" ht="15.75" customHeight="1" s="217">
      <c r="A1446" s="397" t="n">
        <v>1444</v>
      </c>
      <c r="B1446" s="397" t="inlineStr">
        <is>
          <t>KH2341</t>
        </is>
      </c>
      <c r="C1446" s="398" t="inlineStr">
        <is>
          <t>Xưởng tiện Chú Tùng -  Bến xe Miền Đông/Chú Tùng: 0813.994.798</t>
        </is>
      </c>
      <c r="D1446" s="397" t="inlineStr">
        <is>
          <t>0813.994.798</t>
        </is>
      </c>
      <c r="E1446" s="399" t="n"/>
      <c r="F1446" s="398" t="inlineStr">
        <is>
          <t>227 Quốc lộ 13, Phường 26, Bình Thạnh, TP HCM</t>
        </is>
      </c>
      <c r="G1446" s="397" t="inlineStr">
        <is>
          <t>SG/HCM</t>
        </is>
      </c>
      <c r="H1446" s="399" t="n"/>
      <c r="J1446" s="392">
        <f>IFERROR(UPPER(TRIM(B1446))&amp;"|"&amp;UPPER(TRIM(C1446))&amp;"|"&amp;UPPER(TRIM(D1446)),"")</f>
        <v/>
      </c>
    </row>
    <row r="1447" ht="15.75" customHeight="1" s="217">
      <c r="A1447" s="400" t="n">
        <v>1445</v>
      </c>
      <c r="B1447" s="400" t="inlineStr">
        <is>
          <t>KH2338</t>
        </is>
      </c>
      <c r="C1447" s="401" t="inlineStr">
        <is>
          <t>Xưởng Anh Hở - Trà Vinh - 0352.996.173</t>
        </is>
      </c>
      <c r="D1447" s="400" t="inlineStr">
        <is>
          <t>0352.996.173</t>
        </is>
      </c>
      <c r="E1447" s="402" t="n"/>
      <c r="F1447" s="401" t="inlineStr">
        <is>
          <t>Trà Vinh (giáp Vĩnh Long)</t>
        </is>
      </c>
      <c r="G1447" s="400" t="inlineStr">
        <is>
          <t>TV</t>
        </is>
      </c>
      <c r="H1447" s="402" t="n"/>
      <c r="J1447" s="392">
        <f>IFERROR(UPPER(TRIM(B1447))&amp;"|"&amp;UPPER(TRIM(C1447))&amp;"|"&amp;UPPER(TRIM(D1447)),"")</f>
        <v/>
      </c>
    </row>
    <row r="1448" ht="15.75" customHeight="1" s="217">
      <c r="A1448" s="397" t="n">
        <v>1446</v>
      </c>
      <c r="B1448" s="397" t="inlineStr">
        <is>
          <t>KH2337</t>
        </is>
      </c>
      <c r="C1448" s="398" t="inlineStr">
        <is>
          <t>Cửa hàng Toàn Phát - Vĩnh Long / Thảo 0987.810.891</t>
        </is>
      </c>
      <c r="D1448" s="397" t="inlineStr">
        <is>
          <t>0987.810.891</t>
        </is>
      </c>
      <c r="E1448" s="399" t="n"/>
      <c r="F1448" s="398" t="inlineStr">
        <is>
          <t>Vĩnh Long</t>
        </is>
      </c>
      <c r="G1448" s="397" t="inlineStr">
        <is>
          <t>VĨNH LONG</t>
        </is>
      </c>
      <c r="H1448" s="397" t="inlineStr">
        <is>
          <t>Gửi chành kim mã/CHÀNH DÌ HUỆ</t>
        </is>
      </c>
      <c r="J1448" s="392">
        <f>IFERROR(UPPER(TRIM(B1448))&amp;"|"&amp;UPPER(TRIM(C1448))&amp;"|"&amp;UPPER(TRIM(D1448)),"")</f>
        <v/>
      </c>
    </row>
    <row r="1449" ht="15.75" customHeight="1" s="217">
      <c r="A1449" s="400" t="n">
        <v>1447</v>
      </c>
      <c r="B1449" s="400" t="inlineStr">
        <is>
          <t>KH2336</t>
        </is>
      </c>
      <c r="C1449" s="401" t="inlineStr">
        <is>
          <t>Anh Kỳ - CH Đức Kỳ, Nghệ An - 0986.278.129</t>
        </is>
      </c>
      <c r="D1449" s="400" t="inlineStr">
        <is>
          <t>0986.278.129</t>
        </is>
      </c>
      <c r="E1449" s="402" t="n"/>
      <c r="F1449" s="401" t="inlineStr">
        <is>
          <t>Số 2 Ngõ 65, Đường Hồ Bá Kiện, TP VINH, NGHỆ AN</t>
        </is>
      </c>
      <c r="G1449" s="400" t="inlineStr">
        <is>
          <t>HN</t>
        </is>
      </c>
      <c r="H1449" s="402" t="n"/>
      <c r="J1449" s="392">
        <f>IFERROR(UPPER(TRIM(B1449))&amp;"|"&amp;UPPER(TRIM(C1449))&amp;"|"&amp;UPPER(TRIM(D1449)),"")</f>
        <v/>
      </c>
    </row>
    <row r="1450" ht="15.75" customHeight="1" s="217">
      <c r="A1450" s="397" t="n">
        <v>1448</v>
      </c>
      <c r="B1450" s="397" t="inlineStr">
        <is>
          <t>KH2335</t>
        </is>
      </c>
      <c r="C1450" s="398" t="inlineStr">
        <is>
          <t>CH (phụ tùng ô tô) anh Thắng - Bình Dương/ 0866.009.279</t>
        </is>
      </c>
      <c r="D1450" s="397" t="inlineStr">
        <is>
          <t>0866.009.279</t>
        </is>
      </c>
      <c r="E1450" s="399" t="n"/>
      <c r="F1450" s="398" t="inlineStr">
        <is>
          <t>Binh Duong</t>
        </is>
      </c>
      <c r="G1450" s="397" t="inlineStr">
        <is>
          <t>BDUONG</t>
        </is>
      </c>
      <c r="H1450" s="399" t="n"/>
      <c r="J1450" s="392">
        <f>IFERROR(UPPER(TRIM(B1450))&amp;"|"&amp;UPPER(TRIM(C1450))&amp;"|"&amp;UPPER(TRIM(D1450)),"")</f>
        <v/>
      </c>
    </row>
    <row r="1451" ht="15.75" customHeight="1" s="217">
      <c r="A1451" s="400" t="n">
        <v>1449</v>
      </c>
      <c r="B1451" s="400" t="inlineStr">
        <is>
          <t>KH2334</t>
        </is>
      </c>
      <c r="C1451" s="401" t="inlineStr">
        <is>
          <t>CH Minh Tổng - Tây Ninh - 0986.399.283</t>
        </is>
      </c>
      <c r="D1451" s="400" t="inlineStr">
        <is>
          <t>0986.399.283</t>
        </is>
      </c>
      <c r="E1451" s="402" t="n"/>
      <c r="F1451" s="401" t="inlineStr">
        <is>
          <t>Tây Ninh</t>
        </is>
      </c>
      <c r="G1451" s="400" t="inlineStr">
        <is>
          <t>TNINH</t>
        </is>
      </c>
      <c r="H1451" s="402" t="n"/>
      <c r="J1451" s="392">
        <f>IFERROR(UPPER(TRIM(B1451))&amp;"|"&amp;UPPER(TRIM(C1451))&amp;"|"&amp;UPPER(TRIM(D1451)),"")</f>
        <v/>
      </c>
    </row>
    <row r="1452" ht="15.75" customHeight="1" s="217">
      <c r="A1452" s="397" t="n">
        <v>1450</v>
      </c>
      <c r="B1452" s="397" t="inlineStr">
        <is>
          <t>KH2333</t>
        </is>
      </c>
      <c r="C1452" s="398" t="inlineStr">
        <is>
          <t>Công Ty Nhà TP, Sài Gòn / A Sinh - 0914.354.888</t>
        </is>
      </c>
      <c r="D1452" s="397" t="inlineStr">
        <is>
          <t>0914.354.888</t>
        </is>
      </c>
      <c r="E1452" s="399" t="n"/>
      <c r="F1452" s="398" t="inlineStr">
        <is>
          <t>Sài Gòn</t>
        </is>
      </c>
      <c r="G1452" s="397" t="inlineStr">
        <is>
          <t>SG/HCM</t>
        </is>
      </c>
      <c r="H1452" s="399" t="n"/>
      <c r="J1452" s="392">
        <f>IFERROR(UPPER(TRIM(B1452))&amp;"|"&amp;UPPER(TRIM(C1452))&amp;"|"&amp;UPPER(TRIM(D1452)),"")</f>
        <v/>
      </c>
    </row>
    <row r="1453" ht="15.75" customHeight="1" s="217">
      <c r="A1453" s="400" t="n">
        <v>1451</v>
      </c>
      <c r="B1453" s="400" t="inlineStr">
        <is>
          <t>KH2331</t>
        </is>
      </c>
      <c r="C1453" s="401" t="inlineStr">
        <is>
          <t>Anh Thành (chủ máy) - Sài Gòn/ 0989.487.089</t>
        </is>
      </c>
      <c r="D1453" s="400" t="inlineStr">
        <is>
          <t>0989.487.089</t>
        </is>
      </c>
      <c r="E1453" s="402" t="n"/>
      <c r="F1453" s="401" t="inlineStr">
        <is>
          <t>Sài Gòn</t>
        </is>
      </c>
      <c r="G1453" s="400" t="inlineStr">
        <is>
          <t>SG/HCM</t>
        </is>
      </c>
      <c r="H1453" s="402" t="n"/>
      <c r="J1453" s="392">
        <f>IFERROR(UPPER(TRIM(B1453))&amp;"|"&amp;UPPER(TRIM(C1453))&amp;"|"&amp;UPPER(TRIM(D1453)),"")</f>
        <v/>
      </c>
    </row>
    <row r="1454" ht="15.75" customHeight="1" s="217">
      <c r="A1454" s="397" t="n">
        <v>1452</v>
      </c>
      <c r="B1454" s="397" t="inlineStr">
        <is>
          <t>KH2332</t>
        </is>
      </c>
      <c r="C1454" s="398" t="inlineStr">
        <is>
          <t>Mạnh Thơm - Bù Đăng - Bình Phước - 0965.458.568</t>
        </is>
      </c>
      <c r="D1454" s="397" t="inlineStr">
        <is>
          <t>0965.458.568</t>
        </is>
      </c>
      <c r="E1454" s="399" t="n"/>
      <c r="F1454" s="398" t="inlineStr">
        <is>
          <t>Bù Đăng - Bình Phước</t>
        </is>
      </c>
      <c r="G1454" s="397" t="inlineStr">
        <is>
          <t>BP</t>
        </is>
      </c>
      <c r="H1454" s="399" t="n"/>
      <c r="J1454" s="392">
        <f>IFERROR(UPPER(TRIM(B1454))&amp;"|"&amp;UPPER(TRIM(C1454))&amp;"|"&amp;UPPER(TRIM(D1454)),"")</f>
        <v/>
      </c>
    </row>
    <row r="1455" ht="15.75" customHeight="1" s="217">
      <c r="A1455" s="400" t="n">
        <v>1453</v>
      </c>
      <c r="B1455" s="400" t="inlineStr">
        <is>
          <t>KH2330</t>
        </is>
      </c>
      <c r="C1455" s="401" t="inlineStr">
        <is>
          <t>Anh Hùng - Dầu Tiếng / 0901.682.068</t>
        </is>
      </c>
      <c r="D1455" s="400" t="inlineStr">
        <is>
          <t>0901.682.068</t>
        </is>
      </c>
      <c r="E1455" s="402" t="n"/>
      <c r="F1455" s="401" t="inlineStr">
        <is>
          <t>Dầu Tiếng, Bình Dương</t>
        </is>
      </c>
      <c r="G1455" s="400" t="inlineStr">
        <is>
          <t>BDUONG</t>
        </is>
      </c>
      <c r="H1455" s="402" t="n"/>
      <c r="J1455" s="392">
        <f>IFERROR(UPPER(TRIM(B1455))&amp;"|"&amp;UPPER(TRIM(C1455))&amp;"|"&amp;UPPER(TRIM(D1455)),"")</f>
        <v/>
      </c>
    </row>
    <row r="1456" ht="15.75" customHeight="1" s="217">
      <c r="A1456" s="397" t="n">
        <v>1454</v>
      </c>
      <c r="B1456" s="397" t="inlineStr">
        <is>
          <t>VONGBI</t>
        </is>
      </c>
      <c r="C1456" s="398" t="inlineStr">
        <is>
          <t>Công ty Thảo Nguyên - chuyên vòng bi bạc đạn - 0899319955</t>
        </is>
      </c>
      <c r="D1456" s="397" t="inlineStr">
        <is>
          <t>0899319955</t>
        </is>
      </c>
      <c r="E1456" s="399" t="n"/>
      <c r="F1456" s="398" t="inlineStr">
        <is>
          <t>497/7 Phạm Văn Chiêu, P13, Q Gò Vấp, TP HCM</t>
        </is>
      </c>
      <c r="G1456" s="399" t="n"/>
      <c r="H1456" s="399" t="n"/>
      <c r="J1456" s="392">
        <f>IFERROR(UPPER(TRIM(B1456))&amp;"|"&amp;UPPER(TRIM(C1456))&amp;"|"&amp;UPPER(TRIM(D1456)),"")</f>
        <v/>
      </c>
    </row>
    <row r="1457" ht="15.75" customHeight="1" s="217">
      <c r="A1457" s="400" t="n">
        <v>1455</v>
      </c>
      <c r="B1457" s="400" t="inlineStr">
        <is>
          <t>KH2329</t>
        </is>
      </c>
      <c r="C1457" s="401" t="inlineStr">
        <is>
          <t>Anh Nhân - Ninh Hòa/ 0982.672.145</t>
        </is>
      </c>
      <c r="D1457" s="400" t="inlineStr">
        <is>
          <t>0982.672.145</t>
        </is>
      </c>
      <c r="E1457" s="402" t="n"/>
      <c r="F1457" s="401" t="inlineStr">
        <is>
          <t>Ninh Hòa, Khánh Hòa</t>
        </is>
      </c>
      <c r="G1457" s="400" t="inlineStr">
        <is>
          <t>NTRANG</t>
        </is>
      </c>
      <c r="H1457" s="402" t="n"/>
      <c r="J1457" s="392">
        <f>IFERROR(UPPER(TRIM(B1457))&amp;"|"&amp;UPPER(TRIM(C1457))&amp;"|"&amp;UPPER(TRIM(D1457)),"")</f>
        <v/>
      </c>
    </row>
    <row r="1458" ht="15.75" customHeight="1" s="217">
      <c r="A1458" s="397" t="n">
        <v>1456</v>
      </c>
      <c r="B1458" s="397" t="inlineStr">
        <is>
          <t>KH2328</t>
        </is>
      </c>
      <c r="C1458" s="398" t="inlineStr">
        <is>
          <t>Xưởng tiện Mai Hưng - Vĩnh Phú 14 - 0913.629.862</t>
        </is>
      </c>
      <c r="D1458" s="397" t="inlineStr">
        <is>
          <t>0913.629.862</t>
        </is>
      </c>
      <c r="E1458" s="399" t="n"/>
      <c r="F1458" s="398" t="inlineStr">
        <is>
          <t>Vĩnh Phú 14, Thuận An, Bình Dương</t>
        </is>
      </c>
      <c r="G1458" s="397" t="inlineStr">
        <is>
          <t>SG/HCM</t>
        </is>
      </c>
      <c r="H1458" s="399" t="n"/>
      <c r="J1458" s="392">
        <f>IFERROR(UPPER(TRIM(B1458))&amp;"|"&amp;UPPER(TRIM(C1458))&amp;"|"&amp;UPPER(TRIM(D1458)),"")</f>
        <v/>
      </c>
    </row>
    <row r="1459" ht="15.75" customHeight="1" s="217">
      <c r="A1459" s="400" t="n">
        <v>1457</v>
      </c>
      <c r="B1459" s="400" t="inlineStr">
        <is>
          <t>KH2327</t>
        </is>
      </c>
      <c r="C1459" s="401" t="inlineStr">
        <is>
          <t>Anh Lợi - Ngã 4 Bình Phước - 0903.349.524</t>
        </is>
      </c>
      <c r="D1459" s="400" t="inlineStr">
        <is>
          <t>0903.349.524</t>
        </is>
      </c>
      <c r="E1459" s="402" t="n"/>
      <c r="F1459" s="401" t="inlineStr">
        <is>
          <t>Quốc lộ 13, Thủ Đức</t>
        </is>
      </c>
      <c r="G1459" s="400" t="inlineStr">
        <is>
          <t>SG/HCM</t>
        </is>
      </c>
      <c r="H1459" s="402" t="n"/>
      <c r="J1459" s="392">
        <f>IFERROR(UPPER(TRIM(B1459))&amp;"|"&amp;UPPER(TRIM(C1459))&amp;"|"&amp;UPPER(TRIM(D1459)),"")</f>
        <v/>
      </c>
    </row>
    <row r="1460" ht="15.75" customHeight="1" s="217">
      <c r="A1460" s="397" t="n">
        <v>1458</v>
      </c>
      <c r="B1460" s="397" t="inlineStr">
        <is>
          <t>KH2326</t>
        </is>
      </c>
      <c r="C1460" s="398" t="inlineStr">
        <is>
          <t>Xưởng tiện Thanh Trà - Bình Dương - 0943.485.296</t>
        </is>
      </c>
      <c r="D1460" s="397" t="inlineStr">
        <is>
          <t>0943.485.296</t>
        </is>
      </c>
      <c r="E1460" s="399" t="n"/>
      <c r="F1460" s="398" t="inlineStr">
        <is>
          <t>Chân Cầu Vĩnh Bình, Bình Dương</t>
        </is>
      </c>
      <c r="G1460" s="397" t="inlineStr">
        <is>
          <t>SG/HCM</t>
        </is>
      </c>
      <c r="H1460" s="399" t="n"/>
      <c r="J1460" s="392">
        <f>IFERROR(UPPER(TRIM(B1460))&amp;"|"&amp;UPPER(TRIM(C1460))&amp;"|"&amp;UPPER(TRIM(D1460)),"")</f>
        <v/>
      </c>
    </row>
    <row r="1461" ht="15.75" customHeight="1" s="217">
      <c r="A1461" s="400" t="n">
        <v>1459</v>
      </c>
      <c r="B1461" s="400" t="inlineStr">
        <is>
          <t>KH2324</t>
        </is>
      </c>
      <c r="C1461" s="401" t="inlineStr">
        <is>
          <t>Anh Tư Diễn - Đăk Nông / 0905.109.310</t>
        </is>
      </c>
      <c r="D1461" s="400" t="inlineStr">
        <is>
          <t>0905.109.310</t>
        </is>
      </c>
      <c r="E1461" s="402" t="n"/>
      <c r="F1461" s="401" t="inlineStr">
        <is>
          <t>Đăk Nông</t>
        </is>
      </c>
      <c r="G1461" s="400" t="inlineStr">
        <is>
          <t>DNONG</t>
        </is>
      </c>
      <c r="H1461" s="402" t="n"/>
      <c r="J1461" s="392">
        <f>IFERROR(UPPER(TRIM(B1461))&amp;"|"&amp;UPPER(TRIM(C1461))&amp;"|"&amp;UPPER(TRIM(D1461)),"")</f>
        <v/>
      </c>
    </row>
    <row r="1462" ht="15.75" customHeight="1" s="217">
      <c r="A1462" s="397" t="n">
        <v>1460</v>
      </c>
      <c r="B1462" s="397" t="inlineStr">
        <is>
          <t>KH2325</t>
        </is>
      </c>
      <c r="C1462" s="398" t="inlineStr">
        <is>
          <t>Anh Trung - Ninh Hòa, Khánh Hòa/ 0913.482.617</t>
        </is>
      </c>
      <c r="D1462" s="397" t="inlineStr">
        <is>
          <t>0913.482.617</t>
        </is>
      </c>
      <c r="E1462" s="399" t="n"/>
      <c r="F1462" s="398" t="inlineStr">
        <is>
          <t>Ninh Hòa,  Khánh Hòa</t>
        </is>
      </c>
      <c r="G1462" s="397" t="inlineStr">
        <is>
          <t>NTRANG</t>
        </is>
      </c>
      <c r="H1462" s="399" t="n"/>
      <c r="J1462" s="392">
        <f>IFERROR(UPPER(TRIM(B1462))&amp;"|"&amp;UPPER(TRIM(C1462))&amp;"|"&amp;UPPER(TRIM(D1462)),"")</f>
        <v/>
      </c>
    </row>
    <row r="1463" ht="15.75" customHeight="1" s="217">
      <c r="A1463" s="400" t="n">
        <v>1461</v>
      </c>
      <c r="B1463" s="400" t="inlineStr">
        <is>
          <t>KH2323</t>
        </is>
      </c>
      <c r="C1463" s="401" t="inlineStr">
        <is>
          <t>Cty Thép Tuệ Minh - Tân Uyên, Bình Dương / anh Linh : 0941.832.228</t>
        </is>
      </c>
      <c r="D1463" s="400" t="inlineStr">
        <is>
          <t>0941.832.228</t>
        </is>
      </c>
      <c r="E1463" s="402" t="n"/>
      <c r="F1463" s="401" t="inlineStr">
        <is>
          <t>Tân Uyên, Bình Dương</t>
        </is>
      </c>
      <c r="G1463" s="400" t="inlineStr">
        <is>
          <t>BDUONG</t>
        </is>
      </c>
      <c r="H1463" s="402" t="n"/>
      <c r="J1463" s="392">
        <f>IFERROR(UPPER(TRIM(B1463))&amp;"|"&amp;UPPER(TRIM(C1463))&amp;"|"&amp;UPPER(TRIM(D1463)),"")</f>
        <v/>
      </c>
    </row>
    <row r="1464" ht="15.75" customHeight="1" s="217">
      <c r="A1464" s="397" t="n">
        <v>1462</v>
      </c>
      <c r="B1464" s="397" t="inlineStr">
        <is>
          <t>KH2322</t>
        </is>
      </c>
      <c r="C1464" s="398" t="inlineStr">
        <is>
          <t>Xưởng anh Nghiệp - Đắk Nông/ 0972.604.748</t>
        </is>
      </c>
      <c r="D1464" s="397" t="inlineStr">
        <is>
          <t>0972.604.748</t>
        </is>
      </c>
      <c r="E1464" s="399" t="n"/>
      <c r="F1464" s="398" t="inlineStr">
        <is>
          <t>Đắk Nông</t>
        </is>
      </c>
      <c r="G1464" s="397" t="inlineStr">
        <is>
          <t>DNONG</t>
        </is>
      </c>
      <c r="H1464" s="399" t="n"/>
      <c r="J1464" s="392">
        <f>IFERROR(UPPER(TRIM(B1464))&amp;"|"&amp;UPPER(TRIM(C1464))&amp;"|"&amp;UPPER(TRIM(D1464)),"")</f>
        <v/>
      </c>
    </row>
    <row r="1465" ht="15.75" customHeight="1" s="217">
      <c r="A1465" s="400" t="n">
        <v>1463</v>
      </c>
      <c r="B1465" s="400" t="inlineStr">
        <is>
          <t>KH2321</t>
        </is>
      </c>
      <c r="C1465" s="401" t="inlineStr">
        <is>
          <t>Chị Thùy - Xưởng tiện Hữu Khoa - Đồng Nai/ 0983.373.444</t>
        </is>
      </c>
      <c r="D1465" s="400" t="inlineStr">
        <is>
          <t>0983.373.444</t>
        </is>
      </c>
      <c r="E1465" s="402" t="n"/>
      <c r="F1465" s="401" t="inlineStr">
        <is>
          <t>Tam Hòa, Biên Hòa, Đồng Nai</t>
        </is>
      </c>
      <c r="G1465" s="400" t="inlineStr">
        <is>
          <t>ÐNAI</t>
        </is>
      </c>
      <c r="H1465" s="402" t="n"/>
      <c r="J1465" s="392">
        <f>IFERROR(UPPER(TRIM(B1465))&amp;"|"&amp;UPPER(TRIM(C1465))&amp;"|"&amp;UPPER(TRIM(D1465)),"")</f>
        <v/>
      </c>
    </row>
    <row r="1466" ht="15.75" customHeight="1" s="217">
      <c r="A1466" s="397" t="n">
        <v>1464</v>
      </c>
      <c r="B1466" s="397" t="inlineStr">
        <is>
          <t>KH2320</t>
        </is>
      </c>
      <c r="C1466" s="398" t="inlineStr">
        <is>
          <t>Cửa hàng Quảng Thành - Hàng Xanh/ 0908.115.583</t>
        </is>
      </c>
      <c r="D1466" s="397" t="inlineStr">
        <is>
          <t>0908.115.583</t>
        </is>
      </c>
      <c r="E1466" s="399" t="n"/>
      <c r="F1466" s="398" t="inlineStr">
        <is>
          <t>289 Điện Biên Phủ, P15, Bình Thạnh, TP HCM</t>
        </is>
      </c>
      <c r="G1466" s="397" t="inlineStr">
        <is>
          <t>HX</t>
        </is>
      </c>
      <c r="H1466" s="399" t="n"/>
      <c r="J1466" s="392">
        <f>IFERROR(UPPER(TRIM(B1466))&amp;"|"&amp;UPPER(TRIM(C1466))&amp;"|"&amp;UPPER(TRIM(D1466)),"")</f>
        <v/>
      </c>
    </row>
    <row r="1467" ht="15.75" customHeight="1" s="217">
      <c r="A1467" s="400" t="n">
        <v>1465</v>
      </c>
      <c r="B1467" s="400" t="inlineStr">
        <is>
          <t>KH2319</t>
        </is>
      </c>
      <c r="C1467" s="401" t="inlineStr">
        <is>
          <t>Anh Dư - Tân Biên, Tây Ninh / 0933.030.060</t>
        </is>
      </c>
      <c r="D1467" s="400" t="inlineStr">
        <is>
          <t>0933.030.060</t>
        </is>
      </c>
      <c r="E1467" s="402" t="n"/>
      <c r="F1467" s="401" t="inlineStr">
        <is>
          <t>Tân Biên, Tây Ninh</t>
        </is>
      </c>
      <c r="G1467" s="400" t="inlineStr">
        <is>
          <t>TNINH</t>
        </is>
      </c>
      <c r="H1467" s="402" t="n"/>
      <c r="J1467" s="392">
        <f>IFERROR(UPPER(TRIM(B1467))&amp;"|"&amp;UPPER(TRIM(C1467))&amp;"|"&amp;UPPER(TRIM(D1467)),"")</f>
        <v/>
      </c>
    </row>
    <row r="1468" ht="15.75" customHeight="1" s="217">
      <c r="A1468" s="397" t="n">
        <v>1466</v>
      </c>
      <c r="B1468" s="397" t="inlineStr">
        <is>
          <t>KH2317</t>
        </is>
      </c>
      <c r="C1468" s="398" t="inlineStr">
        <is>
          <t>Anh Hải - Hải Phòng / 0989.092.906</t>
        </is>
      </c>
      <c r="D1468" s="397" t="inlineStr">
        <is>
          <t>0989.092.906</t>
        </is>
      </c>
      <c r="E1468" s="399" t="n"/>
      <c r="F1468" s="398" t="inlineStr">
        <is>
          <t>Damen Sông Cấm, Hải Phòng</t>
        </is>
      </c>
      <c r="G1468" s="399" t="n"/>
      <c r="H1468" s="399" t="n"/>
      <c r="J1468" s="392">
        <f>IFERROR(UPPER(TRIM(B1468))&amp;"|"&amp;UPPER(TRIM(C1468))&amp;"|"&amp;UPPER(TRIM(D1468)),"")</f>
        <v/>
      </c>
    </row>
    <row r="1469" ht="15.75" customHeight="1" s="217">
      <c r="A1469" s="400" t="n">
        <v>1467</v>
      </c>
      <c r="B1469" s="400" t="inlineStr">
        <is>
          <t>KH2318</t>
        </is>
      </c>
      <c r="C1469" s="401" t="inlineStr">
        <is>
          <t>Công ty Đồng Vinh - A Nghĩa - 0938.413.079</t>
        </is>
      </c>
      <c r="D1469" s="400" t="inlineStr">
        <is>
          <t>0938.413.079</t>
        </is>
      </c>
      <c r="E1469" s="402" t="n"/>
      <c r="F1469" s="401" t="inlineStr">
        <is>
          <t>Quốc lộ 13, Thủ Đức, Sài Gòn</t>
        </is>
      </c>
      <c r="G1469" s="400" t="inlineStr">
        <is>
          <t>SG/HCM</t>
        </is>
      </c>
      <c r="H1469" s="402" t="n"/>
      <c r="J1469" s="392">
        <f>IFERROR(UPPER(TRIM(B1469))&amp;"|"&amp;UPPER(TRIM(C1469))&amp;"|"&amp;UPPER(TRIM(D1469)),"")</f>
        <v/>
      </c>
    </row>
    <row r="1470" ht="15.75" customHeight="1" s="217">
      <c r="A1470" s="397" t="n">
        <v>1468</v>
      </c>
      <c r="B1470" s="397" t="inlineStr">
        <is>
          <t>SP</t>
        </is>
      </c>
      <c r="C1470" s="398" t="inlineStr">
        <is>
          <t>Công ty Siêu Phát (chuyên phớt) - Sài Gòn</t>
        </is>
      </c>
      <c r="D1470" s="399" t="n"/>
      <c r="E1470" s="399" t="n"/>
      <c r="F1470" s="398" t="inlineStr">
        <is>
          <t>135/17/6 Nguyễn Hữu Cảnh, Phường 22, Q. Bình Thạnh, Sài gòn</t>
        </is>
      </c>
      <c r="G1470" s="399" t="n"/>
      <c r="H1470" s="399" t="n"/>
      <c r="J1470" s="392">
        <f>IFERROR(UPPER(TRIM(B1470))&amp;"|"&amp;UPPER(TRIM(C1470))&amp;"|"&amp;UPPER(TRIM(D1470)),"")</f>
        <v/>
      </c>
    </row>
    <row r="1471" ht="15.75" customHeight="1" s="217">
      <c r="A1471" s="400" t="n">
        <v>1469</v>
      </c>
      <c r="B1471" s="400" t="inlineStr">
        <is>
          <t>KH2316</t>
        </is>
      </c>
      <c r="C1471" s="401" t="inlineStr">
        <is>
          <t>Anh Hào (Xưởng tiện Út Minh Vương) - Tây Ninh / 0908.861.243</t>
        </is>
      </c>
      <c r="D1471" s="400" t="inlineStr">
        <is>
          <t>0908.861.243</t>
        </is>
      </c>
      <c r="E1471" s="402" t="n"/>
      <c r="F1471" s="401" t="inlineStr">
        <is>
          <t>Hòa Thành, Tây Ninh</t>
        </is>
      </c>
      <c r="G1471" s="400" t="inlineStr">
        <is>
          <t>TNINH</t>
        </is>
      </c>
      <c r="H1471" s="402" t="n"/>
      <c r="J1471" s="392">
        <f>IFERROR(UPPER(TRIM(B1471))&amp;"|"&amp;UPPER(TRIM(C1471))&amp;"|"&amp;UPPER(TRIM(D1471)),"")</f>
        <v/>
      </c>
    </row>
    <row r="1472" ht="15.75" customHeight="1" s="217">
      <c r="A1472" s="397" t="n">
        <v>1470</v>
      </c>
      <c r="B1472" s="397" t="inlineStr">
        <is>
          <t>KH2315</t>
        </is>
      </c>
      <c r="C1472" s="398" t="inlineStr">
        <is>
          <t>Xưởng Anh Hiếu - Tây Ninh - 0939.204.201</t>
        </is>
      </c>
      <c r="D1472" s="397" t="inlineStr">
        <is>
          <t>0939.204.201</t>
        </is>
      </c>
      <c r="E1472" s="399" t="n"/>
      <c r="F1472" s="398" t="inlineStr">
        <is>
          <t>Châu Thành, Tây Ninh (gửi hàng xe Đồng Phước)</t>
        </is>
      </c>
      <c r="G1472" s="397" t="inlineStr">
        <is>
          <t>TNINH</t>
        </is>
      </c>
      <c r="H1472" s="399" t="n"/>
      <c r="J1472" s="392">
        <f>IFERROR(UPPER(TRIM(B1472))&amp;"|"&amp;UPPER(TRIM(C1472))&amp;"|"&amp;UPPER(TRIM(D1472)),"")</f>
        <v/>
      </c>
    </row>
    <row r="1473" ht="15.75" customHeight="1" s="217">
      <c r="A1473" s="400" t="n">
        <v>1471</v>
      </c>
      <c r="B1473" s="400" t="inlineStr">
        <is>
          <t>KH2314</t>
        </is>
      </c>
      <c r="C1473" s="401" t="inlineStr">
        <is>
          <t>Công Ty Hùng Vương - Tân Thành, Bà Rịa/ Anh Phước - 0908.787.717</t>
        </is>
      </c>
      <c r="D1473" s="400" t="inlineStr">
        <is>
          <t>0908.787.717</t>
        </is>
      </c>
      <c r="E1473" s="402" t="n"/>
      <c r="F1473" s="401" t="inlineStr">
        <is>
          <t>Tân Thành, Bà Rịa Vũng Tàu</t>
        </is>
      </c>
      <c r="G1473" s="400" t="inlineStr">
        <is>
          <t>BRVT</t>
        </is>
      </c>
      <c r="H1473" s="400" t="inlineStr">
        <is>
          <t>Gửi hàng về Cái Mép, Tân Thành, Bà Rịa</t>
        </is>
      </c>
      <c r="J1473" s="392">
        <f>IFERROR(UPPER(TRIM(B1473))&amp;"|"&amp;UPPER(TRIM(C1473))&amp;"|"&amp;UPPER(TRIM(D1473)),"")</f>
        <v/>
      </c>
    </row>
    <row r="1474" ht="15.75" customHeight="1" s="217">
      <c r="A1474" s="397" t="n">
        <v>1472</v>
      </c>
      <c r="B1474" s="397" t="inlineStr">
        <is>
          <t>KH2313</t>
        </is>
      </c>
      <c r="C1474" s="398" t="inlineStr">
        <is>
          <t>Xưởng Triệu Thành - QL13/  0386.969.969</t>
        </is>
      </c>
      <c r="D1474" s="397" t="inlineStr">
        <is>
          <t>0386.969.969</t>
        </is>
      </c>
      <c r="E1474" s="399" t="n"/>
      <c r="F1474" s="398" t="inlineStr">
        <is>
          <t>547 Quốc lộ 13 (Đối diện Cân Nhơn Hòa)</t>
        </is>
      </c>
      <c r="G1474" s="397" t="inlineStr">
        <is>
          <t>SG/HCM</t>
        </is>
      </c>
      <c r="H1474" s="399" t="n"/>
      <c r="J1474" s="392">
        <f>IFERROR(UPPER(TRIM(B1474))&amp;"|"&amp;UPPER(TRIM(C1474))&amp;"|"&amp;UPPER(TRIM(D1474)),"")</f>
        <v/>
      </c>
    </row>
    <row r="1475" ht="15.75" customHeight="1" s="217">
      <c r="A1475" s="400" t="n">
        <v>1473</v>
      </c>
      <c r="B1475" s="400" t="inlineStr">
        <is>
          <t>KH2310</t>
        </is>
      </c>
      <c r="C1475" s="401" t="inlineStr">
        <is>
          <t>Anh Tuấn - Ninh Hòa, Khánh Hòa/ 0905.447.979</t>
        </is>
      </c>
      <c r="D1475" s="400" t="inlineStr">
        <is>
          <t>0905.447.979</t>
        </is>
      </c>
      <c r="E1475" s="402" t="n"/>
      <c r="F1475" s="401" t="inlineStr">
        <is>
          <t>Ninh Hòa,  Khánh Hòa</t>
        </is>
      </c>
      <c r="G1475" s="400" t="inlineStr">
        <is>
          <t>NTRANG</t>
        </is>
      </c>
      <c r="H1475" s="402" t="n"/>
      <c r="J1475" s="392">
        <f>IFERROR(UPPER(TRIM(B1475))&amp;"|"&amp;UPPER(TRIM(C1475))&amp;"|"&amp;UPPER(TRIM(D1475)),"")</f>
        <v/>
      </c>
    </row>
    <row r="1476" ht="15.75" customHeight="1" s="217">
      <c r="A1476" s="397" t="n">
        <v>1474</v>
      </c>
      <c r="B1476" s="397" t="inlineStr">
        <is>
          <t>KH2311</t>
        </is>
      </c>
      <c r="C1476" s="398" t="inlineStr">
        <is>
          <t>Anh Lâm - Sài Gòn - 0396.011.756</t>
        </is>
      </c>
      <c r="D1476" s="397" t="inlineStr">
        <is>
          <t>0396.011.756</t>
        </is>
      </c>
      <c r="E1476" s="399" t="n"/>
      <c r="F1476" s="398" t="inlineStr">
        <is>
          <t>Sài Gòn</t>
        </is>
      </c>
      <c r="G1476" s="397" t="inlineStr">
        <is>
          <t>SG/HCM</t>
        </is>
      </c>
      <c r="H1476" s="399" t="n"/>
      <c r="J1476" s="392">
        <f>IFERROR(UPPER(TRIM(B1476))&amp;"|"&amp;UPPER(TRIM(C1476))&amp;"|"&amp;UPPER(TRIM(D1476)),"")</f>
        <v/>
      </c>
    </row>
    <row r="1477" ht="15.75" customHeight="1" s="217">
      <c r="A1477" s="400" t="n">
        <v>1475</v>
      </c>
      <c r="B1477" s="400" t="inlineStr">
        <is>
          <t>KH2312</t>
        </is>
      </c>
      <c r="C1477" s="401" t="inlineStr">
        <is>
          <t>Anh Trí - SG/ 0794.477.772</t>
        </is>
      </c>
      <c r="D1477" s="400" t="inlineStr">
        <is>
          <t>0794.477.772</t>
        </is>
      </c>
      <c r="E1477" s="402" t="n"/>
      <c r="F1477" s="401" t="inlineStr">
        <is>
          <t>Sài Gòn</t>
        </is>
      </c>
      <c r="G1477" s="400" t="inlineStr">
        <is>
          <t>SG/HCM</t>
        </is>
      </c>
      <c r="H1477" s="402" t="n"/>
      <c r="J1477" s="392">
        <f>IFERROR(UPPER(TRIM(B1477))&amp;"|"&amp;UPPER(TRIM(C1477))&amp;"|"&amp;UPPER(TRIM(D1477)),"")</f>
        <v/>
      </c>
    </row>
    <row r="1478" ht="15.75" customHeight="1" s="217">
      <c r="A1478" s="397" t="n">
        <v>1476</v>
      </c>
      <c r="B1478" s="397" t="inlineStr">
        <is>
          <t>KH2309</t>
        </is>
      </c>
      <c r="C1478" s="398" t="inlineStr">
        <is>
          <t>A Lâm người Hoa - Sài Gòn - 0358.420.038</t>
        </is>
      </c>
      <c r="D1478" s="397" t="inlineStr">
        <is>
          <t>0358.420.038</t>
        </is>
      </c>
      <c r="E1478" s="399" t="n"/>
      <c r="F1478" s="398" t="inlineStr">
        <is>
          <t>Sài Gòn</t>
        </is>
      </c>
      <c r="G1478" s="397" t="inlineStr">
        <is>
          <t>SG/HCM</t>
        </is>
      </c>
      <c r="H1478" s="399" t="n"/>
      <c r="J1478" s="392">
        <f>IFERROR(UPPER(TRIM(B1478))&amp;"|"&amp;UPPER(TRIM(C1478))&amp;"|"&amp;UPPER(TRIM(D1478)),"")</f>
        <v/>
      </c>
    </row>
    <row r="1479" ht="15.75" customHeight="1" s="217">
      <c r="A1479" s="400" t="n">
        <v>1477</v>
      </c>
      <c r="B1479" s="400" t="inlineStr">
        <is>
          <t>KH2308</t>
        </is>
      </c>
      <c r="C1479" s="401" t="inlineStr">
        <is>
          <t>Anh Bé - Kontum / 0978.029.553</t>
        </is>
      </c>
      <c r="D1479" s="400" t="inlineStr">
        <is>
          <t>0978.029.553</t>
        </is>
      </c>
      <c r="E1479" s="402" t="n"/>
      <c r="F1479" s="401" t="inlineStr">
        <is>
          <t>Kontum</t>
        </is>
      </c>
      <c r="G1479" s="400" t="inlineStr">
        <is>
          <t>KTUM</t>
        </is>
      </c>
      <c r="H1479" s="402" t="n"/>
      <c r="J1479" s="392">
        <f>IFERROR(UPPER(TRIM(B1479))&amp;"|"&amp;UPPER(TRIM(C1479))&amp;"|"&amp;UPPER(TRIM(D1479)),"")</f>
        <v/>
      </c>
    </row>
    <row r="1480" ht="15.75" customHeight="1" s="217">
      <c r="A1480" s="397" t="n">
        <v>1478</v>
      </c>
      <c r="B1480" s="397" t="inlineStr">
        <is>
          <t>KH2306</t>
        </is>
      </c>
      <c r="C1480" s="398" t="inlineStr">
        <is>
          <t>Anh Tuấn - Xuân Lộc, Đồng Nai / 0906.202.214</t>
        </is>
      </c>
      <c r="D1480" s="397" t="inlineStr">
        <is>
          <t>0906.202.214</t>
        </is>
      </c>
      <c r="E1480" s="399" t="n"/>
      <c r="F1480" s="398" t="inlineStr">
        <is>
          <t>Xuân Lộc, Đồng Nai</t>
        </is>
      </c>
      <c r="G1480" s="397" t="inlineStr">
        <is>
          <t>ÐNAI</t>
        </is>
      </c>
      <c r="H1480" s="399" t="n"/>
      <c r="J1480" s="392">
        <f>IFERROR(UPPER(TRIM(B1480))&amp;"|"&amp;UPPER(TRIM(C1480))&amp;"|"&amp;UPPER(TRIM(D1480)),"")</f>
        <v/>
      </c>
    </row>
    <row r="1481" ht="15.75" customHeight="1" s="217">
      <c r="A1481" s="400" t="n">
        <v>1479</v>
      </c>
      <c r="B1481" s="400" t="inlineStr">
        <is>
          <t>KH2307</t>
        </is>
      </c>
      <c r="C1481" s="401" t="inlineStr">
        <is>
          <t>Anh Thanh - Cty Nam Việt, Sài Gòn/ 0354.376.409</t>
        </is>
      </c>
      <c r="D1481" s="400" t="inlineStr">
        <is>
          <t>0354.376.409</t>
        </is>
      </c>
      <c r="E1481" s="402" t="n"/>
      <c r="F1481" s="401" t="inlineStr">
        <is>
          <t>Tiền Giang</t>
        </is>
      </c>
      <c r="G1481" s="400" t="inlineStr">
        <is>
          <t>SG/HCM</t>
        </is>
      </c>
      <c r="H1481" s="402" t="n"/>
      <c r="J1481" s="392">
        <f>IFERROR(UPPER(TRIM(B1481))&amp;"|"&amp;UPPER(TRIM(C1481))&amp;"|"&amp;UPPER(TRIM(D1481)),"")</f>
        <v/>
      </c>
    </row>
    <row r="1482" ht="15.75" customHeight="1" s="217">
      <c r="A1482" s="397" t="n">
        <v>1480</v>
      </c>
      <c r="B1482" s="397" t="inlineStr">
        <is>
          <t>KH2303</t>
        </is>
      </c>
      <c r="C1482" s="398" t="inlineStr">
        <is>
          <t>Xưởng Anh Phước - Bình Dương / 0938.775.881</t>
        </is>
      </c>
      <c r="D1482" s="397" t="inlineStr">
        <is>
          <t>0938.775.881</t>
        </is>
      </c>
      <c r="E1482" s="399" t="n"/>
      <c r="F1482" s="398" t="inlineStr">
        <is>
          <t>Vĩnh Phú 17, Bình Dương</t>
        </is>
      </c>
      <c r="G1482" s="397" t="inlineStr">
        <is>
          <t>BDUONG</t>
        </is>
      </c>
      <c r="H1482" s="399" t="n"/>
      <c r="J1482" s="392">
        <f>IFERROR(UPPER(TRIM(B1482))&amp;"|"&amp;UPPER(TRIM(C1482))&amp;"|"&amp;UPPER(TRIM(D1482)),"")</f>
        <v/>
      </c>
    </row>
    <row r="1483" ht="15.75" customHeight="1" s="217">
      <c r="A1483" s="400" t="n">
        <v>1481</v>
      </c>
      <c r="B1483" s="400" t="inlineStr">
        <is>
          <t>KH2304</t>
        </is>
      </c>
      <c r="C1483" s="401" t="inlineStr">
        <is>
          <t>Anh Tiến - Bình Dương - 0385.537.274 (chủ máy)</t>
        </is>
      </c>
      <c r="D1483" s="400" t="inlineStr">
        <is>
          <t>0385.537.274</t>
        </is>
      </c>
      <c r="E1483" s="402" t="n"/>
      <c r="F1483" s="401" t="inlineStr">
        <is>
          <t>Bình Dương</t>
        </is>
      </c>
      <c r="G1483" s="400" t="inlineStr">
        <is>
          <t>BDUONG</t>
        </is>
      </c>
      <c r="H1483" s="402" t="n"/>
      <c r="J1483" s="392">
        <f>IFERROR(UPPER(TRIM(B1483))&amp;"|"&amp;UPPER(TRIM(C1483))&amp;"|"&amp;UPPER(TRIM(D1483)),"")</f>
        <v/>
      </c>
    </row>
    <row r="1484" ht="15.75" customHeight="1" s="217">
      <c r="A1484" s="397" t="n">
        <v>1482</v>
      </c>
      <c r="B1484" s="397" t="inlineStr">
        <is>
          <t>KH2305</t>
        </is>
      </c>
      <c r="C1484" s="398" t="inlineStr">
        <is>
          <t>Xưởng anh Thắng - Bình Dương/ 0349.260.223</t>
        </is>
      </c>
      <c r="D1484" s="397" t="inlineStr">
        <is>
          <t>0349.260.223</t>
        </is>
      </c>
      <c r="E1484" s="399" t="n"/>
      <c r="F1484" s="398" t="inlineStr">
        <is>
          <t>Dầu Tiếng, Bình Dương</t>
        </is>
      </c>
      <c r="G1484" s="397" t="inlineStr">
        <is>
          <t>BDUONG</t>
        </is>
      </c>
      <c r="H1484" s="399" t="n"/>
      <c r="J1484" s="392">
        <f>IFERROR(UPPER(TRIM(B1484))&amp;"|"&amp;UPPER(TRIM(C1484))&amp;"|"&amp;UPPER(TRIM(D1484)),"")</f>
        <v/>
      </c>
    </row>
    <row r="1485" ht="15.75" customHeight="1" s="217">
      <c r="A1485" s="400" t="n">
        <v>1483</v>
      </c>
      <c r="B1485" s="400" t="inlineStr">
        <is>
          <t>KH2301</t>
        </is>
      </c>
      <c r="C1485" s="401" t="inlineStr">
        <is>
          <t>Anh Đắc - TP Rạch Giá /0918.741.018</t>
        </is>
      </c>
      <c r="D1485" s="400" t="inlineStr">
        <is>
          <t>0918.741.018</t>
        </is>
      </c>
      <c r="E1485" s="402" t="n"/>
      <c r="F1485" s="401" t="inlineStr">
        <is>
          <t>TP Rạch Giá - Kiên Giang</t>
        </is>
      </c>
      <c r="G1485" s="400" t="inlineStr">
        <is>
          <t>KG</t>
        </is>
      </c>
      <c r="H1485" s="402" t="n"/>
      <c r="J1485" s="392">
        <f>IFERROR(UPPER(TRIM(B1485))&amp;"|"&amp;UPPER(TRIM(C1485))&amp;"|"&amp;UPPER(TRIM(D1485)),"")</f>
        <v/>
      </c>
    </row>
    <row r="1486" ht="15.75" customHeight="1" s="217">
      <c r="A1486" s="397" t="n">
        <v>1484</v>
      </c>
      <c r="B1486" s="397" t="inlineStr">
        <is>
          <t>KH2302</t>
        </is>
      </c>
      <c r="C1486" s="398" t="inlineStr">
        <is>
          <t>Anh Tươi - Bình Phước / 0398.313.243</t>
        </is>
      </c>
      <c r="D1486" s="397" t="inlineStr">
        <is>
          <t>0398.313.243</t>
        </is>
      </c>
      <c r="E1486" s="399" t="n"/>
      <c r="F1486" s="398" t="inlineStr">
        <is>
          <t>Phước Long, Bình Phước</t>
        </is>
      </c>
      <c r="G1486" s="397" t="inlineStr">
        <is>
          <t>BP</t>
        </is>
      </c>
      <c r="H1486" s="399" t="n"/>
      <c r="J1486" s="392">
        <f>IFERROR(UPPER(TRIM(B1486))&amp;"|"&amp;UPPER(TRIM(C1486))&amp;"|"&amp;UPPER(TRIM(D1486)),"")</f>
        <v/>
      </c>
    </row>
    <row r="1487" ht="15.75" customHeight="1" s="217">
      <c r="A1487" s="400" t="n">
        <v>1485</v>
      </c>
      <c r="B1487" s="400" t="inlineStr">
        <is>
          <t>KH2300</t>
        </is>
      </c>
      <c r="C1487" s="401" t="inlineStr">
        <is>
          <t>Anh Phớn - SG/ 0903.934.655 9 (chủ xe)</t>
        </is>
      </c>
      <c r="D1487" s="400" t="inlineStr">
        <is>
          <t>0903.934.655 9</t>
        </is>
      </c>
      <c r="E1487" s="402" t="n"/>
      <c r="F1487" s="401" t="inlineStr">
        <is>
          <t>Sài Gòn</t>
        </is>
      </c>
      <c r="G1487" s="400" t="inlineStr">
        <is>
          <t>SG/HCM</t>
        </is>
      </c>
      <c r="H1487" s="402" t="n"/>
      <c r="J1487" s="392">
        <f>IFERROR(UPPER(TRIM(B1487))&amp;"|"&amp;UPPER(TRIM(C1487))&amp;"|"&amp;UPPER(TRIM(D1487)),"")</f>
        <v/>
      </c>
    </row>
    <row r="1488" ht="15.75" customHeight="1" s="217">
      <c r="A1488" s="397" t="n">
        <v>1486</v>
      </c>
      <c r="B1488" s="397" t="inlineStr">
        <is>
          <t>KH2299</t>
        </is>
      </c>
      <c r="C1488" s="398" t="inlineStr">
        <is>
          <t>Anh Trai - Tây Ninh / 0869.027.663</t>
        </is>
      </c>
      <c r="D1488" s="397" t="inlineStr">
        <is>
          <t>0869.027.663</t>
        </is>
      </c>
      <c r="E1488" s="399" t="n"/>
      <c r="F1488" s="398" t="inlineStr">
        <is>
          <t>Tây Ninh</t>
        </is>
      </c>
      <c r="G1488" s="397" t="inlineStr">
        <is>
          <t>TNINH</t>
        </is>
      </c>
      <c r="H1488" s="399" t="n"/>
      <c r="J1488" s="392">
        <f>IFERROR(UPPER(TRIM(B1488))&amp;"|"&amp;UPPER(TRIM(C1488))&amp;"|"&amp;UPPER(TRIM(D1488)),"")</f>
        <v/>
      </c>
    </row>
    <row r="1489" ht="15.75" customHeight="1" s="217">
      <c r="A1489" s="400" t="n">
        <v>1487</v>
      </c>
      <c r="B1489" s="400" t="inlineStr">
        <is>
          <t>KH2298</t>
        </is>
      </c>
      <c r="C1489" s="401" t="inlineStr">
        <is>
          <t>Xưởng Anh Yên - Trường Trung Cấp Nghề Thủ Đức/ 0903.773.775</t>
        </is>
      </c>
      <c r="D1489" s="400" t="inlineStr">
        <is>
          <t>0903.773.775</t>
        </is>
      </c>
      <c r="E1489" s="402" t="n"/>
      <c r="F1489" s="401" t="inlineStr">
        <is>
          <t>Ngã tư Thủ Đức, Sài Gòn</t>
        </is>
      </c>
      <c r="G1489" s="400" t="inlineStr">
        <is>
          <t>SG/HCM</t>
        </is>
      </c>
      <c r="H1489" s="402" t="n"/>
      <c r="J1489" s="392">
        <f>IFERROR(UPPER(TRIM(B1489))&amp;"|"&amp;UPPER(TRIM(C1489))&amp;"|"&amp;UPPER(TRIM(D1489)),"")</f>
        <v/>
      </c>
    </row>
    <row r="1490" ht="15.75" customHeight="1" s="217">
      <c r="A1490" s="397" t="n">
        <v>1488</v>
      </c>
      <c r="B1490" s="397" t="inlineStr">
        <is>
          <t>KH2297</t>
        </is>
      </c>
      <c r="C1490" s="398" t="inlineStr">
        <is>
          <t>Anh Bắc - Quận 8 - 0914.176.468</t>
        </is>
      </c>
      <c r="D1490" s="397" t="inlineStr">
        <is>
          <t>0914.176.468</t>
        </is>
      </c>
      <c r="E1490" s="399" t="n"/>
      <c r="F1490" s="398" t="inlineStr">
        <is>
          <t>Quận 8 - Sài Gòn</t>
        </is>
      </c>
      <c r="G1490" s="397" t="inlineStr">
        <is>
          <t>SG/HCM</t>
        </is>
      </c>
      <c r="H1490" s="399" t="n"/>
      <c r="J1490" s="392">
        <f>IFERROR(UPPER(TRIM(B1490))&amp;"|"&amp;UPPER(TRIM(C1490))&amp;"|"&amp;UPPER(TRIM(D1490)),"")</f>
        <v/>
      </c>
    </row>
    <row r="1491" ht="15.75" customHeight="1" s="217">
      <c r="A1491" s="400" t="n">
        <v>1489</v>
      </c>
      <c r="B1491" s="400" t="inlineStr">
        <is>
          <t>KH2296</t>
        </is>
      </c>
      <c r="C1491" s="401" t="inlineStr">
        <is>
          <t>Cửa hàng Anh Tuấn - Ngã 3 Cái Mép, Phú Mỹ, Bà Rịa / 0984.318.031</t>
        </is>
      </c>
      <c r="D1491" s="400" t="inlineStr">
        <is>
          <t>0984.318.031</t>
        </is>
      </c>
      <c r="E1491" s="402" t="n"/>
      <c r="F1491" s="401" t="inlineStr">
        <is>
          <t>Tổ 12, KP.Ông Trịnh, P.Tân Phước, TX.Phú Mỹ, Bà Rịa- Vũng Tàu</t>
        </is>
      </c>
      <c r="G1491" s="400" t="inlineStr">
        <is>
          <t>BRVT</t>
        </is>
      </c>
      <c r="H1491" s="402" t="n"/>
      <c r="J1491" s="392">
        <f>IFERROR(UPPER(TRIM(B1491))&amp;"|"&amp;UPPER(TRIM(C1491))&amp;"|"&amp;UPPER(TRIM(D1491)),"")</f>
        <v/>
      </c>
    </row>
    <row r="1492" ht="15.75" customHeight="1" s="217">
      <c r="A1492" s="397" t="n">
        <v>1490</v>
      </c>
      <c r="B1492" s="397" t="inlineStr">
        <is>
          <t>KH2294</t>
        </is>
      </c>
      <c r="C1492" s="398" t="inlineStr">
        <is>
          <t>Công ty Xây Dựng Thủy Lợi Mạnh Hùng - A Quyết - 0967.316.088, A Hải -0962.026.549</t>
        </is>
      </c>
      <c r="D1492" s="397" t="inlineStr">
        <is>
          <t>0967.316.088 / 0962.026.549</t>
        </is>
      </c>
      <c r="E1492" s="399" t="n"/>
      <c r="F1492" s="398" t="inlineStr">
        <is>
          <t>113/21A Năm Châu, P hường 11 Quận Tân Bình TP HCM</t>
        </is>
      </c>
      <c r="G1492" s="397" t="inlineStr">
        <is>
          <t>SG/HCM</t>
        </is>
      </c>
      <c r="H1492" s="399" t="n"/>
      <c r="J1492" s="392">
        <f>IFERROR(UPPER(TRIM(B1492))&amp;"|"&amp;UPPER(TRIM(C1492))&amp;"|"&amp;UPPER(TRIM(D1492)),"")</f>
        <v/>
      </c>
    </row>
    <row r="1493" ht="15.75" customHeight="1" s="217">
      <c r="A1493" s="400" t="n">
        <v>1491</v>
      </c>
      <c r="B1493" s="400" t="inlineStr">
        <is>
          <t>KH2295</t>
        </is>
      </c>
      <c r="C1493" s="401" t="inlineStr">
        <is>
          <t>Công ty TNHH TMDV Garage Phú Hoàng / 0979.677.085</t>
        </is>
      </c>
      <c r="D1493" s="400" t="inlineStr">
        <is>
          <t>0979.677.085</t>
        </is>
      </c>
      <c r="E1493" s="402" t="n"/>
      <c r="F1493" s="401" t="inlineStr">
        <is>
          <t>Tổ 2, ấp 6, Xã Tóc Tiên, TX Phú Mỹ, Bà Rịa Vũng Tàu</t>
        </is>
      </c>
      <c r="G1493" s="400" t="inlineStr">
        <is>
          <t>BRVT</t>
        </is>
      </c>
      <c r="H1493" s="402" t="n"/>
      <c r="J1493" s="392">
        <f>IFERROR(UPPER(TRIM(B1493))&amp;"|"&amp;UPPER(TRIM(C1493))&amp;"|"&amp;UPPER(TRIM(D1493)),"")</f>
        <v/>
      </c>
    </row>
    <row r="1494" ht="15.75" customHeight="1" s="217">
      <c r="A1494" s="397" t="n">
        <v>1492</v>
      </c>
      <c r="B1494" s="397" t="inlineStr">
        <is>
          <t>KH2293</t>
        </is>
      </c>
      <c r="C1494" s="398" t="inlineStr">
        <is>
          <t>Xưởng Tiện Anh Tuấn - Tân Hiệp - Biên Hòa/ 0908.946.654</t>
        </is>
      </c>
      <c r="D1494" s="397" t="inlineStr">
        <is>
          <t>0908.946.654</t>
        </is>
      </c>
      <c r="E1494" s="399" t="n"/>
      <c r="F1494" s="398" t="inlineStr">
        <is>
          <t>Chân cầu vượt AMATA, Biên Hòa - Đồng Nai</t>
        </is>
      </c>
      <c r="G1494" s="397" t="inlineStr">
        <is>
          <t>ÐNAI</t>
        </is>
      </c>
      <c r="H1494" s="399" t="n"/>
      <c r="J1494" s="392">
        <f>IFERROR(UPPER(TRIM(B1494))&amp;"|"&amp;UPPER(TRIM(C1494))&amp;"|"&amp;UPPER(TRIM(D1494)),"")</f>
        <v/>
      </c>
    </row>
    <row r="1495" ht="15.75" customHeight="1" s="217">
      <c r="A1495" s="400" t="n">
        <v>1493</v>
      </c>
      <c r="B1495" s="400" t="inlineStr">
        <is>
          <t>KH2292</t>
        </is>
      </c>
      <c r="C1495" s="401" t="inlineStr">
        <is>
          <t>Anh Thịnh - Đồng Nai/ 0937.090.990</t>
        </is>
      </c>
      <c r="D1495" s="400" t="inlineStr">
        <is>
          <t>0937.090.990</t>
        </is>
      </c>
      <c r="E1495" s="402" t="n"/>
      <c r="F1495" s="401" t="inlineStr">
        <is>
          <t>Xuân Lộc, Đồng Nai</t>
        </is>
      </c>
      <c r="G1495" s="400" t="inlineStr">
        <is>
          <t>ÐNAI</t>
        </is>
      </c>
      <c r="H1495" s="402" t="n"/>
      <c r="J1495" s="392">
        <f>IFERROR(UPPER(TRIM(B1495))&amp;"|"&amp;UPPER(TRIM(C1495))&amp;"|"&amp;UPPER(TRIM(D1495)),"")</f>
        <v/>
      </c>
    </row>
    <row r="1496" ht="15.75" customHeight="1" s="217">
      <c r="A1496" s="397" t="n">
        <v>1494</v>
      </c>
      <c r="B1496" s="397" t="inlineStr">
        <is>
          <t>KH2291</t>
        </is>
      </c>
      <c r="C1496" s="398" t="inlineStr">
        <is>
          <t>Gara Minh Hiếu - Bà Rịa Vũng Tàu/ 0797.199.128</t>
        </is>
      </c>
      <c r="D1496" s="397" t="inlineStr">
        <is>
          <t>0797.199.128</t>
        </is>
      </c>
      <c r="E1496" s="399" t="n"/>
      <c r="F1496" s="398" t="inlineStr">
        <is>
          <t>Vũng Tàu</t>
        </is>
      </c>
      <c r="G1496" s="397" t="inlineStr">
        <is>
          <t>BRVT</t>
        </is>
      </c>
      <c r="H1496" s="399" t="n"/>
      <c r="J1496" s="392">
        <f>IFERROR(UPPER(TRIM(B1496))&amp;"|"&amp;UPPER(TRIM(C1496))&amp;"|"&amp;UPPER(TRIM(D1496)),"")</f>
        <v/>
      </c>
    </row>
    <row r="1497" ht="15.75" customHeight="1" s="217">
      <c r="A1497" s="400" t="n">
        <v>1495</v>
      </c>
      <c r="B1497" s="400" t="inlineStr">
        <is>
          <t>KH2290</t>
        </is>
      </c>
      <c r="C1497" s="401" t="inlineStr">
        <is>
          <t>Xưởng tiện 668 quốc lộ 13 Sài Gòn /  Anh Thông 0908.296.644</t>
        </is>
      </c>
      <c r="D1497" s="400" t="inlineStr">
        <is>
          <t>0908.296.644</t>
        </is>
      </c>
      <c r="E1497" s="402" t="n"/>
      <c r="F1497" s="401" t="inlineStr">
        <is>
          <t>Ngõ 668, quốc lộ 13</t>
        </is>
      </c>
      <c r="G1497" s="400" t="inlineStr">
        <is>
          <t>SG/HCM</t>
        </is>
      </c>
      <c r="H1497" s="402" t="n"/>
      <c r="J1497" s="392">
        <f>IFERROR(UPPER(TRIM(B1497))&amp;"|"&amp;UPPER(TRIM(C1497))&amp;"|"&amp;UPPER(TRIM(D1497)),"")</f>
        <v/>
      </c>
    </row>
    <row r="1498" ht="15.75" customHeight="1" s="217">
      <c r="A1498" s="397" t="n">
        <v>1496</v>
      </c>
      <c r="B1498" s="397" t="inlineStr">
        <is>
          <t>KH2289</t>
        </is>
      </c>
      <c r="C1498" s="398" t="inlineStr">
        <is>
          <t>Anh Cường - Gara Nha Trang/ 0914.180.515</t>
        </is>
      </c>
      <c r="D1498" s="397" t="inlineStr">
        <is>
          <t>0914.180.515</t>
        </is>
      </c>
      <c r="E1498" s="399" t="n"/>
      <c r="F1498" s="398" t="inlineStr">
        <is>
          <t>Nha Trang - Khánh Hòa</t>
        </is>
      </c>
      <c r="G1498" s="397" t="inlineStr">
        <is>
          <t>NTRANG</t>
        </is>
      </c>
      <c r="H1498" s="399" t="n"/>
      <c r="J1498" s="392">
        <f>IFERROR(UPPER(TRIM(B1498))&amp;"|"&amp;UPPER(TRIM(C1498))&amp;"|"&amp;UPPER(TRIM(D1498)),"")</f>
        <v/>
      </c>
    </row>
    <row r="1499" ht="15.75" customHeight="1" s="217">
      <c r="A1499" s="400" t="n">
        <v>1497</v>
      </c>
      <c r="B1499" s="400" t="inlineStr">
        <is>
          <t>KH2288</t>
        </is>
      </c>
      <c r="C1499" s="401" t="inlineStr">
        <is>
          <t>Cửa hàng Cơ Giới Hải Tấn - Long An/ 0918.617.677</t>
        </is>
      </c>
      <c r="D1499" s="400" t="inlineStr">
        <is>
          <t>0918.617.677</t>
        </is>
      </c>
      <c r="E1499" s="402" t="n"/>
      <c r="F1499" s="401" t="inlineStr">
        <is>
          <t>Tân Hưng, Long An</t>
        </is>
      </c>
      <c r="G1499" s="400" t="inlineStr">
        <is>
          <t>LA</t>
        </is>
      </c>
      <c r="H1499" s="402" t="n"/>
      <c r="J1499" s="392">
        <f>IFERROR(UPPER(TRIM(B1499))&amp;"|"&amp;UPPER(TRIM(C1499))&amp;"|"&amp;UPPER(TRIM(D1499)),"")</f>
        <v/>
      </c>
    </row>
    <row r="1500" ht="15.75" customHeight="1" s="217">
      <c r="A1500" s="397" t="n">
        <v>1498</v>
      </c>
      <c r="B1500" s="397" t="inlineStr">
        <is>
          <t>KH2285</t>
        </is>
      </c>
      <c r="C1500" s="398" t="inlineStr">
        <is>
          <t>Anh Vũ - Lagi, Bình Thuận / 0908.391.126</t>
        </is>
      </c>
      <c r="D1500" s="397" t="inlineStr">
        <is>
          <t>0908.391.126</t>
        </is>
      </c>
      <c r="E1500" s="399" t="n"/>
      <c r="F1500" s="398" t="inlineStr">
        <is>
          <t>Lagi, Bình Thuận</t>
        </is>
      </c>
      <c r="G1500" s="397" t="inlineStr">
        <is>
          <t>BTHUAN</t>
        </is>
      </c>
      <c r="H1500" s="399" t="n"/>
      <c r="J1500" s="392">
        <f>IFERROR(UPPER(TRIM(B1500))&amp;"|"&amp;UPPER(TRIM(C1500))&amp;"|"&amp;UPPER(TRIM(D1500)),"")</f>
        <v/>
      </c>
    </row>
    <row r="1501" ht="15.75" customHeight="1" s="217">
      <c r="A1501" s="400" t="n">
        <v>1499</v>
      </c>
      <c r="B1501" s="400" t="inlineStr">
        <is>
          <t>KH2286</t>
        </is>
      </c>
      <c r="C1501" s="401" t="inlineStr">
        <is>
          <t>Anh Hiên - Tây Ninh/ 0989.025.855 (chủ máy)</t>
        </is>
      </c>
      <c r="D1501" s="400" t="inlineStr">
        <is>
          <t>0989.025.855</t>
        </is>
      </c>
      <c r="E1501" s="402" t="n"/>
      <c r="F1501" s="401" t="inlineStr">
        <is>
          <t>Tây Ninh</t>
        </is>
      </c>
      <c r="G1501" s="400" t="inlineStr">
        <is>
          <t>TNINH</t>
        </is>
      </c>
      <c r="H1501" s="402" t="n"/>
      <c r="J1501" s="392">
        <f>IFERROR(UPPER(TRIM(B1501))&amp;"|"&amp;UPPER(TRIM(C1501))&amp;"|"&amp;UPPER(TRIM(D1501)),"")</f>
        <v/>
      </c>
    </row>
    <row r="1502" ht="15.75" customHeight="1" s="217">
      <c r="A1502" s="397" t="n">
        <v>1500</v>
      </c>
      <c r="B1502" s="397" t="inlineStr">
        <is>
          <t>KH2287</t>
        </is>
      </c>
      <c r="C1502" s="398" t="inlineStr">
        <is>
          <t>Anh Năng - Tây Ninh - Cty Cao Su Thắng Lợi/ 0968.789.768</t>
        </is>
      </c>
      <c r="D1502" s="397" t="inlineStr">
        <is>
          <t>0968.789.768</t>
        </is>
      </c>
      <c r="E1502" s="399" t="n"/>
      <c r="F1502" s="398" t="inlineStr">
        <is>
          <t>Tây Ninh</t>
        </is>
      </c>
      <c r="G1502" s="397" t="inlineStr">
        <is>
          <t>TNINH</t>
        </is>
      </c>
      <c r="H1502" s="399" t="n"/>
      <c r="J1502" s="392">
        <f>IFERROR(UPPER(TRIM(B1502))&amp;"|"&amp;UPPER(TRIM(C1502))&amp;"|"&amp;UPPER(TRIM(D1502)),"")</f>
        <v/>
      </c>
    </row>
    <row r="1503" ht="15.75" customHeight="1" s="217">
      <c r="A1503" s="400" t="n">
        <v>1501</v>
      </c>
      <c r="B1503" s="400" t="inlineStr">
        <is>
          <t>KH2283</t>
        </is>
      </c>
      <c r="C1503" s="401" t="inlineStr">
        <is>
          <t>Anh Việt - Công ty Tân Bình - Vĩnh Long/ 0907.638.900</t>
        </is>
      </c>
      <c r="D1503" s="400" t="inlineStr">
        <is>
          <t>0907.638.900</t>
        </is>
      </c>
      <c r="E1503" s="402" t="n"/>
      <c r="F1503" s="401" t="inlineStr">
        <is>
          <t>Vĩnh Long</t>
        </is>
      </c>
      <c r="G1503" s="402" t="n"/>
      <c r="H1503" s="402" t="n"/>
      <c r="J1503" s="392">
        <f>IFERROR(UPPER(TRIM(B1503))&amp;"|"&amp;UPPER(TRIM(C1503))&amp;"|"&amp;UPPER(TRIM(D1503)),"")</f>
        <v/>
      </c>
    </row>
    <row r="1504" ht="15.75" customHeight="1" s="217">
      <c r="A1504" s="397" t="n">
        <v>1502</v>
      </c>
      <c r="B1504" s="397" t="inlineStr">
        <is>
          <t>KH2284</t>
        </is>
      </c>
      <c r="C1504" s="398" t="inlineStr">
        <is>
          <t>Công ty CP Đầu tư Pacific - Anh Việt</t>
        </is>
      </c>
      <c r="D1504" s="399" t="n"/>
      <c r="E1504" s="399" t="n"/>
      <c r="F1504" s="398" t="inlineStr">
        <is>
          <t>Sài gòn</t>
        </is>
      </c>
      <c r="G1504" s="397" t="inlineStr">
        <is>
          <t>SG/HCM</t>
        </is>
      </c>
      <c r="H1504" s="399" t="n"/>
      <c r="J1504" s="392">
        <f>IFERROR(UPPER(TRIM(B1504))&amp;"|"&amp;UPPER(TRIM(C1504))&amp;"|"&amp;UPPER(TRIM(D1504)),"")</f>
        <v/>
      </c>
    </row>
    <row r="1505" ht="15.75" customHeight="1" s="217">
      <c r="A1505" s="400" t="n">
        <v>1503</v>
      </c>
      <c r="B1505" s="400" t="inlineStr">
        <is>
          <t>KH2282</t>
        </is>
      </c>
      <c r="C1505" s="401" t="inlineStr">
        <is>
          <t>Công ty Bình Minh - Hà Nội / Phong 0987.322.655</t>
        </is>
      </c>
      <c r="D1505" s="400" t="inlineStr">
        <is>
          <t>0987.322.655</t>
        </is>
      </c>
      <c r="E1505" s="402" t="n"/>
      <c r="F1505" s="401" t="inlineStr">
        <is>
          <t>Hà Nội</t>
        </is>
      </c>
      <c r="G1505" s="400" t="inlineStr">
        <is>
          <t>HN</t>
        </is>
      </c>
      <c r="H1505" s="402" t="n"/>
      <c r="J1505" s="392">
        <f>IFERROR(UPPER(TRIM(B1505))&amp;"|"&amp;UPPER(TRIM(C1505))&amp;"|"&amp;UPPER(TRIM(D1505)),"")</f>
        <v/>
      </c>
    </row>
    <row r="1506" ht="15.75" customHeight="1" s="217">
      <c r="A1506" s="397" t="n">
        <v>1504</v>
      </c>
      <c r="B1506" s="397" t="inlineStr">
        <is>
          <t>KH2281</t>
        </is>
      </c>
      <c r="C1506" s="398" t="inlineStr">
        <is>
          <t>Anh Khánh - Gia Lai/ 0987.302.768</t>
        </is>
      </c>
      <c r="D1506" s="397" t="inlineStr">
        <is>
          <t>0987.302.768</t>
        </is>
      </c>
      <c r="E1506" s="399" t="n"/>
      <c r="F1506" s="398" t="inlineStr">
        <is>
          <t>Gia Lai</t>
        </is>
      </c>
      <c r="G1506" s="397" t="inlineStr">
        <is>
          <t>GLAI</t>
        </is>
      </c>
      <c r="H1506" s="399" t="n"/>
      <c r="J1506" s="392">
        <f>IFERROR(UPPER(TRIM(B1506))&amp;"|"&amp;UPPER(TRIM(C1506))&amp;"|"&amp;UPPER(TRIM(D1506)),"")</f>
        <v/>
      </c>
    </row>
    <row r="1507" ht="15.75" customHeight="1" s="217">
      <c r="A1507" s="400" t="n">
        <v>1505</v>
      </c>
      <c r="B1507" s="400" t="inlineStr">
        <is>
          <t>KH2280</t>
        </is>
      </c>
      <c r="C1507" s="401" t="inlineStr">
        <is>
          <t>Cửa hàng  Phúc Thọ - Xuân Lộc - Đồng Nai / 0988.887.974</t>
        </is>
      </c>
      <c r="D1507" s="400" t="inlineStr">
        <is>
          <t>0988.887.974</t>
        </is>
      </c>
      <c r="E1507" s="402" t="n"/>
      <c r="F1507" s="401" t="inlineStr">
        <is>
          <t>Xuân Lộc, Đồng Nai</t>
        </is>
      </c>
      <c r="G1507" s="400" t="inlineStr">
        <is>
          <t>ÐNAI</t>
        </is>
      </c>
      <c r="H1507" s="402" t="n"/>
      <c r="J1507" s="392">
        <f>IFERROR(UPPER(TRIM(B1507))&amp;"|"&amp;UPPER(TRIM(C1507))&amp;"|"&amp;UPPER(TRIM(D1507)),"")</f>
        <v/>
      </c>
    </row>
    <row r="1508" ht="15.75" customHeight="1" s="217">
      <c r="A1508" s="397" t="n">
        <v>1506</v>
      </c>
      <c r="B1508" s="397" t="inlineStr">
        <is>
          <t>KH2279</t>
        </is>
      </c>
      <c r="C1508" s="398" t="inlineStr">
        <is>
          <t>Xưởng Cơ Khí Duân - Sài Gòn/ Mr. Duân - 0915.620.671; A Vũ 0919.165.435</t>
        </is>
      </c>
      <c r="D1508" s="397" t="inlineStr">
        <is>
          <t>0915.620.671 / 0919.165.435</t>
        </is>
      </c>
      <c r="E1508" s="399" t="n"/>
      <c r="F1508" s="398" t="inlineStr">
        <is>
          <t>Quốc Lộ 13, HCM</t>
        </is>
      </c>
      <c r="G1508" s="397" t="inlineStr">
        <is>
          <t>SG/HCM</t>
        </is>
      </c>
      <c r="H1508" s="399" t="n"/>
      <c r="J1508" s="392">
        <f>IFERROR(UPPER(TRIM(B1508))&amp;"|"&amp;UPPER(TRIM(C1508))&amp;"|"&amp;UPPER(TRIM(D1508)),"")</f>
        <v/>
      </c>
    </row>
    <row r="1509" ht="15.75" customHeight="1" s="217">
      <c r="A1509" s="400" t="n">
        <v>1507</v>
      </c>
      <c r="B1509" s="400" t="inlineStr">
        <is>
          <t>BONAI</t>
        </is>
      </c>
      <c r="C1509" s="401" t="inlineStr">
        <is>
          <t>WENZHOU BOBANG AUTO PARTS CO.,LTD (BONAI nap sinh han)</t>
        </is>
      </c>
      <c r="D1509" s="402" t="n"/>
      <c r="E1509" s="402" t="n"/>
      <c r="F1509" s="401" t="inlineStr">
        <is>
          <t>NO.477,Jihong Road,Louqiao Park,Ouhai Economic Development Zone, Wenzhou, Zhejiang, China</t>
        </is>
      </c>
      <c r="G1509" s="402" t="n"/>
      <c r="H1509" s="402" t="n"/>
      <c r="J1509" s="392">
        <f>IFERROR(UPPER(TRIM(B1509))&amp;"|"&amp;UPPER(TRIM(C1509))&amp;"|"&amp;UPPER(TRIM(D1509)),"")</f>
        <v/>
      </c>
    </row>
    <row r="1510" ht="15.75" customHeight="1" s="217">
      <c r="A1510" s="397" t="n">
        <v>1508</v>
      </c>
      <c r="B1510" s="397" t="inlineStr">
        <is>
          <t>KH2278</t>
        </is>
      </c>
      <c r="C1510" s="398" t="inlineStr">
        <is>
          <t>Xưởng Anh Tuấn - Cầu Ngang, Trà Vinh / 0338.550.344</t>
        </is>
      </c>
      <c r="D1510" s="397" t="inlineStr">
        <is>
          <t>0338.550.344</t>
        </is>
      </c>
      <c r="E1510" s="399" t="n"/>
      <c r="F1510" s="398" t="inlineStr">
        <is>
          <t>Cầu Ngang, Trà Vinh</t>
        </is>
      </c>
      <c r="G1510" s="397" t="inlineStr">
        <is>
          <t>TV</t>
        </is>
      </c>
      <c r="H1510" s="399" t="n"/>
      <c r="J1510" s="392">
        <f>IFERROR(UPPER(TRIM(B1510))&amp;"|"&amp;UPPER(TRIM(C1510))&amp;"|"&amp;UPPER(TRIM(D1510)),"")</f>
        <v/>
      </c>
    </row>
    <row r="1511" ht="15.75" customHeight="1" s="217">
      <c r="A1511" s="400" t="n">
        <v>1509</v>
      </c>
      <c r="B1511" s="400" t="inlineStr">
        <is>
          <t>KH2277</t>
        </is>
      </c>
      <c r="C1511" s="401" t="inlineStr">
        <is>
          <t>Công ty Bê Tông Tiền Phong / A Phong 0903.815.900, A Sơn 0909.263.227</t>
        </is>
      </c>
      <c r="D1511" s="400" t="inlineStr">
        <is>
          <t>0903.815.900 / 0909.263.227</t>
        </is>
      </c>
      <c r="E1511" s="402" t="n"/>
      <c r="F1511" s="401" t="inlineStr">
        <is>
          <t>36 Điện Biên Phủ, Bình Thạnh, Sài Gòn</t>
        </is>
      </c>
      <c r="G1511" s="400" t="inlineStr">
        <is>
          <t>SG/HCM</t>
        </is>
      </c>
      <c r="H1511" s="402" t="n"/>
      <c r="J1511" s="392">
        <f>IFERROR(UPPER(TRIM(B1511))&amp;"|"&amp;UPPER(TRIM(C1511))&amp;"|"&amp;UPPER(TRIM(D1511)),"")</f>
        <v/>
      </c>
    </row>
    <row r="1512" ht="15.75" customHeight="1" s="217">
      <c r="A1512" s="397" t="n">
        <v>1510</v>
      </c>
      <c r="B1512" s="397" t="inlineStr">
        <is>
          <t>KH2276</t>
        </is>
      </c>
      <c r="C1512" s="398" t="inlineStr">
        <is>
          <t>Xưởng Tiện Phú Tài - Linh Xuân, Thủ Đức, SG/ 0909.446.745</t>
        </is>
      </c>
      <c r="D1512" s="397" t="inlineStr">
        <is>
          <t>0909.446.745</t>
        </is>
      </c>
      <c r="E1512" s="399" t="n"/>
      <c r="F1512" s="398" t="inlineStr">
        <is>
          <t>451 quốc lộ 1A, Linh Xuân, Thủ Đức</t>
        </is>
      </c>
      <c r="G1512" s="397" t="inlineStr">
        <is>
          <t>SG/HCM</t>
        </is>
      </c>
      <c r="H1512" s="399" t="n"/>
      <c r="J1512" s="392">
        <f>IFERROR(UPPER(TRIM(B1512))&amp;"|"&amp;UPPER(TRIM(C1512))&amp;"|"&amp;UPPER(TRIM(D1512)),"")</f>
        <v/>
      </c>
    </row>
    <row r="1513" ht="15.75" customHeight="1" s="217">
      <c r="A1513" s="400" t="n">
        <v>1511</v>
      </c>
      <c r="B1513" s="400" t="inlineStr">
        <is>
          <t>KH2275</t>
        </is>
      </c>
      <c r="C1513" s="401" t="inlineStr">
        <is>
          <t>Anh Duy Gara - Thanh Hóa - 0918.860.780 / 0903.975.387</t>
        </is>
      </c>
      <c r="D1513" s="400" t="inlineStr">
        <is>
          <t>0918.860.780 / 0903.975.387</t>
        </is>
      </c>
      <c r="E1513" s="402" t="n"/>
      <c r="F1513" s="401" t="inlineStr">
        <is>
          <t>Thanh Hóa (gần Nghệ An)</t>
        </is>
      </c>
      <c r="G1513" s="402" t="n"/>
      <c r="H1513" s="402" t="n"/>
      <c r="J1513" s="392">
        <f>IFERROR(UPPER(TRIM(B1513))&amp;"|"&amp;UPPER(TRIM(C1513))&amp;"|"&amp;UPPER(TRIM(D1513)),"")</f>
        <v/>
      </c>
    </row>
    <row r="1514" ht="15.75" customHeight="1" s="217">
      <c r="A1514" s="397" t="n">
        <v>1512</v>
      </c>
      <c r="B1514" s="397" t="inlineStr">
        <is>
          <t>KH2274</t>
        </is>
      </c>
      <c r="C1514" s="398" t="inlineStr">
        <is>
          <t>Anh Thuận - Bà Rịa Vũng Tàu/ 0903.727.235</t>
        </is>
      </c>
      <c r="D1514" s="397" t="inlineStr">
        <is>
          <t>0903.727.235</t>
        </is>
      </c>
      <c r="E1514" s="399" t="n"/>
      <c r="F1514" s="398" t="inlineStr">
        <is>
          <t>Vũng Tàu</t>
        </is>
      </c>
      <c r="G1514" s="397" t="inlineStr">
        <is>
          <t>BRVT</t>
        </is>
      </c>
      <c r="H1514" s="399" t="n"/>
      <c r="J1514" s="392">
        <f>IFERROR(UPPER(TRIM(B1514))&amp;"|"&amp;UPPER(TRIM(C1514))&amp;"|"&amp;UPPER(TRIM(D1514)),"")</f>
        <v/>
      </c>
    </row>
    <row r="1515" ht="15.75" customHeight="1" s="217">
      <c r="A1515" s="400" t="n">
        <v>1513</v>
      </c>
      <c r="B1515" s="400" t="inlineStr">
        <is>
          <t>KH2273</t>
        </is>
      </c>
      <c r="C1515" s="401" t="inlineStr">
        <is>
          <t>Anh Ba - Vĩnh Long/ 0838.006.869</t>
        </is>
      </c>
      <c r="D1515" s="400" t="inlineStr">
        <is>
          <t>0838.006.869</t>
        </is>
      </c>
      <c r="E1515" s="402" t="n"/>
      <c r="F1515" s="401" t="inlineStr">
        <is>
          <t>Vĩnh Long</t>
        </is>
      </c>
      <c r="G1515" s="400" t="inlineStr">
        <is>
          <t>VĨNH LONG</t>
        </is>
      </c>
      <c r="H1515" s="402" t="n"/>
      <c r="J1515" s="392">
        <f>IFERROR(UPPER(TRIM(B1515))&amp;"|"&amp;UPPER(TRIM(C1515))&amp;"|"&amp;UPPER(TRIM(D1515)),"")</f>
        <v/>
      </c>
    </row>
    <row r="1516" ht="15.75" customHeight="1" s="217">
      <c r="A1516" s="397" t="n">
        <v>1514</v>
      </c>
      <c r="B1516" s="397" t="inlineStr">
        <is>
          <t>KH2272</t>
        </is>
      </c>
      <c r="C1516" s="398" t="inlineStr">
        <is>
          <t>Anh Hảo - Hậu Giang/ 0909.098.057</t>
        </is>
      </c>
      <c r="D1516" s="397" t="inlineStr">
        <is>
          <t>0909.098.057</t>
        </is>
      </c>
      <c r="E1516" s="399" t="n"/>
      <c r="F1516" s="398" t="inlineStr">
        <is>
          <t>Hậu Giang</t>
        </is>
      </c>
      <c r="G1516" s="397" t="inlineStr">
        <is>
          <t>HG</t>
        </is>
      </c>
      <c r="H1516" s="399" t="n"/>
      <c r="J1516" s="392">
        <f>IFERROR(UPPER(TRIM(B1516))&amp;"|"&amp;UPPER(TRIM(C1516))&amp;"|"&amp;UPPER(TRIM(D1516)),"")</f>
        <v/>
      </c>
    </row>
    <row r="1517" ht="15.75" customHeight="1" s="217">
      <c r="A1517" s="400" t="n">
        <v>1515</v>
      </c>
      <c r="B1517" s="400" t="inlineStr">
        <is>
          <t>KH2271</t>
        </is>
      </c>
      <c r="C1517" s="401" t="inlineStr">
        <is>
          <t>Anh Sáu - Tri Tôn - An Giang/ 0972.777.189</t>
        </is>
      </c>
      <c r="D1517" s="400" t="inlineStr">
        <is>
          <t>0972.777.189</t>
        </is>
      </c>
      <c r="E1517" s="402" t="n"/>
      <c r="F1517" s="401" t="inlineStr">
        <is>
          <t>Tri Tôn - An Giang</t>
        </is>
      </c>
      <c r="G1517" s="400" t="inlineStr">
        <is>
          <t>ANGIANG</t>
        </is>
      </c>
      <c r="H1517" s="402" t="n"/>
      <c r="J1517" s="392">
        <f>IFERROR(UPPER(TRIM(B1517))&amp;"|"&amp;UPPER(TRIM(C1517))&amp;"|"&amp;UPPER(TRIM(D1517)),"")</f>
        <v/>
      </c>
    </row>
    <row r="1518" ht="15.75" customHeight="1" s="217">
      <c r="A1518" s="397" t="n">
        <v>1516</v>
      </c>
      <c r="B1518" s="397" t="inlineStr">
        <is>
          <t>COSTEX</t>
        </is>
      </c>
      <c r="C1518" s="398" t="inlineStr">
        <is>
          <t>COSTEX TRACTOR PARTS</t>
        </is>
      </c>
      <c r="D1518" s="399" t="n"/>
      <c r="E1518" s="399" t="n"/>
      <c r="F1518" s="398" t="inlineStr">
        <is>
          <t>6100, N.W. 77 COURT, MIAMI, FLORIDA 33166, USA</t>
        </is>
      </c>
      <c r="G1518" s="399" t="n"/>
      <c r="H1518" s="399" t="n"/>
      <c r="J1518" s="392">
        <f>IFERROR(UPPER(TRIM(B1518))&amp;"|"&amp;UPPER(TRIM(C1518))&amp;"|"&amp;UPPER(TRIM(D1518)),"")</f>
        <v/>
      </c>
    </row>
    <row r="1519" ht="15.75" customHeight="1" s="217">
      <c r="A1519" s="400" t="n">
        <v>1517</v>
      </c>
      <c r="B1519" s="400" t="inlineStr">
        <is>
          <t>KH2270</t>
        </is>
      </c>
      <c r="C1519" s="401" t="inlineStr">
        <is>
          <t>A Bảo - Đồng Nai/ 0939.741.469</t>
        </is>
      </c>
      <c r="D1519" s="400" t="inlineStr">
        <is>
          <t>0939.741.469</t>
        </is>
      </c>
      <c r="E1519" s="402" t="n"/>
      <c r="F1519" s="401" t="inlineStr">
        <is>
          <t>Đồng Nai</t>
        </is>
      </c>
      <c r="G1519" s="400" t="inlineStr">
        <is>
          <t>ÐNAI</t>
        </is>
      </c>
      <c r="H1519" s="402" t="n"/>
      <c r="J1519" s="392">
        <f>IFERROR(UPPER(TRIM(B1519))&amp;"|"&amp;UPPER(TRIM(C1519))&amp;"|"&amp;UPPER(TRIM(D1519)),"")</f>
        <v/>
      </c>
    </row>
    <row r="1520" ht="15.75" customHeight="1" s="217">
      <c r="A1520" s="397" t="n">
        <v>1518</v>
      </c>
      <c r="B1520" s="397" t="inlineStr">
        <is>
          <t>KH2269</t>
        </is>
      </c>
      <c r="C1520" s="398" t="inlineStr">
        <is>
          <t>Anh Điệp - Tân Phú, Đồng Nai / 0919.805.070</t>
        </is>
      </c>
      <c r="D1520" s="397" t="inlineStr">
        <is>
          <t>0919.805.070</t>
        </is>
      </c>
      <c r="E1520" s="399" t="n"/>
      <c r="F1520" s="398" t="inlineStr">
        <is>
          <t>Tân Phú - Đồng Nai</t>
        </is>
      </c>
      <c r="G1520" s="397" t="inlineStr">
        <is>
          <t>ÐNAI</t>
        </is>
      </c>
      <c r="H1520" s="399" t="n"/>
      <c r="J1520" s="392">
        <f>IFERROR(UPPER(TRIM(B1520))&amp;"|"&amp;UPPER(TRIM(C1520))&amp;"|"&amp;UPPER(TRIM(D1520)),"")</f>
        <v/>
      </c>
    </row>
    <row r="1521" ht="15.75" customHeight="1" s="217">
      <c r="A1521" s="400" t="n">
        <v>1519</v>
      </c>
      <c r="B1521" s="400" t="inlineStr">
        <is>
          <t>KH2268</t>
        </is>
      </c>
      <c r="C1521" s="401" t="inlineStr">
        <is>
          <t>Anh Trí - SG/ 0988.203.551</t>
        </is>
      </c>
      <c r="D1521" s="400" t="inlineStr">
        <is>
          <t>0988.203.551</t>
        </is>
      </c>
      <c r="E1521" s="402" t="n"/>
      <c r="F1521" s="401" t="inlineStr">
        <is>
          <t>Sài Gòn</t>
        </is>
      </c>
      <c r="G1521" s="400" t="inlineStr">
        <is>
          <t>SG/HCM</t>
        </is>
      </c>
      <c r="H1521" s="402" t="n"/>
      <c r="J1521" s="392">
        <f>IFERROR(UPPER(TRIM(B1521))&amp;"|"&amp;UPPER(TRIM(C1521))&amp;"|"&amp;UPPER(TRIM(D1521)),"")</f>
        <v/>
      </c>
    </row>
    <row r="1522" ht="15.75" customHeight="1" s="217">
      <c r="A1522" s="397" t="n">
        <v>1520</v>
      </c>
      <c r="B1522" s="397" t="inlineStr">
        <is>
          <t>KH2267</t>
        </is>
      </c>
      <c r="C1522" s="398" t="inlineStr">
        <is>
          <t>Anh Tín - Bảo Lộc/ 0394.994.771</t>
        </is>
      </c>
      <c r="D1522" s="397" t="inlineStr">
        <is>
          <t>0394.994.771</t>
        </is>
      </c>
      <c r="E1522" s="399" t="n"/>
      <c r="F1522" s="398" t="inlineStr">
        <is>
          <t>Bảo Lộc, Lâm Đồng</t>
        </is>
      </c>
      <c r="G1522" s="397" t="inlineStr">
        <is>
          <t>LDONG</t>
        </is>
      </c>
      <c r="H1522" s="399" t="n"/>
      <c r="J1522" s="392">
        <f>IFERROR(UPPER(TRIM(B1522))&amp;"|"&amp;UPPER(TRIM(C1522))&amp;"|"&amp;UPPER(TRIM(D1522)),"")</f>
        <v/>
      </c>
    </row>
    <row r="1523" ht="15.75" customHeight="1" s="217">
      <c r="A1523" s="400" t="n">
        <v>1521</v>
      </c>
      <c r="B1523" s="400" t="inlineStr">
        <is>
          <t>KH2265</t>
        </is>
      </c>
      <c r="C1523" s="401" t="inlineStr">
        <is>
          <t>Anh Linh - Tân Cảng Cái Mép/ 0977.977.025</t>
        </is>
      </c>
      <c r="D1523" s="400" t="inlineStr">
        <is>
          <t>0977.977.025</t>
        </is>
      </c>
      <c r="E1523" s="402" t="n"/>
      <c r="F1523" s="401" t="inlineStr">
        <is>
          <t>Cái Mép, Vũng Tàu</t>
        </is>
      </c>
      <c r="G1523" s="400" t="inlineStr">
        <is>
          <t>SG/HCM</t>
        </is>
      </c>
      <c r="H1523" s="402" t="n"/>
      <c r="J1523" s="392">
        <f>IFERROR(UPPER(TRIM(B1523))&amp;"|"&amp;UPPER(TRIM(C1523))&amp;"|"&amp;UPPER(TRIM(D1523)),"")</f>
        <v/>
      </c>
    </row>
    <row r="1524" ht="15.75" customHeight="1" s="217">
      <c r="A1524" s="397" t="n">
        <v>1522</v>
      </c>
      <c r="B1524" s="397" t="inlineStr">
        <is>
          <t>KH2266</t>
        </is>
      </c>
      <c r="C1524" s="398" t="inlineStr">
        <is>
          <t>Anh Nga - Bình Quới, SG/ 0913.445.377</t>
        </is>
      </c>
      <c r="D1524" s="397" t="inlineStr">
        <is>
          <t>0913.445.377</t>
        </is>
      </c>
      <c r="E1524" s="399" t="n"/>
      <c r="F1524" s="398" t="inlineStr">
        <is>
          <t>Bình Quới, Sài Gòn</t>
        </is>
      </c>
      <c r="G1524" s="397" t="inlineStr">
        <is>
          <t>SG/HCM</t>
        </is>
      </c>
      <c r="H1524" s="399" t="n"/>
      <c r="J1524" s="392">
        <f>IFERROR(UPPER(TRIM(B1524))&amp;"|"&amp;UPPER(TRIM(C1524))&amp;"|"&amp;UPPER(TRIM(D1524)),"")</f>
        <v/>
      </c>
    </row>
    <row r="1525" ht="15.75" customHeight="1" s="217">
      <c r="A1525" s="400" t="n">
        <v>1523</v>
      </c>
      <c r="B1525" s="400" t="inlineStr">
        <is>
          <t>KH2264</t>
        </is>
      </c>
      <c r="C1525" s="401" t="inlineStr">
        <is>
          <t>Anh Thiện - Hà Nội - 0977.156.622</t>
        </is>
      </c>
      <c r="D1525" s="400" t="inlineStr">
        <is>
          <t>0977.156.622</t>
        </is>
      </c>
      <c r="E1525" s="402" t="n"/>
      <c r="F1525" s="401" t="inlineStr">
        <is>
          <t>Hà Nội</t>
        </is>
      </c>
      <c r="G1525" s="400" t="inlineStr">
        <is>
          <t>HN</t>
        </is>
      </c>
      <c r="H1525" s="402" t="n"/>
      <c r="J1525" s="392">
        <f>IFERROR(UPPER(TRIM(B1525))&amp;"|"&amp;UPPER(TRIM(C1525))&amp;"|"&amp;UPPER(TRIM(D1525)),"")</f>
        <v/>
      </c>
    </row>
    <row r="1526" ht="15.75" customHeight="1" s="217">
      <c r="A1526" s="397" t="n">
        <v>1524</v>
      </c>
      <c r="B1526" s="397" t="inlineStr">
        <is>
          <t>KH2263</t>
        </is>
      </c>
      <c r="C1526" s="398" t="inlineStr">
        <is>
          <t>Xưởng Anh Giang - Sài Gòn - 0783.451.678</t>
        </is>
      </c>
      <c r="D1526" s="397" t="inlineStr">
        <is>
          <t>783451678 / 0783.451.678</t>
        </is>
      </c>
      <c r="E1526" s="399" t="n"/>
      <c r="F1526" s="398" t="inlineStr">
        <is>
          <t>Bưng Ông Thoàn, Quận 9, Sài Gòn</t>
        </is>
      </c>
      <c r="G1526" s="397" t="inlineStr">
        <is>
          <t>SG/HCM</t>
        </is>
      </c>
      <c r="H1526" s="399" t="n"/>
      <c r="J1526" s="392">
        <f>IFERROR(UPPER(TRIM(B1526))&amp;"|"&amp;UPPER(TRIM(C1526))&amp;"|"&amp;UPPER(TRIM(D1526)),"")</f>
        <v/>
      </c>
    </row>
    <row r="1527" ht="15.75" customHeight="1" s="217">
      <c r="A1527" s="400" t="n">
        <v>1525</v>
      </c>
      <c r="B1527" s="400" t="inlineStr">
        <is>
          <t>KH2262</t>
        </is>
      </c>
      <c r="C1527" s="401" t="inlineStr">
        <is>
          <t>Anh Khôi - Bù Đăng - Bình Phước - 0978.962.963</t>
        </is>
      </c>
      <c r="D1527" s="400" t="inlineStr">
        <is>
          <t>0978.962.963</t>
        </is>
      </c>
      <c r="E1527" s="402" t="n"/>
      <c r="F1527" s="401" t="inlineStr">
        <is>
          <t>Bù Đăng - Bình Phước</t>
        </is>
      </c>
      <c r="G1527" s="400" t="inlineStr">
        <is>
          <t>BP</t>
        </is>
      </c>
      <c r="H1527" s="402" t="n"/>
      <c r="J1527" s="392">
        <f>IFERROR(UPPER(TRIM(B1527))&amp;"|"&amp;UPPER(TRIM(C1527))&amp;"|"&amp;UPPER(TRIM(D1527)),"")</f>
        <v/>
      </c>
    </row>
    <row r="1528" ht="15.75" customHeight="1" s="217">
      <c r="A1528" s="397" t="n">
        <v>1526</v>
      </c>
      <c r="B1528" s="397" t="inlineStr">
        <is>
          <t>TOANTHINH</t>
        </is>
      </c>
      <c r="C1528" s="398" t="inlineStr">
        <is>
          <t>Công ty TNHH Phát Triển Giao Thông Toàn Thịnh/ Chị Hồng (kế toán) 0369.740.652</t>
        </is>
      </c>
      <c r="D1528" s="397" t="inlineStr">
        <is>
          <t>0369.740.652</t>
        </is>
      </c>
      <c r="E1528" s="399" t="n"/>
      <c r="F1528" s="398" t="inlineStr">
        <is>
          <t>Km 10 Quốc Lộ 1A, An Phú, TP Tuy Hòa, Phú Yên</t>
        </is>
      </c>
      <c r="G1528" s="399" t="n"/>
      <c r="H1528" s="399" t="n"/>
      <c r="J1528" s="392">
        <f>IFERROR(UPPER(TRIM(B1528))&amp;"|"&amp;UPPER(TRIM(C1528))&amp;"|"&amp;UPPER(TRIM(D1528)),"")</f>
        <v/>
      </c>
    </row>
    <row r="1529" ht="15.75" customHeight="1" s="217">
      <c r="A1529" s="400" t="n">
        <v>1527</v>
      </c>
      <c r="B1529" s="400" t="inlineStr">
        <is>
          <t>KH2261</t>
        </is>
      </c>
      <c r="C1529" s="401" t="inlineStr">
        <is>
          <t>Xưởng Anh Dương - Suối Tiên, SG/ 0903.831.651</t>
        </is>
      </c>
      <c r="D1529" s="400" t="inlineStr">
        <is>
          <t>0903.831.651</t>
        </is>
      </c>
      <c r="E1529" s="402" t="n"/>
      <c r="F1529" s="401" t="inlineStr">
        <is>
          <t>Sài Gòn</t>
        </is>
      </c>
      <c r="G1529" s="400" t="inlineStr">
        <is>
          <t>SG/HCM</t>
        </is>
      </c>
      <c r="H1529" s="402" t="n"/>
      <c r="J1529" s="392">
        <f>IFERROR(UPPER(TRIM(B1529))&amp;"|"&amp;UPPER(TRIM(C1529))&amp;"|"&amp;UPPER(TRIM(D1529)),"")</f>
        <v/>
      </c>
    </row>
    <row r="1530" ht="15.75" customHeight="1" s="217">
      <c r="A1530" s="397" t="n">
        <v>1528</v>
      </c>
      <c r="B1530" s="397" t="inlineStr">
        <is>
          <t>KH2260</t>
        </is>
      </c>
      <c r="C1530" s="398" t="inlineStr">
        <is>
          <t>Anh Hiền - Sài Gòn / 0989.222.517</t>
        </is>
      </c>
      <c r="D1530" s="397" t="inlineStr">
        <is>
          <t>0989.222.517</t>
        </is>
      </c>
      <c r="E1530" s="399" t="n"/>
      <c r="F1530" s="398" t="inlineStr">
        <is>
          <t>sài gòn</t>
        </is>
      </c>
      <c r="G1530" s="399" t="n"/>
      <c r="H1530" s="399" t="n"/>
      <c r="J1530" s="392">
        <f>IFERROR(UPPER(TRIM(B1530))&amp;"|"&amp;UPPER(TRIM(C1530))&amp;"|"&amp;UPPER(TRIM(D1530)),"")</f>
        <v/>
      </c>
    </row>
    <row r="1531" ht="15.75" customHeight="1" s="217">
      <c r="A1531" s="400" t="n">
        <v>1529</v>
      </c>
      <c r="B1531" s="400" t="inlineStr">
        <is>
          <t>KH2259</t>
        </is>
      </c>
      <c r="C1531" s="401" t="inlineStr">
        <is>
          <t>Xưởng anh Thắng - Tân Vạn/ 0962.447.005</t>
        </is>
      </c>
      <c r="D1531" s="400" t="inlineStr">
        <is>
          <t>0962.447.005</t>
        </is>
      </c>
      <c r="E1531" s="402" t="n"/>
      <c r="F1531" s="401" t="inlineStr">
        <is>
          <t>Tân Vạn, Bình Dương</t>
        </is>
      </c>
      <c r="G1531" s="400" t="inlineStr">
        <is>
          <t>BDUONG</t>
        </is>
      </c>
      <c r="H1531" s="402" t="n"/>
      <c r="J1531" s="392">
        <f>IFERROR(UPPER(TRIM(B1531))&amp;"|"&amp;UPPER(TRIM(C1531))&amp;"|"&amp;UPPER(TRIM(D1531)),"")</f>
        <v/>
      </c>
    </row>
    <row r="1532" ht="15.75" customHeight="1" s="217">
      <c r="A1532" s="397" t="n">
        <v>1530</v>
      </c>
      <c r="B1532" s="397" t="inlineStr">
        <is>
          <t>KH2258</t>
        </is>
      </c>
      <c r="C1532" s="398" t="inlineStr">
        <is>
          <t>Anh Hiển - Đắk Lắk / 0941.270.247</t>
        </is>
      </c>
      <c r="D1532" s="397" t="inlineStr">
        <is>
          <t>0941.270.247</t>
        </is>
      </c>
      <c r="E1532" s="399" t="n"/>
      <c r="F1532" s="398" t="inlineStr">
        <is>
          <t>Buôn Cham-Krong Bông-Đắk Lắk</t>
        </is>
      </c>
      <c r="G1532" s="397" t="inlineStr">
        <is>
          <t>ÐL</t>
        </is>
      </c>
      <c r="H1532" s="397" t="inlineStr">
        <is>
          <t>Anh Vỹ - Đăk Lăk giới thiệu</t>
        </is>
      </c>
      <c r="J1532" s="392">
        <f>IFERROR(UPPER(TRIM(B1532))&amp;"|"&amp;UPPER(TRIM(C1532))&amp;"|"&amp;UPPER(TRIM(D1532)),"")</f>
        <v/>
      </c>
    </row>
    <row r="1533" ht="15.75" customHeight="1" s="217">
      <c r="A1533" s="400" t="n">
        <v>1531</v>
      </c>
      <c r="B1533" s="400" t="inlineStr">
        <is>
          <t>PTC</t>
        </is>
      </c>
      <c r="C1533" s="401" t="inlineStr">
        <is>
          <t>Anh Hiền - Phụ tùng hàng bãi / 0909.442.937</t>
        </is>
      </c>
      <c r="D1533" s="400" t="inlineStr">
        <is>
          <t>0909.442.937</t>
        </is>
      </c>
      <c r="E1533" s="402" t="n"/>
      <c r="F1533" s="401" t="inlineStr">
        <is>
          <t>Thuận An , Bình Dương</t>
        </is>
      </c>
      <c r="G1533" s="400" t="inlineStr">
        <is>
          <t>SG/HCM</t>
        </is>
      </c>
      <c r="H1533" s="402" t="n"/>
      <c r="J1533" s="392">
        <f>IFERROR(UPPER(TRIM(B1533))&amp;"|"&amp;UPPER(TRIM(C1533))&amp;"|"&amp;UPPER(TRIM(D1533)),"")</f>
        <v/>
      </c>
    </row>
    <row r="1534" ht="15.75" customHeight="1" s="217">
      <c r="A1534" s="397" t="n">
        <v>1532</v>
      </c>
      <c r="B1534" s="397" t="inlineStr">
        <is>
          <t>KH2257</t>
        </is>
      </c>
      <c r="C1534" s="398" t="inlineStr">
        <is>
          <t>Anh Hoàng - Ninh Hòa, Khánh Hòa/ 0913.484.779</t>
        </is>
      </c>
      <c r="D1534" s="397" t="inlineStr">
        <is>
          <t>0913.484.779</t>
        </is>
      </c>
      <c r="E1534" s="399" t="n"/>
      <c r="F1534" s="398" t="inlineStr">
        <is>
          <t>Ninh Hòa,  Khánh Hòa</t>
        </is>
      </c>
      <c r="G1534" s="397" t="inlineStr">
        <is>
          <t>NTRANG</t>
        </is>
      </c>
      <c r="H1534" s="399" t="n"/>
      <c r="J1534" s="392">
        <f>IFERROR(UPPER(TRIM(B1534))&amp;"|"&amp;UPPER(TRIM(C1534))&amp;"|"&amp;UPPER(TRIM(D1534)),"")</f>
        <v/>
      </c>
    </row>
    <row r="1535" ht="15.75" customHeight="1" s="217">
      <c r="A1535" s="400" t="n">
        <v>1533</v>
      </c>
      <c r="B1535" s="400" t="inlineStr">
        <is>
          <t>KH2256</t>
        </is>
      </c>
      <c r="C1535" s="401" t="inlineStr">
        <is>
          <t>Anh Liệu - Nhơn Trạch - Đồng Nai - 0913.859.367</t>
        </is>
      </c>
      <c r="D1535" s="400" t="inlineStr">
        <is>
          <t>0913.859.367</t>
        </is>
      </c>
      <c r="E1535" s="402" t="n"/>
      <c r="F1535" s="401" t="inlineStr">
        <is>
          <t>Nhơn Trạch - Đồng Nai (Trạm cân Hưng Hoàng)</t>
        </is>
      </c>
      <c r="G1535" s="400" t="inlineStr">
        <is>
          <t>ÐNAI</t>
        </is>
      </c>
      <c r="H1535" s="400" t="inlineStr">
        <is>
          <t>Gửi xe bus số 603 tại Bến Xe Miền Đông</t>
        </is>
      </c>
      <c r="J1535" s="392">
        <f>IFERROR(UPPER(TRIM(B1535))&amp;"|"&amp;UPPER(TRIM(C1535))&amp;"|"&amp;UPPER(TRIM(D1535)),"")</f>
        <v/>
      </c>
    </row>
    <row r="1536" ht="15.75" customHeight="1" s="217">
      <c r="A1536" s="397" t="n">
        <v>1534</v>
      </c>
      <c r="B1536" s="397" t="inlineStr">
        <is>
          <t>KH2255</t>
        </is>
      </c>
      <c r="C1536" s="398" t="inlineStr">
        <is>
          <t>Xưởng Gara Lâm - Bình Dương - 0918.574.035</t>
        </is>
      </c>
      <c r="D1536" s="397" t="inlineStr">
        <is>
          <t>0918.574.035</t>
        </is>
      </c>
      <c r="E1536" s="399" t="n"/>
      <c r="F1536" s="398" t="inlineStr">
        <is>
          <t>GẦN BVĐK TƯ NHÂN BÌNH DƯƠNG, đường Huỳnh Văn Cù-Hiệp Thành-Thủ Dầu 1-Bình Dương</t>
        </is>
      </c>
      <c r="G1536" s="397" t="inlineStr">
        <is>
          <t>BDUONG</t>
        </is>
      </c>
      <c r="H1536" s="399" t="n"/>
      <c r="J1536" s="392">
        <f>IFERROR(UPPER(TRIM(B1536))&amp;"|"&amp;UPPER(TRIM(C1536))&amp;"|"&amp;UPPER(TRIM(D1536)),"")</f>
        <v/>
      </c>
    </row>
    <row r="1537" ht="15.75" customHeight="1" s="217">
      <c r="A1537" s="400" t="n">
        <v>1535</v>
      </c>
      <c r="B1537" s="400" t="inlineStr">
        <is>
          <t>KH2254</t>
        </is>
      </c>
      <c r="C1537" s="401" t="inlineStr">
        <is>
          <t>Xưởng Hữu Lợi - An Giang/ 0366.031.617</t>
        </is>
      </c>
      <c r="D1537" s="400" t="inlineStr">
        <is>
          <t>0366.031.617</t>
        </is>
      </c>
      <c r="E1537" s="402" t="n"/>
      <c r="F1537" s="403" t="n"/>
      <c r="G1537" s="400" t="inlineStr">
        <is>
          <t>ANGIANG</t>
        </is>
      </c>
      <c r="H1537" s="402" t="n"/>
      <c r="J1537" s="392">
        <f>IFERROR(UPPER(TRIM(B1537))&amp;"|"&amp;UPPER(TRIM(C1537))&amp;"|"&amp;UPPER(TRIM(D1537)),"")</f>
        <v/>
      </c>
    </row>
    <row r="1538" ht="15.75" customHeight="1" s="217">
      <c r="A1538" s="397" t="n">
        <v>1536</v>
      </c>
      <c r="B1538" s="397" t="inlineStr">
        <is>
          <t>KH2253</t>
        </is>
      </c>
      <c r="C1538" s="398" t="inlineStr">
        <is>
          <t>Cửa hàng Nông Cơ - Lâm - SG/ 0908.966.331</t>
        </is>
      </c>
      <c r="D1538" s="397" t="inlineStr">
        <is>
          <t>0908.966.331</t>
        </is>
      </c>
      <c r="E1538" s="399" t="n"/>
      <c r="F1538" s="398" t="inlineStr">
        <is>
          <t>28/2A Thái Thị Giữ, áp Đông Lân, Xã bà Điểm, Hóc Môn, HCM</t>
        </is>
      </c>
      <c r="G1538" s="397" t="inlineStr">
        <is>
          <t>SG/HCM</t>
        </is>
      </c>
      <c r="H1538" s="399" t="n"/>
      <c r="J1538" s="392">
        <f>IFERROR(UPPER(TRIM(B1538))&amp;"|"&amp;UPPER(TRIM(C1538))&amp;"|"&amp;UPPER(TRIM(D1538)),"")</f>
        <v/>
      </c>
    </row>
    <row r="1539" ht="15.75" customHeight="1" s="217">
      <c r="A1539" s="400" t="n">
        <v>1537</v>
      </c>
      <c r="B1539" s="400" t="inlineStr">
        <is>
          <t>KH2251</t>
        </is>
      </c>
      <c r="C1539" s="401" t="inlineStr">
        <is>
          <t>Xưởng anh Huy - Lâm Đồng/ 0913.197.959</t>
        </is>
      </c>
      <c r="D1539" s="400" t="inlineStr">
        <is>
          <t>0913.197.959</t>
        </is>
      </c>
      <c r="E1539" s="402" t="n"/>
      <c r="F1539" s="401" t="inlineStr">
        <is>
          <t>Lâm Đồng</t>
        </is>
      </c>
      <c r="G1539" s="400" t="inlineStr">
        <is>
          <t>LDONG</t>
        </is>
      </c>
      <c r="H1539" s="402" t="n"/>
      <c r="J1539" s="392">
        <f>IFERROR(UPPER(TRIM(B1539))&amp;"|"&amp;UPPER(TRIM(C1539))&amp;"|"&amp;UPPER(TRIM(D1539)),"")</f>
        <v/>
      </c>
    </row>
    <row r="1540" ht="15.75" customHeight="1" s="217">
      <c r="A1540" s="397" t="n">
        <v>1538</v>
      </c>
      <c r="B1540" s="397" t="inlineStr">
        <is>
          <t>KH2252</t>
        </is>
      </c>
      <c r="C1540" s="398" t="inlineStr">
        <is>
          <t>Anh Hùng - Bình Phước / 0967.444.549</t>
        </is>
      </c>
      <c r="D1540" s="397" t="inlineStr">
        <is>
          <t>0967.444.549</t>
        </is>
      </c>
      <c r="E1540" s="399" t="n"/>
      <c r="F1540" s="398" t="inlineStr">
        <is>
          <t>Bình Phước</t>
        </is>
      </c>
      <c r="G1540" s="397" t="inlineStr">
        <is>
          <t>BP</t>
        </is>
      </c>
      <c r="H1540" s="399" t="n"/>
      <c r="J1540" s="392">
        <f>IFERROR(UPPER(TRIM(B1540))&amp;"|"&amp;UPPER(TRIM(C1540))&amp;"|"&amp;UPPER(TRIM(D1540)),"")</f>
        <v/>
      </c>
    </row>
    <row r="1541" ht="15.75" customHeight="1" s="217">
      <c r="A1541" s="400" t="n">
        <v>1539</v>
      </c>
      <c r="B1541" s="400" t="inlineStr">
        <is>
          <t>KH2250</t>
        </is>
      </c>
      <c r="C1541" s="401" t="inlineStr">
        <is>
          <t>Mr SENG - Campuchia/ (người nhận: Meng -011909797 &amp; 012938229)</t>
        </is>
      </c>
      <c r="D1541" s="400" t="inlineStr">
        <is>
          <t>011909797 / 012938229</t>
        </is>
      </c>
      <c r="E1541" s="402" t="n"/>
      <c r="F1541" s="401" t="inlineStr">
        <is>
          <t>Phnompenh, Cambodia</t>
        </is>
      </c>
      <c r="G1541" s="400" t="inlineStr">
        <is>
          <t>CPC</t>
        </is>
      </c>
      <c r="H1541" s="402" t="n"/>
      <c r="J1541" s="392">
        <f>IFERROR(UPPER(TRIM(B1541))&amp;"|"&amp;UPPER(TRIM(C1541))&amp;"|"&amp;UPPER(TRIM(D1541)),"")</f>
        <v/>
      </c>
    </row>
    <row r="1542" ht="15.75" customHeight="1" s="217">
      <c r="A1542" s="397" t="n">
        <v>1540</v>
      </c>
      <c r="B1542" s="397" t="inlineStr">
        <is>
          <t>KH2249</t>
        </is>
      </c>
      <c r="C1542" s="398" t="inlineStr">
        <is>
          <t>Anh Mỹ - Đắc Lắc / 0963.855.667</t>
        </is>
      </c>
      <c r="D1542" s="397" t="inlineStr">
        <is>
          <t>0963.855.667</t>
        </is>
      </c>
      <c r="E1542" s="399" t="n"/>
      <c r="F1542" s="398" t="inlineStr">
        <is>
          <t>Thành phố Buôn Mê Thuột, Đắc Lắc</t>
        </is>
      </c>
      <c r="G1542" s="397" t="inlineStr">
        <is>
          <t>ÐL</t>
        </is>
      </c>
      <c r="H1542" s="399" t="n"/>
      <c r="J1542" s="392">
        <f>IFERROR(UPPER(TRIM(B1542))&amp;"|"&amp;UPPER(TRIM(C1542))&amp;"|"&amp;UPPER(TRIM(D1542)),"")</f>
        <v/>
      </c>
    </row>
    <row r="1543" ht="15.75" customHeight="1" s="217">
      <c r="A1543" s="400" t="n">
        <v>1541</v>
      </c>
      <c r="B1543" s="400" t="inlineStr">
        <is>
          <t>KH2248</t>
        </is>
      </c>
      <c r="C1543" s="401" t="inlineStr">
        <is>
          <t>CH Thanh Tùng - Tây Ninh/ 0973.717.957 - 0964.250.539</t>
        </is>
      </c>
      <c r="D1543" s="400" t="inlineStr">
        <is>
          <t>0973.717.957 / 0964.250.539</t>
        </is>
      </c>
      <c r="E1543" s="402" t="n"/>
      <c r="F1543" s="401" t="inlineStr">
        <is>
          <t>688 CMT8, KP7, P3, Tây Ninh</t>
        </is>
      </c>
      <c r="G1543" s="400" t="inlineStr">
        <is>
          <t>TNINH</t>
        </is>
      </c>
      <c r="H1543" s="402" t="n"/>
      <c r="J1543" s="392">
        <f>IFERROR(UPPER(TRIM(B1543))&amp;"|"&amp;UPPER(TRIM(C1543))&amp;"|"&amp;UPPER(TRIM(D1543)),"")</f>
        <v/>
      </c>
    </row>
    <row r="1544" ht="15.75" customHeight="1" s="217">
      <c r="A1544" s="397" t="n">
        <v>1542</v>
      </c>
      <c r="B1544" s="397" t="inlineStr">
        <is>
          <t>KH2247</t>
        </is>
      </c>
      <c r="C1544" s="398" t="inlineStr">
        <is>
          <t>Công Ty 1-5 Phú Yên/ Anh Tường -  0915.836.427</t>
        </is>
      </c>
      <c r="D1544" s="397" t="inlineStr">
        <is>
          <t>0915.836.427</t>
        </is>
      </c>
      <c r="E1544" s="399" t="n"/>
      <c r="F1544" s="398" t="inlineStr">
        <is>
          <t>Phú Yên</t>
        </is>
      </c>
      <c r="G1544" s="397" t="inlineStr">
        <is>
          <t>PYEN</t>
        </is>
      </c>
      <c r="H1544" s="399" t="n"/>
      <c r="J1544" s="392">
        <f>IFERROR(UPPER(TRIM(B1544))&amp;"|"&amp;UPPER(TRIM(C1544))&amp;"|"&amp;UPPER(TRIM(D1544)),"")</f>
        <v/>
      </c>
    </row>
    <row r="1545" ht="15.75" customHeight="1" s="217">
      <c r="A1545" s="400" t="n">
        <v>1543</v>
      </c>
      <c r="B1545" s="400" t="inlineStr">
        <is>
          <t>KH2245</t>
        </is>
      </c>
      <c r="C1545" s="401" t="inlineStr">
        <is>
          <t>Anh Thắng - Nha Trang/ 0913.894.739</t>
        </is>
      </c>
      <c r="D1545" s="400" t="inlineStr">
        <is>
          <t>0913.894.739</t>
        </is>
      </c>
      <c r="E1545" s="402" t="n"/>
      <c r="F1545" s="401" t="inlineStr">
        <is>
          <t>Nha Trang</t>
        </is>
      </c>
      <c r="G1545" s="400" t="inlineStr">
        <is>
          <t>NTRANG</t>
        </is>
      </c>
      <c r="H1545" s="402" t="n"/>
      <c r="J1545" s="392">
        <f>IFERROR(UPPER(TRIM(B1545))&amp;"|"&amp;UPPER(TRIM(C1545))&amp;"|"&amp;UPPER(TRIM(D1545)),"")</f>
        <v/>
      </c>
    </row>
    <row r="1546" ht="15.75" customHeight="1" s="217">
      <c r="A1546" s="397" t="n">
        <v>1544</v>
      </c>
      <c r="B1546" s="397" t="inlineStr">
        <is>
          <t>KH2246</t>
        </is>
      </c>
      <c r="C1546" s="398" t="inlineStr">
        <is>
          <t>Công ty Đá Hóa An - Kiên Giang/ Anh Luật - 0939.313.444</t>
        </is>
      </c>
      <c r="D1546" s="397" t="inlineStr">
        <is>
          <t>0939.313.444</t>
        </is>
      </c>
      <c r="E1546" s="399" t="n"/>
      <c r="F1546" s="398" t="inlineStr">
        <is>
          <t>Hòn Đất - Kiên Giang</t>
        </is>
      </c>
      <c r="G1546" s="397" t="inlineStr">
        <is>
          <t>KG</t>
        </is>
      </c>
      <c r="H1546" s="399" t="n"/>
      <c r="J1546" s="392">
        <f>IFERROR(UPPER(TRIM(B1546))&amp;"|"&amp;UPPER(TRIM(C1546))&amp;"|"&amp;UPPER(TRIM(D1546)),"")</f>
        <v/>
      </c>
    </row>
    <row r="1547" ht="15.75" customHeight="1" s="217">
      <c r="A1547" s="400" t="n">
        <v>1545</v>
      </c>
      <c r="B1547" s="400" t="inlineStr">
        <is>
          <t>KH2244</t>
        </is>
      </c>
      <c r="C1547" s="401" t="inlineStr">
        <is>
          <t>Anh Mì, Bình Long, Bình Phước / 0844.337.788 - 0968.529.562</t>
        </is>
      </c>
      <c r="D1547" s="400" t="inlineStr">
        <is>
          <t>0844.337.788 / 0968.529.562</t>
        </is>
      </c>
      <c r="E1547" s="402" t="n"/>
      <c r="F1547" s="401" t="inlineStr">
        <is>
          <t>Bình Phước</t>
        </is>
      </c>
      <c r="G1547" s="400" t="inlineStr">
        <is>
          <t>BP</t>
        </is>
      </c>
      <c r="H1547" s="402" t="n"/>
      <c r="J1547" s="392">
        <f>IFERROR(UPPER(TRIM(B1547))&amp;"|"&amp;UPPER(TRIM(C1547))&amp;"|"&amp;UPPER(TRIM(D1547)),"")</f>
        <v/>
      </c>
    </row>
    <row r="1548" ht="15.75" customHeight="1" s="217">
      <c r="A1548" s="397" t="n">
        <v>1546</v>
      </c>
      <c r="B1548" s="397" t="inlineStr">
        <is>
          <t>KH2242</t>
        </is>
      </c>
      <c r="C1548" s="398" t="inlineStr">
        <is>
          <t>Anh Quang - Sài Gòn / 0906.299.400</t>
        </is>
      </c>
      <c r="D1548" s="397" t="inlineStr">
        <is>
          <t>0906.299.400</t>
        </is>
      </c>
      <c r="E1548" s="399" t="n"/>
      <c r="F1548" s="398" t="inlineStr">
        <is>
          <t>Sài Gòn</t>
        </is>
      </c>
      <c r="G1548" s="397" t="inlineStr">
        <is>
          <t>SG/HCM</t>
        </is>
      </c>
      <c r="H1548" s="399" t="n"/>
      <c r="J1548" s="392">
        <f>IFERROR(UPPER(TRIM(B1548))&amp;"|"&amp;UPPER(TRIM(C1548))&amp;"|"&amp;UPPER(TRIM(D1548)),"")</f>
        <v/>
      </c>
    </row>
    <row r="1549" ht="15.75" customHeight="1" s="217">
      <c r="A1549" s="400" t="n">
        <v>1547</v>
      </c>
      <c r="B1549" s="400" t="inlineStr">
        <is>
          <t>KH2243</t>
        </is>
      </c>
      <c r="C1549" s="401" t="inlineStr">
        <is>
          <t>Xưởng tiện Nghệ Quang - Quốc lộ 13/ Chú Cao: 0903.920.502</t>
        </is>
      </c>
      <c r="D1549" s="400" t="inlineStr">
        <is>
          <t>0903.920.502</t>
        </is>
      </c>
      <c r="E1549" s="402" t="n"/>
      <c r="F1549" s="401" t="inlineStr">
        <is>
          <t>230 Quốc lộ 13, phường Hiệp Bình, TP Hồ Chí Minh</t>
        </is>
      </c>
      <c r="G1549" s="400" t="inlineStr">
        <is>
          <t>SG/HCM</t>
        </is>
      </c>
      <c r="H1549" s="402" t="n"/>
      <c r="J1549" s="392">
        <f>IFERROR(UPPER(TRIM(B1549))&amp;"|"&amp;UPPER(TRIM(C1549))&amp;"|"&amp;UPPER(TRIM(D1549)),"")</f>
        <v/>
      </c>
    </row>
    <row r="1550" ht="15.75" customHeight="1" s="217">
      <c r="A1550" s="397" t="n">
        <v>1548</v>
      </c>
      <c r="B1550" s="397" t="inlineStr">
        <is>
          <t>KH2241</t>
        </is>
      </c>
      <c r="C1550" s="398" t="inlineStr">
        <is>
          <t>Anh Vỹ - Đắk Lắk / 0913.435.018</t>
        </is>
      </c>
      <c r="D1550" s="397" t="inlineStr">
        <is>
          <t>0913.435.018</t>
        </is>
      </c>
      <c r="E1550" s="399" t="n"/>
      <c r="F1550" s="398" t="inlineStr">
        <is>
          <t>Đắc Lắc</t>
        </is>
      </c>
      <c r="G1550" s="397" t="inlineStr">
        <is>
          <t>ÐL</t>
        </is>
      </c>
      <c r="H1550" s="399" t="n"/>
      <c r="J1550" s="392">
        <f>IFERROR(UPPER(TRIM(B1550))&amp;"|"&amp;UPPER(TRIM(C1550))&amp;"|"&amp;UPPER(TRIM(D1550)),"")</f>
        <v/>
      </c>
    </row>
    <row r="1551" ht="15.75" customHeight="1" s="217">
      <c r="A1551" s="400" t="n">
        <v>1549</v>
      </c>
      <c r="B1551" s="400" t="inlineStr">
        <is>
          <t>KH2239</t>
        </is>
      </c>
      <c r="C1551" s="401" t="inlineStr">
        <is>
          <t>Garage Tấn Chánh - Anh Chánh / 0918.815.750</t>
        </is>
      </c>
      <c r="D1551" s="400" t="inlineStr">
        <is>
          <t>0918.815.750</t>
        </is>
      </c>
      <c r="E1551" s="402" t="n"/>
      <c r="F1551" s="401" t="inlineStr">
        <is>
          <t>Đức Trọng, Lâm Đồng</t>
        </is>
      </c>
      <c r="G1551" s="400" t="inlineStr">
        <is>
          <t>LDONG</t>
        </is>
      </c>
      <c r="H1551" s="402" t="n"/>
      <c r="J1551" s="392">
        <f>IFERROR(UPPER(TRIM(B1551))&amp;"|"&amp;UPPER(TRIM(C1551))&amp;"|"&amp;UPPER(TRIM(D1551)),"")</f>
        <v/>
      </c>
    </row>
    <row r="1552" ht="15.75" customHeight="1" s="217">
      <c r="A1552" s="397" t="n">
        <v>1550</v>
      </c>
      <c r="B1552" s="397" t="inlineStr">
        <is>
          <t>KH2240</t>
        </is>
      </c>
      <c r="C1552" s="398" t="inlineStr">
        <is>
          <t>Chú Tuấn - Long An / 0909.851.969</t>
        </is>
      </c>
      <c r="D1552" s="397" t="inlineStr">
        <is>
          <t>0909.851.969</t>
        </is>
      </c>
      <c r="E1552" s="399" t="n"/>
      <c r="F1552" s="398" t="inlineStr">
        <is>
          <t>Long An</t>
        </is>
      </c>
      <c r="G1552" s="397" t="inlineStr">
        <is>
          <t>LA</t>
        </is>
      </c>
      <c r="H1552" s="399" t="n"/>
      <c r="J1552" s="392">
        <f>IFERROR(UPPER(TRIM(B1552))&amp;"|"&amp;UPPER(TRIM(C1552))&amp;"|"&amp;UPPER(TRIM(D1552)),"")</f>
        <v/>
      </c>
    </row>
    <row r="1553" ht="15.75" customHeight="1" s="217">
      <c r="A1553" s="400" t="n">
        <v>1551</v>
      </c>
      <c r="B1553" s="400" t="inlineStr">
        <is>
          <t>KH2238</t>
        </is>
      </c>
      <c r="C1553" s="401" t="inlineStr">
        <is>
          <t>Anh Hải - Công ty Châu Ngọc Hải - Sóc Trăng / 0902.829.717</t>
        </is>
      </c>
      <c r="D1553" s="400" t="inlineStr">
        <is>
          <t>0902.829.717</t>
        </is>
      </c>
      <c r="E1553" s="402" t="n"/>
      <c r="F1553" s="401" t="inlineStr">
        <is>
          <t>Sóc Trăng</t>
        </is>
      </c>
      <c r="G1553" s="400" t="inlineStr">
        <is>
          <t>STRANG</t>
        </is>
      </c>
      <c r="H1553" s="402" t="n"/>
      <c r="J1553" s="392">
        <f>IFERROR(UPPER(TRIM(B1553))&amp;"|"&amp;UPPER(TRIM(C1553))&amp;"|"&amp;UPPER(TRIM(D1553)),"")</f>
        <v/>
      </c>
    </row>
    <row r="1554" ht="15.75" customHeight="1" s="217">
      <c r="A1554" s="397" t="n">
        <v>1552</v>
      </c>
      <c r="B1554" s="397" t="inlineStr">
        <is>
          <t>KH2237</t>
        </is>
      </c>
      <c r="C1554" s="398" t="inlineStr">
        <is>
          <t>Xưởng anh Tỷ - Long An / 0944.286.667/ 0827.286.667</t>
        </is>
      </c>
      <c r="D1554" s="397" t="inlineStr">
        <is>
          <t>0944.286.667 / 0827.286.667</t>
        </is>
      </c>
      <c r="E1554" s="399" t="n"/>
      <c r="F1554" s="398" t="inlineStr">
        <is>
          <t>Tân Hưng, Long An</t>
        </is>
      </c>
      <c r="G1554" s="397" t="inlineStr">
        <is>
          <t>LA</t>
        </is>
      </c>
      <c r="H1554" s="399" t="n"/>
      <c r="J1554" s="392">
        <f>IFERROR(UPPER(TRIM(B1554))&amp;"|"&amp;UPPER(TRIM(C1554))&amp;"|"&amp;UPPER(TRIM(D1554)),"")</f>
        <v/>
      </c>
    </row>
    <row r="1555" ht="15.75" customHeight="1" s="217">
      <c r="A1555" s="400" t="n">
        <v>1553</v>
      </c>
      <c r="B1555" s="400" t="inlineStr">
        <is>
          <t>KH2236</t>
        </is>
      </c>
      <c r="C1555" s="401" t="inlineStr">
        <is>
          <t>Anh Minh - Sài Gòn / 0907.423.695</t>
        </is>
      </c>
      <c r="D1555" s="400" t="inlineStr">
        <is>
          <t>0907.423.695</t>
        </is>
      </c>
      <c r="E1555" s="402" t="n"/>
      <c r="F1555" s="401" t="inlineStr">
        <is>
          <t>Sài Gòn</t>
        </is>
      </c>
      <c r="G1555" s="400" t="inlineStr">
        <is>
          <t>SG/HCM</t>
        </is>
      </c>
      <c r="H1555" s="402" t="n"/>
      <c r="J1555" s="392">
        <f>IFERROR(UPPER(TRIM(B1555))&amp;"|"&amp;UPPER(TRIM(C1555))&amp;"|"&amp;UPPER(TRIM(D1555)),"")</f>
        <v/>
      </c>
    </row>
    <row r="1556" ht="15.75" customHeight="1" s="217">
      <c r="A1556" s="397" t="n">
        <v>1554</v>
      </c>
      <c r="B1556" s="397" t="inlineStr">
        <is>
          <t>KH2235</t>
        </is>
      </c>
      <c r="C1556" s="398" t="inlineStr">
        <is>
          <t>Anh Kim Lê Đại Hành -  0913.768.905</t>
        </is>
      </c>
      <c r="D1556" s="397" t="inlineStr">
        <is>
          <t>0913.768.905</t>
        </is>
      </c>
      <c r="E1556" s="399" t="n"/>
      <c r="F1556" s="398" t="inlineStr">
        <is>
          <t>Sài Gòn</t>
        </is>
      </c>
      <c r="G1556" s="397" t="inlineStr">
        <is>
          <t>SG/HCM</t>
        </is>
      </c>
      <c r="H1556" s="399" t="n"/>
      <c r="J1556" s="392">
        <f>IFERROR(UPPER(TRIM(B1556))&amp;"|"&amp;UPPER(TRIM(C1556))&amp;"|"&amp;UPPER(TRIM(D1556)),"")</f>
        <v/>
      </c>
    </row>
    <row r="1557" ht="15.75" customHeight="1" s="217">
      <c r="A1557" s="400" t="n">
        <v>1555</v>
      </c>
      <c r="B1557" s="400" t="inlineStr">
        <is>
          <t>KH2234</t>
        </is>
      </c>
      <c r="C1557" s="401" t="inlineStr">
        <is>
          <t>Xưởng anh Xô - An Giang/ 0919.523.881</t>
        </is>
      </c>
      <c r="D1557" s="400" t="inlineStr">
        <is>
          <t>0919.523.881</t>
        </is>
      </c>
      <c r="E1557" s="402" t="n"/>
      <c r="F1557" s="401" t="inlineStr">
        <is>
          <t>TP Long Xuyên, An Giang</t>
        </is>
      </c>
      <c r="G1557" s="400" t="inlineStr">
        <is>
          <t>ANGIANG</t>
        </is>
      </c>
      <c r="H1557" s="402" t="n"/>
      <c r="J1557" s="392">
        <f>IFERROR(UPPER(TRIM(B1557))&amp;"|"&amp;UPPER(TRIM(C1557))&amp;"|"&amp;UPPER(TRIM(D1557)),"")</f>
        <v/>
      </c>
    </row>
    <row r="1558" ht="15.75" customHeight="1" s="217">
      <c r="A1558" s="397" t="n">
        <v>1556</v>
      </c>
      <c r="B1558" s="397" t="inlineStr">
        <is>
          <t>KH2233</t>
        </is>
      </c>
      <c r="C1558" s="398" t="inlineStr">
        <is>
          <t>ANH BẢO - BẢO LỘC, LÂM ĐỒNG - 0854.135.678</t>
        </is>
      </c>
      <c r="D1558" s="397" t="inlineStr">
        <is>
          <t>0854.135.678</t>
        </is>
      </c>
      <c r="E1558" s="399" t="n"/>
      <c r="F1558" s="398" t="inlineStr">
        <is>
          <t>Bảo Lộc, Lâm Đồng</t>
        </is>
      </c>
      <c r="G1558" s="397" t="inlineStr">
        <is>
          <t>LDONG</t>
        </is>
      </c>
      <c r="H1558" s="399" t="n"/>
      <c r="J1558" s="392">
        <f>IFERROR(UPPER(TRIM(B1558))&amp;"|"&amp;UPPER(TRIM(C1558))&amp;"|"&amp;UPPER(TRIM(D1558)),"")</f>
        <v/>
      </c>
    </row>
    <row r="1559" ht="15.75" customHeight="1" s="217">
      <c r="A1559" s="400" t="n">
        <v>1557</v>
      </c>
      <c r="B1559" s="400" t="inlineStr">
        <is>
          <t>XTHUY</t>
        </is>
      </c>
      <c r="C1559" s="401" t="inlineStr">
        <is>
          <t>Cửa hàng Phụ Tùng Xuân Thủy, Hà Nội - 0903418468</t>
        </is>
      </c>
      <c r="D1559" s="400" t="inlineStr">
        <is>
          <t>39722552 / 0903418468</t>
        </is>
      </c>
      <c r="E1559" s="402" t="n"/>
      <c r="F1559" s="401" t="inlineStr">
        <is>
          <t>Trần Khát Chân, Hai Bà Trưng, Hà Nội</t>
        </is>
      </c>
      <c r="G1559" s="402" t="n"/>
      <c r="H1559" s="402" t="n"/>
      <c r="J1559" s="392">
        <f>IFERROR(UPPER(TRIM(B1559))&amp;"|"&amp;UPPER(TRIM(C1559))&amp;"|"&amp;UPPER(TRIM(D1559)),"")</f>
        <v/>
      </c>
    </row>
    <row r="1560" ht="15.75" customHeight="1" s="217">
      <c r="A1560" s="397" t="n">
        <v>1558</v>
      </c>
      <c r="B1560" s="397" t="inlineStr">
        <is>
          <t>USA</t>
        </is>
      </c>
      <c r="C1560" s="398" t="inlineStr">
        <is>
          <t>ENGINE HEAT TAB USA</t>
        </is>
      </c>
      <c r="D1560" s="399" t="n"/>
      <c r="E1560" s="399" t="n"/>
      <c r="F1560" s="398" t="inlineStr">
        <is>
          <t>USA</t>
        </is>
      </c>
      <c r="G1560" s="399" t="n"/>
      <c r="H1560" s="399" t="n"/>
      <c r="J1560" s="392">
        <f>IFERROR(UPPER(TRIM(B1560))&amp;"|"&amp;UPPER(TRIM(C1560))&amp;"|"&amp;UPPER(TRIM(D1560)),"")</f>
        <v/>
      </c>
    </row>
    <row r="1561" ht="15.75" customHeight="1" s="217">
      <c r="A1561" s="400" t="n">
        <v>1559</v>
      </c>
      <c r="B1561" s="400" t="inlineStr">
        <is>
          <t>EUROSUN</t>
        </is>
      </c>
      <c r="C1561" s="401" t="inlineStr">
        <is>
          <t>EUROSUN PISTON CO., LTD</t>
        </is>
      </c>
      <c r="D1561" s="402" t="n"/>
      <c r="E1561" s="402" t="n"/>
      <c r="F1561" s="403" t="n"/>
      <c r="G1561" s="402" t="n"/>
      <c r="H1561" s="402" t="n"/>
      <c r="J1561" s="392">
        <f>IFERROR(UPPER(TRIM(B1561))&amp;"|"&amp;UPPER(TRIM(C1561))&amp;"|"&amp;UPPER(TRIM(D1561)),"")</f>
        <v/>
      </c>
    </row>
    <row r="1562" ht="15.75" customHeight="1" s="217">
      <c r="A1562" s="397" t="n">
        <v>1560</v>
      </c>
      <c r="B1562" s="397" t="inlineStr">
        <is>
          <t>IZUMI</t>
        </is>
      </c>
      <c r="C1562" s="398" t="inlineStr">
        <is>
          <t>Fujian Wuping Uta Auto Parts Industry Co.,Ltd.</t>
        </is>
      </c>
      <c r="D1562" s="399" t="n"/>
      <c r="E1562" s="399" t="n"/>
      <c r="F1562" s="398" t="inlineStr">
        <is>
          <t>No.2 Wuping Industrial Zone, Longyan, Fujian Province, China</t>
        </is>
      </c>
      <c r="G1562" s="399" t="n"/>
      <c r="H1562" s="399" t="n"/>
      <c r="J1562" s="392">
        <f>IFERROR(UPPER(TRIM(B1562))&amp;"|"&amp;UPPER(TRIM(C1562))&amp;"|"&amp;UPPER(TRIM(D1562)),"")</f>
        <v/>
      </c>
    </row>
    <row r="1563" ht="15.75" customHeight="1" s="217">
      <c r="A1563" s="400" t="n">
        <v>1561</v>
      </c>
      <c r="B1563" s="400" t="inlineStr">
        <is>
          <t>SLTURBO</t>
        </is>
      </c>
      <c r="C1563" s="401" t="inlineStr">
        <is>
          <t>FENGCHENG PACIFIC SHENLONG TURBOCHARGER CO.,LTD</t>
        </is>
      </c>
      <c r="D1563" s="402" t="n"/>
      <c r="E1563" s="402" t="n"/>
      <c r="F1563" s="401" t="inlineStr">
        <is>
          <t>ADD:  NO.9, ZHENXING STREET, FENGHUANGCHENG DISTRICT, FENGCHENG CITY, LIAONING PROVINCE, P.R.CHINA</t>
        </is>
      </c>
      <c r="G1563" s="402" t="n"/>
      <c r="H1563" s="402" t="n"/>
      <c r="J1563" s="392">
        <f>IFERROR(UPPER(TRIM(B1563))&amp;"|"&amp;UPPER(TRIM(C1563))&amp;"|"&amp;UPPER(TRIM(D1563)),"")</f>
        <v/>
      </c>
    </row>
    <row r="1564" ht="15.75" customHeight="1" s="217">
      <c r="A1564" s="397" t="n">
        <v>1562</v>
      </c>
      <c r="B1564" s="397" t="inlineStr">
        <is>
          <t>TV</t>
        </is>
      </c>
      <c r="C1564" s="398" t="inlineStr">
        <is>
          <t>Công ty Thịnh Việt / Anh Thành - Quận 2 / 0903.999.821</t>
        </is>
      </c>
      <c r="D1564" s="397" t="inlineStr">
        <is>
          <t>0903.999.821</t>
        </is>
      </c>
      <c r="E1564" s="399" t="n"/>
      <c r="F1564" s="398" t="inlineStr">
        <is>
          <t>Q.2, HCM</t>
        </is>
      </c>
      <c r="G1564" s="399" t="n"/>
      <c r="H1564" s="399" t="n"/>
      <c r="J1564" s="392">
        <f>IFERROR(UPPER(TRIM(B1564))&amp;"|"&amp;UPPER(TRIM(C1564))&amp;"|"&amp;UPPER(TRIM(D1564)),"")</f>
        <v/>
      </c>
    </row>
    <row r="1565" ht="15.75" customHeight="1" s="217">
      <c r="A1565" s="400" t="n">
        <v>1563</v>
      </c>
      <c r="B1565" s="400" t="inlineStr">
        <is>
          <t>TRUNG</t>
        </is>
      </c>
      <c r="C1565" s="401" t="inlineStr">
        <is>
          <t>Công ty TNHH Vận tải TMDV Thành An</t>
        </is>
      </c>
      <c r="D1565" s="402" t="n"/>
      <c r="E1565" s="402" t="n"/>
      <c r="F1565" s="401" t="inlineStr">
        <is>
          <t>4/4/1/8 Đường số 3, Khu Phố 5, Phường Hiệp Bình Phước, Quận Thủ Đức, TPHCM</t>
        </is>
      </c>
      <c r="G1565" s="402" t="n"/>
      <c r="H1565" s="402" t="n"/>
      <c r="J1565" s="392">
        <f>IFERROR(UPPER(TRIM(B1565))&amp;"|"&amp;UPPER(TRIM(C1565))&amp;"|"&amp;UPPER(TRIM(D1565)),"")</f>
        <v/>
      </c>
    </row>
    <row r="1566" ht="15.75" customHeight="1" s="217">
      <c r="A1566" s="397" t="n">
        <v>1564</v>
      </c>
      <c r="B1566" s="397" t="inlineStr">
        <is>
          <t>BE</t>
        </is>
      </c>
      <c r="C1566" s="398" t="inlineStr">
        <is>
          <t>Chị Bé - Quận 6 / 02862.602.995</t>
        </is>
      </c>
      <c r="D1566" s="397" t="inlineStr">
        <is>
          <t>02862.602.995</t>
        </is>
      </c>
      <c r="E1566" s="399" t="n"/>
      <c r="F1566" s="398" t="inlineStr">
        <is>
          <t>Số 83 đường số 6,khu Tên Lửa Q.6</t>
        </is>
      </c>
      <c r="G1566" s="399" t="n"/>
      <c r="H1566" s="399" t="n"/>
      <c r="J1566" s="392">
        <f>IFERROR(UPPER(TRIM(B1566))&amp;"|"&amp;UPPER(TRIM(C1566))&amp;"|"&amp;UPPER(TRIM(D1566)),"")</f>
        <v/>
      </c>
    </row>
    <row r="1567" ht="15.75" customHeight="1" s="217">
      <c r="A1567" s="400" t="n">
        <v>1565</v>
      </c>
      <c r="B1567" s="400" t="inlineStr">
        <is>
          <t>QYA</t>
        </is>
      </c>
      <c r="C1567" s="401" t="inlineStr">
        <is>
          <t>Quanzhou Yijia Auto Parts Co. Ltd (camshaft)/ CQC SUPPLY CHAIN MANAGEMENT CO., LTD</t>
        </is>
      </c>
      <c r="D1567" s="402" t="n"/>
      <c r="E1567" s="402" t="n"/>
      <c r="F1567" s="401" t="inlineStr">
        <is>
          <t>2# Jinxi Road Binjiang Auto Parts Machinery Zone, Nan'an QuanZhou City, Fujian Province China</t>
        </is>
      </c>
      <c r="G1567" s="402" t="n"/>
      <c r="H1567" s="402" t="n"/>
      <c r="J1567" s="392">
        <f>IFERROR(UPPER(TRIM(B1567))&amp;"|"&amp;UPPER(TRIM(C1567))&amp;"|"&amp;UPPER(TRIM(D1567)),"")</f>
        <v/>
      </c>
    </row>
    <row r="1568" ht="15.75" customHeight="1" s="217">
      <c r="A1568" s="397" t="n">
        <v>1566</v>
      </c>
      <c r="B1568" s="397" t="inlineStr">
        <is>
          <t>OTECH</t>
        </is>
      </c>
      <c r="C1568" s="398" t="inlineStr">
        <is>
          <t>O-TECH (Jiaxing) Co., Ltd</t>
        </is>
      </c>
      <c r="D1568" s="399" t="n"/>
      <c r="E1568" s="399" t="n"/>
      <c r="F1568" s="398" t="inlineStr">
        <is>
          <t>D-1508, Fortune Plaza, No.527 Zhongshan West Road, Jiaxing, Zhejiang 314000, China</t>
        </is>
      </c>
      <c r="G1568" s="399" t="n"/>
      <c r="H1568" s="399" t="n"/>
      <c r="J1568" s="392">
        <f>IFERROR(UPPER(TRIM(B1568))&amp;"|"&amp;UPPER(TRIM(C1568))&amp;"|"&amp;UPPER(TRIM(D1568)),"")</f>
        <v/>
      </c>
    </row>
    <row r="1569" ht="15.75" customHeight="1" s="217">
      <c r="A1569" s="400" t="n">
        <v>1567</v>
      </c>
      <c r="B1569" s="400" t="inlineStr">
        <is>
          <t>GK</t>
        </is>
      </c>
      <c r="C1569" s="401" t="inlineStr">
        <is>
          <t>GUANGZHOU SYSTO/ Goodish (Shenzhen) Technology Co., Ltd (Nhà xuất khẩu Ron Dragonflys)</t>
        </is>
      </c>
      <c r="D1569" s="402" t="n"/>
      <c r="E1569" s="402" t="n"/>
      <c r="F1569" s="401" t="inlineStr">
        <is>
          <t>Guangdong, China</t>
        </is>
      </c>
      <c r="G1569" s="402" t="n"/>
      <c r="H1569" s="402" t="n"/>
      <c r="J1569" s="392">
        <f>IFERROR(UPPER(TRIM(B1569))&amp;"|"&amp;UPPER(TRIM(C1569))&amp;"|"&amp;UPPER(TRIM(D1569)),"")</f>
        <v/>
      </c>
    </row>
    <row r="1570" ht="15.75" customHeight="1" s="217">
      <c r="A1570" s="397" t="n">
        <v>1568</v>
      </c>
      <c r="B1570" s="397" t="inlineStr">
        <is>
          <t>GLT</t>
        </is>
      </c>
      <c r="C1570" s="398" t="inlineStr">
        <is>
          <t>GIECT TRADING LIMITED</t>
        </is>
      </c>
      <c r="D1570" s="399" t="n"/>
      <c r="E1570" s="399" t="n"/>
      <c r="F1570" s="398" t="inlineStr">
        <is>
          <t>Room D 10/F Tower A Billion Centre 1 Wang Kwong Road KowLoon Bay Kln</t>
        </is>
      </c>
      <c r="G1570" s="399" t="n"/>
      <c r="H1570" s="399" t="n"/>
      <c r="J1570" s="392">
        <f>IFERROR(UPPER(TRIM(B1570))&amp;"|"&amp;UPPER(TRIM(C1570))&amp;"|"&amp;UPPER(TRIM(D1570)),"")</f>
        <v/>
      </c>
    </row>
    <row r="1571" ht="15.75" customHeight="1" s="217">
      <c r="A1571" s="400" t="n">
        <v>1569</v>
      </c>
      <c r="B1571" s="400" t="inlineStr">
        <is>
          <t>1HL</t>
        </is>
      </c>
      <c r="C1571" s="401" t="inlineStr">
        <is>
          <t>Công ty Hợp Long - Anh Tùng / 0977.120.611</t>
        </is>
      </c>
      <c r="D1571" s="400" t="inlineStr">
        <is>
          <t>0977.120.611</t>
        </is>
      </c>
      <c r="E1571" s="402" t="n"/>
      <c r="F1571" s="401" t="inlineStr">
        <is>
          <t>Khu dân cư An Thái, Quận 12, TP HCM</t>
        </is>
      </c>
      <c r="G1571" s="400" t="inlineStr">
        <is>
          <t>SG/HCM</t>
        </is>
      </c>
      <c r="H1571" s="402" t="n"/>
      <c r="J1571" s="392">
        <f>IFERROR(UPPER(TRIM(B1571))&amp;"|"&amp;UPPER(TRIM(C1571))&amp;"|"&amp;UPPER(TRIM(D1571)),"")</f>
        <v/>
      </c>
    </row>
    <row r="1572" ht="15.75" customHeight="1" s="217">
      <c r="A1572" s="397" t="n">
        <v>1570</v>
      </c>
      <c r="B1572" s="397" t="inlineStr">
        <is>
          <t>AT</t>
        </is>
      </c>
      <c r="C1572" s="398" t="inlineStr">
        <is>
          <t>Ô tô An Thái - Bình Dương/ Việt Anh - 0988.268.345</t>
        </is>
      </c>
      <c r="D1572" s="397" t="inlineStr">
        <is>
          <t>0988.268.345</t>
        </is>
      </c>
      <c r="E1572" s="399" t="n"/>
      <c r="F1572" s="398" t="inlineStr">
        <is>
          <t>17 Nguyễn Du, KP Bình Đức, P Bình Hòa, Thuận An, BD</t>
        </is>
      </c>
      <c r="G1572" s="399" t="n"/>
      <c r="H1572" s="399" t="n"/>
      <c r="J1572" s="392">
        <f>IFERROR(UPPER(TRIM(B1572))&amp;"|"&amp;UPPER(TRIM(C1572))&amp;"|"&amp;UPPER(TRIM(D1572)),"")</f>
        <v/>
      </c>
    </row>
    <row r="1573" ht="15.75" customHeight="1" s="217">
      <c r="A1573" s="400" t="n">
        <v>1571</v>
      </c>
      <c r="B1573" s="400" t="inlineStr">
        <is>
          <t>TAIHO</t>
        </is>
      </c>
      <c r="C1573" s="401" t="inlineStr">
        <is>
          <t>TENG SUN AUTO SUPPLY SDN BHD</t>
        </is>
      </c>
      <c r="D1573" s="402" t="n"/>
      <c r="E1573" s="402" t="n"/>
      <c r="F1573" s="401" t="inlineStr">
        <is>
          <t>No.25-29, JALAN DBP1, DOLOMITE BUSINESS PARK, 68100 BATU CAVES, SELANGOR DARUL EHSAN, MALAYSIA</t>
        </is>
      </c>
      <c r="G1573" s="402" t="n"/>
      <c r="H1573" s="402" t="n"/>
      <c r="J1573" s="392">
        <f>IFERROR(UPPER(TRIM(B1573))&amp;"|"&amp;UPPER(TRIM(C1573))&amp;"|"&amp;UPPER(TRIM(D1573)),"")</f>
        <v/>
      </c>
    </row>
    <row r="1574" ht="15.75" customHeight="1" s="217">
      <c r="A1574" s="397" t="n">
        <v>1572</v>
      </c>
      <c r="B1574" s="397" t="inlineStr">
        <is>
          <t>STC</t>
        </is>
      </c>
      <c r="C1574" s="398" t="inlineStr">
        <is>
          <t>STABLE TRADING CO., LTD</t>
        </is>
      </c>
      <c r="D1574" s="399" t="n"/>
      <c r="E1574" s="399" t="n"/>
      <c r="F1574" s="398" t="inlineStr">
        <is>
          <t>No. 1455-1 Chungshan Rd, Luchu Kaohsiung, Taiwan</t>
        </is>
      </c>
      <c r="G1574" s="399" t="n"/>
      <c r="H1574" s="399" t="n"/>
      <c r="J1574" s="392">
        <f>IFERROR(UPPER(TRIM(B1574))&amp;"|"&amp;UPPER(TRIM(C1574))&amp;"|"&amp;UPPER(TRIM(D1574)),"")</f>
        <v/>
      </c>
    </row>
    <row r="1575" ht="15.75" customHeight="1" s="217">
      <c r="A1575" s="400" t="n">
        <v>1573</v>
      </c>
      <c r="B1575" s="400" t="inlineStr">
        <is>
          <t>QV</t>
        </is>
      </c>
      <c r="C1575" s="401" t="inlineStr">
        <is>
          <t>Cửa hàng Quang Vinh - Hàng Xanh / 0908.328.278</t>
        </is>
      </c>
      <c r="D1575" s="400" t="inlineStr">
        <is>
          <t>0908.328.278</t>
        </is>
      </c>
      <c r="E1575" s="402" t="n"/>
      <c r="F1575" s="401" t="inlineStr">
        <is>
          <t>273 Điện Biên Phủ, Bình Thạnh, HCM</t>
        </is>
      </c>
      <c r="G1575" s="402" t="n"/>
      <c r="H1575" s="402" t="n"/>
      <c r="J1575" s="392">
        <f>IFERROR(UPPER(TRIM(B1575))&amp;"|"&amp;UPPER(TRIM(C1575))&amp;"|"&amp;UPPER(TRIM(D1575)),"")</f>
        <v/>
      </c>
    </row>
    <row r="1576" ht="15.75" customHeight="1" s="217">
      <c r="A1576" s="397" t="n">
        <v>1574</v>
      </c>
      <c r="B1576" s="397" t="inlineStr">
        <is>
          <t>HV</t>
        </is>
      </c>
      <c r="C1576" s="398" t="inlineStr">
        <is>
          <t>Công ty TNHH Hoành Vũ 0964.274.088</t>
        </is>
      </c>
      <c r="D1576" s="397" t="inlineStr">
        <is>
          <t>0964.274.088</t>
        </is>
      </c>
      <c r="E1576" s="399" t="n"/>
      <c r="F1576" s="404" t="n"/>
      <c r="G1576" s="399" t="n"/>
      <c r="H1576" s="399" t="n"/>
      <c r="J1576" s="392">
        <f>IFERROR(UPPER(TRIM(B1576))&amp;"|"&amp;UPPER(TRIM(C1576))&amp;"|"&amp;UPPER(TRIM(D1576)),"")</f>
        <v/>
      </c>
    </row>
    <row r="1577" ht="15.75" customHeight="1" s="217">
      <c r="A1577" s="400" t="n">
        <v>1575</v>
      </c>
      <c r="B1577" s="400" t="inlineStr">
        <is>
          <t>SAKURA</t>
        </is>
      </c>
      <c r="C1577" s="401" t="inlineStr">
        <is>
          <t>Phượng Sakura</t>
        </is>
      </c>
      <c r="D1577" s="402" t="n"/>
      <c r="E1577" s="402" t="n"/>
      <c r="F1577" s="401" t="inlineStr">
        <is>
          <t>215 Nguyễn Công Trứ, P.Nguyễn Thái Bình, Q.1</t>
        </is>
      </c>
      <c r="G1577" s="402" t="n"/>
      <c r="H1577" s="402" t="n"/>
      <c r="J1577" s="392">
        <f>IFERROR(UPPER(TRIM(B1577))&amp;"|"&amp;UPPER(TRIM(C1577))&amp;"|"&amp;UPPER(TRIM(D1577)),"")</f>
        <v/>
      </c>
    </row>
    <row r="1578" ht="15.75" customHeight="1" s="217">
      <c r="A1578" s="397" t="n">
        <v>1576</v>
      </c>
      <c r="B1578" s="397" t="inlineStr">
        <is>
          <t>DCT</t>
        </is>
      </c>
      <c r="C1578" s="398" t="inlineStr">
        <is>
          <t>Công ty Đại Chung Trí - Q5 / 028.38.398.402</t>
        </is>
      </c>
      <c r="D1578" s="399" t="n"/>
      <c r="E1578" s="399" t="n"/>
      <c r="F1578" s="398" t="inlineStr">
        <is>
          <t>431 An Dương Vương, P. 3, Q. 5, HCM</t>
        </is>
      </c>
      <c r="G1578" s="399" t="n"/>
      <c r="H1578" s="397" t="inlineStr">
        <is>
          <t>Nguyễn Tri Phương, STK: 060006817729, SCB CN Hưng Đạo, Q5</t>
        </is>
      </c>
      <c r="J1578" s="392">
        <f>IFERROR(UPPER(TRIM(B1578))&amp;"|"&amp;UPPER(TRIM(C1578))&amp;"|"&amp;UPPER(TRIM(D1578)),"")</f>
        <v/>
      </c>
    </row>
    <row r="1579" ht="15.75" customHeight="1" s="217">
      <c r="A1579" s="400" t="n">
        <v>1577</v>
      </c>
      <c r="B1579" s="400" t="inlineStr">
        <is>
          <t>TPL</t>
        </is>
      </c>
      <c r="C1579" s="401" t="inlineStr">
        <is>
          <t>Công ty Thịnh Phát Lộc / Chị Bé 02862.602.995</t>
        </is>
      </c>
      <c r="D1579" s="400" t="inlineStr">
        <is>
          <t>02862.602.995</t>
        </is>
      </c>
      <c r="E1579" s="402" t="n"/>
      <c r="F1579" s="401" t="inlineStr">
        <is>
          <t>83 đường số 6, P.Bình Trị Đông B, Q.Bình Tân</t>
        </is>
      </c>
      <c r="G1579" s="402" t="n"/>
      <c r="H1579" s="400" t="inlineStr">
        <is>
          <t>Trần Anh Duy, STK: 060017544988, SCB PGD Bình Trị Đông</t>
        </is>
      </c>
      <c r="J1579" s="392">
        <f>IFERROR(UPPER(TRIM(B1579))&amp;"|"&amp;UPPER(TRIM(C1579))&amp;"|"&amp;UPPER(TRIM(D1579)),"")</f>
        <v/>
      </c>
    </row>
    <row r="1580" ht="15.75" customHeight="1" s="217">
      <c r="A1580" s="397" t="n">
        <v>1578</v>
      </c>
      <c r="B1580" s="397" t="inlineStr">
        <is>
          <t>MN60</t>
        </is>
      </c>
      <c r="C1580" s="398" t="inlineStr">
        <is>
          <t>Khúc Văn Chiến</t>
        </is>
      </c>
      <c r="D1580" s="399" t="n"/>
      <c r="E1580" s="399" t="n"/>
      <c r="F1580" s="404" t="n"/>
      <c r="G1580" s="399" t="n"/>
      <c r="H1580" s="399" t="n"/>
      <c r="J1580" s="392">
        <f>IFERROR(UPPER(TRIM(B1580))&amp;"|"&amp;UPPER(TRIM(C1580))&amp;"|"&amp;UPPER(TRIM(D1580)),"")</f>
        <v/>
      </c>
    </row>
    <row r="1581" ht="15.75" customHeight="1" s="217">
      <c r="A1581" s="400" t="n">
        <v>1579</v>
      </c>
      <c r="B1581" s="400" t="inlineStr">
        <is>
          <t>PV</t>
        </is>
      </c>
      <c r="C1581" s="401" t="inlineStr">
        <is>
          <t>Cửa hàng Phú Vinh - Quận 5, Sài Gòn / 02838.547.308</t>
        </is>
      </c>
      <c r="D1581" s="400" t="inlineStr">
        <is>
          <t>02838.547.308</t>
        </is>
      </c>
      <c r="E1581" s="402" t="n"/>
      <c r="F1581" s="401" t="inlineStr">
        <is>
          <t>Số 40 Lưỡng Nhữ Học, Quận 5, TPHCM</t>
        </is>
      </c>
      <c r="G1581" s="402" t="n"/>
      <c r="H1581" s="400" t="inlineStr">
        <is>
          <t>Huỳnh Vinh Cường, TK số 63548989 tại ACB CN Châu Văn Liêm</t>
        </is>
      </c>
      <c r="J1581" s="392">
        <f>IFERROR(UPPER(TRIM(B1581))&amp;"|"&amp;UPPER(TRIM(C1581))&amp;"|"&amp;UPPER(TRIM(D1581)),"")</f>
        <v/>
      </c>
    </row>
    <row r="1582" ht="15.75" customHeight="1" s="217">
      <c r="A1582" s="397" t="n">
        <v>1580</v>
      </c>
      <c r="B1582" s="397" t="inlineStr">
        <is>
          <t>KH2232</t>
        </is>
      </c>
      <c r="C1582" s="398" t="inlineStr">
        <is>
          <t>Công TY Khải Lâm - Hóc Môn</t>
        </is>
      </c>
      <c r="D1582" s="399" t="n"/>
      <c r="E1582" s="399" t="n"/>
      <c r="F1582" s="398" t="inlineStr">
        <is>
          <t>Hóc Môn - Sài Gòn</t>
        </is>
      </c>
      <c r="G1582" s="397" t="inlineStr">
        <is>
          <t>LA</t>
        </is>
      </c>
      <c r="H1582" s="399" t="n"/>
      <c r="J1582" s="392">
        <f>IFERROR(UPPER(TRIM(B1582))&amp;"|"&amp;UPPER(TRIM(C1582))&amp;"|"&amp;UPPER(TRIM(D1582)),"")</f>
        <v/>
      </c>
    </row>
    <row r="1583" ht="15.75" customHeight="1" s="217">
      <c r="A1583" s="400" t="n">
        <v>1581</v>
      </c>
      <c r="B1583" s="400" t="inlineStr">
        <is>
          <t>PH</t>
        </is>
      </c>
      <c r="C1583" s="401" t="inlineStr">
        <is>
          <t>Công ty TNHH MTV KS Phụng Hoàng</t>
        </is>
      </c>
      <c r="D1583" s="402" t="n"/>
      <c r="E1583" s="402" t="n"/>
      <c r="F1583" s="401" t="inlineStr">
        <is>
          <t>242 Nguyễn Công Trứ, P.Nguyễn Thái Bình, Q.1, TP.HCM</t>
        </is>
      </c>
      <c r="G1583" s="402" t="n"/>
      <c r="H1583" s="402" t="n"/>
      <c r="J1583" s="392">
        <f>IFERROR(UPPER(TRIM(B1583))&amp;"|"&amp;UPPER(TRIM(C1583))&amp;"|"&amp;UPPER(TRIM(D1583)),"")</f>
        <v/>
      </c>
    </row>
    <row r="1584" ht="15.75" customHeight="1" s="217">
      <c r="A1584" s="397" t="n">
        <v>1582</v>
      </c>
      <c r="B1584" s="397" t="inlineStr">
        <is>
          <t>HL</t>
        </is>
      </c>
      <c r="C1584" s="398" t="inlineStr">
        <is>
          <t>Công ty Hải Lâm - CN tại HCM / 0901.252.347-0907.252.347</t>
        </is>
      </c>
      <c r="D1584" s="397" t="inlineStr">
        <is>
          <t>0901.252.347-0907</t>
        </is>
      </c>
      <c r="E1584" s="399" t="n"/>
      <c r="F1584" s="398" t="inlineStr">
        <is>
          <t>Số 77, đường Đông Minh, P Đông Hòa, Dĩ An, Bình Dương</t>
        </is>
      </c>
      <c r="G1584" s="399" t="n"/>
      <c r="H1584" s="399" t="n"/>
      <c r="J1584" s="392">
        <f>IFERROR(UPPER(TRIM(B1584))&amp;"|"&amp;UPPER(TRIM(C1584))&amp;"|"&amp;UPPER(TRIM(D1584)),"")</f>
        <v/>
      </c>
    </row>
    <row r="1585" ht="15.75" customHeight="1" s="217">
      <c r="A1585" s="400" t="n">
        <v>1583</v>
      </c>
      <c r="B1585" s="400" t="inlineStr">
        <is>
          <t>TBD</t>
        </is>
      </c>
      <c r="C1585" s="401" t="inlineStr">
        <is>
          <t>Công ty TNHH Phụ Tùng Thái Bình Dương/ 02822.026.268</t>
        </is>
      </c>
      <c r="D1585" s="400" t="inlineStr">
        <is>
          <t>02822.026.268</t>
        </is>
      </c>
      <c r="E1585" s="402" t="n"/>
      <c r="F1585" s="401" t="inlineStr">
        <is>
          <t>B2/7A QL1, ấp 2, Xã Tân Kiêu, Bình Chánh</t>
        </is>
      </c>
      <c r="G1585" s="402" t="n"/>
      <c r="H1585" s="400" t="inlineStr">
        <is>
          <t>Huỳnh Kim Loan, Số TK 060155159777, SCB PGD An Lạc</t>
        </is>
      </c>
      <c r="J1585" s="392">
        <f>IFERROR(UPPER(TRIM(B1585))&amp;"|"&amp;UPPER(TRIM(C1585))&amp;"|"&amp;UPPER(TRIM(D1585)),"")</f>
        <v/>
      </c>
    </row>
    <row r="1586" ht="15.75" customHeight="1" s="217">
      <c r="A1586" s="397" t="n">
        <v>1584</v>
      </c>
      <c r="B1586" s="397" t="inlineStr">
        <is>
          <t>HP</t>
        </is>
      </c>
      <c r="C1586" s="398" t="inlineStr">
        <is>
          <t>Cửa Hàng Hào Phát - Điện Biên Phủ, Bình Thạnh / Anh Hào: 0985.352.024</t>
        </is>
      </c>
      <c r="D1586" s="397" t="inlineStr">
        <is>
          <t>0985.352.024</t>
        </is>
      </c>
      <c r="E1586" s="399" t="n"/>
      <c r="F1586" s="398" t="inlineStr">
        <is>
          <t>Điện Biên Phủ, Bình Thạnh, SG</t>
        </is>
      </c>
      <c r="G1586" s="399" t="n"/>
      <c r="H1586" s="399" t="n"/>
      <c r="J1586" s="392">
        <f>IFERROR(UPPER(TRIM(B1586))&amp;"|"&amp;UPPER(TRIM(C1586))&amp;"|"&amp;UPPER(TRIM(D1586)),"")</f>
        <v/>
      </c>
    </row>
    <row r="1587" ht="15.75" customHeight="1" s="217">
      <c r="A1587" s="400" t="n">
        <v>1585</v>
      </c>
      <c r="B1587" s="400" t="inlineStr">
        <is>
          <t>DONAL</t>
        </is>
      </c>
      <c r="C1587" s="401" t="inlineStr">
        <is>
          <t>Công ty Việt Nguyên Donalson - Nguyễn Hữu Thọ / 0903.850.970</t>
        </is>
      </c>
      <c r="D1587" s="400" t="inlineStr">
        <is>
          <t>0903.850.970</t>
        </is>
      </c>
      <c r="E1587" s="402" t="n"/>
      <c r="F1587" s="401" t="inlineStr">
        <is>
          <t>40/41 Lê Hữu Thọ, Gò Vấp</t>
        </is>
      </c>
      <c r="G1587" s="402" t="n"/>
      <c r="H1587" s="400" t="inlineStr">
        <is>
          <t>Nguyen Van Giang, TK 060003008978, Sacombank CN Gò Vấp</t>
        </is>
      </c>
      <c r="J1587" s="392">
        <f>IFERROR(UPPER(TRIM(B1587))&amp;"|"&amp;UPPER(TRIM(C1587))&amp;"|"&amp;UPPER(TRIM(D1587)),"")</f>
        <v/>
      </c>
    </row>
    <row r="1588" ht="15.75" customHeight="1" s="217">
      <c r="A1588" s="397" t="n">
        <v>1586</v>
      </c>
      <c r="B1588" s="397" t="inlineStr">
        <is>
          <t>TNC</t>
        </is>
      </c>
      <c r="C1588" s="398" t="inlineStr">
        <is>
          <t>Công ty mới TNC</t>
        </is>
      </c>
      <c r="D1588" s="399" t="n"/>
      <c r="E1588" s="399" t="n"/>
      <c r="F1588" s="398" t="inlineStr">
        <is>
          <t>Số 11, Đường Vĩnh Phú 10, Phường Vĩnh Phú, TX Thuận An, Tỉnh Bình Dương</t>
        </is>
      </c>
      <c r="G1588" s="399" t="n"/>
      <c r="H1588" s="399" t="n"/>
      <c r="J1588" s="392">
        <f>IFERROR(UPPER(TRIM(B1588))&amp;"|"&amp;UPPER(TRIM(C1588))&amp;"|"&amp;UPPER(TRIM(D1588)),"")</f>
        <v/>
      </c>
    </row>
    <row r="1589" ht="15.75" customHeight="1" s="217">
      <c r="A1589" s="400" t="n">
        <v>1587</v>
      </c>
      <c r="B1589" s="400" t="inlineStr">
        <is>
          <t>KH2231</t>
        </is>
      </c>
      <c r="C1589" s="401" t="inlineStr">
        <is>
          <t>Xưởng Tiện Nhựt Thành - Long An / A.Vinh: 0913.834.377 - C.Linh: 0916402077</t>
        </is>
      </c>
      <c r="D1589" s="400" t="inlineStr">
        <is>
          <t>0913.834.377 / 0916402077</t>
        </is>
      </c>
      <c r="E1589" s="402" t="n"/>
      <c r="F1589" s="401" t="inlineStr">
        <is>
          <t>178 Quốc Lộ 1, Long An</t>
        </is>
      </c>
      <c r="G1589" s="400" t="inlineStr">
        <is>
          <t>LA</t>
        </is>
      </c>
      <c r="H1589" s="402" t="n"/>
      <c r="J1589" s="392">
        <f>IFERROR(UPPER(TRIM(B1589))&amp;"|"&amp;UPPER(TRIM(C1589))&amp;"|"&amp;UPPER(TRIM(D1589)),"")</f>
        <v/>
      </c>
    </row>
    <row r="1590" ht="15.75" customHeight="1" s="217">
      <c r="A1590" s="397" t="n">
        <v>1588</v>
      </c>
      <c r="B1590" s="397" t="inlineStr">
        <is>
          <t>KH2229</t>
        </is>
      </c>
      <c r="C1590" s="398" t="inlineStr">
        <is>
          <t>Xưởng tiện anh Tân - Vĩnh Long  / Anh Tân : 0903.822.749</t>
        </is>
      </c>
      <c r="D1590" s="397" t="inlineStr">
        <is>
          <t>0903.822.749</t>
        </is>
      </c>
      <c r="E1590" s="399" t="n"/>
      <c r="F1590" s="398" t="inlineStr">
        <is>
          <t>Số 1 Đinh Tiên Hoàng, Vĩnh Long (gần bến xe)</t>
        </is>
      </c>
      <c r="G1590" s="397" t="inlineStr">
        <is>
          <t>VĨNH LONG</t>
        </is>
      </c>
      <c r="H1590" s="399" t="n"/>
      <c r="J1590" s="392">
        <f>IFERROR(UPPER(TRIM(B1590))&amp;"|"&amp;UPPER(TRIM(C1590))&amp;"|"&amp;UPPER(TRIM(D1590)),"")</f>
        <v/>
      </c>
    </row>
    <row r="1591" ht="15.75" customHeight="1" s="217">
      <c r="A1591" s="400" t="n">
        <v>1589</v>
      </c>
      <c r="B1591" s="400" t="inlineStr">
        <is>
          <t>KH2230</t>
        </is>
      </c>
      <c r="C1591" s="401" t="inlineStr">
        <is>
          <t>Xưởng Anh Thừa - Hậu Giang / 0977.149.477</t>
        </is>
      </c>
      <c r="D1591" s="400" t="inlineStr">
        <is>
          <t>0977.149.477</t>
        </is>
      </c>
      <c r="E1591" s="402" t="n"/>
      <c r="F1591" s="401" t="inlineStr">
        <is>
          <t>Vị Thanh, Hậu Giang</t>
        </is>
      </c>
      <c r="G1591" s="400" t="inlineStr">
        <is>
          <t>HG</t>
        </is>
      </c>
      <c r="H1591" s="402" t="n"/>
      <c r="J1591" s="392">
        <f>IFERROR(UPPER(TRIM(B1591))&amp;"|"&amp;UPPER(TRIM(C1591))&amp;"|"&amp;UPPER(TRIM(D1591)),"")</f>
        <v/>
      </c>
    </row>
    <row r="1592" ht="15.75" customHeight="1" s="217">
      <c r="A1592" s="397" t="n">
        <v>1590</v>
      </c>
      <c r="B1592" s="397" t="inlineStr">
        <is>
          <t>KH2226</t>
        </is>
      </c>
      <c r="C1592" s="398" t="inlineStr">
        <is>
          <t>Anh Hòa - Ba Tri / 01688.234.188</t>
        </is>
      </c>
      <c r="D1592" s="397" t="inlineStr">
        <is>
          <t>01688.234.188</t>
        </is>
      </c>
      <c r="E1592" s="399" t="n"/>
      <c r="F1592" s="398" t="inlineStr">
        <is>
          <t>Ba Tri - Bến Tre</t>
        </is>
      </c>
      <c r="G1592" s="397" t="inlineStr">
        <is>
          <t>BTRE</t>
        </is>
      </c>
      <c r="H1592" s="399" t="n"/>
      <c r="J1592" s="392">
        <f>IFERROR(UPPER(TRIM(B1592))&amp;"|"&amp;UPPER(TRIM(C1592))&amp;"|"&amp;UPPER(TRIM(D1592)),"")</f>
        <v/>
      </c>
    </row>
    <row r="1593" ht="15.75" customHeight="1" s="217">
      <c r="A1593" s="400" t="n">
        <v>1591</v>
      </c>
      <c r="B1593" s="400" t="inlineStr">
        <is>
          <t>KH2227</t>
        </is>
      </c>
      <c r="C1593" s="401" t="inlineStr">
        <is>
          <t>Xưởng Động Cơ Anh Khái - Nguyễn Văn Linh, SG / 0903.739.700</t>
        </is>
      </c>
      <c r="D1593" s="400" t="inlineStr">
        <is>
          <t>0903.739.700</t>
        </is>
      </c>
      <c r="E1593" s="402" t="n"/>
      <c r="F1593" s="401" t="inlineStr">
        <is>
          <t>Nguyễn Văn Linh - Sài Gòn</t>
        </is>
      </c>
      <c r="G1593" s="400" t="inlineStr">
        <is>
          <t>SG/HCM</t>
        </is>
      </c>
      <c r="H1593" s="402" t="n"/>
      <c r="J1593" s="392">
        <f>IFERROR(UPPER(TRIM(B1593))&amp;"|"&amp;UPPER(TRIM(C1593))&amp;"|"&amp;UPPER(TRIM(D1593)),"")</f>
        <v/>
      </c>
    </row>
    <row r="1594" ht="15.75" customHeight="1" s="217">
      <c r="A1594" s="397" t="n">
        <v>1592</v>
      </c>
      <c r="B1594" s="397" t="inlineStr">
        <is>
          <t>KH2228</t>
        </is>
      </c>
      <c r="C1594" s="398" t="inlineStr">
        <is>
          <t>Cửa hàng Đức Phong - Kiên Giang / Anh Vĩ: 0903.918.073</t>
        </is>
      </c>
      <c r="D1594" s="397" t="inlineStr">
        <is>
          <t>0903.918.073</t>
        </is>
      </c>
      <c r="E1594" s="399" t="n"/>
      <c r="F1594" s="398" t="inlineStr">
        <is>
          <t>65-67 Nguyễn Chí Thanh, Rạch Giá, Kiên Giang</t>
        </is>
      </c>
      <c r="G1594" s="397" t="inlineStr">
        <is>
          <t>KG</t>
        </is>
      </c>
      <c r="H1594" s="399" t="n"/>
      <c r="J1594" s="392">
        <f>IFERROR(UPPER(TRIM(B1594))&amp;"|"&amp;UPPER(TRIM(C1594))&amp;"|"&amp;UPPER(TRIM(D1594)),"")</f>
        <v/>
      </c>
    </row>
    <row r="1595" ht="15.75" customHeight="1" s="217">
      <c r="A1595" s="400" t="n">
        <v>1593</v>
      </c>
      <c r="B1595" s="400" t="inlineStr">
        <is>
          <t>KH2222</t>
        </is>
      </c>
      <c r="C1595" s="401" t="inlineStr">
        <is>
          <t>Xưởng Tâm Hữu Tín - Vĩnh Long / A.Tâm: 0913.889.342</t>
        </is>
      </c>
      <c r="D1595" s="400" t="inlineStr">
        <is>
          <t>0913.889.342</t>
        </is>
      </c>
      <c r="E1595" s="402" t="n"/>
      <c r="F1595" s="401" t="inlineStr">
        <is>
          <t>37 Đinh Tiên Hoàng, Vĩnh Long</t>
        </is>
      </c>
      <c r="G1595" s="400" t="inlineStr">
        <is>
          <t>VĨNH LONG</t>
        </is>
      </c>
      <c r="H1595" s="402" t="n"/>
      <c r="J1595" s="392">
        <f>IFERROR(UPPER(TRIM(B1595))&amp;"|"&amp;UPPER(TRIM(C1595))&amp;"|"&amp;UPPER(TRIM(D1595)),"")</f>
        <v/>
      </c>
    </row>
    <row r="1596" ht="15.75" customHeight="1" s="217">
      <c r="A1596" s="397" t="n">
        <v>1594</v>
      </c>
      <c r="B1596" s="397" t="inlineStr">
        <is>
          <t>KH2223</t>
        </is>
      </c>
      <c r="C1596" s="398" t="inlineStr">
        <is>
          <t>Xưởng Cơ Khí Sông Hậu - Cần Thơ / Anh Liêm: 0903.828.768</t>
        </is>
      </c>
      <c r="D1596" s="397" t="inlineStr">
        <is>
          <t>0903.828.768</t>
        </is>
      </c>
      <c r="E1596" s="399" t="n"/>
      <c r="F1596" s="398" t="inlineStr">
        <is>
          <t>Nguyễn Thị Tính, đường Cách Mạng Tháng 8, Bình Thủy, Cần Thơ</t>
        </is>
      </c>
      <c r="G1596" s="397" t="inlineStr">
        <is>
          <t>CTHO</t>
        </is>
      </c>
      <c r="H1596" s="397" t="inlineStr">
        <is>
          <t>xe A Ban - 0908.093.030, xe 12 giờ chạy , 295 Hùng Vương, P9, Quận 5</t>
        </is>
      </c>
      <c r="J1596" s="392">
        <f>IFERROR(UPPER(TRIM(B1596))&amp;"|"&amp;UPPER(TRIM(C1596))&amp;"|"&amp;UPPER(TRIM(D1596)),"")</f>
        <v/>
      </c>
    </row>
    <row r="1597" ht="15.75" customHeight="1" s="217">
      <c r="A1597" s="400" t="n">
        <v>1595</v>
      </c>
      <c r="B1597" s="400" t="inlineStr">
        <is>
          <t>KH2224</t>
        </is>
      </c>
      <c r="C1597" s="401" t="inlineStr">
        <is>
          <t>Anh Tiến - Đà Lạt / 0942.849.981</t>
        </is>
      </c>
      <c r="D1597" s="400" t="inlineStr">
        <is>
          <t>0942.849.981</t>
        </is>
      </c>
      <c r="E1597" s="402" t="n"/>
      <c r="F1597" s="401" t="inlineStr">
        <is>
          <t>Đà Lạt - Lâm Đồng</t>
        </is>
      </c>
      <c r="G1597" s="400" t="inlineStr">
        <is>
          <t>LDONG</t>
        </is>
      </c>
      <c r="H1597" s="402" t="n"/>
      <c r="J1597" s="392">
        <f>IFERROR(UPPER(TRIM(B1597))&amp;"|"&amp;UPPER(TRIM(C1597))&amp;"|"&amp;UPPER(TRIM(D1597)),"")</f>
        <v/>
      </c>
    </row>
    <row r="1598" ht="15.75" customHeight="1" s="217">
      <c r="A1598" s="397" t="n">
        <v>1596</v>
      </c>
      <c r="B1598" s="397" t="inlineStr">
        <is>
          <t>KH2225</t>
        </is>
      </c>
      <c r="C1598" s="398" t="inlineStr">
        <is>
          <t>X Chị Thư - Q8 / 0938.776.354</t>
        </is>
      </c>
      <c r="D1598" s="397" t="inlineStr">
        <is>
          <t>0938.776.354</t>
        </is>
      </c>
      <c r="E1598" s="399" t="n"/>
      <c r="F1598" s="398" t="inlineStr">
        <is>
          <t>Q.8, HCM</t>
        </is>
      </c>
      <c r="G1598" s="397" t="inlineStr">
        <is>
          <t>SG/HCM</t>
        </is>
      </c>
      <c r="H1598" s="399" t="n"/>
      <c r="J1598" s="392">
        <f>IFERROR(UPPER(TRIM(B1598))&amp;"|"&amp;UPPER(TRIM(C1598))&amp;"|"&amp;UPPER(TRIM(D1598)),"")</f>
        <v/>
      </c>
    </row>
    <row r="1599" ht="15.75" customHeight="1" s="217">
      <c r="A1599" s="400" t="n">
        <v>1597</v>
      </c>
      <c r="B1599" s="400" t="inlineStr">
        <is>
          <t>KH2217</t>
        </is>
      </c>
      <c r="C1599" s="401" t="inlineStr">
        <is>
          <t>Xưởng Thành Lợi - Cà Mau / Anh Huy: 0944.447.788</t>
        </is>
      </c>
      <c r="D1599" s="400" t="inlineStr">
        <is>
          <t>0944.447.788</t>
        </is>
      </c>
      <c r="E1599" s="402" t="n"/>
      <c r="F1599" s="401" t="inlineStr">
        <is>
          <t>292 Lý Văn Lâm, Phường 1, Cà Mau</t>
        </is>
      </c>
      <c r="G1599" s="400" t="inlineStr">
        <is>
          <t>CMAU</t>
        </is>
      </c>
      <c r="H1599" s="402" t="n"/>
      <c r="J1599" s="392">
        <f>IFERROR(UPPER(TRIM(B1599))&amp;"|"&amp;UPPER(TRIM(C1599))&amp;"|"&amp;UPPER(TRIM(D1599)),"")</f>
        <v/>
      </c>
    </row>
    <row r="1600" ht="15.75" customHeight="1" s="217">
      <c r="A1600" s="397" t="n">
        <v>1598</v>
      </c>
      <c r="B1600" s="397" t="inlineStr">
        <is>
          <t>KH2218</t>
        </is>
      </c>
      <c r="C1600" s="398" t="inlineStr">
        <is>
          <t>X Anh Bé - Vĩnh Long / 0972.251.075</t>
        </is>
      </c>
      <c r="D1600" s="397" t="inlineStr">
        <is>
          <t>0972.251.075</t>
        </is>
      </c>
      <c r="E1600" s="399" t="n"/>
      <c r="F1600" s="398" t="inlineStr">
        <is>
          <t>22C/7, ấp Tân An, Long Hồ, Vĩnh Long</t>
        </is>
      </c>
      <c r="G1600" s="397" t="inlineStr">
        <is>
          <t>VĨNH LONG</t>
        </is>
      </c>
      <c r="H1600" s="399" t="n"/>
      <c r="J1600" s="392">
        <f>IFERROR(UPPER(TRIM(B1600))&amp;"|"&amp;UPPER(TRIM(C1600))&amp;"|"&amp;UPPER(TRIM(D1600)),"")</f>
        <v/>
      </c>
    </row>
    <row r="1601" ht="15.75" customHeight="1" s="217">
      <c r="A1601" s="400" t="n">
        <v>1599</v>
      </c>
      <c r="B1601" s="400" t="inlineStr">
        <is>
          <t>KH2219</t>
        </is>
      </c>
      <c r="C1601" s="401" t="inlineStr">
        <is>
          <t>Xưởng tiện anh Sáu - Vĩnh Long / 0919.191.491</t>
        </is>
      </c>
      <c r="D1601" s="400" t="inlineStr">
        <is>
          <t>0919.191.491</t>
        </is>
      </c>
      <c r="E1601" s="402" t="n"/>
      <c r="F1601" s="401" t="inlineStr">
        <is>
          <t>108A/08 QL57, Vĩnh Long</t>
        </is>
      </c>
      <c r="G1601" s="400" t="inlineStr">
        <is>
          <t>VĨNH LONG</t>
        </is>
      </c>
      <c r="H1601" s="402" t="n"/>
      <c r="J1601" s="392">
        <f>IFERROR(UPPER(TRIM(B1601))&amp;"|"&amp;UPPER(TRIM(C1601))&amp;"|"&amp;UPPER(TRIM(D1601)),"")</f>
        <v/>
      </c>
    </row>
    <row r="1602" ht="15.75" customHeight="1" s="217">
      <c r="A1602" s="397" t="n">
        <v>1600</v>
      </c>
      <c r="B1602" s="397" t="inlineStr">
        <is>
          <t>KH2220</t>
        </is>
      </c>
      <c r="C1602" s="398" t="inlineStr">
        <is>
          <t>Cty Lê Tiến - Quảng Ngãi / Anh Lê: 0989.971.720</t>
        </is>
      </c>
      <c r="D1602" s="397" t="inlineStr">
        <is>
          <t>0989.971.720</t>
        </is>
      </c>
      <c r="E1602" s="399" t="n"/>
      <c r="F1602" s="398" t="inlineStr">
        <is>
          <t>Quảng Ngãi</t>
        </is>
      </c>
      <c r="G1602" s="397" t="inlineStr">
        <is>
          <t>QUNGAI</t>
        </is>
      </c>
      <c r="H1602" s="399" t="n"/>
      <c r="J1602" s="392">
        <f>IFERROR(UPPER(TRIM(B1602))&amp;"|"&amp;UPPER(TRIM(C1602))&amp;"|"&amp;UPPER(TRIM(D1602)),"")</f>
        <v/>
      </c>
    </row>
    <row r="1603" ht="15.75" customHeight="1" s="217">
      <c r="A1603" s="400" t="n">
        <v>1601</v>
      </c>
      <c r="B1603" s="400" t="inlineStr">
        <is>
          <t>KH2221</t>
        </is>
      </c>
      <c r="C1603" s="401" t="inlineStr">
        <is>
          <t>Anh Hải - Hải Phòng / 0912.380.808</t>
        </is>
      </c>
      <c r="D1603" s="400" t="inlineStr">
        <is>
          <t>0912.380.808</t>
        </is>
      </c>
      <c r="E1603" s="402" t="n"/>
      <c r="F1603" s="401" t="inlineStr">
        <is>
          <t>Cảng Đình Vũ, Hải Phòng</t>
        </is>
      </c>
      <c r="G1603" s="402" t="n"/>
      <c r="H1603" s="402" t="n"/>
      <c r="J1603" s="392">
        <f>IFERROR(UPPER(TRIM(B1603))&amp;"|"&amp;UPPER(TRIM(C1603))&amp;"|"&amp;UPPER(TRIM(D1603)),"")</f>
        <v/>
      </c>
    </row>
    <row r="1604" ht="15.75" customHeight="1" s="217">
      <c r="A1604" s="397" t="n">
        <v>1602</v>
      </c>
      <c r="B1604" s="397" t="inlineStr">
        <is>
          <t>KH2216</t>
        </is>
      </c>
      <c r="C1604" s="398" t="inlineStr">
        <is>
          <t>Xưởng anh Phương - Bình Dương / 0898.897.489</t>
        </is>
      </c>
      <c r="D1604" s="397" t="inlineStr">
        <is>
          <t>0898.897.489</t>
        </is>
      </c>
      <c r="E1604" s="399" t="n"/>
      <c r="F1604" s="398" t="inlineStr">
        <is>
          <t>Dĩ An, Bình Dương</t>
        </is>
      </c>
      <c r="G1604" s="397" t="inlineStr">
        <is>
          <t>BDUONG</t>
        </is>
      </c>
      <c r="H1604" s="399" t="n"/>
      <c r="J1604" s="392">
        <f>IFERROR(UPPER(TRIM(B1604))&amp;"|"&amp;UPPER(TRIM(C1604))&amp;"|"&amp;UPPER(TRIM(D1604)),"")</f>
        <v/>
      </c>
    </row>
    <row r="1605" ht="15.75" customHeight="1" s="217">
      <c r="A1605" s="400" t="n">
        <v>1603</v>
      </c>
      <c r="B1605" s="400" t="inlineStr">
        <is>
          <t>KH2213</t>
        </is>
      </c>
      <c r="C1605" s="401" t="inlineStr">
        <is>
          <t>Anh Hùng - Bến Tre / 0914.293.793</t>
        </is>
      </c>
      <c r="D1605" s="400" t="inlineStr">
        <is>
          <t>0914.293.793</t>
        </is>
      </c>
      <c r="E1605" s="402" t="n"/>
      <c r="F1605" s="401" t="inlineStr">
        <is>
          <t>Bến Xe, Bến Tre</t>
        </is>
      </c>
      <c r="G1605" s="400" t="inlineStr">
        <is>
          <t>SG/HCM</t>
        </is>
      </c>
      <c r="H1605" s="402" t="n"/>
      <c r="J1605" s="392">
        <f>IFERROR(UPPER(TRIM(B1605))&amp;"|"&amp;UPPER(TRIM(C1605))&amp;"|"&amp;UPPER(TRIM(D1605)),"")</f>
        <v/>
      </c>
    </row>
    <row r="1606" ht="15.75" customHeight="1" s="217">
      <c r="A1606" s="397" t="n">
        <v>1604</v>
      </c>
      <c r="B1606" s="397" t="inlineStr">
        <is>
          <t>KH2214</t>
        </is>
      </c>
      <c r="C1606" s="398" t="inlineStr">
        <is>
          <t>Xưởng anh Phương - Q10 /  0965.214.014</t>
        </is>
      </c>
      <c r="D1606" s="397" t="inlineStr">
        <is>
          <t>0965.214.014</t>
        </is>
      </c>
      <c r="E1606" s="399" t="n"/>
      <c r="F1606" s="398" t="inlineStr">
        <is>
          <t>Quận 10, SG</t>
        </is>
      </c>
      <c r="G1606" s="397" t="inlineStr">
        <is>
          <t>SG/HCM</t>
        </is>
      </c>
      <c r="H1606" s="399" t="n"/>
      <c r="J1606" s="392">
        <f>IFERROR(UPPER(TRIM(B1606))&amp;"|"&amp;UPPER(TRIM(C1606))&amp;"|"&amp;UPPER(TRIM(D1606)),"")</f>
        <v/>
      </c>
    </row>
    <row r="1607" ht="15.75" customHeight="1" s="217">
      <c r="A1607" s="400" t="n">
        <v>1605</v>
      </c>
      <c r="B1607" s="400" t="inlineStr">
        <is>
          <t>KH2215</t>
        </is>
      </c>
      <c r="C1607" s="401" t="inlineStr">
        <is>
          <t>Cty CP XD TM DV Nhà Thép Gia Phú - SG / Anh Khoa: 0909.755.559</t>
        </is>
      </c>
      <c r="D1607" s="400" t="inlineStr">
        <is>
          <t>0909.755.559</t>
        </is>
      </c>
      <c r="E1607" s="402" t="n"/>
      <c r="F1607" s="401" t="inlineStr">
        <is>
          <t>104 Hồ Văn Huê, P.9, Q.Phú Nhuận, HCM</t>
        </is>
      </c>
      <c r="G1607" s="400" t="inlineStr">
        <is>
          <t>SG/HCM</t>
        </is>
      </c>
      <c r="H1607" s="402" t="n"/>
      <c r="J1607" s="392">
        <f>IFERROR(UPPER(TRIM(B1607))&amp;"|"&amp;UPPER(TRIM(C1607))&amp;"|"&amp;UPPER(TRIM(D1607)),"")</f>
        <v/>
      </c>
    </row>
    <row r="1608" ht="15.75" customHeight="1" s="217">
      <c r="A1608" s="397" t="n">
        <v>1606</v>
      </c>
      <c r="B1608" s="397" t="inlineStr">
        <is>
          <t>KH2212</t>
        </is>
      </c>
      <c r="C1608" s="398" t="inlineStr">
        <is>
          <t>Cửa hàng Phụ Tùng Máy Đồng Tâm - Sóc Trăng / Anh Hùng: 0903.746.008</t>
        </is>
      </c>
      <c r="D1608" s="397" t="inlineStr">
        <is>
          <t>0903.746.008</t>
        </is>
      </c>
      <c r="E1608" s="399" t="n"/>
      <c r="F1608" s="398" t="inlineStr">
        <is>
          <t>224 Đường Trương Công Định, Khóm 5, P.2,TP. Sóc Trăng</t>
        </is>
      </c>
      <c r="G1608" s="397" t="inlineStr">
        <is>
          <t>STRANG</t>
        </is>
      </c>
      <c r="H1608" s="399" t="n"/>
      <c r="J1608" s="392">
        <f>IFERROR(UPPER(TRIM(B1608))&amp;"|"&amp;UPPER(TRIM(C1608))&amp;"|"&amp;UPPER(TRIM(D1608)),"")</f>
        <v/>
      </c>
    </row>
    <row r="1609" ht="15.75" customHeight="1" s="217">
      <c r="A1609" s="400" t="n">
        <v>1607</v>
      </c>
      <c r="B1609" s="400" t="inlineStr">
        <is>
          <t>KH2210</t>
        </is>
      </c>
      <c r="C1609" s="401" t="inlineStr">
        <is>
          <t>Anh Xanh - Củ Chi / 0868.676.413/ 0963.406.413</t>
        </is>
      </c>
      <c r="D1609" s="400" t="inlineStr">
        <is>
          <t>0868.676.413 / 0963.406.413</t>
        </is>
      </c>
      <c r="E1609" s="402" t="n"/>
      <c r="F1609" s="401" t="inlineStr">
        <is>
          <t>Củ Chi</t>
        </is>
      </c>
      <c r="G1609" s="400" t="inlineStr">
        <is>
          <t>SG/HCM</t>
        </is>
      </c>
      <c r="H1609" s="402" t="n"/>
      <c r="J1609" s="392">
        <f>IFERROR(UPPER(TRIM(B1609))&amp;"|"&amp;UPPER(TRIM(C1609))&amp;"|"&amp;UPPER(TRIM(D1609)),"")</f>
        <v/>
      </c>
    </row>
    <row r="1610" ht="15.75" customHeight="1" s="217">
      <c r="A1610" s="397" t="n">
        <v>1608</v>
      </c>
      <c r="B1610" s="397" t="inlineStr">
        <is>
          <t>KH2211</t>
        </is>
      </c>
      <c r="C1610" s="398" t="inlineStr">
        <is>
          <t>Cty New Sun - Kontum / A Mạnh: 0978.141.438/A Tiết 0988.318.972</t>
        </is>
      </c>
      <c r="D1610" s="397" t="inlineStr">
        <is>
          <t>0978.141.438 / 0988.318.972</t>
        </is>
      </c>
      <c r="E1610" s="399" t="n"/>
      <c r="F1610" s="398" t="inlineStr">
        <is>
          <t>Kontum</t>
        </is>
      </c>
      <c r="G1610" s="397" t="inlineStr">
        <is>
          <t>KTUM</t>
        </is>
      </c>
      <c r="H1610" s="399" t="n"/>
      <c r="J1610" s="392">
        <f>IFERROR(UPPER(TRIM(B1610))&amp;"|"&amp;UPPER(TRIM(C1610))&amp;"|"&amp;UPPER(TRIM(D1610)),"")</f>
        <v/>
      </c>
    </row>
    <row r="1611" ht="15.75" customHeight="1" s="217">
      <c r="A1611" s="400" t="n">
        <v>1609</v>
      </c>
      <c r="B1611" s="400" t="inlineStr">
        <is>
          <t>KH2204</t>
        </is>
      </c>
      <c r="C1611" s="401" t="inlineStr">
        <is>
          <t>Cty Huy Hoàng - Kon tum / Anh Chương: 0935.924.699</t>
        </is>
      </c>
      <c r="D1611" s="400" t="inlineStr">
        <is>
          <t>0935.924.699</t>
        </is>
      </c>
      <c r="E1611" s="402" t="n"/>
      <c r="F1611" s="401" t="inlineStr">
        <is>
          <t>Kom tum</t>
        </is>
      </c>
      <c r="G1611" s="400" t="inlineStr">
        <is>
          <t>KTUM</t>
        </is>
      </c>
      <c r="H1611" s="402" t="n"/>
      <c r="J1611" s="392">
        <f>IFERROR(UPPER(TRIM(B1611))&amp;"|"&amp;UPPER(TRIM(C1611))&amp;"|"&amp;UPPER(TRIM(D1611)),"")</f>
        <v/>
      </c>
    </row>
    <row r="1612" ht="15.75" customHeight="1" s="217">
      <c r="A1612" s="397" t="n">
        <v>1610</v>
      </c>
      <c r="B1612" s="397" t="inlineStr">
        <is>
          <t>KH2205</t>
        </is>
      </c>
      <c r="C1612" s="398" t="inlineStr">
        <is>
          <t>Cửa hàng Minh Trí - Sóc Trăng / 0913.615.169 - 0969.696.850</t>
        </is>
      </c>
      <c r="D1612" s="397" t="inlineStr">
        <is>
          <t>0913.615.169 / 0969.696.850</t>
        </is>
      </c>
      <c r="E1612" s="399" t="n"/>
      <c r="F1612" s="398" t="inlineStr">
        <is>
          <t>ấp Thạnh Lợi, TT Mỹ Xuyên, Mỹ Xuyên</t>
        </is>
      </c>
      <c r="G1612" s="397" t="inlineStr">
        <is>
          <t>STRANG</t>
        </is>
      </c>
      <c r="H1612" s="399" t="n"/>
      <c r="J1612" s="392">
        <f>IFERROR(UPPER(TRIM(B1612))&amp;"|"&amp;UPPER(TRIM(C1612))&amp;"|"&amp;UPPER(TRIM(D1612)),"")</f>
        <v/>
      </c>
    </row>
    <row r="1613" ht="15.75" customHeight="1" s="217">
      <c r="A1613" s="400" t="n">
        <v>1611</v>
      </c>
      <c r="B1613" s="400" t="inlineStr">
        <is>
          <t>KH2206</t>
        </is>
      </c>
      <c r="C1613" s="401" t="inlineStr">
        <is>
          <t>Cửa hàng Phương Hà - Đà Nẵng / Anh Trí: 0903.583.075</t>
        </is>
      </c>
      <c r="D1613" s="400" t="inlineStr">
        <is>
          <t>0903.583.075</t>
        </is>
      </c>
      <c r="E1613" s="402" t="n"/>
      <c r="F1613" s="401" t="inlineStr">
        <is>
          <t>391 Ông ích Khiêm - Đà Nẵng</t>
        </is>
      </c>
      <c r="G1613" s="400" t="inlineStr">
        <is>
          <t>DNANG</t>
        </is>
      </c>
      <c r="H1613" s="402" t="n"/>
      <c r="J1613" s="392">
        <f>IFERROR(UPPER(TRIM(B1613))&amp;"|"&amp;UPPER(TRIM(C1613))&amp;"|"&amp;UPPER(TRIM(D1613)),"")</f>
        <v/>
      </c>
    </row>
    <row r="1614" ht="15.75" customHeight="1" s="217">
      <c r="A1614" s="397" t="n">
        <v>1612</v>
      </c>
      <c r="B1614" s="397" t="inlineStr">
        <is>
          <t>KH2207</t>
        </is>
      </c>
      <c r="C1614" s="398" t="inlineStr">
        <is>
          <t>Anh Thiệt  -Bình Thuận / 0919.011.502</t>
        </is>
      </c>
      <c r="D1614" s="397" t="inlineStr">
        <is>
          <t>0919.011.502</t>
        </is>
      </c>
      <c r="E1614" s="399" t="n"/>
      <c r="F1614" s="398" t="inlineStr">
        <is>
          <t>Phan Rý, Bình Thuận</t>
        </is>
      </c>
      <c r="G1614" s="397" t="inlineStr">
        <is>
          <t>CMAU</t>
        </is>
      </c>
      <c r="H1614" s="399" t="n"/>
      <c r="J1614" s="392">
        <f>IFERROR(UPPER(TRIM(B1614))&amp;"|"&amp;UPPER(TRIM(C1614))&amp;"|"&amp;UPPER(TRIM(D1614)),"")</f>
        <v/>
      </c>
    </row>
    <row r="1615" ht="15.75" customHeight="1" s="217">
      <c r="A1615" s="400" t="n">
        <v>1613</v>
      </c>
      <c r="B1615" s="400" t="inlineStr">
        <is>
          <t>KH2208</t>
        </is>
      </c>
      <c r="C1615" s="401" t="inlineStr">
        <is>
          <t>Anh Thiện - Bình Thuận / 0985.741.750</t>
        </is>
      </c>
      <c r="D1615" s="400" t="inlineStr">
        <is>
          <t>0985.741.750</t>
        </is>
      </c>
      <c r="E1615" s="402" t="n"/>
      <c r="F1615" s="401" t="inlineStr">
        <is>
          <t>Phan Rý, Bình Thuận</t>
        </is>
      </c>
      <c r="G1615" s="400" t="inlineStr">
        <is>
          <t>BTHUAN</t>
        </is>
      </c>
      <c r="H1615" s="402" t="n"/>
      <c r="J1615" s="392">
        <f>IFERROR(UPPER(TRIM(B1615))&amp;"|"&amp;UPPER(TRIM(C1615))&amp;"|"&amp;UPPER(TRIM(D1615)),"")</f>
        <v/>
      </c>
    </row>
    <row r="1616" ht="15.75" customHeight="1" s="217">
      <c r="A1616" s="397" t="n">
        <v>1614</v>
      </c>
      <c r="B1616" s="397" t="inlineStr">
        <is>
          <t>KH2209</t>
        </is>
      </c>
      <c r="C1616" s="398" t="inlineStr">
        <is>
          <t>Xưởng Cơ Giới Bắc Sơn/ Anh Kiên - Đăk Lăk / 0985.757.427</t>
        </is>
      </c>
      <c r="D1616" s="397" t="inlineStr">
        <is>
          <t>0985.757.427</t>
        </is>
      </c>
      <c r="E1616" s="399" t="n"/>
      <c r="F1616" s="398" t="inlineStr">
        <is>
          <t>97F Nguyễn Văn Linh, Ea Tu, Thành phố Buôn Ma Thuột, Đắk Lắk</t>
        </is>
      </c>
      <c r="G1616" s="397" t="inlineStr">
        <is>
          <t>ÐL</t>
        </is>
      </c>
      <c r="H1616" s="399" t="n"/>
      <c r="J1616" s="392">
        <f>IFERROR(UPPER(TRIM(B1616))&amp;"|"&amp;UPPER(TRIM(C1616))&amp;"|"&amp;UPPER(TRIM(D1616)),"")</f>
        <v/>
      </c>
    </row>
    <row r="1617" ht="15.75" customHeight="1" s="217">
      <c r="A1617" s="400" t="n">
        <v>1615</v>
      </c>
      <c r="B1617" s="400" t="inlineStr">
        <is>
          <t>KH2202</t>
        </is>
      </c>
      <c r="C1617" s="401" t="inlineStr">
        <is>
          <t>Anh Thái - Ninh Thuận / 0962.006.581</t>
        </is>
      </c>
      <c r="D1617" s="400" t="inlineStr">
        <is>
          <t>0962.006.581</t>
        </is>
      </c>
      <c r="E1617" s="402" t="n"/>
      <c r="F1617" s="401" t="inlineStr">
        <is>
          <t>Ninh Thuận</t>
        </is>
      </c>
      <c r="G1617" s="400" t="inlineStr">
        <is>
          <t>NTHUAN</t>
        </is>
      </c>
      <c r="H1617" s="402" t="n"/>
      <c r="J1617" s="392">
        <f>IFERROR(UPPER(TRIM(B1617))&amp;"|"&amp;UPPER(TRIM(C1617))&amp;"|"&amp;UPPER(TRIM(D1617)),"")</f>
        <v/>
      </c>
    </row>
    <row r="1618" ht="15.75" customHeight="1" s="217">
      <c r="A1618" s="397" t="n">
        <v>1616</v>
      </c>
      <c r="B1618" s="397" t="inlineStr">
        <is>
          <t>KH2203</t>
        </is>
      </c>
      <c r="C1618" s="398" t="inlineStr">
        <is>
          <t>Anh Sơn - Vũng Tàu / 0976.798.081</t>
        </is>
      </c>
      <c r="D1618" s="397" t="inlineStr">
        <is>
          <t>0976.798.081</t>
        </is>
      </c>
      <c r="E1618" s="399" t="n"/>
      <c r="F1618" s="398" t="inlineStr">
        <is>
          <t>Anh Sơn, Vũng Tàu</t>
        </is>
      </c>
      <c r="G1618" s="397" t="inlineStr">
        <is>
          <t>BRVT</t>
        </is>
      </c>
      <c r="H1618" s="399" t="n"/>
      <c r="J1618" s="392">
        <f>IFERROR(UPPER(TRIM(B1618))&amp;"|"&amp;UPPER(TRIM(C1618))&amp;"|"&amp;UPPER(TRIM(D1618)),"")</f>
        <v/>
      </c>
    </row>
    <row r="1619" ht="15.75" customHeight="1" s="217">
      <c r="A1619" s="400" t="n">
        <v>1617</v>
      </c>
      <c r="B1619" s="400" t="inlineStr">
        <is>
          <t>KH2200</t>
        </is>
      </c>
      <c r="C1619" s="401" t="inlineStr">
        <is>
          <t>Anh Linh - Bình Thuận / 0915.617.249 - 0944.119.114</t>
        </is>
      </c>
      <c r="D1619" s="400" t="inlineStr">
        <is>
          <t>0915.617.249 / 0944.119.114</t>
        </is>
      </c>
      <c r="E1619" s="402" t="n"/>
      <c r="F1619" s="401" t="inlineStr">
        <is>
          <t>Bình Thuận</t>
        </is>
      </c>
      <c r="G1619" s="400" t="inlineStr">
        <is>
          <t>BTHUAN</t>
        </is>
      </c>
      <c r="H1619" s="402" t="n"/>
      <c r="J1619" s="392">
        <f>IFERROR(UPPER(TRIM(B1619))&amp;"|"&amp;UPPER(TRIM(C1619))&amp;"|"&amp;UPPER(TRIM(D1619)),"")</f>
        <v/>
      </c>
    </row>
    <row r="1620" ht="15.75" customHeight="1" s="217">
      <c r="A1620" s="397" t="n">
        <v>1618</v>
      </c>
      <c r="B1620" s="397" t="inlineStr">
        <is>
          <t>KH2201</t>
        </is>
      </c>
      <c r="C1620" s="398" t="inlineStr">
        <is>
          <t>Anh Huy - Bình Thuận / 0913.837.692</t>
        </is>
      </c>
      <c r="D1620" s="397" t="inlineStr">
        <is>
          <t>0913.837.692</t>
        </is>
      </c>
      <c r="E1620" s="399" t="n"/>
      <c r="F1620" s="398" t="inlineStr">
        <is>
          <t>Bình Thuận</t>
        </is>
      </c>
      <c r="G1620" s="397" t="inlineStr">
        <is>
          <t>BTHUAN</t>
        </is>
      </c>
      <c r="H1620" s="399" t="n"/>
      <c r="J1620" s="392">
        <f>IFERROR(UPPER(TRIM(B1620))&amp;"|"&amp;UPPER(TRIM(C1620))&amp;"|"&amp;UPPER(TRIM(D1620)),"")</f>
        <v/>
      </c>
    </row>
    <row r="1621" ht="15.75" customHeight="1" s="217">
      <c r="A1621" s="400" t="n">
        <v>1619</v>
      </c>
      <c r="B1621" s="400" t="inlineStr">
        <is>
          <t>KH2198</t>
        </is>
      </c>
      <c r="C1621" s="401" t="inlineStr">
        <is>
          <t>Anh Hoàng - Ninh Thuận / 0946.941.515</t>
        </is>
      </c>
      <c r="D1621" s="400" t="inlineStr">
        <is>
          <t>0946.941.515</t>
        </is>
      </c>
      <c r="E1621" s="402" t="n"/>
      <c r="F1621" s="401" t="inlineStr">
        <is>
          <t>Ninh Thuận</t>
        </is>
      </c>
      <c r="G1621" s="400" t="inlineStr">
        <is>
          <t>NTHUAN</t>
        </is>
      </c>
      <c r="H1621" s="402" t="n"/>
      <c r="J1621" s="392">
        <f>IFERROR(UPPER(TRIM(B1621))&amp;"|"&amp;UPPER(TRIM(C1621))&amp;"|"&amp;UPPER(TRIM(D1621)),"")</f>
        <v/>
      </c>
    </row>
    <row r="1622" ht="15.75" customHeight="1" s="217">
      <c r="A1622" s="397" t="n">
        <v>1620</v>
      </c>
      <c r="B1622" s="397" t="inlineStr">
        <is>
          <t>KH2199</t>
        </is>
      </c>
      <c r="C1622" s="398" t="inlineStr">
        <is>
          <t>Cửa hàng Việt Trung - Bình Định / Anh Vinh: 0905.676.899</t>
        </is>
      </c>
      <c r="D1622" s="397" t="inlineStr">
        <is>
          <t>0905.676.899</t>
        </is>
      </c>
      <c r="E1622" s="399" t="n"/>
      <c r="F1622" s="398" t="inlineStr">
        <is>
          <t>Quy Nhơn - Bình Định</t>
        </is>
      </c>
      <c r="G1622" s="397" t="inlineStr">
        <is>
          <t>BDINH</t>
        </is>
      </c>
      <c r="H1622" s="399" t="n"/>
      <c r="J1622" s="392">
        <f>IFERROR(UPPER(TRIM(B1622))&amp;"|"&amp;UPPER(TRIM(C1622))&amp;"|"&amp;UPPER(TRIM(D1622)),"")</f>
        <v/>
      </c>
    </row>
    <row r="1623" ht="15.75" customHeight="1" s="217">
      <c r="A1623" s="400" t="n">
        <v>1621</v>
      </c>
      <c r="B1623" s="400" t="inlineStr">
        <is>
          <t>KH2197</t>
        </is>
      </c>
      <c r="C1623" s="401" t="inlineStr">
        <is>
          <t>Anh Giang - Long An / 0906.364.440</t>
        </is>
      </c>
      <c r="D1623" s="400" t="inlineStr">
        <is>
          <t>0906.364.440</t>
        </is>
      </c>
      <c r="E1623" s="402" t="n"/>
      <c r="F1623" s="401" t="inlineStr">
        <is>
          <t>Long An</t>
        </is>
      </c>
      <c r="G1623" s="400" t="inlineStr">
        <is>
          <t>LA</t>
        </is>
      </c>
      <c r="H1623" s="402" t="n"/>
      <c r="J1623" s="392">
        <f>IFERROR(UPPER(TRIM(B1623))&amp;"|"&amp;UPPER(TRIM(C1623))&amp;"|"&amp;UPPER(TRIM(D1623)),"")</f>
        <v/>
      </c>
    </row>
    <row r="1624" ht="15.75" customHeight="1" s="217">
      <c r="A1624" s="397" t="n">
        <v>1622</v>
      </c>
      <c r="B1624" s="397" t="inlineStr">
        <is>
          <t>KH2194</t>
        </is>
      </c>
      <c r="C1624" s="398" t="inlineStr">
        <is>
          <t>Cửa hàng Anh Nhân - Long Xuyên (Tỷ Nhân)/ A.Nhân: 0913.730.904 - 0969.255.939</t>
        </is>
      </c>
      <c r="D1624" s="397" t="inlineStr">
        <is>
          <t>0913.730.904 / 0969.255.939</t>
        </is>
      </c>
      <c r="E1624" s="399" t="n"/>
      <c r="F1624" s="398" t="inlineStr">
        <is>
          <t>24 Nguyễn Đình Chiểu, Long Xuyên, An Giang</t>
        </is>
      </c>
      <c r="G1624" s="397" t="inlineStr">
        <is>
          <t>ANGIANG</t>
        </is>
      </c>
      <c r="H1624" s="397" t="inlineStr">
        <is>
          <t>Buổi sáng gửi chành Kim Lan - 0918.544.509, địa chỉ số 989 Nguyễn Trãi, P.14, Q5</t>
        </is>
      </c>
      <c r="J1624" s="392">
        <f>IFERROR(UPPER(TRIM(B1624))&amp;"|"&amp;UPPER(TRIM(C1624))&amp;"|"&amp;UPPER(TRIM(D1624)),"")</f>
        <v/>
      </c>
    </row>
    <row r="1625" ht="15.75" customHeight="1" s="217">
      <c r="A1625" s="400" t="n">
        <v>1623</v>
      </c>
      <c r="B1625" s="400" t="inlineStr">
        <is>
          <t>KH2195</t>
        </is>
      </c>
      <c r="C1625" s="401" t="inlineStr">
        <is>
          <t>Anh Trí - Ninh Hoà, Khánh Hoà / 0905.107.988</t>
        </is>
      </c>
      <c r="D1625" s="400" t="inlineStr">
        <is>
          <t>0905.107.988</t>
        </is>
      </c>
      <c r="E1625" s="402" t="n"/>
      <c r="F1625" s="401" t="inlineStr">
        <is>
          <t>Ninh Hoà, Khánh Hoà</t>
        </is>
      </c>
      <c r="G1625" s="400" t="inlineStr">
        <is>
          <t>NTRANG</t>
        </is>
      </c>
      <c r="H1625" s="402" t="n"/>
      <c r="J1625" s="392">
        <f>IFERROR(UPPER(TRIM(B1625))&amp;"|"&amp;UPPER(TRIM(C1625))&amp;"|"&amp;UPPER(TRIM(D1625)),"")</f>
        <v/>
      </c>
    </row>
    <row r="1626" ht="15.75" customHeight="1" s="217">
      <c r="A1626" s="397" t="n">
        <v>1624</v>
      </c>
      <c r="B1626" s="397" t="inlineStr">
        <is>
          <t>KH2196</t>
        </is>
      </c>
      <c r="C1626" s="398" t="inlineStr">
        <is>
          <t>Anh Sanh - Đà Nẵng / 0905.119.225</t>
        </is>
      </c>
      <c r="D1626" s="397" t="inlineStr">
        <is>
          <t>0905.119.225</t>
        </is>
      </c>
      <c r="E1626" s="399" t="n"/>
      <c r="F1626" s="398" t="inlineStr">
        <is>
          <t>Đà Nẵng</t>
        </is>
      </c>
      <c r="G1626" s="397" t="inlineStr">
        <is>
          <t>DNANG</t>
        </is>
      </c>
      <c r="H1626" s="399" t="n"/>
      <c r="J1626" s="392">
        <f>IFERROR(UPPER(TRIM(B1626))&amp;"|"&amp;UPPER(TRIM(C1626))&amp;"|"&amp;UPPER(TRIM(D1626)),"")</f>
        <v/>
      </c>
    </row>
    <row r="1627" ht="15.75" customHeight="1" s="217">
      <c r="A1627" s="400" t="n">
        <v>1625</v>
      </c>
      <c r="B1627" s="400" t="inlineStr">
        <is>
          <t>KH2187</t>
        </is>
      </c>
      <c r="C1627" s="401" t="inlineStr">
        <is>
          <t>Xưởng tiện Anh Quang - Suối Tiên / 0903.733.821</t>
        </is>
      </c>
      <c r="D1627" s="400" t="inlineStr">
        <is>
          <t>0903.733.821</t>
        </is>
      </c>
      <c r="E1627" s="402" t="n"/>
      <c r="F1627" s="401" t="inlineStr">
        <is>
          <t>880 Xa Lộ Hà Nội-P Hiệp Phú-TP Thủ Đức-HCM</t>
        </is>
      </c>
      <c r="G1627" s="400" t="inlineStr">
        <is>
          <t>SG/HCM</t>
        </is>
      </c>
      <c r="H1627" s="402" t="n"/>
      <c r="J1627" s="392">
        <f>IFERROR(UPPER(TRIM(B1627))&amp;"|"&amp;UPPER(TRIM(C1627))&amp;"|"&amp;UPPER(TRIM(D1627)),"")</f>
        <v/>
      </c>
    </row>
    <row r="1628" ht="15.75" customHeight="1" s="217">
      <c r="A1628" s="397" t="n">
        <v>1626</v>
      </c>
      <c r="B1628" s="397" t="inlineStr">
        <is>
          <t>KH2188</t>
        </is>
      </c>
      <c r="C1628" s="398" t="inlineStr">
        <is>
          <t>Cửa hàng chị Thanh - Đăk Lăk / 0913.487.434</t>
        </is>
      </c>
      <c r="D1628" s="397" t="inlineStr">
        <is>
          <t>0913.487.434</t>
        </is>
      </c>
      <c r="E1628" s="399" t="n"/>
      <c r="F1628" s="398" t="inlineStr">
        <is>
          <t>18 Nguyễn Thị Minh Khai, BMT, Đăk Lăk</t>
        </is>
      </c>
      <c r="G1628" s="397" t="inlineStr">
        <is>
          <t>ÐL</t>
        </is>
      </c>
      <c r="H1628" s="399" t="n"/>
      <c r="J1628" s="392">
        <f>IFERROR(UPPER(TRIM(B1628))&amp;"|"&amp;UPPER(TRIM(C1628))&amp;"|"&amp;UPPER(TRIM(D1628)),"")</f>
        <v/>
      </c>
    </row>
    <row r="1629" ht="15.75" customHeight="1" s="217">
      <c r="A1629" s="400" t="n">
        <v>1627</v>
      </c>
      <c r="B1629" s="400" t="inlineStr">
        <is>
          <t>KH2189</t>
        </is>
      </c>
      <c r="C1629" s="401" t="inlineStr">
        <is>
          <t>Gara Hữu Thành - Nha Trang / 0965.977.961</t>
        </is>
      </c>
      <c r="D1629" s="400" t="inlineStr">
        <is>
          <t>0965.977.961</t>
        </is>
      </c>
      <c r="E1629" s="402" t="n"/>
      <c r="F1629" s="401" t="inlineStr">
        <is>
          <t>Thôn Vĩnh Thành, Xã Vĩnh Phương, Nha Trang, Khánh Hoà</t>
        </is>
      </c>
      <c r="G1629" s="400" t="inlineStr">
        <is>
          <t>NTRANG</t>
        </is>
      </c>
      <c r="H1629" s="402" t="n"/>
      <c r="J1629" s="392">
        <f>IFERROR(UPPER(TRIM(B1629))&amp;"|"&amp;UPPER(TRIM(C1629))&amp;"|"&amp;UPPER(TRIM(D1629)),"")</f>
        <v/>
      </c>
    </row>
    <row r="1630" ht="15.75" customHeight="1" s="217">
      <c r="A1630" s="397" t="n">
        <v>1628</v>
      </c>
      <c r="B1630" s="397" t="inlineStr">
        <is>
          <t>KH2190</t>
        </is>
      </c>
      <c r="C1630" s="398" t="inlineStr">
        <is>
          <t>Anh Quang - Công ty Đinh Phát, Bình Định / 0971.389.499</t>
        </is>
      </c>
      <c r="D1630" s="397" t="inlineStr">
        <is>
          <t>0971.389.499</t>
        </is>
      </c>
      <c r="E1630" s="399" t="n"/>
      <c r="F1630" s="398" t="inlineStr">
        <is>
          <t>Số 505 Trần Phú, P.Bình Định, TX.An Nhơn, Bình Định</t>
        </is>
      </c>
      <c r="G1630" s="397" t="inlineStr">
        <is>
          <t>BDINH</t>
        </is>
      </c>
      <c r="H1630" s="399" t="n"/>
      <c r="J1630" s="392">
        <f>IFERROR(UPPER(TRIM(B1630))&amp;"|"&amp;UPPER(TRIM(C1630))&amp;"|"&amp;UPPER(TRIM(D1630)),"")</f>
        <v/>
      </c>
    </row>
    <row r="1631" ht="15.75" customHeight="1" s="217">
      <c r="A1631" s="400" t="n">
        <v>1629</v>
      </c>
      <c r="B1631" s="400" t="inlineStr">
        <is>
          <t>KH2191</t>
        </is>
      </c>
      <c r="C1631" s="401" t="inlineStr">
        <is>
          <t>Cửa hàng  Phụ Tùng Ô Tô  Bạch- Đăk Lăk  /Anh Văn - 0903.535.800</t>
        </is>
      </c>
      <c r="D1631" s="400" t="inlineStr">
        <is>
          <t>0903.535.800</t>
        </is>
      </c>
      <c r="E1631" s="402" t="n"/>
      <c r="F1631" s="401" t="inlineStr">
        <is>
          <t>150-154 Phan Bội Châu, TP. Buôn Mê Thuột, Đăk Lăk</t>
        </is>
      </c>
      <c r="G1631" s="400" t="inlineStr">
        <is>
          <t>ÐL</t>
        </is>
      </c>
      <c r="H1631" s="402" t="n"/>
      <c r="J1631" s="392">
        <f>IFERROR(UPPER(TRIM(B1631))&amp;"|"&amp;UPPER(TRIM(C1631))&amp;"|"&amp;UPPER(TRIM(D1631)),"")</f>
        <v/>
      </c>
    </row>
    <row r="1632" ht="15.75" customHeight="1" s="217">
      <c r="A1632" s="397" t="n">
        <v>1630</v>
      </c>
      <c r="B1632" s="397" t="inlineStr">
        <is>
          <t>KH2192</t>
        </is>
      </c>
      <c r="C1632" s="398" t="inlineStr">
        <is>
          <t>CTP (Cambodia Tractor Parts) - CPC / +855 12 937 193/ +855 23 900 257</t>
        </is>
      </c>
      <c r="D1632" s="399" t="n"/>
      <c r="E1632" s="399" t="n"/>
      <c r="F1632" s="398" t="inlineStr">
        <is>
          <t>88B St.70 Sangkat Srah Chork, Phnom Penh, Cambodia</t>
        </is>
      </c>
      <c r="G1632" s="397" t="inlineStr">
        <is>
          <t>CPC</t>
        </is>
      </c>
      <c r="H1632" s="399" t="n"/>
      <c r="J1632" s="392">
        <f>IFERROR(UPPER(TRIM(B1632))&amp;"|"&amp;UPPER(TRIM(C1632))&amp;"|"&amp;UPPER(TRIM(D1632)),"")</f>
        <v/>
      </c>
    </row>
    <row r="1633" ht="15.75" customHeight="1" s="217">
      <c r="A1633" s="400" t="n">
        <v>1631</v>
      </c>
      <c r="B1633" s="400" t="inlineStr">
        <is>
          <t>KH2193</t>
        </is>
      </c>
      <c r="C1633" s="401" t="inlineStr">
        <is>
          <t>Chị Trang, Anh Quốc - Bảo Lộc / 0908.044.120/ 0919.179.150</t>
        </is>
      </c>
      <c r="D1633" s="400" t="inlineStr">
        <is>
          <t>0908.044.120 / 0919.179.150</t>
        </is>
      </c>
      <c r="E1633" s="402" t="n"/>
      <c r="F1633" s="401" t="inlineStr">
        <is>
          <t>221/2 Lam Sơn, Bảo Lộc, Lâm Đồng</t>
        </is>
      </c>
      <c r="G1633" s="400" t="inlineStr">
        <is>
          <t>LDONG</t>
        </is>
      </c>
      <c r="H1633" s="402" t="n"/>
      <c r="J1633" s="392">
        <f>IFERROR(UPPER(TRIM(B1633))&amp;"|"&amp;UPPER(TRIM(C1633))&amp;"|"&amp;UPPER(TRIM(D1633)),"")</f>
        <v/>
      </c>
    </row>
    <row r="1634" ht="15.75" customHeight="1" s="217">
      <c r="A1634" s="397" t="n">
        <v>1632</v>
      </c>
      <c r="B1634" s="397" t="inlineStr">
        <is>
          <t>KH2185</t>
        </is>
      </c>
      <c r="C1634" s="398" t="inlineStr">
        <is>
          <t>Xưởng Tiện  Kiệt - Kontum / 0988.209.015</t>
        </is>
      </c>
      <c r="D1634" s="397" t="inlineStr">
        <is>
          <t>0988.209.015</t>
        </is>
      </c>
      <c r="E1634" s="399" t="n"/>
      <c r="F1634" s="398" t="inlineStr">
        <is>
          <t>Đường Phan Đình Phùng - TP Kontum</t>
        </is>
      </c>
      <c r="G1634" s="397" t="inlineStr">
        <is>
          <t>KTUM</t>
        </is>
      </c>
      <c r="H1634" s="399" t="n"/>
      <c r="J1634" s="392">
        <f>IFERROR(UPPER(TRIM(B1634))&amp;"|"&amp;UPPER(TRIM(C1634))&amp;"|"&amp;UPPER(TRIM(D1634)),"")</f>
        <v/>
      </c>
    </row>
    <row r="1635" ht="15.75" customHeight="1" s="217">
      <c r="A1635" s="400" t="n">
        <v>1633</v>
      </c>
      <c r="B1635" s="400" t="inlineStr">
        <is>
          <t>KH2186</t>
        </is>
      </c>
      <c r="C1635" s="401" t="inlineStr">
        <is>
          <t>Anh Tú - Sa Đéc, Đồng Tháp / 0912.137.272</t>
        </is>
      </c>
      <c r="D1635" s="400" t="inlineStr">
        <is>
          <t>0912.137.272</t>
        </is>
      </c>
      <c r="E1635" s="402" t="n"/>
      <c r="F1635" s="401" t="inlineStr">
        <is>
          <t>Sa Đéc, Đồng Tháp</t>
        </is>
      </c>
      <c r="G1635" s="400" t="inlineStr">
        <is>
          <t>DTHAP</t>
        </is>
      </c>
      <c r="H1635" s="402" t="n"/>
      <c r="J1635" s="392">
        <f>IFERROR(UPPER(TRIM(B1635))&amp;"|"&amp;UPPER(TRIM(C1635))&amp;"|"&amp;UPPER(TRIM(D1635)),"")</f>
        <v/>
      </c>
    </row>
    <row r="1636" ht="15.75" customHeight="1" s="217">
      <c r="A1636" s="397" t="n">
        <v>1634</v>
      </c>
      <c r="B1636" s="397" t="inlineStr">
        <is>
          <t>KH2182</t>
        </is>
      </c>
      <c r="C1636" s="398" t="inlineStr">
        <is>
          <t>Anh Đức - Quảng Ngãi / 0915.754.679</t>
        </is>
      </c>
      <c r="D1636" s="397" t="inlineStr">
        <is>
          <t>0915.754.679</t>
        </is>
      </c>
      <c r="E1636" s="399" t="n"/>
      <c r="F1636" s="398" t="inlineStr">
        <is>
          <t>Quảng Ngãi</t>
        </is>
      </c>
      <c r="G1636" s="397" t="inlineStr">
        <is>
          <t>QUNGAI</t>
        </is>
      </c>
      <c r="H1636" s="399" t="n"/>
      <c r="J1636" s="392">
        <f>IFERROR(UPPER(TRIM(B1636))&amp;"|"&amp;UPPER(TRIM(C1636))&amp;"|"&amp;UPPER(TRIM(D1636)),"")</f>
        <v/>
      </c>
    </row>
    <row r="1637" ht="15.75" customHeight="1" s="217">
      <c r="A1637" s="400" t="n">
        <v>1635</v>
      </c>
      <c r="B1637" s="400" t="inlineStr">
        <is>
          <t>KH2183</t>
        </is>
      </c>
      <c r="C1637" s="401" t="inlineStr">
        <is>
          <t>Anh Bình - Đăk Lăk / 0912.060.776</t>
        </is>
      </c>
      <c r="D1637" s="400" t="inlineStr">
        <is>
          <t>0912.060.776</t>
        </is>
      </c>
      <c r="E1637" s="402" t="n"/>
      <c r="F1637" s="401" t="inlineStr">
        <is>
          <t>Buôn Hồ, Đăk Lăk</t>
        </is>
      </c>
      <c r="G1637" s="400" t="inlineStr">
        <is>
          <t>ÐL</t>
        </is>
      </c>
      <c r="H1637" s="402" t="n"/>
      <c r="J1637" s="392">
        <f>IFERROR(UPPER(TRIM(B1637))&amp;"|"&amp;UPPER(TRIM(C1637))&amp;"|"&amp;UPPER(TRIM(D1637)),"")</f>
        <v/>
      </c>
    </row>
    <row r="1638" ht="15.75" customHeight="1" s="217">
      <c r="A1638" s="397" t="n">
        <v>1636</v>
      </c>
      <c r="B1638" s="397" t="inlineStr">
        <is>
          <t>KH2184</t>
        </is>
      </c>
      <c r="C1638" s="398" t="inlineStr">
        <is>
          <t>Anh Minh - Quy Nhơn, Bình Định / 0969.280.257</t>
        </is>
      </c>
      <c r="D1638" s="397" t="inlineStr">
        <is>
          <t>0969.280.257</t>
        </is>
      </c>
      <c r="E1638" s="399" t="n"/>
      <c r="F1638" s="398" t="inlineStr">
        <is>
          <t>Quy Nhơn, Bình Định</t>
        </is>
      </c>
      <c r="G1638" s="397" t="inlineStr">
        <is>
          <t>BDINH</t>
        </is>
      </c>
      <c r="H1638" s="399" t="n"/>
      <c r="J1638" s="392">
        <f>IFERROR(UPPER(TRIM(B1638))&amp;"|"&amp;UPPER(TRIM(C1638))&amp;"|"&amp;UPPER(TRIM(D1638)),"")</f>
        <v/>
      </c>
    </row>
    <row r="1639" ht="15.75" customHeight="1" s="217">
      <c r="A1639" s="400" t="n">
        <v>1637</v>
      </c>
      <c r="B1639" s="400" t="inlineStr">
        <is>
          <t>KH2180</t>
        </is>
      </c>
      <c r="C1639" s="401" t="inlineStr">
        <is>
          <t>Anh Thông - Cà Mau / Anh Thông: 0918.053.717</t>
        </is>
      </c>
      <c r="D1639" s="400" t="inlineStr">
        <is>
          <t>0918.053.717</t>
        </is>
      </c>
      <c r="E1639" s="402" t="n"/>
      <c r="F1639" s="401" t="inlineStr">
        <is>
          <t>40A Nguyễn Hữu Lễ, P.2, Cà Mau</t>
        </is>
      </c>
      <c r="G1639" s="400" t="inlineStr">
        <is>
          <t>CMAU</t>
        </is>
      </c>
      <c r="H1639" s="402" t="n"/>
      <c r="J1639" s="392">
        <f>IFERROR(UPPER(TRIM(B1639))&amp;"|"&amp;UPPER(TRIM(C1639))&amp;"|"&amp;UPPER(TRIM(D1639)),"")</f>
        <v/>
      </c>
    </row>
    <row r="1640" ht="15.75" customHeight="1" s="217">
      <c r="A1640" s="397" t="n">
        <v>1638</v>
      </c>
      <c r="B1640" s="397" t="inlineStr">
        <is>
          <t>KH2181</t>
        </is>
      </c>
      <c r="C1640" s="398" t="inlineStr">
        <is>
          <t>Anh Kiên - Đăk Lăk / 01222.422.941</t>
        </is>
      </c>
      <c r="D1640" s="397" t="inlineStr">
        <is>
          <t>01222.422.941</t>
        </is>
      </c>
      <c r="E1640" s="399" t="n"/>
      <c r="F1640" s="398" t="inlineStr">
        <is>
          <t>Buôn Ma Thuột, Đăk Lăk</t>
        </is>
      </c>
      <c r="G1640" s="397" t="inlineStr">
        <is>
          <t>ÐL</t>
        </is>
      </c>
      <c r="H1640" s="399" t="n"/>
      <c r="J1640" s="392">
        <f>IFERROR(UPPER(TRIM(B1640))&amp;"|"&amp;UPPER(TRIM(C1640))&amp;"|"&amp;UPPER(TRIM(D1640)),"")</f>
        <v/>
      </c>
    </row>
    <row r="1641" ht="15.75" customHeight="1" s="217">
      <c r="A1641" s="400" t="n">
        <v>1639</v>
      </c>
      <c r="B1641" s="400" t="inlineStr">
        <is>
          <t>KH2178</t>
        </is>
      </c>
      <c r="C1641" s="401" t="inlineStr">
        <is>
          <t>Anh Khôi - Nha Trang / 0913.478.808</t>
        </is>
      </c>
      <c r="D1641" s="400" t="inlineStr">
        <is>
          <t>0913.478.808</t>
        </is>
      </c>
      <c r="E1641" s="402" t="n"/>
      <c r="F1641" s="401" t="inlineStr">
        <is>
          <t>Nha Trang</t>
        </is>
      </c>
      <c r="G1641" s="400" t="inlineStr">
        <is>
          <t>NTRANG</t>
        </is>
      </c>
      <c r="H1641" s="402" t="n"/>
      <c r="J1641" s="392">
        <f>IFERROR(UPPER(TRIM(B1641))&amp;"|"&amp;UPPER(TRIM(C1641))&amp;"|"&amp;UPPER(TRIM(D1641)),"")</f>
        <v/>
      </c>
    </row>
    <row r="1642" ht="15.75" customHeight="1" s="217">
      <c r="A1642" s="397" t="n">
        <v>1640</v>
      </c>
      <c r="B1642" s="397" t="inlineStr">
        <is>
          <t>KH2179</t>
        </is>
      </c>
      <c r="C1642" s="398" t="inlineStr">
        <is>
          <t>Anh Tân - KCN Cầu Tràm, Long An / 0989.882.989 - 0933.771.348</t>
        </is>
      </c>
      <c r="D1642" s="397" t="inlineStr">
        <is>
          <t>0989.882.989 / 0933.771.348</t>
        </is>
      </c>
      <c r="E1642" s="399" t="n"/>
      <c r="F1642" s="398" t="inlineStr">
        <is>
          <t>Chợ Bình Chánh, Long An</t>
        </is>
      </c>
      <c r="G1642" s="397" t="inlineStr">
        <is>
          <t>LA</t>
        </is>
      </c>
      <c r="H1642" s="399" t="n"/>
      <c r="J1642" s="392">
        <f>IFERROR(UPPER(TRIM(B1642))&amp;"|"&amp;UPPER(TRIM(C1642))&amp;"|"&amp;UPPER(TRIM(D1642)),"")</f>
        <v/>
      </c>
    </row>
    <row r="1643" ht="15.75" customHeight="1" s="217">
      <c r="A1643" s="400" t="n">
        <v>1641</v>
      </c>
      <c r="B1643" s="400" t="inlineStr">
        <is>
          <t>KH2175</t>
        </is>
      </c>
      <c r="C1643" s="401" t="inlineStr">
        <is>
          <t>Xưởng Anh Phú - Quận 8 / 0937.534.723</t>
        </is>
      </c>
      <c r="D1643" s="400" t="inlineStr">
        <is>
          <t>0937.534.723</t>
        </is>
      </c>
      <c r="E1643" s="402" t="n"/>
      <c r="F1643" s="401" t="inlineStr">
        <is>
          <t>Quận 8, TP HCM</t>
        </is>
      </c>
      <c r="G1643" s="400" t="inlineStr">
        <is>
          <t>SG/HCM</t>
        </is>
      </c>
      <c r="H1643" s="402" t="n"/>
      <c r="J1643" s="392">
        <f>IFERROR(UPPER(TRIM(B1643))&amp;"|"&amp;UPPER(TRIM(C1643))&amp;"|"&amp;UPPER(TRIM(D1643)),"")</f>
        <v/>
      </c>
    </row>
    <row r="1644" ht="15.75" customHeight="1" s="217">
      <c r="A1644" s="397" t="n">
        <v>1642</v>
      </c>
      <c r="B1644" s="397" t="inlineStr">
        <is>
          <t>KH2176</t>
        </is>
      </c>
      <c r="C1644" s="398" t="inlineStr">
        <is>
          <t>Anh Việt - Bình Thạnh/0908.377.558</t>
        </is>
      </c>
      <c r="D1644" s="397" t="inlineStr">
        <is>
          <t>0908.377.558</t>
        </is>
      </c>
      <c r="E1644" s="399" t="n"/>
      <c r="F1644" s="398" t="inlineStr">
        <is>
          <t>Bình Thạnh - TP.HCM</t>
        </is>
      </c>
      <c r="G1644" s="397" t="inlineStr">
        <is>
          <t>SG/HCM</t>
        </is>
      </c>
      <c r="H1644" s="399" t="n"/>
      <c r="J1644" s="392">
        <f>IFERROR(UPPER(TRIM(B1644))&amp;"|"&amp;UPPER(TRIM(C1644))&amp;"|"&amp;UPPER(TRIM(D1644)),"")</f>
        <v/>
      </c>
    </row>
    <row r="1645" ht="15.75" customHeight="1" s="217">
      <c r="A1645" s="400" t="n">
        <v>1643</v>
      </c>
      <c r="B1645" s="400" t="inlineStr">
        <is>
          <t>KH2177</t>
        </is>
      </c>
      <c r="C1645" s="401" t="inlineStr">
        <is>
          <t>Gara Hoài Sơn - Khánh Hoà / 0977.056.056</t>
        </is>
      </c>
      <c r="D1645" s="400" t="inlineStr">
        <is>
          <t>0977.056.056</t>
        </is>
      </c>
      <c r="E1645" s="402" t="n"/>
      <c r="F1645" s="401" t="inlineStr">
        <is>
          <t>Vạn Ninh, Khánh Hoà</t>
        </is>
      </c>
      <c r="G1645" s="400" t="inlineStr">
        <is>
          <t>NTRANG</t>
        </is>
      </c>
      <c r="H1645" s="402" t="n"/>
      <c r="J1645" s="392">
        <f>IFERROR(UPPER(TRIM(B1645))&amp;"|"&amp;UPPER(TRIM(C1645))&amp;"|"&amp;UPPER(TRIM(D1645)),"")</f>
        <v/>
      </c>
    </row>
    <row r="1646" ht="15.75" customHeight="1" s="217">
      <c r="A1646" s="397" t="n">
        <v>1644</v>
      </c>
      <c r="B1646" s="397" t="inlineStr">
        <is>
          <t>KH2169</t>
        </is>
      </c>
      <c r="C1646" s="398" t="inlineStr">
        <is>
          <t>Anh Diêm - Cà Mau / 0918.708.136</t>
        </is>
      </c>
      <c r="D1646" s="397" t="inlineStr">
        <is>
          <t>0918.708.136</t>
        </is>
      </c>
      <c r="E1646" s="399" t="n"/>
      <c r="F1646" s="398" t="inlineStr">
        <is>
          <t>Cà Mau</t>
        </is>
      </c>
      <c r="G1646" s="397" t="inlineStr">
        <is>
          <t>CMAU</t>
        </is>
      </c>
      <c r="H1646" s="399" t="n"/>
      <c r="J1646" s="392">
        <f>IFERROR(UPPER(TRIM(B1646))&amp;"|"&amp;UPPER(TRIM(C1646))&amp;"|"&amp;UPPER(TRIM(D1646)),"")</f>
        <v/>
      </c>
    </row>
    <row r="1647" ht="15.75" customHeight="1" s="217">
      <c r="A1647" s="400" t="n">
        <v>1645</v>
      </c>
      <c r="B1647" s="400" t="inlineStr">
        <is>
          <t>KH2170</t>
        </is>
      </c>
      <c r="C1647" s="401" t="inlineStr">
        <is>
          <t>Xưởng Anh Sáng - Quốc Lộ 1K / 0903.872.693</t>
        </is>
      </c>
      <c r="D1647" s="400" t="inlineStr">
        <is>
          <t>0903.872.693</t>
        </is>
      </c>
      <c r="E1647" s="402" t="n"/>
      <c r="F1647" s="401" t="inlineStr">
        <is>
          <t>Quốc lộ 1K, SG</t>
        </is>
      </c>
      <c r="G1647" s="400" t="inlineStr">
        <is>
          <t>SG/HCM</t>
        </is>
      </c>
      <c r="H1647" s="402" t="n"/>
      <c r="J1647" s="392">
        <f>IFERROR(UPPER(TRIM(B1647))&amp;"|"&amp;UPPER(TRIM(C1647))&amp;"|"&amp;UPPER(TRIM(D1647)),"")</f>
        <v/>
      </c>
    </row>
    <row r="1648" ht="15.75" customHeight="1" s="217">
      <c r="A1648" s="397" t="n">
        <v>1646</v>
      </c>
      <c r="B1648" s="397" t="inlineStr">
        <is>
          <t>KH2171</t>
        </is>
      </c>
      <c r="C1648" s="398" t="inlineStr">
        <is>
          <t>Anh Tấn ( Công Ty TNHH MTV XD Lê Tấn) - Bình Phước/ 0918.156.913</t>
        </is>
      </c>
      <c r="D1648" s="397" t="inlineStr">
        <is>
          <t>0918.156.913</t>
        </is>
      </c>
      <c r="E1648" s="399" t="n"/>
      <c r="F1648" s="398" t="inlineStr">
        <is>
          <t>Bình Phước</t>
        </is>
      </c>
      <c r="G1648" s="397" t="inlineStr">
        <is>
          <t>BP</t>
        </is>
      </c>
      <c r="H1648" s="399" t="n"/>
      <c r="J1648" s="392">
        <f>IFERROR(UPPER(TRIM(B1648))&amp;"|"&amp;UPPER(TRIM(C1648))&amp;"|"&amp;UPPER(TRIM(D1648)),"")</f>
        <v/>
      </c>
    </row>
    <row r="1649" ht="15.75" customHeight="1" s="217">
      <c r="A1649" s="400" t="n">
        <v>1647</v>
      </c>
      <c r="B1649" s="400" t="inlineStr">
        <is>
          <t>KH2172</t>
        </is>
      </c>
      <c r="C1649" s="401" t="inlineStr">
        <is>
          <t>Công ty TNHH Một Thành Viên Nhất Đô - Huế/ Anh Nam - 0905.053.515</t>
        </is>
      </c>
      <c r="D1649" s="400" t="inlineStr">
        <is>
          <t>0905.053.515</t>
        </is>
      </c>
      <c r="E1649" s="402" t="n"/>
      <c r="F1649" s="401" t="inlineStr">
        <is>
          <t>Huế</t>
        </is>
      </c>
      <c r="G1649" s="400" t="inlineStr">
        <is>
          <t>HUE</t>
        </is>
      </c>
      <c r="H1649" s="402" t="n"/>
      <c r="J1649" s="392">
        <f>IFERROR(UPPER(TRIM(B1649))&amp;"|"&amp;UPPER(TRIM(C1649))&amp;"|"&amp;UPPER(TRIM(D1649)),"")</f>
        <v/>
      </c>
    </row>
    <row r="1650" ht="15.75" customHeight="1" s="217">
      <c r="A1650" s="397" t="n">
        <v>1648</v>
      </c>
      <c r="B1650" s="397" t="inlineStr">
        <is>
          <t>KH2173</t>
        </is>
      </c>
      <c r="C1650" s="398" t="inlineStr">
        <is>
          <t>Anh Hiếu - Bình Long/ 0974.377.189</t>
        </is>
      </c>
      <c r="D1650" s="397" t="inlineStr">
        <is>
          <t>0974.377.189</t>
        </is>
      </c>
      <c r="E1650" s="399" t="n"/>
      <c r="F1650" s="398" t="inlineStr">
        <is>
          <t>Bình Long, Bình Phước</t>
        </is>
      </c>
      <c r="G1650" s="397" t="inlineStr">
        <is>
          <t>BP</t>
        </is>
      </c>
      <c r="H1650" s="399" t="n"/>
      <c r="J1650" s="392">
        <f>IFERROR(UPPER(TRIM(B1650))&amp;"|"&amp;UPPER(TRIM(C1650))&amp;"|"&amp;UPPER(TRIM(D1650)),"")</f>
        <v/>
      </c>
    </row>
    <row r="1651" ht="15.75" customHeight="1" s="217">
      <c r="A1651" s="400" t="n">
        <v>1649</v>
      </c>
      <c r="B1651" s="400" t="inlineStr">
        <is>
          <t>KH2174</t>
        </is>
      </c>
      <c r="C1651" s="401" t="inlineStr">
        <is>
          <t>Xưởng Anh Điệp - Ngã 4 Bình Phước/ 0988.931.430</t>
        </is>
      </c>
      <c r="D1651" s="400" t="inlineStr">
        <is>
          <t>0988.931.430</t>
        </is>
      </c>
      <c r="E1651" s="402" t="n"/>
      <c r="F1651" s="401" t="inlineStr">
        <is>
          <t>Ngã 4 Bình Phước, Sài Gòn</t>
        </is>
      </c>
      <c r="G1651" s="400" t="inlineStr">
        <is>
          <t>SG/HCM</t>
        </is>
      </c>
      <c r="H1651" s="402" t="n"/>
      <c r="J1651" s="392">
        <f>IFERROR(UPPER(TRIM(B1651))&amp;"|"&amp;UPPER(TRIM(C1651))&amp;"|"&amp;UPPER(TRIM(D1651)),"")</f>
        <v/>
      </c>
    </row>
    <row r="1652" ht="15.75" customHeight="1" s="217">
      <c r="A1652" s="397" t="n">
        <v>1650</v>
      </c>
      <c r="B1652" s="397" t="inlineStr">
        <is>
          <t>KH2167</t>
        </is>
      </c>
      <c r="C1652" s="398" t="inlineStr">
        <is>
          <t>Anh Đạt - Xuyên Mộc - BRVT/ 01299.521.939</t>
        </is>
      </c>
      <c r="D1652" s="397" t="inlineStr">
        <is>
          <t>01299.521.939</t>
        </is>
      </c>
      <c r="E1652" s="399" t="n"/>
      <c r="F1652" s="398" t="inlineStr">
        <is>
          <t>Xuyên Mộc - Bà Rịa Vũng Tàu</t>
        </is>
      </c>
      <c r="G1652" s="397" t="inlineStr">
        <is>
          <t>BRVT</t>
        </is>
      </c>
      <c r="H1652" s="399" t="n"/>
      <c r="J1652" s="392">
        <f>IFERROR(UPPER(TRIM(B1652))&amp;"|"&amp;UPPER(TRIM(C1652))&amp;"|"&amp;UPPER(TRIM(D1652)),"")</f>
        <v/>
      </c>
    </row>
    <row r="1653" ht="15.75" customHeight="1" s="217">
      <c r="A1653" s="400" t="n">
        <v>1651</v>
      </c>
      <c r="B1653" s="400" t="inlineStr">
        <is>
          <t>KH2168</t>
        </is>
      </c>
      <c r="C1653" s="401" t="inlineStr">
        <is>
          <t>Công ty Nam Tiến- Anh Phong - Cần Thơ / 0913.118.761</t>
        </is>
      </c>
      <c r="D1653" s="400" t="inlineStr">
        <is>
          <t>0913.118.761</t>
        </is>
      </c>
      <c r="E1653" s="402" t="n"/>
      <c r="F1653" s="401" t="inlineStr">
        <is>
          <t>Cần Thơ</t>
        </is>
      </c>
      <c r="G1653" s="400" t="inlineStr">
        <is>
          <t>CTHO</t>
        </is>
      </c>
      <c r="H1653" s="402" t="n"/>
      <c r="J1653" s="392">
        <f>IFERROR(UPPER(TRIM(B1653))&amp;"|"&amp;UPPER(TRIM(C1653))&amp;"|"&amp;UPPER(TRIM(D1653)),"")</f>
        <v/>
      </c>
    </row>
    <row r="1654" ht="15.75" customHeight="1" s="217">
      <c r="A1654" s="397" t="n">
        <v>1652</v>
      </c>
      <c r="B1654" s="397" t="inlineStr">
        <is>
          <t>KH2165</t>
        </is>
      </c>
      <c r="C1654" s="398" t="inlineStr">
        <is>
          <t>Xưởng Anh Dũng - Q9 / 0908.180.790</t>
        </is>
      </c>
      <c r="D1654" s="397" t="inlineStr">
        <is>
          <t>0908.180.790</t>
        </is>
      </c>
      <c r="E1654" s="399" t="n"/>
      <c r="F1654" s="398" t="inlineStr">
        <is>
          <t>Q9, SG</t>
        </is>
      </c>
      <c r="G1654" s="397" t="inlineStr">
        <is>
          <t>SG/HCM</t>
        </is>
      </c>
      <c r="H1654" s="399" t="n"/>
      <c r="J1654" s="392">
        <f>IFERROR(UPPER(TRIM(B1654))&amp;"|"&amp;UPPER(TRIM(C1654))&amp;"|"&amp;UPPER(TRIM(D1654)),"")</f>
        <v/>
      </c>
    </row>
    <row r="1655" ht="15.75" customHeight="1" s="217">
      <c r="A1655" s="400" t="n">
        <v>1653</v>
      </c>
      <c r="B1655" s="400" t="inlineStr">
        <is>
          <t>KH2166</t>
        </is>
      </c>
      <c r="C1655" s="401" t="inlineStr">
        <is>
          <t>Anh Trung - Phú Mỹ, BRVT/ 0913.668.076</t>
        </is>
      </c>
      <c r="D1655" s="400" t="inlineStr">
        <is>
          <t>0913.668.076</t>
        </is>
      </c>
      <c r="E1655" s="402" t="n"/>
      <c r="F1655" s="401" t="inlineStr">
        <is>
          <t>Phú Mỹ , Bà Rịa Vũng Tàu</t>
        </is>
      </c>
      <c r="G1655" s="400" t="inlineStr">
        <is>
          <t>BRVT</t>
        </is>
      </c>
      <c r="H1655" s="402" t="n"/>
      <c r="J1655" s="392">
        <f>IFERROR(UPPER(TRIM(B1655))&amp;"|"&amp;UPPER(TRIM(C1655))&amp;"|"&amp;UPPER(TRIM(D1655)),"")</f>
        <v/>
      </c>
    </row>
    <row r="1656" ht="15.75" customHeight="1" s="217">
      <c r="A1656" s="397" t="n">
        <v>1654</v>
      </c>
      <c r="B1656" s="397" t="inlineStr">
        <is>
          <t>KH2164</t>
        </is>
      </c>
      <c r="C1656" s="398" t="inlineStr">
        <is>
          <t>Xưởng anh Vũ - Bình Dương / 01212.616.866</t>
        </is>
      </c>
      <c r="D1656" s="397" t="inlineStr">
        <is>
          <t>01212.616.866</t>
        </is>
      </c>
      <c r="E1656" s="399" t="n"/>
      <c r="F1656" s="398" t="inlineStr">
        <is>
          <t>Bình Dương</t>
        </is>
      </c>
      <c r="G1656" s="397" t="inlineStr">
        <is>
          <t>BDUONG</t>
        </is>
      </c>
      <c r="H1656" s="399" t="n"/>
      <c r="J1656" s="392">
        <f>IFERROR(UPPER(TRIM(B1656))&amp;"|"&amp;UPPER(TRIM(C1656))&amp;"|"&amp;UPPER(TRIM(D1656)),"")</f>
        <v/>
      </c>
    </row>
    <row r="1657" ht="15.75" customHeight="1" s="217">
      <c r="A1657" s="400" t="n">
        <v>1655</v>
      </c>
      <c r="B1657" s="400" t="inlineStr">
        <is>
          <t>HAILONG</t>
        </is>
      </c>
      <c r="C1657" s="401" t="inlineStr">
        <is>
          <t>Công ty TNHH-TM-DV Bao Bì Hải Long</t>
        </is>
      </c>
      <c r="D1657" s="402" t="n"/>
      <c r="E1657" s="402" t="n"/>
      <c r="F1657" s="401" t="inlineStr">
        <is>
          <t>267 Thống Nhất, Phường Tân Thành, Quận Tân Phú, TPHCM</t>
        </is>
      </c>
      <c r="G1657" s="402" t="n"/>
      <c r="H1657" s="402" t="n"/>
      <c r="J1657" s="392">
        <f>IFERROR(UPPER(TRIM(B1657))&amp;"|"&amp;UPPER(TRIM(C1657))&amp;"|"&amp;UPPER(TRIM(D1657)),"")</f>
        <v/>
      </c>
    </row>
    <row r="1658" ht="15.75" customHeight="1" s="217">
      <c r="A1658" s="397" t="n">
        <v>1656</v>
      </c>
      <c r="B1658" s="397" t="inlineStr">
        <is>
          <t>ITR</t>
        </is>
      </c>
      <c r="C1658" s="398" t="inlineStr">
        <is>
          <t>ITR MIDDLE EAST FZCO</t>
        </is>
      </c>
      <c r="D1658" s="399" t="n"/>
      <c r="E1658" s="399" t="n"/>
      <c r="F1658" s="398" t="inlineStr">
        <is>
          <t>P.O. Box 18591 Jebel Ali, Dubai, United Arab Emirates</t>
        </is>
      </c>
      <c r="G1658" s="399" t="n"/>
      <c r="H1658" s="399" t="n"/>
      <c r="J1658" s="392">
        <f>IFERROR(UPPER(TRIM(B1658))&amp;"|"&amp;UPPER(TRIM(C1658))&amp;"|"&amp;UPPER(TRIM(D1658)),"")</f>
        <v/>
      </c>
    </row>
    <row r="1659" ht="15.75" customHeight="1" s="217">
      <c r="A1659" s="400" t="n">
        <v>1657</v>
      </c>
      <c r="B1659" s="400" t="inlineStr">
        <is>
          <t>KH2161</t>
        </is>
      </c>
      <c r="C1659" s="401" t="inlineStr">
        <is>
          <t>Xưởng Anh Long - Cà Mau / 0915.466.426</t>
        </is>
      </c>
      <c r="D1659" s="400" t="inlineStr">
        <is>
          <t>0915.466.426</t>
        </is>
      </c>
      <c r="E1659" s="402" t="n"/>
      <c r="F1659" s="401" t="inlineStr">
        <is>
          <t>Cà Mau</t>
        </is>
      </c>
      <c r="G1659" s="400" t="inlineStr">
        <is>
          <t>CMAU</t>
        </is>
      </c>
      <c r="H1659" s="402" t="n"/>
      <c r="J1659" s="392">
        <f>IFERROR(UPPER(TRIM(B1659))&amp;"|"&amp;UPPER(TRIM(C1659))&amp;"|"&amp;UPPER(TRIM(D1659)),"")</f>
        <v/>
      </c>
    </row>
    <row r="1660" ht="15.75" customHeight="1" s="217">
      <c r="A1660" s="397" t="n">
        <v>1658</v>
      </c>
      <c r="B1660" s="397" t="inlineStr">
        <is>
          <t>KH2162</t>
        </is>
      </c>
      <c r="C1660" s="398" t="inlineStr">
        <is>
          <t>Công ty TNHH Thương mại DV Hải Đăng - Bình Dương/ Chú Đăng 0913.950.464</t>
        </is>
      </c>
      <c r="D1660" s="397" t="inlineStr">
        <is>
          <t>0913.950.464</t>
        </is>
      </c>
      <c r="E1660" s="399" t="n"/>
      <c r="F1660" s="398" t="inlineStr">
        <is>
          <t>Số 10, Tổ 9, ấp 1, Xã Trừ Văn Thố, Huyện Bàu Bàng, Tỉnh Bình Dương</t>
        </is>
      </c>
      <c r="G1660" s="397" t="inlineStr">
        <is>
          <t>BDUONG</t>
        </is>
      </c>
      <c r="H1660" s="399" t="n"/>
      <c r="J1660" s="392">
        <f>IFERROR(UPPER(TRIM(B1660))&amp;"|"&amp;UPPER(TRIM(C1660))&amp;"|"&amp;UPPER(TRIM(D1660)),"")</f>
        <v/>
      </c>
    </row>
    <row r="1661" ht="15.75" customHeight="1" s="217">
      <c r="A1661" s="400" t="n">
        <v>1659</v>
      </c>
      <c r="B1661" s="400" t="inlineStr">
        <is>
          <t>KH2163</t>
        </is>
      </c>
      <c r="C1661" s="401" t="inlineStr">
        <is>
          <t>Anh Tập - Gia Lai / 01674.152.229</t>
        </is>
      </c>
      <c r="D1661" s="400" t="inlineStr">
        <is>
          <t>01674.152.229</t>
        </is>
      </c>
      <c r="E1661" s="402" t="n"/>
      <c r="F1661" s="401" t="inlineStr">
        <is>
          <t>Gia Lai</t>
        </is>
      </c>
      <c r="G1661" s="400" t="inlineStr">
        <is>
          <t>GLAI</t>
        </is>
      </c>
      <c r="H1661" s="402" t="n"/>
      <c r="J1661" s="392">
        <f>IFERROR(UPPER(TRIM(B1661))&amp;"|"&amp;UPPER(TRIM(C1661))&amp;"|"&amp;UPPER(TRIM(D1661)),"")</f>
        <v/>
      </c>
    </row>
    <row r="1662" ht="15.75" customHeight="1" s="217">
      <c r="A1662" s="397" t="n">
        <v>1660</v>
      </c>
      <c r="B1662" s="397" t="inlineStr">
        <is>
          <t>KH2159</t>
        </is>
      </c>
      <c r="C1662" s="398" t="inlineStr">
        <is>
          <t>Minh Tâm - Cần Đước / 0973.441.214</t>
        </is>
      </c>
      <c r="D1662" s="397" t="inlineStr">
        <is>
          <t>0973.441.214</t>
        </is>
      </c>
      <c r="E1662" s="399" t="n"/>
      <c r="F1662" s="398" t="inlineStr">
        <is>
          <t>Cần Đước , Long An</t>
        </is>
      </c>
      <c r="G1662" s="397" t="inlineStr">
        <is>
          <t>LA</t>
        </is>
      </c>
      <c r="H1662" s="399" t="n"/>
      <c r="J1662" s="392">
        <f>IFERROR(UPPER(TRIM(B1662))&amp;"|"&amp;UPPER(TRIM(C1662))&amp;"|"&amp;UPPER(TRIM(D1662)),"")</f>
        <v/>
      </c>
    </row>
    <row r="1663" ht="15.75" customHeight="1" s="217">
      <c r="A1663" s="400" t="n">
        <v>1661</v>
      </c>
      <c r="B1663" s="400" t="inlineStr">
        <is>
          <t>KH2160</t>
        </is>
      </c>
      <c r="C1663" s="401" t="inlineStr">
        <is>
          <t>Anh út - Bình Chánh / 0918.208.978</t>
        </is>
      </c>
      <c r="D1663" s="400" t="inlineStr">
        <is>
          <t>0918.208.978</t>
        </is>
      </c>
      <c r="E1663" s="402" t="n"/>
      <c r="F1663" s="401" t="inlineStr">
        <is>
          <t>Bình Chánh, TP HCM</t>
        </is>
      </c>
      <c r="G1663" s="400" t="inlineStr">
        <is>
          <t>SG/HCM</t>
        </is>
      </c>
      <c r="H1663" s="402" t="n"/>
      <c r="J1663" s="392">
        <f>IFERROR(UPPER(TRIM(B1663))&amp;"|"&amp;UPPER(TRIM(C1663))&amp;"|"&amp;UPPER(TRIM(D1663)),"")</f>
        <v/>
      </c>
    </row>
    <row r="1664" ht="15.75" customHeight="1" s="217">
      <c r="A1664" s="397" t="n">
        <v>1662</v>
      </c>
      <c r="B1664" s="397" t="inlineStr">
        <is>
          <t>KH2155</t>
        </is>
      </c>
      <c r="C1664" s="398" t="inlineStr">
        <is>
          <t>Anh Hưng - Gara Thành Hưng - Gia Lai / 0905.327.596</t>
        </is>
      </c>
      <c r="D1664" s="397" t="inlineStr">
        <is>
          <t>0905.327.596</t>
        </is>
      </c>
      <c r="E1664" s="399" t="n"/>
      <c r="F1664" s="398" t="inlineStr">
        <is>
          <t>KBang, Gia Lai</t>
        </is>
      </c>
      <c r="G1664" s="397" t="inlineStr">
        <is>
          <t>GLAI</t>
        </is>
      </c>
      <c r="H1664" s="397" t="inlineStr">
        <is>
          <t>Gửi xe Vương Tấn Dũng, quấy 78, BX Miền Đông - 0962.781.789</t>
        </is>
      </c>
      <c r="J1664" s="392">
        <f>IFERROR(UPPER(TRIM(B1664))&amp;"|"&amp;UPPER(TRIM(C1664))&amp;"|"&amp;UPPER(TRIM(D1664)),"")</f>
        <v/>
      </c>
    </row>
    <row r="1665" ht="15.75" customHeight="1" s="217">
      <c r="A1665" s="400" t="n">
        <v>1663</v>
      </c>
      <c r="B1665" s="400" t="inlineStr">
        <is>
          <t>KH2156</t>
        </is>
      </c>
      <c r="C1665" s="401" t="inlineStr">
        <is>
          <t>Anh Đông - Cà Mau / 0947.456.570</t>
        </is>
      </c>
      <c r="D1665" s="400" t="inlineStr">
        <is>
          <t>0947.456.570</t>
        </is>
      </c>
      <c r="E1665" s="402" t="n"/>
      <c r="F1665" s="401" t="inlineStr">
        <is>
          <t>Cà Mau</t>
        </is>
      </c>
      <c r="G1665" s="400" t="inlineStr">
        <is>
          <t>GLAI</t>
        </is>
      </c>
      <c r="H1665" s="402" t="n"/>
      <c r="J1665" s="392">
        <f>IFERROR(UPPER(TRIM(B1665))&amp;"|"&amp;UPPER(TRIM(C1665))&amp;"|"&amp;UPPER(TRIM(D1665)),"")</f>
        <v/>
      </c>
    </row>
    <row r="1666" ht="15.75" customHeight="1" s="217">
      <c r="A1666" s="397" t="n">
        <v>1664</v>
      </c>
      <c r="B1666" s="397" t="inlineStr">
        <is>
          <t>KH2157</t>
        </is>
      </c>
      <c r="C1666" s="398" t="inlineStr">
        <is>
          <t>Anh Lý - Bến Lức / 0919.085.994</t>
        </is>
      </c>
      <c r="D1666" s="397" t="inlineStr">
        <is>
          <t>0919.085.994</t>
        </is>
      </c>
      <c r="E1666" s="399" t="n"/>
      <c r="F1666" s="398" t="inlineStr">
        <is>
          <t>Bến Lức - Long An</t>
        </is>
      </c>
      <c r="G1666" s="397" t="inlineStr">
        <is>
          <t>LA</t>
        </is>
      </c>
      <c r="H1666" s="399" t="n"/>
      <c r="J1666" s="392">
        <f>IFERROR(UPPER(TRIM(B1666))&amp;"|"&amp;UPPER(TRIM(C1666))&amp;"|"&amp;UPPER(TRIM(D1666)),"")</f>
        <v/>
      </c>
    </row>
    <row r="1667" ht="15.75" customHeight="1" s="217">
      <c r="A1667" s="400" t="n">
        <v>1665</v>
      </c>
      <c r="B1667" s="400" t="inlineStr">
        <is>
          <t>KH2158</t>
        </is>
      </c>
      <c r="C1667" s="401" t="inlineStr">
        <is>
          <t>Anh Phát - Tiền Giang / 0919.646.637</t>
        </is>
      </c>
      <c r="D1667" s="400" t="inlineStr">
        <is>
          <t>0919.646.637</t>
        </is>
      </c>
      <c r="E1667" s="402" t="n"/>
      <c r="F1667" s="401" t="inlineStr">
        <is>
          <t>Tiền Giang</t>
        </is>
      </c>
      <c r="G1667" s="400" t="inlineStr">
        <is>
          <t>TGIANG</t>
        </is>
      </c>
      <c r="H1667" s="402" t="n"/>
      <c r="J1667" s="392">
        <f>IFERROR(UPPER(TRIM(B1667))&amp;"|"&amp;UPPER(TRIM(C1667))&amp;"|"&amp;UPPER(TRIM(D1667)),"")</f>
        <v/>
      </c>
    </row>
    <row r="1668" ht="15.75" customHeight="1" s="217">
      <c r="A1668" s="397" t="n">
        <v>1666</v>
      </c>
      <c r="B1668" s="397" t="inlineStr">
        <is>
          <t>KH2152</t>
        </is>
      </c>
      <c r="C1668" s="398" t="inlineStr">
        <is>
          <t>Bãi Máy Đông Tây - Anh Trường - Quận 12 / 0966.660.804</t>
        </is>
      </c>
      <c r="D1668" s="397" t="inlineStr">
        <is>
          <t>0966.660.804</t>
        </is>
      </c>
      <c r="E1668" s="399" t="n"/>
      <c r="F1668" s="398" t="inlineStr">
        <is>
          <t>325/3A QL1A, P. An Phú Đông, Quận 12, TP HCM</t>
        </is>
      </c>
      <c r="G1668" s="397" t="inlineStr">
        <is>
          <t>SG/HCM</t>
        </is>
      </c>
      <c r="H1668" s="399" t="n"/>
      <c r="J1668" s="392">
        <f>IFERROR(UPPER(TRIM(B1668))&amp;"|"&amp;UPPER(TRIM(C1668))&amp;"|"&amp;UPPER(TRIM(D1668)),"")</f>
        <v/>
      </c>
    </row>
    <row r="1669" ht="15.75" customHeight="1" s="217">
      <c r="A1669" s="400" t="n">
        <v>1667</v>
      </c>
      <c r="B1669" s="400" t="inlineStr">
        <is>
          <t>KH2153</t>
        </is>
      </c>
      <c r="C1669" s="401" t="inlineStr">
        <is>
          <t>VLXD Quế Đông - Anh Cường - Quận 12 / 0983.059.414</t>
        </is>
      </c>
      <c r="D1669" s="400" t="inlineStr">
        <is>
          <t>0983.059.414</t>
        </is>
      </c>
      <c r="E1669" s="402" t="n"/>
      <c r="F1669" s="401" t="inlineStr">
        <is>
          <t>Hà Huy Giáp - Quận 12 - TP HCM</t>
        </is>
      </c>
      <c r="G1669" s="400" t="inlineStr">
        <is>
          <t>SG/HCM</t>
        </is>
      </c>
      <c r="H1669" s="402" t="n"/>
      <c r="J1669" s="392">
        <f>IFERROR(UPPER(TRIM(B1669))&amp;"|"&amp;UPPER(TRIM(C1669))&amp;"|"&amp;UPPER(TRIM(D1669)),"")</f>
        <v/>
      </c>
    </row>
    <row r="1670" ht="15.75" customHeight="1" s="217">
      <c r="A1670" s="397" t="n">
        <v>1668</v>
      </c>
      <c r="B1670" s="397" t="inlineStr">
        <is>
          <t>KH2154</t>
        </is>
      </c>
      <c r="C1670" s="398" t="inlineStr">
        <is>
          <t>Anh út - Gia Lai / 01668.464.440</t>
        </is>
      </c>
      <c r="D1670" s="397" t="inlineStr">
        <is>
          <t>01668.464.440</t>
        </is>
      </c>
      <c r="E1670" s="399" t="n"/>
      <c r="F1670" s="398" t="inlineStr">
        <is>
          <t>514 Lý Thái Tổ, Pleiku, Gia Lai</t>
        </is>
      </c>
      <c r="G1670" s="397" t="inlineStr">
        <is>
          <t>GLAI</t>
        </is>
      </c>
      <c r="H1670" s="399" t="n"/>
      <c r="J1670" s="392">
        <f>IFERROR(UPPER(TRIM(B1670))&amp;"|"&amp;UPPER(TRIM(C1670))&amp;"|"&amp;UPPER(TRIM(D1670)),"")</f>
        <v/>
      </c>
    </row>
    <row r="1671" ht="15.75" customHeight="1" s="217">
      <c r="A1671" s="400" t="n">
        <v>1669</v>
      </c>
      <c r="B1671" s="400" t="inlineStr">
        <is>
          <t>KH2146</t>
        </is>
      </c>
      <c r="C1671" s="401" t="inlineStr">
        <is>
          <t>Anh Phong - Bình Chánh / 0962.948.761</t>
        </is>
      </c>
      <c r="D1671" s="400" t="inlineStr">
        <is>
          <t>0962.948.761</t>
        </is>
      </c>
      <c r="E1671" s="402" t="n"/>
      <c r="F1671" s="401" t="inlineStr">
        <is>
          <t>Bình Chánh , SG</t>
        </is>
      </c>
      <c r="G1671" s="400" t="inlineStr">
        <is>
          <t>SG/HCM</t>
        </is>
      </c>
      <c r="H1671" s="402" t="n"/>
      <c r="J1671" s="392">
        <f>IFERROR(UPPER(TRIM(B1671))&amp;"|"&amp;UPPER(TRIM(C1671))&amp;"|"&amp;UPPER(TRIM(D1671)),"")</f>
        <v/>
      </c>
    </row>
    <row r="1672" ht="15.75" customHeight="1" s="217">
      <c r="A1672" s="397" t="n">
        <v>1670</v>
      </c>
      <c r="B1672" s="397" t="inlineStr">
        <is>
          <t>KH2147</t>
        </is>
      </c>
      <c r="C1672" s="398" t="inlineStr">
        <is>
          <t>Anh Hoàng - SG / 0908.798.182</t>
        </is>
      </c>
      <c r="D1672" s="397" t="inlineStr">
        <is>
          <t>0908.798.182</t>
        </is>
      </c>
      <c r="E1672" s="399" t="n"/>
      <c r="F1672" s="398" t="inlineStr">
        <is>
          <t>SG</t>
        </is>
      </c>
      <c r="G1672" s="397" t="inlineStr">
        <is>
          <t>SG/HCM</t>
        </is>
      </c>
      <c r="H1672" s="399" t="n"/>
      <c r="J1672" s="392">
        <f>IFERROR(UPPER(TRIM(B1672))&amp;"|"&amp;UPPER(TRIM(C1672))&amp;"|"&amp;UPPER(TRIM(D1672)),"")</f>
        <v/>
      </c>
    </row>
    <row r="1673" ht="15.75" customHeight="1" s="217">
      <c r="A1673" s="400" t="n">
        <v>1671</v>
      </c>
      <c r="B1673" s="400" t="inlineStr">
        <is>
          <t>KH2148</t>
        </is>
      </c>
      <c r="C1673" s="401" t="inlineStr">
        <is>
          <t>Anh Hiến - Kontum / 0985.624.402</t>
        </is>
      </c>
      <c r="D1673" s="400" t="inlineStr">
        <is>
          <t>0985.624.402</t>
        </is>
      </c>
      <c r="E1673" s="402" t="n"/>
      <c r="F1673" s="401" t="inlineStr">
        <is>
          <t>Kontum</t>
        </is>
      </c>
      <c r="G1673" s="400" t="inlineStr">
        <is>
          <t>KTUM</t>
        </is>
      </c>
      <c r="H1673" s="402" t="n"/>
      <c r="J1673" s="392">
        <f>IFERROR(UPPER(TRIM(B1673))&amp;"|"&amp;UPPER(TRIM(C1673))&amp;"|"&amp;UPPER(TRIM(D1673)),"")</f>
        <v/>
      </c>
    </row>
    <row r="1674" ht="15.75" customHeight="1" s="217">
      <c r="A1674" s="397" t="n">
        <v>1672</v>
      </c>
      <c r="B1674" s="397" t="inlineStr">
        <is>
          <t>KH2149</t>
        </is>
      </c>
      <c r="C1674" s="398" t="inlineStr">
        <is>
          <t>Công Ty CP XD Hùng Thắng - Phú Quốc/ Anh Quốc - 0908.979.040</t>
        </is>
      </c>
      <c r="D1674" s="397" t="inlineStr">
        <is>
          <t>0908.979.040</t>
        </is>
      </c>
      <c r="E1674" s="399" t="n"/>
      <c r="F1674" s="398" t="inlineStr">
        <is>
          <t>Tổ 6, ấp Đường Bào, Xã Dương Tơ, Huyện Phú Quốc, T.Kiên Giang</t>
        </is>
      </c>
      <c r="G1674" s="397" t="inlineStr">
        <is>
          <t>KG</t>
        </is>
      </c>
      <c r="H1674" s="399" t="n"/>
      <c r="J1674" s="392">
        <f>IFERROR(UPPER(TRIM(B1674))&amp;"|"&amp;UPPER(TRIM(C1674))&amp;"|"&amp;UPPER(TRIM(D1674)),"")</f>
        <v/>
      </c>
    </row>
    <row r="1675" ht="15.75" customHeight="1" s="217">
      <c r="A1675" s="400" t="n">
        <v>1673</v>
      </c>
      <c r="B1675" s="400" t="inlineStr">
        <is>
          <t>KH2150</t>
        </is>
      </c>
      <c r="C1675" s="401" t="inlineStr">
        <is>
          <t>Xưởng Anh Phong - Bến Cát / 0901.645.752</t>
        </is>
      </c>
      <c r="D1675" s="400" t="inlineStr">
        <is>
          <t>0901.645.752</t>
        </is>
      </c>
      <c r="E1675" s="402" t="n"/>
      <c r="F1675" s="401" t="inlineStr">
        <is>
          <t>Bến Cát - Bình Dương</t>
        </is>
      </c>
      <c r="G1675" s="400" t="inlineStr">
        <is>
          <t>BDUONG</t>
        </is>
      </c>
      <c r="H1675" s="402" t="n"/>
      <c r="J1675" s="392">
        <f>IFERROR(UPPER(TRIM(B1675))&amp;"|"&amp;UPPER(TRIM(C1675))&amp;"|"&amp;UPPER(TRIM(D1675)),"")</f>
        <v/>
      </c>
    </row>
    <row r="1676" ht="15.75" customHeight="1" s="217">
      <c r="A1676" s="397" t="n">
        <v>1674</v>
      </c>
      <c r="B1676" s="397" t="inlineStr">
        <is>
          <t>KH2151</t>
        </is>
      </c>
      <c r="C1676" s="398" t="inlineStr">
        <is>
          <t>Anh Bảo - Cty Lê Bảo - Quận 9 / 0903.151.546</t>
        </is>
      </c>
      <c r="D1676" s="397" t="inlineStr">
        <is>
          <t>0903.151.546</t>
        </is>
      </c>
      <c r="E1676" s="399" t="n"/>
      <c r="F1676" s="398" t="inlineStr">
        <is>
          <t>84C1 Dương Đình Hội, KP6, P. Phước Long B, Quận 9, TP HCM</t>
        </is>
      </c>
      <c r="G1676" s="397" t="inlineStr">
        <is>
          <t>SG/HCM</t>
        </is>
      </c>
      <c r="H1676" s="399" t="n"/>
      <c r="J1676" s="392">
        <f>IFERROR(UPPER(TRIM(B1676))&amp;"|"&amp;UPPER(TRIM(C1676))&amp;"|"&amp;UPPER(TRIM(D1676)),"")</f>
        <v/>
      </c>
    </row>
    <row r="1677" ht="15.75" customHeight="1" s="217">
      <c r="A1677" s="400" t="n">
        <v>1675</v>
      </c>
      <c r="B1677" s="400" t="inlineStr">
        <is>
          <t>KH2143</t>
        </is>
      </c>
      <c r="C1677" s="401" t="inlineStr">
        <is>
          <t>Anh Trải - Bảo Lộc / 0934.144.748</t>
        </is>
      </c>
      <c r="D1677" s="400" t="inlineStr">
        <is>
          <t>0934.144.748</t>
        </is>
      </c>
      <c r="E1677" s="402" t="n"/>
      <c r="F1677" s="401" t="inlineStr">
        <is>
          <t>Bảo Lộc - Lâm Đồng</t>
        </is>
      </c>
      <c r="G1677" s="400" t="inlineStr">
        <is>
          <t>LDONG</t>
        </is>
      </c>
      <c r="H1677" s="402" t="n"/>
      <c r="J1677" s="392">
        <f>IFERROR(UPPER(TRIM(B1677))&amp;"|"&amp;UPPER(TRIM(C1677))&amp;"|"&amp;UPPER(TRIM(D1677)),"")</f>
        <v/>
      </c>
    </row>
    <row r="1678" ht="15.75" customHeight="1" s="217">
      <c r="A1678" s="397" t="n">
        <v>1676</v>
      </c>
      <c r="B1678" s="397" t="inlineStr">
        <is>
          <t>KH2144</t>
        </is>
      </c>
      <c r="C1678" s="398" t="inlineStr">
        <is>
          <t>Cửa Hàng Thành Dũng - Bạc Liêu / Chị Ngọc - 0986.649.676</t>
        </is>
      </c>
      <c r="D1678" s="397" t="inlineStr">
        <is>
          <t>0986.649.676</t>
        </is>
      </c>
      <c r="E1678" s="399" t="n"/>
      <c r="F1678" s="398" t="inlineStr">
        <is>
          <t>Bạc Liêu</t>
        </is>
      </c>
      <c r="G1678" s="397" t="inlineStr">
        <is>
          <t>BLIEU</t>
        </is>
      </c>
      <c r="H1678" s="399" t="n"/>
      <c r="J1678" s="392">
        <f>IFERROR(UPPER(TRIM(B1678))&amp;"|"&amp;UPPER(TRIM(C1678))&amp;"|"&amp;UPPER(TRIM(D1678)),"")</f>
        <v/>
      </c>
    </row>
    <row r="1679" ht="15.75" customHeight="1" s="217">
      <c r="A1679" s="400" t="n">
        <v>1677</v>
      </c>
      <c r="B1679" s="400" t="inlineStr">
        <is>
          <t>KH2145</t>
        </is>
      </c>
      <c r="C1679" s="401" t="inlineStr">
        <is>
          <t>Anh Phúc - SG / 0933.126.854</t>
        </is>
      </c>
      <c r="D1679" s="400" t="inlineStr">
        <is>
          <t>0933.126.854</t>
        </is>
      </c>
      <c r="E1679" s="402" t="n"/>
      <c r="F1679" s="401" t="inlineStr">
        <is>
          <t>SG</t>
        </is>
      </c>
      <c r="G1679" s="400" t="inlineStr">
        <is>
          <t>SG/HCM</t>
        </is>
      </c>
      <c r="H1679" s="402" t="n"/>
      <c r="J1679" s="392">
        <f>IFERROR(UPPER(TRIM(B1679))&amp;"|"&amp;UPPER(TRIM(C1679))&amp;"|"&amp;UPPER(TRIM(D1679)),"")</f>
        <v/>
      </c>
    </row>
    <row r="1680" ht="15.75" customHeight="1" s="217">
      <c r="A1680" s="397" t="n">
        <v>1678</v>
      </c>
      <c r="B1680" s="397" t="inlineStr">
        <is>
          <t>KH2142</t>
        </is>
      </c>
      <c r="C1680" s="398" t="inlineStr">
        <is>
          <t>Anh Vuông - SG / 0933.816.156</t>
        </is>
      </c>
      <c r="D1680" s="397" t="inlineStr">
        <is>
          <t>0933.816.156</t>
        </is>
      </c>
      <c r="E1680" s="399" t="n"/>
      <c r="F1680" s="398" t="inlineStr">
        <is>
          <t>SG</t>
        </is>
      </c>
      <c r="G1680" s="397" t="inlineStr">
        <is>
          <t>SG/HCM</t>
        </is>
      </c>
      <c r="H1680" s="399" t="n"/>
      <c r="J1680" s="392">
        <f>IFERROR(UPPER(TRIM(B1680))&amp;"|"&amp;UPPER(TRIM(C1680))&amp;"|"&amp;UPPER(TRIM(D1680)),"")</f>
        <v/>
      </c>
    </row>
    <row r="1681" ht="15.75" customHeight="1" s="217">
      <c r="A1681" s="400" t="n">
        <v>1679</v>
      </c>
      <c r="B1681" s="400" t="inlineStr">
        <is>
          <t>KH2136</t>
        </is>
      </c>
      <c r="C1681" s="401" t="inlineStr">
        <is>
          <t>Anh Văn - Bình Dương /01687.400.105</t>
        </is>
      </c>
      <c r="D1681" s="400" t="inlineStr">
        <is>
          <t>01687.400.105</t>
        </is>
      </c>
      <c r="E1681" s="402" t="n"/>
      <c r="F1681" s="401" t="inlineStr">
        <is>
          <t>Bình Dương</t>
        </is>
      </c>
      <c r="G1681" s="400" t="inlineStr">
        <is>
          <t>BDUONG</t>
        </is>
      </c>
      <c r="H1681" s="402" t="n"/>
      <c r="J1681" s="392">
        <f>IFERROR(UPPER(TRIM(B1681))&amp;"|"&amp;UPPER(TRIM(C1681))&amp;"|"&amp;UPPER(TRIM(D1681)),"")</f>
        <v/>
      </c>
    </row>
    <row r="1682" ht="15.75" customHeight="1" s="217">
      <c r="A1682" s="397" t="n">
        <v>1680</v>
      </c>
      <c r="B1682" s="397" t="inlineStr">
        <is>
          <t>KH2137</t>
        </is>
      </c>
      <c r="C1682" s="398" t="inlineStr">
        <is>
          <t>Bãi Máy Đức Hùng - Suối Tiên/ 0961.804.073</t>
        </is>
      </c>
      <c r="D1682" s="397" t="inlineStr">
        <is>
          <t>0961.804.073</t>
        </is>
      </c>
      <c r="E1682" s="399" t="n"/>
      <c r="F1682" s="398" t="inlineStr">
        <is>
          <t>Suối Tiên, SG</t>
        </is>
      </c>
      <c r="G1682" s="397" t="inlineStr">
        <is>
          <t>SG/HCM</t>
        </is>
      </c>
      <c r="H1682" s="399" t="n"/>
      <c r="J1682" s="392">
        <f>IFERROR(UPPER(TRIM(B1682))&amp;"|"&amp;UPPER(TRIM(C1682))&amp;"|"&amp;UPPER(TRIM(D1682)),"")</f>
        <v/>
      </c>
    </row>
    <row r="1683" ht="15.75" customHeight="1" s="217">
      <c r="A1683" s="400" t="n">
        <v>1681</v>
      </c>
      <c r="B1683" s="400" t="inlineStr">
        <is>
          <t>KH2138</t>
        </is>
      </c>
      <c r="C1683" s="401" t="inlineStr">
        <is>
          <t>Anh Văn Anh - Vĩnh Long / 0939.333.151</t>
        </is>
      </c>
      <c r="D1683" s="400" t="inlineStr">
        <is>
          <t>0939.333.151</t>
        </is>
      </c>
      <c r="E1683" s="402" t="n"/>
      <c r="F1683" s="401" t="inlineStr">
        <is>
          <t>Vĩnh Long</t>
        </is>
      </c>
      <c r="G1683" s="400" t="inlineStr">
        <is>
          <t>VĨNH LONG</t>
        </is>
      </c>
      <c r="H1683" s="402" t="n"/>
      <c r="J1683" s="392">
        <f>IFERROR(UPPER(TRIM(B1683))&amp;"|"&amp;UPPER(TRIM(C1683))&amp;"|"&amp;UPPER(TRIM(D1683)),"")</f>
        <v/>
      </c>
    </row>
    <row r="1684" ht="15.75" customHeight="1" s="217">
      <c r="A1684" s="397" t="n">
        <v>1682</v>
      </c>
      <c r="B1684" s="397" t="inlineStr">
        <is>
          <t>KH2139</t>
        </is>
      </c>
      <c r="C1684" s="398" t="inlineStr">
        <is>
          <t>Anh Phương - Bình Long / 0919.473.077</t>
        </is>
      </c>
      <c r="D1684" s="397" t="inlineStr">
        <is>
          <t>0919.473.077</t>
        </is>
      </c>
      <c r="E1684" s="399" t="n"/>
      <c r="F1684" s="398" t="inlineStr">
        <is>
          <t>Bình Long - Bình Phước</t>
        </is>
      </c>
      <c r="G1684" s="397" t="inlineStr">
        <is>
          <t>BP</t>
        </is>
      </c>
      <c r="H1684" s="399" t="n"/>
      <c r="J1684" s="392">
        <f>IFERROR(UPPER(TRIM(B1684))&amp;"|"&amp;UPPER(TRIM(C1684))&amp;"|"&amp;UPPER(TRIM(D1684)),"")</f>
        <v/>
      </c>
    </row>
    <row r="1685" ht="15.75" customHeight="1" s="217">
      <c r="A1685" s="400" t="n">
        <v>1683</v>
      </c>
      <c r="B1685" s="400" t="inlineStr">
        <is>
          <t>KH2140</t>
        </is>
      </c>
      <c r="C1685" s="401" t="inlineStr">
        <is>
          <t>Anh Hoàng - Bến Cát / 0908.581.316</t>
        </is>
      </c>
      <c r="D1685" s="400" t="inlineStr">
        <is>
          <t>0908.581.316</t>
        </is>
      </c>
      <c r="E1685" s="402" t="n"/>
      <c r="F1685" s="401" t="inlineStr">
        <is>
          <t>Bến Cát - Bình Dương</t>
        </is>
      </c>
      <c r="G1685" s="400" t="inlineStr">
        <is>
          <t>BDUONG</t>
        </is>
      </c>
      <c r="H1685" s="402" t="n"/>
      <c r="J1685" s="392">
        <f>IFERROR(UPPER(TRIM(B1685))&amp;"|"&amp;UPPER(TRIM(C1685))&amp;"|"&amp;UPPER(TRIM(D1685)),"")</f>
        <v/>
      </c>
    </row>
    <row r="1686" ht="15.75" customHeight="1" s="217">
      <c r="A1686" s="397" t="n">
        <v>1684</v>
      </c>
      <c r="B1686" s="397" t="inlineStr">
        <is>
          <t>KH2141</t>
        </is>
      </c>
      <c r="C1686" s="398" t="inlineStr">
        <is>
          <t>Xưởng Anh Nguyên - SG / 0975.537.333</t>
        </is>
      </c>
      <c r="D1686" s="397" t="inlineStr">
        <is>
          <t>0975.537.333</t>
        </is>
      </c>
      <c r="E1686" s="399" t="n"/>
      <c r="F1686" s="398" t="inlineStr">
        <is>
          <t>SG</t>
        </is>
      </c>
      <c r="G1686" s="397" t="inlineStr">
        <is>
          <t>SG/HCM</t>
        </is>
      </c>
      <c r="H1686" s="399" t="n"/>
      <c r="J1686" s="392">
        <f>IFERROR(UPPER(TRIM(B1686))&amp;"|"&amp;UPPER(TRIM(C1686))&amp;"|"&amp;UPPER(TRIM(D1686)),"")</f>
        <v/>
      </c>
    </row>
    <row r="1687" ht="15.75" customHeight="1" s="217">
      <c r="A1687" s="400" t="n">
        <v>1685</v>
      </c>
      <c r="B1687" s="400" t="inlineStr">
        <is>
          <t>KH2134</t>
        </is>
      </c>
      <c r="C1687" s="401" t="inlineStr">
        <is>
          <t>Anh Hải - Gia Lai / 0977.647.777</t>
        </is>
      </c>
      <c r="D1687" s="400" t="inlineStr">
        <is>
          <t>0977.647.777</t>
        </is>
      </c>
      <c r="E1687" s="402" t="n"/>
      <c r="F1687" s="401" t="inlineStr">
        <is>
          <t>Gia Lai</t>
        </is>
      </c>
      <c r="G1687" s="400" t="inlineStr">
        <is>
          <t>GLAI</t>
        </is>
      </c>
      <c r="H1687" s="402" t="n"/>
      <c r="J1687" s="392">
        <f>IFERROR(UPPER(TRIM(B1687))&amp;"|"&amp;UPPER(TRIM(C1687))&amp;"|"&amp;UPPER(TRIM(D1687)),"")</f>
        <v/>
      </c>
    </row>
    <row r="1688" ht="15.75" customHeight="1" s="217">
      <c r="A1688" s="397" t="n">
        <v>1686</v>
      </c>
      <c r="B1688" s="397" t="inlineStr">
        <is>
          <t>KH2135</t>
        </is>
      </c>
      <c r="C1688" s="398" t="inlineStr">
        <is>
          <t>Cửa hàng Anh Nghiệp - Vũng Liêm / 0974.301.080</t>
        </is>
      </c>
      <c r="D1688" s="397" t="inlineStr">
        <is>
          <t>0974.301.080</t>
        </is>
      </c>
      <c r="E1688" s="399" t="n"/>
      <c r="F1688" s="398" t="inlineStr">
        <is>
          <t>Vũng Liêm , Vĩnh Long</t>
        </is>
      </c>
      <c r="G1688" s="397" t="inlineStr">
        <is>
          <t>VĨNH LONG</t>
        </is>
      </c>
      <c r="H1688" s="399" t="n"/>
      <c r="J1688" s="392">
        <f>IFERROR(UPPER(TRIM(B1688))&amp;"|"&amp;UPPER(TRIM(C1688))&amp;"|"&amp;UPPER(TRIM(D1688)),"")</f>
        <v/>
      </c>
    </row>
    <row r="1689" ht="15.75" customHeight="1" s="217">
      <c r="A1689" s="400" t="n">
        <v>1687</v>
      </c>
      <c r="B1689" s="400" t="inlineStr">
        <is>
          <t>KH2132</t>
        </is>
      </c>
      <c r="C1689" s="401" t="inlineStr">
        <is>
          <t>Gara Duyên Châu - Phú Quốc / Chị Duyên - 0939.989.133</t>
        </is>
      </c>
      <c r="D1689" s="400" t="inlineStr">
        <is>
          <t>0939.989.133</t>
        </is>
      </c>
      <c r="E1689" s="402" t="n"/>
      <c r="F1689" s="401" t="inlineStr">
        <is>
          <t>Phú Quốc</t>
        </is>
      </c>
      <c r="G1689" s="400" t="inlineStr">
        <is>
          <t>PYEN</t>
        </is>
      </c>
      <c r="H1689" s="402" t="n"/>
      <c r="J1689" s="392">
        <f>IFERROR(UPPER(TRIM(B1689))&amp;"|"&amp;UPPER(TRIM(C1689))&amp;"|"&amp;UPPER(TRIM(D1689)),"")</f>
        <v/>
      </c>
    </row>
    <row r="1690" ht="15.75" customHeight="1" s="217">
      <c r="A1690" s="397" t="n">
        <v>1688</v>
      </c>
      <c r="B1690" s="397" t="inlineStr">
        <is>
          <t>KH2133</t>
        </is>
      </c>
      <c r="C1690" s="398" t="inlineStr">
        <is>
          <t>Anh Dương - Thái Bình / 0984.470.989</t>
        </is>
      </c>
      <c r="D1690" s="397" t="inlineStr">
        <is>
          <t>0984.470.989</t>
        </is>
      </c>
      <c r="E1690" s="399" t="n"/>
      <c r="F1690" s="398" t="inlineStr">
        <is>
          <t>Thái Bình</t>
        </is>
      </c>
      <c r="G1690" s="397" t="inlineStr">
        <is>
          <t>TGIANG</t>
        </is>
      </c>
      <c r="H1690" s="399" t="n"/>
      <c r="J1690" s="392">
        <f>IFERROR(UPPER(TRIM(B1690))&amp;"|"&amp;UPPER(TRIM(C1690))&amp;"|"&amp;UPPER(TRIM(D1690)),"")</f>
        <v/>
      </c>
    </row>
    <row r="1691" ht="15.75" customHeight="1" s="217">
      <c r="A1691" s="400" t="n">
        <v>1689</v>
      </c>
      <c r="B1691" s="400" t="inlineStr">
        <is>
          <t>KH2131</t>
        </is>
      </c>
      <c r="C1691" s="401" t="inlineStr">
        <is>
          <t>Anh Sử - BM Lê Dũng Suối Tiên/ 0938.515.269</t>
        </is>
      </c>
      <c r="D1691" s="400" t="inlineStr">
        <is>
          <t>0938.515.269</t>
        </is>
      </c>
      <c r="E1691" s="402" t="n"/>
      <c r="F1691" s="401" t="inlineStr">
        <is>
          <t>Suối Tiên, SG</t>
        </is>
      </c>
      <c r="G1691" s="400" t="inlineStr">
        <is>
          <t>SG/HCM</t>
        </is>
      </c>
      <c r="H1691" s="402" t="n"/>
      <c r="J1691" s="392">
        <f>IFERROR(UPPER(TRIM(B1691))&amp;"|"&amp;UPPER(TRIM(C1691))&amp;"|"&amp;UPPER(TRIM(D1691)),"")</f>
        <v/>
      </c>
    </row>
    <row r="1692" ht="15.75" customHeight="1" s="217">
      <c r="A1692" s="397" t="n">
        <v>1690</v>
      </c>
      <c r="B1692" s="397" t="inlineStr">
        <is>
          <t>KH2128</t>
        </is>
      </c>
      <c r="C1692" s="398" t="inlineStr">
        <is>
          <t>Bãi Máy Anh Thành - Suối Tiên / 0903.118.823</t>
        </is>
      </c>
      <c r="D1692" s="397" t="inlineStr">
        <is>
          <t>0903.118.823</t>
        </is>
      </c>
      <c r="E1692" s="399" t="n"/>
      <c r="F1692" s="398" t="inlineStr">
        <is>
          <t>Dốc Thiên Thu, Suối Tiên, SG</t>
        </is>
      </c>
      <c r="G1692" s="397" t="inlineStr">
        <is>
          <t>SG/HCM</t>
        </is>
      </c>
      <c r="H1692" s="399" t="n"/>
      <c r="J1692" s="392">
        <f>IFERROR(UPPER(TRIM(B1692))&amp;"|"&amp;UPPER(TRIM(C1692))&amp;"|"&amp;UPPER(TRIM(D1692)),"")</f>
        <v/>
      </c>
    </row>
    <row r="1693" ht="15.75" customHeight="1" s="217">
      <c r="A1693" s="400" t="n">
        <v>1691</v>
      </c>
      <c r="B1693" s="400" t="inlineStr">
        <is>
          <t>KH2129</t>
        </is>
      </c>
      <c r="C1693" s="401" t="inlineStr">
        <is>
          <t>Xưởng Anh Khanh - SG / 0919.171.690</t>
        </is>
      </c>
      <c r="D1693" s="400" t="inlineStr">
        <is>
          <t>0919.171.690</t>
        </is>
      </c>
      <c r="E1693" s="402" t="n"/>
      <c r="F1693" s="401" t="inlineStr">
        <is>
          <t>Sài Gòn</t>
        </is>
      </c>
      <c r="G1693" s="400" t="inlineStr">
        <is>
          <t>SG/HCM</t>
        </is>
      </c>
      <c r="H1693" s="402" t="n"/>
      <c r="J1693" s="392">
        <f>IFERROR(UPPER(TRIM(B1693))&amp;"|"&amp;UPPER(TRIM(C1693))&amp;"|"&amp;UPPER(TRIM(D1693)),"")</f>
        <v/>
      </c>
    </row>
    <row r="1694" ht="15.75" customHeight="1" s="217">
      <c r="A1694" s="397" t="n">
        <v>1692</v>
      </c>
      <c r="B1694" s="397" t="inlineStr">
        <is>
          <t>KH2130</t>
        </is>
      </c>
      <c r="C1694" s="398" t="inlineStr">
        <is>
          <t>Anh Hiếu - Củ Chi / 0902.633.030</t>
        </is>
      </c>
      <c r="D1694" s="397" t="inlineStr">
        <is>
          <t>0902.633.030</t>
        </is>
      </c>
      <c r="E1694" s="399" t="n"/>
      <c r="F1694" s="398" t="inlineStr">
        <is>
          <t>Củ Chi - TP HCM</t>
        </is>
      </c>
      <c r="G1694" s="397" t="inlineStr">
        <is>
          <t>SG/HCM</t>
        </is>
      </c>
      <c r="H1694" s="399" t="n"/>
      <c r="J1694" s="392">
        <f>IFERROR(UPPER(TRIM(B1694))&amp;"|"&amp;UPPER(TRIM(C1694))&amp;"|"&amp;UPPER(TRIM(D1694)),"")</f>
        <v/>
      </c>
    </row>
    <row r="1695" ht="15.75" customHeight="1" s="217">
      <c r="A1695" s="400" t="n">
        <v>1693</v>
      </c>
      <c r="B1695" s="400" t="inlineStr">
        <is>
          <t>KH2126</t>
        </is>
      </c>
      <c r="C1695" s="401" t="inlineStr">
        <is>
          <t>Anh Tín - Bình Chánh / 01679.983.899</t>
        </is>
      </c>
      <c r="D1695" s="400" t="inlineStr">
        <is>
          <t>01679.983.899</t>
        </is>
      </c>
      <c r="E1695" s="402" t="n"/>
      <c r="F1695" s="401" t="inlineStr">
        <is>
          <t>SG</t>
        </is>
      </c>
      <c r="G1695" s="400" t="inlineStr">
        <is>
          <t>SG/HCM</t>
        </is>
      </c>
      <c r="H1695" s="402" t="n"/>
      <c r="J1695" s="392">
        <f>IFERROR(UPPER(TRIM(B1695))&amp;"|"&amp;UPPER(TRIM(C1695))&amp;"|"&amp;UPPER(TRIM(D1695)),"")</f>
        <v/>
      </c>
    </row>
    <row r="1696" ht="15.75" customHeight="1" s="217">
      <c r="A1696" s="397" t="n">
        <v>1694</v>
      </c>
      <c r="B1696" s="397" t="inlineStr">
        <is>
          <t>KH2127</t>
        </is>
      </c>
      <c r="C1696" s="398" t="inlineStr">
        <is>
          <t>Anh Thuận - Quận 7 / 0903.717.421</t>
        </is>
      </c>
      <c r="D1696" s="397" t="inlineStr">
        <is>
          <t>0903.717.421</t>
        </is>
      </c>
      <c r="E1696" s="399" t="n"/>
      <c r="F1696" s="398" t="inlineStr">
        <is>
          <t>SG</t>
        </is>
      </c>
      <c r="G1696" s="397" t="inlineStr">
        <is>
          <t>SG/HCM</t>
        </is>
      </c>
      <c r="H1696" s="399" t="n"/>
      <c r="J1696" s="392">
        <f>IFERROR(UPPER(TRIM(B1696))&amp;"|"&amp;UPPER(TRIM(C1696))&amp;"|"&amp;UPPER(TRIM(D1696)),"")</f>
        <v/>
      </c>
    </row>
    <row r="1697" ht="15.75" customHeight="1" s="217">
      <c r="A1697" s="400" t="n">
        <v>1695</v>
      </c>
      <c r="B1697" s="400" t="inlineStr">
        <is>
          <t>KH2125</t>
        </is>
      </c>
      <c r="C1697" s="401" t="inlineStr">
        <is>
          <t>Chú Thanh - Bình Dương / 0913.187.405</t>
        </is>
      </c>
      <c r="D1697" s="400" t="inlineStr">
        <is>
          <t>0913.187.405</t>
        </is>
      </c>
      <c r="E1697" s="402" t="n"/>
      <c r="F1697" s="401" t="inlineStr">
        <is>
          <t>Bình Dương</t>
        </is>
      </c>
      <c r="G1697" s="400" t="inlineStr">
        <is>
          <t>BDUONG</t>
        </is>
      </c>
      <c r="H1697" s="402" t="n"/>
      <c r="J1697" s="392">
        <f>IFERROR(UPPER(TRIM(B1697))&amp;"|"&amp;UPPER(TRIM(C1697))&amp;"|"&amp;UPPER(TRIM(D1697)),"")</f>
        <v/>
      </c>
    </row>
    <row r="1698" ht="15.75" customHeight="1" s="217">
      <c r="A1698" s="397" t="n">
        <v>1696</v>
      </c>
      <c r="B1698" s="397" t="inlineStr">
        <is>
          <t>KH2124</t>
        </is>
      </c>
      <c r="C1698" s="398" t="inlineStr">
        <is>
          <t>Anh Đạt - Quận 10 / 0975.972.828</t>
        </is>
      </c>
      <c r="D1698" s="397" t="inlineStr">
        <is>
          <t>0975.972.828</t>
        </is>
      </c>
      <c r="E1698" s="399" t="n"/>
      <c r="F1698" s="398" t="inlineStr">
        <is>
          <t>Quận 10 - TP HCM</t>
        </is>
      </c>
      <c r="G1698" s="397" t="inlineStr">
        <is>
          <t>SG/HCM</t>
        </is>
      </c>
      <c r="H1698" s="399" t="n"/>
      <c r="J1698" s="392">
        <f>IFERROR(UPPER(TRIM(B1698))&amp;"|"&amp;UPPER(TRIM(C1698))&amp;"|"&amp;UPPER(TRIM(D1698)),"")</f>
        <v/>
      </c>
    </row>
    <row r="1699" ht="15.75" customHeight="1" s="217">
      <c r="A1699" s="400" t="n">
        <v>1697</v>
      </c>
      <c r="B1699" s="400" t="inlineStr">
        <is>
          <t>MN59</t>
        </is>
      </c>
      <c r="C1699" s="401" t="inlineStr">
        <is>
          <t>Anh Hùng - Lucretia</t>
        </is>
      </c>
      <c r="D1699" s="402" t="n"/>
      <c r="E1699" s="402" t="n"/>
      <c r="F1699" s="401" t="inlineStr">
        <is>
          <t>CTCP CGMN</t>
        </is>
      </c>
      <c r="G1699" s="402" t="n"/>
      <c r="H1699" s="402" t="n"/>
      <c r="J1699" s="392">
        <f>IFERROR(UPPER(TRIM(B1699))&amp;"|"&amp;UPPER(TRIM(C1699))&amp;"|"&amp;UPPER(TRIM(D1699)),"")</f>
        <v/>
      </c>
    </row>
    <row r="1700" ht="15.75" customHeight="1" s="217">
      <c r="A1700" s="397" t="n">
        <v>1698</v>
      </c>
      <c r="B1700" s="397" t="inlineStr">
        <is>
          <t>KH2123</t>
        </is>
      </c>
      <c r="C1700" s="398" t="inlineStr">
        <is>
          <t>Anh Dũng - Quận 8 / 0908.598.882</t>
        </is>
      </c>
      <c r="D1700" s="397" t="inlineStr">
        <is>
          <t>0908.598.882</t>
        </is>
      </c>
      <c r="E1700" s="399" t="n"/>
      <c r="F1700" s="398" t="inlineStr">
        <is>
          <t>Quận 8, TP HCM</t>
        </is>
      </c>
      <c r="G1700" s="397" t="inlineStr">
        <is>
          <t>SG/HCM</t>
        </is>
      </c>
      <c r="H1700" s="399" t="n"/>
      <c r="J1700" s="392">
        <f>IFERROR(UPPER(TRIM(B1700))&amp;"|"&amp;UPPER(TRIM(C1700))&amp;"|"&amp;UPPER(TRIM(D1700)),"")</f>
        <v/>
      </c>
    </row>
    <row r="1701" ht="15.75" customHeight="1" s="217">
      <c r="A1701" s="400" t="n">
        <v>1699</v>
      </c>
      <c r="B1701" s="400" t="inlineStr">
        <is>
          <t>KH2120</t>
        </is>
      </c>
      <c r="C1701" s="401" t="inlineStr">
        <is>
          <t>Anh Hậu - Vĩnh Lộc / 0989.244.395</t>
        </is>
      </c>
      <c r="D1701" s="400" t="inlineStr">
        <is>
          <t>0989.244.395</t>
        </is>
      </c>
      <c r="E1701" s="402" t="n"/>
      <c r="F1701" s="401" t="inlineStr">
        <is>
          <t>Vĩnh Lộc - TP HCM</t>
        </is>
      </c>
      <c r="G1701" s="400" t="inlineStr">
        <is>
          <t>SG/HCM</t>
        </is>
      </c>
      <c r="H1701" s="402" t="n"/>
      <c r="J1701" s="392">
        <f>IFERROR(UPPER(TRIM(B1701))&amp;"|"&amp;UPPER(TRIM(C1701))&amp;"|"&amp;UPPER(TRIM(D1701)),"")</f>
        <v/>
      </c>
    </row>
    <row r="1702" ht="15.75" customHeight="1" s="217">
      <c r="A1702" s="397" t="n">
        <v>1700</v>
      </c>
      <c r="B1702" s="397" t="inlineStr">
        <is>
          <t>KH2121</t>
        </is>
      </c>
      <c r="C1702" s="398" t="inlineStr">
        <is>
          <t>Anh Hùng - Gò Vấp / 0912.344.039</t>
        </is>
      </c>
      <c r="D1702" s="397" t="inlineStr">
        <is>
          <t>0912.344.039</t>
        </is>
      </c>
      <c r="E1702" s="399" t="n"/>
      <c r="F1702" s="398" t="inlineStr">
        <is>
          <t>Gò Vấp - TP HCM</t>
        </is>
      </c>
      <c r="G1702" s="397" t="inlineStr">
        <is>
          <t>SG/HCM</t>
        </is>
      </c>
      <c r="H1702" s="399" t="n"/>
      <c r="J1702" s="392">
        <f>IFERROR(UPPER(TRIM(B1702))&amp;"|"&amp;UPPER(TRIM(C1702))&amp;"|"&amp;UPPER(TRIM(D1702)),"")</f>
        <v/>
      </c>
    </row>
    <row r="1703" ht="15.75" customHeight="1" s="217">
      <c r="A1703" s="400" t="n">
        <v>1701</v>
      </c>
      <c r="B1703" s="400" t="inlineStr">
        <is>
          <t>KH2122</t>
        </is>
      </c>
      <c r="C1703" s="401" t="inlineStr">
        <is>
          <t>Anh Thắng - Cty Việt Đức - Đắk Nông / 01678.007.777</t>
        </is>
      </c>
      <c r="D1703" s="400" t="inlineStr">
        <is>
          <t>01678.007.777</t>
        </is>
      </c>
      <c r="E1703" s="402" t="n"/>
      <c r="F1703" s="401" t="inlineStr">
        <is>
          <t>Đắk Nông</t>
        </is>
      </c>
      <c r="G1703" s="400" t="inlineStr">
        <is>
          <t>DNONG</t>
        </is>
      </c>
      <c r="H1703" s="402" t="n"/>
      <c r="J1703" s="392">
        <f>IFERROR(UPPER(TRIM(B1703))&amp;"|"&amp;UPPER(TRIM(C1703))&amp;"|"&amp;UPPER(TRIM(D1703)),"")</f>
        <v/>
      </c>
    </row>
    <row r="1704" ht="15.75" customHeight="1" s="217">
      <c r="A1704" s="397" t="n">
        <v>1702</v>
      </c>
      <c r="B1704" s="397" t="inlineStr">
        <is>
          <t>KH2118</t>
        </is>
      </c>
      <c r="C1704" s="398" t="inlineStr">
        <is>
          <t>Bãi máy Khánh Tuyết - Suối Tiên/ Chú Khánh - 0974.581.957</t>
        </is>
      </c>
      <c r="D1704" s="397" t="inlineStr">
        <is>
          <t>0974.581.957</t>
        </is>
      </c>
      <c r="E1704" s="399" t="n"/>
      <c r="F1704" s="398" t="inlineStr">
        <is>
          <t>Suối Tiên , SG</t>
        </is>
      </c>
      <c r="G1704" s="397" t="inlineStr">
        <is>
          <t>SG/HCM</t>
        </is>
      </c>
      <c r="H1704" s="399" t="n"/>
      <c r="J1704" s="392">
        <f>IFERROR(UPPER(TRIM(B1704))&amp;"|"&amp;UPPER(TRIM(C1704))&amp;"|"&amp;UPPER(TRIM(D1704)),"")</f>
        <v/>
      </c>
    </row>
    <row r="1705" ht="15.75" customHeight="1" s="217">
      <c r="A1705" s="400" t="n">
        <v>1703</v>
      </c>
      <c r="B1705" s="400" t="inlineStr">
        <is>
          <t>KH2119</t>
        </is>
      </c>
      <c r="C1705" s="401" t="inlineStr">
        <is>
          <t>Gara Tuấn Hậu - Gia Lai / 0982.347.181</t>
        </is>
      </c>
      <c r="D1705" s="400" t="inlineStr">
        <is>
          <t>0982.347.181</t>
        </is>
      </c>
      <c r="E1705" s="402" t="n"/>
      <c r="F1705" s="401" t="inlineStr">
        <is>
          <t>Gia Lai</t>
        </is>
      </c>
      <c r="G1705" s="400" t="inlineStr">
        <is>
          <t>GLAI</t>
        </is>
      </c>
      <c r="H1705" s="402" t="n"/>
      <c r="J1705" s="392">
        <f>IFERROR(UPPER(TRIM(B1705))&amp;"|"&amp;UPPER(TRIM(C1705))&amp;"|"&amp;UPPER(TRIM(D1705)),"")</f>
        <v/>
      </c>
    </row>
    <row r="1706" ht="15.75" customHeight="1" s="217">
      <c r="A1706" s="397" t="n">
        <v>1704</v>
      </c>
      <c r="B1706" s="397" t="inlineStr">
        <is>
          <t>KH2115</t>
        </is>
      </c>
      <c r="C1706" s="398" t="inlineStr">
        <is>
          <t>Anh Nam - Bình Dương / 0913.844.443</t>
        </is>
      </c>
      <c r="D1706" s="397" t="inlineStr">
        <is>
          <t>0913.844.443</t>
        </is>
      </c>
      <c r="E1706" s="399" t="n"/>
      <c r="F1706" s="398" t="inlineStr">
        <is>
          <t>Bình Dương</t>
        </is>
      </c>
      <c r="G1706" s="397" t="inlineStr">
        <is>
          <t>BDUONG</t>
        </is>
      </c>
      <c r="H1706" s="399" t="n"/>
      <c r="J1706" s="392">
        <f>IFERROR(UPPER(TRIM(B1706))&amp;"|"&amp;UPPER(TRIM(C1706))&amp;"|"&amp;UPPER(TRIM(D1706)),"")</f>
        <v/>
      </c>
    </row>
    <row r="1707" ht="15.75" customHeight="1" s="217">
      <c r="A1707" s="400" t="n">
        <v>1705</v>
      </c>
      <c r="B1707" s="400" t="inlineStr">
        <is>
          <t>KH2116</t>
        </is>
      </c>
      <c r="C1707" s="401" t="inlineStr">
        <is>
          <t>Anh Hải - Đức Hòa / 0902.555.015</t>
        </is>
      </c>
      <c r="D1707" s="400" t="inlineStr">
        <is>
          <t>0902.555.015</t>
        </is>
      </c>
      <c r="E1707" s="402" t="n"/>
      <c r="F1707" s="401" t="inlineStr">
        <is>
          <t>Đức Hòa - Long An</t>
        </is>
      </c>
      <c r="G1707" s="400" t="inlineStr">
        <is>
          <t>LA</t>
        </is>
      </c>
      <c r="H1707" s="402" t="n"/>
      <c r="J1707" s="392">
        <f>IFERROR(UPPER(TRIM(B1707))&amp;"|"&amp;UPPER(TRIM(C1707))&amp;"|"&amp;UPPER(TRIM(D1707)),"")</f>
        <v/>
      </c>
    </row>
    <row r="1708" ht="15.75" customHeight="1" s="217">
      <c r="A1708" s="397" t="n">
        <v>1706</v>
      </c>
      <c r="B1708" s="397" t="inlineStr">
        <is>
          <t>KH2117</t>
        </is>
      </c>
      <c r="C1708" s="398" t="inlineStr">
        <is>
          <t>Anh Tài - Gò Đen / 01265.658.777</t>
        </is>
      </c>
      <c r="D1708" s="397" t="inlineStr">
        <is>
          <t>01265.658.777</t>
        </is>
      </c>
      <c r="E1708" s="399" t="n"/>
      <c r="F1708" s="398" t="inlineStr">
        <is>
          <t>Gò Đen - Long An</t>
        </is>
      </c>
      <c r="G1708" s="397" t="inlineStr">
        <is>
          <t>LA</t>
        </is>
      </c>
      <c r="H1708" s="399" t="n"/>
      <c r="J1708" s="392">
        <f>IFERROR(UPPER(TRIM(B1708))&amp;"|"&amp;UPPER(TRIM(C1708))&amp;"|"&amp;UPPER(TRIM(D1708)),"")</f>
        <v/>
      </c>
    </row>
    <row r="1709" ht="15.75" customHeight="1" s="217">
      <c r="A1709" s="400" t="n">
        <v>1707</v>
      </c>
      <c r="B1709" s="400" t="inlineStr">
        <is>
          <t>KH2112</t>
        </is>
      </c>
      <c r="C1709" s="401" t="inlineStr">
        <is>
          <t>Anh Thanh - Bà Rịa / 0961.638.379</t>
        </is>
      </c>
      <c r="D1709" s="400" t="inlineStr">
        <is>
          <t>0961.638.379</t>
        </is>
      </c>
      <c r="E1709" s="402" t="n"/>
      <c r="F1709" s="401" t="inlineStr">
        <is>
          <t>Bà Rịa  Vũng Tàu - TP Vũng Tàu</t>
        </is>
      </c>
      <c r="G1709" s="400" t="inlineStr">
        <is>
          <t>BRVT</t>
        </is>
      </c>
      <c r="H1709" s="402" t="n"/>
      <c r="J1709" s="392">
        <f>IFERROR(UPPER(TRIM(B1709))&amp;"|"&amp;UPPER(TRIM(C1709))&amp;"|"&amp;UPPER(TRIM(D1709)),"")</f>
        <v/>
      </c>
    </row>
    <row r="1710" ht="15.75" customHeight="1" s="217">
      <c r="A1710" s="397" t="n">
        <v>1708</v>
      </c>
      <c r="B1710" s="397" t="inlineStr">
        <is>
          <t>KH2113</t>
        </is>
      </c>
      <c r="C1710" s="398" t="inlineStr">
        <is>
          <t>Bãi Máy Kim Thanh - Suối Tiên / Anh Điền - 0987.564.777</t>
        </is>
      </c>
      <c r="D1710" s="397" t="inlineStr">
        <is>
          <t>0987.564.777</t>
        </is>
      </c>
      <c r="E1710" s="399" t="n"/>
      <c r="F1710" s="398" t="inlineStr">
        <is>
          <t>Cây Xăng Hiệp Phú 2, Tân Vạn , TP HCM</t>
        </is>
      </c>
      <c r="G1710" s="397" t="inlineStr">
        <is>
          <t>SG/HCM</t>
        </is>
      </c>
      <c r="H1710" s="399" t="n"/>
      <c r="J1710" s="392">
        <f>IFERROR(UPPER(TRIM(B1710))&amp;"|"&amp;UPPER(TRIM(C1710))&amp;"|"&amp;UPPER(TRIM(D1710)),"")</f>
        <v/>
      </c>
    </row>
    <row r="1711" ht="15.75" customHeight="1" s="217">
      <c r="A1711" s="400" t="n">
        <v>1709</v>
      </c>
      <c r="B1711" s="400" t="inlineStr">
        <is>
          <t>KH2114</t>
        </is>
      </c>
      <c r="C1711" s="401" t="inlineStr">
        <is>
          <t>Anh Hòa - Hà Nội / 0978.472.888/ 0918.852.111</t>
        </is>
      </c>
      <c r="D1711" s="400" t="inlineStr">
        <is>
          <t>0978.472.888 / 0918.852.111</t>
        </is>
      </c>
      <c r="E1711" s="402" t="n"/>
      <c r="F1711" s="401" t="inlineStr">
        <is>
          <t>Hà Nội</t>
        </is>
      </c>
      <c r="G1711" s="400" t="inlineStr">
        <is>
          <t>HN</t>
        </is>
      </c>
      <c r="H1711" s="402" t="n"/>
      <c r="J1711" s="392">
        <f>IFERROR(UPPER(TRIM(B1711))&amp;"|"&amp;UPPER(TRIM(C1711))&amp;"|"&amp;UPPER(TRIM(D1711)),"")</f>
        <v/>
      </c>
    </row>
    <row r="1712" ht="15.75" customHeight="1" s="217">
      <c r="A1712" s="397" t="n">
        <v>1710</v>
      </c>
      <c r="B1712" s="397" t="inlineStr">
        <is>
          <t>KH2108</t>
        </is>
      </c>
      <c r="C1712" s="398" t="inlineStr">
        <is>
          <t>Anh Bình - Nhà Bè / 0908.184.826</t>
        </is>
      </c>
      <c r="D1712" s="397" t="inlineStr">
        <is>
          <t>0908.184.826</t>
        </is>
      </c>
      <c r="E1712" s="399" t="n"/>
      <c r="F1712" s="398" t="inlineStr">
        <is>
          <t>Nhà Bè - TP HCM</t>
        </is>
      </c>
      <c r="G1712" s="397" t="inlineStr">
        <is>
          <t>SG/HCM</t>
        </is>
      </c>
      <c r="H1712" s="399" t="n"/>
      <c r="J1712" s="392">
        <f>IFERROR(UPPER(TRIM(B1712))&amp;"|"&amp;UPPER(TRIM(C1712))&amp;"|"&amp;UPPER(TRIM(D1712)),"")</f>
        <v/>
      </c>
    </row>
    <row r="1713" ht="15.75" customHeight="1" s="217">
      <c r="A1713" s="400" t="n">
        <v>1711</v>
      </c>
      <c r="B1713" s="400" t="inlineStr">
        <is>
          <t>KH2109</t>
        </is>
      </c>
      <c r="C1713" s="401" t="inlineStr">
        <is>
          <t>Anh Hùng - Bến Tre / 01688.300.016</t>
        </is>
      </c>
      <c r="D1713" s="400" t="inlineStr">
        <is>
          <t>01688.300.016</t>
        </is>
      </c>
      <c r="E1713" s="402" t="n"/>
      <c r="F1713" s="401" t="inlineStr">
        <is>
          <t>Bến Tre</t>
        </is>
      </c>
      <c r="G1713" s="400" t="inlineStr">
        <is>
          <t>BTRE</t>
        </is>
      </c>
      <c r="H1713" s="402" t="n"/>
      <c r="J1713" s="392">
        <f>IFERROR(UPPER(TRIM(B1713))&amp;"|"&amp;UPPER(TRIM(C1713))&amp;"|"&amp;UPPER(TRIM(D1713)),"")</f>
        <v/>
      </c>
    </row>
    <row r="1714" ht="15.75" customHeight="1" s="217">
      <c r="A1714" s="397" t="n">
        <v>1712</v>
      </c>
      <c r="B1714" s="397" t="inlineStr">
        <is>
          <t>KH2110</t>
        </is>
      </c>
      <c r="C1714" s="398" t="inlineStr">
        <is>
          <t>Xưởng Anh Hưng - Nhơn Trạch / 0913.752.088</t>
        </is>
      </c>
      <c r="D1714" s="397" t="inlineStr">
        <is>
          <t>0913.752.088</t>
        </is>
      </c>
      <c r="E1714" s="399" t="n"/>
      <c r="F1714" s="398" t="inlineStr">
        <is>
          <t>Nhơn Trạch - Đồng Nai</t>
        </is>
      </c>
      <c r="G1714" s="397" t="inlineStr">
        <is>
          <t>ÐNAI</t>
        </is>
      </c>
      <c r="H1714" s="399" t="n"/>
      <c r="J1714" s="392">
        <f>IFERROR(UPPER(TRIM(B1714))&amp;"|"&amp;UPPER(TRIM(C1714))&amp;"|"&amp;UPPER(TRIM(D1714)),"")</f>
        <v/>
      </c>
    </row>
    <row r="1715" ht="15.75" customHeight="1" s="217">
      <c r="A1715" s="400" t="n">
        <v>1713</v>
      </c>
      <c r="B1715" s="400" t="inlineStr">
        <is>
          <t>KH2111</t>
        </is>
      </c>
      <c r="C1715" s="401" t="inlineStr">
        <is>
          <t>Anh Tùng - Quận 8 / 0903.181.449</t>
        </is>
      </c>
      <c r="D1715" s="400" t="inlineStr">
        <is>
          <t>0903.181.449</t>
        </is>
      </c>
      <c r="E1715" s="402" t="n"/>
      <c r="F1715" s="401" t="inlineStr">
        <is>
          <t>Quận 8- TP HCM</t>
        </is>
      </c>
      <c r="G1715" s="400" t="inlineStr">
        <is>
          <t>SG/HCM</t>
        </is>
      </c>
      <c r="H1715" s="402" t="n"/>
      <c r="J1715" s="392">
        <f>IFERROR(UPPER(TRIM(B1715))&amp;"|"&amp;UPPER(TRIM(C1715))&amp;"|"&amp;UPPER(TRIM(D1715)),"")</f>
        <v/>
      </c>
    </row>
    <row r="1716" ht="15.75" customHeight="1" s="217">
      <c r="A1716" s="397" t="n">
        <v>1714</v>
      </c>
      <c r="B1716" s="397" t="inlineStr">
        <is>
          <t>KH2107</t>
        </is>
      </c>
      <c r="C1716" s="398" t="inlineStr">
        <is>
          <t>Chú Tuấn - Bến Lức / 0903.928.271</t>
        </is>
      </c>
      <c r="D1716" s="397" t="inlineStr">
        <is>
          <t>0903.928.271</t>
        </is>
      </c>
      <c r="E1716" s="399" t="n"/>
      <c r="F1716" s="398" t="inlineStr">
        <is>
          <t>Bến Lức, Long An</t>
        </is>
      </c>
      <c r="G1716" s="397" t="inlineStr">
        <is>
          <t>LA</t>
        </is>
      </c>
      <c r="H1716" s="399" t="n"/>
      <c r="J1716" s="392">
        <f>IFERROR(UPPER(TRIM(B1716))&amp;"|"&amp;UPPER(TRIM(C1716))&amp;"|"&amp;UPPER(TRIM(D1716)),"")</f>
        <v/>
      </c>
    </row>
    <row r="1717" ht="15.75" customHeight="1" s="217">
      <c r="A1717" s="400" t="n">
        <v>1715</v>
      </c>
      <c r="B1717" s="400" t="inlineStr">
        <is>
          <t>KH2106</t>
        </is>
      </c>
      <c r="C1717" s="401" t="inlineStr">
        <is>
          <t>Anh Hậu - Bình Dương (T) / 0915.435.523</t>
        </is>
      </c>
      <c r="D1717" s="400" t="inlineStr">
        <is>
          <t>0915.435.523</t>
        </is>
      </c>
      <c r="E1717" s="402" t="n"/>
      <c r="F1717" s="401" t="inlineStr">
        <is>
          <t>Bình Dương</t>
        </is>
      </c>
      <c r="G1717" s="400" t="inlineStr">
        <is>
          <t>BDUONG</t>
        </is>
      </c>
      <c r="H1717" s="402" t="n"/>
      <c r="J1717" s="392">
        <f>IFERROR(UPPER(TRIM(B1717))&amp;"|"&amp;UPPER(TRIM(C1717))&amp;"|"&amp;UPPER(TRIM(D1717)),"")</f>
        <v/>
      </c>
    </row>
    <row r="1718" ht="15.75" customHeight="1" s="217">
      <c r="A1718" s="397" t="n">
        <v>1716</v>
      </c>
      <c r="B1718" s="397" t="inlineStr">
        <is>
          <t>KH2105</t>
        </is>
      </c>
      <c r="C1718" s="398" t="inlineStr">
        <is>
          <t>Xưởng Anh Huy  - Phan Rang / 0948.491.551</t>
        </is>
      </c>
      <c r="D1718" s="397" t="inlineStr">
        <is>
          <t>0948.491.551</t>
        </is>
      </c>
      <c r="E1718" s="399" t="n"/>
      <c r="F1718" s="398" t="inlineStr">
        <is>
          <t>Phan Rang - Ninh Thuận</t>
        </is>
      </c>
      <c r="G1718" s="397" t="inlineStr">
        <is>
          <t>NTHUAN</t>
        </is>
      </c>
      <c r="H1718" s="399" t="n"/>
      <c r="J1718" s="392">
        <f>IFERROR(UPPER(TRIM(B1718))&amp;"|"&amp;UPPER(TRIM(C1718))&amp;"|"&amp;UPPER(TRIM(D1718)),"")</f>
        <v/>
      </c>
    </row>
    <row r="1719" ht="15.75" customHeight="1" s="217">
      <c r="A1719" s="400" t="n">
        <v>1717</v>
      </c>
      <c r="B1719" s="400" t="inlineStr">
        <is>
          <t>KH2103</t>
        </is>
      </c>
      <c r="C1719" s="401" t="inlineStr">
        <is>
          <t>Bãi Máy Anh Lá - Tiền Giang / 09077.487.500</t>
        </is>
      </c>
      <c r="D1719" s="400" t="inlineStr">
        <is>
          <t>077.487.500</t>
        </is>
      </c>
      <c r="E1719" s="402" t="n"/>
      <c r="F1719" s="401" t="inlineStr">
        <is>
          <t>Tiền Giang</t>
        </is>
      </c>
      <c r="G1719" s="400" t="inlineStr">
        <is>
          <t>TGIANG</t>
        </is>
      </c>
      <c r="H1719" s="402" t="n"/>
      <c r="J1719" s="392">
        <f>IFERROR(UPPER(TRIM(B1719))&amp;"|"&amp;UPPER(TRIM(C1719))&amp;"|"&amp;UPPER(TRIM(D1719)),"")</f>
        <v/>
      </c>
    </row>
    <row r="1720" ht="15.75" customHeight="1" s="217">
      <c r="A1720" s="397" t="n">
        <v>1718</v>
      </c>
      <c r="B1720" s="397" t="inlineStr">
        <is>
          <t>KH2104</t>
        </is>
      </c>
      <c r="C1720" s="398" t="inlineStr">
        <is>
          <t>Xưởng Anh Đăng - Kiên Giang / 0919.139.498</t>
        </is>
      </c>
      <c r="D1720" s="397" t="inlineStr">
        <is>
          <t>0919.139.498</t>
        </is>
      </c>
      <c r="E1720" s="399" t="n"/>
      <c r="F1720" s="398" t="inlineStr">
        <is>
          <t>Hòn Đất, Kiên Giang</t>
        </is>
      </c>
      <c r="G1720" s="397" t="inlineStr">
        <is>
          <t>KG</t>
        </is>
      </c>
      <c r="H1720" s="399" t="n"/>
      <c r="J1720" s="392">
        <f>IFERROR(UPPER(TRIM(B1720))&amp;"|"&amp;UPPER(TRIM(C1720))&amp;"|"&amp;UPPER(TRIM(D1720)),"")</f>
        <v/>
      </c>
    </row>
    <row r="1721" ht="15.75" customHeight="1" s="217">
      <c r="A1721" s="400" t="n">
        <v>1719</v>
      </c>
      <c r="B1721" s="400" t="inlineStr">
        <is>
          <t>KH2095</t>
        </is>
      </c>
      <c r="C1721" s="401" t="inlineStr">
        <is>
          <t>Anh Cường - Tân Bình / 0938.937.601</t>
        </is>
      </c>
      <c r="D1721" s="400" t="inlineStr">
        <is>
          <t>0938.937.601</t>
        </is>
      </c>
      <c r="E1721" s="402" t="n"/>
      <c r="F1721" s="401" t="inlineStr">
        <is>
          <t>Tân Bình</t>
        </is>
      </c>
      <c r="G1721" s="400" t="inlineStr">
        <is>
          <t>SG/HCM</t>
        </is>
      </c>
      <c r="H1721" s="402" t="n"/>
      <c r="J1721" s="392">
        <f>IFERROR(UPPER(TRIM(B1721))&amp;"|"&amp;UPPER(TRIM(C1721))&amp;"|"&amp;UPPER(TRIM(D1721)),"")</f>
        <v/>
      </c>
    </row>
    <row r="1722" ht="15.75" customHeight="1" s="217">
      <c r="A1722" s="397" t="n">
        <v>1720</v>
      </c>
      <c r="B1722" s="397" t="inlineStr">
        <is>
          <t>KH2096</t>
        </is>
      </c>
      <c r="C1722" s="398" t="inlineStr">
        <is>
          <t>Công ty Nguyễn Huỳnh - Bình Dương / A. Phương 0937.078.976</t>
        </is>
      </c>
      <c r="D1722" s="397" t="inlineStr">
        <is>
          <t>0937.078.976</t>
        </is>
      </c>
      <c r="E1722" s="399" t="n"/>
      <c r="F1722" s="398" t="inlineStr">
        <is>
          <t>Bình Dương</t>
        </is>
      </c>
      <c r="G1722" s="397" t="inlineStr">
        <is>
          <t>BDUONG</t>
        </is>
      </c>
      <c r="H1722" s="399" t="n"/>
      <c r="J1722" s="392">
        <f>IFERROR(UPPER(TRIM(B1722))&amp;"|"&amp;UPPER(TRIM(C1722))&amp;"|"&amp;UPPER(TRIM(D1722)),"")</f>
        <v/>
      </c>
    </row>
    <row r="1723" ht="15.75" customHeight="1" s="217">
      <c r="A1723" s="400" t="n">
        <v>1721</v>
      </c>
      <c r="B1723" s="400" t="inlineStr">
        <is>
          <t>KH2097</t>
        </is>
      </c>
      <c r="C1723" s="401" t="inlineStr">
        <is>
          <t>Anh Nhiều - Bến Lức / 0913.899.404</t>
        </is>
      </c>
      <c r="D1723" s="400" t="inlineStr">
        <is>
          <t>0913.899.404</t>
        </is>
      </c>
      <c r="E1723" s="402" t="n"/>
      <c r="F1723" s="401" t="inlineStr">
        <is>
          <t>Long an</t>
        </is>
      </c>
      <c r="G1723" s="400" t="inlineStr">
        <is>
          <t>LA</t>
        </is>
      </c>
      <c r="H1723" s="402" t="n"/>
      <c r="J1723" s="392">
        <f>IFERROR(UPPER(TRIM(B1723))&amp;"|"&amp;UPPER(TRIM(C1723))&amp;"|"&amp;UPPER(TRIM(D1723)),"")</f>
        <v/>
      </c>
    </row>
    <row r="1724" ht="15.75" customHeight="1" s="217">
      <c r="A1724" s="397" t="n">
        <v>1722</v>
      </c>
      <c r="B1724" s="397" t="inlineStr">
        <is>
          <t>KH2098</t>
        </is>
      </c>
      <c r="C1724" s="398" t="inlineStr">
        <is>
          <t>Chú Tùng Quân - Tiền Giang/0907.227.799</t>
        </is>
      </c>
      <c r="D1724" s="397" t="inlineStr">
        <is>
          <t>0907.227.799</t>
        </is>
      </c>
      <c r="E1724" s="399" t="n"/>
      <c r="F1724" s="398" t="inlineStr">
        <is>
          <t>Tiền Giang</t>
        </is>
      </c>
      <c r="G1724" s="397" t="inlineStr">
        <is>
          <t>TGIANG</t>
        </is>
      </c>
      <c r="H1724" s="399" t="n"/>
      <c r="J1724" s="392">
        <f>IFERROR(UPPER(TRIM(B1724))&amp;"|"&amp;UPPER(TRIM(C1724))&amp;"|"&amp;UPPER(TRIM(D1724)),"")</f>
        <v/>
      </c>
    </row>
    <row r="1725" ht="15.75" customHeight="1" s="217">
      <c r="A1725" s="400" t="n">
        <v>1723</v>
      </c>
      <c r="B1725" s="400" t="inlineStr">
        <is>
          <t>KH2099</t>
        </is>
      </c>
      <c r="C1725" s="401" t="inlineStr">
        <is>
          <t>Chú Tuấn - Ngã Tư Bình Phước / 0945.198.311</t>
        </is>
      </c>
      <c r="D1725" s="400" t="inlineStr">
        <is>
          <t>0945.198.311</t>
        </is>
      </c>
      <c r="E1725" s="402" t="n"/>
      <c r="F1725" s="401" t="inlineStr">
        <is>
          <t>Ngã Tư Bình Phước - Thủ Đức - TP HCM</t>
        </is>
      </c>
      <c r="G1725" s="400" t="inlineStr">
        <is>
          <t>SG/HCM</t>
        </is>
      </c>
      <c r="H1725" s="402" t="n"/>
      <c r="J1725" s="392">
        <f>IFERROR(UPPER(TRIM(B1725))&amp;"|"&amp;UPPER(TRIM(C1725))&amp;"|"&amp;UPPER(TRIM(D1725)),"")</f>
        <v/>
      </c>
    </row>
    <row r="1726" ht="15.75" customHeight="1" s="217">
      <c r="A1726" s="397" t="n">
        <v>1724</v>
      </c>
      <c r="B1726" s="397" t="inlineStr">
        <is>
          <t>KH2101</t>
        </is>
      </c>
      <c r="C1726" s="398" t="inlineStr">
        <is>
          <t>Xưởng Anh Bảy - Kiên Giang/ 01679.821.355</t>
        </is>
      </c>
      <c r="D1726" s="397" t="inlineStr">
        <is>
          <t>01679.821.355</t>
        </is>
      </c>
      <c r="E1726" s="399" t="n"/>
      <c r="F1726" s="398" t="inlineStr">
        <is>
          <t>Kiên Giang</t>
        </is>
      </c>
      <c r="G1726" s="397" t="inlineStr">
        <is>
          <t>KG</t>
        </is>
      </c>
      <c r="H1726" s="399" t="n"/>
      <c r="J1726" s="392">
        <f>IFERROR(UPPER(TRIM(B1726))&amp;"|"&amp;UPPER(TRIM(C1726))&amp;"|"&amp;UPPER(TRIM(D1726)),"")</f>
        <v/>
      </c>
    </row>
    <row r="1727" ht="15.75" customHeight="1" s="217">
      <c r="A1727" s="400" t="n">
        <v>1725</v>
      </c>
      <c r="B1727" s="400" t="inlineStr">
        <is>
          <t>KH2102</t>
        </is>
      </c>
      <c r="C1727" s="401" t="inlineStr">
        <is>
          <t>Anh Khôi - Sài Gòn / 0908.492.682</t>
        </is>
      </c>
      <c r="D1727" s="400" t="inlineStr">
        <is>
          <t>0908.492.682</t>
        </is>
      </c>
      <c r="E1727" s="402" t="n"/>
      <c r="F1727" s="401" t="inlineStr">
        <is>
          <t>Sài Gòn</t>
        </is>
      </c>
      <c r="G1727" s="400" t="inlineStr">
        <is>
          <t>SG/HCM</t>
        </is>
      </c>
      <c r="H1727" s="402" t="n"/>
      <c r="J1727" s="392">
        <f>IFERROR(UPPER(TRIM(B1727))&amp;"|"&amp;UPPER(TRIM(C1727))&amp;"|"&amp;UPPER(TRIM(D1727)),"")</f>
        <v/>
      </c>
    </row>
    <row r="1728" ht="15.75" customHeight="1" s="217">
      <c r="A1728" s="397" t="n">
        <v>1726</v>
      </c>
      <c r="B1728" s="397" t="inlineStr">
        <is>
          <t>KH2091</t>
        </is>
      </c>
      <c r="C1728" s="398" t="inlineStr">
        <is>
          <t>Xưởng Anh Phụng - Bình Chánh / 0903.180.437</t>
        </is>
      </c>
      <c r="D1728" s="397" t="inlineStr">
        <is>
          <t>0903.180.437</t>
        </is>
      </c>
      <c r="E1728" s="399" t="n"/>
      <c r="F1728" s="398" t="inlineStr">
        <is>
          <t>Ngã Ba Quán Chuối - Bình Chánh - TP HCM</t>
        </is>
      </c>
      <c r="G1728" s="397" t="inlineStr">
        <is>
          <t>SG/HCM</t>
        </is>
      </c>
      <c r="H1728" s="399" t="n"/>
      <c r="J1728" s="392">
        <f>IFERROR(UPPER(TRIM(B1728))&amp;"|"&amp;UPPER(TRIM(C1728))&amp;"|"&amp;UPPER(TRIM(D1728)),"")</f>
        <v/>
      </c>
    </row>
    <row r="1729" ht="15.75" customHeight="1" s="217">
      <c r="A1729" s="400" t="n">
        <v>1727</v>
      </c>
      <c r="B1729" s="400" t="inlineStr">
        <is>
          <t>KH2092</t>
        </is>
      </c>
      <c r="C1729" s="401" t="inlineStr">
        <is>
          <t>Anh Bảo - Sài Gòn /0937.363.177</t>
        </is>
      </c>
      <c r="D1729" s="400" t="inlineStr">
        <is>
          <t>0937.363.177</t>
        </is>
      </c>
      <c r="E1729" s="402" t="n"/>
      <c r="F1729" s="401" t="inlineStr">
        <is>
          <t>Sài Gòn</t>
        </is>
      </c>
      <c r="G1729" s="400" t="inlineStr">
        <is>
          <t>SG/HCM</t>
        </is>
      </c>
      <c r="H1729" s="402" t="n"/>
      <c r="J1729" s="392">
        <f>IFERROR(UPPER(TRIM(B1729))&amp;"|"&amp;UPPER(TRIM(C1729))&amp;"|"&amp;UPPER(TRIM(D1729)),"")</f>
        <v/>
      </c>
    </row>
    <row r="1730" ht="15.75" customHeight="1" s="217">
      <c r="A1730" s="397" t="n">
        <v>1728</v>
      </c>
      <c r="B1730" s="397" t="inlineStr">
        <is>
          <t>KH2093</t>
        </is>
      </c>
      <c r="C1730" s="398" t="inlineStr">
        <is>
          <t>Anh Tâm - Cần Guộc / 0903.901.704 - 01633.716.278</t>
        </is>
      </c>
      <c r="D1730" s="397" t="inlineStr">
        <is>
          <t>0903.901.704 / 01633.716.278</t>
        </is>
      </c>
      <c r="E1730" s="399" t="n"/>
      <c r="F1730" s="398" t="inlineStr">
        <is>
          <t>Cần Guộc - Long An</t>
        </is>
      </c>
      <c r="G1730" s="397" t="inlineStr">
        <is>
          <t>LA</t>
        </is>
      </c>
      <c r="H1730" s="399" t="n"/>
      <c r="J1730" s="392">
        <f>IFERROR(UPPER(TRIM(B1730))&amp;"|"&amp;UPPER(TRIM(C1730))&amp;"|"&amp;UPPER(TRIM(D1730)),"")</f>
        <v/>
      </c>
    </row>
    <row r="1731" ht="15.75" customHeight="1" s="217">
      <c r="A1731" s="400" t="n">
        <v>1729</v>
      </c>
      <c r="B1731" s="400" t="inlineStr">
        <is>
          <t>KH2094</t>
        </is>
      </c>
      <c r="C1731" s="401" t="inlineStr">
        <is>
          <t>Anh Tuấn - Tân Bình / 0932.328.234</t>
        </is>
      </c>
      <c r="D1731" s="400" t="inlineStr">
        <is>
          <t>0932.328.234</t>
        </is>
      </c>
      <c r="E1731" s="402" t="n"/>
      <c r="F1731" s="401" t="inlineStr">
        <is>
          <t>578 Cộng Hòa, Phường 13, Quận Tân Bình - TP HCM</t>
        </is>
      </c>
      <c r="G1731" s="400" t="inlineStr">
        <is>
          <t>SG/HCM</t>
        </is>
      </c>
      <c r="H1731" s="402" t="n"/>
      <c r="J1731" s="392">
        <f>IFERROR(UPPER(TRIM(B1731))&amp;"|"&amp;UPPER(TRIM(C1731))&amp;"|"&amp;UPPER(TRIM(D1731)),"")</f>
        <v/>
      </c>
    </row>
    <row r="1732" ht="15.75" customHeight="1" s="217">
      <c r="A1732" s="397" t="n">
        <v>1730</v>
      </c>
      <c r="B1732" s="397" t="inlineStr">
        <is>
          <t>KH2084</t>
        </is>
      </c>
      <c r="C1732" s="398" t="inlineStr">
        <is>
          <t>Chị Hằng - SG / 0969.377.664</t>
        </is>
      </c>
      <c r="D1732" s="397" t="inlineStr">
        <is>
          <t>0969.377.664</t>
        </is>
      </c>
      <c r="E1732" s="399" t="n"/>
      <c r="F1732" s="398" t="inlineStr">
        <is>
          <t>SG</t>
        </is>
      </c>
      <c r="G1732" s="397" t="inlineStr">
        <is>
          <t>SG/HCM</t>
        </is>
      </c>
      <c r="H1732" s="399" t="n"/>
      <c r="J1732" s="392">
        <f>IFERROR(UPPER(TRIM(B1732))&amp;"|"&amp;UPPER(TRIM(C1732))&amp;"|"&amp;UPPER(TRIM(D1732)),"")</f>
        <v/>
      </c>
    </row>
    <row r="1733" ht="15.75" customHeight="1" s="217">
      <c r="A1733" s="400" t="n">
        <v>1731</v>
      </c>
      <c r="B1733" s="400" t="inlineStr">
        <is>
          <t>KH2085</t>
        </is>
      </c>
      <c r="C1733" s="401" t="inlineStr">
        <is>
          <t>Chú Xiêm - Đồng Nai / 0916.904.870</t>
        </is>
      </c>
      <c r="D1733" s="400" t="inlineStr">
        <is>
          <t>0916.904.870</t>
        </is>
      </c>
      <c r="E1733" s="402" t="n"/>
      <c r="F1733" s="401" t="inlineStr">
        <is>
          <t>Đồng Nai</t>
        </is>
      </c>
      <c r="G1733" s="400" t="inlineStr">
        <is>
          <t>ÐNAI</t>
        </is>
      </c>
      <c r="H1733" s="402" t="n"/>
      <c r="J1733" s="392">
        <f>IFERROR(UPPER(TRIM(B1733))&amp;"|"&amp;UPPER(TRIM(C1733))&amp;"|"&amp;UPPER(TRIM(D1733)),"")</f>
        <v/>
      </c>
    </row>
    <row r="1734" ht="15.75" customHeight="1" s="217">
      <c r="A1734" s="397" t="n">
        <v>1732</v>
      </c>
      <c r="B1734" s="397" t="inlineStr">
        <is>
          <t>KH2086</t>
        </is>
      </c>
      <c r="C1734" s="398" t="inlineStr">
        <is>
          <t>Anh Khải - Phú Quốc / 01654.567.683</t>
        </is>
      </c>
      <c r="D1734" s="397" t="inlineStr">
        <is>
          <t>01654.567.683</t>
        </is>
      </c>
      <c r="E1734" s="399" t="n"/>
      <c r="F1734" s="398" t="inlineStr">
        <is>
          <t>Phú Quốc</t>
        </is>
      </c>
      <c r="G1734" s="397" t="inlineStr">
        <is>
          <t>KG</t>
        </is>
      </c>
      <c r="H1734" s="399" t="n"/>
      <c r="J1734" s="392">
        <f>IFERROR(UPPER(TRIM(B1734))&amp;"|"&amp;UPPER(TRIM(C1734))&amp;"|"&amp;UPPER(TRIM(D1734)),"")</f>
        <v/>
      </c>
    </row>
    <row r="1735" ht="15.75" customHeight="1" s="217">
      <c r="A1735" s="400" t="n">
        <v>1733</v>
      </c>
      <c r="B1735" s="400" t="inlineStr">
        <is>
          <t>KH2087</t>
        </is>
      </c>
      <c r="C1735" s="401" t="inlineStr">
        <is>
          <t>Anh Lộc - Bến Tre / 0912.219.949</t>
        </is>
      </c>
      <c r="D1735" s="400" t="inlineStr">
        <is>
          <t>0912.219.949</t>
        </is>
      </c>
      <c r="E1735" s="402" t="n"/>
      <c r="F1735" s="401" t="inlineStr">
        <is>
          <t>Bến Tre</t>
        </is>
      </c>
      <c r="G1735" s="400" t="inlineStr">
        <is>
          <t>BTRE</t>
        </is>
      </c>
      <c r="H1735" s="402" t="n"/>
      <c r="J1735" s="392">
        <f>IFERROR(UPPER(TRIM(B1735))&amp;"|"&amp;UPPER(TRIM(C1735))&amp;"|"&amp;UPPER(TRIM(D1735)),"")</f>
        <v/>
      </c>
    </row>
    <row r="1736" ht="15.75" customHeight="1" s="217">
      <c r="A1736" s="397" t="n">
        <v>1734</v>
      </c>
      <c r="B1736" s="397" t="inlineStr">
        <is>
          <t>KH2088</t>
        </is>
      </c>
      <c r="C1736" s="398" t="inlineStr">
        <is>
          <t>Anh Tâm - Cà Mau / 0918.036.151</t>
        </is>
      </c>
      <c r="D1736" s="397" t="inlineStr">
        <is>
          <t>0918.036.151</t>
        </is>
      </c>
      <c r="E1736" s="399" t="n"/>
      <c r="F1736" s="398" t="inlineStr">
        <is>
          <t>Cà Mau</t>
        </is>
      </c>
      <c r="G1736" s="397" t="inlineStr">
        <is>
          <t>CMAU</t>
        </is>
      </c>
      <c r="H1736" s="399" t="n"/>
      <c r="J1736" s="392">
        <f>IFERROR(UPPER(TRIM(B1736))&amp;"|"&amp;UPPER(TRIM(C1736))&amp;"|"&amp;UPPER(TRIM(D1736)),"")</f>
        <v/>
      </c>
    </row>
    <row r="1737" ht="15.75" customHeight="1" s="217">
      <c r="A1737" s="400" t="n">
        <v>1735</v>
      </c>
      <c r="B1737" s="400" t="inlineStr">
        <is>
          <t>KH2089</t>
        </is>
      </c>
      <c r="C1737" s="401" t="inlineStr">
        <is>
          <t>Anh Sáng - Hóc Môn / 0937.478.179</t>
        </is>
      </c>
      <c r="D1737" s="400" t="inlineStr">
        <is>
          <t>0937.478.179</t>
        </is>
      </c>
      <c r="E1737" s="402" t="n"/>
      <c r="F1737" s="401" t="inlineStr">
        <is>
          <t>Hóc Môn - TP HCM</t>
        </is>
      </c>
      <c r="G1737" s="400" t="inlineStr">
        <is>
          <t>SG/HCM</t>
        </is>
      </c>
      <c r="H1737" s="402" t="n"/>
      <c r="J1737" s="392">
        <f>IFERROR(UPPER(TRIM(B1737))&amp;"|"&amp;UPPER(TRIM(C1737))&amp;"|"&amp;UPPER(TRIM(D1737)),"")</f>
        <v/>
      </c>
    </row>
    <row r="1738" ht="15.75" customHeight="1" s="217">
      <c r="A1738" s="397" t="n">
        <v>1736</v>
      </c>
      <c r="B1738" s="397" t="inlineStr">
        <is>
          <t>KH2090</t>
        </is>
      </c>
      <c r="C1738" s="398" t="inlineStr">
        <is>
          <t>Anh Sung - Vũng Tàu / 0969.693.773</t>
        </is>
      </c>
      <c r="D1738" s="397" t="inlineStr">
        <is>
          <t>0969.693.773</t>
        </is>
      </c>
      <c r="E1738" s="399" t="n"/>
      <c r="F1738" s="398" t="inlineStr">
        <is>
          <t>Bà Rịa Vũng Tàu</t>
        </is>
      </c>
      <c r="G1738" s="397" t="inlineStr">
        <is>
          <t>BRVT</t>
        </is>
      </c>
      <c r="H1738" s="399" t="n"/>
      <c r="J1738" s="392">
        <f>IFERROR(UPPER(TRIM(B1738))&amp;"|"&amp;UPPER(TRIM(C1738))&amp;"|"&amp;UPPER(TRIM(D1738)),"")</f>
        <v/>
      </c>
    </row>
    <row r="1739" ht="15.75" customHeight="1" s="217">
      <c r="A1739" s="400" t="n">
        <v>1737</v>
      </c>
      <c r="B1739" s="400" t="inlineStr">
        <is>
          <t>KH2080</t>
        </is>
      </c>
      <c r="C1739" s="401" t="inlineStr">
        <is>
          <t>Xưởng Anh An - Bình Dương / A. An 0937.008.261</t>
        </is>
      </c>
      <c r="D1739" s="400" t="inlineStr">
        <is>
          <t>0937.008.261</t>
        </is>
      </c>
      <c r="E1739" s="402" t="n"/>
      <c r="F1739" s="401" t="inlineStr">
        <is>
          <t>Bình Dương</t>
        </is>
      </c>
      <c r="G1739" s="400" t="inlineStr">
        <is>
          <t>BDUONG</t>
        </is>
      </c>
      <c r="H1739" s="402" t="n"/>
      <c r="J1739" s="392">
        <f>IFERROR(UPPER(TRIM(B1739))&amp;"|"&amp;UPPER(TRIM(C1739))&amp;"|"&amp;UPPER(TRIM(D1739)),"")</f>
        <v/>
      </c>
    </row>
    <row r="1740" ht="15.75" customHeight="1" s="217">
      <c r="A1740" s="397" t="n">
        <v>1738</v>
      </c>
      <c r="B1740" s="397" t="inlineStr">
        <is>
          <t>KH2081</t>
        </is>
      </c>
      <c r="C1740" s="398" t="inlineStr">
        <is>
          <t>Xưởng Anh Vũ - Phú Quốc / 0987.044.922</t>
        </is>
      </c>
      <c r="D1740" s="397" t="inlineStr">
        <is>
          <t>0987.044.922</t>
        </is>
      </c>
      <c r="E1740" s="399" t="n"/>
      <c r="F1740" s="398" t="inlineStr">
        <is>
          <t>Phú Quốc</t>
        </is>
      </c>
      <c r="G1740" s="399" t="n"/>
      <c r="H1740" s="399" t="n"/>
      <c r="J1740" s="392">
        <f>IFERROR(UPPER(TRIM(B1740))&amp;"|"&amp;UPPER(TRIM(C1740))&amp;"|"&amp;UPPER(TRIM(D1740)),"")</f>
        <v/>
      </c>
    </row>
    <row r="1741" ht="15.75" customHeight="1" s="217">
      <c r="A1741" s="400" t="n">
        <v>1739</v>
      </c>
      <c r="B1741" s="400" t="inlineStr">
        <is>
          <t>KH2082</t>
        </is>
      </c>
      <c r="C1741" s="401" t="inlineStr">
        <is>
          <t>Xưởng Anh Hùng - Bình Dương / 0972.322.230</t>
        </is>
      </c>
      <c r="D1741" s="400" t="inlineStr">
        <is>
          <t>0972.322.230</t>
        </is>
      </c>
      <c r="E1741" s="402" t="n"/>
      <c r="F1741" s="401" t="inlineStr">
        <is>
          <t>Bình Dương</t>
        </is>
      </c>
      <c r="G1741" s="400" t="inlineStr">
        <is>
          <t>BDUONG</t>
        </is>
      </c>
      <c r="H1741" s="402" t="n"/>
      <c r="J1741" s="392">
        <f>IFERROR(UPPER(TRIM(B1741))&amp;"|"&amp;UPPER(TRIM(C1741))&amp;"|"&amp;UPPER(TRIM(D1741)),"")</f>
        <v/>
      </c>
    </row>
    <row r="1742" ht="15.75" customHeight="1" s="217">
      <c r="A1742" s="397" t="n">
        <v>1740</v>
      </c>
      <c r="B1742" s="397" t="inlineStr">
        <is>
          <t>KH2083</t>
        </is>
      </c>
      <c r="C1742" s="398" t="inlineStr">
        <is>
          <t>Anh Tú - SG / 0933.055.182</t>
        </is>
      </c>
      <c r="D1742" s="397" t="inlineStr">
        <is>
          <t>0933.055.182</t>
        </is>
      </c>
      <c r="E1742" s="399" t="n"/>
      <c r="F1742" s="398" t="inlineStr">
        <is>
          <t>SG</t>
        </is>
      </c>
      <c r="G1742" s="397" t="inlineStr">
        <is>
          <t>SG/HCM</t>
        </is>
      </c>
      <c r="H1742" s="399" t="n"/>
      <c r="J1742" s="392">
        <f>IFERROR(UPPER(TRIM(B1742))&amp;"|"&amp;UPPER(TRIM(C1742))&amp;"|"&amp;UPPER(TRIM(D1742)),"")</f>
        <v/>
      </c>
    </row>
    <row r="1743" ht="15.75" customHeight="1" s="217">
      <c r="A1743" s="400" t="n">
        <v>1741</v>
      </c>
      <c r="B1743" s="400" t="inlineStr">
        <is>
          <t>KH2078</t>
        </is>
      </c>
      <c r="C1743" s="401" t="inlineStr">
        <is>
          <t>Anh Hưởng - Hóc Môn / 01232.477.799</t>
        </is>
      </c>
      <c r="D1743" s="400" t="inlineStr">
        <is>
          <t>01232.477.799</t>
        </is>
      </c>
      <c r="E1743" s="402" t="n"/>
      <c r="F1743" s="401" t="inlineStr">
        <is>
          <t>Hóc Môn - TP HCM</t>
        </is>
      </c>
      <c r="G1743" s="400" t="inlineStr">
        <is>
          <t>SG/HCM</t>
        </is>
      </c>
      <c r="H1743" s="402" t="n"/>
      <c r="J1743" s="392">
        <f>IFERROR(UPPER(TRIM(B1743))&amp;"|"&amp;UPPER(TRIM(C1743))&amp;"|"&amp;UPPER(TRIM(D1743)),"")</f>
        <v/>
      </c>
    </row>
    <row r="1744" ht="15.75" customHeight="1" s="217">
      <c r="A1744" s="397" t="n">
        <v>1742</v>
      </c>
      <c r="B1744" s="397" t="inlineStr">
        <is>
          <t>KH2079</t>
        </is>
      </c>
      <c r="C1744" s="398" t="inlineStr">
        <is>
          <t>Phương Nam - Bạc Liêu / 0982.797.464</t>
        </is>
      </c>
      <c r="D1744" s="397" t="inlineStr">
        <is>
          <t>0982.797.464</t>
        </is>
      </c>
      <c r="E1744" s="399" t="n"/>
      <c r="F1744" s="398" t="inlineStr">
        <is>
          <t>Bạc Liêu</t>
        </is>
      </c>
      <c r="G1744" s="397" t="inlineStr">
        <is>
          <t>BLIEU</t>
        </is>
      </c>
      <c r="H1744" s="399" t="n"/>
      <c r="J1744" s="392">
        <f>IFERROR(UPPER(TRIM(B1744))&amp;"|"&amp;UPPER(TRIM(C1744))&amp;"|"&amp;UPPER(TRIM(D1744)),"")</f>
        <v/>
      </c>
    </row>
    <row r="1745" ht="15.75" customHeight="1" s="217">
      <c r="A1745" s="400" t="n">
        <v>1743</v>
      </c>
      <c r="B1745" s="400" t="inlineStr">
        <is>
          <t>KH2075</t>
        </is>
      </c>
      <c r="C1745" s="401" t="inlineStr">
        <is>
          <t>Anh Hoàng - Cát Tiên / 0932.395.194</t>
        </is>
      </c>
      <c r="D1745" s="400" t="inlineStr">
        <is>
          <t>0932.395.194</t>
        </is>
      </c>
      <c r="E1745" s="402" t="n"/>
      <c r="F1745" s="401" t="inlineStr">
        <is>
          <t>Cát Tiên - Lâm Đồng</t>
        </is>
      </c>
      <c r="G1745" s="400" t="inlineStr">
        <is>
          <t>LDONG</t>
        </is>
      </c>
      <c r="H1745" s="402" t="n"/>
      <c r="J1745" s="392">
        <f>IFERROR(UPPER(TRIM(B1745))&amp;"|"&amp;UPPER(TRIM(C1745))&amp;"|"&amp;UPPER(TRIM(D1745)),"")</f>
        <v/>
      </c>
    </row>
    <row r="1746" ht="15.75" customHeight="1" s="217">
      <c r="A1746" s="397" t="n">
        <v>1744</v>
      </c>
      <c r="B1746" s="397" t="inlineStr">
        <is>
          <t>KH2076</t>
        </is>
      </c>
      <c r="C1746" s="398" t="inlineStr">
        <is>
          <t>Anh Dương - Kiêng Giang / 0919.868.674</t>
        </is>
      </c>
      <c r="D1746" s="397" t="inlineStr">
        <is>
          <t>0919.868.674</t>
        </is>
      </c>
      <c r="E1746" s="399" t="n"/>
      <c r="F1746" s="398" t="inlineStr">
        <is>
          <t>Kiên Giang</t>
        </is>
      </c>
      <c r="G1746" s="397" t="inlineStr">
        <is>
          <t>KG</t>
        </is>
      </c>
      <c r="H1746" s="399" t="n"/>
      <c r="J1746" s="392">
        <f>IFERROR(UPPER(TRIM(B1746))&amp;"|"&amp;UPPER(TRIM(C1746))&amp;"|"&amp;UPPER(TRIM(D1746)),"")</f>
        <v/>
      </c>
    </row>
    <row r="1747" ht="15.75" customHeight="1" s="217">
      <c r="A1747" s="400" t="n">
        <v>1745</v>
      </c>
      <c r="B1747" s="400" t="inlineStr">
        <is>
          <t>KH2077</t>
        </is>
      </c>
      <c r="C1747" s="401" t="inlineStr">
        <is>
          <t>Anh Đạt - SG / 0971.739.127</t>
        </is>
      </c>
      <c r="D1747" s="400" t="inlineStr">
        <is>
          <t>0971.739.127</t>
        </is>
      </c>
      <c r="E1747" s="402" t="n"/>
      <c r="F1747" s="401" t="inlineStr">
        <is>
          <t>SG</t>
        </is>
      </c>
      <c r="G1747" s="400" t="inlineStr">
        <is>
          <t>SG/HCM</t>
        </is>
      </c>
      <c r="H1747" s="402" t="n"/>
      <c r="J1747" s="392">
        <f>IFERROR(UPPER(TRIM(B1747))&amp;"|"&amp;UPPER(TRIM(C1747))&amp;"|"&amp;UPPER(TRIM(D1747)),"")</f>
        <v/>
      </c>
    </row>
    <row r="1748" ht="15.75" customHeight="1" s="217">
      <c r="A1748" s="397" t="n">
        <v>1746</v>
      </c>
      <c r="B1748" s="397" t="inlineStr">
        <is>
          <t>KH2073</t>
        </is>
      </c>
      <c r="C1748" s="398" t="inlineStr">
        <is>
          <t>Công Ty TNHH Minh Đăng - SG / Anh Tường - 0913.922.496</t>
        </is>
      </c>
      <c r="D1748" s="397" t="inlineStr">
        <is>
          <t>0913.922.496</t>
        </is>
      </c>
      <c r="E1748" s="399" t="n"/>
      <c r="F1748" s="398" t="inlineStr">
        <is>
          <t>Sài Gòn</t>
        </is>
      </c>
      <c r="G1748" s="397" t="inlineStr">
        <is>
          <t>SG/HCM</t>
        </is>
      </c>
      <c r="H1748" s="399" t="n"/>
      <c r="J1748" s="392">
        <f>IFERROR(UPPER(TRIM(B1748))&amp;"|"&amp;UPPER(TRIM(C1748))&amp;"|"&amp;UPPER(TRIM(D1748)),"")</f>
        <v/>
      </c>
    </row>
    <row r="1749" ht="15.75" customHeight="1" s="217">
      <c r="A1749" s="400" t="n">
        <v>1747</v>
      </c>
      <c r="B1749" s="400" t="inlineStr">
        <is>
          <t>KH2074</t>
        </is>
      </c>
      <c r="C1749" s="401" t="inlineStr">
        <is>
          <t>Xưởng Anh Nhi - Hàng Xanh / 0913.921.420</t>
        </is>
      </c>
      <c r="D1749" s="400" t="inlineStr">
        <is>
          <t>0913.921.420</t>
        </is>
      </c>
      <c r="E1749" s="402" t="n"/>
      <c r="F1749" s="401" t="inlineStr">
        <is>
          <t>Hàng Xanh - TP HCM</t>
        </is>
      </c>
      <c r="G1749" s="400" t="inlineStr">
        <is>
          <t>SG/HCM</t>
        </is>
      </c>
      <c r="H1749" s="402" t="n"/>
      <c r="J1749" s="392">
        <f>IFERROR(UPPER(TRIM(B1749))&amp;"|"&amp;UPPER(TRIM(C1749))&amp;"|"&amp;UPPER(TRIM(D1749)),"")</f>
        <v/>
      </c>
    </row>
    <row r="1750" ht="15.75" customHeight="1" s="217">
      <c r="A1750" s="397" t="n">
        <v>1748</v>
      </c>
      <c r="B1750" s="397" t="inlineStr">
        <is>
          <t>KH2069</t>
        </is>
      </c>
      <c r="C1750" s="398" t="inlineStr">
        <is>
          <t>Anh Giang - Bình Dương / 0919.043.593</t>
        </is>
      </c>
      <c r="D1750" s="397" t="inlineStr">
        <is>
          <t>0919.043.593</t>
        </is>
      </c>
      <c r="E1750" s="399" t="n"/>
      <c r="F1750" s="398" t="inlineStr">
        <is>
          <t>Tân Uyên - Bình Dương</t>
        </is>
      </c>
      <c r="G1750" s="397" t="inlineStr">
        <is>
          <t>BDUONG</t>
        </is>
      </c>
      <c r="H1750" s="399" t="n"/>
      <c r="J1750" s="392">
        <f>IFERROR(UPPER(TRIM(B1750))&amp;"|"&amp;UPPER(TRIM(C1750))&amp;"|"&amp;UPPER(TRIM(D1750)),"")</f>
        <v/>
      </c>
    </row>
    <row r="1751" ht="15.75" customHeight="1" s="217">
      <c r="A1751" s="400" t="n">
        <v>1749</v>
      </c>
      <c r="B1751" s="400" t="inlineStr">
        <is>
          <t>KH2070</t>
        </is>
      </c>
      <c r="C1751" s="401" t="inlineStr">
        <is>
          <t>Xưởng Anh Phúc - Đà Lạt / 0973.164.144</t>
        </is>
      </c>
      <c r="D1751" s="400" t="inlineStr">
        <is>
          <t>0973.164.144</t>
        </is>
      </c>
      <c r="E1751" s="402" t="n"/>
      <c r="F1751" s="401" t="inlineStr">
        <is>
          <t>Đà Lạt</t>
        </is>
      </c>
      <c r="G1751" s="400" t="inlineStr">
        <is>
          <t>LDONG</t>
        </is>
      </c>
      <c r="H1751" s="402" t="n"/>
      <c r="J1751" s="392">
        <f>IFERROR(UPPER(TRIM(B1751))&amp;"|"&amp;UPPER(TRIM(C1751))&amp;"|"&amp;UPPER(TRIM(D1751)),"")</f>
        <v/>
      </c>
    </row>
    <row r="1752" ht="15.75" customHeight="1" s="217">
      <c r="A1752" s="397" t="n">
        <v>1750</v>
      </c>
      <c r="B1752" s="397" t="inlineStr">
        <is>
          <t>KH2071</t>
        </is>
      </c>
      <c r="C1752" s="398" t="inlineStr">
        <is>
          <t>Anh Nhì - Đồng Nai / 0909.558.502</t>
        </is>
      </c>
      <c r="D1752" s="397" t="inlineStr">
        <is>
          <t>0909.558.502</t>
        </is>
      </c>
      <c r="E1752" s="399" t="n"/>
      <c r="F1752" s="398" t="inlineStr">
        <is>
          <t>Đồng Nai</t>
        </is>
      </c>
      <c r="G1752" s="397" t="inlineStr">
        <is>
          <t>ÐNAI</t>
        </is>
      </c>
      <c r="H1752" s="399" t="n"/>
      <c r="J1752" s="392">
        <f>IFERROR(UPPER(TRIM(B1752))&amp;"|"&amp;UPPER(TRIM(C1752))&amp;"|"&amp;UPPER(TRIM(D1752)),"")</f>
        <v/>
      </c>
    </row>
    <row r="1753" ht="15.75" customHeight="1" s="217">
      <c r="A1753" s="400" t="n">
        <v>1751</v>
      </c>
      <c r="B1753" s="400" t="inlineStr">
        <is>
          <t>KH2072</t>
        </is>
      </c>
      <c r="C1753" s="401" t="inlineStr">
        <is>
          <t>Công Ty TNHH Lê Phan Gia - Bình Phước / Anh Nghĩa -01667.279.685</t>
        </is>
      </c>
      <c r="D1753" s="400" t="inlineStr">
        <is>
          <t>01667.279.685</t>
        </is>
      </c>
      <c r="E1753" s="402" t="n"/>
      <c r="F1753" s="401" t="inlineStr">
        <is>
          <t>Đồng Xoài, Bình Phước</t>
        </is>
      </c>
      <c r="G1753" s="400" t="inlineStr">
        <is>
          <t>BP</t>
        </is>
      </c>
      <c r="H1753" s="402" t="n"/>
      <c r="J1753" s="392">
        <f>IFERROR(UPPER(TRIM(B1753))&amp;"|"&amp;UPPER(TRIM(C1753))&amp;"|"&amp;UPPER(TRIM(D1753)),"")</f>
        <v/>
      </c>
    </row>
    <row r="1754" ht="15.75" customHeight="1" s="217">
      <c r="A1754" s="397" t="n">
        <v>1752</v>
      </c>
      <c r="B1754" s="397" t="inlineStr">
        <is>
          <t>KH2067</t>
        </is>
      </c>
      <c r="C1754" s="398" t="inlineStr">
        <is>
          <t>Anh Bình - Thủ Đức / 0909.695.422</t>
        </is>
      </c>
      <c r="D1754" s="397" t="inlineStr">
        <is>
          <t>0909.695.422</t>
        </is>
      </c>
      <c r="E1754" s="399" t="n"/>
      <c r="F1754" s="398" t="inlineStr">
        <is>
          <t>Thủ Đức - TP HCM</t>
        </is>
      </c>
      <c r="G1754" s="397" t="inlineStr">
        <is>
          <t>SG/HCM</t>
        </is>
      </c>
      <c r="H1754" s="399" t="n"/>
      <c r="J1754" s="392">
        <f>IFERROR(UPPER(TRIM(B1754))&amp;"|"&amp;UPPER(TRIM(C1754))&amp;"|"&amp;UPPER(TRIM(D1754)),"")</f>
        <v/>
      </c>
    </row>
    <row r="1755" ht="15.75" customHeight="1" s="217">
      <c r="A1755" s="400" t="n">
        <v>1753</v>
      </c>
      <c r="B1755" s="400" t="inlineStr">
        <is>
          <t>KH2068</t>
        </is>
      </c>
      <c r="C1755" s="401" t="inlineStr">
        <is>
          <t>Anh Vũ - Quận 8 / 0906.704.539</t>
        </is>
      </c>
      <c r="D1755" s="400" t="inlineStr">
        <is>
          <t>0906.704.539</t>
        </is>
      </c>
      <c r="E1755" s="402" t="n"/>
      <c r="F1755" s="401" t="inlineStr">
        <is>
          <t>Quận 8 - TP HCM</t>
        </is>
      </c>
      <c r="G1755" s="400" t="inlineStr">
        <is>
          <t>SG/HCM</t>
        </is>
      </c>
      <c r="H1755" s="402" t="n"/>
      <c r="J1755" s="392">
        <f>IFERROR(UPPER(TRIM(B1755))&amp;"|"&amp;UPPER(TRIM(C1755))&amp;"|"&amp;UPPER(TRIM(D1755)),"")</f>
        <v/>
      </c>
    </row>
    <row r="1756" ht="15.75" customHeight="1" s="217">
      <c r="A1756" s="397" t="n">
        <v>1754</v>
      </c>
      <c r="B1756" s="397" t="inlineStr">
        <is>
          <t>KH2064</t>
        </is>
      </c>
      <c r="C1756" s="398" t="inlineStr">
        <is>
          <t>Anh Tòng - Đồng Tháp / 01662.327.567</t>
        </is>
      </c>
      <c r="D1756" s="397" t="inlineStr">
        <is>
          <t>01662.327.567</t>
        </is>
      </c>
      <c r="E1756" s="399" t="n"/>
      <c r="F1756" s="398" t="inlineStr">
        <is>
          <t>Đồng Tháp</t>
        </is>
      </c>
      <c r="G1756" s="397" t="inlineStr">
        <is>
          <t>DTHAP</t>
        </is>
      </c>
      <c r="H1756" s="399" t="n"/>
      <c r="J1756" s="392">
        <f>IFERROR(UPPER(TRIM(B1756))&amp;"|"&amp;UPPER(TRIM(C1756))&amp;"|"&amp;UPPER(TRIM(D1756)),"")</f>
        <v/>
      </c>
    </row>
    <row r="1757" ht="15.75" customHeight="1" s="217">
      <c r="A1757" s="400" t="n">
        <v>1755</v>
      </c>
      <c r="B1757" s="400" t="inlineStr">
        <is>
          <t>KH2065</t>
        </is>
      </c>
      <c r="C1757" s="401" t="inlineStr">
        <is>
          <t>Anh An - Bến Lức / 0906.323.533</t>
        </is>
      </c>
      <c r="D1757" s="400" t="inlineStr">
        <is>
          <t>0906.323.533</t>
        </is>
      </c>
      <c r="E1757" s="402" t="n"/>
      <c r="F1757" s="401" t="inlineStr">
        <is>
          <t>Bến Lức - Long An</t>
        </is>
      </c>
      <c r="G1757" s="400" t="inlineStr">
        <is>
          <t>LA</t>
        </is>
      </c>
      <c r="H1757" s="402" t="n"/>
      <c r="J1757" s="392">
        <f>IFERROR(UPPER(TRIM(B1757))&amp;"|"&amp;UPPER(TRIM(C1757))&amp;"|"&amp;UPPER(TRIM(D1757)),"")</f>
        <v/>
      </c>
    </row>
    <row r="1758" ht="15.75" customHeight="1" s="217">
      <c r="A1758" s="397" t="n">
        <v>1756</v>
      </c>
      <c r="B1758" s="397" t="inlineStr">
        <is>
          <t>KH2066</t>
        </is>
      </c>
      <c r="C1758" s="398" t="inlineStr">
        <is>
          <t>Xưởng Anh Hoàng - Dĩ An / 0933.625.976</t>
        </is>
      </c>
      <c r="D1758" s="397" t="inlineStr">
        <is>
          <t>0933.625.976</t>
        </is>
      </c>
      <c r="E1758" s="399" t="n"/>
      <c r="F1758" s="398" t="inlineStr">
        <is>
          <t>Big C - Dĩ An - Bình Dương</t>
        </is>
      </c>
      <c r="G1758" s="397" t="inlineStr">
        <is>
          <t>BDUONG</t>
        </is>
      </c>
      <c r="H1758" s="399" t="n"/>
      <c r="J1758" s="392">
        <f>IFERROR(UPPER(TRIM(B1758))&amp;"|"&amp;UPPER(TRIM(C1758))&amp;"|"&amp;UPPER(TRIM(D1758)),"")</f>
        <v/>
      </c>
    </row>
    <row r="1759" ht="15.75" customHeight="1" s="217">
      <c r="A1759" s="400" t="n">
        <v>1757</v>
      </c>
      <c r="B1759" s="400" t="inlineStr">
        <is>
          <t>KH2058</t>
        </is>
      </c>
      <c r="C1759" s="401" t="inlineStr">
        <is>
          <t>Anh Thọ - Quận 7 / 0914.027.909</t>
        </is>
      </c>
      <c r="D1759" s="400" t="inlineStr">
        <is>
          <t>0914.027.909</t>
        </is>
      </c>
      <c r="E1759" s="402" t="n"/>
      <c r="F1759" s="401" t="inlineStr">
        <is>
          <t>Quận 7 - TP HCM</t>
        </is>
      </c>
      <c r="G1759" s="400" t="inlineStr">
        <is>
          <t>SG/HCM</t>
        </is>
      </c>
      <c r="H1759" s="402" t="n"/>
      <c r="J1759" s="392">
        <f>IFERROR(UPPER(TRIM(B1759))&amp;"|"&amp;UPPER(TRIM(C1759))&amp;"|"&amp;UPPER(TRIM(D1759)),"")</f>
        <v/>
      </c>
    </row>
    <row r="1760" ht="15.75" customHeight="1" s="217">
      <c r="A1760" s="397" t="n">
        <v>1758</v>
      </c>
      <c r="B1760" s="397" t="inlineStr">
        <is>
          <t>KH2059</t>
        </is>
      </c>
      <c r="C1760" s="398" t="inlineStr">
        <is>
          <t>Anh Mịn - Hóc Môn / 0903.168.240</t>
        </is>
      </c>
      <c r="D1760" s="397" t="inlineStr">
        <is>
          <t>0903.168.240</t>
        </is>
      </c>
      <c r="E1760" s="399" t="n"/>
      <c r="F1760" s="398" t="inlineStr">
        <is>
          <t>Hóc Hôn - TP HCM</t>
        </is>
      </c>
      <c r="G1760" s="397" t="inlineStr">
        <is>
          <t>SG/HCM</t>
        </is>
      </c>
      <c r="H1760" s="399" t="n"/>
      <c r="J1760" s="392">
        <f>IFERROR(UPPER(TRIM(B1760))&amp;"|"&amp;UPPER(TRIM(C1760))&amp;"|"&amp;UPPER(TRIM(D1760)),"")</f>
        <v/>
      </c>
    </row>
    <row r="1761" ht="15.75" customHeight="1" s="217">
      <c r="A1761" s="400" t="n">
        <v>1759</v>
      </c>
      <c r="B1761" s="400" t="inlineStr">
        <is>
          <t>KH2060</t>
        </is>
      </c>
      <c r="C1761" s="401" t="inlineStr">
        <is>
          <t>Anh Khánh - Sài Gòn / 0933.791.139</t>
        </is>
      </c>
      <c r="D1761" s="400" t="inlineStr">
        <is>
          <t>0933.791.139</t>
        </is>
      </c>
      <c r="E1761" s="402" t="n"/>
      <c r="F1761" s="401" t="inlineStr">
        <is>
          <t>Sài Gòn</t>
        </is>
      </c>
      <c r="G1761" s="400" t="inlineStr">
        <is>
          <t>SG/HCM</t>
        </is>
      </c>
      <c r="H1761" s="402" t="n"/>
      <c r="J1761" s="392">
        <f>IFERROR(UPPER(TRIM(B1761))&amp;"|"&amp;UPPER(TRIM(C1761))&amp;"|"&amp;UPPER(TRIM(D1761)),"")</f>
        <v/>
      </c>
    </row>
    <row r="1762" ht="15.75" customHeight="1" s="217">
      <c r="A1762" s="397" t="n">
        <v>1760</v>
      </c>
      <c r="B1762" s="397" t="inlineStr">
        <is>
          <t>KH2061</t>
        </is>
      </c>
      <c r="C1762" s="398" t="inlineStr">
        <is>
          <t>Anh Lừng - Bình Dương / 0907.929.700</t>
        </is>
      </c>
      <c r="D1762" s="397" t="inlineStr">
        <is>
          <t>0907.929.700</t>
        </is>
      </c>
      <c r="E1762" s="399" t="n"/>
      <c r="F1762" s="398" t="inlineStr">
        <is>
          <t>Bình Dương</t>
        </is>
      </c>
      <c r="G1762" s="397" t="inlineStr">
        <is>
          <t>BDUONG</t>
        </is>
      </c>
      <c r="H1762" s="399" t="n"/>
      <c r="J1762" s="392">
        <f>IFERROR(UPPER(TRIM(B1762))&amp;"|"&amp;UPPER(TRIM(C1762))&amp;"|"&amp;UPPER(TRIM(D1762)),"")</f>
        <v/>
      </c>
    </row>
    <row r="1763" ht="15.75" customHeight="1" s="217">
      <c r="A1763" s="400" t="n">
        <v>1761</v>
      </c>
      <c r="B1763" s="400" t="inlineStr">
        <is>
          <t>KH2062</t>
        </is>
      </c>
      <c r="C1763" s="401" t="inlineStr">
        <is>
          <t>Anh Thanh - SG/0942.334.959</t>
        </is>
      </c>
      <c r="D1763" s="400" t="inlineStr">
        <is>
          <t>0942.334.959</t>
        </is>
      </c>
      <c r="E1763" s="402" t="n"/>
      <c r="F1763" s="401" t="inlineStr">
        <is>
          <t>Sài Gòn</t>
        </is>
      </c>
      <c r="G1763" s="400" t="inlineStr">
        <is>
          <t>SG/HCM</t>
        </is>
      </c>
      <c r="H1763" s="402" t="n"/>
      <c r="J1763" s="392">
        <f>IFERROR(UPPER(TRIM(B1763))&amp;"|"&amp;UPPER(TRIM(C1763))&amp;"|"&amp;UPPER(TRIM(D1763)),"")</f>
        <v/>
      </c>
    </row>
    <row r="1764" ht="15.75" customHeight="1" s="217">
      <c r="A1764" s="397" t="n">
        <v>1762</v>
      </c>
      <c r="B1764" s="397" t="inlineStr">
        <is>
          <t>KH2063</t>
        </is>
      </c>
      <c r="C1764" s="398" t="inlineStr">
        <is>
          <t>Anh Quốc - Quận 7 / 0909.560.156</t>
        </is>
      </c>
      <c r="D1764" s="397" t="inlineStr">
        <is>
          <t>0909.560.156</t>
        </is>
      </c>
      <c r="E1764" s="399" t="n"/>
      <c r="F1764" s="398" t="inlineStr">
        <is>
          <t>Quận 7 - TP HCM</t>
        </is>
      </c>
      <c r="G1764" s="397" t="inlineStr">
        <is>
          <t>SG/HCM</t>
        </is>
      </c>
      <c r="H1764" s="399" t="n"/>
      <c r="J1764" s="392">
        <f>IFERROR(UPPER(TRIM(B1764))&amp;"|"&amp;UPPER(TRIM(C1764))&amp;"|"&amp;UPPER(TRIM(D1764)),"")</f>
        <v/>
      </c>
    </row>
    <row r="1765" ht="15.75" customHeight="1" s="217">
      <c r="A1765" s="400" t="n">
        <v>1763</v>
      </c>
      <c r="B1765" s="400" t="inlineStr">
        <is>
          <t>KH2057</t>
        </is>
      </c>
      <c r="C1765" s="401" t="inlineStr">
        <is>
          <t>Anh Vũ - Mộc Hóa / 0918.371.638</t>
        </is>
      </c>
      <c r="D1765" s="400" t="inlineStr">
        <is>
          <t>0918.371.638</t>
        </is>
      </c>
      <c r="E1765" s="402" t="n"/>
      <c r="F1765" s="401" t="inlineStr">
        <is>
          <t>Mộc Hóa - Long An</t>
        </is>
      </c>
      <c r="G1765" s="400" t="inlineStr">
        <is>
          <t>LA</t>
        </is>
      </c>
      <c r="H1765" s="402" t="n"/>
      <c r="J1765" s="392">
        <f>IFERROR(UPPER(TRIM(B1765))&amp;"|"&amp;UPPER(TRIM(C1765))&amp;"|"&amp;UPPER(TRIM(D1765)),"")</f>
        <v/>
      </c>
    </row>
    <row r="1766" ht="15.75" customHeight="1" s="217">
      <c r="A1766" s="397" t="n">
        <v>1764</v>
      </c>
      <c r="B1766" s="397" t="inlineStr">
        <is>
          <t>MN57</t>
        </is>
      </c>
      <c r="C1766" s="398" t="inlineStr">
        <is>
          <t>Hoàng Duy</t>
        </is>
      </c>
      <c r="D1766" s="399" t="n"/>
      <c r="E1766" s="399" t="n"/>
      <c r="F1766" s="398" t="inlineStr">
        <is>
          <t>CTCP CGMN</t>
        </is>
      </c>
      <c r="G1766" s="399" t="n"/>
      <c r="H1766" s="399" t="n"/>
      <c r="J1766" s="392">
        <f>IFERROR(UPPER(TRIM(B1766))&amp;"|"&amp;UPPER(TRIM(C1766))&amp;"|"&amp;UPPER(TRIM(D1766)),"")</f>
        <v/>
      </c>
    </row>
    <row r="1767" ht="15.75" customHeight="1" s="217">
      <c r="A1767" s="400" t="n">
        <v>1765</v>
      </c>
      <c r="B1767" s="400" t="inlineStr">
        <is>
          <t>MN58</t>
        </is>
      </c>
      <c r="C1767" s="401" t="inlineStr">
        <is>
          <t>ánh Nguyệt</t>
        </is>
      </c>
      <c r="D1767" s="402" t="n"/>
      <c r="E1767" s="402" t="n"/>
      <c r="F1767" s="401" t="inlineStr">
        <is>
          <t>CTCP CGMN</t>
        </is>
      </c>
      <c r="G1767" s="402" t="n"/>
      <c r="H1767" s="402" t="n"/>
      <c r="J1767" s="392">
        <f>IFERROR(UPPER(TRIM(B1767))&amp;"|"&amp;UPPER(TRIM(C1767))&amp;"|"&amp;UPPER(TRIM(D1767)),"")</f>
        <v/>
      </c>
    </row>
    <row r="1768" ht="15.75" customHeight="1" s="217">
      <c r="A1768" s="397" t="n">
        <v>1766</v>
      </c>
      <c r="B1768" s="397" t="inlineStr">
        <is>
          <t>KH2055</t>
        </is>
      </c>
      <c r="C1768" s="398" t="inlineStr">
        <is>
          <t>Anh Tuyến - Linh Xuân / 0868.538.392</t>
        </is>
      </c>
      <c r="D1768" s="397" t="inlineStr">
        <is>
          <t>0868.538.392</t>
        </is>
      </c>
      <c r="E1768" s="399" t="n"/>
      <c r="F1768" s="398" t="inlineStr">
        <is>
          <t>Linh Xuân - TĐ - TP HCM</t>
        </is>
      </c>
      <c r="G1768" s="397" t="inlineStr">
        <is>
          <t>SG/HCM</t>
        </is>
      </c>
      <c r="H1768" s="399" t="n"/>
      <c r="J1768" s="392">
        <f>IFERROR(UPPER(TRIM(B1768))&amp;"|"&amp;UPPER(TRIM(C1768))&amp;"|"&amp;UPPER(TRIM(D1768)),"")</f>
        <v/>
      </c>
    </row>
    <row r="1769" ht="15.75" customHeight="1" s="217">
      <c r="A1769" s="400" t="n">
        <v>1767</v>
      </c>
      <c r="B1769" s="400" t="inlineStr">
        <is>
          <t>KH2056</t>
        </is>
      </c>
      <c r="C1769" s="401" t="inlineStr">
        <is>
          <t>Xưởng Anh Hùng - Long Thành / 0913.774.090</t>
        </is>
      </c>
      <c r="D1769" s="400" t="inlineStr">
        <is>
          <t>0913.774.090</t>
        </is>
      </c>
      <c r="E1769" s="402" t="n"/>
      <c r="F1769" s="401" t="inlineStr">
        <is>
          <t>Long Thành - Đồng Nai</t>
        </is>
      </c>
      <c r="G1769" s="400" t="inlineStr">
        <is>
          <t>ÐNAI</t>
        </is>
      </c>
      <c r="H1769" s="402" t="n"/>
      <c r="J1769" s="392">
        <f>IFERROR(UPPER(TRIM(B1769))&amp;"|"&amp;UPPER(TRIM(C1769))&amp;"|"&amp;UPPER(TRIM(D1769)),"")</f>
        <v/>
      </c>
    </row>
    <row r="1770" ht="15.75" customHeight="1" s="217">
      <c r="A1770" s="397" t="n">
        <v>1768</v>
      </c>
      <c r="B1770" s="397" t="inlineStr">
        <is>
          <t>KH2053</t>
        </is>
      </c>
      <c r="C1770" s="398" t="inlineStr">
        <is>
          <t>Anh Ngay - Quận 2 / 0916.080.402</t>
        </is>
      </c>
      <c r="D1770" s="397" t="inlineStr">
        <is>
          <t>0916.080.402</t>
        </is>
      </c>
      <c r="E1770" s="399" t="n"/>
      <c r="F1770" s="398" t="inlineStr">
        <is>
          <t>Quận 2, TP HCM</t>
        </is>
      </c>
      <c r="G1770" s="397" t="inlineStr">
        <is>
          <t>SG/HCM</t>
        </is>
      </c>
      <c r="H1770" s="399" t="n"/>
      <c r="J1770" s="392">
        <f>IFERROR(UPPER(TRIM(B1770))&amp;"|"&amp;UPPER(TRIM(C1770))&amp;"|"&amp;UPPER(TRIM(D1770)),"")</f>
        <v/>
      </c>
    </row>
    <row r="1771" ht="15.75" customHeight="1" s="217">
      <c r="A1771" s="400" t="n">
        <v>1769</v>
      </c>
      <c r="B1771" s="400" t="inlineStr">
        <is>
          <t>KH2054</t>
        </is>
      </c>
      <c r="C1771" s="401" t="inlineStr">
        <is>
          <t>Cửa Hàng Thanh Triều - An Giang / 0987.514.109/ vợ 0347.669.900</t>
        </is>
      </c>
      <c r="D1771" s="400" t="inlineStr">
        <is>
          <t>0987.514.109 / 0347.669.900</t>
        </is>
      </c>
      <c r="E1771" s="402" t="n"/>
      <c r="F1771" s="401" t="inlineStr">
        <is>
          <t>An Giang</t>
        </is>
      </c>
      <c r="G1771" s="400" t="inlineStr">
        <is>
          <t>ANGIANG</t>
        </is>
      </c>
      <c r="H1771" s="402" t="n"/>
      <c r="J1771" s="392">
        <f>IFERROR(UPPER(TRIM(B1771))&amp;"|"&amp;UPPER(TRIM(C1771))&amp;"|"&amp;UPPER(TRIM(D1771)),"")</f>
        <v/>
      </c>
    </row>
    <row r="1772" ht="15.75" customHeight="1" s="217">
      <c r="A1772" s="397" t="n">
        <v>1770</v>
      </c>
      <c r="B1772" s="397" t="inlineStr">
        <is>
          <t>KH2052</t>
        </is>
      </c>
      <c r="C1772" s="398" t="inlineStr">
        <is>
          <t>Anh Hà - Quận 8 / 0937.456.333</t>
        </is>
      </c>
      <c r="D1772" s="397" t="inlineStr">
        <is>
          <t>0937.456.333</t>
        </is>
      </c>
      <c r="E1772" s="399" t="n"/>
      <c r="F1772" s="398" t="inlineStr">
        <is>
          <t>Quận 8 - TP HCM</t>
        </is>
      </c>
      <c r="G1772" s="397" t="inlineStr">
        <is>
          <t>SG/HCM</t>
        </is>
      </c>
      <c r="H1772" s="399" t="n"/>
      <c r="J1772" s="392">
        <f>IFERROR(UPPER(TRIM(B1772))&amp;"|"&amp;UPPER(TRIM(C1772))&amp;"|"&amp;UPPER(TRIM(D1772)),"")</f>
        <v/>
      </c>
    </row>
    <row r="1773" ht="15.75" customHeight="1" s="217">
      <c r="A1773" s="400" t="n">
        <v>1771</v>
      </c>
      <c r="B1773" s="400" t="inlineStr">
        <is>
          <t>KH2051</t>
        </is>
      </c>
      <c r="C1773" s="401" t="inlineStr">
        <is>
          <t>Anh Việt - Bình Chánh / 01655.885.885</t>
        </is>
      </c>
      <c r="D1773" s="400" t="inlineStr">
        <is>
          <t>01655.885.885</t>
        </is>
      </c>
      <c r="E1773" s="402" t="n"/>
      <c r="F1773" s="401" t="inlineStr">
        <is>
          <t>Bình Chánh - TP HCM</t>
        </is>
      </c>
      <c r="G1773" s="400" t="inlineStr">
        <is>
          <t>SG/HCM</t>
        </is>
      </c>
      <c r="H1773" s="402" t="n"/>
      <c r="J1773" s="392">
        <f>IFERROR(UPPER(TRIM(B1773))&amp;"|"&amp;UPPER(TRIM(C1773))&amp;"|"&amp;UPPER(TRIM(D1773)),"")</f>
        <v/>
      </c>
    </row>
    <row r="1774" ht="15.75" customHeight="1" s="217">
      <c r="A1774" s="397" t="n">
        <v>1772</v>
      </c>
      <c r="B1774" s="397" t="inlineStr">
        <is>
          <t>KH2048</t>
        </is>
      </c>
      <c r="C1774" s="398" t="inlineStr">
        <is>
          <t>Anh Khương - Mêtro / 0902.098.363</t>
        </is>
      </c>
      <c r="D1774" s="397" t="inlineStr">
        <is>
          <t>0902.098.363</t>
        </is>
      </c>
      <c r="E1774" s="399" t="n"/>
      <c r="F1774" s="398" t="inlineStr">
        <is>
          <t>Mêtro ,Quận 2 , TP HCM</t>
        </is>
      </c>
      <c r="G1774" s="397" t="inlineStr">
        <is>
          <t>SG/HCM</t>
        </is>
      </c>
      <c r="H1774" s="399" t="n"/>
      <c r="J1774" s="392">
        <f>IFERROR(UPPER(TRIM(B1774))&amp;"|"&amp;UPPER(TRIM(C1774))&amp;"|"&amp;UPPER(TRIM(D1774)),"")</f>
        <v/>
      </c>
    </row>
    <row r="1775" ht="15.75" customHeight="1" s="217">
      <c r="A1775" s="400" t="n">
        <v>1773</v>
      </c>
      <c r="B1775" s="400" t="inlineStr">
        <is>
          <t>KH2049</t>
        </is>
      </c>
      <c r="C1775" s="401" t="inlineStr">
        <is>
          <t>Anh Bé - Quận 9 / 0938.428.258</t>
        </is>
      </c>
      <c r="D1775" s="400" t="inlineStr">
        <is>
          <t>0938.428.258</t>
        </is>
      </c>
      <c r="E1775" s="402" t="n"/>
      <c r="F1775" s="401" t="inlineStr">
        <is>
          <t>Anh Bé - Quận 9 - TP HCM</t>
        </is>
      </c>
      <c r="G1775" s="400" t="inlineStr">
        <is>
          <t>SG/HCM</t>
        </is>
      </c>
      <c r="H1775" s="402" t="n"/>
      <c r="J1775" s="392">
        <f>IFERROR(UPPER(TRIM(B1775))&amp;"|"&amp;UPPER(TRIM(C1775))&amp;"|"&amp;UPPER(TRIM(D1775)),"")</f>
        <v/>
      </c>
    </row>
    <row r="1776" ht="15.75" customHeight="1" s="217">
      <c r="A1776" s="397" t="n">
        <v>1774</v>
      </c>
      <c r="B1776" s="397" t="inlineStr">
        <is>
          <t>KH2050</t>
        </is>
      </c>
      <c r="C1776" s="398" t="inlineStr">
        <is>
          <t>Chú Tường - SG / 0985.451.949</t>
        </is>
      </c>
      <c r="D1776" s="397" t="inlineStr">
        <is>
          <t>0985.451.949</t>
        </is>
      </c>
      <c r="E1776" s="399" t="n"/>
      <c r="F1776" s="398" t="inlineStr">
        <is>
          <t>TP HCM</t>
        </is>
      </c>
      <c r="G1776" s="397" t="inlineStr">
        <is>
          <t>SG/HCM</t>
        </is>
      </c>
      <c r="H1776" s="399" t="n"/>
      <c r="J1776" s="392">
        <f>IFERROR(UPPER(TRIM(B1776))&amp;"|"&amp;UPPER(TRIM(C1776))&amp;"|"&amp;UPPER(TRIM(D1776)),"")</f>
        <v/>
      </c>
    </row>
    <row r="1777" ht="15.75" customHeight="1" s="217">
      <c r="A1777" s="400" t="n">
        <v>1775</v>
      </c>
      <c r="B1777" s="400" t="inlineStr">
        <is>
          <t>KH2047</t>
        </is>
      </c>
      <c r="C1777" s="401" t="inlineStr">
        <is>
          <t>Anh Quyền - Quận 7 / 0979.552.625</t>
        </is>
      </c>
      <c r="D1777" s="400" t="inlineStr">
        <is>
          <t>0979.552.625</t>
        </is>
      </c>
      <c r="E1777" s="402" t="n"/>
      <c r="F1777" s="401" t="inlineStr">
        <is>
          <t>Quận 7, TP HCM</t>
        </is>
      </c>
      <c r="G1777" s="400" t="inlineStr">
        <is>
          <t>SG/HCM</t>
        </is>
      </c>
      <c r="H1777" s="402" t="n"/>
      <c r="J1777" s="392">
        <f>IFERROR(UPPER(TRIM(B1777))&amp;"|"&amp;UPPER(TRIM(C1777))&amp;"|"&amp;UPPER(TRIM(D1777)),"")</f>
        <v/>
      </c>
    </row>
    <row r="1778" ht="15.75" customHeight="1" s="217">
      <c r="A1778" s="397" t="n">
        <v>1776</v>
      </c>
      <c r="B1778" s="397" t="inlineStr">
        <is>
          <t>KH2046</t>
        </is>
      </c>
      <c r="C1778" s="398" t="inlineStr">
        <is>
          <t>Anh Mỹ - Bình Dương / 0945.182.838</t>
        </is>
      </c>
      <c r="D1778" s="397" t="inlineStr">
        <is>
          <t>0945.182.838</t>
        </is>
      </c>
      <c r="E1778" s="399" t="n"/>
      <c r="F1778" s="398" t="inlineStr">
        <is>
          <t>Khu Công Nghiệp Mỹ Phước 1, Bình Dương</t>
        </is>
      </c>
      <c r="G1778" s="397" t="inlineStr">
        <is>
          <t>BDUONG</t>
        </is>
      </c>
      <c r="H1778" s="399" t="n"/>
      <c r="J1778" s="392">
        <f>IFERROR(UPPER(TRIM(B1778))&amp;"|"&amp;UPPER(TRIM(C1778))&amp;"|"&amp;UPPER(TRIM(D1778)),"")</f>
        <v/>
      </c>
    </row>
    <row r="1779" ht="15.75" customHeight="1" s="217">
      <c r="A1779" s="400" t="n">
        <v>1777</v>
      </c>
      <c r="B1779" s="400" t="inlineStr">
        <is>
          <t>KH2045</t>
        </is>
      </c>
      <c r="C1779" s="401" t="inlineStr">
        <is>
          <t>Duy Anh - Vũng Tàu / 0916.177.977</t>
        </is>
      </c>
      <c r="D1779" s="400" t="inlineStr">
        <is>
          <t>0916.177.977</t>
        </is>
      </c>
      <c r="E1779" s="402" t="n"/>
      <c r="F1779" s="401" t="inlineStr">
        <is>
          <t>Vũng Tàu</t>
        </is>
      </c>
      <c r="G1779" s="400" t="inlineStr">
        <is>
          <t>BRVT</t>
        </is>
      </c>
      <c r="H1779" s="402" t="n"/>
      <c r="J1779" s="392">
        <f>IFERROR(UPPER(TRIM(B1779))&amp;"|"&amp;UPPER(TRIM(C1779))&amp;"|"&amp;UPPER(TRIM(D1779)),"")</f>
        <v/>
      </c>
    </row>
    <row r="1780" ht="15.75" customHeight="1" s="217">
      <c r="A1780" s="397" t="n">
        <v>1778</v>
      </c>
      <c r="B1780" s="397" t="inlineStr">
        <is>
          <t>KH2042</t>
        </is>
      </c>
      <c r="C1780" s="398" t="inlineStr">
        <is>
          <t>Anh Chín - Bình Long / 0961.087.644</t>
        </is>
      </c>
      <c r="D1780" s="397" t="inlineStr">
        <is>
          <t>0961.087.644</t>
        </is>
      </c>
      <c r="E1780" s="399" t="n"/>
      <c r="F1780" s="398" t="inlineStr">
        <is>
          <t>Bình Long - Bình Phước</t>
        </is>
      </c>
      <c r="G1780" s="397" t="inlineStr">
        <is>
          <t>BP</t>
        </is>
      </c>
      <c r="H1780" s="399" t="n"/>
      <c r="J1780" s="392">
        <f>IFERROR(UPPER(TRIM(B1780))&amp;"|"&amp;UPPER(TRIM(C1780))&amp;"|"&amp;UPPER(TRIM(D1780)),"")</f>
        <v/>
      </c>
    </row>
    <row r="1781" ht="15.75" customHeight="1" s="217">
      <c r="A1781" s="400" t="n">
        <v>1779</v>
      </c>
      <c r="B1781" s="400" t="inlineStr">
        <is>
          <t>KH2043</t>
        </is>
      </c>
      <c r="C1781" s="401" t="inlineStr">
        <is>
          <t>Anh Thọ - Quận 2 / 0908.932.978</t>
        </is>
      </c>
      <c r="D1781" s="400" t="inlineStr">
        <is>
          <t>0908.932.978</t>
        </is>
      </c>
      <c r="E1781" s="402" t="n"/>
      <c r="F1781" s="401" t="inlineStr">
        <is>
          <t>Quận 2, TP HCM</t>
        </is>
      </c>
      <c r="G1781" s="400" t="inlineStr">
        <is>
          <t>SG/HCM</t>
        </is>
      </c>
      <c r="H1781" s="402" t="n"/>
      <c r="J1781" s="392">
        <f>IFERROR(UPPER(TRIM(B1781))&amp;"|"&amp;UPPER(TRIM(C1781))&amp;"|"&amp;UPPER(TRIM(D1781)),"")</f>
        <v/>
      </c>
    </row>
    <row r="1782" ht="15.75" customHeight="1" s="217">
      <c r="A1782" s="397" t="n">
        <v>1780</v>
      </c>
      <c r="B1782" s="397" t="inlineStr">
        <is>
          <t>KH2044</t>
        </is>
      </c>
      <c r="C1782" s="398" t="inlineStr">
        <is>
          <t>Anh Hiếu - Nha Trang / 0964.744.764</t>
        </is>
      </c>
      <c r="D1782" s="397" t="inlineStr">
        <is>
          <t>0964.744.764</t>
        </is>
      </c>
      <c r="E1782" s="399" t="n"/>
      <c r="F1782" s="398" t="inlineStr">
        <is>
          <t>Nha Trang</t>
        </is>
      </c>
      <c r="G1782" s="397" t="inlineStr">
        <is>
          <t>NTRANG</t>
        </is>
      </c>
      <c r="H1782" s="399" t="n"/>
      <c r="J1782" s="392">
        <f>IFERROR(UPPER(TRIM(B1782))&amp;"|"&amp;UPPER(TRIM(C1782))&amp;"|"&amp;UPPER(TRIM(D1782)),"")</f>
        <v/>
      </c>
    </row>
    <row r="1783" ht="15.75" customHeight="1" s="217">
      <c r="A1783" s="400" t="n">
        <v>1781</v>
      </c>
      <c r="B1783" s="400" t="inlineStr">
        <is>
          <t>KH2041</t>
        </is>
      </c>
      <c r="C1783" s="401" t="inlineStr">
        <is>
          <t>Anh Mến - Long An / 0933.730.725</t>
        </is>
      </c>
      <c r="D1783" s="400" t="inlineStr">
        <is>
          <t>0933.730.725</t>
        </is>
      </c>
      <c r="E1783" s="402" t="n"/>
      <c r="F1783" s="401" t="inlineStr">
        <is>
          <t>Long An</t>
        </is>
      </c>
      <c r="G1783" s="400" t="inlineStr">
        <is>
          <t>LA</t>
        </is>
      </c>
      <c r="H1783" s="402" t="n"/>
      <c r="J1783" s="392">
        <f>IFERROR(UPPER(TRIM(B1783))&amp;"|"&amp;UPPER(TRIM(C1783))&amp;"|"&amp;UPPER(TRIM(D1783)),"")</f>
        <v/>
      </c>
    </row>
    <row r="1784" ht="15.75" customHeight="1" s="217">
      <c r="A1784" s="397" t="n">
        <v>1782</v>
      </c>
      <c r="B1784" s="397" t="inlineStr">
        <is>
          <t>KH2035</t>
        </is>
      </c>
      <c r="C1784" s="398" t="inlineStr">
        <is>
          <t>Xưởng Anh Vinh - Cần Giờ / 01668.337.135</t>
        </is>
      </c>
      <c r="D1784" s="397" t="inlineStr">
        <is>
          <t>01668.337.135</t>
        </is>
      </c>
      <c r="E1784" s="399" t="n"/>
      <c r="F1784" s="398" t="inlineStr">
        <is>
          <t>Cần Giờ - TP HCM</t>
        </is>
      </c>
      <c r="G1784" s="397" t="inlineStr">
        <is>
          <t>SG/HCM</t>
        </is>
      </c>
      <c r="H1784" s="399" t="n"/>
      <c r="J1784" s="392">
        <f>IFERROR(UPPER(TRIM(B1784))&amp;"|"&amp;UPPER(TRIM(C1784))&amp;"|"&amp;UPPER(TRIM(D1784)),"")</f>
        <v/>
      </c>
    </row>
    <row r="1785" ht="15.75" customHeight="1" s="217">
      <c r="A1785" s="400" t="n">
        <v>1783</v>
      </c>
      <c r="B1785" s="400" t="inlineStr">
        <is>
          <t>KH2036</t>
        </is>
      </c>
      <c r="C1785" s="401" t="inlineStr">
        <is>
          <t>Anh Hoàng - Mỹ Tho / 0919.141.955</t>
        </is>
      </c>
      <c r="D1785" s="400" t="inlineStr">
        <is>
          <t>0919.141.955</t>
        </is>
      </c>
      <c r="E1785" s="402" t="n"/>
      <c r="F1785" s="401" t="inlineStr">
        <is>
          <t>Mỹ Tho , Tiền Giang</t>
        </is>
      </c>
      <c r="G1785" s="400" t="inlineStr">
        <is>
          <t>TGIANG</t>
        </is>
      </c>
      <c r="H1785" s="402" t="n"/>
      <c r="J1785" s="392">
        <f>IFERROR(UPPER(TRIM(B1785))&amp;"|"&amp;UPPER(TRIM(C1785))&amp;"|"&amp;UPPER(TRIM(D1785)),"")</f>
        <v/>
      </c>
    </row>
    <row r="1786" ht="15.75" customHeight="1" s="217">
      <c r="A1786" s="397" t="n">
        <v>1784</v>
      </c>
      <c r="B1786" s="397" t="inlineStr">
        <is>
          <t>KH2037</t>
        </is>
      </c>
      <c r="C1786" s="398" t="inlineStr">
        <is>
          <t>Xưởng Anh Vinh - Ngã Tư Bình Phước / 0909.686.165</t>
        </is>
      </c>
      <c r="D1786" s="397" t="inlineStr">
        <is>
          <t>0909.686.165</t>
        </is>
      </c>
      <c r="E1786" s="399" t="n"/>
      <c r="F1786" s="398" t="inlineStr">
        <is>
          <t>Ngã Tư Bình Phước - Thủ Đức - TP HCM</t>
        </is>
      </c>
      <c r="G1786" s="397" t="inlineStr">
        <is>
          <t>SG/HCM</t>
        </is>
      </c>
      <c r="H1786" s="399" t="n"/>
      <c r="J1786" s="392">
        <f>IFERROR(UPPER(TRIM(B1786))&amp;"|"&amp;UPPER(TRIM(C1786))&amp;"|"&amp;UPPER(TRIM(D1786)),"")</f>
        <v/>
      </c>
    </row>
    <row r="1787" ht="15.75" customHeight="1" s="217">
      <c r="A1787" s="400" t="n">
        <v>1785</v>
      </c>
      <c r="B1787" s="400" t="inlineStr">
        <is>
          <t>KH2038</t>
        </is>
      </c>
      <c r="C1787" s="401" t="inlineStr">
        <is>
          <t>Anh Trí - Bình Tân / 01297.484.434</t>
        </is>
      </c>
      <c r="D1787" s="400" t="inlineStr">
        <is>
          <t>01297.484.434</t>
        </is>
      </c>
      <c r="E1787" s="402" t="n"/>
      <c r="F1787" s="401" t="inlineStr">
        <is>
          <t>Bình Tân - TP HCM</t>
        </is>
      </c>
      <c r="G1787" s="400" t="inlineStr">
        <is>
          <t>SG/HCM</t>
        </is>
      </c>
      <c r="H1787" s="402" t="n"/>
      <c r="J1787" s="392">
        <f>IFERROR(UPPER(TRIM(B1787))&amp;"|"&amp;UPPER(TRIM(C1787))&amp;"|"&amp;UPPER(TRIM(D1787)),"")</f>
        <v/>
      </c>
    </row>
    <row r="1788" ht="15.75" customHeight="1" s="217">
      <c r="A1788" s="397" t="n">
        <v>1786</v>
      </c>
      <c r="B1788" s="397" t="inlineStr">
        <is>
          <t>KH2039</t>
        </is>
      </c>
      <c r="C1788" s="398" t="inlineStr">
        <is>
          <t>Văn Đức - Bình Chánh / 0979.863.179</t>
        </is>
      </c>
      <c r="D1788" s="397" t="inlineStr">
        <is>
          <t>0979.863.179</t>
        </is>
      </c>
      <c r="E1788" s="399" t="n"/>
      <c r="F1788" s="398" t="inlineStr">
        <is>
          <t>Bình Chánh - TP HCM</t>
        </is>
      </c>
      <c r="G1788" s="397" t="inlineStr">
        <is>
          <t>SG/HCM</t>
        </is>
      </c>
      <c r="H1788" s="399" t="n"/>
      <c r="J1788" s="392">
        <f>IFERROR(UPPER(TRIM(B1788))&amp;"|"&amp;UPPER(TRIM(C1788))&amp;"|"&amp;UPPER(TRIM(D1788)),"")</f>
        <v/>
      </c>
    </row>
    <row r="1789" ht="15.75" customHeight="1" s="217">
      <c r="A1789" s="400" t="n">
        <v>1787</v>
      </c>
      <c r="B1789" s="400" t="inlineStr">
        <is>
          <t>KH2040</t>
        </is>
      </c>
      <c r="C1789" s="401" t="inlineStr">
        <is>
          <t>Anh Phú - Lộc Ninh / 01272.249.249</t>
        </is>
      </c>
      <c r="D1789" s="400" t="inlineStr">
        <is>
          <t>01272.249.249</t>
        </is>
      </c>
      <c r="E1789" s="402" t="n"/>
      <c r="F1789" s="401" t="inlineStr">
        <is>
          <t>Lộc Ninh - Bình Phước</t>
        </is>
      </c>
      <c r="G1789" s="400" t="inlineStr">
        <is>
          <t>BP</t>
        </is>
      </c>
      <c r="H1789" s="402" t="n"/>
      <c r="J1789" s="392">
        <f>IFERROR(UPPER(TRIM(B1789))&amp;"|"&amp;UPPER(TRIM(C1789))&amp;"|"&amp;UPPER(TRIM(D1789)),"")</f>
        <v/>
      </c>
    </row>
    <row r="1790" ht="15.75" customHeight="1" s="217">
      <c r="A1790" s="397" t="n">
        <v>1788</v>
      </c>
      <c r="B1790" s="397" t="inlineStr">
        <is>
          <t>KH2032</t>
        </is>
      </c>
      <c r="C1790" s="398" t="inlineStr">
        <is>
          <t>Chị Minh - Quận 8 / 0903.655.047</t>
        </is>
      </c>
      <c r="D1790" s="397" t="inlineStr">
        <is>
          <t>0903.655.047</t>
        </is>
      </c>
      <c r="E1790" s="399" t="n"/>
      <c r="F1790" s="398" t="inlineStr">
        <is>
          <t>Quận 8 , TP HCM</t>
        </is>
      </c>
      <c r="G1790" s="397" t="inlineStr">
        <is>
          <t>SG/HCM</t>
        </is>
      </c>
      <c r="H1790" s="399" t="n"/>
      <c r="J1790" s="392">
        <f>IFERROR(UPPER(TRIM(B1790))&amp;"|"&amp;UPPER(TRIM(C1790))&amp;"|"&amp;UPPER(TRIM(D1790)),"")</f>
        <v/>
      </c>
    </row>
    <row r="1791" ht="15.75" customHeight="1" s="217">
      <c r="A1791" s="400" t="n">
        <v>1789</v>
      </c>
      <c r="B1791" s="400" t="inlineStr">
        <is>
          <t>KH2033</t>
        </is>
      </c>
      <c r="C1791" s="401" t="inlineStr">
        <is>
          <t>Anh Huân - Suối Tiên / 0903.864.436</t>
        </is>
      </c>
      <c r="D1791" s="400" t="inlineStr">
        <is>
          <t>0903.864.436</t>
        </is>
      </c>
      <c r="E1791" s="402" t="n"/>
      <c r="F1791" s="401" t="inlineStr">
        <is>
          <t>Suối Tiên - TP HCM</t>
        </is>
      </c>
      <c r="G1791" s="400" t="inlineStr">
        <is>
          <t>SG/HCM</t>
        </is>
      </c>
      <c r="H1791" s="402" t="n"/>
      <c r="J1791" s="392">
        <f>IFERROR(UPPER(TRIM(B1791))&amp;"|"&amp;UPPER(TRIM(C1791))&amp;"|"&amp;UPPER(TRIM(D1791)),"")</f>
        <v/>
      </c>
    </row>
    <row r="1792" ht="15.75" customHeight="1" s="217">
      <c r="A1792" s="397" t="n">
        <v>1790</v>
      </c>
      <c r="B1792" s="397" t="inlineStr">
        <is>
          <t>KH2034</t>
        </is>
      </c>
      <c r="C1792" s="398" t="inlineStr">
        <is>
          <t>Chú Mân - Củ Chi / 0983.201.424</t>
        </is>
      </c>
      <c r="D1792" s="397" t="inlineStr">
        <is>
          <t>0983.201.424</t>
        </is>
      </c>
      <c r="E1792" s="399" t="n"/>
      <c r="F1792" s="398" t="inlineStr">
        <is>
          <t>Củ Chi - TP HCM</t>
        </is>
      </c>
      <c r="G1792" s="397" t="inlineStr">
        <is>
          <t>SG/HCM</t>
        </is>
      </c>
      <c r="H1792" s="399" t="n"/>
      <c r="J1792" s="392">
        <f>IFERROR(UPPER(TRIM(B1792))&amp;"|"&amp;UPPER(TRIM(C1792))&amp;"|"&amp;UPPER(TRIM(D1792)),"")</f>
        <v/>
      </c>
    </row>
    <row r="1793" ht="15.75" customHeight="1" s="217">
      <c r="A1793" s="400" t="n">
        <v>1791</v>
      </c>
      <c r="B1793" s="400" t="inlineStr">
        <is>
          <t>KH2027</t>
        </is>
      </c>
      <c r="C1793" s="401" t="inlineStr">
        <is>
          <t>Anh Hội - Long An / 01674.732.900</t>
        </is>
      </c>
      <c r="D1793" s="400" t="inlineStr">
        <is>
          <t>01674.732.900</t>
        </is>
      </c>
      <c r="E1793" s="402" t="n"/>
      <c r="F1793" s="401" t="inlineStr">
        <is>
          <t>Long An</t>
        </is>
      </c>
      <c r="G1793" s="400" t="inlineStr">
        <is>
          <t>LA</t>
        </is>
      </c>
      <c r="H1793" s="402" t="n"/>
      <c r="J1793" s="392">
        <f>IFERROR(UPPER(TRIM(B1793))&amp;"|"&amp;UPPER(TRIM(C1793))&amp;"|"&amp;UPPER(TRIM(D1793)),"")</f>
        <v/>
      </c>
    </row>
    <row r="1794" ht="15.75" customHeight="1" s="217">
      <c r="A1794" s="397" t="n">
        <v>1792</v>
      </c>
      <c r="B1794" s="397" t="inlineStr">
        <is>
          <t>KH2028</t>
        </is>
      </c>
      <c r="C1794" s="398" t="inlineStr">
        <is>
          <t>Anh Hùng - Nhà Bè / 0903.345.988</t>
        </is>
      </c>
      <c r="D1794" s="397" t="inlineStr">
        <is>
          <t>0903.345.988</t>
        </is>
      </c>
      <c r="E1794" s="399" t="n"/>
      <c r="F1794" s="398" t="inlineStr">
        <is>
          <t>Sài Gòn</t>
        </is>
      </c>
      <c r="G1794" s="397" t="inlineStr">
        <is>
          <t>SG/HCM</t>
        </is>
      </c>
      <c r="H1794" s="399" t="n"/>
      <c r="J1794" s="392">
        <f>IFERROR(UPPER(TRIM(B1794))&amp;"|"&amp;UPPER(TRIM(C1794))&amp;"|"&amp;UPPER(TRIM(D1794)),"")</f>
        <v/>
      </c>
    </row>
    <row r="1795" ht="15.75" customHeight="1" s="217">
      <c r="A1795" s="400" t="n">
        <v>1793</v>
      </c>
      <c r="B1795" s="400" t="inlineStr">
        <is>
          <t>KH2029</t>
        </is>
      </c>
      <c r="C1795" s="401" t="inlineStr">
        <is>
          <t>Bãi Máy Ba Phong - Bình Chánh / 0933.146.746</t>
        </is>
      </c>
      <c r="D1795" s="400" t="inlineStr">
        <is>
          <t>0933.146.746</t>
        </is>
      </c>
      <c r="E1795" s="402" t="n"/>
      <c r="F1795" s="401" t="inlineStr">
        <is>
          <t>Sài Gòn</t>
        </is>
      </c>
      <c r="G1795" s="400" t="inlineStr">
        <is>
          <t>SG/HCM</t>
        </is>
      </c>
      <c r="H1795" s="402" t="n"/>
      <c r="J1795" s="392">
        <f>IFERROR(UPPER(TRIM(B1795))&amp;"|"&amp;UPPER(TRIM(C1795))&amp;"|"&amp;UPPER(TRIM(D1795)),"")</f>
        <v/>
      </c>
    </row>
    <row r="1796" ht="15.75" customHeight="1" s="217">
      <c r="A1796" s="397" t="n">
        <v>1794</v>
      </c>
      <c r="B1796" s="397" t="inlineStr">
        <is>
          <t>KH2030</t>
        </is>
      </c>
      <c r="C1796" s="398" t="inlineStr">
        <is>
          <t>Công Ty CP Cầu Đường Đông Nam - Anh Đường - Quận 9 / 0988.002.227</t>
        </is>
      </c>
      <c r="D1796" s="397" t="inlineStr">
        <is>
          <t>0988.002.227</t>
        </is>
      </c>
      <c r="E1796" s="399" t="n"/>
      <c r="F1796" s="398" t="inlineStr">
        <is>
          <t>Dương Đình Hội , Quận 9, TP HCM</t>
        </is>
      </c>
      <c r="G1796" s="397" t="inlineStr">
        <is>
          <t>SG/HCM</t>
        </is>
      </c>
      <c r="H1796" s="399" t="n"/>
      <c r="J1796" s="392">
        <f>IFERROR(UPPER(TRIM(B1796))&amp;"|"&amp;UPPER(TRIM(C1796))&amp;"|"&amp;UPPER(TRIM(D1796)),"")</f>
        <v/>
      </c>
    </row>
    <row r="1797" ht="15.75" customHeight="1" s="217">
      <c r="A1797" s="400" t="n">
        <v>1795</v>
      </c>
      <c r="B1797" s="400" t="inlineStr">
        <is>
          <t>KH2031</t>
        </is>
      </c>
      <c r="C1797" s="401" t="inlineStr">
        <is>
          <t>Anh Viễn - Nha Trang / 0905.387.287</t>
        </is>
      </c>
      <c r="D1797" s="400" t="inlineStr">
        <is>
          <t>0905.387.287</t>
        </is>
      </c>
      <c r="E1797" s="402" t="n"/>
      <c r="F1797" s="401" t="inlineStr">
        <is>
          <t>Nha Trang</t>
        </is>
      </c>
      <c r="G1797" s="400" t="inlineStr">
        <is>
          <t>NTRANG</t>
        </is>
      </c>
      <c r="H1797" s="402" t="n"/>
      <c r="J1797" s="392">
        <f>IFERROR(UPPER(TRIM(B1797))&amp;"|"&amp;UPPER(TRIM(C1797))&amp;"|"&amp;UPPER(TRIM(D1797)),"")</f>
        <v/>
      </c>
    </row>
    <row r="1798" ht="15.75" customHeight="1" s="217">
      <c r="A1798" s="397" t="n">
        <v>1796</v>
      </c>
      <c r="B1798" s="397" t="inlineStr">
        <is>
          <t>JST</t>
        </is>
      </c>
      <c r="C1798" s="398" t="inlineStr">
        <is>
          <t>JIANG SU TONG YUAN SLEWING RING CO., LTD</t>
        </is>
      </c>
      <c r="D1798" s="399" t="n"/>
      <c r="E1798" s="399" t="n"/>
      <c r="F1798" s="398" t="inlineStr">
        <is>
          <t>Industrial Zone Of East Shuanggou Town, Hengze Country Jiangsu Province, China</t>
        </is>
      </c>
      <c r="G1798" s="399" t="n"/>
      <c r="H1798" s="399" t="n"/>
      <c r="J1798" s="392">
        <f>IFERROR(UPPER(TRIM(B1798))&amp;"|"&amp;UPPER(TRIM(C1798))&amp;"|"&amp;UPPER(TRIM(D1798)),"")</f>
        <v/>
      </c>
    </row>
    <row r="1799" ht="15.75" customHeight="1" s="217">
      <c r="A1799" s="400" t="n">
        <v>1797</v>
      </c>
      <c r="B1799" s="400" t="inlineStr">
        <is>
          <t>KH2026</t>
        </is>
      </c>
      <c r="C1799" s="401" t="inlineStr">
        <is>
          <t>Xưởng Anh Tiến - Quận 12 / 01234.941.616</t>
        </is>
      </c>
      <c r="D1799" s="400" t="inlineStr">
        <is>
          <t>01234.941.616</t>
        </is>
      </c>
      <c r="E1799" s="402" t="n"/>
      <c r="F1799" s="401" t="inlineStr">
        <is>
          <t>Quận 12 - TP HCM</t>
        </is>
      </c>
      <c r="G1799" s="400" t="inlineStr">
        <is>
          <t>SG/HCM</t>
        </is>
      </c>
      <c r="H1799" s="402" t="n"/>
      <c r="J1799" s="392">
        <f>IFERROR(UPPER(TRIM(B1799))&amp;"|"&amp;UPPER(TRIM(C1799))&amp;"|"&amp;UPPER(TRIM(D1799)),"")</f>
        <v/>
      </c>
    </row>
    <row r="1800" ht="15.75" customHeight="1" s="217">
      <c r="A1800" s="397" t="n">
        <v>1798</v>
      </c>
      <c r="B1800" s="397" t="inlineStr">
        <is>
          <t>KH2025</t>
        </is>
      </c>
      <c r="C1800" s="398" t="inlineStr">
        <is>
          <t>Anh Việt - Bến Cát / 0933.262.798</t>
        </is>
      </c>
      <c r="D1800" s="397" t="inlineStr">
        <is>
          <t>0933.262.798</t>
        </is>
      </c>
      <c r="E1800" s="399" t="n"/>
      <c r="F1800" s="398" t="inlineStr">
        <is>
          <t>Bến Cát - Bình Dương</t>
        </is>
      </c>
      <c r="G1800" s="397" t="inlineStr">
        <is>
          <t>BDUONG</t>
        </is>
      </c>
      <c r="H1800" s="399" t="n"/>
      <c r="J1800" s="392">
        <f>IFERROR(UPPER(TRIM(B1800))&amp;"|"&amp;UPPER(TRIM(C1800))&amp;"|"&amp;UPPER(TRIM(D1800)),"")</f>
        <v/>
      </c>
    </row>
    <row r="1801" ht="15.75" customHeight="1" s="217">
      <c r="A1801" s="400" t="n">
        <v>1799</v>
      </c>
      <c r="B1801" s="400" t="inlineStr">
        <is>
          <t>KH2023</t>
        </is>
      </c>
      <c r="C1801" s="401" t="inlineStr">
        <is>
          <t>Anh Thắng - Lâm Đồng / 0902.356.767</t>
        </is>
      </c>
      <c r="D1801" s="400" t="inlineStr">
        <is>
          <t>0902.356.767</t>
        </is>
      </c>
      <c r="E1801" s="402" t="n"/>
      <c r="F1801" s="401" t="inlineStr">
        <is>
          <t>Lâm Đồng</t>
        </is>
      </c>
      <c r="G1801" s="400" t="inlineStr">
        <is>
          <t>LDONG</t>
        </is>
      </c>
      <c r="H1801" s="402" t="n"/>
      <c r="J1801" s="392">
        <f>IFERROR(UPPER(TRIM(B1801))&amp;"|"&amp;UPPER(TRIM(C1801))&amp;"|"&amp;UPPER(TRIM(D1801)),"")</f>
        <v/>
      </c>
    </row>
    <row r="1802" ht="15.75" customHeight="1" s="217">
      <c r="A1802" s="397" t="n">
        <v>1800</v>
      </c>
      <c r="B1802" s="397" t="inlineStr">
        <is>
          <t>KH2024</t>
        </is>
      </c>
      <c r="C1802" s="398" t="inlineStr">
        <is>
          <t>Anh Duy - Phú Quốc / 0911.625.075</t>
        </is>
      </c>
      <c r="D1802" s="397" t="inlineStr">
        <is>
          <t>0911.625.075</t>
        </is>
      </c>
      <c r="E1802" s="399" t="n"/>
      <c r="F1802" s="398" t="inlineStr">
        <is>
          <t>Phú Quốc</t>
        </is>
      </c>
      <c r="G1802" s="397" t="inlineStr">
        <is>
          <t>KG</t>
        </is>
      </c>
      <c r="H1802" s="399" t="n"/>
      <c r="J1802" s="392">
        <f>IFERROR(UPPER(TRIM(B1802))&amp;"|"&amp;UPPER(TRIM(C1802))&amp;"|"&amp;UPPER(TRIM(D1802)),"")</f>
        <v/>
      </c>
    </row>
    <row r="1803" ht="15.75" customHeight="1" s="217">
      <c r="A1803" s="400" t="n">
        <v>1801</v>
      </c>
      <c r="B1803" s="400" t="inlineStr">
        <is>
          <t>KH2019</t>
        </is>
      </c>
      <c r="C1803" s="401" t="inlineStr">
        <is>
          <t>Anh Tuấn -- Gò Vấp / 01667.852.159</t>
        </is>
      </c>
      <c r="D1803" s="400" t="inlineStr">
        <is>
          <t>01667.852.159</t>
        </is>
      </c>
      <c r="E1803" s="402" t="n"/>
      <c r="F1803" s="401" t="inlineStr">
        <is>
          <t>Gò Vấp - TP HCM</t>
        </is>
      </c>
      <c r="G1803" s="400" t="inlineStr">
        <is>
          <t>SG/HCM</t>
        </is>
      </c>
      <c r="H1803" s="402" t="n"/>
      <c r="J1803" s="392">
        <f>IFERROR(UPPER(TRIM(B1803))&amp;"|"&amp;UPPER(TRIM(C1803))&amp;"|"&amp;UPPER(TRIM(D1803)),"")</f>
        <v/>
      </c>
    </row>
    <row r="1804" ht="15.75" customHeight="1" s="217">
      <c r="A1804" s="397" t="n">
        <v>1802</v>
      </c>
      <c r="B1804" s="397" t="inlineStr">
        <is>
          <t>KH2020</t>
        </is>
      </c>
      <c r="C1804" s="398" t="inlineStr">
        <is>
          <t>Xưởng Anh Dũng - Ngã Tư Bình Phước / 0903.674.926</t>
        </is>
      </c>
      <c r="D1804" s="397" t="inlineStr">
        <is>
          <t>0903.674.926</t>
        </is>
      </c>
      <c r="E1804" s="399" t="n"/>
      <c r="F1804" s="398" t="inlineStr">
        <is>
          <t>Ngã Tư Bình Phước - Thủ Đức - TP HCM</t>
        </is>
      </c>
      <c r="G1804" s="397" t="inlineStr">
        <is>
          <t>SG/HCM</t>
        </is>
      </c>
      <c r="H1804" s="399" t="n"/>
      <c r="J1804" s="392">
        <f>IFERROR(UPPER(TRIM(B1804))&amp;"|"&amp;UPPER(TRIM(C1804))&amp;"|"&amp;UPPER(TRIM(D1804)),"")</f>
        <v/>
      </c>
    </row>
    <row r="1805" ht="15.75" customHeight="1" s="217">
      <c r="A1805" s="400" t="n">
        <v>1803</v>
      </c>
      <c r="B1805" s="400" t="inlineStr">
        <is>
          <t>KH2021</t>
        </is>
      </c>
      <c r="C1805" s="401" t="inlineStr">
        <is>
          <t>Xưởng Anh Tùng - Đắk Nông / 0964.170.035</t>
        </is>
      </c>
      <c r="D1805" s="400" t="inlineStr">
        <is>
          <t>0964.170.035</t>
        </is>
      </c>
      <c r="E1805" s="402" t="n"/>
      <c r="F1805" s="401" t="inlineStr">
        <is>
          <t>Đắk Nông</t>
        </is>
      </c>
      <c r="G1805" s="400" t="inlineStr">
        <is>
          <t>DNONG</t>
        </is>
      </c>
      <c r="H1805" s="402" t="n"/>
      <c r="J1805" s="392">
        <f>IFERROR(UPPER(TRIM(B1805))&amp;"|"&amp;UPPER(TRIM(C1805))&amp;"|"&amp;UPPER(TRIM(D1805)),"")</f>
        <v/>
      </c>
    </row>
    <row r="1806" ht="15.75" customHeight="1" s="217">
      <c r="A1806" s="397" t="n">
        <v>1804</v>
      </c>
      <c r="B1806" s="397" t="inlineStr">
        <is>
          <t>KH2022</t>
        </is>
      </c>
      <c r="C1806" s="398" t="inlineStr">
        <is>
          <t>Anh Tám - Bố Lá / 01645.147.738</t>
        </is>
      </c>
      <c r="D1806" s="397" t="inlineStr">
        <is>
          <t>01645.147.738</t>
        </is>
      </c>
      <c r="E1806" s="399" t="n"/>
      <c r="F1806" s="398" t="inlineStr">
        <is>
          <t>Bố Lá - Bình Dương</t>
        </is>
      </c>
      <c r="G1806" s="397" t="inlineStr">
        <is>
          <t>BDUONG</t>
        </is>
      </c>
      <c r="H1806" s="399" t="n"/>
      <c r="J1806" s="392">
        <f>IFERROR(UPPER(TRIM(B1806))&amp;"|"&amp;UPPER(TRIM(C1806))&amp;"|"&amp;UPPER(TRIM(D1806)),"")</f>
        <v/>
      </c>
    </row>
    <row r="1807" ht="15.75" customHeight="1" s="217">
      <c r="A1807" s="400" t="n">
        <v>1805</v>
      </c>
      <c r="B1807" s="400" t="inlineStr">
        <is>
          <t>XD1</t>
        </is>
      </c>
      <c r="C1807" s="401" t="inlineStr">
        <is>
          <t>Quân Thầu XD</t>
        </is>
      </c>
      <c r="D1807" s="402" t="n"/>
      <c r="E1807" s="402" t="n"/>
      <c r="F1807" s="403" t="n"/>
      <c r="G1807" s="402" t="n"/>
      <c r="H1807" s="402" t="n"/>
      <c r="J1807" s="392">
        <f>IFERROR(UPPER(TRIM(B1807))&amp;"|"&amp;UPPER(TRIM(C1807))&amp;"|"&amp;UPPER(TRIM(D1807)),"")</f>
        <v/>
      </c>
    </row>
    <row r="1808" ht="15.75" customHeight="1" s="217">
      <c r="A1808" s="397" t="n">
        <v>1806</v>
      </c>
      <c r="B1808" s="397" t="inlineStr">
        <is>
          <t>KH2013</t>
        </is>
      </c>
      <c r="C1808" s="398" t="inlineStr">
        <is>
          <t>Anh Lắm - Nam Tân Uyên / 0903.711.633</t>
        </is>
      </c>
      <c r="D1808" s="397" t="inlineStr">
        <is>
          <t>0903.711.633</t>
        </is>
      </c>
      <c r="E1808" s="399" t="n"/>
      <c r="F1808" s="398" t="inlineStr">
        <is>
          <t>Nam Tân Uyên - BD</t>
        </is>
      </c>
      <c r="G1808" s="397" t="inlineStr">
        <is>
          <t>BDUONG</t>
        </is>
      </c>
      <c r="H1808" s="399" t="n"/>
      <c r="J1808" s="392">
        <f>IFERROR(UPPER(TRIM(B1808))&amp;"|"&amp;UPPER(TRIM(C1808))&amp;"|"&amp;UPPER(TRIM(D1808)),"")</f>
        <v/>
      </c>
    </row>
    <row r="1809" ht="15.75" customHeight="1" s="217">
      <c r="A1809" s="400" t="n">
        <v>1807</v>
      </c>
      <c r="B1809" s="400" t="inlineStr">
        <is>
          <t>KH2014</t>
        </is>
      </c>
      <c r="C1809" s="401" t="inlineStr">
        <is>
          <t>Anh Cường - Lâm Đồng / 0988.112.112</t>
        </is>
      </c>
      <c r="D1809" s="400" t="inlineStr">
        <is>
          <t>0988.112.112</t>
        </is>
      </c>
      <c r="E1809" s="402" t="n"/>
      <c r="F1809" s="401" t="inlineStr">
        <is>
          <t>Lâm Đồng</t>
        </is>
      </c>
      <c r="G1809" s="400" t="inlineStr">
        <is>
          <t>LDONG</t>
        </is>
      </c>
      <c r="H1809" s="402" t="n"/>
      <c r="J1809" s="392">
        <f>IFERROR(UPPER(TRIM(B1809))&amp;"|"&amp;UPPER(TRIM(C1809))&amp;"|"&amp;UPPER(TRIM(D1809)),"")</f>
        <v/>
      </c>
    </row>
    <row r="1810" ht="15.75" customHeight="1" s="217">
      <c r="A1810" s="397" t="n">
        <v>1808</v>
      </c>
      <c r="B1810" s="397" t="inlineStr">
        <is>
          <t>KH2015</t>
        </is>
      </c>
      <c r="C1810" s="398" t="inlineStr">
        <is>
          <t>Anh Hiếu - Thủ Đức / 0988.776.400</t>
        </is>
      </c>
      <c r="D1810" s="397" t="inlineStr">
        <is>
          <t>0988.776.400</t>
        </is>
      </c>
      <c r="E1810" s="399" t="n"/>
      <c r="F1810" s="398" t="inlineStr">
        <is>
          <t>Thủ Đức - TP HCM</t>
        </is>
      </c>
      <c r="G1810" s="397" t="inlineStr">
        <is>
          <t>SG/HCM</t>
        </is>
      </c>
      <c r="H1810" s="399" t="n"/>
      <c r="J1810" s="392">
        <f>IFERROR(UPPER(TRIM(B1810))&amp;"|"&amp;UPPER(TRIM(C1810))&amp;"|"&amp;UPPER(TRIM(D1810)),"")</f>
        <v/>
      </c>
    </row>
    <row r="1811" ht="15.75" customHeight="1" s="217">
      <c r="A1811" s="400" t="n">
        <v>1809</v>
      </c>
      <c r="B1811" s="400" t="inlineStr">
        <is>
          <t>KH2016</t>
        </is>
      </c>
      <c r="C1811" s="401" t="inlineStr">
        <is>
          <t>Anh Việt - Bình Dương (T) / 0903.618.099</t>
        </is>
      </c>
      <c r="D1811" s="400" t="inlineStr">
        <is>
          <t>0903.618.099</t>
        </is>
      </c>
      <c r="E1811" s="402" t="n"/>
      <c r="F1811" s="401" t="inlineStr">
        <is>
          <t>Bình Dương</t>
        </is>
      </c>
      <c r="G1811" s="400" t="inlineStr">
        <is>
          <t>BDUONG</t>
        </is>
      </c>
      <c r="H1811" s="402" t="n"/>
      <c r="J1811" s="392">
        <f>IFERROR(UPPER(TRIM(B1811))&amp;"|"&amp;UPPER(TRIM(C1811))&amp;"|"&amp;UPPER(TRIM(D1811)),"")</f>
        <v/>
      </c>
    </row>
    <row r="1812" ht="15.75" customHeight="1" s="217">
      <c r="A1812" s="397" t="n">
        <v>1810</v>
      </c>
      <c r="B1812" s="397" t="inlineStr">
        <is>
          <t>KH2017</t>
        </is>
      </c>
      <c r="C1812" s="398" t="inlineStr">
        <is>
          <t>Anh Tuấn - Gò Công Đông / 0916.975.701</t>
        </is>
      </c>
      <c r="D1812" s="397" t="inlineStr">
        <is>
          <t>0916.975.701</t>
        </is>
      </c>
      <c r="E1812" s="399" t="n"/>
      <c r="F1812" s="398" t="inlineStr">
        <is>
          <t>Gò Công Đông - Tiền Giang</t>
        </is>
      </c>
      <c r="G1812" s="397" t="inlineStr">
        <is>
          <t>TGIANG</t>
        </is>
      </c>
      <c r="H1812" s="399" t="n"/>
      <c r="J1812" s="392">
        <f>IFERROR(UPPER(TRIM(B1812))&amp;"|"&amp;UPPER(TRIM(C1812))&amp;"|"&amp;UPPER(TRIM(D1812)),"")</f>
        <v/>
      </c>
    </row>
    <row r="1813" ht="15.75" customHeight="1" s="217">
      <c r="A1813" s="400" t="n">
        <v>1811</v>
      </c>
      <c r="B1813" s="400" t="inlineStr">
        <is>
          <t>KH2018</t>
        </is>
      </c>
      <c r="C1813" s="401" t="inlineStr">
        <is>
          <t>Anh Phước - Hậu Giang / 0968.657.109</t>
        </is>
      </c>
      <c r="D1813" s="400" t="inlineStr">
        <is>
          <t>0968.657.109</t>
        </is>
      </c>
      <c r="E1813" s="402" t="n"/>
      <c r="F1813" s="401" t="inlineStr">
        <is>
          <t>Hậu Giang</t>
        </is>
      </c>
      <c r="G1813" s="400" t="inlineStr">
        <is>
          <t>HG</t>
        </is>
      </c>
      <c r="H1813" s="402" t="n"/>
      <c r="J1813" s="392">
        <f>IFERROR(UPPER(TRIM(B1813))&amp;"|"&amp;UPPER(TRIM(C1813))&amp;"|"&amp;UPPER(TRIM(D1813)),"")</f>
        <v/>
      </c>
    </row>
    <row r="1814" ht="15.75" customHeight="1" s="217">
      <c r="A1814" s="397" t="n">
        <v>1812</v>
      </c>
      <c r="B1814" s="397" t="inlineStr">
        <is>
          <t>KH2010</t>
        </is>
      </c>
      <c r="C1814" s="398" t="inlineStr">
        <is>
          <t>Thanh Phương - Long An / 0918.864.364</t>
        </is>
      </c>
      <c r="D1814" s="397" t="inlineStr">
        <is>
          <t>0918.864.364</t>
        </is>
      </c>
      <c r="E1814" s="399" t="n"/>
      <c r="F1814" s="398" t="inlineStr">
        <is>
          <t>Long An</t>
        </is>
      </c>
      <c r="G1814" s="397" t="inlineStr">
        <is>
          <t>LA</t>
        </is>
      </c>
      <c r="H1814" s="399" t="n"/>
      <c r="J1814" s="392">
        <f>IFERROR(UPPER(TRIM(B1814))&amp;"|"&amp;UPPER(TRIM(C1814))&amp;"|"&amp;UPPER(TRIM(D1814)),"")</f>
        <v/>
      </c>
    </row>
    <row r="1815" ht="15.75" customHeight="1" s="217">
      <c r="A1815" s="400" t="n">
        <v>1813</v>
      </c>
      <c r="B1815" s="400" t="inlineStr">
        <is>
          <t>KH2011</t>
        </is>
      </c>
      <c r="C1815" s="401" t="inlineStr">
        <is>
          <t>Chú Hùng - SG / 0903.631.636</t>
        </is>
      </c>
      <c r="D1815" s="400" t="inlineStr">
        <is>
          <t>0903.631.636</t>
        </is>
      </c>
      <c r="E1815" s="402" t="n"/>
      <c r="F1815" s="401" t="inlineStr">
        <is>
          <t>SG</t>
        </is>
      </c>
      <c r="G1815" s="400" t="inlineStr">
        <is>
          <t>SG/HCM</t>
        </is>
      </c>
      <c r="H1815" s="402" t="n"/>
      <c r="J1815" s="392">
        <f>IFERROR(UPPER(TRIM(B1815))&amp;"|"&amp;UPPER(TRIM(C1815))&amp;"|"&amp;UPPER(TRIM(D1815)),"")</f>
        <v/>
      </c>
    </row>
    <row r="1816" ht="15.75" customHeight="1" s="217">
      <c r="A1816" s="397" t="n">
        <v>1814</v>
      </c>
      <c r="B1816" s="397" t="inlineStr">
        <is>
          <t>KH2012</t>
        </is>
      </c>
      <c r="C1816" s="398" t="inlineStr">
        <is>
          <t>Xưởng Anh Quang - Đức Hòa / 0939.216.268</t>
        </is>
      </c>
      <c r="D1816" s="397" t="inlineStr">
        <is>
          <t>0939.216.268</t>
        </is>
      </c>
      <c r="E1816" s="399" t="n"/>
      <c r="F1816" s="398" t="inlineStr">
        <is>
          <t>Đức Hòa - Long An</t>
        </is>
      </c>
      <c r="G1816" s="397" t="inlineStr">
        <is>
          <t>LA</t>
        </is>
      </c>
      <c r="H1816" s="399" t="n"/>
      <c r="J1816" s="392">
        <f>IFERROR(UPPER(TRIM(B1816))&amp;"|"&amp;UPPER(TRIM(C1816))&amp;"|"&amp;UPPER(TRIM(D1816)),"")</f>
        <v/>
      </c>
    </row>
    <row r="1817" ht="15.75" customHeight="1" s="217">
      <c r="A1817" s="400" t="n">
        <v>1815</v>
      </c>
      <c r="B1817" s="400" t="inlineStr">
        <is>
          <t>KH2008</t>
        </is>
      </c>
      <c r="C1817" s="401" t="inlineStr">
        <is>
          <t>Anh Duy - Vĩnh Long / 0918.073.471</t>
        </is>
      </c>
      <c r="D1817" s="400" t="inlineStr">
        <is>
          <t>0918.073.471</t>
        </is>
      </c>
      <c r="E1817" s="402" t="n"/>
      <c r="F1817" s="401" t="inlineStr">
        <is>
          <t>Vĩnh Long</t>
        </is>
      </c>
      <c r="G1817" s="400" t="inlineStr">
        <is>
          <t>VĨNH LONG</t>
        </is>
      </c>
      <c r="H1817" s="402" t="n"/>
      <c r="J1817" s="392">
        <f>IFERROR(UPPER(TRIM(B1817))&amp;"|"&amp;UPPER(TRIM(C1817))&amp;"|"&amp;UPPER(TRIM(D1817)),"")</f>
        <v/>
      </c>
    </row>
    <row r="1818" ht="15.75" customHeight="1" s="217">
      <c r="A1818" s="397" t="n">
        <v>1816</v>
      </c>
      <c r="B1818" s="397" t="inlineStr">
        <is>
          <t>KH2009</t>
        </is>
      </c>
      <c r="C1818" s="398" t="inlineStr">
        <is>
          <t>Anh Hận - Bình Tân / 0903.637.972</t>
        </is>
      </c>
      <c r="D1818" s="397" t="inlineStr">
        <is>
          <t>0903.637.972</t>
        </is>
      </c>
      <c r="E1818" s="399" t="n"/>
      <c r="F1818" s="398" t="inlineStr">
        <is>
          <t>Bình Tân - TP HCM</t>
        </is>
      </c>
      <c r="G1818" s="397" t="inlineStr">
        <is>
          <t>SG/HCM</t>
        </is>
      </c>
      <c r="H1818" s="399" t="n"/>
      <c r="J1818" s="392">
        <f>IFERROR(UPPER(TRIM(B1818))&amp;"|"&amp;UPPER(TRIM(C1818))&amp;"|"&amp;UPPER(TRIM(D1818)),"")</f>
        <v/>
      </c>
    </row>
    <row r="1819" ht="15.75" customHeight="1" s="217">
      <c r="A1819" s="400" t="n">
        <v>1817</v>
      </c>
      <c r="B1819" s="400" t="inlineStr">
        <is>
          <t>KH2005</t>
        </is>
      </c>
      <c r="C1819" s="401" t="inlineStr">
        <is>
          <t>Anh Thắng - Trà Vinh / 0974.520.072</t>
        </is>
      </c>
      <c r="D1819" s="400" t="inlineStr">
        <is>
          <t>0974.520.072</t>
        </is>
      </c>
      <c r="E1819" s="402" t="n"/>
      <c r="F1819" s="401" t="inlineStr">
        <is>
          <t>Cổng Trại Giam Bến Giá - Trà Vinh</t>
        </is>
      </c>
      <c r="G1819" s="400" t="inlineStr">
        <is>
          <t>TV</t>
        </is>
      </c>
      <c r="H1819" s="402" t="n"/>
      <c r="J1819" s="392">
        <f>IFERROR(UPPER(TRIM(B1819))&amp;"|"&amp;UPPER(TRIM(C1819))&amp;"|"&amp;UPPER(TRIM(D1819)),"")</f>
        <v/>
      </c>
    </row>
    <row r="1820" ht="15.75" customHeight="1" s="217">
      <c r="A1820" s="397" t="n">
        <v>1818</v>
      </c>
      <c r="B1820" s="397" t="inlineStr">
        <is>
          <t>KH2006</t>
        </is>
      </c>
      <c r="C1820" s="398" t="inlineStr">
        <is>
          <t>Anh Trà - Bến Lức / 01224.999.252</t>
        </is>
      </c>
      <c r="D1820" s="397" t="inlineStr">
        <is>
          <t>01224.999.252</t>
        </is>
      </c>
      <c r="E1820" s="399" t="n"/>
      <c r="F1820" s="398" t="inlineStr">
        <is>
          <t>Bến Lức - Long An</t>
        </is>
      </c>
      <c r="G1820" s="397" t="inlineStr">
        <is>
          <t>LA</t>
        </is>
      </c>
      <c r="H1820" s="399" t="n"/>
      <c r="J1820" s="392">
        <f>IFERROR(UPPER(TRIM(B1820))&amp;"|"&amp;UPPER(TRIM(C1820))&amp;"|"&amp;UPPER(TRIM(D1820)),"")</f>
        <v/>
      </c>
    </row>
    <row r="1821" ht="15.75" customHeight="1" s="217">
      <c r="A1821" s="400" t="n">
        <v>1819</v>
      </c>
      <c r="B1821" s="400" t="inlineStr">
        <is>
          <t>KH2007</t>
        </is>
      </c>
      <c r="C1821" s="401" t="inlineStr">
        <is>
          <t>Xưởng Anh Năm - Bình Chánh / 0937.449.177</t>
        </is>
      </c>
      <c r="D1821" s="400" t="inlineStr">
        <is>
          <t>0937.449.177</t>
        </is>
      </c>
      <c r="E1821" s="402" t="n"/>
      <c r="F1821" s="401" t="inlineStr">
        <is>
          <t>Bình Chánh, SG</t>
        </is>
      </c>
      <c r="G1821" s="400" t="inlineStr">
        <is>
          <t>SG/HCM</t>
        </is>
      </c>
      <c r="H1821" s="402" t="n"/>
      <c r="J1821" s="392">
        <f>IFERROR(UPPER(TRIM(B1821))&amp;"|"&amp;UPPER(TRIM(C1821))&amp;"|"&amp;UPPER(TRIM(D1821)),"")</f>
        <v/>
      </c>
    </row>
    <row r="1822" ht="15.75" customHeight="1" s="217">
      <c r="A1822" s="397" t="n">
        <v>1820</v>
      </c>
      <c r="B1822" s="397" t="inlineStr">
        <is>
          <t>KH2004</t>
        </is>
      </c>
      <c r="C1822" s="398" t="inlineStr">
        <is>
          <t>Anh Tám - KBan / 0978.774.839</t>
        </is>
      </c>
      <c r="D1822" s="397" t="inlineStr">
        <is>
          <t>0978.774.839</t>
        </is>
      </c>
      <c r="E1822" s="399" t="n"/>
      <c r="F1822" s="398" t="inlineStr">
        <is>
          <t>KBan, Gia Lai</t>
        </is>
      </c>
      <c r="G1822" s="397" t="inlineStr">
        <is>
          <t>GLAI</t>
        </is>
      </c>
      <c r="H1822" s="399" t="n"/>
      <c r="J1822" s="392">
        <f>IFERROR(UPPER(TRIM(B1822))&amp;"|"&amp;UPPER(TRIM(C1822))&amp;"|"&amp;UPPER(TRIM(D1822)),"")</f>
        <v/>
      </c>
    </row>
    <row r="1823" ht="15.75" customHeight="1" s="217">
      <c r="A1823" s="400" t="n">
        <v>1821</v>
      </c>
      <c r="B1823" s="400" t="inlineStr">
        <is>
          <t>KH2002</t>
        </is>
      </c>
      <c r="C1823" s="401" t="inlineStr">
        <is>
          <t>Xưởng Anh Chín -Bình Dương/ 0948.008.949</t>
        </is>
      </c>
      <c r="D1823" s="400" t="inlineStr">
        <is>
          <t>0948.008.949</t>
        </is>
      </c>
      <c r="E1823" s="402" t="n"/>
      <c r="F1823" s="401" t="inlineStr">
        <is>
          <t>Bình Chuẩn 32, Thuận An, Bình Dương</t>
        </is>
      </c>
      <c r="G1823" s="400" t="inlineStr">
        <is>
          <t>BDUONG</t>
        </is>
      </c>
      <c r="H1823" s="402" t="n"/>
      <c r="J1823" s="392">
        <f>IFERROR(UPPER(TRIM(B1823))&amp;"|"&amp;UPPER(TRIM(C1823))&amp;"|"&amp;UPPER(TRIM(D1823)),"")</f>
        <v/>
      </c>
    </row>
    <row r="1824" ht="15.75" customHeight="1" s="217">
      <c r="A1824" s="397" t="n">
        <v>1822</v>
      </c>
      <c r="B1824" s="397" t="inlineStr">
        <is>
          <t>KH2003</t>
        </is>
      </c>
      <c r="C1824" s="398" t="inlineStr">
        <is>
          <t>Anh Trương - Bình Dương / 0908.776.112</t>
        </is>
      </c>
      <c r="D1824" s="397" t="inlineStr">
        <is>
          <t>0908.776.112</t>
        </is>
      </c>
      <c r="E1824" s="399" t="n"/>
      <c r="F1824" s="398" t="inlineStr">
        <is>
          <t>109/1A Phường An Phú, TP Thuận An, , Bình Dương</t>
        </is>
      </c>
      <c r="G1824" s="397" t="inlineStr">
        <is>
          <t>BDUONG</t>
        </is>
      </c>
      <c r="H1824" s="399" t="n"/>
      <c r="J1824" s="392">
        <f>IFERROR(UPPER(TRIM(B1824))&amp;"|"&amp;UPPER(TRIM(C1824))&amp;"|"&amp;UPPER(TRIM(D1824)),"")</f>
        <v/>
      </c>
    </row>
    <row r="1825" ht="15.75" customHeight="1" s="217">
      <c r="A1825" s="400" t="n">
        <v>1823</v>
      </c>
      <c r="B1825" s="400" t="inlineStr">
        <is>
          <t>KH2000</t>
        </is>
      </c>
      <c r="C1825" s="401" t="inlineStr">
        <is>
          <t>Anh Sang - cửa hàng sin phớt Trung Lộc Phát / 0906.267.839</t>
        </is>
      </c>
      <c r="D1825" s="400" t="inlineStr">
        <is>
          <t>0906.267.839</t>
        </is>
      </c>
      <c r="E1825" s="402" t="n"/>
      <c r="F1825" s="401" t="inlineStr">
        <is>
          <t>Đại học Nông Lâm, Đông Hòa, Dĩ An, Bình Dương</t>
        </is>
      </c>
      <c r="G1825" s="400" t="inlineStr">
        <is>
          <t>SG/HCM</t>
        </is>
      </c>
      <c r="H1825" s="402" t="n"/>
      <c r="J1825" s="392">
        <f>IFERROR(UPPER(TRIM(B1825))&amp;"|"&amp;UPPER(TRIM(C1825))&amp;"|"&amp;UPPER(TRIM(D1825)),"")</f>
        <v/>
      </c>
    </row>
    <row r="1826" ht="15.75" customHeight="1" s="217">
      <c r="A1826" s="397" t="n">
        <v>1824</v>
      </c>
      <c r="B1826" s="397" t="inlineStr">
        <is>
          <t>KH2001</t>
        </is>
      </c>
      <c r="C1826" s="398" t="inlineStr">
        <is>
          <t>Anh Phương - Tam Bình / 0907.942.033</t>
        </is>
      </c>
      <c r="D1826" s="397" t="inlineStr">
        <is>
          <t>0907.942.033</t>
        </is>
      </c>
      <c r="E1826" s="399" t="n"/>
      <c r="F1826" s="398" t="inlineStr">
        <is>
          <t>Tam Bình - TP HCM</t>
        </is>
      </c>
      <c r="G1826" s="397" t="inlineStr">
        <is>
          <t>SG/HCM</t>
        </is>
      </c>
      <c r="H1826" s="399" t="n"/>
      <c r="J1826" s="392">
        <f>IFERROR(UPPER(TRIM(B1826))&amp;"|"&amp;UPPER(TRIM(C1826))&amp;"|"&amp;UPPER(TRIM(D1826)),"")</f>
        <v/>
      </c>
    </row>
    <row r="1827" ht="15.75" customHeight="1" s="217">
      <c r="A1827" s="400" t="n">
        <v>1825</v>
      </c>
      <c r="B1827" s="400" t="inlineStr">
        <is>
          <t>KH1998</t>
        </is>
      </c>
      <c r="C1827" s="401" t="inlineStr">
        <is>
          <t>Kim Nhất - Đắk Lắk / 0987.277.637</t>
        </is>
      </c>
      <c r="D1827" s="400" t="inlineStr">
        <is>
          <t>0987.277.637</t>
        </is>
      </c>
      <c r="E1827" s="402" t="n"/>
      <c r="F1827" s="401" t="inlineStr">
        <is>
          <t>Đắk Lắk</t>
        </is>
      </c>
      <c r="G1827" s="400" t="inlineStr">
        <is>
          <t>ÐL</t>
        </is>
      </c>
      <c r="H1827" s="402" t="n"/>
      <c r="J1827" s="392">
        <f>IFERROR(UPPER(TRIM(B1827))&amp;"|"&amp;UPPER(TRIM(C1827))&amp;"|"&amp;UPPER(TRIM(D1827)),"")</f>
        <v/>
      </c>
    </row>
    <row r="1828" ht="15.75" customHeight="1" s="217">
      <c r="A1828" s="397" t="n">
        <v>1826</v>
      </c>
      <c r="B1828" s="397" t="inlineStr">
        <is>
          <t>KH1999</t>
        </is>
      </c>
      <c r="C1828" s="398" t="inlineStr">
        <is>
          <t>Anh Khương - Bình Thạnh / 0906.961.123</t>
        </is>
      </c>
      <c r="D1828" s="397" t="inlineStr">
        <is>
          <t>0906.961.123</t>
        </is>
      </c>
      <c r="E1828" s="399" t="n"/>
      <c r="F1828" s="398" t="inlineStr">
        <is>
          <t>Bình Thạnh - TP HCM</t>
        </is>
      </c>
      <c r="G1828" s="397" t="inlineStr">
        <is>
          <t>SG/HCM</t>
        </is>
      </c>
      <c r="H1828" s="399" t="n"/>
      <c r="J1828" s="392">
        <f>IFERROR(UPPER(TRIM(B1828))&amp;"|"&amp;UPPER(TRIM(C1828))&amp;"|"&amp;UPPER(TRIM(D1828)),"")</f>
        <v/>
      </c>
    </row>
    <row r="1829" ht="15.75" customHeight="1" s="217">
      <c r="A1829" s="400" t="n">
        <v>1827</v>
      </c>
      <c r="B1829" s="400" t="inlineStr">
        <is>
          <t>KH1992</t>
        </is>
      </c>
      <c r="C1829" s="401" t="inlineStr">
        <is>
          <t>Anh Sang - Quận 8 / 0909.952.373</t>
        </is>
      </c>
      <c r="D1829" s="400" t="inlineStr">
        <is>
          <t>0909.952.373</t>
        </is>
      </c>
      <c r="E1829" s="402" t="n"/>
      <c r="F1829" s="401" t="inlineStr">
        <is>
          <t>Quận 8, TP. HCM</t>
        </is>
      </c>
      <c r="G1829" s="400" t="inlineStr">
        <is>
          <t>SG/HCM</t>
        </is>
      </c>
      <c r="H1829" s="402" t="n"/>
      <c r="J1829" s="392">
        <f>IFERROR(UPPER(TRIM(B1829))&amp;"|"&amp;UPPER(TRIM(C1829))&amp;"|"&amp;UPPER(TRIM(D1829)),"")</f>
        <v/>
      </c>
    </row>
    <row r="1830" ht="15.75" customHeight="1" s="217">
      <c r="A1830" s="397" t="n">
        <v>1828</v>
      </c>
      <c r="B1830" s="397" t="inlineStr">
        <is>
          <t>KH1993</t>
        </is>
      </c>
      <c r="C1830" s="398" t="inlineStr">
        <is>
          <t>Cửa Hàng Tài Linh - Nha Trang / A Tài: 0961.526.652</t>
        </is>
      </c>
      <c r="D1830" s="397" t="inlineStr">
        <is>
          <t>0961.526.652</t>
        </is>
      </c>
      <c r="E1830" s="399" t="n"/>
      <c r="F1830" s="398" t="inlineStr">
        <is>
          <t>Đường Nguyễn Xiển - Vĩnh Hải - Nha Trang</t>
        </is>
      </c>
      <c r="G1830" s="397" t="inlineStr">
        <is>
          <t>NTRANG</t>
        </is>
      </c>
      <c r="H1830" s="399" t="n"/>
      <c r="J1830" s="392">
        <f>IFERROR(UPPER(TRIM(B1830))&amp;"|"&amp;UPPER(TRIM(C1830))&amp;"|"&amp;UPPER(TRIM(D1830)),"")</f>
        <v/>
      </c>
    </row>
    <row r="1831" ht="15.75" customHeight="1" s="217">
      <c r="A1831" s="400" t="n">
        <v>1829</v>
      </c>
      <c r="B1831" s="400" t="inlineStr">
        <is>
          <t>KH1994</t>
        </is>
      </c>
      <c r="C1831" s="401" t="inlineStr">
        <is>
          <t>Anh Hợp - Quận 12 / 0918.222.118</t>
        </is>
      </c>
      <c r="D1831" s="400" t="inlineStr">
        <is>
          <t>0918.222.118</t>
        </is>
      </c>
      <c r="E1831" s="402" t="n"/>
      <c r="F1831" s="401" t="inlineStr">
        <is>
          <t>Quận 12, SG</t>
        </is>
      </c>
      <c r="G1831" s="400" t="inlineStr">
        <is>
          <t>SG/HCM</t>
        </is>
      </c>
      <c r="H1831" s="402" t="n"/>
      <c r="J1831" s="392">
        <f>IFERROR(UPPER(TRIM(B1831))&amp;"|"&amp;UPPER(TRIM(C1831))&amp;"|"&amp;UPPER(TRIM(D1831)),"")</f>
        <v/>
      </c>
    </row>
    <row r="1832" ht="15.75" customHeight="1" s="217">
      <c r="A1832" s="397" t="n">
        <v>1830</v>
      </c>
      <c r="B1832" s="397" t="inlineStr">
        <is>
          <t>KH1995</t>
        </is>
      </c>
      <c r="C1832" s="398" t="inlineStr">
        <is>
          <t>Doanh nghiệp Tư Nhân Liêm Huy - Vũng Tàu/ Anh Tân - 0915.511.377</t>
        </is>
      </c>
      <c r="D1832" s="397" t="inlineStr">
        <is>
          <t>0915.511.377</t>
        </is>
      </c>
      <c r="E1832" s="399" t="n"/>
      <c r="F1832" s="398" t="inlineStr">
        <is>
          <t>Tổ 9 Phước Lộc, X. Tân Phước, H. Tân Phước, Tân Thành, BRVT</t>
        </is>
      </c>
      <c r="G1832" s="397" t="inlineStr">
        <is>
          <t>BRVT</t>
        </is>
      </c>
      <c r="H1832" s="399" t="n"/>
      <c r="J1832" s="392">
        <f>IFERROR(UPPER(TRIM(B1832))&amp;"|"&amp;UPPER(TRIM(C1832))&amp;"|"&amp;UPPER(TRIM(D1832)),"")</f>
        <v/>
      </c>
    </row>
    <row r="1833" ht="15.75" customHeight="1" s="217">
      <c r="A1833" s="400" t="n">
        <v>1831</v>
      </c>
      <c r="B1833" s="400" t="inlineStr">
        <is>
          <t>KH1996</t>
        </is>
      </c>
      <c r="C1833" s="401" t="inlineStr">
        <is>
          <t>Anh Hên - Đồng Nai / 01656.313.139</t>
        </is>
      </c>
      <c r="D1833" s="400" t="inlineStr">
        <is>
          <t>01656.313.139</t>
        </is>
      </c>
      <c r="E1833" s="402" t="n"/>
      <c r="F1833" s="401" t="inlineStr">
        <is>
          <t>Đồng Nai</t>
        </is>
      </c>
      <c r="G1833" s="400" t="inlineStr">
        <is>
          <t>ÐNAI</t>
        </is>
      </c>
      <c r="H1833" s="402" t="n"/>
      <c r="J1833" s="392">
        <f>IFERROR(UPPER(TRIM(B1833))&amp;"|"&amp;UPPER(TRIM(C1833))&amp;"|"&amp;UPPER(TRIM(D1833)),"")</f>
        <v/>
      </c>
    </row>
    <row r="1834" ht="15.75" customHeight="1" s="217">
      <c r="A1834" s="397" t="n">
        <v>1832</v>
      </c>
      <c r="B1834" s="397" t="inlineStr">
        <is>
          <t>KH1997</t>
        </is>
      </c>
      <c r="C1834" s="398" t="inlineStr">
        <is>
          <t>Chị Giàu - Tân Vạn / 0989.551.828</t>
        </is>
      </c>
      <c r="D1834" s="397" t="inlineStr">
        <is>
          <t>0989.551.828</t>
        </is>
      </c>
      <c r="E1834" s="399" t="n"/>
      <c r="F1834" s="398" t="inlineStr">
        <is>
          <t>Tân Vạn - Đồng Nai</t>
        </is>
      </c>
      <c r="G1834" s="397" t="inlineStr">
        <is>
          <t>ÐNAI</t>
        </is>
      </c>
      <c r="H1834" s="399" t="n"/>
      <c r="J1834" s="392">
        <f>IFERROR(UPPER(TRIM(B1834))&amp;"|"&amp;UPPER(TRIM(C1834))&amp;"|"&amp;UPPER(TRIM(D1834)),"")</f>
        <v/>
      </c>
    </row>
    <row r="1835" ht="15.75" customHeight="1" s="217">
      <c r="A1835" s="400" t="n">
        <v>1833</v>
      </c>
      <c r="B1835" s="400" t="inlineStr">
        <is>
          <t>NPR</t>
        </is>
      </c>
      <c r="C1835" s="401" t="inlineStr">
        <is>
          <t>NPR SINGAPORE PTE,. LTD/ Y.S JAPAN</t>
        </is>
      </c>
      <c r="D1835" s="402" t="n"/>
      <c r="E1835" s="402" t="n"/>
      <c r="F1835" s="401" t="inlineStr">
        <is>
          <t>28 Pioneer Crescent #05-13 West Park  BizCentral, Singapore 628559</t>
        </is>
      </c>
      <c r="G1835" s="402" t="n"/>
      <c r="H1835" s="402" t="n"/>
      <c r="J1835" s="392">
        <f>IFERROR(UPPER(TRIM(B1835))&amp;"|"&amp;UPPER(TRIM(C1835))&amp;"|"&amp;UPPER(TRIM(D1835)),"")</f>
        <v/>
      </c>
    </row>
    <row r="1836" ht="15.75" customHeight="1" s="217">
      <c r="A1836" s="397" t="n">
        <v>1834</v>
      </c>
      <c r="B1836" s="397" t="inlineStr">
        <is>
          <t>KH1991</t>
        </is>
      </c>
      <c r="C1836" s="398" t="inlineStr">
        <is>
          <t>Anh Hoàng - Bình Dương / 0913.860.329</t>
        </is>
      </c>
      <c r="D1836" s="397" t="inlineStr">
        <is>
          <t>0913.860.329</t>
        </is>
      </c>
      <c r="E1836" s="399" t="n"/>
      <c r="F1836" s="398" t="inlineStr">
        <is>
          <t>Bình Dương</t>
        </is>
      </c>
      <c r="G1836" s="397" t="inlineStr">
        <is>
          <t>BDUONG</t>
        </is>
      </c>
      <c r="H1836" s="399" t="n"/>
      <c r="J1836" s="392">
        <f>IFERROR(UPPER(TRIM(B1836))&amp;"|"&amp;UPPER(TRIM(C1836))&amp;"|"&amp;UPPER(TRIM(D1836)),"")</f>
        <v/>
      </c>
    </row>
    <row r="1837" ht="15.75" customHeight="1" s="217">
      <c r="A1837" s="400" t="n">
        <v>1835</v>
      </c>
      <c r="B1837" s="400" t="inlineStr">
        <is>
          <t>KH1989</t>
        </is>
      </c>
      <c r="C1837" s="401" t="inlineStr">
        <is>
          <t>Xưởng Anh Ti - SG/ 0935.209.027</t>
        </is>
      </c>
      <c r="D1837" s="400" t="inlineStr">
        <is>
          <t>0935.209.027</t>
        </is>
      </c>
      <c r="E1837" s="402" t="n"/>
      <c r="F1837" s="401" t="inlineStr">
        <is>
          <t>SG</t>
        </is>
      </c>
      <c r="G1837" s="400" t="inlineStr">
        <is>
          <t>SG/HCM</t>
        </is>
      </c>
      <c r="H1837" s="402" t="n"/>
      <c r="J1837" s="392">
        <f>IFERROR(UPPER(TRIM(B1837))&amp;"|"&amp;UPPER(TRIM(C1837))&amp;"|"&amp;UPPER(TRIM(D1837)),"")</f>
        <v/>
      </c>
    </row>
    <row r="1838" ht="15.75" customHeight="1" s="217">
      <c r="A1838" s="397" t="n">
        <v>1836</v>
      </c>
      <c r="B1838" s="397" t="inlineStr">
        <is>
          <t>KH1990</t>
        </is>
      </c>
      <c r="C1838" s="398" t="inlineStr">
        <is>
          <t>Xưởng Anh Đông - Suối Tiên/ 01265.730.372</t>
        </is>
      </c>
      <c r="D1838" s="397" t="inlineStr">
        <is>
          <t>01265.730.372</t>
        </is>
      </c>
      <c r="E1838" s="399" t="n"/>
      <c r="F1838" s="398" t="inlineStr">
        <is>
          <t>Suối Tiên - TP.HCM</t>
        </is>
      </c>
      <c r="G1838" s="397" t="inlineStr">
        <is>
          <t>SG/HCM</t>
        </is>
      </c>
      <c r="H1838" s="399" t="n"/>
      <c r="J1838" s="392">
        <f>IFERROR(UPPER(TRIM(B1838))&amp;"|"&amp;UPPER(TRIM(C1838))&amp;"|"&amp;UPPER(TRIM(D1838)),"")</f>
        <v/>
      </c>
    </row>
    <row r="1839" ht="15.75" customHeight="1" s="217">
      <c r="A1839" s="400" t="n">
        <v>1837</v>
      </c>
      <c r="B1839" s="400" t="inlineStr">
        <is>
          <t>KH1987</t>
        </is>
      </c>
      <c r="C1839" s="401" t="inlineStr">
        <is>
          <t>Anh Thành - Nha Trang / 0989.440.646</t>
        </is>
      </c>
      <c r="D1839" s="400" t="inlineStr">
        <is>
          <t>0989.440.646</t>
        </is>
      </c>
      <c r="E1839" s="402" t="n"/>
      <c r="F1839" s="401" t="inlineStr">
        <is>
          <t>Nha Trang</t>
        </is>
      </c>
      <c r="G1839" s="400" t="inlineStr">
        <is>
          <t>NTRANG</t>
        </is>
      </c>
      <c r="H1839" s="402" t="n"/>
      <c r="J1839" s="392">
        <f>IFERROR(UPPER(TRIM(B1839))&amp;"|"&amp;UPPER(TRIM(C1839))&amp;"|"&amp;UPPER(TRIM(D1839)),"")</f>
        <v/>
      </c>
    </row>
    <row r="1840" ht="15.75" customHeight="1" s="217">
      <c r="A1840" s="397" t="n">
        <v>1838</v>
      </c>
      <c r="B1840" s="397" t="inlineStr">
        <is>
          <t>KH1988</t>
        </is>
      </c>
      <c r="C1840" s="398" t="inlineStr">
        <is>
          <t>Anh Dương - Tây Ninh/ 0914.870.567</t>
        </is>
      </c>
      <c r="D1840" s="397" t="inlineStr">
        <is>
          <t>0914.870.567</t>
        </is>
      </c>
      <c r="E1840" s="399" t="n"/>
      <c r="F1840" s="398" t="inlineStr">
        <is>
          <t>Tây Ninh</t>
        </is>
      </c>
      <c r="G1840" s="397" t="inlineStr">
        <is>
          <t>TNINH</t>
        </is>
      </c>
      <c r="H1840" s="399" t="n"/>
      <c r="J1840" s="392">
        <f>IFERROR(UPPER(TRIM(B1840))&amp;"|"&amp;UPPER(TRIM(C1840))&amp;"|"&amp;UPPER(TRIM(D1840)),"")</f>
        <v/>
      </c>
    </row>
    <row r="1841" ht="15.75" customHeight="1" s="217">
      <c r="A1841" s="400" t="n">
        <v>1839</v>
      </c>
      <c r="B1841" s="400" t="inlineStr">
        <is>
          <t>KH1983</t>
        </is>
      </c>
      <c r="C1841" s="401" t="inlineStr">
        <is>
          <t>Anh Tuấn - Vĩnh Phú - BD / 0906.767.388</t>
        </is>
      </c>
      <c r="D1841" s="400" t="inlineStr">
        <is>
          <t>0906.767.388</t>
        </is>
      </c>
      <c r="E1841" s="402" t="n"/>
      <c r="F1841" s="401" t="inlineStr">
        <is>
          <t>Bình Dương</t>
        </is>
      </c>
      <c r="G1841" s="400" t="inlineStr">
        <is>
          <t>BDUONG</t>
        </is>
      </c>
      <c r="H1841" s="402" t="n"/>
      <c r="J1841" s="392">
        <f>IFERROR(UPPER(TRIM(B1841))&amp;"|"&amp;UPPER(TRIM(C1841))&amp;"|"&amp;UPPER(TRIM(D1841)),"")</f>
        <v/>
      </c>
    </row>
    <row r="1842" ht="15.75" customHeight="1" s="217">
      <c r="A1842" s="397" t="n">
        <v>1840</v>
      </c>
      <c r="B1842" s="397" t="inlineStr">
        <is>
          <t>KH1984</t>
        </is>
      </c>
      <c r="C1842" s="398" t="inlineStr">
        <is>
          <t>Bãi Máy Anh Mười - Quận 9 / 0913.752.999</t>
        </is>
      </c>
      <c r="D1842" s="397" t="inlineStr">
        <is>
          <t>0913.752.999</t>
        </is>
      </c>
      <c r="E1842" s="399" t="n"/>
      <c r="F1842" s="398" t="inlineStr">
        <is>
          <t>Quận 9, TP HCM</t>
        </is>
      </c>
      <c r="G1842" s="397" t="inlineStr">
        <is>
          <t>SG/HCM</t>
        </is>
      </c>
      <c r="H1842" s="399" t="n"/>
      <c r="J1842" s="392">
        <f>IFERROR(UPPER(TRIM(B1842))&amp;"|"&amp;UPPER(TRIM(C1842))&amp;"|"&amp;UPPER(TRIM(D1842)),"")</f>
        <v/>
      </c>
    </row>
    <row r="1843" ht="15.75" customHeight="1" s="217">
      <c r="A1843" s="400" t="n">
        <v>1841</v>
      </c>
      <c r="B1843" s="400" t="inlineStr">
        <is>
          <t>KH1985</t>
        </is>
      </c>
      <c r="C1843" s="401" t="inlineStr">
        <is>
          <t>Anh Thắng - Long Khánh / 0914.777.803</t>
        </is>
      </c>
      <c r="D1843" s="400" t="inlineStr">
        <is>
          <t>0914.777.803</t>
        </is>
      </c>
      <c r="E1843" s="402" t="n"/>
      <c r="F1843" s="401" t="inlineStr">
        <is>
          <t>Long Khánh - Đồng Nai</t>
        </is>
      </c>
      <c r="G1843" s="400" t="inlineStr">
        <is>
          <t>ÐNAI</t>
        </is>
      </c>
      <c r="H1843" s="402" t="n"/>
      <c r="J1843" s="392">
        <f>IFERROR(UPPER(TRIM(B1843))&amp;"|"&amp;UPPER(TRIM(C1843))&amp;"|"&amp;UPPER(TRIM(D1843)),"")</f>
        <v/>
      </c>
    </row>
    <row r="1844" ht="15.75" customHeight="1" s="217">
      <c r="A1844" s="397" t="n">
        <v>1842</v>
      </c>
      <c r="B1844" s="397" t="inlineStr">
        <is>
          <t>KH1986</t>
        </is>
      </c>
      <c r="C1844" s="398" t="inlineStr">
        <is>
          <t>Bãi Máy Trường Hưng - Suối Tiên / 0903.303.936</t>
        </is>
      </c>
      <c r="D1844" s="397" t="inlineStr">
        <is>
          <t>0903.303.936</t>
        </is>
      </c>
      <c r="E1844" s="399" t="n"/>
      <c r="F1844" s="398" t="inlineStr">
        <is>
          <t>Suối Tiên - TP HCM</t>
        </is>
      </c>
      <c r="G1844" s="397" t="inlineStr">
        <is>
          <t>SG/HCM</t>
        </is>
      </c>
      <c r="H1844" s="399" t="n"/>
      <c r="J1844" s="392">
        <f>IFERROR(UPPER(TRIM(B1844))&amp;"|"&amp;UPPER(TRIM(C1844))&amp;"|"&amp;UPPER(TRIM(D1844)),"")</f>
        <v/>
      </c>
    </row>
    <row r="1845" ht="15.75" customHeight="1" s="217">
      <c r="A1845" s="400" t="n">
        <v>1843</v>
      </c>
      <c r="B1845" s="400" t="inlineStr">
        <is>
          <t>KH1980</t>
        </is>
      </c>
      <c r="C1845" s="401" t="inlineStr">
        <is>
          <t>Cửa Hàng Khang Phúc - Long An / 0912.236.112</t>
        </is>
      </c>
      <c r="D1845" s="400" t="inlineStr">
        <is>
          <t>0912.236.112</t>
        </is>
      </c>
      <c r="E1845" s="402" t="n"/>
      <c r="F1845" s="401" t="inlineStr">
        <is>
          <t>33 Đường 30/4, Tân Hưng, Long An</t>
        </is>
      </c>
      <c r="G1845" s="400" t="inlineStr">
        <is>
          <t>LA</t>
        </is>
      </c>
      <c r="H1845" s="402" t="n"/>
      <c r="J1845" s="392">
        <f>IFERROR(UPPER(TRIM(B1845))&amp;"|"&amp;UPPER(TRIM(C1845))&amp;"|"&amp;UPPER(TRIM(D1845)),"")</f>
        <v/>
      </c>
    </row>
    <row r="1846" ht="15.75" customHeight="1" s="217">
      <c r="A1846" s="397" t="n">
        <v>1844</v>
      </c>
      <c r="B1846" s="397" t="inlineStr">
        <is>
          <t>KH1981</t>
        </is>
      </c>
      <c r="C1846" s="398" t="inlineStr">
        <is>
          <t>Anh Vũ - Long An (CTy XD Thanh Niên)/ 0931.330.985</t>
        </is>
      </c>
      <c r="D1846" s="397" t="inlineStr">
        <is>
          <t>0931.330.985</t>
        </is>
      </c>
      <c r="E1846" s="399" t="n"/>
      <c r="F1846" s="398" t="inlineStr">
        <is>
          <t>Long An</t>
        </is>
      </c>
      <c r="G1846" s="397" t="inlineStr">
        <is>
          <t>LA</t>
        </is>
      </c>
      <c r="H1846" s="399" t="n"/>
      <c r="J1846" s="392">
        <f>IFERROR(UPPER(TRIM(B1846))&amp;"|"&amp;UPPER(TRIM(C1846))&amp;"|"&amp;UPPER(TRIM(D1846)),"")</f>
        <v/>
      </c>
    </row>
    <row r="1847" ht="15.75" customHeight="1" s="217">
      <c r="A1847" s="400" t="n">
        <v>1845</v>
      </c>
      <c r="B1847" s="400" t="inlineStr">
        <is>
          <t>KH1982</t>
        </is>
      </c>
      <c r="C1847" s="401" t="inlineStr">
        <is>
          <t>Anh Quý - Long An / 0906.547.843</t>
        </is>
      </c>
      <c r="D1847" s="400" t="inlineStr">
        <is>
          <t>0906.547.843</t>
        </is>
      </c>
      <c r="E1847" s="402" t="n"/>
      <c r="F1847" s="401" t="inlineStr">
        <is>
          <t>Long An</t>
        </is>
      </c>
      <c r="G1847" s="400" t="inlineStr">
        <is>
          <t>LA</t>
        </is>
      </c>
      <c r="H1847" s="402" t="n"/>
      <c r="J1847" s="392">
        <f>IFERROR(UPPER(TRIM(B1847))&amp;"|"&amp;UPPER(TRIM(C1847))&amp;"|"&amp;UPPER(TRIM(D1847)),"")</f>
        <v/>
      </c>
    </row>
    <row r="1848" ht="15.75" customHeight="1" s="217">
      <c r="A1848" s="397" t="n">
        <v>1846</v>
      </c>
      <c r="B1848" s="397" t="inlineStr">
        <is>
          <t>KH1975</t>
        </is>
      </c>
      <c r="C1848" s="398" t="inlineStr">
        <is>
          <t>Anh Tý - Suối Tiên/ 0907.630.152</t>
        </is>
      </c>
      <c r="D1848" s="397" t="inlineStr">
        <is>
          <t>0907.630.152</t>
        </is>
      </c>
      <c r="E1848" s="399" t="n"/>
      <c r="F1848" s="398" t="inlineStr">
        <is>
          <t>Suối Tiên - TP HCM</t>
        </is>
      </c>
      <c r="G1848" s="397" t="inlineStr">
        <is>
          <t>SG/HCM</t>
        </is>
      </c>
      <c r="H1848" s="399" t="n"/>
      <c r="J1848" s="392">
        <f>IFERROR(UPPER(TRIM(B1848))&amp;"|"&amp;UPPER(TRIM(C1848))&amp;"|"&amp;UPPER(TRIM(D1848)),"")</f>
        <v/>
      </c>
    </row>
    <row r="1849" ht="15.75" customHeight="1" s="217">
      <c r="A1849" s="400" t="n">
        <v>1847</v>
      </c>
      <c r="B1849" s="400" t="inlineStr">
        <is>
          <t>KH1976</t>
        </is>
      </c>
      <c r="C1849" s="401" t="inlineStr">
        <is>
          <t>Anh Bình - Cty Phúc Linh - SG/ 0977.742.345</t>
        </is>
      </c>
      <c r="D1849" s="400" t="inlineStr">
        <is>
          <t>0977.742.345</t>
        </is>
      </c>
      <c r="E1849" s="402" t="n"/>
      <c r="F1849" s="401" t="inlineStr">
        <is>
          <t>TP. HCM</t>
        </is>
      </c>
      <c r="G1849" s="400" t="inlineStr">
        <is>
          <t>SG/HCM</t>
        </is>
      </c>
      <c r="H1849" s="402" t="n"/>
      <c r="J1849" s="392">
        <f>IFERROR(UPPER(TRIM(B1849))&amp;"|"&amp;UPPER(TRIM(C1849))&amp;"|"&amp;UPPER(TRIM(D1849)),"")</f>
        <v/>
      </c>
    </row>
    <row r="1850" ht="15.75" customHeight="1" s="217">
      <c r="A1850" s="397" t="n">
        <v>1848</v>
      </c>
      <c r="B1850" s="397" t="inlineStr">
        <is>
          <t>KH1977</t>
        </is>
      </c>
      <c r="C1850" s="398" t="inlineStr">
        <is>
          <t>Xưởng Anh Vũ - Kontum/ 01675.542.467</t>
        </is>
      </c>
      <c r="D1850" s="397" t="inlineStr">
        <is>
          <t>01675.542.467</t>
        </is>
      </c>
      <c r="E1850" s="399" t="n"/>
      <c r="F1850" s="398" t="inlineStr">
        <is>
          <t>Kontum</t>
        </is>
      </c>
      <c r="G1850" s="397" t="inlineStr">
        <is>
          <t>KTUM</t>
        </is>
      </c>
      <c r="H1850" s="399" t="n"/>
      <c r="J1850" s="392">
        <f>IFERROR(UPPER(TRIM(B1850))&amp;"|"&amp;UPPER(TRIM(C1850))&amp;"|"&amp;UPPER(TRIM(D1850)),"")</f>
        <v/>
      </c>
    </row>
    <row r="1851" ht="15.75" customHeight="1" s="217">
      <c r="A1851" s="400" t="n">
        <v>1849</v>
      </c>
      <c r="B1851" s="400" t="inlineStr">
        <is>
          <t>KH1978</t>
        </is>
      </c>
      <c r="C1851" s="401" t="inlineStr">
        <is>
          <t>Anh Tư - Bình Chánh / 0903.657.851</t>
        </is>
      </c>
      <c r="D1851" s="400" t="inlineStr">
        <is>
          <t>0903.657.851</t>
        </is>
      </c>
      <c r="E1851" s="402" t="n"/>
      <c r="F1851" s="401" t="inlineStr">
        <is>
          <t>Bình Chánh - TP HCM</t>
        </is>
      </c>
      <c r="G1851" s="400" t="inlineStr">
        <is>
          <t>SG/HCM</t>
        </is>
      </c>
      <c r="H1851" s="402" t="n"/>
      <c r="J1851" s="392">
        <f>IFERROR(UPPER(TRIM(B1851))&amp;"|"&amp;UPPER(TRIM(C1851))&amp;"|"&amp;UPPER(TRIM(D1851)),"")</f>
        <v/>
      </c>
    </row>
    <row r="1852" ht="15.75" customHeight="1" s="217">
      <c r="A1852" s="397" t="n">
        <v>1850</v>
      </c>
      <c r="B1852" s="397" t="inlineStr">
        <is>
          <t>KH1979</t>
        </is>
      </c>
      <c r="C1852" s="398" t="inlineStr">
        <is>
          <t>Anh Dung - Tân Bình / 0967.743.256</t>
        </is>
      </c>
      <c r="D1852" s="397" t="inlineStr">
        <is>
          <t>0967.743.256</t>
        </is>
      </c>
      <c r="E1852" s="399" t="n"/>
      <c r="F1852" s="398" t="inlineStr">
        <is>
          <t>Tân Bình - TP HCM</t>
        </is>
      </c>
      <c r="G1852" s="397" t="inlineStr">
        <is>
          <t>SG/HCM</t>
        </is>
      </c>
      <c r="H1852" s="399" t="n"/>
      <c r="J1852" s="392">
        <f>IFERROR(UPPER(TRIM(B1852))&amp;"|"&amp;UPPER(TRIM(C1852))&amp;"|"&amp;UPPER(TRIM(D1852)),"")</f>
        <v/>
      </c>
    </row>
    <row r="1853" ht="15.75" customHeight="1" s="217">
      <c r="A1853" s="400" t="n">
        <v>1851</v>
      </c>
      <c r="B1853" s="400" t="inlineStr">
        <is>
          <t>KH1971</t>
        </is>
      </c>
      <c r="C1853" s="401" t="inlineStr">
        <is>
          <t>Anh Cường (D) - Dĩ An/ 0903.172.309</t>
        </is>
      </c>
      <c r="D1853" s="400" t="inlineStr">
        <is>
          <t>0903.172.309</t>
        </is>
      </c>
      <c r="E1853" s="402" t="n"/>
      <c r="F1853" s="401" t="inlineStr">
        <is>
          <t>Dĩ An - Bình Dương</t>
        </is>
      </c>
      <c r="G1853" s="400" t="inlineStr">
        <is>
          <t>BDUONG</t>
        </is>
      </c>
      <c r="H1853" s="402" t="n"/>
      <c r="J1853" s="392">
        <f>IFERROR(UPPER(TRIM(B1853))&amp;"|"&amp;UPPER(TRIM(C1853))&amp;"|"&amp;UPPER(TRIM(D1853)),"")</f>
        <v/>
      </c>
    </row>
    <row r="1854" ht="15.75" customHeight="1" s="217">
      <c r="A1854" s="397" t="n">
        <v>1852</v>
      </c>
      <c r="B1854" s="397" t="inlineStr">
        <is>
          <t>KH1972</t>
        </is>
      </c>
      <c r="C1854" s="398" t="inlineStr">
        <is>
          <t>Công Ty TNHH Đông Dương - Bình Dương/ 0933.935.559</t>
        </is>
      </c>
      <c r="D1854" s="397" t="inlineStr">
        <is>
          <t>0933.935.559</t>
        </is>
      </c>
      <c r="E1854" s="399" t="n"/>
      <c r="F1854" s="398" t="inlineStr">
        <is>
          <t>151 Đường Trần Phú, P. Chính Nghĩa, TP Thủ Dầu Một, Bình Dương</t>
        </is>
      </c>
      <c r="G1854" s="397" t="inlineStr">
        <is>
          <t>BDUONG</t>
        </is>
      </c>
      <c r="H1854" s="399" t="n"/>
      <c r="J1854" s="392">
        <f>IFERROR(UPPER(TRIM(B1854))&amp;"|"&amp;UPPER(TRIM(C1854))&amp;"|"&amp;UPPER(TRIM(D1854)),"")</f>
        <v/>
      </c>
    </row>
    <row r="1855" ht="15.75" customHeight="1" s="217">
      <c r="A1855" s="400" t="n">
        <v>1853</v>
      </c>
      <c r="B1855" s="400" t="inlineStr">
        <is>
          <t>KH1973</t>
        </is>
      </c>
      <c r="C1855" s="401" t="inlineStr">
        <is>
          <t>Anh Thành - Quận 12 / 0908.336.217</t>
        </is>
      </c>
      <c r="D1855" s="400" t="inlineStr">
        <is>
          <t>0908.336.217</t>
        </is>
      </c>
      <c r="E1855" s="402" t="n"/>
      <c r="F1855" s="401" t="inlineStr">
        <is>
          <t>Quận 12, TP HCM</t>
        </is>
      </c>
      <c r="G1855" s="400" t="inlineStr">
        <is>
          <t>SG/HCM</t>
        </is>
      </c>
      <c r="H1855" s="402" t="n"/>
      <c r="J1855" s="392">
        <f>IFERROR(UPPER(TRIM(B1855))&amp;"|"&amp;UPPER(TRIM(C1855))&amp;"|"&amp;UPPER(TRIM(D1855)),"")</f>
        <v/>
      </c>
    </row>
    <row r="1856" ht="15.75" customHeight="1" s="217">
      <c r="A1856" s="397" t="n">
        <v>1854</v>
      </c>
      <c r="B1856" s="397" t="inlineStr">
        <is>
          <t>KH1974</t>
        </is>
      </c>
      <c r="C1856" s="398" t="inlineStr">
        <is>
          <t>Anh Trương - Bình Dương / 0976.177.787</t>
        </is>
      </c>
      <c r="D1856" s="397" t="inlineStr">
        <is>
          <t>0976.177.787</t>
        </is>
      </c>
      <c r="E1856" s="399" t="n"/>
      <c r="F1856" s="398" t="inlineStr">
        <is>
          <t>Bình Dương</t>
        </is>
      </c>
      <c r="G1856" s="397" t="inlineStr">
        <is>
          <t>BDUONG</t>
        </is>
      </c>
      <c r="H1856" s="399" t="n"/>
      <c r="J1856" s="392">
        <f>IFERROR(UPPER(TRIM(B1856))&amp;"|"&amp;UPPER(TRIM(C1856))&amp;"|"&amp;UPPER(TRIM(D1856)),"")</f>
        <v/>
      </c>
    </row>
    <row r="1857" ht="15.75" customHeight="1" s="217">
      <c r="A1857" s="400" t="n">
        <v>1855</v>
      </c>
      <c r="B1857" s="400" t="inlineStr">
        <is>
          <t>KH1968</t>
        </is>
      </c>
      <c r="C1857" s="401" t="inlineStr">
        <is>
          <t>Xưởng Anh Phong (T)- Bình Dương / 0913.629.060</t>
        </is>
      </c>
      <c r="D1857" s="400" t="inlineStr">
        <is>
          <t>0913.629.060</t>
        </is>
      </c>
      <c r="E1857" s="402" t="n"/>
      <c r="F1857" s="401" t="inlineStr">
        <is>
          <t>Bình Dương</t>
        </is>
      </c>
      <c r="G1857" s="400" t="inlineStr">
        <is>
          <t>BDUONG</t>
        </is>
      </c>
      <c r="H1857" s="402" t="n"/>
      <c r="J1857" s="392">
        <f>IFERROR(UPPER(TRIM(B1857))&amp;"|"&amp;UPPER(TRIM(C1857))&amp;"|"&amp;UPPER(TRIM(D1857)),"")</f>
        <v/>
      </c>
    </row>
    <row r="1858" ht="15.75" customHeight="1" s="217">
      <c r="A1858" s="397" t="n">
        <v>1856</v>
      </c>
      <c r="B1858" s="397" t="inlineStr">
        <is>
          <t>KH1969</t>
        </is>
      </c>
      <c r="C1858" s="398" t="inlineStr">
        <is>
          <t>Anh Trãi - Quận 7 / 0961.585.839</t>
        </is>
      </c>
      <c r="D1858" s="397" t="inlineStr">
        <is>
          <t>0961.585.839</t>
        </is>
      </c>
      <c r="E1858" s="399" t="n"/>
      <c r="F1858" s="398" t="inlineStr">
        <is>
          <t>Cầu Rạch Đĩa - Phú Mỹ Hưng - Quận 7 - TP HCM</t>
        </is>
      </c>
      <c r="G1858" s="397" t="inlineStr">
        <is>
          <t>SG/HCM</t>
        </is>
      </c>
      <c r="H1858" s="399" t="n"/>
      <c r="J1858" s="392">
        <f>IFERROR(UPPER(TRIM(B1858))&amp;"|"&amp;UPPER(TRIM(C1858))&amp;"|"&amp;UPPER(TRIM(D1858)),"")</f>
        <v/>
      </c>
    </row>
    <row r="1859" ht="15.75" customHeight="1" s="217">
      <c r="A1859" s="400" t="n">
        <v>1857</v>
      </c>
      <c r="B1859" s="400" t="inlineStr">
        <is>
          <t>KH1970</t>
        </is>
      </c>
      <c r="C1859" s="401" t="inlineStr">
        <is>
          <t>Anh Đạt - Lộc Ninh / 0933.313.145</t>
        </is>
      </c>
      <c r="D1859" s="400" t="inlineStr">
        <is>
          <t>0933.313.145</t>
        </is>
      </c>
      <c r="E1859" s="402" t="n"/>
      <c r="F1859" s="401" t="inlineStr">
        <is>
          <t>Lộc Ninh - Bình Phước</t>
        </is>
      </c>
      <c r="G1859" s="400" t="inlineStr">
        <is>
          <t>BP</t>
        </is>
      </c>
      <c r="H1859" s="402" t="n"/>
      <c r="J1859" s="392">
        <f>IFERROR(UPPER(TRIM(B1859))&amp;"|"&amp;UPPER(TRIM(C1859))&amp;"|"&amp;UPPER(TRIM(D1859)),"")</f>
        <v/>
      </c>
    </row>
    <row r="1860" ht="15.75" customHeight="1" s="217">
      <c r="A1860" s="397" t="n">
        <v>1858</v>
      </c>
      <c r="B1860" s="397" t="inlineStr">
        <is>
          <t>KH1966</t>
        </is>
      </c>
      <c r="C1860" s="398" t="inlineStr">
        <is>
          <t>Anh Thi - An Sương / 0977.804.595</t>
        </is>
      </c>
      <c r="D1860" s="397" t="inlineStr">
        <is>
          <t>0977.804.595</t>
        </is>
      </c>
      <c r="E1860" s="399" t="n"/>
      <c r="F1860" s="398" t="inlineStr">
        <is>
          <t>An Sương - TP HCM</t>
        </is>
      </c>
      <c r="G1860" s="397" t="inlineStr">
        <is>
          <t>SG/HCM</t>
        </is>
      </c>
      <c r="H1860" s="399" t="n"/>
      <c r="J1860" s="392">
        <f>IFERROR(UPPER(TRIM(B1860))&amp;"|"&amp;UPPER(TRIM(C1860))&amp;"|"&amp;UPPER(TRIM(D1860)),"")</f>
        <v/>
      </c>
    </row>
    <row r="1861" ht="15.75" customHeight="1" s="217">
      <c r="A1861" s="400" t="n">
        <v>1859</v>
      </c>
      <c r="B1861" s="400" t="inlineStr">
        <is>
          <t>KH1967</t>
        </is>
      </c>
      <c r="C1861" s="401" t="inlineStr">
        <is>
          <t>Anh Dự - Quận 12 / 01214.042.188</t>
        </is>
      </c>
      <c r="D1861" s="400" t="inlineStr">
        <is>
          <t>01214.042.188</t>
        </is>
      </c>
      <c r="E1861" s="402" t="n"/>
      <c r="F1861" s="401" t="inlineStr">
        <is>
          <t>Chợ An Sương - Quận 12 - TP HCM</t>
        </is>
      </c>
      <c r="G1861" s="400" t="inlineStr">
        <is>
          <t>SG/HCM</t>
        </is>
      </c>
      <c r="H1861" s="402" t="n"/>
      <c r="J1861" s="392">
        <f>IFERROR(UPPER(TRIM(B1861))&amp;"|"&amp;UPPER(TRIM(C1861))&amp;"|"&amp;UPPER(TRIM(D1861)),"")</f>
        <v/>
      </c>
    </row>
    <row r="1862" ht="15.75" customHeight="1" s="217">
      <c r="A1862" s="397" t="n">
        <v>1860</v>
      </c>
      <c r="B1862" s="397" t="inlineStr">
        <is>
          <t>KH1962</t>
        </is>
      </c>
      <c r="C1862" s="398" t="inlineStr">
        <is>
          <t>Anh Tâm - Bến Tre / 0973..339.036</t>
        </is>
      </c>
      <c r="D1862" s="399" t="n"/>
      <c r="E1862" s="399" t="n"/>
      <c r="F1862" s="398" t="inlineStr">
        <is>
          <t>Bến Tre</t>
        </is>
      </c>
      <c r="G1862" s="397" t="inlineStr">
        <is>
          <t>BTRE</t>
        </is>
      </c>
      <c r="H1862" s="399" t="n"/>
      <c r="J1862" s="392">
        <f>IFERROR(UPPER(TRIM(B1862))&amp;"|"&amp;UPPER(TRIM(C1862))&amp;"|"&amp;UPPER(TRIM(D1862)),"")</f>
        <v/>
      </c>
    </row>
    <row r="1863" ht="15.75" customHeight="1" s="217">
      <c r="A1863" s="400" t="n">
        <v>1861</v>
      </c>
      <c r="B1863" s="400" t="inlineStr">
        <is>
          <t>KH1963</t>
        </is>
      </c>
      <c r="C1863" s="401" t="inlineStr">
        <is>
          <t>Anh Y - SG / 0903.743.606</t>
        </is>
      </c>
      <c r="D1863" s="400" t="inlineStr">
        <is>
          <t>0903.743.606</t>
        </is>
      </c>
      <c r="E1863" s="402" t="n"/>
      <c r="F1863" s="401" t="inlineStr">
        <is>
          <t>SG</t>
        </is>
      </c>
      <c r="G1863" s="400" t="inlineStr">
        <is>
          <t>SG/HCM</t>
        </is>
      </c>
      <c r="H1863" s="402" t="n"/>
      <c r="J1863" s="392">
        <f>IFERROR(UPPER(TRIM(B1863))&amp;"|"&amp;UPPER(TRIM(C1863))&amp;"|"&amp;UPPER(TRIM(D1863)),"")</f>
        <v/>
      </c>
    </row>
    <row r="1864" ht="15.75" customHeight="1" s="217">
      <c r="A1864" s="397" t="n">
        <v>1862</v>
      </c>
      <c r="B1864" s="397" t="inlineStr">
        <is>
          <t>KH1964</t>
        </is>
      </c>
      <c r="C1864" s="398" t="inlineStr">
        <is>
          <t>Xưởng Anh Dũng - Quận 12 / 0908.577.170</t>
        </is>
      </c>
      <c r="D1864" s="397" t="inlineStr">
        <is>
          <t>0908.577.170</t>
        </is>
      </c>
      <c r="E1864" s="399" t="n"/>
      <c r="F1864" s="398" t="inlineStr">
        <is>
          <t>Quận 12, TP HCM</t>
        </is>
      </c>
      <c r="G1864" s="397" t="inlineStr">
        <is>
          <t>SG/HCM</t>
        </is>
      </c>
      <c r="H1864" s="399" t="n"/>
      <c r="J1864" s="392">
        <f>IFERROR(UPPER(TRIM(B1864))&amp;"|"&amp;UPPER(TRIM(C1864))&amp;"|"&amp;UPPER(TRIM(D1864)),"")</f>
        <v/>
      </c>
    </row>
    <row r="1865" ht="15.75" customHeight="1" s="217">
      <c r="A1865" s="400" t="n">
        <v>1863</v>
      </c>
      <c r="B1865" s="400" t="inlineStr">
        <is>
          <t>KH1965</t>
        </is>
      </c>
      <c r="C1865" s="401" t="inlineStr">
        <is>
          <t>Chú Hồng - Đồng Tháp / 0984.138.758</t>
        </is>
      </c>
      <c r="D1865" s="400" t="inlineStr">
        <is>
          <t>0984.138.758</t>
        </is>
      </c>
      <c r="E1865" s="402" t="n"/>
      <c r="F1865" s="401" t="inlineStr">
        <is>
          <t>Đồng Tháp</t>
        </is>
      </c>
      <c r="G1865" s="400" t="inlineStr">
        <is>
          <t>DTHAP</t>
        </is>
      </c>
      <c r="H1865" s="402" t="n"/>
      <c r="J1865" s="392">
        <f>IFERROR(UPPER(TRIM(B1865))&amp;"|"&amp;UPPER(TRIM(C1865))&amp;"|"&amp;UPPER(TRIM(D1865)),"")</f>
        <v/>
      </c>
    </row>
    <row r="1866" ht="15.75" customHeight="1" s="217">
      <c r="A1866" s="397" t="n">
        <v>1864</v>
      </c>
      <c r="B1866" s="397" t="inlineStr">
        <is>
          <t>KH1956</t>
        </is>
      </c>
      <c r="C1866" s="398" t="inlineStr">
        <is>
          <t>Anh Hải - Tam Bình/ 0932.873.540</t>
        </is>
      </c>
      <c r="D1866" s="397" t="inlineStr">
        <is>
          <t>0932.873.540</t>
        </is>
      </c>
      <c r="E1866" s="399" t="n"/>
      <c r="F1866" s="398" t="inlineStr">
        <is>
          <t>Tam Bình - TP.HCM</t>
        </is>
      </c>
      <c r="G1866" s="397" t="inlineStr">
        <is>
          <t>SG/HCM</t>
        </is>
      </c>
      <c r="H1866" s="399" t="n"/>
      <c r="J1866" s="392">
        <f>IFERROR(UPPER(TRIM(B1866))&amp;"|"&amp;UPPER(TRIM(C1866))&amp;"|"&amp;UPPER(TRIM(D1866)),"")</f>
        <v/>
      </c>
    </row>
    <row r="1867" ht="15.75" customHeight="1" s="217">
      <c r="A1867" s="400" t="n">
        <v>1865</v>
      </c>
      <c r="B1867" s="400" t="inlineStr">
        <is>
          <t>KH1957</t>
        </is>
      </c>
      <c r="C1867" s="401" t="inlineStr">
        <is>
          <t>Anh Hiếu - Đắk Nông / 0963.151.222</t>
        </is>
      </c>
      <c r="D1867" s="400" t="inlineStr">
        <is>
          <t>0963.151.222</t>
        </is>
      </c>
      <c r="E1867" s="402" t="n"/>
      <c r="F1867" s="401" t="inlineStr">
        <is>
          <t>Đắk Nông - Đắk Lắk</t>
        </is>
      </c>
      <c r="G1867" s="400" t="inlineStr">
        <is>
          <t>ÐL</t>
        </is>
      </c>
      <c r="H1867" s="402" t="n"/>
      <c r="J1867" s="392">
        <f>IFERROR(UPPER(TRIM(B1867))&amp;"|"&amp;UPPER(TRIM(C1867))&amp;"|"&amp;UPPER(TRIM(D1867)),"")</f>
        <v/>
      </c>
    </row>
    <row r="1868" ht="15.75" customHeight="1" s="217">
      <c r="A1868" s="397" t="n">
        <v>1866</v>
      </c>
      <c r="B1868" s="397" t="inlineStr">
        <is>
          <t>KH1958</t>
        </is>
      </c>
      <c r="C1868" s="398" t="inlineStr">
        <is>
          <t>Anh ất - SG / 0963.151.222</t>
        </is>
      </c>
      <c r="D1868" s="397" t="inlineStr">
        <is>
          <t>0963.151.222</t>
        </is>
      </c>
      <c r="E1868" s="399" t="n"/>
      <c r="F1868" s="398" t="inlineStr">
        <is>
          <t>SG</t>
        </is>
      </c>
      <c r="G1868" s="397" t="inlineStr">
        <is>
          <t>SG/HCM</t>
        </is>
      </c>
      <c r="H1868" s="399" t="n"/>
      <c r="J1868" s="392">
        <f>IFERROR(UPPER(TRIM(B1868))&amp;"|"&amp;UPPER(TRIM(C1868))&amp;"|"&amp;UPPER(TRIM(D1868)),"")</f>
        <v/>
      </c>
    </row>
    <row r="1869" ht="15.75" customHeight="1" s="217">
      <c r="A1869" s="400" t="n">
        <v>1867</v>
      </c>
      <c r="B1869" s="400" t="inlineStr">
        <is>
          <t>KH1959</t>
        </is>
      </c>
      <c r="C1869" s="401" t="inlineStr">
        <is>
          <t>Anh Tường - Cần Giuộc / 0908.774.791</t>
        </is>
      </c>
      <c r="D1869" s="400" t="inlineStr">
        <is>
          <t>0908.774.791</t>
        </is>
      </c>
      <c r="E1869" s="402" t="n"/>
      <c r="F1869" s="401" t="inlineStr">
        <is>
          <t>Cần Giuộc - TP HCM</t>
        </is>
      </c>
      <c r="G1869" s="400" t="inlineStr">
        <is>
          <t>SG/HCM</t>
        </is>
      </c>
      <c r="H1869" s="402" t="n"/>
      <c r="J1869" s="392">
        <f>IFERROR(UPPER(TRIM(B1869))&amp;"|"&amp;UPPER(TRIM(C1869))&amp;"|"&amp;UPPER(TRIM(D1869)),"")</f>
        <v/>
      </c>
    </row>
    <row r="1870" ht="15.75" customHeight="1" s="217">
      <c r="A1870" s="397" t="n">
        <v>1868</v>
      </c>
      <c r="B1870" s="397" t="inlineStr">
        <is>
          <t>KH1960</t>
        </is>
      </c>
      <c r="C1870" s="398" t="inlineStr">
        <is>
          <t>Anh Tình - Đồng Nai / 01677.279.723</t>
        </is>
      </c>
      <c r="D1870" s="397" t="inlineStr">
        <is>
          <t>01677.279.723</t>
        </is>
      </c>
      <c r="E1870" s="399" t="n"/>
      <c r="F1870" s="398" t="inlineStr">
        <is>
          <t>Đồng Nai</t>
        </is>
      </c>
      <c r="G1870" s="397" t="inlineStr">
        <is>
          <t>ÐNAI</t>
        </is>
      </c>
      <c r="H1870" s="399" t="n"/>
      <c r="J1870" s="392">
        <f>IFERROR(UPPER(TRIM(B1870))&amp;"|"&amp;UPPER(TRIM(C1870))&amp;"|"&amp;UPPER(TRIM(D1870)),"")</f>
        <v/>
      </c>
    </row>
    <row r="1871" ht="15.75" customHeight="1" s="217">
      <c r="A1871" s="400" t="n">
        <v>1869</v>
      </c>
      <c r="B1871" s="400" t="inlineStr">
        <is>
          <t>KH1961</t>
        </is>
      </c>
      <c r="C1871" s="401" t="inlineStr">
        <is>
          <t>Xưởng Quang Minh - Bình Tân / 0934.830.839</t>
        </is>
      </c>
      <c r="D1871" s="400" t="inlineStr">
        <is>
          <t>0934.830.839</t>
        </is>
      </c>
      <c r="E1871" s="402" t="n"/>
      <c r="F1871" s="401" t="inlineStr">
        <is>
          <t>Bình Tân - TP HCM</t>
        </is>
      </c>
      <c r="G1871" s="400" t="inlineStr">
        <is>
          <t>SG/HCM</t>
        </is>
      </c>
      <c r="H1871" s="402" t="n"/>
      <c r="J1871" s="392">
        <f>IFERROR(UPPER(TRIM(B1871))&amp;"|"&amp;UPPER(TRIM(C1871))&amp;"|"&amp;UPPER(TRIM(D1871)),"")</f>
        <v/>
      </c>
    </row>
    <row r="1872" ht="15.75" customHeight="1" s="217">
      <c r="A1872" s="397" t="n">
        <v>1870</v>
      </c>
      <c r="B1872" s="397" t="inlineStr">
        <is>
          <t>KH1953</t>
        </is>
      </c>
      <c r="C1872" s="398" t="inlineStr">
        <is>
          <t>Anh Tuấn - Bến Cát / 0919.134.665</t>
        </is>
      </c>
      <c r="D1872" s="397" t="inlineStr">
        <is>
          <t>0919.134.665</t>
        </is>
      </c>
      <c r="E1872" s="399" t="n"/>
      <c r="F1872" s="398" t="inlineStr">
        <is>
          <t>Bến Cát , BD</t>
        </is>
      </c>
      <c r="G1872" s="397" t="inlineStr">
        <is>
          <t>BDUONG</t>
        </is>
      </c>
      <c r="H1872" s="399" t="n"/>
      <c r="J1872" s="392">
        <f>IFERROR(UPPER(TRIM(B1872))&amp;"|"&amp;UPPER(TRIM(C1872))&amp;"|"&amp;UPPER(TRIM(D1872)),"")</f>
        <v/>
      </c>
    </row>
    <row r="1873" ht="15.75" customHeight="1" s="217">
      <c r="A1873" s="400" t="n">
        <v>1871</v>
      </c>
      <c r="B1873" s="400" t="inlineStr">
        <is>
          <t>KH1954</t>
        </is>
      </c>
      <c r="C1873" s="401" t="inlineStr">
        <is>
          <t>Anh Hải - Nhơn Trạch / 0903.628.902</t>
        </is>
      </c>
      <c r="D1873" s="400" t="inlineStr">
        <is>
          <t>0903.628.902</t>
        </is>
      </c>
      <c r="E1873" s="402" t="n"/>
      <c r="F1873" s="401" t="inlineStr">
        <is>
          <t>Nhơn Trạch, Đồng Nai</t>
        </is>
      </c>
      <c r="G1873" s="400" t="inlineStr">
        <is>
          <t>ÐNAI</t>
        </is>
      </c>
      <c r="H1873" s="402" t="n"/>
      <c r="J1873" s="392">
        <f>IFERROR(UPPER(TRIM(B1873))&amp;"|"&amp;UPPER(TRIM(C1873))&amp;"|"&amp;UPPER(TRIM(D1873)),"")</f>
        <v/>
      </c>
    </row>
    <row r="1874" ht="15.75" customHeight="1" s="217">
      <c r="A1874" s="397" t="n">
        <v>1872</v>
      </c>
      <c r="B1874" s="397" t="inlineStr">
        <is>
          <t>KH1955</t>
        </is>
      </c>
      <c r="C1874" s="398" t="inlineStr">
        <is>
          <t>Anh Cự - Bình Phước / 0918.444.134</t>
        </is>
      </c>
      <c r="D1874" s="397" t="inlineStr">
        <is>
          <t>0918.444.134</t>
        </is>
      </c>
      <c r="E1874" s="399" t="n"/>
      <c r="F1874" s="398" t="inlineStr">
        <is>
          <t>Bình Phước</t>
        </is>
      </c>
      <c r="G1874" s="397" t="inlineStr">
        <is>
          <t>BP</t>
        </is>
      </c>
      <c r="H1874" s="399" t="n"/>
      <c r="J1874" s="392">
        <f>IFERROR(UPPER(TRIM(B1874))&amp;"|"&amp;UPPER(TRIM(C1874))&amp;"|"&amp;UPPER(TRIM(D1874)),"")</f>
        <v/>
      </c>
    </row>
    <row r="1875" ht="15.75" customHeight="1" s="217">
      <c r="A1875" s="400" t="n">
        <v>1873</v>
      </c>
      <c r="B1875" s="400" t="inlineStr">
        <is>
          <t>KH1947</t>
        </is>
      </c>
      <c r="C1875" s="401" t="inlineStr">
        <is>
          <t>Anh Hội - Gò Vấp / 0988.598.351</t>
        </is>
      </c>
      <c r="D1875" s="400" t="inlineStr">
        <is>
          <t>0988.598.351</t>
        </is>
      </c>
      <c r="E1875" s="402" t="n"/>
      <c r="F1875" s="401" t="inlineStr">
        <is>
          <t>Gò Vấp - TP HCM</t>
        </is>
      </c>
      <c r="G1875" s="400" t="inlineStr">
        <is>
          <t>SG/HCM</t>
        </is>
      </c>
      <c r="H1875" s="402" t="n"/>
      <c r="J1875" s="392">
        <f>IFERROR(UPPER(TRIM(B1875))&amp;"|"&amp;UPPER(TRIM(C1875))&amp;"|"&amp;UPPER(TRIM(D1875)),"")</f>
        <v/>
      </c>
    </row>
    <row r="1876" ht="15.75" customHeight="1" s="217">
      <c r="A1876" s="397" t="n">
        <v>1874</v>
      </c>
      <c r="B1876" s="397" t="inlineStr">
        <is>
          <t>KH1948</t>
        </is>
      </c>
      <c r="C1876" s="398" t="inlineStr">
        <is>
          <t>Anh Long - Gò Vấp / 0908.082.662</t>
        </is>
      </c>
      <c r="D1876" s="397" t="inlineStr">
        <is>
          <t>0908.082.662</t>
        </is>
      </c>
      <c r="E1876" s="399" t="n"/>
      <c r="F1876" s="398" t="inlineStr">
        <is>
          <t>Gò Vấp , TP HCM</t>
        </is>
      </c>
      <c r="G1876" s="397" t="inlineStr">
        <is>
          <t>SG/HCM</t>
        </is>
      </c>
      <c r="H1876" s="399" t="n"/>
      <c r="J1876" s="392">
        <f>IFERROR(UPPER(TRIM(B1876))&amp;"|"&amp;UPPER(TRIM(C1876))&amp;"|"&amp;UPPER(TRIM(D1876)),"")</f>
        <v/>
      </c>
    </row>
    <row r="1877" ht="15.75" customHeight="1" s="217">
      <c r="A1877" s="400" t="n">
        <v>1875</v>
      </c>
      <c r="B1877" s="400" t="inlineStr">
        <is>
          <t>KH1949</t>
        </is>
      </c>
      <c r="C1877" s="401" t="inlineStr">
        <is>
          <t>Anh Hoàng - Bình Phước / 0913.707.351</t>
        </is>
      </c>
      <c r="D1877" s="400" t="inlineStr">
        <is>
          <t>0913.707.351</t>
        </is>
      </c>
      <c r="E1877" s="402" t="n"/>
      <c r="F1877" s="401" t="inlineStr">
        <is>
          <t>Bình Phước</t>
        </is>
      </c>
      <c r="G1877" s="400" t="inlineStr">
        <is>
          <t>BP</t>
        </is>
      </c>
      <c r="H1877" s="402" t="n"/>
      <c r="J1877" s="392">
        <f>IFERROR(UPPER(TRIM(B1877))&amp;"|"&amp;UPPER(TRIM(C1877))&amp;"|"&amp;UPPER(TRIM(D1877)),"")</f>
        <v/>
      </c>
    </row>
    <row r="1878" ht="15.75" customHeight="1" s="217">
      <c r="A1878" s="397" t="n">
        <v>1876</v>
      </c>
      <c r="B1878" s="397" t="inlineStr">
        <is>
          <t>KH1950</t>
        </is>
      </c>
      <c r="C1878" s="398" t="inlineStr">
        <is>
          <t>Anh Thịnh - Bến Tre / 0974.084.096</t>
        </is>
      </c>
      <c r="D1878" s="397" t="inlineStr">
        <is>
          <t>0974.084.096</t>
        </is>
      </c>
      <c r="E1878" s="399" t="n"/>
      <c r="F1878" s="398" t="inlineStr">
        <is>
          <t>Bến Tre</t>
        </is>
      </c>
      <c r="G1878" s="397" t="inlineStr">
        <is>
          <t>BTRE</t>
        </is>
      </c>
      <c r="H1878" s="399" t="n"/>
      <c r="J1878" s="392">
        <f>IFERROR(UPPER(TRIM(B1878))&amp;"|"&amp;UPPER(TRIM(C1878))&amp;"|"&amp;UPPER(TRIM(D1878)),"")</f>
        <v/>
      </c>
    </row>
    <row r="1879" ht="15.75" customHeight="1" s="217">
      <c r="A1879" s="400" t="n">
        <v>1877</v>
      </c>
      <c r="B1879" s="400" t="inlineStr">
        <is>
          <t>KH1951</t>
        </is>
      </c>
      <c r="C1879" s="401" t="inlineStr">
        <is>
          <t>Xưởng Anh Mơ - Thủ Đức / 01216.984.620</t>
        </is>
      </c>
      <c r="D1879" s="400" t="inlineStr">
        <is>
          <t>01216.984.620</t>
        </is>
      </c>
      <c r="E1879" s="402" t="n"/>
      <c r="F1879" s="401" t="inlineStr">
        <is>
          <t>Thủ Đức - TP HCM</t>
        </is>
      </c>
      <c r="G1879" s="400" t="inlineStr">
        <is>
          <t>SG/HCM</t>
        </is>
      </c>
      <c r="H1879" s="402" t="n"/>
      <c r="J1879" s="392">
        <f>IFERROR(UPPER(TRIM(B1879))&amp;"|"&amp;UPPER(TRIM(C1879))&amp;"|"&amp;UPPER(TRIM(D1879)),"")</f>
        <v/>
      </c>
    </row>
    <row r="1880" ht="15.75" customHeight="1" s="217">
      <c r="A1880" s="397" t="n">
        <v>1878</v>
      </c>
      <c r="B1880" s="397" t="inlineStr">
        <is>
          <t>KH1952</t>
        </is>
      </c>
      <c r="C1880" s="398" t="inlineStr">
        <is>
          <t>Anh Phần - Cty Phúc Thiên An -  Mang yang / 0974.890.689</t>
        </is>
      </c>
      <c r="D1880" s="397" t="inlineStr">
        <is>
          <t>0974.890.689</t>
        </is>
      </c>
      <c r="E1880" s="399" t="n"/>
      <c r="F1880" s="398" t="inlineStr">
        <is>
          <t>Mang Yang - Gia Lai</t>
        </is>
      </c>
      <c r="G1880" s="397" t="inlineStr">
        <is>
          <t>GLAI</t>
        </is>
      </c>
      <c r="H1880" s="399" t="n"/>
      <c r="J1880" s="392">
        <f>IFERROR(UPPER(TRIM(B1880))&amp;"|"&amp;UPPER(TRIM(C1880))&amp;"|"&amp;UPPER(TRIM(D1880)),"")</f>
        <v/>
      </c>
    </row>
    <row r="1881" ht="15.75" customHeight="1" s="217">
      <c r="A1881" s="400" t="n">
        <v>1879</v>
      </c>
      <c r="B1881" s="400" t="inlineStr">
        <is>
          <t>KH1939</t>
        </is>
      </c>
      <c r="C1881" s="401" t="inlineStr">
        <is>
          <t>Anh Tuyên - Bình Dương / 0988.172.175</t>
        </is>
      </c>
      <c r="D1881" s="400" t="inlineStr">
        <is>
          <t>0988.172.175</t>
        </is>
      </c>
      <c r="E1881" s="402" t="n"/>
      <c r="F1881" s="401" t="inlineStr">
        <is>
          <t>Thuận An - Bình Dương</t>
        </is>
      </c>
      <c r="G1881" s="400" t="inlineStr">
        <is>
          <t>BDUONG</t>
        </is>
      </c>
      <c r="H1881" s="402" t="n"/>
      <c r="J1881" s="392">
        <f>IFERROR(UPPER(TRIM(B1881))&amp;"|"&amp;UPPER(TRIM(C1881))&amp;"|"&amp;UPPER(TRIM(D1881)),"")</f>
        <v/>
      </c>
    </row>
    <row r="1882" ht="15.75" customHeight="1" s="217">
      <c r="A1882" s="397" t="n">
        <v>1880</v>
      </c>
      <c r="B1882" s="397" t="inlineStr">
        <is>
          <t>KH1940</t>
        </is>
      </c>
      <c r="C1882" s="398" t="inlineStr">
        <is>
          <t>Xưởng Chú Tít - Sài Gòn/ 0937.661.839</t>
        </is>
      </c>
      <c r="D1882" s="397" t="inlineStr">
        <is>
          <t>0937.661.839</t>
        </is>
      </c>
      <c r="E1882" s="399" t="n"/>
      <c r="F1882" s="398" t="inlineStr">
        <is>
          <t>Sài Gòn</t>
        </is>
      </c>
      <c r="G1882" s="397" t="inlineStr">
        <is>
          <t>SG/HCM</t>
        </is>
      </c>
      <c r="H1882" s="399" t="n"/>
      <c r="J1882" s="392">
        <f>IFERROR(UPPER(TRIM(B1882))&amp;"|"&amp;UPPER(TRIM(C1882))&amp;"|"&amp;UPPER(TRIM(D1882)),"")</f>
        <v/>
      </c>
    </row>
    <row r="1883" ht="15.75" customHeight="1" s="217">
      <c r="A1883" s="400" t="n">
        <v>1881</v>
      </c>
      <c r="B1883" s="400" t="inlineStr">
        <is>
          <t>KH1941</t>
        </is>
      </c>
      <c r="C1883" s="401" t="inlineStr">
        <is>
          <t>Bãi Máy Anh Hoàng - Quận 8 / 0933.151.234</t>
        </is>
      </c>
      <c r="D1883" s="400" t="inlineStr">
        <is>
          <t>0933.151.234</t>
        </is>
      </c>
      <c r="E1883" s="402" t="n"/>
      <c r="F1883" s="401" t="inlineStr">
        <is>
          <t>Quận 8, TP HCM</t>
        </is>
      </c>
      <c r="G1883" s="400" t="inlineStr">
        <is>
          <t>SG/HCM</t>
        </is>
      </c>
      <c r="H1883" s="402" t="n"/>
      <c r="J1883" s="392">
        <f>IFERROR(UPPER(TRIM(B1883))&amp;"|"&amp;UPPER(TRIM(C1883))&amp;"|"&amp;UPPER(TRIM(D1883)),"")</f>
        <v/>
      </c>
    </row>
    <row r="1884" ht="15.75" customHeight="1" s="217">
      <c r="A1884" s="397" t="n">
        <v>1882</v>
      </c>
      <c r="B1884" s="397" t="inlineStr">
        <is>
          <t>KH1942</t>
        </is>
      </c>
      <c r="C1884" s="398" t="inlineStr">
        <is>
          <t>Xưởng Anh Tính - Tân Vạn / A.Tính 0977.281.709</t>
        </is>
      </c>
      <c r="D1884" s="397" t="inlineStr">
        <is>
          <t>0977.281.709</t>
        </is>
      </c>
      <c r="E1884" s="399" t="n"/>
      <c r="F1884" s="398" t="inlineStr">
        <is>
          <t>Ngã Tư Bình Thung , Tân Vạn</t>
        </is>
      </c>
      <c r="G1884" s="397" t="inlineStr">
        <is>
          <t>BDUONG</t>
        </is>
      </c>
      <c r="H1884" s="399" t="n"/>
      <c r="J1884" s="392">
        <f>IFERROR(UPPER(TRIM(B1884))&amp;"|"&amp;UPPER(TRIM(C1884))&amp;"|"&amp;UPPER(TRIM(D1884)),"")</f>
        <v/>
      </c>
    </row>
    <row r="1885" ht="15.75" customHeight="1" s="217">
      <c r="A1885" s="400" t="n">
        <v>1883</v>
      </c>
      <c r="B1885" s="400" t="inlineStr">
        <is>
          <t>KH1945</t>
        </is>
      </c>
      <c r="C1885" s="401" t="inlineStr">
        <is>
          <t>Anh Long - Quận 9/ 0933.739.959</t>
        </is>
      </c>
      <c r="D1885" s="400" t="inlineStr">
        <is>
          <t>0933.739.959</t>
        </is>
      </c>
      <c r="E1885" s="402" t="n"/>
      <c r="F1885" s="401" t="inlineStr">
        <is>
          <t>Quận 9 - TP HCM</t>
        </is>
      </c>
      <c r="G1885" s="400" t="inlineStr">
        <is>
          <t>SG/HCM</t>
        </is>
      </c>
      <c r="H1885" s="402" t="n"/>
      <c r="J1885" s="392">
        <f>IFERROR(UPPER(TRIM(B1885))&amp;"|"&amp;UPPER(TRIM(C1885))&amp;"|"&amp;UPPER(TRIM(D1885)),"")</f>
        <v/>
      </c>
    </row>
    <row r="1886" ht="15.75" customHeight="1" s="217">
      <c r="A1886" s="397" t="n">
        <v>1884</v>
      </c>
      <c r="B1886" s="397" t="inlineStr">
        <is>
          <t>KH1946</t>
        </is>
      </c>
      <c r="C1886" s="398" t="inlineStr">
        <is>
          <t>Anh Năm - Trảng Bom/ 0919.953.042</t>
        </is>
      </c>
      <c r="D1886" s="397" t="inlineStr">
        <is>
          <t>0919.953.042</t>
        </is>
      </c>
      <c r="E1886" s="399" t="n"/>
      <c r="F1886" s="398" t="inlineStr">
        <is>
          <t>Đồng Nai</t>
        </is>
      </c>
      <c r="G1886" s="397" t="inlineStr">
        <is>
          <t>ÐNAI</t>
        </is>
      </c>
      <c r="H1886" s="399" t="n"/>
      <c r="J1886" s="392">
        <f>IFERROR(UPPER(TRIM(B1886))&amp;"|"&amp;UPPER(TRIM(C1886))&amp;"|"&amp;UPPER(TRIM(D1886)),"")</f>
        <v/>
      </c>
    </row>
    <row r="1887" ht="15.75" customHeight="1" s="217">
      <c r="A1887" s="400" t="n">
        <v>1885</v>
      </c>
      <c r="B1887" s="400" t="inlineStr">
        <is>
          <t>KH1935</t>
        </is>
      </c>
      <c r="C1887" s="401" t="inlineStr">
        <is>
          <t>Anh Nguyên - Suối Tiên / 0903.744.722</t>
        </is>
      </c>
      <c r="D1887" s="400" t="inlineStr">
        <is>
          <t>0903.744.722</t>
        </is>
      </c>
      <c r="E1887" s="402" t="n"/>
      <c r="F1887" s="401" t="inlineStr">
        <is>
          <t>Suối Tiên - TP HCM</t>
        </is>
      </c>
      <c r="G1887" s="400" t="inlineStr">
        <is>
          <t>SG/HCM</t>
        </is>
      </c>
      <c r="H1887" s="402" t="n"/>
      <c r="J1887" s="392">
        <f>IFERROR(UPPER(TRIM(B1887))&amp;"|"&amp;UPPER(TRIM(C1887))&amp;"|"&amp;UPPER(TRIM(D1887)),"")</f>
        <v/>
      </c>
    </row>
    <row r="1888" ht="15.75" customHeight="1" s="217">
      <c r="A1888" s="397" t="n">
        <v>1886</v>
      </c>
      <c r="B1888" s="397" t="inlineStr">
        <is>
          <t>KH1936</t>
        </is>
      </c>
      <c r="C1888" s="398" t="inlineStr">
        <is>
          <t>Anh Linh - Cty Hồng Tín - Bình Dương / 0985.237.017</t>
        </is>
      </c>
      <c r="D1888" s="397" t="inlineStr">
        <is>
          <t>0985.237.017</t>
        </is>
      </c>
      <c r="E1888" s="399" t="n"/>
      <c r="F1888" s="398" t="inlineStr">
        <is>
          <t>Bình Dương</t>
        </is>
      </c>
      <c r="G1888" s="397" t="inlineStr">
        <is>
          <t>BDUONG</t>
        </is>
      </c>
      <c r="H1888" s="399" t="n"/>
      <c r="J1888" s="392">
        <f>IFERROR(UPPER(TRIM(B1888))&amp;"|"&amp;UPPER(TRIM(C1888))&amp;"|"&amp;UPPER(TRIM(D1888)),"")</f>
        <v/>
      </c>
    </row>
    <row r="1889" ht="15.75" customHeight="1" s="217">
      <c r="A1889" s="400" t="n">
        <v>1887</v>
      </c>
      <c r="B1889" s="400" t="inlineStr">
        <is>
          <t>KH1937</t>
        </is>
      </c>
      <c r="C1889" s="401" t="inlineStr">
        <is>
          <t>Anh Đông - Đồng Nai / 0907.181.729</t>
        </is>
      </c>
      <c r="D1889" s="400" t="inlineStr">
        <is>
          <t>0907.181.729</t>
        </is>
      </c>
      <c r="E1889" s="402" t="n"/>
      <c r="F1889" s="401" t="inlineStr">
        <is>
          <t>Đồng Nai</t>
        </is>
      </c>
      <c r="G1889" s="400" t="inlineStr">
        <is>
          <t>ÐNAI</t>
        </is>
      </c>
      <c r="H1889" s="402" t="n"/>
      <c r="J1889" s="392">
        <f>IFERROR(UPPER(TRIM(B1889))&amp;"|"&amp;UPPER(TRIM(C1889))&amp;"|"&amp;UPPER(TRIM(D1889)),"")</f>
        <v/>
      </c>
    </row>
    <row r="1890" ht="15.75" customHeight="1" s="217">
      <c r="A1890" s="397" t="n">
        <v>1888</v>
      </c>
      <c r="B1890" s="397" t="inlineStr">
        <is>
          <t>KH1938</t>
        </is>
      </c>
      <c r="C1890" s="398" t="inlineStr">
        <is>
          <t>Anh Thảo - Vạn Giã - Khánh Hòa / 0967.598.259</t>
        </is>
      </c>
      <c r="D1890" s="397" t="inlineStr">
        <is>
          <t>0967.598.259</t>
        </is>
      </c>
      <c r="E1890" s="399" t="n"/>
      <c r="F1890" s="398" t="inlineStr">
        <is>
          <t>Vạn Giã - Cam Ranh - Khánh Hòa</t>
        </is>
      </c>
      <c r="G1890" s="397" t="inlineStr">
        <is>
          <t>NTRANG</t>
        </is>
      </c>
      <c r="H1890" s="399" t="n"/>
      <c r="J1890" s="392">
        <f>IFERROR(UPPER(TRIM(B1890))&amp;"|"&amp;UPPER(TRIM(C1890))&amp;"|"&amp;UPPER(TRIM(D1890)),"")</f>
        <v/>
      </c>
    </row>
    <row r="1891" ht="15.75" customHeight="1" s="217">
      <c r="A1891" s="400" t="n">
        <v>1889</v>
      </c>
      <c r="B1891" s="400" t="inlineStr">
        <is>
          <t>MN56</t>
        </is>
      </c>
      <c r="C1891" s="401" t="inlineStr">
        <is>
          <t>Mạnh - Kho</t>
        </is>
      </c>
      <c r="D1891" s="402" t="n"/>
      <c r="E1891" s="402" t="n"/>
      <c r="F1891" s="401" t="inlineStr">
        <is>
          <t>CTCP CG Miền Nam</t>
        </is>
      </c>
      <c r="G1891" s="402" t="n"/>
      <c r="H1891" s="402" t="n"/>
      <c r="J1891" s="392">
        <f>IFERROR(UPPER(TRIM(B1891))&amp;"|"&amp;UPPER(TRIM(C1891))&amp;"|"&amp;UPPER(TRIM(D1891)),"")</f>
        <v/>
      </c>
    </row>
    <row r="1892" ht="15.75" customHeight="1" s="217">
      <c r="A1892" s="397" t="n">
        <v>1890</v>
      </c>
      <c r="B1892" s="397" t="inlineStr">
        <is>
          <t>KH1933</t>
        </is>
      </c>
      <c r="C1892" s="398" t="inlineStr">
        <is>
          <t>Bãi Máy Thái Lâm Long - Suối Tiên / 0938.667.068 , 0938.179.068</t>
        </is>
      </c>
      <c r="D1892" s="397" t="inlineStr">
        <is>
          <t>0938.667.068 / 0938.179.068</t>
        </is>
      </c>
      <c r="E1892" s="399" t="n"/>
      <c r="F1892" s="398" t="inlineStr">
        <is>
          <t>Suối Tiên , TP HCM</t>
        </is>
      </c>
      <c r="G1892" s="397" t="inlineStr">
        <is>
          <t>SG/HCM</t>
        </is>
      </c>
      <c r="H1892" s="399" t="n"/>
      <c r="J1892" s="392">
        <f>IFERROR(UPPER(TRIM(B1892))&amp;"|"&amp;UPPER(TRIM(C1892))&amp;"|"&amp;UPPER(TRIM(D1892)),"")</f>
        <v/>
      </c>
    </row>
    <row r="1893" ht="15.75" customHeight="1" s="217">
      <c r="A1893" s="400" t="n">
        <v>1891</v>
      </c>
      <c r="B1893" s="400" t="inlineStr">
        <is>
          <t>KH1934</t>
        </is>
      </c>
      <c r="C1893" s="401" t="inlineStr">
        <is>
          <t>Anh Dương -  Xuân Lộc / 0984.775.599</t>
        </is>
      </c>
      <c r="D1893" s="400" t="inlineStr">
        <is>
          <t>0984.775.599</t>
        </is>
      </c>
      <c r="E1893" s="402" t="n"/>
      <c r="F1893" s="401" t="inlineStr">
        <is>
          <t>Xuân Lộc - Đồng Nai</t>
        </is>
      </c>
      <c r="G1893" s="400" t="inlineStr">
        <is>
          <t>ÐNAI</t>
        </is>
      </c>
      <c r="H1893" s="402" t="n"/>
      <c r="J1893" s="392">
        <f>IFERROR(UPPER(TRIM(B1893))&amp;"|"&amp;UPPER(TRIM(C1893))&amp;"|"&amp;UPPER(TRIM(D1893)),"")</f>
        <v/>
      </c>
    </row>
    <row r="1894" ht="15.75" customHeight="1" s="217">
      <c r="A1894" s="397" t="n">
        <v>1892</v>
      </c>
      <c r="B1894" s="397" t="inlineStr">
        <is>
          <t>KH1930</t>
        </is>
      </c>
      <c r="C1894" s="398" t="inlineStr">
        <is>
          <t>Quỳnh Anh - Bảo Lộc / 0973.823.782</t>
        </is>
      </c>
      <c r="D1894" s="397" t="inlineStr">
        <is>
          <t>0973.823.782</t>
        </is>
      </c>
      <c r="E1894" s="399" t="n"/>
      <c r="F1894" s="398" t="inlineStr">
        <is>
          <t>Bảo Lộc - Lâm Đồng</t>
        </is>
      </c>
      <c r="G1894" s="397" t="inlineStr">
        <is>
          <t>LDONG</t>
        </is>
      </c>
      <c r="H1894" s="399" t="n"/>
      <c r="J1894" s="392">
        <f>IFERROR(UPPER(TRIM(B1894))&amp;"|"&amp;UPPER(TRIM(C1894))&amp;"|"&amp;UPPER(TRIM(D1894)),"")</f>
        <v/>
      </c>
    </row>
    <row r="1895" ht="15.75" customHeight="1" s="217">
      <c r="A1895" s="400" t="n">
        <v>1893</v>
      </c>
      <c r="B1895" s="400" t="inlineStr">
        <is>
          <t>KH1931</t>
        </is>
      </c>
      <c r="C1895" s="401" t="inlineStr">
        <is>
          <t>Cửa hàng Kim Hòa Phát - Đắk Nông / 0964.811.777</t>
        </is>
      </c>
      <c r="D1895" s="400" t="inlineStr">
        <is>
          <t>0964.811.777</t>
        </is>
      </c>
      <c r="E1895" s="402" t="n"/>
      <c r="F1895" s="401" t="inlineStr">
        <is>
          <t>Đắk Nông</t>
        </is>
      </c>
      <c r="G1895" s="400" t="inlineStr">
        <is>
          <t>DNONG</t>
        </is>
      </c>
      <c r="H1895" s="402" t="n"/>
      <c r="J1895" s="392">
        <f>IFERROR(UPPER(TRIM(B1895))&amp;"|"&amp;UPPER(TRIM(C1895))&amp;"|"&amp;UPPER(TRIM(D1895)),"")</f>
        <v/>
      </c>
    </row>
    <row r="1896" ht="15.75" customHeight="1" s="217">
      <c r="A1896" s="397" t="n">
        <v>1894</v>
      </c>
      <c r="B1896" s="397" t="inlineStr">
        <is>
          <t>KH1932</t>
        </is>
      </c>
      <c r="C1896" s="398" t="inlineStr">
        <is>
          <t>Chú Hùng - Bình Phước / 0977.175.554</t>
        </is>
      </c>
      <c r="D1896" s="397" t="inlineStr">
        <is>
          <t>0977.175.554</t>
        </is>
      </c>
      <c r="E1896" s="399" t="n"/>
      <c r="F1896" s="398" t="inlineStr">
        <is>
          <t>Bình Phước</t>
        </is>
      </c>
      <c r="G1896" s="397" t="inlineStr">
        <is>
          <t>BP</t>
        </is>
      </c>
      <c r="H1896" s="399" t="n"/>
      <c r="J1896" s="392">
        <f>IFERROR(UPPER(TRIM(B1896))&amp;"|"&amp;UPPER(TRIM(C1896))&amp;"|"&amp;UPPER(TRIM(D1896)),"")</f>
        <v/>
      </c>
    </row>
    <row r="1897" ht="15.75" customHeight="1" s="217">
      <c r="A1897" s="400" t="n">
        <v>1895</v>
      </c>
      <c r="B1897" s="400" t="inlineStr">
        <is>
          <t>KH1921</t>
        </is>
      </c>
      <c r="C1897" s="401" t="inlineStr">
        <is>
          <t>Anh Thạo - SG / 0162.771.6277</t>
        </is>
      </c>
      <c r="D1897" s="400" t="inlineStr">
        <is>
          <t>0162.771.6277</t>
        </is>
      </c>
      <c r="E1897" s="402" t="n"/>
      <c r="F1897" s="401" t="inlineStr">
        <is>
          <t>TP HCM</t>
        </is>
      </c>
      <c r="G1897" s="402" t="n"/>
      <c r="H1897" s="402" t="n"/>
      <c r="J1897" s="392">
        <f>IFERROR(UPPER(TRIM(B1897))&amp;"|"&amp;UPPER(TRIM(C1897))&amp;"|"&amp;UPPER(TRIM(D1897)),"")</f>
        <v/>
      </c>
    </row>
    <row r="1898" ht="15.75" customHeight="1" s="217">
      <c r="A1898" s="397" t="n">
        <v>1896</v>
      </c>
      <c r="B1898" s="397" t="inlineStr">
        <is>
          <t>KH1922</t>
        </is>
      </c>
      <c r="C1898" s="398" t="inlineStr">
        <is>
          <t>Anh Dự - Bến Tre / 0915.741.888</t>
        </is>
      </c>
      <c r="D1898" s="397" t="inlineStr">
        <is>
          <t>0915.741.888</t>
        </is>
      </c>
      <c r="E1898" s="399" t="n"/>
      <c r="F1898" s="398" t="inlineStr">
        <is>
          <t>Bến Tre</t>
        </is>
      </c>
      <c r="G1898" s="399" t="n"/>
      <c r="H1898" s="399" t="n"/>
      <c r="J1898" s="392">
        <f>IFERROR(UPPER(TRIM(B1898))&amp;"|"&amp;UPPER(TRIM(C1898))&amp;"|"&amp;UPPER(TRIM(D1898)),"")</f>
        <v/>
      </c>
    </row>
    <row r="1899" ht="15.75" customHeight="1" s="217">
      <c r="A1899" s="400" t="n">
        <v>1897</v>
      </c>
      <c r="B1899" s="400" t="inlineStr">
        <is>
          <t>KH1923</t>
        </is>
      </c>
      <c r="C1899" s="401" t="inlineStr">
        <is>
          <t>Anh Tính - Thủ Đức / 0933.616.325</t>
        </is>
      </c>
      <c r="D1899" s="400" t="inlineStr">
        <is>
          <t>0933.616.325</t>
        </is>
      </c>
      <c r="E1899" s="402" t="n"/>
      <c r="F1899" s="401" t="inlineStr">
        <is>
          <t>SG</t>
        </is>
      </c>
      <c r="G1899" s="400" t="inlineStr">
        <is>
          <t>SG/HCM</t>
        </is>
      </c>
      <c r="H1899" s="402" t="n"/>
      <c r="J1899" s="392">
        <f>IFERROR(UPPER(TRIM(B1899))&amp;"|"&amp;UPPER(TRIM(C1899))&amp;"|"&amp;UPPER(TRIM(D1899)),"")</f>
        <v/>
      </c>
    </row>
    <row r="1900" ht="15.75" customHeight="1" s="217">
      <c r="A1900" s="397" t="n">
        <v>1898</v>
      </c>
      <c r="B1900" s="397" t="inlineStr">
        <is>
          <t>KH1924</t>
        </is>
      </c>
      <c r="C1900" s="398" t="inlineStr">
        <is>
          <t>Anh Phai - Bến Lức, Long An/ 0947.028.918</t>
        </is>
      </c>
      <c r="D1900" s="397" t="inlineStr">
        <is>
          <t>0947.028.918</t>
        </is>
      </c>
      <c r="E1900" s="399" t="n"/>
      <c r="F1900" s="398" t="inlineStr">
        <is>
          <t>Long An</t>
        </is>
      </c>
      <c r="G1900" s="397" t="inlineStr">
        <is>
          <t>LA</t>
        </is>
      </c>
      <c r="H1900" s="399" t="n"/>
      <c r="J1900" s="392">
        <f>IFERROR(UPPER(TRIM(B1900))&amp;"|"&amp;UPPER(TRIM(C1900))&amp;"|"&amp;UPPER(TRIM(D1900)),"")</f>
        <v/>
      </c>
    </row>
    <row r="1901" ht="15.75" customHeight="1" s="217">
      <c r="A1901" s="400" t="n">
        <v>1899</v>
      </c>
      <c r="B1901" s="400" t="inlineStr">
        <is>
          <t>KH1925</t>
        </is>
      </c>
      <c r="C1901" s="401" t="inlineStr">
        <is>
          <t>Anh Tân - Cty Phan Vũ Quận 1 / 0908.645.084</t>
        </is>
      </c>
      <c r="D1901" s="400" t="inlineStr">
        <is>
          <t>0908.645.084</t>
        </is>
      </c>
      <c r="E1901" s="402" t="n"/>
      <c r="F1901" s="401" t="inlineStr">
        <is>
          <t>Quận 1, TP HCM</t>
        </is>
      </c>
      <c r="G1901" s="400" t="inlineStr">
        <is>
          <t>SG/HCM</t>
        </is>
      </c>
      <c r="H1901" s="402" t="n"/>
      <c r="J1901" s="392">
        <f>IFERROR(UPPER(TRIM(B1901))&amp;"|"&amp;UPPER(TRIM(C1901))&amp;"|"&amp;UPPER(TRIM(D1901)),"")</f>
        <v/>
      </c>
    </row>
    <row r="1902" ht="15.75" customHeight="1" s="217">
      <c r="A1902" s="397" t="n">
        <v>1900</v>
      </c>
      <c r="B1902" s="397" t="inlineStr">
        <is>
          <t>KH1926</t>
        </is>
      </c>
      <c r="C1902" s="398" t="inlineStr">
        <is>
          <t>Bãi Máy Nhật Tân - Bình Chánh / 0939.488.599</t>
        </is>
      </c>
      <c r="D1902" s="397" t="inlineStr">
        <is>
          <t>0939.488.599</t>
        </is>
      </c>
      <c r="E1902" s="399" t="n"/>
      <c r="F1902" s="398" t="inlineStr">
        <is>
          <t>Bình Chánh, TP HCM</t>
        </is>
      </c>
      <c r="G1902" s="397" t="inlineStr">
        <is>
          <t>SG/HCM</t>
        </is>
      </c>
      <c r="H1902" s="399" t="n"/>
      <c r="J1902" s="392">
        <f>IFERROR(UPPER(TRIM(B1902))&amp;"|"&amp;UPPER(TRIM(C1902))&amp;"|"&amp;UPPER(TRIM(D1902)),"")</f>
        <v/>
      </c>
    </row>
    <row r="1903" ht="15.75" customHeight="1" s="217">
      <c r="A1903" s="400" t="n">
        <v>1901</v>
      </c>
      <c r="B1903" s="400" t="inlineStr">
        <is>
          <t>KH1927</t>
        </is>
      </c>
      <c r="C1903" s="401" t="inlineStr">
        <is>
          <t>Cửa Hàng Anh Phát - Bình Chánh / 0938.967.167</t>
        </is>
      </c>
      <c r="D1903" s="400" t="inlineStr">
        <is>
          <t>0938.967.167</t>
        </is>
      </c>
      <c r="E1903" s="402" t="n"/>
      <c r="F1903" s="401" t="inlineStr">
        <is>
          <t>Bình Chánh , TP HCM</t>
        </is>
      </c>
      <c r="G1903" s="400" t="inlineStr">
        <is>
          <t>SG/HCM</t>
        </is>
      </c>
      <c r="H1903" s="402" t="n"/>
      <c r="J1903" s="392">
        <f>IFERROR(UPPER(TRIM(B1903))&amp;"|"&amp;UPPER(TRIM(C1903))&amp;"|"&amp;UPPER(TRIM(D1903)),"")</f>
        <v/>
      </c>
    </row>
    <row r="1904" ht="15.75" customHeight="1" s="217">
      <c r="A1904" s="397" t="n">
        <v>1902</v>
      </c>
      <c r="B1904" s="397" t="inlineStr">
        <is>
          <t>KH1928</t>
        </is>
      </c>
      <c r="C1904" s="398" t="inlineStr">
        <is>
          <t>Cửa Hàng Hoa Liên - Hàng Xanh / 0835.128.263</t>
        </is>
      </c>
      <c r="D1904" s="397" t="inlineStr">
        <is>
          <t>0835.128.263</t>
        </is>
      </c>
      <c r="E1904" s="399" t="n"/>
      <c r="F1904" s="398" t="inlineStr">
        <is>
          <t>Hàng Xanh , TP HCM</t>
        </is>
      </c>
      <c r="G1904" s="397" t="inlineStr">
        <is>
          <t>SG/HCM</t>
        </is>
      </c>
      <c r="H1904" s="399" t="n"/>
      <c r="J1904" s="392">
        <f>IFERROR(UPPER(TRIM(B1904))&amp;"|"&amp;UPPER(TRIM(C1904))&amp;"|"&amp;UPPER(TRIM(D1904)),"")</f>
        <v/>
      </c>
    </row>
    <row r="1905" ht="15.75" customHeight="1" s="217">
      <c r="A1905" s="400" t="n">
        <v>1903</v>
      </c>
      <c r="B1905" s="400" t="inlineStr">
        <is>
          <t>KH1929</t>
        </is>
      </c>
      <c r="C1905" s="401" t="inlineStr">
        <is>
          <t>Anh Quyền - Cty Sông Lam / 0918.300.609</t>
        </is>
      </c>
      <c r="D1905" s="400" t="inlineStr">
        <is>
          <t>0918.300.609</t>
        </is>
      </c>
      <c r="E1905" s="402" t="n"/>
      <c r="F1905" s="401" t="inlineStr">
        <is>
          <t>TP HCM</t>
        </is>
      </c>
      <c r="G1905" s="400" t="inlineStr">
        <is>
          <t>SG/HCM</t>
        </is>
      </c>
      <c r="H1905" s="402" t="n"/>
      <c r="J1905" s="392">
        <f>IFERROR(UPPER(TRIM(B1905))&amp;"|"&amp;UPPER(TRIM(C1905))&amp;"|"&amp;UPPER(TRIM(D1905)),"")</f>
        <v/>
      </c>
    </row>
    <row r="1906" ht="15.75" customHeight="1" s="217">
      <c r="A1906" s="397" t="n">
        <v>1904</v>
      </c>
      <c r="B1906" s="397" t="inlineStr">
        <is>
          <t>KH1918</t>
        </is>
      </c>
      <c r="C1906" s="398" t="inlineStr">
        <is>
          <t>Anh Hiền - Nhà Bè / 0906.395.059</t>
        </is>
      </c>
      <c r="D1906" s="397" t="inlineStr">
        <is>
          <t>0906.395.059</t>
        </is>
      </c>
      <c r="E1906" s="399" t="n"/>
      <c r="F1906" s="398" t="inlineStr">
        <is>
          <t>Nhà Bè , TP HCM</t>
        </is>
      </c>
      <c r="G1906" s="399" t="n"/>
      <c r="H1906" s="399" t="n"/>
      <c r="J1906" s="392">
        <f>IFERROR(UPPER(TRIM(B1906))&amp;"|"&amp;UPPER(TRIM(C1906))&amp;"|"&amp;UPPER(TRIM(D1906)),"")</f>
        <v/>
      </c>
    </row>
    <row r="1907" ht="15.75" customHeight="1" s="217">
      <c r="A1907" s="400" t="n">
        <v>1905</v>
      </c>
      <c r="B1907" s="400" t="inlineStr">
        <is>
          <t>KH1919</t>
        </is>
      </c>
      <c r="C1907" s="401" t="inlineStr">
        <is>
          <t>Anh Tình - Củ Chi/ 0935.452.526</t>
        </is>
      </c>
      <c r="D1907" s="400" t="inlineStr">
        <is>
          <t>0935.452.526</t>
        </is>
      </c>
      <c r="E1907" s="402" t="n"/>
      <c r="F1907" s="401" t="inlineStr">
        <is>
          <t>Củ Chi - TP.HCM</t>
        </is>
      </c>
      <c r="G1907" s="400" t="inlineStr">
        <is>
          <t>SG/HCM</t>
        </is>
      </c>
      <c r="H1907" s="402" t="n"/>
      <c r="J1907" s="392">
        <f>IFERROR(UPPER(TRIM(B1907))&amp;"|"&amp;UPPER(TRIM(C1907))&amp;"|"&amp;UPPER(TRIM(D1907)),"")</f>
        <v/>
      </c>
    </row>
    <row r="1908" ht="15.75" customHeight="1" s="217">
      <c r="A1908" s="397" t="n">
        <v>1906</v>
      </c>
      <c r="B1908" s="397" t="inlineStr">
        <is>
          <t>KH1920</t>
        </is>
      </c>
      <c r="C1908" s="398" t="inlineStr">
        <is>
          <t>Chị Phụng - Vũng Tàu/ 0888.007.778</t>
        </is>
      </c>
      <c r="D1908" s="397" t="inlineStr">
        <is>
          <t>0888.007.778</t>
        </is>
      </c>
      <c r="E1908" s="399" t="n"/>
      <c r="F1908" s="398" t="inlineStr">
        <is>
          <t>Long Điền - Vũng Tàu</t>
        </is>
      </c>
      <c r="G1908" s="397" t="inlineStr">
        <is>
          <t>BRVT</t>
        </is>
      </c>
      <c r="H1908" s="399" t="n"/>
      <c r="J1908" s="392">
        <f>IFERROR(UPPER(TRIM(B1908))&amp;"|"&amp;UPPER(TRIM(C1908))&amp;"|"&amp;UPPER(TRIM(D1908)),"")</f>
        <v/>
      </c>
    </row>
    <row r="1909" ht="15.75" customHeight="1" s="217">
      <c r="A1909" s="400" t="n">
        <v>1907</v>
      </c>
      <c r="B1909" s="400" t="inlineStr">
        <is>
          <t>KH1916</t>
        </is>
      </c>
      <c r="C1909" s="401" t="inlineStr">
        <is>
          <t>Chú Trang - Cát Lái / 01663.264.113</t>
        </is>
      </c>
      <c r="D1909" s="400" t="inlineStr">
        <is>
          <t>01663.264.113</t>
        </is>
      </c>
      <c r="E1909" s="402" t="n"/>
      <c r="F1909" s="401" t="inlineStr">
        <is>
          <t>Cát Lái</t>
        </is>
      </c>
      <c r="G1909" s="402" t="n"/>
      <c r="H1909" s="402" t="n"/>
      <c r="J1909" s="392">
        <f>IFERROR(UPPER(TRIM(B1909))&amp;"|"&amp;UPPER(TRIM(C1909))&amp;"|"&amp;UPPER(TRIM(D1909)),"")</f>
        <v/>
      </c>
    </row>
    <row r="1910" ht="15.75" customHeight="1" s="217">
      <c r="A1910" s="397" t="n">
        <v>1908</v>
      </c>
      <c r="B1910" s="397" t="inlineStr">
        <is>
          <t>KH1917</t>
        </is>
      </c>
      <c r="C1910" s="398" t="inlineStr">
        <is>
          <t>Anh Thành - Ngã tư Bình Phước/ 0973.956.879</t>
        </is>
      </c>
      <c r="D1910" s="397" t="inlineStr">
        <is>
          <t>0973.956.879</t>
        </is>
      </c>
      <c r="E1910" s="399" t="n"/>
      <c r="F1910" s="398" t="inlineStr">
        <is>
          <t>Ngã Tư Bình Phước</t>
        </is>
      </c>
      <c r="G1910" s="397" t="inlineStr">
        <is>
          <t>SG/HCM</t>
        </is>
      </c>
      <c r="H1910" s="399" t="n"/>
      <c r="J1910" s="392">
        <f>IFERROR(UPPER(TRIM(B1910))&amp;"|"&amp;UPPER(TRIM(C1910))&amp;"|"&amp;UPPER(TRIM(D1910)),"")</f>
        <v/>
      </c>
    </row>
    <row r="1911" ht="15.75" customHeight="1" s="217">
      <c r="A1911" s="400" t="n">
        <v>1909</v>
      </c>
      <c r="B1911" s="400" t="inlineStr">
        <is>
          <t>KH1912</t>
        </is>
      </c>
      <c r="C1911" s="401" t="inlineStr">
        <is>
          <t>Anh Hoàng - Suối Tiên / 0969.675.427</t>
        </is>
      </c>
      <c r="D1911" s="400" t="inlineStr">
        <is>
          <t>0969.675.427</t>
        </is>
      </c>
      <c r="E1911" s="402" t="n"/>
      <c r="F1911" s="401" t="inlineStr">
        <is>
          <t>Suối Tiên, TP HCM</t>
        </is>
      </c>
      <c r="G1911" s="402" t="n"/>
      <c r="H1911" s="402" t="n"/>
      <c r="J1911" s="392">
        <f>IFERROR(UPPER(TRIM(B1911))&amp;"|"&amp;UPPER(TRIM(C1911))&amp;"|"&amp;UPPER(TRIM(D1911)),"")</f>
        <v/>
      </c>
    </row>
    <row r="1912" ht="15.75" customHeight="1" s="217">
      <c r="A1912" s="397" t="n">
        <v>1910</v>
      </c>
      <c r="B1912" s="397" t="inlineStr">
        <is>
          <t>KH1913</t>
        </is>
      </c>
      <c r="C1912" s="398" t="inlineStr">
        <is>
          <t>Anh Vương - Bến Cát/ 0908.580.306</t>
        </is>
      </c>
      <c r="D1912" s="397" t="inlineStr">
        <is>
          <t>0908.580.306</t>
        </is>
      </c>
      <c r="E1912" s="399" t="n"/>
      <c r="F1912" s="398" t="inlineStr">
        <is>
          <t>Bến Cát - Bình Dương</t>
        </is>
      </c>
      <c r="G1912" s="397" t="inlineStr">
        <is>
          <t>BDUONG</t>
        </is>
      </c>
      <c r="H1912" s="399" t="n"/>
      <c r="J1912" s="392">
        <f>IFERROR(UPPER(TRIM(B1912))&amp;"|"&amp;UPPER(TRIM(C1912))&amp;"|"&amp;UPPER(TRIM(D1912)),"")</f>
        <v/>
      </c>
    </row>
    <row r="1913" ht="15.75" customHeight="1" s="217">
      <c r="A1913" s="400" t="n">
        <v>1911</v>
      </c>
      <c r="B1913" s="400" t="inlineStr">
        <is>
          <t>KH1914</t>
        </is>
      </c>
      <c r="C1913" s="401" t="inlineStr">
        <is>
          <t>Anh Phi -  Bình Thuận/ 01233.222.177</t>
        </is>
      </c>
      <c r="D1913" s="400" t="inlineStr">
        <is>
          <t>01233.222.177</t>
        </is>
      </c>
      <c r="E1913" s="402" t="n"/>
      <c r="F1913" s="401" t="inlineStr">
        <is>
          <t>Bình Thuận</t>
        </is>
      </c>
      <c r="G1913" s="400" t="inlineStr">
        <is>
          <t>BTHUAN</t>
        </is>
      </c>
      <c r="H1913" s="402" t="n"/>
      <c r="J1913" s="392">
        <f>IFERROR(UPPER(TRIM(B1913))&amp;"|"&amp;UPPER(TRIM(C1913))&amp;"|"&amp;UPPER(TRIM(D1913)),"")</f>
        <v/>
      </c>
    </row>
    <row r="1914" ht="15.75" customHeight="1" s="217">
      <c r="A1914" s="397" t="n">
        <v>1912</v>
      </c>
      <c r="B1914" s="397" t="inlineStr">
        <is>
          <t>KH1915</t>
        </is>
      </c>
      <c r="C1914" s="398" t="inlineStr">
        <is>
          <t>Công Ty Môi Trường - Anh Khoa Quận 12/ 0982.113.223</t>
        </is>
      </c>
      <c r="D1914" s="397" t="inlineStr">
        <is>
          <t>0982.113.223</t>
        </is>
      </c>
      <c r="E1914" s="399" t="n"/>
      <c r="F1914" s="398" t="inlineStr">
        <is>
          <t>Quận 12. TP HCM</t>
        </is>
      </c>
      <c r="G1914" s="399" t="n"/>
      <c r="H1914" s="399" t="n"/>
      <c r="J1914" s="392">
        <f>IFERROR(UPPER(TRIM(B1914))&amp;"|"&amp;UPPER(TRIM(C1914))&amp;"|"&amp;UPPER(TRIM(D1914)),"")</f>
        <v/>
      </c>
    </row>
    <row r="1915" ht="15.75" customHeight="1" s="217">
      <c r="A1915" s="400" t="n">
        <v>1913</v>
      </c>
      <c r="B1915" s="400" t="inlineStr">
        <is>
          <t>KH1911</t>
        </is>
      </c>
      <c r="C1915" s="401" t="inlineStr">
        <is>
          <t>Chú Trí - SG / 0975.433.636</t>
        </is>
      </c>
      <c r="D1915" s="400" t="inlineStr">
        <is>
          <t>0975.433.636</t>
        </is>
      </c>
      <c r="E1915" s="402" t="n"/>
      <c r="F1915" s="401" t="inlineStr">
        <is>
          <t>TP HCM</t>
        </is>
      </c>
      <c r="G1915" s="402" t="n"/>
      <c r="H1915" s="402" t="n"/>
      <c r="J1915" s="392">
        <f>IFERROR(UPPER(TRIM(B1915))&amp;"|"&amp;UPPER(TRIM(C1915))&amp;"|"&amp;UPPER(TRIM(D1915)),"")</f>
        <v/>
      </c>
    </row>
    <row r="1916" ht="15.75" customHeight="1" s="217">
      <c r="A1916" s="397" t="n">
        <v>1914</v>
      </c>
      <c r="B1916" s="397" t="inlineStr">
        <is>
          <t>KH1909</t>
        </is>
      </c>
      <c r="C1916" s="398" t="inlineStr">
        <is>
          <t>Công Ty 492 - Anh Cường/ 0983.048.140</t>
        </is>
      </c>
      <c r="D1916" s="397" t="inlineStr">
        <is>
          <t>0983.048.140</t>
        </is>
      </c>
      <c r="E1916" s="399" t="n"/>
      <c r="F1916" s="398" t="inlineStr">
        <is>
          <t>198, Trường Thịnh - Lê Lợi, TP Vinh, Nghệ An</t>
        </is>
      </c>
      <c r="G1916" s="397" t="inlineStr">
        <is>
          <t>SG/HCM</t>
        </is>
      </c>
      <c r="H1916" s="399" t="n"/>
      <c r="J1916" s="392">
        <f>IFERROR(UPPER(TRIM(B1916))&amp;"|"&amp;UPPER(TRIM(C1916))&amp;"|"&amp;UPPER(TRIM(D1916)),"")</f>
        <v/>
      </c>
    </row>
    <row r="1917" ht="15.75" customHeight="1" s="217">
      <c r="A1917" s="400" t="n">
        <v>1915</v>
      </c>
      <c r="B1917" s="400" t="inlineStr">
        <is>
          <t>KH1910</t>
        </is>
      </c>
      <c r="C1917" s="401" t="inlineStr">
        <is>
          <t>Anh Chín - Ninh Thuận / 0985.718.887</t>
        </is>
      </c>
      <c r="D1917" s="400" t="inlineStr">
        <is>
          <t>0985.718.887</t>
        </is>
      </c>
      <c r="E1917" s="402" t="n"/>
      <c r="F1917" s="401" t="inlineStr">
        <is>
          <t>Ninh Thuận</t>
        </is>
      </c>
      <c r="G1917" s="400" t="inlineStr">
        <is>
          <t>NTHUAN</t>
        </is>
      </c>
      <c r="H1917" s="402" t="n"/>
      <c r="J1917" s="392">
        <f>IFERROR(UPPER(TRIM(B1917))&amp;"|"&amp;UPPER(TRIM(C1917))&amp;"|"&amp;UPPER(TRIM(D1917)),"")</f>
        <v/>
      </c>
    </row>
    <row r="1918" ht="15.75" customHeight="1" s="217">
      <c r="A1918" s="397" t="n">
        <v>1916</v>
      </c>
      <c r="B1918" s="397" t="inlineStr">
        <is>
          <t>KH1907</t>
        </is>
      </c>
      <c r="C1918" s="398" t="inlineStr">
        <is>
          <t>Anh Tòng - Gò Vấp, SG /0988.279.387</t>
        </is>
      </c>
      <c r="D1918" s="397" t="inlineStr">
        <is>
          <t>0988.279.387</t>
        </is>
      </c>
      <c r="E1918" s="399" t="n"/>
      <c r="F1918" s="398" t="inlineStr">
        <is>
          <t>Sài Gòn</t>
        </is>
      </c>
      <c r="G1918" s="397" t="inlineStr">
        <is>
          <t>SG/HCM</t>
        </is>
      </c>
      <c r="H1918" s="399" t="n"/>
      <c r="J1918" s="392">
        <f>IFERROR(UPPER(TRIM(B1918))&amp;"|"&amp;UPPER(TRIM(C1918))&amp;"|"&amp;UPPER(TRIM(D1918)),"")</f>
        <v/>
      </c>
    </row>
    <row r="1919" ht="15.75" customHeight="1" s="217">
      <c r="A1919" s="400" t="n">
        <v>1917</v>
      </c>
      <c r="B1919" s="400" t="inlineStr">
        <is>
          <t>KH1903</t>
        </is>
      </c>
      <c r="C1919" s="401" t="inlineStr">
        <is>
          <t>Anh Lực - Bình Dương / 0918.081.372</t>
        </is>
      </c>
      <c r="D1919" s="400" t="inlineStr">
        <is>
          <t>0918.081.372</t>
        </is>
      </c>
      <c r="E1919" s="402" t="n"/>
      <c r="F1919" s="401" t="inlineStr">
        <is>
          <t>Bình Dương</t>
        </is>
      </c>
      <c r="G1919" s="400" t="inlineStr">
        <is>
          <t>BDUONG</t>
        </is>
      </c>
      <c r="H1919" s="402" t="n"/>
      <c r="J1919" s="392">
        <f>IFERROR(UPPER(TRIM(B1919))&amp;"|"&amp;UPPER(TRIM(C1919))&amp;"|"&amp;UPPER(TRIM(D1919)),"")</f>
        <v/>
      </c>
    </row>
    <row r="1920" ht="15.75" customHeight="1" s="217">
      <c r="A1920" s="397" t="n">
        <v>1918</v>
      </c>
      <c r="B1920" s="397" t="inlineStr">
        <is>
          <t>KH1904</t>
        </is>
      </c>
      <c r="C1920" s="398" t="inlineStr">
        <is>
          <t>Anh Sương - Bình Phước / 0978.021.345</t>
        </is>
      </c>
      <c r="D1920" s="397" t="inlineStr">
        <is>
          <t>0978.021.345</t>
        </is>
      </c>
      <c r="E1920" s="399" t="n"/>
      <c r="F1920" s="398" t="inlineStr">
        <is>
          <t>Bình Phước</t>
        </is>
      </c>
      <c r="G1920" s="397" t="inlineStr">
        <is>
          <t>BDUONG</t>
        </is>
      </c>
      <c r="H1920" s="399" t="n"/>
      <c r="J1920" s="392">
        <f>IFERROR(UPPER(TRIM(B1920))&amp;"|"&amp;UPPER(TRIM(C1920))&amp;"|"&amp;UPPER(TRIM(D1920)),"")</f>
        <v/>
      </c>
    </row>
    <row r="1921" ht="15.75" customHeight="1" s="217">
      <c r="A1921" s="400" t="n">
        <v>1919</v>
      </c>
      <c r="B1921" s="400" t="inlineStr">
        <is>
          <t>KH1905</t>
        </is>
      </c>
      <c r="C1921" s="401" t="inlineStr">
        <is>
          <t>Xưởng tiện Ánh Mai Hưng - Ngã 4 Bình Phước/ 0903.733.999</t>
        </is>
      </c>
      <c r="D1921" s="400" t="inlineStr">
        <is>
          <t>0903.733.999</t>
        </is>
      </c>
      <c r="E1921" s="402" t="n"/>
      <c r="F1921" s="401" t="inlineStr">
        <is>
          <t>729 QL13, Thủ Đức</t>
        </is>
      </c>
      <c r="G1921" s="400" t="inlineStr">
        <is>
          <t>SG/HCM</t>
        </is>
      </c>
      <c r="H1921" s="402" t="n"/>
      <c r="J1921" s="392">
        <f>IFERROR(UPPER(TRIM(B1921))&amp;"|"&amp;UPPER(TRIM(C1921))&amp;"|"&amp;UPPER(TRIM(D1921)),"")</f>
        <v/>
      </c>
    </row>
    <row r="1922" ht="15.75" customHeight="1" s="217">
      <c r="A1922" s="397" t="n">
        <v>1920</v>
      </c>
      <c r="B1922" s="397" t="inlineStr">
        <is>
          <t>KH1906</t>
        </is>
      </c>
      <c r="C1922" s="398" t="inlineStr">
        <is>
          <t>Anh Đạt - Bình Thạnh, SG/ 0988.444.364</t>
        </is>
      </c>
      <c r="D1922" s="397" t="inlineStr">
        <is>
          <t>0988.444.364</t>
        </is>
      </c>
      <c r="E1922" s="399" t="n"/>
      <c r="F1922" s="398" t="inlineStr">
        <is>
          <t>SG</t>
        </is>
      </c>
      <c r="G1922" s="397" t="inlineStr">
        <is>
          <t>SG/HCM</t>
        </is>
      </c>
      <c r="H1922" s="399" t="n"/>
      <c r="J1922" s="392">
        <f>IFERROR(UPPER(TRIM(B1922))&amp;"|"&amp;UPPER(TRIM(C1922))&amp;"|"&amp;UPPER(TRIM(D1922)),"")</f>
        <v/>
      </c>
    </row>
    <row r="1923" ht="15.75" customHeight="1" s="217">
      <c r="A1923" s="400" t="n">
        <v>1921</v>
      </c>
      <c r="B1923" s="400" t="inlineStr">
        <is>
          <t>KH1899</t>
        </is>
      </c>
      <c r="C1923" s="401" t="inlineStr">
        <is>
          <t>Anh Thuận - Bến Cát / 0911.412.516</t>
        </is>
      </c>
      <c r="D1923" s="400" t="inlineStr">
        <is>
          <t>0911.412.516</t>
        </is>
      </c>
      <c r="E1923" s="402" t="n"/>
      <c r="F1923" s="401" t="inlineStr">
        <is>
          <t>Bến Cát, Bình Dương</t>
        </is>
      </c>
      <c r="G1923" s="400" t="inlineStr">
        <is>
          <t>SG/HCM</t>
        </is>
      </c>
      <c r="H1923" s="402" t="n"/>
      <c r="J1923" s="392">
        <f>IFERROR(UPPER(TRIM(B1923))&amp;"|"&amp;UPPER(TRIM(C1923))&amp;"|"&amp;UPPER(TRIM(D1923)),"")</f>
        <v/>
      </c>
    </row>
    <row r="1924" ht="15.75" customHeight="1" s="217">
      <c r="A1924" s="397" t="n">
        <v>1922</v>
      </c>
      <c r="B1924" s="397" t="inlineStr">
        <is>
          <t>KH1900</t>
        </is>
      </c>
      <c r="C1924" s="398" t="inlineStr">
        <is>
          <t>BM Anh Lợi - Suối Tiên / 0933.994.117</t>
        </is>
      </c>
      <c r="D1924" s="397" t="inlineStr">
        <is>
          <t>0933.994.117</t>
        </is>
      </c>
      <c r="E1924" s="399" t="n"/>
      <c r="F1924" s="398" t="inlineStr">
        <is>
          <t>Suối Tiên - TP HCM</t>
        </is>
      </c>
      <c r="G1924" s="397" t="inlineStr">
        <is>
          <t>SG/HCM</t>
        </is>
      </c>
      <c r="H1924" s="399" t="n"/>
      <c r="J1924" s="392">
        <f>IFERROR(UPPER(TRIM(B1924))&amp;"|"&amp;UPPER(TRIM(C1924))&amp;"|"&amp;UPPER(TRIM(D1924)),"")</f>
        <v/>
      </c>
    </row>
    <row r="1925" ht="15.75" customHeight="1" s="217">
      <c r="A1925" s="400" t="n">
        <v>1923</v>
      </c>
      <c r="B1925" s="400" t="inlineStr">
        <is>
          <t>KH1901</t>
        </is>
      </c>
      <c r="C1925" s="401" t="inlineStr">
        <is>
          <t>Chú Hiền - Hóc Môn / 0903.932.638</t>
        </is>
      </c>
      <c r="D1925" s="400" t="inlineStr">
        <is>
          <t>0903.932.638</t>
        </is>
      </c>
      <c r="E1925" s="402" t="n"/>
      <c r="F1925" s="401" t="inlineStr">
        <is>
          <t>HCM</t>
        </is>
      </c>
      <c r="G1925" s="400" t="inlineStr">
        <is>
          <t>SG/HCM</t>
        </is>
      </c>
      <c r="H1925" s="402" t="n"/>
      <c r="J1925" s="392">
        <f>IFERROR(UPPER(TRIM(B1925))&amp;"|"&amp;UPPER(TRIM(C1925))&amp;"|"&amp;UPPER(TRIM(D1925)),"")</f>
        <v/>
      </c>
    </row>
    <row r="1926" ht="15.75" customHeight="1" s="217">
      <c r="A1926" s="397" t="n">
        <v>1924</v>
      </c>
      <c r="B1926" s="397" t="inlineStr">
        <is>
          <t>KH1902</t>
        </is>
      </c>
      <c r="C1926" s="398" t="inlineStr">
        <is>
          <t>Anh Minh - Bảo Lộc / 0988.846.668</t>
        </is>
      </c>
      <c r="D1926" s="397" t="inlineStr">
        <is>
          <t>0988.846.668</t>
        </is>
      </c>
      <c r="E1926" s="399" t="n"/>
      <c r="F1926" s="398" t="inlineStr">
        <is>
          <t>Bảo Lộc</t>
        </is>
      </c>
      <c r="G1926" s="397" t="inlineStr">
        <is>
          <t>LDONG</t>
        </is>
      </c>
      <c r="H1926" s="399" t="n"/>
      <c r="J1926" s="392">
        <f>IFERROR(UPPER(TRIM(B1926))&amp;"|"&amp;UPPER(TRIM(C1926))&amp;"|"&amp;UPPER(TRIM(D1926)),"")</f>
        <v/>
      </c>
    </row>
    <row r="1927" ht="15.75" customHeight="1" s="217">
      <c r="A1927" s="400" t="n">
        <v>1925</v>
      </c>
      <c r="B1927" s="400" t="inlineStr">
        <is>
          <t>KH1898</t>
        </is>
      </c>
      <c r="C1927" s="401" t="inlineStr">
        <is>
          <t>Anh Hưng -Bình Tân / 0903.397.085</t>
        </is>
      </c>
      <c r="D1927" s="400" t="inlineStr">
        <is>
          <t>0903.397.085</t>
        </is>
      </c>
      <c r="E1927" s="402" t="n"/>
      <c r="F1927" s="401" t="inlineStr">
        <is>
          <t>Đường số 5, Bình Hưng Hòa, Bình Tân , TP HCM</t>
        </is>
      </c>
      <c r="G1927" s="400" t="inlineStr">
        <is>
          <t>SG/HCM</t>
        </is>
      </c>
      <c r="H1927" s="402" t="n"/>
      <c r="J1927" s="392">
        <f>IFERROR(UPPER(TRIM(B1927))&amp;"|"&amp;UPPER(TRIM(C1927))&amp;"|"&amp;UPPER(TRIM(D1927)),"")</f>
        <v/>
      </c>
    </row>
    <row r="1928" ht="15.75" customHeight="1" s="217">
      <c r="A1928" s="397" t="n">
        <v>1926</v>
      </c>
      <c r="B1928" s="397" t="inlineStr">
        <is>
          <t>KH1894</t>
        </is>
      </c>
      <c r="C1928" s="398" t="inlineStr">
        <is>
          <t>Chú Khanh - Bình Chánh / 0913.602.695</t>
        </is>
      </c>
      <c r="D1928" s="397" t="inlineStr">
        <is>
          <t>0913.602.695</t>
        </is>
      </c>
      <c r="E1928" s="399" t="n"/>
      <c r="F1928" s="398" t="inlineStr">
        <is>
          <t>Bình Chánh - TP HCM</t>
        </is>
      </c>
      <c r="G1928" s="397" t="inlineStr">
        <is>
          <t>SG/HCM</t>
        </is>
      </c>
      <c r="H1928" s="399" t="n"/>
      <c r="J1928" s="392">
        <f>IFERROR(UPPER(TRIM(B1928))&amp;"|"&amp;UPPER(TRIM(C1928))&amp;"|"&amp;UPPER(TRIM(D1928)),"")</f>
        <v/>
      </c>
    </row>
    <row r="1929" ht="15.75" customHeight="1" s="217">
      <c r="A1929" s="400" t="n">
        <v>1927</v>
      </c>
      <c r="B1929" s="400" t="inlineStr">
        <is>
          <t>KH1895</t>
        </is>
      </c>
      <c r="C1929" s="401" t="inlineStr">
        <is>
          <t>Anh Lộc - Quận 9 / 0974.059.121</t>
        </is>
      </c>
      <c r="D1929" s="400" t="inlineStr">
        <is>
          <t>0974.059.121</t>
        </is>
      </c>
      <c r="E1929" s="402" t="n"/>
      <c r="F1929" s="401" t="inlineStr">
        <is>
          <t>Quận 9, TP HCM</t>
        </is>
      </c>
      <c r="G1929" s="400" t="inlineStr">
        <is>
          <t>SG/HCM</t>
        </is>
      </c>
      <c r="H1929" s="402" t="n"/>
      <c r="J1929" s="392">
        <f>IFERROR(UPPER(TRIM(B1929))&amp;"|"&amp;UPPER(TRIM(C1929))&amp;"|"&amp;UPPER(TRIM(D1929)),"")</f>
        <v/>
      </c>
    </row>
    <row r="1930" ht="15.75" customHeight="1" s="217">
      <c r="A1930" s="397" t="n">
        <v>1928</v>
      </c>
      <c r="B1930" s="397" t="inlineStr">
        <is>
          <t>KH1896</t>
        </is>
      </c>
      <c r="C1930" s="398" t="inlineStr">
        <is>
          <t>Anh Quốc - Củ Chi / 0985.804.456</t>
        </is>
      </c>
      <c r="D1930" s="397" t="inlineStr">
        <is>
          <t>0985.804.456</t>
        </is>
      </c>
      <c r="E1930" s="399" t="n"/>
      <c r="F1930" s="398" t="inlineStr">
        <is>
          <t>Củ Chi , TP HCM</t>
        </is>
      </c>
      <c r="G1930" s="397" t="inlineStr">
        <is>
          <t>SG/HCM</t>
        </is>
      </c>
      <c r="H1930" s="399" t="n"/>
      <c r="J1930" s="392">
        <f>IFERROR(UPPER(TRIM(B1930))&amp;"|"&amp;UPPER(TRIM(C1930))&amp;"|"&amp;UPPER(TRIM(D1930)),"")</f>
        <v/>
      </c>
    </row>
    <row r="1931" ht="15.75" customHeight="1" s="217">
      <c r="A1931" s="400" t="n">
        <v>1929</v>
      </c>
      <c r="B1931" s="400" t="inlineStr">
        <is>
          <t>KH1897</t>
        </is>
      </c>
      <c r="C1931" s="401" t="inlineStr">
        <is>
          <t>Anh Đăng - Củ Chi / 0986.050.200</t>
        </is>
      </c>
      <c r="D1931" s="400" t="inlineStr">
        <is>
          <t>0986.050.200</t>
        </is>
      </c>
      <c r="E1931" s="402" t="n"/>
      <c r="F1931" s="401" t="inlineStr">
        <is>
          <t>Củ Chi - TP HCM</t>
        </is>
      </c>
      <c r="G1931" s="400" t="inlineStr">
        <is>
          <t>SG/HCM</t>
        </is>
      </c>
      <c r="H1931" s="402" t="n"/>
      <c r="J1931" s="392">
        <f>IFERROR(UPPER(TRIM(B1931))&amp;"|"&amp;UPPER(TRIM(C1931))&amp;"|"&amp;UPPER(TRIM(D1931)),"")</f>
        <v/>
      </c>
    </row>
    <row r="1932" ht="15.75" customHeight="1" s="217">
      <c r="A1932" s="397" t="n">
        <v>1930</v>
      </c>
      <c r="B1932" s="397" t="inlineStr">
        <is>
          <t>KH1891</t>
        </is>
      </c>
      <c r="C1932" s="398" t="inlineStr">
        <is>
          <t>Anh Nguyên - Tây Ninh / 0974.645.299</t>
        </is>
      </c>
      <c r="D1932" s="397" t="inlineStr">
        <is>
          <t>0974.645.299</t>
        </is>
      </c>
      <c r="E1932" s="399" t="n"/>
      <c r="F1932" s="398" t="inlineStr">
        <is>
          <t>Tây Ninh</t>
        </is>
      </c>
      <c r="G1932" s="397" t="inlineStr">
        <is>
          <t>SG/HCM</t>
        </is>
      </c>
      <c r="H1932" s="399" t="n"/>
      <c r="J1932" s="392">
        <f>IFERROR(UPPER(TRIM(B1932))&amp;"|"&amp;UPPER(TRIM(C1932))&amp;"|"&amp;UPPER(TRIM(D1932)),"")</f>
        <v/>
      </c>
    </row>
    <row r="1933" ht="15.75" customHeight="1" s="217">
      <c r="A1933" s="400" t="n">
        <v>1931</v>
      </c>
      <c r="B1933" s="400" t="inlineStr">
        <is>
          <t>KH1892</t>
        </is>
      </c>
      <c r="C1933" s="401" t="inlineStr">
        <is>
          <t>Anh Đức - Vĩnh Long / 0919.787.989</t>
        </is>
      </c>
      <c r="D1933" s="400" t="inlineStr">
        <is>
          <t>0919.787.989</t>
        </is>
      </c>
      <c r="E1933" s="402" t="n"/>
      <c r="F1933" s="401" t="inlineStr">
        <is>
          <t>Vĩnh Long</t>
        </is>
      </c>
      <c r="G1933" s="400" t="inlineStr">
        <is>
          <t>SG/HCM</t>
        </is>
      </c>
      <c r="H1933" s="402" t="n"/>
      <c r="J1933" s="392">
        <f>IFERROR(UPPER(TRIM(B1933))&amp;"|"&amp;UPPER(TRIM(C1933))&amp;"|"&amp;UPPER(TRIM(D1933)),"")</f>
        <v/>
      </c>
    </row>
    <row r="1934" ht="15.75" customHeight="1" s="217">
      <c r="A1934" s="397" t="n">
        <v>1932</v>
      </c>
      <c r="B1934" s="397" t="inlineStr">
        <is>
          <t>KH1893</t>
        </is>
      </c>
      <c r="C1934" s="398" t="inlineStr">
        <is>
          <t>Anh Tân - Cam Ranh / 0978.562.642</t>
        </is>
      </c>
      <c r="D1934" s="397" t="inlineStr">
        <is>
          <t>0978.562.642</t>
        </is>
      </c>
      <c r="E1934" s="399" t="n"/>
      <c r="F1934" s="398" t="inlineStr">
        <is>
          <t>Cam Ranh</t>
        </is>
      </c>
      <c r="G1934" s="397" t="inlineStr">
        <is>
          <t>SG/HCM</t>
        </is>
      </c>
      <c r="H1934" s="399" t="n"/>
      <c r="J1934" s="392">
        <f>IFERROR(UPPER(TRIM(B1934))&amp;"|"&amp;UPPER(TRIM(C1934))&amp;"|"&amp;UPPER(TRIM(D1934)),"")</f>
        <v/>
      </c>
    </row>
    <row r="1935" ht="15.75" customHeight="1" s="217">
      <c r="A1935" s="400" t="n">
        <v>1933</v>
      </c>
      <c r="B1935" s="400" t="inlineStr">
        <is>
          <t>KH1889</t>
        </is>
      </c>
      <c r="C1935" s="401" t="inlineStr">
        <is>
          <t>Anh Tài - Bình Long / 0918.742.039</t>
        </is>
      </c>
      <c r="D1935" s="400" t="inlineStr">
        <is>
          <t>0918.742.039</t>
        </is>
      </c>
      <c r="E1935" s="402" t="n"/>
      <c r="F1935" s="401" t="inlineStr">
        <is>
          <t>Bình Long</t>
        </is>
      </c>
      <c r="G1935" s="400" t="inlineStr">
        <is>
          <t>SG/HCM</t>
        </is>
      </c>
      <c r="H1935" s="402" t="n"/>
      <c r="J1935" s="392">
        <f>IFERROR(UPPER(TRIM(B1935))&amp;"|"&amp;UPPER(TRIM(C1935))&amp;"|"&amp;UPPER(TRIM(D1935)),"")</f>
        <v/>
      </c>
    </row>
    <row r="1936" ht="15.75" customHeight="1" s="217">
      <c r="A1936" s="397" t="n">
        <v>1934</v>
      </c>
      <c r="B1936" s="397" t="inlineStr">
        <is>
          <t>KH1890</t>
        </is>
      </c>
      <c r="C1936" s="398" t="inlineStr">
        <is>
          <t>Anh Thảo - Bến Cát / 0783.552.604</t>
        </is>
      </c>
      <c r="D1936" s="397" t="inlineStr">
        <is>
          <t>0783.552.604</t>
        </is>
      </c>
      <c r="E1936" s="399" t="n"/>
      <c r="F1936" s="398" t="inlineStr">
        <is>
          <t>Bến Cát - Bình Dương</t>
        </is>
      </c>
      <c r="G1936" s="397" t="inlineStr">
        <is>
          <t>SG/HCM</t>
        </is>
      </c>
      <c r="H1936" s="399" t="n"/>
      <c r="J1936" s="392">
        <f>IFERROR(UPPER(TRIM(B1936))&amp;"|"&amp;UPPER(TRIM(C1936))&amp;"|"&amp;UPPER(TRIM(D1936)),"")</f>
        <v/>
      </c>
    </row>
    <row r="1937" ht="15.75" customHeight="1" s="217">
      <c r="A1937" s="400" t="n">
        <v>1935</v>
      </c>
      <c r="B1937" s="400" t="inlineStr">
        <is>
          <t>KH1886</t>
        </is>
      </c>
      <c r="C1937" s="401" t="inlineStr">
        <is>
          <t>Anh Minh Tấn - Quận 9/ 0908.617.565</t>
        </is>
      </c>
      <c r="D1937" s="400" t="inlineStr">
        <is>
          <t>0908.617.565</t>
        </is>
      </c>
      <c r="E1937" s="402" t="n"/>
      <c r="F1937" s="401" t="inlineStr">
        <is>
          <t>Sài Gòn</t>
        </is>
      </c>
      <c r="G1937" s="400" t="inlineStr">
        <is>
          <t>SG/HCM</t>
        </is>
      </c>
      <c r="H1937" s="402" t="n"/>
      <c r="J1937" s="392">
        <f>IFERROR(UPPER(TRIM(B1937))&amp;"|"&amp;UPPER(TRIM(C1937))&amp;"|"&amp;UPPER(TRIM(D1937)),"")</f>
        <v/>
      </c>
    </row>
    <row r="1938" ht="15.75" customHeight="1" s="217">
      <c r="A1938" s="397" t="n">
        <v>1936</v>
      </c>
      <c r="B1938" s="397" t="inlineStr">
        <is>
          <t>KH1887</t>
        </is>
      </c>
      <c r="C1938" s="398" t="inlineStr">
        <is>
          <t>Cửa Hàng Đại Nam - Quận 7 / Chị Hồng 0938.447.490</t>
        </is>
      </c>
      <c r="D1938" s="397" t="inlineStr">
        <is>
          <t>0938.447.490</t>
        </is>
      </c>
      <c r="E1938" s="399" t="n"/>
      <c r="F1938" s="398" t="inlineStr">
        <is>
          <t>Quận 7 , TP HCM</t>
        </is>
      </c>
      <c r="G1938" s="397" t="inlineStr">
        <is>
          <t>SG/HCM</t>
        </is>
      </c>
      <c r="H1938" s="399" t="n"/>
      <c r="J1938" s="392">
        <f>IFERROR(UPPER(TRIM(B1938))&amp;"|"&amp;UPPER(TRIM(C1938))&amp;"|"&amp;UPPER(TRIM(D1938)),"")</f>
        <v/>
      </c>
    </row>
    <row r="1939" ht="15.75" customHeight="1" s="217">
      <c r="A1939" s="400" t="n">
        <v>1937</v>
      </c>
      <c r="B1939" s="400" t="inlineStr">
        <is>
          <t>KH1888</t>
        </is>
      </c>
      <c r="C1939" s="401" t="inlineStr">
        <is>
          <t>Anh Tuấn SG / 0934 328 726</t>
        </is>
      </c>
      <c r="D1939" s="400" t="inlineStr">
        <is>
          <t>0934 328 726</t>
        </is>
      </c>
      <c r="E1939" s="402" t="n"/>
      <c r="F1939" s="401" t="inlineStr">
        <is>
          <t>SG</t>
        </is>
      </c>
      <c r="G1939" s="400" t="inlineStr">
        <is>
          <t>SG/HCM</t>
        </is>
      </c>
      <c r="H1939" s="402" t="n"/>
      <c r="J1939" s="392">
        <f>IFERROR(UPPER(TRIM(B1939))&amp;"|"&amp;UPPER(TRIM(C1939))&amp;"|"&amp;UPPER(TRIM(D1939)),"")</f>
        <v/>
      </c>
    </row>
    <row r="1940" ht="15.75" customHeight="1" s="217">
      <c r="A1940" s="397" t="n">
        <v>1938</v>
      </c>
      <c r="B1940" s="397" t="inlineStr">
        <is>
          <t>KH1884</t>
        </is>
      </c>
      <c r="C1940" s="398" t="inlineStr">
        <is>
          <t>Anh Tuấn - Phước Long / 0989.838.382</t>
        </is>
      </c>
      <c r="D1940" s="397" t="inlineStr">
        <is>
          <t>0989.838.382</t>
        </is>
      </c>
      <c r="E1940" s="399" t="n"/>
      <c r="F1940" s="398" t="inlineStr">
        <is>
          <t>Phước Long</t>
        </is>
      </c>
      <c r="G1940" s="399" t="n"/>
      <c r="H1940" s="399" t="n"/>
      <c r="J1940" s="392">
        <f>IFERROR(UPPER(TRIM(B1940))&amp;"|"&amp;UPPER(TRIM(C1940))&amp;"|"&amp;UPPER(TRIM(D1940)),"")</f>
        <v/>
      </c>
    </row>
    <row r="1941" ht="15.75" customHeight="1" s="217">
      <c r="A1941" s="400" t="n">
        <v>1939</v>
      </c>
      <c r="B1941" s="400" t="inlineStr">
        <is>
          <t>KH1885</t>
        </is>
      </c>
      <c r="C1941" s="401" t="inlineStr">
        <is>
          <t>Anh Huân - Nhà Bè (Cty TNHH SXTM Hưng Phát)/ 0989.089.499 - 0985.499.499</t>
        </is>
      </c>
      <c r="D1941" s="400" t="inlineStr">
        <is>
          <t>0989.089.499 / 0985.499.499</t>
        </is>
      </c>
      <c r="E1941" s="402" t="n"/>
      <c r="F1941" s="401" t="inlineStr">
        <is>
          <t>2711 Huỳnh Tấn Phát, Nhà Bè</t>
        </is>
      </c>
      <c r="G1941" s="400" t="inlineStr">
        <is>
          <t>SG/HCM</t>
        </is>
      </c>
      <c r="H1941" s="402" t="n"/>
      <c r="J1941" s="392">
        <f>IFERROR(UPPER(TRIM(B1941))&amp;"|"&amp;UPPER(TRIM(C1941))&amp;"|"&amp;UPPER(TRIM(D1941)),"")</f>
        <v/>
      </c>
    </row>
    <row r="1942" ht="15.75" customHeight="1" s="217">
      <c r="A1942" s="397" t="n">
        <v>1940</v>
      </c>
      <c r="B1942" s="397" t="inlineStr">
        <is>
          <t>HH</t>
        </is>
      </c>
      <c r="C1942" s="398" t="inlineStr">
        <is>
          <t>Fujian Huihua Group Southeast Cylinder Liner Co., Ltd</t>
        </is>
      </c>
      <c r="D1942" s="399" t="n"/>
      <c r="E1942" s="399" t="n"/>
      <c r="F1942" s="398" t="inlineStr">
        <is>
          <t>Ningbo, China</t>
        </is>
      </c>
      <c r="G1942" s="399" t="n"/>
      <c r="H1942" s="399" t="n"/>
      <c r="J1942" s="392">
        <f>IFERROR(UPPER(TRIM(B1942))&amp;"|"&amp;UPPER(TRIM(C1942))&amp;"|"&amp;UPPER(TRIM(D1942)),"")</f>
        <v/>
      </c>
    </row>
    <row r="1943" ht="15.75" customHeight="1" s="217">
      <c r="A1943" s="400" t="n">
        <v>1941</v>
      </c>
      <c r="B1943" s="400" t="inlineStr">
        <is>
          <t>KH1882</t>
        </is>
      </c>
      <c r="C1943" s="401" t="inlineStr">
        <is>
          <t>Anh Quân - SG / 0936 542 047</t>
        </is>
      </c>
      <c r="D1943" s="400" t="inlineStr">
        <is>
          <t>0936 542 047</t>
        </is>
      </c>
      <c r="E1943" s="402" t="n"/>
      <c r="F1943" s="401" t="inlineStr">
        <is>
          <t>SG</t>
        </is>
      </c>
      <c r="G1943" s="402" t="n"/>
      <c r="H1943" s="402" t="n"/>
      <c r="J1943" s="392">
        <f>IFERROR(UPPER(TRIM(B1943))&amp;"|"&amp;UPPER(TRIM(C1943))&amp;"|"&amp;UPPER(TRIM(D1943)),"")</f>
        <v/>
      </c>
    </row>
    <row r="1944" ht="15.75" customHeight="1" s="217">
      <c r="A1944" s="397" t="n">
        <v>1942</v>
      </c>
      <c r="B1944" s="397" t="inlineStr">
        <is>
          <t>KH1883</t>
        </is>
      </c>
      <c r="C1944" s="398" t="inlineStr">
        <is>
          <t>Anh Trường - Quận 12 / 0938.921.515</t>
        </is>
      </c>
      <c r="D1944" s="397" t="inlineStr">
        <is>
          <t>0938.921.515</t>
        </is>
      </c>
      <c r="E1944" s="399" t="n"/>
      <c r="F1944" s="398" t="inlineStr">
        <is>
          <t>Quận 12. TP HCM</t>
        </is>
      </c>
      <c r="G1944" s="399" t="n"/>
      <c r="H1944" s="399" t="n"/>
      <c r="J1944" s="392">
        <f>IFERROR(UPPER(TRIM(B1944))&amp;"|"&amp;UPPER(TRIM(C1944))&amp;"|"&amp;UPPER(TRIM(D1944)),"")</f>
        <v/>
      </c>
    </row>
    <row r="1945" ht="15.75" customHeight="1" s="217">
      <c r="A1945" s="400" t="n">
        <v>1943</v>
      </c>
      <c r="B1945" s="400" t="inlineStr">
        <is>
          <t>KH1880</t>
        </is>
      </c>
      <c r="C1945" s="401" t="inlineStr">
        <is>
          <t>Bãi Máy Anh Thức - Quận 1 /0902.222.216</t>
        </is>
      </c>
      <c r="D1945" s="400" t="inlineStr">
        <is>
          <t>0902.222.216</t>
        </is>
      </c>
      <c r="E1945" s="402" t="n"/>
      <c r="F1945" s="401" t="inlineStr">
        <is>
          <t>Sài Gòn</t>
        </is>
      </c>
      <c r="G1945" s="400" t="inlineStr">
        <is>
          <t>SG/HCM</t>
        </is>
      </c>
      <c r="H1945" s="402" t="n"/>
      <c r="J1945" s="392">
        <f>IFERROR(UPPER(TRIM(B1945))&amp;"|"&amp;UPPER(TRIM(C1945))&amp;"|"&amp;UPPER(TRIM(D1945)),"")</f>
        <v/>
      </c>
    </row>
    <row r="1946" ht="15.75" customHeight="1" s="217">
      <c r="A1946" s="397" t="n">
        <v>1944</v>
      </c>
      <c r="B1946" s="397" t="inlineStr">
        <is>
          <t>KH1881</t>
        </is>
      </c>
      <c r="C1946" s="398" t="inlineStr">
        <is>
          <t>Anh Long - Bình Thuận/ 01657.730.179</t>
        </is>
      </c>
      <c r="D1946" s="397" t="inlineStr">
        <is>
          <t>01657.730.179</t>
        </is>
      </c>
      <c r="E1946" s="399" t="n"/>
      <c r="F1946" s="398" t="inlineStr">
        <is>
          <t>Bình Thuận</t>
        </is>
      </c>
      <c r="G1946" s="397" t="inlineStr">
        <is>
          <t>BTHUAN</t>
        </is>
      </c>
      <c r="H1946" s="399" t="n"/>
      <c r="J1946" s="392">
        <f>IFERROR(UPPER(TRIM(B1946))&amp;"|"&amp;UPPER(TRIM(C1946))&amp;"|"&amp;UPPER(TRIM(D1946)),"")</f>
        <v/>
      </c>
    </row>
    <row r="1947" ht="15.75" customHeight="1" s="217">
      <c r="A1947" s="400" t="n">
        <v>1945</v>
      </c>
      <c r="B1947" s="400" t="inlineStr">
        <is>
          <t>KH1877</t>
        </is>
      </c>
      <c r="C1947" s="401" t="inlineStr">
        <is>
          <t>Anh La - Bến Cát / 0169 335 880</t>
        </is>
      </c>
      <c r="D1947" s="400" t="inlineStr">
        <is>
          <t>0169 335 880</t>
        </is>
      </c>
      <c r="E1947" s="402" t="n"/>
      <c r="F1947" s="401" t="inlineStr">
        <is>
          <t>Bến Cát</t>
        </is>
      </c>
      <c r="G1947" s="400" t="inlineStr">
        <is>
          <t>BDUONG</t>
        </is>
      </c>
      <c r="H1947" s="402" t="n"/>
      <c r="J1947" s="392">
        <f>IFERROR(UPPER(TRIM(B1947))&amp;"|"&amp;UPPER(TRIM(C1947))&amp;"|"&amp;UPPER(TRIM(D1947)),"")</f>
        <v/>
      </c>
    </row>
    <row r="1948" ht="15.75" customHeight="1" s="217">
      <c r="A1948" s="397" t="n">
        <v>1946</v>
      </c>
      <c r="B1948" s="397" t="inlineStr">
        <is>
          <t>KH1878</t>
        </is>
      </c>
      <c r="C1948" s="398" t="inlineStr">
        <is>
          <t>Anh Lâm - Nhà bè / 01687.686.917</t>
        </is>
      </c>
      <c r="D1948" s="397" t="inlineStr">
        <is>
          <t>01687.686.917</t>
        </is>
      </c>
      <c r="E1948" s="399" t="n"/>
      <c r="F1948" s="398" t="inlineStr">
        <is>
          <t>Nhà Bè , SG</t>
        </is>
      </c>
      <c r="G1948" s="397" t="inlineStr">
        <is>
          <t>SG/HCM</t>
        </is>
      </c>
      <c r="H1948" s="399" t="n"/>
      <c r="J1948" s="392">
        <f>IFERROR(UPPER(TRIM(B1948))&amp;"|"&amp;UPPER(TRIM(C1948))&amp;"|"&amp;UPPER(TRIM(D1948)),"")</f>
        <v/>
      </c>
    </row>
    <row r="1949" ht="15.75" customHeight="1" s="217">
      <c r="A1949" s="400" t="n">
        <v>1947</v>
      </c>
      <c r="B1949" s="400" t="inlineStr">
        <is>
          <t>KH1879</t>
        </is>
      </c>
      <c r="C1949" s="401" t="inlineStr">
        <is>
          <t>Chú Sơn - SG / 0907.788.658</t>
        </is>
      </c>
      <c r="D1949" s="400" t="inlineStr">
        <is>
          <t>0907.788.658</t>
        </is>
      </c>
      <c r="E1949" s="402" t="n"/>
      <c r="F1949" s="401" t="inlineStr">
        <is>
          <t>Sài Gòn</t>
        </is>
      </c>
      <c r="G1949" s="400" t="inlineStr">
        <is>
          <t>SG/HCM</t>
        </is>
      </c>
      <c r="H1949" s="402" t="n"/>
      <c r="J1949" s="392">
        <f>IFERROR(UPPER(TRIM(B1949))&amp;"|"&amp;UPPER(TRIM(C1949))&amp;"|"&amp;UPPER(TRIM(D1949)),"")</f>
        <v/>
      </c>
    </row>
    <row r="1950" ht="15.75" customHeight="1" s="217">
      <c r="A1950" s="397" t="n">
        <v>1948</v>
      </c>
      <c r="B1950" s="397" t="inlineStr">
        <is>
          <t>KH1875</t>
        </is>
      </c>
      <c r="C1950" s="398" t="inlineStr">
        <is>
          <t>Anh Long - Nhơn Trạch / 0901.551.303</t>
        </is>
      </c>
      <c r="D1950" s="397" t="inlineStr">
        <is>
          <t>0901.551.303</t>
        </is>
      </c>
      <c r="E1950" s="399" t="n"/>
      <c r="F1950" s="398" t="inlineStr">
        <is>
          <t>Nhơn Trạch - Đồng Nai</t>
        </is>
      </c>
      <c r="G1950" s="397" t="inlineStr">
        <is>
          <t>ÐNAI</t>
        </is>
      </c>
      <c r="H1950" s="399" t="n"/>
      <c r="J1950" s="392">
        <f>IFERROR(UPPER(TRIM(B1950))&amp;"|"&amp;UPPER(TRIM(C1950))&amp;"|"&amp;UPPER(TRIM(D1950)),"")</f>
        <v/>
      </c>
    </row>
    <row r="1951" ht="15.75" customHeight="1" s="217">
      <c r="A1951" s="400" t="n">
        <v>1949</v>
      </c>
      <c r="B1951" s="400" t="inlineStr">
        <is>
          <t>KH1876</t>
        </is>
      </c>
      <c r="C1951" s="401" t="inlineStr">
        <is>
          <t>Anh Long - Đắk Nông / 0979 524 848</t>
        </is>
      </c>
      <c r="D1951" s="400" t="inlineStr">
        <is>
          <t>0979 524 848</t>
        </is>
      </c>
      <c r="E1951" s="402" t="n"/>
      <c r="F1951" s="401" t="inlineStr">
        <is>
          <t>Đắk Nông</t>
        </is>
      </c>
      <c r="G1951" s="402" t="n"/>
      <c r="H1951" s="402" t="n"/>
      <c r="J1951" s="392">
        <f>IFERROR(UPPER(TRIM(B1951))&amp;"|"&amp;UPPER(TRIM(C1951))&amp;"|"&amp;UPPER(TRIM(D1951)),"")</f>
        <v/>
      </c>
    </row>
    <row r="1952" ht="15.75" customHeight="1" s="217">
      <c r="A1952" s="397" t="n">
        <v>1950</v>
      </c>
      <c r="B1952" s="397" t="inlineStr">
        <is>
          <t>KH1874</t>
        </is>
      </c>
      <c r="C1952" s="398" t="inlineStr">
        <is>
          <t>Chị Lan - Nhà Bè/ 0906.718.566</t>
        </is>
      </c>
      <c r="D1952" s="397" t="inlineStr">
        <is>
          <t>0906.718.566</t>
        </is>
      </c>
      <c r="E1952" s="399" t="n"/>
      <c r="F1952" s="398" t="inlineStr">
        <is>
          <t>Nhà Bè</t>
        </is>
      </c>
      <c r="G1952" s="397" t="inlineStr">
        <is>
          <t>SG/HCM</t>
        </is>
      </c>
      <c r="H1952" s="399" t="n"/>
      <c r="J1952" s="392">
        <f>IFERROR(UPPER(TRIM(B1952))&amp;"|"&amp;UPPER(TRIM(C1952))&amp;"|"&amp;UPPER(TRIM(D1952)),"")</f>
        <v/>
      </c>
    </row>
    <row r="1953" ht="15.75" customHeight="1" s="217">
      <c r="A1953" s="400" t="n">
        <v>1951</v>
      </c>
      <c r="B1953" s="400" t="inlineStr">
        <is>
          <t>KH1873</t>
        </is>
      </c>
      <c r="C1953" s="401" t="inlineStr">
        <is>
          <t>Anh Tuấn - Sài Gòn /0903.607.103</t>
        </is>
      </c>
      <c r="D1953" s="400" t="inlineStr">
        <is>
          <t>0903.607.103</t>
        </is>
      </c>
      <c r="E1953" s="402" t="n"/>
      <c r="F1953" s="401" t="inlineStr">
        <is>
          <t>Sài Gòn</t>
        </is>
      </c>
      <c r="G1953" s="400" t="inlineStr">
        <is>
          <t>SG/HCM</t>
        </is>
      </c>
      <c r="H1953" s="402" t="n"/>
      <c r="J1953" s="392">
        <f>IFERROR(UPPER(TRIM(B1953))&amp;"|"&amp;UPPER(TRIM(C1953))&amp;"|"&amp;UPPER(TRIM(D1953)),"")</f>
        <v/>
      </c>
    </row>
    <row r="1954" ht="15.75" customHeight="1" s="217">
      <c r="A1954" s="397" t="n">
        <v>1952</v>
      </c>
      <c r="B1954" s="397" t="inlineStr">
        <is>
          <t>KH1872</t>
        </is>
      </c>
      <c r="C1954" s="398" t="inlineStr">
        <is>
          <t>Anh Quang - Suối Tiên /0918.826.379</t>
        </is>
      </c>
      <c r="D1954" s="397" t="inlineStr">
        <is>
          <t>0918.826.379</t>
        </is>
      </c>
      <c r="E1954" s="399" t="n"/>
      <c r="F1954" s="398" t="inlineStr">
        <is>
          <t>Suối Tiên , SG</t>
        </is>
      </c>
      <c r="G1954" s="397" t="inlineStr">
        <is>
          <t>SG/HCM</t>
        </is>
      </c>
      <c r="H1954" s="399" t="n"/>
      <c r="J1954" s="392">
        <f>IFERROR(UPPER(TRIM(B1954))&amp;"|"&amp;UPPER(TRIM(C1954))&amp;"|"&amp;UPPER(TRIM(D1954)),"")</f>
        <v/>
      </c>
    </row>
    <row r="1955" ht="15.75" customHeight="1" s="217">
      <c r="A1955" s="400" t="n">
        <v>1953</v>
      </c>
      <c r="B1955" s="400" t="inlineStr">
        <is>
          <t>KH1871</t>
        </is>
      </c>
      <c r="C1955" s="401" t="inlineStr">
        <is>
          <t>Bãi Máy Vương Gia Lộc - Anh Viên - Đền Hùng, Q9 / 0913.931.520</t>
        </is>
      </c>
      <c r="D1955" s="400" t="inlineStr">
        <is>
          <t>0913.931.520</t>
        </is>
      </c>
      <c r="E1955" s="402" t="n"/>
      <c r="F1955" s="401" t="inlineStr">
        <is>
          <t>Quận 9, Sài Gòn</t>
        </is>
      </c>
      <c r="G1955" s="400" t="inlineStr">
        <is>
          <t>SG/HCM</t>
        </is>
      </c>
      <c r="H1955" s="402" t="n"/>
      <c r="J1955" s="392">
        <f>IFERROR(UPPER(TRIM(B1955))&amp;"|"&amp;UPPER(TRIM(C1955))&amp;"|"&amp;UPPER(TRIM(D1955)),"")</f>
        <v/>
      </c>
    </row>
    <row r="1956" ht="15.75" customHeight="1" s="217">
      <c r="A1956" s="397" t="n">
        <v>1954</v>
      </c>
      <c r="B1956" s="397" t="inlineStr">
        <is>
          <t>KH1870</t>
        </is>
      </c>
      <c r="C1956" s="398" t="inlineStr">
        <is>
          <t>Anh Thức - Bình Chánh/ 0938.295.008</t>
        </is>
      </c>
      <c r="D1956" s="397" t="inlineStr">
        <is>
          <t>0938.295.008</t>
        </is>
      </c>
      <c r="E1956" s="399" t="n"/>
      <c r="F1956" s="398" t="inlineStr">
        <is>
          <t>Bình Chánh - TP.HCM</t>
        </is>
      </c>
      <c r="G1956" s="397" t="inlineStr">
        <is>
          <t>SG/HCM</t>
        </is>
      </c>
      <c r="H1956" s="399" t="n"/>
      <c r="J1956" s="392">
        <f>IFERROR(UPPER(TRIM(B1956))&amp;"|"&amp;UPPER(TRIM(C1956))&amp;"|"&amp;UPPER(TRIM(D1956)),"")</f>
        <v/>
      </c>
    </row>
    <row r="1957" ht="15.75" customHeight="1" s="217">
      <c r="A1957" s="400" t="n">
        <v>1955</v>
      </c>
      <c r="B1957" s="400" t="inlineStr">
        <is>
          <t>KH1869</t>
        </is>
      </c>
      <c r="C1957" s="401" t="inlineStr">
        <is>
          <t>Anh Tý - Quận 7 / 0945.003.942</t>
        </is>
      </c>
      <c r="D1957" s="400" t="inlineStr">
        <is>
          <t>0945.003.942</t>
        </is>
      </c>
      <c r="E1957" s="402" t="n"/>
      <c r="F1957" s="401" t="inlineStr">
        <is>
          <t>Quận 7, SG</t>
        </is>
      </c>
      <c r="G1957" s="400" t="inlineStr">
        <is>
          <t>SG/HCM</t>
        </is>
      </c>
      <c r="H1957" s="402" t="n"/>
      <c r="J1957" s="392">
        <f>IFERROR(UPPER(TRIM(B1957))&amp;"|"&amp;UPPER(TRIM(C1957))&amp;"|"&amp;UPPER(TRIM(D1957)),"")</f>
        <v/>
      </c>
    </row>
    <row r="1958" ht="15.75" customHeight="1" s="217">
      <c r="A1958" s="397" t="n">
        <v>1956</v>
      </c>
      <c r="B1958" s="397" t="inlineStr">
        <is>
          <t>KH1866</t>
        </is>
      </c>
      <c r="C1958" s="398" t="inlineStr">
        <is>
          <t>Anh Hậu - Linh Xuân / 0945.996.667</t>
        </is>
      </c>
      <c r="D1958" s="397" t="inlineStr">
        <is>
          <t>0945.996.667</t>
        </is>
      </c>
      <c r="E1958" s="399" t="n"/>
      <c r="F1958" s="398" t="inlineStr">
        <is>
          <t>Linh Xuân - Thủ Đức- TP HCM</t>
        </is>
      </c>
      <c r="G1958" s="399" t="n"/>
      <c r="H1958" s="399" t="n"/>
      <c r="J1958" s="392">
        <f>IFERROR(UPPER(TRIM(B1958))&amp;"|"&amp;UPPER(TRIM(C1958))&amp;"|"&amp;UPPER(TRIM(D1958)),"")</f>
        <v/>
      </c>
    </row>
    <row r="1959" ht="15.75" customHeight="1" s="217">
      <c r="A1959" s="400" t="n">
        <v>1957</v>
      </c>
      <c r="B1959" s="400" t="inlineStr">
        <is>
          <t>KH1867</t>
        </is>
      </c>
      <c r="C1959" s="401" t="inlineStr">
        <is>
          <t>Gara Hưng Thịnh - Long An/ 0908.535.114</t>
        </is>
      </c>
      <c r="D1959" s="400" t="inlineStr">
        <is>
          <t>0908.535.114</t>
        </is>
      </c>
      <c r="E1959" s="402" t="n"/>
      <c r="F1959" s="401" t="inlineStr">
        <is>
          <t>Long An</t>
        </is>
      </c>
      <c r="G1959" s="400" t="inlineStr">
        <is>
          <t>LA</t>
        </is>
      </c>
      <c r="H1959" s="402" t="n"/>
      <c r="J1959" s="392">
        <f>IFERROR(UPPER(TRIM(B1959))&amp;"|"&amp;UPPER(TRIM(C1959))&amp;"|"&amp;UPPER(TRIM(D1959)),"")</f>
        <v/>
      </c>
    </row>
    <row r="1960" ht="15.75" customHeight="1" s="217">
      <c r="A1960" s="397" t="n">
        <v>1958</v>
      </c>
      <c r="B1960" s="397" t="inlineStr">
        <is>
          <t>KH1868</t>
        </is>
      </c>
      <c r="C1960" s="398" t="inlineStr">
        <is>
          <t>Anh Kiệt - Nha Trang/ 01655.556.809</t>
        </is>
      </c>
      <c r="D1960" s="397" t="inlineStr">
        <is>
          <t>01655.556.809</t>
        </is>
      </c>
      <c r="E1960" s="399" t="n"/>
      <c r="F1960" s="398" t="inlineStr">
        <is>
          <t>Nha Trang</t>
        </is>
      </c>
      <c r="G1960" s="397" t="inlineStr">
        <is>
          <t>NTRANG</t>
        </is>
      </c>
      <c r="H1960" s="399" t="n"/>
      <c r="J1960" s="392">
        <f>IFERROR(UPPER(TRIM(B1960))&amp;"|"&amp;UPPER(TRIM(C1960))&amp;"|"&amp;UPPER(TRIM(D1960)),"")</f>
        <v/>
      </c>
    </row>
    <row r="1961" ht="15.75" customHeight="1" s="217">
      <c r="A1961" s="400" t="n">
        <v>1959</v>
      </c>
      <c r="B1961" s="400" t="inlineStr">
        <is>
          <t>KH1864</t>
        </is>
      </c>
      <c r="C1961" s="401" t="inlineStr">
        <is>
          <t>Anh Tân - SG / 0908.822.713</t>
        </is>
      </c>
      <c r="D1961" s="400" t="inlineStr">
        <is>
          <t>0908.822.713</t>
        </is>
      </c>
      <c r="E1961" s="402" t="n"/>
      <c r="F1961" s="401" t="inlineStr">
        <is>
          <t>Sài Gòn</t>
        </is>
      </c>
      <c r="G1961" s="400" t="inlineStr">
        <is>
          <t>SG/HCM</t>
        </is>
      </c>
      <c r="H1961" s="402" t="n"/>
      <c r="J1961" s="392">
        <f>IFERROR(UPPER(TRIM(B1961))&amp;"|"&amp;UPPER(TRIM(C1961))&amp;"|"&amp;UPPER(TRIM(D1961)),"")</f>
        <v/>
      </c>
    </row>
    <row r="1962" ht="15.75" customHeight="1" s="217">
      <c r="A1962" s="397" t="n">
        <v>1960</v>
      </c>
      <c r="B1962" s="397" t="inlineStr">
        <is>
          <t>KH1865</t>
        </is>
      </c>
      <c r="C1962" s="398" t="inlineStr">
        <is>
          <t>Anh Thống - Cà Mau / 0916.314.437</t>
        </is>
      </c>
      <c r="D1962" s="397" t="inlineStr">
        <is>
          <t>0916.314.437</t>
        </is>
      </c>
      <c r="E1962" s="399" t="n"/>
      <c r="F1962" s="398" t="inlineStr">
        <is>
          <t>Cà Mau</t>
        </is>
      </c>
      <c r="G1962" s="397" t="inlineStr">
        <is>
          <t>CMAU</t>
        </is>
      </c>
      <c r="H1962" s="399" t="n"/>
      <c r="J1962" s="392">
        <f>IFERROR(UPPER(TRIM(B1962))&amp;"|"&amp;UPPER(TRIM(C1962))&amp;"|"&amp;UPPER(TRIM(D1962)),"")</f>
        <v/>
      </c>
    </row>
    <row r="1963" ht="15.75" customHeight="1" s="217">
      <c r="A1963" s="400" t="n">
        <v>1961</v>
      </c>
      <c r="B1963" s="400" t="inlineStr">
        <is>
          <t>KH1861</t>
        </is>
      </c>
      <c r="C1963" s="401" t="inlineStr">
        <is>
          <t>Anh Xuyên - Bình Dương/ 0979.897.589</t>
        </is>
      </c>
      <c r="D1963" s="400" t="inlineStr">
        <is>
          <t>0979.897.589</t>
        </is>
      </c>
      <c r="E1963" s="402" t="n"/>
      <c r="F1963" s="401" t="inlineStr">
        <is>
          <t>Bình Dương</t>
        </is>
      </c>
      <c r="G1963" s="400" t="inlineStr">
        <is>
          <t>BDUONG</t>
        </is>
      </c>
      <c r="H1963" s="402" t="n"/>
      <c r="J1963" s="392">
        <f>IFERROR(UPPER(TRIM(B1963))&amp;"|"&amp;UPPER(TRIM(C1963))&amp;"|"&amp;UPPER(TRIM(D1963)),"")</f>
        <v/>
      </c>
    </row>
    <row r="1964" ht="15.75" customHeight="1" s="217">
      <c r="A1964" s="397" t="n">
        <v>1962</v>
      </c>
      <c r="B1964" s="397" t="inlineStr">
        <is>
          <t>KH1862</t>
        </is>
      </c>
      <c r="C1964" s="398" t="inlineStr">
        <is>
          <t>Anh Tý - Bình Định/ 0906.097.664</t>
        </is>
      </c>
      <c r="D1964" s="397" t="inlineStr">
        <is>
          <t>0906.097.664</t>
        </is>
      </c>
      <c r="E1964" s="399" t="n"/>
      <c r="F1964" s="398" t="inlineStr">
        <is>
          <t>Bình Định</t>
        </is>
      </c>
      <c r="G1964" s="397" t="inlineStr">
        <is>
          <t>BDINH</t>
        </is>
      </c>
      <c r="H1964" s="399" t="n"/>
      <c r="J1964" s="392">
        <f>IFERROR(UPPER(TRIM(B1964))&amp;"|"&amp;UPPER(TRIM(C1964))&amp;"|"&amp;UPPER(TRIM(D1964)),"")</f>
        <v/>
      </c>
    </row>
    <row r="1965" ht="15.75" customHeight="1" s="217">
      <c r="A1965" s="400" t="n">
        <v>1963</v>
      </c>
      <c r="B1965" s="400" t="inlineStr">
        <is>
          <t>KH1863</t>
        </is>
      </c>
      <c r="C1965" s="401" t="inlineStr">
        <is>
          <t>Anh Thắng - Bình Chánh / 0967.156.550</t>
        </is>
      </c>
      <c r="D1965" s="400" t="inlineStr">
        <is>
          <t>0967.156.550</t>
        </is>
      </c>
      <c r="E1965" s="402" t="n"/>
      <c r="F1965" s="401" t="inlineStr">
        <is>
          <t>Bình Chánh, SG</t>
        </is>
      </c>
      <c r="G1965" s="400" t="inlineStr">
        <is>
          <t>SG/HCM</t>
        </is>
      </c>
      <c r="H1965" s="402" t="n"/>
      <c r="J1965" s="392">
        <f>IFERROR(UPPER(TRIM(B1965))&amp;"|"&amp;UPPER(TRIM(C1965))&amp;"|"&amp;UPPER(TRIM(D1965)),"")</f>
        <v/>
      </c>
    </row>
    <row r="1966" ht="15.75" customHeight="1" s="217">
      <c r="A1966" s="397" t="n">
        <v>1964</v>
      </c>
      <c r="B1966" s="397" t="inlineStr">
        <is>
          <t>KH1860</t>
        </is>
      </c>
      <c r="C1966" s="398" t="inlineStr">
        <is>
          <t>Anh Trí - Vĩnh Phú/0972.993.939</t>
        </is>
      </c>
      <c r="D1966" s="397" t="inlineStr">
        <is>
          <t>0972.993.939</t>
        </is>
      </c>
      <c r="E1966" s="399" t="n"/>
      <c r="F1966" s="398" t="inlineStr">
        <is>
          <t>Vĩnh Phú - Bình Dương</t>
        </is>
      </c>
      <c r="G1966" s="397" t="inlineStr">
        <is>
          <t>BDUONG</t>
        </is>
      </c>
      <c r="H1966" s="399" t="n"/>
      <c r="J1966" s="392">
        <f>IFERROR(UPPER(TRIM(B1966))&amp;"|"&amp;UPPER(TRIM(C1966))&amp;"|"&amp;UPPER(TRIM(D1966)),"")</f>
        <v/>
      </c>
    </row>
    <row r="1967" ht="15.75" customHeight="1" s="217">
      <c r="A1967" s="400" t="n">
        <v>1965</v>
      </c>
      <c r="B1967" s="400" t="inlineStr">
        <is>
          <t>KH1858</t>
        </is>
      </c>
      <c r="C1967" s="401" t="inlineStr">
        <is>
          <t>Anh Thành - Bến Cát/ 0984.038.699</t>
        </is>
      </c>
      <c r="D1967" s="400" t="inlineStr">
        <is>
          <t>0984.038.699</t>
        </is>
      </c>
      <c r="E1967" s="402" t="n"/>
      <c r="F1967" s="401" t="inlineStr">
        <is>
          <t>Bến Cát - Bình Dương</t>
        </is>
      </c>
      <c r="G1967" s="400" t="inlineStr">
        <is>
          <t>BDUONG</t>
        </is>
      </c>
      <c r="H1967" s="402" t="n"/>
      <c r="J1967" s="392">
        <f>IFERROR(UPPER(TRIM(B1967))&amp;"|"&amp;UPPER(TRIM(C1967))&amp;"|"&amp;UPPER(TRIM(D1967)),"")</f>
        <v/>
      </c>
    </row>
    <row r="1968" ht="15.75" customHeight="1" s="217">
      <c r="A1968" s="397" t="n">
        <v>1966</v>
      </c>
      <c r="B1968" s="397" t="inlineStr">
        <is>
          <t>KH1859</t>
        </is>
      </c>
      <c r="C1968" s="398" t="inlineStr">
        <is>
          <t>Anh Luân - Nhà Bè / 0919.466.267</t>
        </is>
      </c>
      <c r="D1968" s="397" t="inlineStr">
        <is>
          <t>0919.466.267</t>
        </is>
      </c>
      <c r="E1968" s="399" t="n"/>
      <c r="F1968" s="398" t="inlineStr">
        <is>
          <t>Hẻm 126, đường Nguyễn Văn Cao, Nhà Bè</t>
        </is>
      </c>
      <c r="G1968" s="397" t="inlineStr">
        <is>
          <t>SG/HCM</t>
        </is>
      </c>
      <c r="H1968" s="399" t="n"/>
      <c r="J1968" s="392">
        <f>IFERROR(UPPER(TRIM(B1968))&amp;"|"&amp;UPPER(TRIM(C1968))&amp;"|"&amp;UPPER(TRIM(D1968)),"")</f>
        <v/>
      </c>
    </row>
    <row r="1969" ht="15.75" customHeight="1" s="217">
      <c r="A1969" s="400" t="n">
        <v>1967</v>
      </c>
      <c r="B1969" s="400" t="inlineStr">
        <is>
          <t>KH1857</t>
        </is>
      </c>
      <c r="C1969" s="401" t="inlineStr">
        <is>
          <t>Anh Vinh( sửa mâm quay toa) - Quốc Lộ 13/ 0971.514.444</t>
        </is>
      </c>
      <c r="D1969" s="400" t="inlineStr">
        <is>
          <t>0971.514.444</t>
        </is>
      </c>
      <c r="E1969" s="402" t="n"/>
      <c r="F1969" s="401" t="inlineStr">
        <is>
          <t>Quốc Lộ 13 - SG</t>
        </is>
      </c>
      <c r="G1969" s="400" t="inlineStr">
        <is>
          <t>SG/HCM</t>
        </is>
      </c>
      <c r="H1969" s="402" t="n"/>
      <c r="J1969" s="392">
        <f>IFERROR(UPPER(TRIM(B1969))&amp;"|"&amp;UPPER(TRIM(C1969))&amp;"|"&amp;UPPER(TRIM(D1969)),"")</f>
        <v/>
      </c>
    </row>
    <row r="1970" ht="15.75" customHeight="1" s="217">
      <c r="A1970" s="397" t="n">
        <v>1968</v>
      </c>
      <c r="B1970" s="397" t="inlineStr">
        <is>
          <t>KH1856</t>
        </is>
      </c>
      <c r="C1970" s="398" t="inlineStr">
        <is>
          <t>Anh Hòa - Lâm Hà / 01699.163.630</t>
        </is>
      </c>
      <c r="D1970" s="397" t="inlineStr">
        <is>
          <t>01699.163.630</t>
        </is>
      </c>
      <c r="E1970" s="399" t="n"/>
      <c r="F1970" s="398" t="inlineStr">
        <is>
          <t>Lâm Hà , Lâm Đồng</t>
        </is>
      </c>
      <c r="G1970" s="397" t="inlineStr">
        <is>
          <t>LDONG</t>
        </is>
      </c>
      <c r="H1970" s="399" t="n"/>
      <c r="J1970" s="392">
        <f>IFERROR(UPPER(TRIM(B1970))&amp;"|"&amp;UPPER(TRIM(C1970))&amp;"|"&amp;UPPER(TRIM(D1970)),"")</f>
        <v/>
      </c>
    </row>
    <row r="1971" ht="15.75" customHeight="1" s="217">
      <c r="A1971" s="400" t="n">
        <v>1969</v>
      </c>
      <c r="B1971" s="400" t="inlineStr">
        <is>
          <t>KH1852</t>
        </is>
      </c>
      <c r="C1971" s="401" t="inlineStr">
        <is>
          <t>Anh Tư - Công Ty Gia Huy, Sài Gòn / 0913.601.293</t>
        </is>
      </c>
      <c r="D1971" s="400" t="inlineStr">
        <is>
          <t>0913.601.293</t>
        </is>
      </c>
      <c r="E1971" s="402" t="n"/>
      <c r="F1971" s="401" t="inlineStr">
        <is>
          <t>Sài Gòn</t>
        </is>
      </c>
      <c r="G1971" s="400" t="inlineStr">
        <is>
          <t>SG/HCM</t>
        </is>
      </c>
      <c r="H1971" s="402" t="n"/>
      <c r="J1971" s="392">
        <f>IFERROR(UPPER(TRIM(B1971))&amp;"|"&amp;UPPER(TRIM(C1971))&amp;"|"&amp;UPPER(TRIM(D1971)),"")</f>
        <v/>
      </c>
    </row>
    <row r="1972" ht="15.75" customHeight="1" s="217">
      <c r="A1972" s="397" t="n">
        <v>1970</v>
      </c>
      <c r="B1972" s="397" t="inlineStr">
        <is>
          <t>KH1853</t>
        </is>
      </c>
      <c r="C1972" s="398" t="inlineStr">
        <is>
          <t>Anh Phú - Đức Trọng/ 0972.602.885</t>
        </is>
      </c>
      <c r="D1972" s="397" t="inlineStr">
        <is>
          <t>0972.602.885</t>
        </is>
      </c>
      <c r="E1972" s="399" t="n"/>
      <c r="F1972" s="398" t="inlineStr">
        <is>
          <t>Đức Trọng, Lâm Đồng</t>
        </is>
      </c>
      <c r="G1972" s="397" t="inlineStr">
        <is>
          <t>LDONG</t>
        </is>
      </c>
      <c r="H1972" s="399" t="n"/>
      <c r="J1972" s="392">
        <f>IFERROR(UPPER(TRIM(B1972))&amp;"|"&amp;UPPER(TRIM(C1972))&amp;"|"&amp;UPPER(TRIM(D1972)),"")</f>
        <v/>
      </c>
    </row>
    <row r="1973" ht="15.75" customHeight="1" s="217">
      <c r="A1973" s="400" t="n">
        <v>1971</v>
      </c>
      <c r="B1973" s="400" t="inlineStr">
        <is>
          <t>KH1854</t>
        </is>
      </c>
      <c r="C1973" s="401" t="inlineStr">
        <is>
          <t>Anh Phương - Củ Chi / 0908.182.275</t>
        </is>
      </c>
      <c r="D1973" s="400" t="inlineStr">
        <is>
          <t>0908.182.275</t>
        </is>
      </c>
      <c r="E1973" s="402" t="n"/>
      <c r="F1973" s="401" t="inlineStr">
        <is>
          <t>Củ Chi , Sài Gòn</t>
        </is>
      </c>
      <c r="G1973" s="400" t="inlineStr">
        <is>
          <t>SG/HCM</t>
        </is>
      </c>
      <c r="H1973" s="402" t="n"/>
      <c r="J1973" s="392">
        <f>IFERROR(UPPER(TRIM(B1973))&amp;"|"&amp;UPPER(TRIM(C1973))&amp;"|"&amp;UPPER(TRIM(D1973)),"")</f>
        <v/>
      </c>
    </row>
    <row r="1974" ht="15.75" customHeight="1" s="217">
      <c r="A1974" s="397" t="n">
        <v>1972</v>
      </c>
      <c r="B1974" s="397" t="inlineStr">
        <is>
          <t>KH1855</t>
        </is>
      </c>
      <c r="C1974" s="398" t="inlineStr">
        <is>
          <t>Anh Cường - Quận 2/ 0909.433.114</t>
        </is>
      </c>
      <c r="D1974" s="397" t="inlineStr">
        <is>
          <t>0909.433.114</t>
        </is>
      </c>
      <c r="E1974" s="399" t="n"/>
      <c r="F1974" s="398" t="inlineStr">
        <is>
          <t>Sài Gòn</t>
        </is>
      </c>
      <c r="G1974" s="397" t="inlineStr">
        <is>
          <t>SG/HCM</t>
        </is>
      </c>
      <c r="H1974" s="399" t="n"/>
      <c r="J1974" s="392">
        <f>IFERROR(UPPER(TRIM(B1974))&amp;"|"&amp;UPPER(TRIM(C1974))&amp;"|"&amp;UPPER(TRIM(D1974)),"")</f>
        <v/>
      </c>
    </row>
    <row r="1975" ht="15.75" customHeight="1" s="217">
      <c r="A1975" s="400" t="n">
        <v>1973</v>
      </c>
      <c r="B1975" s="400" t="inlineStr">
        <is>
          <t>KH1849</t>
        </is>
      </c>
      <c r="C1975" s="401" t="inlineStr">
        <is>
          <t>Anh Hồ - Tân Vạn, Bình Dương / 0984.489.136</t>
        </is>
      </c>
      <c r="D1975" s="400" t="inlineStr">
        <is>
          <t>0984.489.136</t>
        </is>
      </c>
      <c r="E1975" s="402" t="n"/>
      <c r="F1975" s="401" t="inlineStr">
        <is>
          <t>Tân Vạn, Bình Dương</t>
        </is>
      </c>
      <c r="G1975" s="400" t="inlineStr">
        <is>
          <t>BDUONG</t>
        </is>
      </c>
      <c r="H1975" s="402" t="n"/>
      <c r="J1975" s="392">
        <f>IFERROR(UPPER(TRIM(B1975))&amp;"|"&amp;UPPER(TRIM(C1975))&amp;"|"&amp;UPPER(TRIM(D1975)),"")</f>
        <v/>
      </c>
    </row>
    <row r="1976" ht="15.75" customHeight="1" s="217">
      <c r="A1976" s="397" t="n">
        <v>1974</v>
      </c>
      <c r="B1976" s="397" t="inlineStr">
        <is>
          <t>KH1850</t>
        </is>
      </c>
      <c r="C1976" s="398" t="inlineStr">
        <is>
          <t>Anh Quang - bình phước /0932.041.454</t>
        </is>
      </c>
      <c r="D1976" s="397" t="inlineStr">
        <is>
          <t>0932.041.454</t>
        </is>
      </c>
      <c r="E1976" s="399" t="n"/>
      <c r="F1976" s="398" t="inlineStr">
        <is>
          <t>Bình Phước</t>
        </is>
      </c>
      <c r="G1976" s="397" t="inlineStr">
        <is>
          <t>BP</t>
        </is>
      </c>
      <c r="H1976" s="399" t="n"/>
      <c r="J1976" s="392">
        <f>IFERROR(UPPER(TRIM(B1976))&amp;"|"&amp;UPPER(TRIM(C1976))&amp;"|"&amp;UPPER(TRIM(D1976)),"")</f>
        <v/>
      </c>
    </row>
    <row r="1977" ht="15.75" customHeight="1" s="217">
      <c r="A1977" s="400" t="n">
        <v>1975</v>
      </c>
      <c r="B1977" s="400" t="inlineStr">
        <is>
          <t>KH1851</t>
        </is>
      </c>
      <c r="C1977" s="401" t="inlineStr">
        <is>
          <t>Anh Hùng - Quận 12 / 0903.909.022</t>
        </is>
      </c>
      <c r="D1977" s="400" t="inlineStr">
        <is>
          <t>0903.909.022</t>
        </is>
      </c>
      <c r="E1977" s="402" t="n"/>
      <c r="F1977" s="401" t="inlineStr">
        <is>
          <t>Quận 12, Sài Gòn</t>
        </is>
      </c>
      <c r="G1977" s="400" t="inlineStr">
        <is>
          <t>SG/HCM</t>
        </is>
      </c>
      <c r="H1977" s="402" t="n"/>
      <c r="J1977" s="392">
        <f>IFERROR(UPPER(TRIM(B1977))&amp;"|"&amp;UPPER(TRIM(C1977))&amp;"|"&amp;UPPER(TRIM(D1977)),"")</f>
        <v/>
      </c>
    </row>
    <row r="1978" ht="15.75" customHeight="1" s="217">
      <c r="A1978" s="397" t="n">
        <v>1976</v>
      </c>
      <c r="B1978" s="397" t="inlineStr">
        <is>
          <t>KH1846</t>
        </is>
      </c>
      <c r="C1978" s="398" t="inlineStr">
        <is>
          <t>Anh Khải - Bến Lức / 0949.771.079</t>
        </is>
      </c>
      <c r="D1978" s="397" t="inlineStr">
        <is>
          <t>0949.771.079</t>
        </is>
      </c>
      <c r="E1978" s="399" t="n"/>
      <c r="F1978" s="398" t="inlineStr">
        <is>
          <t>Bến Lức , Long An</t>
        </is>
      </c>
      <c r="G1978" s="397" t="inlineStr">
        <is>
          <t>LA</t>
        </is>
      </c>
      <c r="H1978" s="399" t="n"/>
      <c r="J1978" s="392">
        <f>IFERROR(UPPER(TRIM(B1978))&amp;"|"&amp;UPPER(TRIM(C1978))&amp;"|"&amp;UPPER(TRIM(D1978)),"")</f>
        <v/>
      </c>
    </row>
    <row r="1979" ht="15.75" customHeight="1" s="217">
      <c r="A1979" s="400" t="n">
        <v>1977</v>
      </c>
      <c r="B1979" s="400" t="inlineStr">
        <is>
          <t>KH1847</t>
        </is>
      </c>
      <c r="C1979" s="401" t="inlineStr">
        <is>
          <t>Anh Luyến - Ngã Tư Bình Phước / 0985.600.610</t>
        </is>
      </c>
      <c r="D1979" s="400" t="inlineStr">
        <is>
          <t>0985.600.610</t>
        </is>
      </c>
      <c r="E1979" s="402" t="n"/>
      <c r="F1979" s="401" t="inlineStr">
        <is>
          <t>Sài Gòn</t>
        </is>
      </c>
      <c r="G1979" s="400" t="inlineStr">
        <is>
          <t>SG/HCM</t>
        </is>
      </c>
      <c r="H1979" s="402" t="n"/>
      <c r="J1979" s="392">
        <f>IFERROR(UPPER(TRIM(B1979))&amp;"|"&amp;UPPER(TRIM(C1979))&amp;"|"&amp;UPPER(TRIM(D1979)),"")</f>
        <v/>
      </c>
    </row>
    <row r="1980" ht="15.75" customHeight="1" s="217">
      <c r="A1980" s="397" t="n">
        <v>1978</v>
      </c>
      <c r="B1980" s="397" t="inlineStr">
        <is>
          <t>KH1848</t>
        </is>
      </c>
      <c r="C1980" s="398" t="inlineStr">
        <is>
          <t>Anh Vinh - Bến Lức/ 0979.686.867</t>
        </is>
      </c>
      <c r="D1980" s="397" t="inlineStr">
        <is>
          <t>0979.686.867</t>
        </is>
      </c>
      <c r="E1980" s="399" t="n"/>
      <c r="F1980" s="398" t="inlineStr">
        <is>
          <t>Bến Lức - Long An</t>
        </is>
      </c>
      <c r="G1980" s="397" t="inlineStr">
        <is>
          <t>LA</t>
        </is>
      </c>
      <c r="H1980" s="399" t="n"/>
      <c r="J1980" s="392">
        <f>IFERROR(UPPER(TRIM(B1980))&amp;"|"&amp;UPPER(TRIM(C1980))&amp;"|"&amp;UPPER(TRIM(D1980)),"")</f>
        <v/>
      </c>
    </row>
    <row r="1981" ht="15.75" customHeight="1" s="217">
      <c r="A1981" s="400" t="n">
        <v>1979</v>
      </c>
      <c r="B1981" s="400" t="inlineStr">
        <is>
          <t>KH1844</t>
        </is>
      </c>
      <c r="C1981" s="401" t="inlineStr">
        <is>
          <t>Công ty Gia Hân -  Khánh Hoà / Anh Chánh - 0913.490.503</t>
        </is>
      </c>
      <c r="D1981" s="400" t="inlineStr">
        <is>
          <t>0913.490.503</t>
        </is>
      </c>
      <c r="E1981" s="402" t="n"/>
      <c r="F1981" s="401" t="inlineStr">
        <is>
          <t>X.Vĩnh Hiệp, Nha Trang, Khánh Hoà</t>
        </is>
      </c>
      <c r="G1981" s="400" t="inlineStr">
        <is>
          <t>NTRANG</t>
        </is>
      </c>
      <c r="H1981" s="402" t="n"/>
      <c r="J1981" s="392">
        <f>IFERROR(UPPER(TRIM(B1981))&amp;"|"&amp;UPPER(TRIM(C1981))&amp;"|"&amp;UPPER(TRIM(D1981)),"")</f>
        <v/>
      </c>
    </row>
    <row r="1982" ht="15.75" customHeight="1" s="217">
      <c r="A1982" s="397" t="n">
        <v>1980</v>
      </c>
      <c r="B1982" s="397" t="inlineStr">
        <is>
          <t>KH1845</t>
        </is>
      </c>
      <c r="C1982" s="398" t="inlineStr">
        <is>
          <t>anh Mặn - Cty Tấn Đạt, Nha Trang  / 0905.123.198</t>
        </is>
      </c>
      <c r="D1982" s="397" t="inlineStr">
        <is>
          <t>0905.123.198</t>
        </is>
      </c>
      <c r="E1982" s="399" t="n"/>
      <c r="F1982" s="398" t="inlineStr">
        <is>
          <t>Nha Trang</t>
        </is>
      </c>
      <c r="G1982" s="397" t="inlineStr">
        <is>
          <t>NTRANG</t>
        </is>
      </c>
      <c r="H1982" s="399" t="n"/>
      <c r="J1982" s="392">
        <f>IFERROR(UPPER(TRIM(B1982))&amp;"|"&amp;UPPER(TRIM(C1982))&amp;"|"&amp;UPPER(TRIM(D1982)),"")</f>
        <v/>
      </c>
    </row>
    <row r="1983" ht="15.75" customHeight="1" s="217">
      <c r="A1983" s="400" t="n">
        <v>1981</v>
      </c>
      <c r="B1983" s="400" t="inlineStr">
        <is>
          <t>KH1842</t>
        </is>
      </c>
      <c r="C1983" s="401" t="inlineStr">
        <is>
          <t>Công Ty CP ĐT - XD Thái Nhân/ Chú Đức - 0903.959.187</t>
        </is>
      </c>
      <c r="D1983" s="400" t="inlineStr">
        <is>
          <t>0903.959.187</t>
        </is>
      </c>
      <c r="E1983" s="402" t="n"/>
      <c r="F1983" s="401" t="inlineStr">
        <is>
          <t>Bình Chánh - TP.HCM</t>
        </is>
      </c>
      <c r="G1983" s="400" t="inlineStr">
        <is>
          <t>SG/HCM</t>
        </is>
      </c>
      <c r="H1983" s="402" t="n"/>
      <c r="J1983" s="392">
        <f>IFERROR(UPPER(TRIM(B1983))&amp;"|"&amp;UPPER(TRIM(C1983))&amp;"|"&amp;UPPER(TRIM(D1983)),"")</f>
        <v/>
      </c>
    </row>
    <row r="1984" ht="15.75" customHeight="1" s="217">
      <c r="A1984" s="397" t="n">
        <v>1982</v>
      </c>
      <c r="B1984" s="397" t="inlineStr">
        <is>
          <t>KH1843</t>
        </is>
      </c>
      <c r="C1984" s="398" t="inlineStr">
        <is>
          <t>Anh Nguyên - Đồng Xoài / 0986.534.981</t>
        </is>
      </c>
      <c r="D1984" s="397" t="inlineStr">
        <is>
          <t>0986.534.981</t>
        </is>
      </c>
      <c r="E1984" s="399" t="n"/>
      <c r="F1984" s="398" t="inlineStr">
        <is>
          <t>Đồng Xoài, Bình Phước</t>
        </is>
      </c>
      <c r="G1984" s="397" t="inlineStr">
        <is>
          <t>BP</t>
        </is>
      </c>
      <c r="H1984" s="399" t="n"/>
      <c r="J1984" s="392">
        <f>IFERROR(UPPER(TRIM(B1984))&amp;"|"&amp;UPPER(TRIM(C1984))&amp;"|"&amp;UPPER(TRIM(D1984)),"")</f>
        <v/>
      </c>
    </row>
    <row r="1985" ht="15.75" customHeight="1" s="217">
      <c r="A1985" s="400" t="n">
        <v>1983</v>
      </c>
      <c r="B1985" s="400" t="inlineStr">
        <is>
          <t>KH1839</t>
        </is>
      </c>
      <c r="C1985" s="401" t="inlineStr">
        <is>
          <t>Anh Lâm - Đại Nam, Bình Dương / 0918.134.372</t>
        </is>
      </c>
      <c r="D1985" s="400" t="inlineStr">
        <is>
          <t>0918.134.372</t>
        </is>
      </c>
      <c r="E1985" s="402" t="n"/>
      <c r="F1985" s="401" t="inlineStr">
        <is>
          <t>Đại Nam, Bình Dương</t>
        </is>
      </c>
      <c r="G1985" s="400" t="inlineStr">
        <is>
          <t>BDUONG</t>
        </is>
      </c>
      <c r="H1985" s="402" t="n"/>
      <c r="J1985" s="392">
        <f>IFERROR(UPPER(TRIM(B1985))&amp;"|"&amp;UPPER(TRIM(C1985))&amp;"|"&amp;UPPER(TRIM(D1985)),"")</f>
        <v/>
      </c>
    </row>
    <row r="1986" ht="15.75" customHeight="1" s="217">
      <c r="A1986" s="397" t="n">
        <v>1984</v>
      </c>
      <c r="B1986" s="397" t="inlineStr">
        <is>
          <t>KH1840</t>
        </is>
      </c>
      <c r="C1986" s="398" t="inlineStr">
        <is>
          <t>Anh Thoại - Sài gòn / 0975.513.699</t>
        </is>
      </c>
      <c r="D1986" s="397" t="inlineStr">
        <is>
          <t>0975.513.699</t>
        </is>
      </c>
      <c r="E1986" s="399" t="n"/>
      <c r="F1986" s="398" t="inlineStr">
        <is>
          <t>Nhà Bè , Sài Gòn</t>
        </is>
      </c>
      <c r="G1986" s="397" t="inlineStr">
        <is>
          <t>SG/HCM</t>
        </is>
      </c>
      <c r="H1986" s="399" t="n"/>
      <c r="J1986" s="392">
        <f>IFERROR(UPPER(TRIM(B1986))&amp;"|"&amp;UPPER(TRIM(C1986))&amp;"|"&amp;UPPER(TRIM(D1986)),"")</f>
        <v/>
      </c>
    </row>
    <row r="1987" ht="15.75" customHeight="1" s="217">
      <c r="A1987" s="400" t="n">
        <v>1985</v>
      </c>
      <c r="B1987" s="400" t="inlineStr">
        <is>
          <t>KH1841</t>
        </is>
      </c>
      <c r="C1987" s="401" t="inlineStr">
        <is>
          <t>Anh Hậu - Trà Vinh/ 0908.931.979</t>
        </is>
      </c>
      <c r="D1987" s="400" t="inlineStr">
        <is>
          <t>0908.931.979</t>
        </is>
      </c>
      <c r="E1987" s="402" t="n"/>
      <c r="F1987" s="401" t="inlineStr">
        <is>
          <t>Trà Vinh</t>
        </is>
      </c>
      <c r="G1987" s="400" t="inlineStr">
        <is>
          <t>TV</t>
        </is>
      </c>
      <c r="H1987" s="402" t="n"/>
      <c r="J1987" s="392">
        <f>IFERROR(UPPER(TRIM(B1987))&amp;"|"&amp;UPPER(TRIM(C1987))&amp;"|"&amp;UPPER(TRIM(D1987)),"")</f>
        <v/>
      </c>
    </row>
    <row r="1988" ht="15.75" customHeight="1" s="217">
      <c r="A1988" s="397" t="n">
        <v>1986</v>
      </c>
      <c r="B1988" s="397" t="inlineStr">
        <is>
          <t>KH1838</t>
        </is>
      </c>
      <c r="C1988" s="398" t="inlineStr">
        <is>
          <t>Cửa hàng Toàn Phát - Mỹ Tho / 0919.198.715</t>
        </is>
      </c>
      <c r="D1988" s="397" t="inlineStr">
        <is>
          <t>0919.198.715</t>
        </is>
      </c>
      <c r="E1988" s="399" t="n"/>
      <c r="F1988" s="398" t="inlineStr">
        <is>
          <t>Tiền Giang</t>
        </is>
      </c>
      <c r="G1988" s="397" t="inlineStr">
        <is>
          <t>TGIANG</t>
        </is>
      </c>
      <c r="H1988" s="399" t="n"/>
      <c r="J1988" s="392">
        <f>IFERROR(UPPER(TRIM(B1988))&amp;"|"&amp;UPPER(TRIM(C1988))&amp;"|"&amp;UPPER(TRIM(D1988)),"")</f>
        <v/>
      </c>
    </row>
    <row r="1989" ht="15.75" customHeight="1" s="217">
      <c r="A1989" s="400" t="n">
        <v>1987</v>
      </c>
      <c r="B1989" s="400" t="inlineStr">
        <is>
          <t>KH1837</t>
        </is>
      </c>
      <c r="C1989" s="401" t="inlineStr">
        <is>
          <t>Công Ty Thép Pomina - Bà Rịa Vũng Tàu/ 0973.174.320 or 0902.056.010</t>
        </is>
      </c>
      <c r="D1989" s="400" t="inlineStr">
        <is>
          <t>0973.174.320 / 0902.056.010</t>
        </is>
      </c>
      <c r="E1989" s="402" t="n"/>
      <c r="F1989" s="401" t="inlineStr">
        <is>
          <t>KCN Phú Mỹ 1 - Tân Thành -  BRVT</t>
        </is>
      </c>
      <c r="G1989" s="400" t="inlineStr">
        <is>
          <t>BRVT</t>
        </is>
      </c>
      <c r="H1989" s="402" t="n"/>
      <c r="J1989" s="392">
        <f>IFERROR(UPPER(TRIM(B1989))&amp;"|"&amp;UPPER(TRIM(C1989))&amp;"|"&amp;UPPER(TRIM(D1989)),"")</f>
        <v/>
      </c>
    </row>
    <row r="1990" ht="15.75" customHeight="1" s="217">
      <c r="A1990" s="397" t="n">
        <v>1988</v>
      </c>
      <c r="B1990" s="397" t="inlineStr">
        <is>
          <t>KH1835</t>
        </is>
      </c>
      <c r="C1990" s="398" t="inlineStr">
        <is>
          <t>Anh Thọ - Đức Hòa, Long An / 0949.733.346</t>
        </is>
      </c>
      <c r="D1990" s="397" t="inlineStr">
        <is>
          <t>0949.733.346</t>
        </is>
      </c>
      <c r="E1990" s="399" t="n"/>
      <c r="F1990" s="398" t="inlineStr">
        <is>
          <t>Long An</t>
        </is>
      </c>
      <c r="G1990" s="397" t="inlineStr">
        <is>
          <t>LA</t>
        </is>
      </c>
      <c r="H1990" s="399" t="n"/>
      <c r="J1990" s="392">
        <f>IFERROR(UPPER(TRIM(B1990))&amp;"|"&amp;UPPER(TRIM(C1990))&amp;"|"&amp;UPPER(TRIM(D1990)),"")</f>
        <v/>
      </c>
    </row>
    <row r="1991" ht="15.75" customHeight="1" s="217">
      <c r="A1991" s="400" t="n">
        <v>1989</v>
      </c>
      <c r="B1991" s="400" t="inlineStr">
        <is>
          <t>KH1836</t>
        </is>
      </c>
      <c r="C1991" s="401" t="inlineStr">
        <is>
          <t>Chú Năm - Thủ Đức / 0903.087.141(  Công Ty Tổng Hợp)</t>
        </is>
      </c>
      <c r="D1991" s="400" t="inlineStr">
        <is>
          <t>0903.087.141</t>
        </is>
      </c>
      <c r="E1991" s="402" t="n"/>
      <c r="F1991" s="401" t="inlineStr">
        <is>
          <t>Sài Gòn</t>
        </is>
      </c>
      <c r="G1991" s="400" t="inlineStr">
        <is>
          <t>SG/HCM</t>
        </is>
      </c>
      <c r="H1991" s="402" t="n"/>
      <c r="J1991" s="392">
        <f>IFERROR(UPPER(TRIM(B1991))&amp;"|"&amp;UPPER(TRIM(C1991))&amp;"|"&amp;UPPER(TRIM(D1991)),"")</f>
        <v/>
      </c>
    </row>
    <row r="1992" ht="15.75" customHeight="1" s="217">
      <c r="A1992" s="397" t="n">
        <v>1990</v>
      </c>
      <c r="B1992" s="397" t="inlineStr">
        <is>
          <t>KH1834</t>
        </is>
      </c>
      <c r="C1992" s="398" t="inlineStr">
        <is>
          <t>Anh Thế - Đồng Xoài/ 0978.283.443</t>
        </is>
      </c>
      <c r="D1992" s="397" t="inlineStr">
        <is>
          <t>0978.283.443</t>
        </is>
      </c>
      <c r="E1992" s="399" t="n"/>
      <c r="F1992" s="398" t="inlineStr">
        <is>
          <t>Đồng Xoài - Bình Phước</t>
        </is>
      </c>
      <c r="G1992" s="397" t="inlineStr">
        <is>
          <t>BP</t>
        </is>
      </c>
      <c r="H1992" s="399" t="n"/>
      <c r="J1992" s="392">
        <f>IFERROR(UPPER(TRIM(B1992))&amp;"|"&amp;UPPER(TRIM(C1992))&amp;"|"&amp;UPPER(TRIM(D1992)),"")</f>
        <v/>
      </c>
    </row>
    <row r="1993" ht="15.75" customHeight="1" s="217">
      <c r="A1993" s="400" t="n">
        <v>1991</v>
      </c>
      <c r="B1993" s="400" t="inlineStr">
        <is>
          <t>KH1832</t>
        </is>
      </c>
      <c r="C1993" s="401" t="inlineStr">
        <is>
          <t>Anh Nhọn - Quận 9, Sài Gòn /0903.197.193</t>
        </is>
      </c>
      <c r="D1993" s="400" t="inlineStr">
        <is>
          <t>0903.197.193</t>
        </is>
      </c>
      <c r="E1993" s="402" t="n"/>
      <c r="F1993" s="401" t="inlineStr">
        <is>
          <t>Quận 9, Sài Gòn</t>
        </is>
      </c>
      <c r="G1993" s="400" t="inlineStr">
        <is>
          <t>SG/HCM</t>
        </is>
      </c>
      <c r="H1993" s="402" t="n"/>
      <c r="J1993" s="392">
        <f>IFERROR(UPPER(TRIM(B1993))&amp;"|"&amp;UPPER(TRIM(C1993))&amp;"|"&amp;UPPER(TRIM(D1993)),"")</f>
        <v/>
      </c>
    </row>
    <row r="1994" ht="15.75" customHeight="1" s="217">
      <c r="A1994" s="397" t="n">
        <v>1992</v>
      </c>
      <c r="B1994" s="397" t="inlineStr">
        <is>
          <t>KH1833</t>
        </is>
      </c>
      <c r="C1994" s="398" t="inlineStr">
        <is>
          <t>Anh Việt - Nhà Bè/ 0903.308.897</t>
        </is>
      </c>
      <c r="D1994" s="397" t="inlineStr">
        <is>
          <t>0903.308.897</t>
        </is>
      </c>
      <c r="E1994" s="399" t="n"/>
      <c r="F1994" s="398" t="inlineStr">
        <is>
          <t>Cầu Bà Chiêm, rẽ phải vào Nguyễn Văn Tạo, Nhà Bè (Ngay Agribank)</t>
        </is>
      </c>
      <c r="G1994" s="397" t="inlineStr">
        <is>
          <t>SG/HCM</t>
        </is>
      </c>
      <c r="H1994" s="399" t="n"/>
      <c r="J1994" s="392">
        <f>IFERROR(UPPER(TRIM(B1994))&amp;"|"&amp;UPPER(TRIM(C1994))&amp;"|"&amp;UPPER(TRIM(D1994)),"")</f>
        <v/>
      </c>
    </row>
    <row r="1995" ht="15.75" customHeight="1" s="217">
      <c r="A1995" s="400" t="n">
        <v>1993</v>
      </c>
      <c r="B1995" s="400" t="inlineStr">
        <is>
          <t>KH1831</t>
        </is>
      </c>
      <c r="C1995" s="401" t="inlineStr">
        <is>
          <t>Anh Hào - Tây Ninh / 0908.388.579</t>
        </is>
      </c>
      <c r="D1995" s="400" t="inlineStr">
        <is>
          <t>0908.388.579</t>
        </is>
      </c>
      <c r="E1995" s="402" t="n"/>
      <c r="F1995" s="401" t="inlineStr">
        <is>
          <t>Tây Ninh</t>
        </is>
      </c>
      <c r="G1995" s="400" t="inlineStr">
        <is>
          <t>TNINH</t>
        </is>
      </c>
      <c r="H1995" s="402" t="n"/>
      <c r="J1995" s="392">
        <f>IFERROR(UPPER(TRIM(B1995))&amp;"|"&amp;UPPER(TRIM(C1995))&amp;"|"&amp;UPPER(TRIM(D1995)),"")</f>
        <v/>
      </c>
    </row>
    <row r="1996" ht="15.75" customHeight="1" s="217">
      <c r="A1996" s="397" t="n">
        <v>1994</v>
      </c>
      <c r="B1996" s="397" t="inlineStr">
        <is>
          <t>KH1830</t>
        </is>
      </c>
      <c r="C1996" s="398" t="inlineStr">
        <is>
          <t>Chú Vĩnh - Vĩnh Long / 0913.715.392</t>
        </is>
      </c>
      <c r="D1996" s="397" t="inlineStr">
        <is>
          <t>0913.715.392</t>
        </is>
      </c>
      <c r="E1996" s="399" t="n"/>
      <c r="F1996" s="398" t="inlineStr">
        <is>
          <t>Vĩnh Long</t>
        </is>
      </c>
      <c r="G1996" s="397" t="inlineStr">
        <is>
          <t>VĨNH LONG</t>
        </is>
      </c>
      <c r="H1996" s="399" t="n"/>
      <c r="J1996" s="392">
        <f>IFERROR(UPPER(TRIM(B1996))&amp;"|"&amp;UPPER(TRIM(C1996))&amp;"|"&amp;UPPER(TRIM(D1996)),"")</f>
        <v/>
      </c>
    </row>
    <row r="1997" ht="15.75" customHeight="1" s="217">
      <c r="A1997" s="400" t="n">
        <v>1995</v>
      </c>
      <c r="B1997" s="400" t="inlineStr">
        <is>
          <t>KH1829</t>
        </is>
      </c>
      <c r="C1997" s="401" t="inlineStr">
        <is>
          <t>Anh Thảo - Nha Trang/0988.286.474</t>
        </is>
      </c>
      <c r="D1997" s="400" t="inlineStr">
        <is>
          <t>0988.286.474</t>
        </is>
      </c>
      <c r="E1997" s="402" t="n"/>
      <c r="F1997" s="401" t="inlineStr">
        <is>
          <t>Nha Trang</t>
        </is>
      </c>
      <c r="G1997" s="400" t="inlineStr">
        <is>
          <t>NTRANG</t>
        </is>
      </c>
      <c r="H1997" s="402" t="n"/>
      <c r="J1997" s="392">
        <f>IFERROR(UPPER(TRIM(B1997))&amp;"|"&amp;UPPER(TRIM(C1997))&amp;"|"&amp;UPPER(TRIM(D1997)),"")</f>
        <v/>
      </c>
    </row>
    <row r="1998" ht="15.75" customHeight="1" s="217">
      <c r="A1998" s="397" t="n">
        <v>1996</v>
      </c>
      <c r="B1998" s="397" t="inlineStr">
        <is>
          <t>KH1825</t>
        </is>
      </c>
      <c r="C1998" s="398" t="inlineStr">
        <is>
          <t>Công ty KT Và CBKS Linh Vũ Trân- Bình Thuận/ Anh Quyền- 0945.625.270</t>
        </is>
      </c>
      <c r="D1998" s="397" t="inlineStr">
        <is>
          <t>0945.625.270</t>
        </is>
      </c>
      <c r="E1998" s="399" t="n"/>
      <c r="F1998" s="398" t="inlineStr">
        <is>
          <t>Tuy Phong , Bình Thuận</t>
        </is>
      </c>
      <c r="G1998" s="397" t="inlineStr">
        <is>
          <t>BTHUAN</t>
        </is>
      </c>
      <c r="H1998" s="399" t="n"/>
      <c r="J1998" s="392">
        <f>IFERROR(UPPER(TRIM(B1998))&amp;"|"&amp;UPPER(TRIM(C1998))&amp;"|"&amp;UPPER(TRIM(D1998)),"")</f>
        <v/>
      </c>
    </row>
    <row r="1999" ht="15.75" customHeight="1" s="217">
      <c r="A1999" s="400" t="n">
        <v>1997</v>
      </c>
      <c r="B1999" s="400" t="inlineStr">
        <is>
          <t>KH1826</t>
        </is>
      </c>
      <c r="C1999" s="401" t="inlineStr">
        <is>
          <t>Chú Thông - Kiên Giang/ 0124.7777.363</t>
        </is>
      </c>
      <c r="D1999" s="400" t="inlineStr">
        <is>
          <t>0124.7777.363</t>
        </is>
      </c>
      <c r="E1999" s="402" t="n"/>
      <c r="F1999" s="401" t="inlineStr">
        <is>
          <t>Kiên Giang</t>
        </is>
      </c>
      <c r="G1999" s="400" t="inlineStr">
        <is>
          <t>KG</t>
        </is>
      </c>
      <c r="H1999" s="402" t="n"/>
      <c r="J1999" s="392">
        <f>IFERROR(UPPER(TRIM(B1999))&amp;"|"&amp;UPPER(TRIM(C1999))&amp;"|"&amp;UPPER(TRIM(D1999)),"")</f>
        <v/>
      </c>
    </row>
    <row r="2000" ht="15.75" customHeight="1" s="217">
      <c r="A2000" s="397" t="n">
        <v>1998</v>
      </c>
      <c r="B2000" s="397" t="inlineStr">
        <is>
          <t>KH1827</t>
        </is>
      </c>
      <c r="C2000" s="398" t="inlineStr">
        <is>
          <t>Công Ty CPĐT Bình Thuận - Bình Thuận/ Anh Phong - 0916.990.777</t>
        </is>
      </c>
      <c r="D2000" s="397" t="inlineStr">
        <is>
          <t>0916.990.777</t>
        </is>
      </c>
      <c r="E2000" s="399" t="n"/>
      <c r="F2000" s="398" t="inlineStr">
        <is>
          <t>Bình Thuận</t>
        </is>
      </c>
      <c r="G2000" s="397" t="inlineStr">
        <is>
          <t>BTHUAN</t>
        </is>
      </c>
      <c r="H2000" s="399" t="n"/>
      <c r="J2000" s="392">
        <f>IFERROR(UPPER(TRIM(B2000))&amp;"|"&amp;UPPER(TRIM(C2000))&amp;"|"&amp;UPPER(TRIM(D2000)),"")</f>
        <v/>
      </c>
    </row>
    <row r="2001" ht="15.75" customHeight="1" s="217">
      <c r="A2001" s="400" t="n">
        <v>1999</v>
      </c>
      <c r="B2001" s="400" t="inlineStr">
        <is>
          <t>KH1828</t>
        </is>
      </c>
      <c r="C2001" s="401" t="inlineStr">
        <is>
          <t>Công Ty Thiên Ân - Hà nội / Anh Đại - 01699.809.006</t>
        </is>
      </c>
      <c r="D2001" s="400" t="inlineStr">
        <is>
          <t>01699.809.006</t>
        </is>
      </c>
      <c r="E2001" s="402" t="n"/>
      <c r="F2001" s="401" t="inlineStr">
        <is>
          <t>Hà Nội</t>
        </is>
      </c>
      <c r="G2001" s="400" t="inlineStr">
        <is>
          <t>HN</t>
        </is>
      </c>
      <c r="H2001" s="402" t="n"/>
      <c r="J2001" s="392">
        <f>IFERROR(UPPER(TRIM(B2001))&amp;"|"&amp;UPPER(TRIM(C2001))&amp;"|"&amp;UPPER(TRIM(D2001)),"")</f>
        <v/>
      </c>
    </row>
    <row r="2002" ht="15.75" customHeight="1" s="217">
      <c r="A2002" s="397" t="n">
        <v>2000</v>
      </c>
      <c r="B2002" s="397" t="inlineStr">
        <is>
          <t>KH1824</t>
        </is>
      </c>
      <c r="C2002" s="398" t="inlineStr">
        <is>
          <t>Xưởng Anh Hùng - An Giang / 0986.555.521</t>
        </is>
      </c>
      <c r="D2002" s="397" t="inlineStr">
        <is>
          <t>0986.555.521</t>
        </is>
      </c>
      <c r="E2002" s="399" t="n"/>
      <c r="F2002" s="398" t="inlineStr">
        <is>
          <t>An Giang</t>
        </is>
      </c>
      <c r="G2002" s="397" t="inlineStr">
        <is>
          <t>ANGIANG</t>
        </is>
      </c>
      <c r="H2002" s="399" t="n"/>
      <c r="J2002" s="392">
        <f>IFERROR(UPPER(TRIM(B2002))&amp;"|"&amp;UPPER(TRIM(C2002))&amp;"|"&amp;UPPER(TRIM(D2002)),"")</f>
        <v/>
      </c>
    </row>
    <row r="2003" ht="15.75" customHeight="1" s="217">
      <c r="A2003" s="400" t="n">
        <v>2001</v>
      </c>
      <c r="B2003" s="400" t="inlineStr">
        <is>
          <t>KH1821</t>
        </is>
      </c>
      <c r="C2003" s="401" t="inlineStr">
        <is>
          <t>CN Công ty Sông Đà 9 - Sóc Trăng / Anh Thương - 0981.378.372</t>
        </is>
      </c>
      <c r="D2003" s="400" t="inlineStr">
        <is>
          <t>0981.378.372</t>
        </is>
      </c>
      <c r="E2003" s="402" t="n"/>
      <c r="F2003" s="401" t="inlineStr">
        <is>
          <t>ấp Thạnh Đức, Long Đức, Long Phú, Sóc Trăng</t>
        </is>
      </c>
      <c r="G2003" s="400" t="inlineStr">
        <is>
          <t>STRANG</t>
        </is>
      </c>
      <c r="H2003" s="402" t="n"/>
      <c r="J2003" s="392">
        <f>IFERROR(UPPER(TRIM(B2003))&amp;"|"&amp;UPPER(TRIM(C2003))&amp;"|"&amp;UPPER(TRIM(D2003)),"")</f>
        <v/>
      </c>
    </row>
    <row r="2004" ht="15.75" customHeight="1" s="217">
      <c r="A2004" s="397" t="n">
        <v>2002</v>
      </c>
      <c r="B2004" s="397" t="inlineStr">
        <is>
          <t>KH1822</t>
        </is>
      </c>
      <c r="C2004" s="398" t="inlineStr">
        <is>
          <t>Anh Đức - Bình Long/ 0918.182.626</t>
        </is>
      </c>
      <c r="D2004" s="397" t="inlineStr">
        <is>
          <t>0918.182.626</t>
        </is>
      </c>
      <c r="E2004" s="399" t="n"/>
      <c r="F2004" s="398" t="inlineStr">
        <is>
          <t>Bình Long - Bình Phước</t>
        </is>
      </c>
      <c r="G2004" s="397" t="inlineStr">
        <is>
          <t>BP</t>
        </is>
      </c>
      <c r="H2004" s="399" t="n"/>
      <c r="J2004" s="392">
        <f>IFERROR(UPPER(TRIM(B2004))&amp;"|"&amp;UPPER(TRIM(C2004))&amp;"|"&amp;UPPER(TRIM(D2004)),"")</f>
        <v/>
      </c>
    </row>
    <row r="2005" ht="15.75" customHeight="1" s="217">
      <c r="A2005" s="400" t="n">
        <v>2003</v>
      </c>
      <c r="B2005" s="400" t="inlineStr">
        <is>
          <t>KH1823</t>
        </is>
      </c>
      <c r="C2005" s="401" t="inlineStr">
        <is>
          <t>Xưởng Thủy Cường - Eakar/ 01253.745.779</t>
        </is>
      </c>
      <c r="D2005" s="400" t="inlineStr">
        <is>
          <t>01253.745.779</t>
        </is>
      </c>
      <c r="E2005" s="402" t="n"/>
      <c r="F2005" s="401" t="inlineStr">
        <is>
          <t>Eakar - Đắk Lak</t>
        </is>
      </c>
      <c r="G2005" s="400" t="inlineStr">
        <is>
          <t>ÐL</t>
        </is>
      </c>
      <c r="H2005" s="402" t="n"/>
      <c r="J2005" s="392">
        <f>IFERROR(UPPER(TRIM(B2005))&amp;"|"&amp;UPPER(TRIM(C2005))&amp;"|"&amp;UPPER(TRIM(D2005)),"")</f>
        <v/>
      </c>
    </row>
    <row r="2006" ht="15.75" customHeight="1" s="217">
      <c r="A2006" s="397" t="n">
        <v>2004</v>
      </c>
      <c r="B2006" s="397" t="inlineStr">
        <is>
          <t>KH1819</t>
        </is>
      </c>
      <c r="C2006" s="398" t="inlineStr">
        <is>
          <t>(K sử dụng) Chú Hùng Dương - Quận 9, Sài Gòn/ 0913.828.689</t>
        </is>
      </c>
      <c r="D2006" s="397" t="inlineStr">
        <is>
          <t>0913.828.689</t>
        </is>
      </c>
      <c r="E2006" s="399" t="n"/>
      <c r="F2006" s="398" t="inlineStr">
        <is>
          <t>Ngã Tư Tân Vạn - Thủ Đức</t>
        </is>
      </c>
      <c r="G2006" s="397" t="inlineStr">
        <is>
          <t>SG/HCM</t>
        </is>
      </c>
      <c r="H2006" s="399" t="n"/>
      <c r="J2006" s="392">
        <f>IFERROR(UPPER(TRIM(B2006))&amp;"|"&amp;UPPER(TRIM(C2006))&amp;"|"&amp;UPPER(TRIM(D2006)),"")</f>
        <v/>
      </c>
    </row>
    <row r="2007" ht="15.75" customHeight="1" s="217">
      <c r="A2007" s="400" t="n">
        <v>2005</v>
      </c>
      <c r="B2007" s="400" t="inlineStr">
        <is>
          <t>KH1820</t>
        </is>
      </c>
      <c r="C2007" s="401" t="inlineStr">
        <is>
          <t>Anh Hiếu - Tân Uyên / 0916.912.226</t>
        </is>
      </c>
      <c r="D2007" s="400" t="inlineStr">
        <is>
          <t>0916.912.226</t>
        </is>
      </c>
      <c r="E2007" s="402" t="n"/>
      <c r="F2007" s="401" t="inlineStr">
        <is>
          <t>Bình Dương</t>
        </is>
      </c>
      <c r="G2007" s="400" t="inlineStr">
        <is>
          <t>BDUONG</t>
        </is>
      </c>
      <c r="H2007" s="402" t="n"/>
      <c r="J2007" s="392">
        <f>IFERROR(UPPER(TRIM(B2007))&amp;"|"&amp;UPPER(TRIM(C2007))&amp;"|"&amp;UPPER(TRIM(D2007)),"")</f>
        <v/>
      </c>
    </row>
    <row r="2008" ht="15.75" customHeight="1" s="217">
      <c r="A2008" s="397" t="n">
        <v>2006</v>
      </c>
      <c r="B2008" s="397" t="inlineStr">
        <is>
          <t>KH1818</t>
        </is>
      </c>
      <c r="C2008" s="398" t="inlineStr">
        <is>
          <t>Anh Hạnh - SG / 0988.503.468</t>
        </is>
      </c>
      <c r="D2008" s="397" t="inlineStr">
        <is>
          <t>0988.503.468</t>
        </is>
      </c>
      <c r="E2008" s="399" t="n"/>
      <c r="F2008" s="398" t="inlineStr">
        <is>
          <t>SG</t>
        </is>
      </c>
      <c r="G2008" s="397" t="inlineStr">
        <is>
          <t>SG/HCM</t>
        </is>
      </c>
      <c r="H2008" s="399" t="n"/>
      <c r="J2008" s="392">
        <f>IFERROR(UPPER(TRIM(B2008))&amp;"|"&amp;UPPER(TRIM(C2008))&amp;"|"&amp;UPPER(TRIM(D2008)),"")</f>
        <v/>
      </c>
    </row>
    <row r="2009" ht="15.75" customHeight="1" s="217">
      <c r="A2009" s="400" t="n">
        <v>2007</v>
      </c>
      <c r="B2009" s="400" t="inlineStr">
        <is>
          <t>KH1817</t>
        </is>
      </c>
      <c r="C2009" s="401" t="inlineStr">
        <is>
          <t>Công Ty Đạt Quang Minh - Long An/ 0933.331.157</t>
        </is>
      </c>
      <c r="D2009" s="400" t="inlineStr">
        <is>
          <t>0933.331.157</t>
        </is>
      </c>
      <c r="E2009" s="402" t="n"/>
      <c r="F2009" s="401" t="inlineStr">
        <is>
          <t>Long An</t>
        </is>
      </c>
      <c r="G2009" s="400" t="inlineStr">
        <is>
          <t>LA</t>
        </is>
      </c>
      <c r="H2009" s="402" t="n"/>
      <c r="J2009" s="392">
        <f>IFERROR(UPPER(TRIM(B2009))&amp;"|"&amp;UPPER(TRIM(C2009))&amp;"|"&amp;UPPER(TRIM(D2009)),"")</f>
        <v/>
      </c>
    </row>
    <row r="2010" ht="15.75" customHeight="1" s="217">
      <c r="A2010" s="397" t="n">
        <v>2008</v>
      </c>
      <c r="B2010" s="397" t="inlineStr">
        <is>
          <t>KH1815</t>
        </is>
      </c>
      <c r="C2010" s="398" t="inlineStr">
        <is>
          <t>Anh Hải - Phú Yên / 01669.472.746</t>
        </is>
      </c>
      <c r="D2010" s="397" t="inlineStr">
        <is>
          <t>01669.472.746</t>
        </is>
      </c>
      <c r="E2010" s="399" t="n"/>
      <c r="F2010" s="398" t="inlineStr">
        <is>
          <t>Phú Yên</t>
        </is>
      </c>
      <c r="G2010" s="397" t="inlineStr">
        <is>
          <t>PYEN</t>
        </is>
      </c>
      <c r="H2010" s="399" t="n"/>
      <c r="J2010" s="392">
        <f>IFERROR(UPPER(TRIM(B2010))&amp;"|"&amp;UPPER(TRIM(C2010))&amp;"|"&amp;UPPER(TRIM(D2010)),"")</f>
        <v/>
      </c>
    </row>
    <row r="2011" ht="15.75" customHeight="1" s="217">
      <c r="A2011" s="400" t="n">
        <v>2009</v>
      </c>
      <c r="B2011" s="400" t="inlineStr">
        <is>
          <t>KH1816</t>
        </is>
      </c>
      <c r="C2011" s="401" t="inlineStr">
        <is>
          <t>Anh Văn - Vĩnh Long/ 0979.996.728</t>
        </is>
      </c>
      <c r="D2011" s="400" t="inlineStr">
        <is>
          <t>0979.996.728</t>
        </is>
      </c>
      <c r="E2011" s="402" t="n"/>
      <c r="F2011" s="401" t="inlineStr">
        <is>
          <t>Vĩnh Long</t>
        </is>
      </c>
      <c r="G2011" s="400" t="inlineStr">
        <is>
          <t>VĨNH LONG</t>
        </is>
      </c>
      <c r="H2011" s="402" t="n"/>
      <c r="J2011" s="392">
        <f>IFERROR(UPPER(TRIM(B2011))&amp;"|"&amp;UPPER(TRIM(C2011))&amp;"|"&amp;UPPER(TRIM(D2011)),"")</f>
        <v/>
      </c>
    </row>
    <row r="2012" ht="15.75" customHeight="1" s="217">
      <c r="A2012" s="397" t="n">
        <v>2010</v>
      </c>
      <c r="B2012" s="397" t="inlineStr">
        <is>
          <t>KH1814</t>
        </is>
      </c>
      <c r="C2012" s="398" t="inlineStr">
        <is>
          <t>Anh Nhiên - Gò Đen, Long An/ 0919.348.890</t>
        </is>
      </c>
      <c r="D2012" s="397" t="inlineStr">
        <is>
          <t>0919.348.890</t>
        </is>
      </c>
      <c r="E2012" s="399" t="n"/>
      <c r="F2012" s="398" t="inlineStr">
        <is>
          <t>Long AN</t>
        </is>
      </c>
      <c r="G2012" s="397" t="inlineStr">
        <is>
          <t>LA</t>
        </is>
      </c>
      <c r="H2012" s="399" t="n"/>
      <c r="J2012" s="392">
        <f>IFERROR(UPPER(TRIM(B2012))&amp;"|"&amp;UPPER(TRIM(C2012))&amp;"|"&amp;UPPER(TRIM(D2012)),"")</f>
        <v/>
      </c>
    </row>
    <row r="2013" ht="15.75" customHeight="1" s="217">
      <c r="A2013" s="400" t="n">
        <v>2011</v>
      </c>
      <c r="B2013" s="400" t="inlineStr">
        <is>
          <t>KH1812</t>
        </is>
      </c>
      <c r="C2013" s="401" t="inlineStr">
        <is>
          <t>Anh Danh - Bến Lức / 0913.600.769</t>
        </is>
      </c>
      <c r="D2013" s="400" t="inlineStr">
        <is>
          <t>0913.600.769</t>
        </is>
      </c>
      <c r="E2013" s="402" t="n"/>
      <c r="F2013" s="401" t="inlineStr">
        <is>
          <t>Bến Lức, Long an</t>
        </is>
      </c>
      <c r="G2013" s="400" t="inlineStr">
        <is>
          <t>LA</t>
        </is>
      </c>
      <c r="H2013" s="402" t="n"/>
      <c r="J2013" s="392">
        <f>IFERROR(UPPER(TRIM(B2013))&amp;"|"&amp;UPPER(TRIM(C2013))&amp;"|"&amp;UPPER(TRIM(D2013)),"")</f>
        <v/>
      </c>
    </row>
    <row r="2014" ht="15.75" customHeight="1" s="217">
      <c r="A2014" s="397" t="n">
        <v>2012</v>
      </c>
      <c r="B2014" s="397" t="inlineStr">
        <is>
          <t>KH1813</t>
        </is>
      </c>
      <c r="C2014" s="398" t="inlineStr">
        <is>
          <t>Anh Quý - Nha Trang / 0905.202.910</t>
        </is>
      </c>
      <c r="D2014" s="397" t="inlineStr">
        <is>
          <t>0905.202.910</t>
        </is>
      </c>
      <c r="E2014" s="399" t="n"/>
      <c r="F2014" s="398" t="inlineStr">
        <is>
          <t>Thôn Phú Trung, X.Vĩnh Thành, TP.Nha Trang</t>
        </is>
      </c>
      <c r="G2014" s="397" t="inlineStr">
        <is>
          <t>NTRANG</t>
        </is>
      </c>
      <c r="H2014" s="399" t="n"/>
      <c r="J2014" s="392">
        <f>IFERROR(UPPER(TRIM(B2014))&amp;"|"&amp;UPPER(TRIM(C2014))&amp;"|"&amp;UPPER(TRIM(D2014)),"")</f>
        <v/>
      </c>
    </row>
    <row r="2015" ht="15.75" customHeight="1" s="217">
      <c r="A2015" s="400" t="n">
        <v>2013</v>
      </c>
      <c r="B2015" s="400" t="inlineStr">
        <is>
          <t>KH1810</t>
        </is>
      </c>
      <c r="C2015" s="401" t="inlineStr">
        <is>
          <t>X.Anh Thanh - Bình Thuận / 0964.007.760</t>
        </is>
      </c>
      <c r="D2015" s="400" t="inlineStr">
        <is>
          <t>0964.007.760</t>
        </is>
      </c>
      <c r="E2015" s="402" t="n"/>
      <c r="F2015" s="401" t="inlineStr">
        <is>
          <t>Ngã 3, xóm 7, Tuy Phong, Bình Thuận</t>
        </is>
      </c>
      <c r="G2015" s="400" t="inlineStr">
        <is>
          <t>BTHUAN</t>
        </is>
      </c>
      <c r="H2015" s="402" t="n"/>
      <c r="J2015" s="392">
        <f>IFERROR(UPPER(TRIM(B2015))&amp;"|"&amp;UPPER(TRIM(C2015))&amp;"|"&amp;UPPER(TRIM(D2015)),"")</f>
        <v/>
      </c>
    </row>
    <row r="2016" ht="15.75" customHeight="1" s="217">
      <c r="A2016" s="397" t="n">
        <v>2014</v>
      </c>
      <c r="B2016" s="397" t="inlineStr">
        <is>
          <t>KH1811</t>
        </is>
      </c>
      <c r="C2016" s="398" t="inlineStr">
        <is>
          <t>Công Ty Minh Phát - Bình Thạnh/ CHú Phát - 0903.838.613</t>
        </is>
      </c>
      <c r="D2016" s="397" t="inlineStr">
        <is>
          <t>0903.838.613</t>
        </is>
      </c>
      <c r="E2016" s="399" t="n"/>
      <c r="F2016" s="398" t="inlineStr">
        <is>
          <t>Bình Thạnh - TP.HCM</t>
        </is>
      </c>
      <c r="G2016" s="397" t="inlineStr">
        <is>
          <t>SG/HCM</t>
        </is>
      </c>
      <c r="H2016" s="399" t="n"/>
      <c r="J2016" s="392">
        <f>IFERROR(UPPER(TRIM(B2016))&amp;"|"&amp;UPPER(TRIM(C2016))&amp;"|"&amp;UPPER(TRIM(D2016)),"")</f>
        <v/>
      </c>
    </row>
    <row r="2017" ht="15.75" customHeight="1" s="217">
      <c r="A2017" s="400" t="n">
        <v>2015</v>
      </c>
      <c r="B2017" s="400" t="inlineStr">
        <is>
          <t>MN55</t>
        </is>
      </c>
      <c r="C2017" s="401" t="inlineStr">
        <is>
          <t>Vũ Thị Hồng Nhung</t>
        </is>
      </c>
      <c r="D2017" s="402" t="n"/>
      <c r="E2017" s="402" t="n"/>
      <c r="F2017" s="401" t="inlineStr">
        <is>
          <t>Công Ty CPCG Miền Nam</t>
        </is>
      </c>
      <c r="G2017" s="402" t="n"/>
      <c r="H2017" s="402" t="n"/>
      <c r="J2017" s="392">
        <f>IFERROR(UPPER(TRIM(B2017))&amp;"|"&amp;UPPER(TRIM(C2017))&amp;"|"&amp;UPPER(TRIM(D2017)),"")</f>
        <v/>
      </c>
    </row>
    <row r="2018" ht="15.75" customHeight="1" s="217">
      <c r="A2018" s="397" t="n">
        <v>2016</v>
      </c>
      <c r="B2018" s="397" t="inlineStr">
        <is>
          <t>KH1809</t>
        </is>
      </c>
      <c r="C2018" s="398" t="inlineStr">
        <is>
          <t>Anh Thái - Q2 / 0918.216.616</t>
        </is>
      </c>
      <c r="D2018" s="397" t="inlineStr">
        <is>
          <t>0918.216.616</t>
        </is>
      </c>
      <c r="E2018" s="399" t="n"/>
      <c r="F2018" s="398" t="inlineStr">
        <is>
          <t>Q2</t>
        </is>
      </c>
      <c r="G2018" s="397" t="inlineStr">
        <is>
          <t>SG/HCM</t>
        </is>
      </c>
      <c r="H2018" s="399" t="n"/>
      <c r="J2018" s="392">
        <f>IFERROR(UPPER(TRIM(B2018))&amp;"|"&amp;UPPER(TRIM(C2018))&amp;"|"&amp;UPPER(TRIM(D2018)),"")</f>
        <v/>
      </c>
    </row>
    <row r="2019" ht="15.75" customHeight="1" s="217">
      <c r="A2019" s="400" t="n">
        <v>2017</v>
      </c>
      <c r="B2019" s="400" t="inlineStr">
        <is>
          <t>KH1806</t>
        </is>
      </c>
      <c r="C2019" s="401" t="inlineStr">
        <is>
          <t>Công ty TNHH TMDV Cơ Giới Phú Cường - Vũng Tàu - Chú Cường/ 0988.965.579</t>
        </is>
      </c>
      <c r="D2019" s="400" t="inlineStr">
        <is>
          <t>0988.965.579</t>
        </is>
      </c>
      <c r="E2019" s="402" t="n"/>
      <c r="F2019" s="401" t="inlineStr">
        <is>
          <t>ấp Phước Tấn , xã Tân Hòa, huyện Tân Thành, BRVT</t>
        </is>
      </c>
      <c r="G2019" s="400" t="inlineStr">
        <is>
          <t>BRVT</t>
        </is>
      </c>
      <c r="H2019" s="402" t="n"/>
      <c r="J2019" s="392">
        <f>IFERROR(UPPER(TRIM(B2019))&amp;"|"&amp;UPPER(TRIM(C2019))&amp;"|"&amp;UPPER(TRIM(D2019)),"")</f>
        <v/>
      </c>
    </row>
    <row r="2020" ht="15.75" customHeight="1" s="217">
      <c r="A2020" s="397" t="n">
        <v>2018</v>
      </c>
      <c r="B2020" s="397" t="inlineStr">
        <is>
          <t>KH1807</t>
        </is>
      </c>
      <c r="C2020" s="398" t="inlineStr">
        <is>
          <t>Anh Lưu - Sài Gòn/ 0987.054.500</t>
        </is>
      </c>
      <c r="D2020" s="397" t="inlineStr">
        <is>
          <t>0987.054.500</t>
        </is>
      </c>
      <c r="E2020" s="399" t="n"/>
      <c r="F2020" s="398" t="inlineStr">
        <is>
          <t>Sài Gòn</t>
        </is>
      </c>
      <c r="G2020" s="397" t="inlineStr">
        <is>
          <t>SG/HCM</t>
        </is>
      </c>
      <c r="H2020" s="399" t="n"/>
      <c r="J2020" s="392">
        <f>IFERROR(UPPER(TRIM(B2020))&amp;"|"&amp;UPPER(TRIM(C2020))&amp;"|"&amp;UPPER(TRIM(D2020)),"")</f>
        <v/>
      </c>
    </row>
    <row r="2021" ht="15.75" customHeight="1" s="217">
      <c r="A2021" s="400" t="n">
        <v>2019</v>
      </c>
      <c r="B2021" s="400" t="inlineStr">
        <is>
          <t>KH1808</t>
        </is>
      </c>
      <c r="C2021" s="401" t="inlineStr">
        <is>
          <t>Anh Mẫn - Cà Mau/ 0949.464.104</t>
        </is>
      </c>
      <c r="D2021" s="400" t="inlineStr">
        <is>
          <t>0949.464.104</t>
        </is>
      </c>
      <c r="E2021" s="402" t="n"/>
      <c r="F2021" s="401" t="inlineStr">
        <is>
          <t>Cà Mau</t>
        </is>
      </c>
      <c r="G2021" s="400" t="inlineStr">
        <is>
          <t>CMAU</t>
        </is>
      </c>
      <c r="H2021" s="402" t="n"/>
      <c r="J2021" s="392">
        <f>IFERROR(UPPER(TRIM(B2021))&amp;"|"&amp;UPPER(TRIM(C2021))&amp;"|"&amp;UPPER(TRIM(D2021)),"")</f>
        <v/>
      </c>
    </row>
    <row r="2022" ht="15.75" customHeight="1" s="217">
      <c r="A2022" s="397" t="n">
        <v>2020</v>
      </c>
      <c r="B2022" s="397" t="inlineStr">
        <is>
          <t>KH1805</t>
        </is>
      </c>
      <c r="C2022" s="398" t="inlineStr">
        <is>
          <t>Anh Bảy - Long An / 0916.782.555</t>
        </is>
      </c>
      <c r="D2022" s="397" t="inlineStr">
        <is>
          <t>0916.782.555</t>
        </is>
      </c>
      <c r="E2022" s="399" t="n"/>
      <c r="F2022" s="398" t="inlineStr">
        <is>
          <t>Thủ Thừa, Long An</t>
        </is>
      </c>
      <c r="G2022" s="397" t="inlineStr">
        <is>
          <t>LA</t>
        </is>
      </c>
      <c r="H2022" s="399" t="n"/>
      <c r="J2022" s="392">
        <f>IFERROR(UPPER(TRIM(B2022))&amp;"|"&amp;UPPER(TRIM(C2022))&amp;"|"&amp;UPPER(TRIM(D2022)),"")</f>
        <v/>
      </c>
    </row>
    <row r="2023" ht="15.75" customHeight="1" s="217">
      <c r="A2023" s="400" t="n">
        <v>2021</v>
      </c>
      <c r="B2023" s="400" t="inlineStr">
        <is>
          <t>KH1804</t>
        </is>
      </c>
      <c r="C2023" s="401" t="inlineStr">
        <is>
          <t>Anh Khoa - Nhà Bè / 0904.056.607</t>
        </is>
      </c>
      <c r="D2023" s="400" t="inlineStr">
        <is>
          <t>0904.056.607</t>
        </is>
      </c>
      <c r="E2023" s="402" t="n"/>
      <c r="F2023" s="401" t="inlineStr">
        <is>
          <t>Sài Gòn</t>
        </is>
      </c>
      <c r="G2023" s="400" t="inlineStr">
        <is>
          <t>SG/HCM</t>
        </is>
      </c>
      <c r="H2023" s="402" t="n"/>
      <c r="J2023" s="392">
        <f>IFERROR(UPPER(TRIM(B2023))&amp;"|"&amp;UPPER(TRIM(C2023))&amp;"|"&amp;UPPER(TRIM(D2023)),"")</f>
        <v/>
      </c>
    </row>
    <row r="2024" ht="15.75" customHeight="1" s="217">
      <c r="A2024" s="397" t="n">
        <v>2022</v>
      </c>
      <c r="B2024" s="397" t="inlineStr">
        <is>
          <t>KH1803</t>
        </is>
      </c>
      <c r="C2024" s="398" t="inlineStr">
        <is>
          <t>Chị Hà - Bình Dương / 0987.494.478</t>
        </is>
      </c>
      <c r="D2024" s="397" t="inlineStr">
        <is>
          <t>0987.494.478</t>
        </is>
      </c>
      <c r="E2024" s="399" t="n"/>
      <c r="F2024" s="398" t="inlineStr">
        <is>
          <t>Vòng Xoay An Phú , Thuận An , Bình Dương</t>
        </is>
      </c>
      <c r="G2024" s="397" t="inlineStr">
        <is>
          <t>BDUONG</t>
        </is>
      </c>
      <c r="H2024" s="399" t="n"/>
      <c r="J2024" s="392">
        <f>IFERROR(UPPER(TRIM(B2024))&amp;"|"&amp;UPPER(TRIM(C2024))&amp;"|"&amp;UPPER(TRIM(D2024)),"")</f>
        <v/>
      </c>
    </row>
    <row r="2025" ht="15.75" customHeight="1" s="217">
      <c r="A2025" s="400" t="n">
        <v>2023</v>
      </c>
      <c r="B2025" s="400" t="inlineStr">
        <is>
          <t>KH1800</t>
        </is>
      </c>
      <c r="C2025" s="401" t="inlineStr">
        <is>
          <t>Anh Dương - An Giang/ 0913.565.752</t>
        </is>
      </c>
      <c r="D2025" s="400" t="inlineStr">
        <is>
          <t>0913.565.752</t>
        </is>
      </c>
      <c r="E2025" s="402" t="n"/>
      <c r="F2025" s="401" t="inlineStr">
        <is>
          <t>An Giang</t>
        </is>
      </c>
      <c r="G2025" s="400" t="inlineStr">
        <is>
          <t>ANGIANG</t>
        </is>
      </c>
      <c r="H2025" s="402" t="n"/>
      <c r="J2025" s="392">
        <f>IFERROR(UPPER(TRIM(B2025))&amp;"|"&amp;UPPER(TRIM(C2025))&amp;"|"&amp;UPPER(TRIM(D2025)),"")</f>
        <v/>
      </c>
    </row>
    <row r="2026" ht="15.75" customHeight="1" s="217">
      <c r="A2026" s="397" t="n">
        <v>2024</v>
      </c>
      <c r="B2026" s="397" t="inlineStr">
        <is>
          <t>KH1801</t>
        </is>
      </c>
      <c r="C2026" s="398" t="inlineStr">
        <is>
          <t>Anh Tùng - Đắk Nông/ 01674.017.279</t>
        </is>
      </c>
      <c r="D2026" s="397" t="inlineStr">
        <is>
          <t>01674.017.279</t>
        </is>
      </c>
      <c r="E2026" s="399" t="n"/>
      <c r="F2026" s="398" t="inlineStr">
        <is>
          <t>Tuy Đức, Đắk Nông</t>
        </is>
      </c>
      <c r="G2026" s="397" t="inlineStr">
        <is>
          <t>DNONG</t>
        </is>
      </c>
      <c r="H2026" s="399" t="n"/>
      <c r="J2026" s="392">
        <f>IFERROR(UPPER(TRIM(B2026))&amp;"|"&amp;UPPER(TRIM(C2026))&amp;"|"&amp;UPPER(TRIM(D2026)),"")</f>
        <v/>
      </c>
    </row>
    <row r="2027" ht="15.75" customHeight="1" s="217">
      <c r="A2027" s="400" t="n">
        <v>2025</v>
      </c>
      <c r="B2027" s="400" t="inlineStr">
        <is>
          <t>KH1802</t>
        </is>
      </c>
      <c r="C2027" s="401" t="inlineStr">
        <is>
          <t>Anh Tùng - Bến Lức/ 0908.568.247</t>
        </is>
      </c>
      <c r="D2027" s="400" t="inlineStr">
        <is>
          <t>0908.568.247</t>
        </is>
      </c>
      <c r="E2027" s="402" t="n"/>
      <c r="F2027" s="401" t="inlineStr">
        <is>
          <t>Long an</t>
        </is>
      </c>
      <c r="G2027" s="400" t="inlineStr">
        <is>
          <t>LA</t>
        </is>
      </c>
      <c r="H2027" s="402" t="n"/>
      <c r="J2027" s="392">
        <f>IFERROR(UPPER(TRIM(B2027))&amp;"|"&amp;UPPER(TRIM(C2027))&amp;"|"&amp;UPPER(TRIM(D2027)),"")</f>
        <v/>
      </c>
    </row>
    <row r="2028" ht="15.75" customHeight="1" s="217">
      <c r="A2028" s="397" t="n">
        <v>2026</v>
      </c>
      <c r="B2028" s="397" t="inlineStr">
        <is>
          <t>KH1797</t>
        </is>
      </c>
      <c r="C2028" s="398" t="inlineStr">
        <is>
          <t>Anh Sơn - Đắk Lắk /0913.236.979</t>
        </is>
      </c>
      <c r="D2028" s="397" t="inlineStr">
        <is>
          <t>0913.236.979</t>
        </is>
      </c>
      <c r="E2028" s="399" t="n"/>
      <c r="F2028" s="398" t="inlineStr">
        <is>
          <t>Đắk Lắk</t>
        </is>
      </c>
      <c r="G2028" s="397" t="inlineStr">
        <is>
          <t>ÐL</t>
        </is>
      </c>
      <c r="H2028" s="399" t="n"/>
      <c r="J2028" s="392">
        <f>IFERROR(UPPER(TRIM(B2028))&amp;"|"&amp;UPPER(TRIM(C2028))&amp;"|"&amp;UPPER(TRIM(D2028)),"")</f>
        <v/>
      </c>
    </row>
    <row r="2029" ht="15.75" customHeight="1" s="217">
      <c r="A2029" s="400" t="n">
        <v>2027</v>
      </c>
      <c r="B2029" s="400" t="inlineStr">
        <is>
          <t>KH1798</t>
        </is>
      </c>
      <c r="C2029" s="401" t="inlineStr">
        <is>
          <t>Xưởng Anh Duy - Suối Tiên / 0932.089.739</t>
        </is>
      </c>
      <c r="D2029" s="400" t="inlineStr">
        <is>
          <t>0932.089.739</t>
        </is>
      </c>
      <c r="E2029" s="402" t="n"/>
      <c r="F2029" s="401" t="inlineStr">
        <is>
          <t>Suối Tiên, SG</t>
        </is>
      </c>
      <c r="G2029" s="400" t="inlineStr">
        <is>
          <t>SG/HCM</t>
        </is>
      </c>
      <c r="H2029" s="402" t="n"/>
      <c r="J2029" s="392">
        <f>IFERROR(UPPER(TRIM(B2029))&amp;"|"&amp;UPPER(TRIM(C2029))&amp;"|"&amp;UPPER(TRIM(D2029)),"")</f>
        <v/>
      </c>
    </row>
    <row r="2030" ht="15.75" customHeight="1" s="217">
      <c r="A2030" s="397" t="n">
        <v>2028</v>
      </c>
      <c r="B2030" s="397" t="inlineStr">
        <is>
          <t>KH1799</t>
        </is>
      </c>
      <c r="C2030" s="398" t="inlineStr">
        <is>
          <t>Anh Tiến - Long Khánh , Đồng Nai / 0949.756.679</t>
        </is>
      </c>
      <c r="D2030" s="397" t="inlineStr">
        <is>
          <t>0949.756.679</t>
        </is>
      </c>
      <c r="E2030" s="399" t="n"/>
      <c r="F2030" s="398" t="inlineStr">
        <is>
          <t>Đồng Nai</t>
        </is>
      </c>
      <c r="G2030" s="397" t="inlineStr">
        <is>
          <t>ÐNAI</t>
        </is>
      </c>
      <c r="H2030" s="399" t="n"/>
      <c r="J2030" s="392">
        <f>IFERROR(UPPER(TRIM(B2030))&amp;"|"&amp;UPPER(TRIM(C2030))&amp;"|"&amp;UPPER(TRIM(D2030)),"")</f>
        <v/>
      </c>
    </row>
    <row r="2031" ht="15.75" customHeight="1" s="217">
      <c r="A2031" s="400" t="n">
        <v>2029</v>
      </c>
      <c r="B2031" s="400" t="inlineStr">
        <is>
          <t>KH1795</t>
        </is>
      </c>
      <c r="C2031" s="401" t="inlineStr">
        <is>
          <t>Anh Phong - Quận 8/ 0903.787.374</t>
        </is>
      </c>
      <c r="D2031" s="400" t="inlineStr">
        <is>
          <t>0903.787.374</t>
        </is>
      </c>
      <c r="E2031" s="402" t="n"/>
      <c r="F2031" s="401" t="inlineStr">
        <is>
          <t>Sài Gòn</t>
        </is>
      </c>
      <c r="G2031" s="400" t="inlineStr">
        <is>
          <t>SG/HCM</t>
        </is>
      </c>
      <c r="H2031" s="402" t="n"/>
      <c r="J2031" s="392">
        <f>IFERROR(UPPER(TRIM(B2031))&amp;"|"&amp;UPPER(TRIM(C2031))&amp;"|"&amp;UPPER(TRIM(D2031)),"")</f>
        <v/>
      </c>
    </row>
    <row r="2032" ht="15.75" customHeight="1" s="217">
      <c r="A2032" s="397" t="n">
        <v>2030</v>
      </c>
      <c r="B2032" s="397" t="inlineStr">
        <is>
          <t>KH1796</t>
        </is>
      </c>
      <c r="C2032" s="398" t="inlineStr">
        <is>
          <t>Anh Đức - Cần Thơ/ 0888.888.180</t>
        </is>
      </c>
      <c r="D2032" s="397" t="inlineStr">
        <is>
          <t>0888.888.180</t>
        </is>
      </c>
      <c r="E2032" s="399" t="n"/>
      <c r="F2032" s="398" t="inlineStr">
        <is>
          <t>Cần Thơ</t>
        </is>
      </c>
      <c r="G2032" s="397" t="inlineStr">
        <is>
          <t>CTHO</t>
        </is>
      </c>
      <c r="H2032" s="399" t="n"/>
      <c r="J2032" s="392">
        <f>IFERROR(UPPER(TRIM(B2032))&amp;"|"&amp;UPPER(TRIM(C2032))&amp;"|"&amp;UPPER(TRIM(D2032)),"")</f>
        <v/>
      </c>
    </row>
    <row r="2033" ht="15.75" customHeight="1" s="217">
      <c r="A2033" s="400" t="n">
        <v>2031</v>
      </c>
      <c r="B2033" s="400" t="inlineStr">
        <is>
          <t>KH1794</t>
        </is>
      </c>
      <c r="C2033" s="401" t="inlineStr">
        <is>
          <t>Công Ty Đạt Phương-Hà Nội / Anh Hòa- 0978.995.303</t>
        </is>
      </c>
      <c r="D2033" s="400" t="inlineStr">
        <is>
          <t>0978.995.303</t>
        </is>
      </c>
      <c r="E2033" s="402" t="n"/>
      <c r="F2033" s="401" t="inlineStr">
        <is>
          <t>Hà Nội</t>
        </is>
      </c>
      <c r="G2033" s="400" t="inlineStr">
        <is>
          <t>HN</t>
        </is>
      </c>
      <c r="H2033" s="402" t="n"/>
      <c r="J2033" s="392">
        <f>IFERROR(UPPER(TRIM(B2033))&amp;"|"&amp;UPPER(TRIM(C2033))&amp;"|"&amp;UPPER(TRIM(D2033)),"")</f>
        <v/>
      </c>
    </row>
    <row r="2034" ht="15.75" customHeight="1" s="217">
      <c r="A2034" s="397" t="n">
        <v>2032</v>
      </c>
      <c r="B2034" s="397" t="inlineStr">
        <is>
          <t>KH1792</t>
        </is>
      </c>
      <c r="C2034" s="398" t="inlineStr">
        <is>
          <t>Anh Nhật - Vĩnh Châu/ 0989.863.587</t>
        </is>
      </c>
      <c r="D2034" s="397" t="inlineStr">
        <is>
          <t>0989.863.587</t>
        </is>
      </c>
      <c r="E2034" s="399" t="n"/>
      <c r="F2034" s="398" t="inlineStr">
        <is>
          <t>Vĩnh Châu - Sóc Trăng</t>
        </is>
      </c>
      <c r="G2034" s="397" t="inlineStr">
        <is>
          <t>STRANG</t>
        </is>
      </c>
      <c r="H2034" s="399" t="n"/>
      <c r="J2034" s="392">
        <f>IFERROR(UPPER(TRIM(B2034))&amp;"|"&amp;UPPER(TRIM(C2034))&amp;"|"&amp;UPPER(TRIM(D2034)),"")</f>
        <v/>
      </c>
    </row>
    <row r="2035" ht="15.75" customHeight="1" s="217">
      <c r="A2035" s="400" t="n">
        <v>2033</v>
      </c>
      <c r="B2035" s="400" t="inlineStr">
        <is>
          <t>KH1793</t>
        </is>
      </c>
      <c r="C2035" s="401" t="inlineStr">
        <is>
          <t>Chú Năm Hồng - Trà Vinh/ 0918.099.129</t>
        </is>
      </c>
      <c r="D2035" s="400" t="inlineStr">
        <is>
          <t>0918.099.129</t>
        </is>
      </c>
      <c r="E2035" s="402" t="n"/>
      <c r="F2035" s="401" t="inlineStr">
        <is>
          <t>Trà Vinh</t>
        </is>
      </c>
      <c r="G2035" s="400" t="inlineStr">
        <is>
          <t>TV</t>
        </is>
      </c>
      <c r="H2035" s="402" t="n"/>
      <c r="J2035" s="392">
        <f>IFERROR(UPPER(TRIM(B2035))&amp;"|"&amp;UPPER(TRIM(C2035))&amp;"|"&amp;UPPER(TRIM(D2035)),"")</f>
        <v/>
      </c>
    </row>
    <row r="2036" ht="15.75" customHeight="1" s="217">
      <c r="A2036" s="397" t="n">
        <v>2034</v>
      </c>
      <c r="B2036" s="397" t="inlineStr">
        <is>
          <t>KH1791</t>
        </is>
      </c>
      <c r="C2036" s="398" t="inlineStr">
        <is>
          <t>Anh Thảo - Nhà Bè, Sài Gòn/ 0987.444.952</t>
        </is>
      </c>
      <c r="D2036" s="397" t="inlineStr">
        <is>
          <t>0987.444.952</t>
        </is>
      </c>
      <c r="E2036" s="399" t="n"/>
      <c r="F2036" s="398" t="inlineStr">
        <is>
          <t>KCN Hiệp Phước, Nhà Bè</t>
        </is>
      </c>
      <c r="G2036" s="397" t="inlineStr">
        <is>
          <t>SG/HCM</t>
        </is>
      </c>
      <c r="H2036" s="399" t="n"/>
      <c r="J2036" s="392">
        <f>IFERROR(UPPER(TRIM(B2036))&amp;"|"&amp;UPPER(TRIM(C2036))&amp;"|"&amp;UPPER(TRIM(D2036)),"")</f>
        <v/>
      </c>
    </row>
    <row r="2037" ht="15.75" customHeight="1" s="217">
      <c r="A2037" s="400" t="n">
        <v>2035</v>
      </c>
      <c r="B2037" s="400" t="inlineStr">
        <is>
          <t>KH1789</t>
        </is>
      </c>
      <c r="C2037" s="401" t="inlineStr">
        <is>
          <t>Anh Phúc - Bình Chánh/ 0902.985.855</t>
        </is>
      </c>
      <c r="D2037" s="400" t="inlineStr">
        <is>
          <t>0902.985.855</t>
        </is>
      </c>
      <c r="E2037" s="402" t="n"/>
      <c r="F2037" s="401" t="inlineStr">
        <is>
          <t>Cách chợ Bình Chánh 2km - TP.HCM</t>
        </is>
      </c>
      <c r="G2037" s="400" t="inlineStr">
        <is>
          <t>SG/HCM</t>
        </is>
      </c>
      <c r="H2037" s="402" t="n"/>
      <c r="J2037" s="392">
        <f>IFERROR(UPPER(TRIM(B2037))&amp;"|"&amp;UPPER(TRIM(C2037))&amp;"|"&amp;UPPER(TRIM(D2037)),"")</f>
        <v/>
      </c>
    </row>
    <row r="2038" ht="15.75" customHeight="1" s="217">
      <c r="A2038" s="397" t="n">
        <v>2036</v>
      </c>
      <c r="B2038" s="397" t="inlineStr">
        <is>
          <t>KH1790</t>
        </is>
      </c>
      <c r="C2038" s="398" t="inlineStr">
        <is>
          <t>Bãi máy Trần Hưng - Suối Tiên/ 01265.130.876</t>
        </is>
      </c>
      <c r="D2038" s="397" t="inlineStr">
        <is>
          <t>01265.130.876</t>
        </is>
      </c>
      <c r="E2038" s="399" t="n"/>
      <c r="F2038" s="398" t="inlineStr">
        <is>
          <t>Suối Tiên, Sài Gòn</t>
        </is>
      </c>
      <c r="G2038" s="397" t="inlineStr">
        <is>
          <t>SG/HCM</t>
        </is>
      </c>
      <c r="H2038" s="399" t="n"/>
      <c r="J2038" s="392">
        <f>IFERROR(UPPER(TRIM(B2038))&amp;"|"&amp;UPPER(TRIM(C2038))&amp;"|"&amp;UPPER(TRIM(D2038)),"")</f>
        <v/>
      </c>
    </row>
    <row r="2039" ht="15.75" customHeight="1" s="217">
      <c r="A2039" s="400" t="n">
        <v>2037</v>
      </c>
      <c r="B2039" s="400" t="inlineStr">
        <is>
          <t>KH1784</t>
        </is>
      </c>
      <c r="C2039" s="401" t="inlineStr">
        <is>
          <t>Anh Muội - Vũng Tàu / 0989.710.188</t>
        </is>
      </c>
      <c r="D2039" s="400" t="inlineStr">
        <is>
          <t>0989.710.188</t>
        </is>
      </c>
      <c r="E2039" s="402" t="n"/>
      <c r="F2039" s="401" t="inlineStr">
        <is>
          <t>Vũng Tàu</t>
        </is>
      </c>
      <c r="G2039" s="400" t="inlineStr">
        <is>
          <t>BRVT</t>
        </is>
      </c>
      <c r="H2039" s="402" t="n"/>
      <c r="J2039" s="392">
        <f>IFERROR(UPPER(TRIM(B2039))&amp;"|"&amp;UPPER(TRIM(C2039))&amp;"|"&amp;UPPER(TRIM(D2039)),"")</f>
        <v/>
      </c>
    </row>
    <row r="2040" ht="15.75" customHeight="1" s="217">
      <c r="A2040" s="397" t="n">
        <v>2038</v>
      </c>
      <c r="B2040" s="397" t="inlineStr">
        <is>
          <t>KH1785</t>
        </is>
      </c>
      <c r="C2040" s="398" t="inlineStr">
        <is>
          <t>Anh Tràng - Sài Gòn / 01665.939.777</t>
        </is>
      </c>
      <c r="D2040" s="397" t="inlineStr">
        <is>
          <t>01665.939.777</t>
        </is>
      </c>
      <c r="E2040" s="399" t="n"/>
      <c r="F2040" s="398" t="inlineStr">
        <is>
          <t>Sài Gòn</t>
        </is>
      </c>
      <c r="G2040" s="397" t="inlineStr">
        <is>
          <t>SG/HCM</t>
        </is>
      </c>
      <c r="H2040" s="399" t="n"/>
      <c r="J2040" s="392">
        <f>IFERROR(UPPER(TRIM(B2040))&amp;"|"&amp;UPPER(TRIM(C2040))&amp;"|"&amp;UPPER(TRIM(D2040)),"")</f>
        <v/>
      </c>
    </row>
    <row r="2041" ht="15.75" customHeight="1" s="217">
      <c r="A2041" s="400" t="n">
        <v>2039</v>
      </c>
      <c r="B2041" s="400" t="inlineStr">
        <is>
          <t>KH1786</t>
        </is>
      </c>
      <c r="C2041" s="401" t="inlineStr">
        <is>
          <t>Anh Bằng - Bảo Lộc/ 0908.105.048</t>
        </is>
      </c>
      <c r="D2041" s="400" t="inlineStr">
        <is>
          <t>0908.105.048</t>
        </is>
      </c>
      <c r="E2041" s="402" t="n"/>
      <c r="F2041" s="401" t="inlineStr">
        <is>
          <t>Bảo Lộc</t>
        </is>
      </c>
      <c r="G2041" s="400" t="inlineStr">
        <is>
          <t>LDONG</t>
        </is>
      </c>
      <c r="H2041" s="402" t="n"/>
      <c r="J2041" s="392">
        <f>IFERROR(UPPER(TRIM(B2041))&amp;"|"&amp;UPPER(TRIM(C2041))&amp;"|"&amp;UPPER(TRIM(D2041)),"")</f>
        <v/>
      </c>
    </row>
    <row r="2042" ht="15.75" customHeight="1" s="217">
      <c r="A2042" s="397" t="n">
        <v>2040</v>
      </c>
      <c r="B2042" s="397" t="inlineStr">
        <is>
          <t>KH1787</t>
        </is>
      </c>
      <c r="C2042" s="398" t="inlineStr">
        <is>
          <t>Công Ty Hải Vương - Bình Phước/ Anh Trung - 0905.202.646</t>
        </is>
      </c>
      <c r="D2042" s="397" t="inlineStr">
        <is>
          <t>0905.202.646</t>
        </is>
      </c>
      <c r="E2042" s="399" t="n"/>
      <c r="F2042" s="398" t="inlineStr">
        <is>
          <t>Bình Phước</t>
        </is>
      </c>
      <c r="G2042" s="397" t="inlineStr">
        <is>
          <t>BP</t>
        </is>
      </c>
      <c r="H2042" s="399" t="n"/>
      <c r="J2042" s="392">
        <f>IFERROR(UPPER(TRIM(B2042))&amp;"|"&amp;UPPER(TRIM(C2042))&amp;"|"&amp;UPPER(TRIM(D2042)),"")</f>
        <v/>
      </c>
    </row>
    <row r="2043" ht="15.75" customHeight="1" s="217">
      <c r="A2043" s="400" t="n">
        <v>2041</v>
      </c>
      <c r="B2043" s="400" t="inlineStr">
        <is>
          <t>KH1788</t>
        </is>
      </c>
      <c r="C2043" s="401" t="inlineStr">
        <is>
          <t>Cửa hàng Tám Thả - Cà Mau / 0918.251.731 - 0942.521.177 - 0942.964.712</t>
        </is>
      </c>
      <c r="D2043" s="400" t="inlineStr">
        <is>
          <t>0918.251.731 / 0942.521.177 / 0942.964.712</t>
        </is>
      </c>
      <c r="E2043" s="402" t="n"/>
      <c r="F2043" s="401" t="inlineStr">
        <is>
          <t>207 Lý Văn Lâm, Khóm 6, P1, TP Cà Mau</t>
        </is>
      </c>
      <c r="G2043" s="400" t="inlineStr">
        <is>
          <t>CMAU</t>
        </is>
      </c>
      <c r="H2043" s="402" t="n"/>
      <c r="J2043" s="392">
        <f>IFERROR(UPPER(TRIM(B2043))&amp;"|"&amp;UPPER(TRIM(C2043))&amp;"|"&amp;UPPER(TRIM(D2043)),"")</f>
        <v/>
      </c>
    </row>
    <row r="2044" ht="15.75" customHeight="1" s="217">
      <c r="A2044" s="397" t="n">
        <v>2042</v>
      </c>
      <c r="B2044" s="397" t="inlineStr">
        <is>
          <t>KH1783</t>
        </is>
      </c>
      <c r="C2044" s="398" t="inlineStr">
        <is>
          <t>Công ty 579 - Kiên Giang / A.Tám 0977.979.785</t>
        </is>
      </c>
      <c r="D2044" s="397" t="inlineStr">
        <is>
          <t>0977.979.785</t>
        </is>
      </c>
      <c r="E2044" s="399" t="n"/>
      <c r="F2044" s="398" t="inlineStr">
        <is>
          <t>U Minh Thượng, Kiên Giang</t>
        </is>
      </c>
      <c r="G2044" s="397" t="inlineStr">
        <is>
          <t>KG</t>
        </is>
      </c>
      <c r="H2044" s="399" t="n"/>
      <c r="J2044" s="392">
        <f>IFERROR(UPPER(TRIM(B2044))&amp;"|"&amp;UPPER(TRIM(C2044))&amp;"|"&amp;UPPER(TRIM(D2044)),"")</f>
        <v/>
      </c>
    </row>
    <row r="2045" ht="15.75" customHeight="1" s="217">
      <c r="A2045" s="400" t="n">
        <v>2043</v>
      </c>
      <c r="B2045" s="400" t="inlineStr">
        <is>
          <t>KH1780</t>
        </is>
      </c>
      <c r="C2045" s="401" t="inlineStr">
        <is>
          <t>Anh Trung - Cần Đước, Long An / 0907.757.944</t>
        </is>
      </c>
      <c r="D2045" s="400" t="inlineStr">
        <is>
          <t>0907.757.944</t>
        </is>
      </c>
      <c r="E2045" s="402" t="n"/>
      <c r="F2045" s="401" t="inlineStr">
        <is>
          <t>Long An</t>
        </is>
      </c>
      <c r="G2045" s="400" t="inlineStr">
        <is>
          <t>LA</t>
        </is>
      </c>
      <c r="H2045" s="402" t="n"/>
      <c r="J2045" s="392">
        <f>IFERROR(UPPER(TRIM(B2045))&amp;"|"&amp;UPPER(TRIM(C2045))&amp;"|"&amp;UPPER(TRIM(D2045)),"")</f>
        <v/>
      </c>
    </row>
    <row r="2046" ht="15.75" customHeight="1" s="217">
      <c r="A2046" s="397" t="n">
        <v>2044</v>
      </c>
      <c r="B2046" s="397" t="inlineStr">
        <is>
          <t>KH1781</t>
        </is>
      </c>
      <c r="C2046" s="398" t="inlineStr">
        <is>
          <t>Anh Trung - Quận 2(T) / 0973.929.009</t>
        </is>
      </c>
      <c r="D2046" s="397" t="inlineStr">
        <is>
          <t>0973.929.009</t>
        </is>
      </c>
      <c r="E2046" s="399" t="n"/>
      <c r="F2046" s="398" t="inlineStr">
        <is>
          <t>Quân 2, Sài Gòn</t>
        </is>
      </c>
      <c r="G2046" s="397" t="inlineStr">
        <is>
          <t>SG/HCM</t>
        </is>
      </c>
      <c r="H2046" s="399" t="n"/>
      <c r="J2046" s="392">
        <f>IFERROR(UPPER(TRIM(B2046))&amp;"|"&amp;UPPER(TRIM(C2046))&amp;"|"&amp;UPPER(TRIM(D2046)),"")</f>
        <v/>
      </c>
    </row>
    <row r="2047" ht="15.75" customHeight="1" s="217">
      <c r="A2047" s="400" t="n">
        <v>2045</v>
      </c>
      <c r="B2047" s="400" t="inlineStr">
        <is>
          <t>KH1782</t>
        </is>
      </c>
      <c r="C2047" s="401" t="inlineStr">
        <is>
          <t>Công ty TNHH SX TM và DV Phong Quang - Đắk Nông/ Anh Sơn - 0974.237.777</t>
        </is>
      </c>
      <c r="D2047" s="400" t="inlineStr">
        <is>
          <t>0974.237.777</t>
        </is>
      </c>
      <c r="E2047" s="402" t="n"/>
      <c r="F2047" s="401" t="inlineStr">
        <is>
          <t>Quảng Khê, Đắk Glong, Đắk Nông</t>
        </is>
      </c>
      <c r="G2047" s="400" t="inlineStr">
        <is>
          <t>DNONG</t>
        </is>
      </c>
      <c r="H2047" s="402" t="n"/>
      <c r="J2047" s="392">
        <f>IFERROR(UPPER(TRIM(B2047))&amp;"|"&amp;UPPER(TRIM(C2047))&amp;"|"&amp;UPPER(TRIM(D2047)),"")</f>
        <v/>
      </c>
    </row>
    <row r="2048" ht="15.75" customHeight="1" s="217">
      <c r="A2048" s="397" t="n">
        <v>2046</v>
      </c>
      <c r="B2048" s="397" t="inlineStr">
        <is>
          <t>KH1777</t>
        </is>
      </c>
      <c r="C2048" s="398" t="inlineStr">
        <is>
          <t>Anh Liêm - Củ Chi, Sài Gòn / 0985.285.514</t>
        </is>
      </c>
      <c r="D2048" s="397" t="inlineStr">
        <is>
          <t>0985.285.514</t>
        </is>
      </c>
      <c r="E2048" s="399" t="n"/>
      <c r="F2048" s="398" t="inlineStr">
        <is>
          <t>Sài Gòn</t>
        </is>
      </c>
      <c r="G2048" s="397" t="inlineStr">
        <is>
          <t>SG/HCM</t>
        </is>
      </c>
      <c r="H2048" s="399" t="n"/>
      <c r="J2048" s="392">
        <f>IFERROR(UPPER(TRIM(B2048))&amp;"|"&amp;UPPER(TRIM(C2048))&amp;"|"&amp;UPPER(TRIM(D2048)),"")</f>
        <v/>
      </c>
    </row>
    <row r="2049" ht="15.75" customHeight="1" s="217">
      <c r="A2049" s="400" t="n">
        <v>2047</v>
      </c>
      <c r="B2049" s="400" t="inlineStr">
        <is>
          <t>KH1778</t>
        </is>
      </c>
      <c r="C2049" s="401" t="inlineStr">
        <is>
          <t>Bãi Máy Hoàng Minh Khôi - 0903.885.924</t>
        </is>
      </c>
      <c r="D2049" s="400" t="inlineStr">
        <is>
          <t>0903.885.924</t>
        </is>
      </c>
      <c r="E2049" s="402" t="n"/>
      <c r="F2049" s="401" t="inlineStr">
        <is>
          <t>TP.HCM</t>
        </is>
      </c>
      <c r="G2049" s="400" t="inlineStr">
        <is>
          <t>SG/HCM</t>
        </is>
      </c>
      <c r="H2049" s="402" t="n"/>
      <c r="J2049" s="392">
        <f>IFERROR(UPPER(TRIM(B2049))&amp;"|"&amp;UPPER(TRIM(C2049))&amp;"|"&amp;UPPER(TRIM(D2049)),"")</f>
        <v/>
      </c>
    </row>
    <row r="2050" ht="15.75" customHeight="1" s="217">
      <c r="A2050" s="397" t="n">
        <v>2048</v>
      </c>
      <c r="B2050" s="397" t="inlineStr">
        <is>
          <t>KH1779</t>
        </is>
      </c>
      <c r="C2050" s="398" t="inlineStr">
        <is>
          <t>Anh Trường - Đức Trọng / 0903.142.959</t>
        </is>
      </c>
      <c r="D2050" s="397" t="inlineStr">
        <is>
          <t>0903.142.959</t>
        </is>
      </c>
      <c r="E2050" s="399" t="n"/>
      <c r="F2050" s="398" t="inlineStr">
        <is>
          <t>Lâm Đồng</t>
        </is>
      </c>
      <c r="G2050" s="397" t="inlineStr">
        <is>
          <t>LDONG</t>
        </is>
      </c>
      <c r="H2050" s="399" t="n"/>
      <c r="J2050" s="392">
        <f>IFERROR(UPPER(TRIM(B2050))&amp;"|"&amp;UPPER(TRIM(C2050))&amp;"|"&amp;UPPER(TRIM(D2050)),"")</f>
        <v/>
      </c>
    </row>
    <row r="2051" ht="15.75" customHeight="1" s="217">
      <c r="A2051" s="400" t="n">
        <v>2049</v>
      </c>
      <c r="B2051" s="400" t="inlineStr">
        <is>
          <t>KH1776</t>
        </is>
      </c>
      <c r="C2051" s="401" t="inlineStr">
        <is>
          <t>Anh Danh - Bình Dương / 0972.339.900</t>
        </is>
      </c>
      <c r="D2051" s="400" t="inlineStr">
        <is>
          <t>0972.339.900</t>
        </is>
      </c>
      <c r="E2051" s="402" t="n"/>
      <c r="F2051" s="401" t="inlineStr">
        <is>
          <t>Bình Dương</t>
        </is>
      </c>
      <c r="G2051" s="400" t="inlineStr">
        <is>
          <t>BDUONG</t>
        </is>
      </c>
      <c r="H2051" s="402" t="n"/>
      <c r="J2051" s="392">
        <f>IFERROR(UPPER(TRIM(B2051))&amp;"|"&amp;UPPER(TRIM(C2051))&amp;"|"&amp;UPPER(TRIM(D2051)),"")</f>
        <v/>
      </c>
    </row>
    <row r="2052" ht="15.75" customHeight="1" s="217">
      <c r="A2052" s="397" t="n">
        <v>2050</v>
      </c>
      <c r="B2052" s="397" t="inlineStr">
        <is>
          <t>KH1775</t>
        </is>
      </c>
      <c r="C2052" s="398" t="inlineStr">
        <is>
          <t>Anh KHoa - Quận 7, Sài Gòn / 0919.490.234</t>
        </is>
      </c>
      <c r="D2052" s="397" t="inlineStr">
        <is>
          <t>0919.490.234</t>
        </is>
      </c>
      <c r="E2052" s="399" t="n"/>
      <c r="F2052" s="398" t="inlineStr">
        <is>
          <t>Sài Gòn</t>
        </is>
      </c>
      <c r="G2052" s="397" t="inlineStr">
        <is>
          <t>SG/HCM</t>
        </is>
      </c>
      <c r="H2052" s="399" t="n"/>
      <c r="J2052" s="392">
        <f>IFERROR(UPPER(TRIM(B2052))&amp;"|"&amp;UPPER(TRIM(C2052))&amp;"|"&amp;UPPER(TRIM(D2052)),"")</f>
        <v/>
      </c>
    </row>
    <row r="2053" ht="15.75" customHeight="1" s="217">
      <c r="A2053" s="400" t="n">
        <v>2051</v>
      </c>
      <c r="B2053" s="400" t="inlineStr">
        <is>
          <t>KH1773</t>
        </is>
      </c>
      <c r="C2053" s="401" t="inlineStr">
        <is>
          <t>Anh Minh - Long Hải , Vũng Tàu / 0919.889.926</t>
        </is>
      </c>
      <c r="D2053" s="400" t="inlineStr">
        <is>
          <t>0919.889.926</t>
        </is>
      </c>
      <c r="E2053" s="402" t="n"/>
      <c r="F2053" s="401" t="inlineStr">
        <is>
          <t>Vũng Tàu</t>
        </is>
      </c>
      <c r="G2053" s="400" t="inlineStr">
        <is>
          <t>BRVT</t>
        </is>
      </c>
      <c r="H2053" s="402" t="n"/>
      <c r="J2053" s="392">
        <f>IFERROR(UPPER(TRIM(B2053))&amp;"|"&amp;UPPER(TRIM(C2053))&amp;"|"&amp;UPPER(TRIM(D2053)),"")</f>
        <v/>
      </c>
    </row>
    <row r="2054" ht="15.75" customHeight="1" s="217">
      <c r="A2054" s="397" t="n">
        <v>2052</v>
      </c>
      <c r="B2054" s="397" t="inlineStr">
        <is>
          <t>KH1774</t>
        </is>
      </c>
      <c r="C2054" s="398" t="inlineStr">
        <is>
          <t>Anh Hoàng - Suối Tiên/0938.663.880</t>
        </is>
      </c>
      <c r="D2054" s="397" t="inlineStr">
        <is>
          <t>0938.663.880</t>
        </is>
      </c>
      <c r="E2054" s="399" t="n"/>
      <c r="F2054" s="398" t="inlineStr">
        <is>
          <t>Suối Tiên - TP.HCM</t>
        </is>
      </c>
      <c r="G2054" s="397" t="inlineStr">
        <is>
          <t>SG/HCM</t>
        </is>
      </c>
      <c r="H2054" s="399" t="n"/>
      <c r="J2054" s="392">
        <f>IFERROR(UPPER(TRIM(B2054))&amp;"|"&amp;UPPER(TRIM(C2054))&amp;"|"&amp;UPPER(TRIM(D2054)),"")</f>
        <v/>
      </c>
    </row>
    <row r="2055" ht="15.75" customHeight="1" s="217">
      <c r="A2055" s="400" t="n">
        <v>2053</v>
      </c>
      <c r="B2055" s="400" t="inlineStr">
        <is>
          <t>KH1771</t>
        </is>
      </c>
      <c r="C2055" s="401" t="inlineStr">
        <is>
          <t>Anh Hiệu - Bảo Lộc, Lâm Đồng / 0948.457.351</t>
        </is>
      </c>
      <c r="D2055" s="400" t="inlineStr">
        <is>
          <t>0948.457.351</t>
        </is>
      </c>
      <c r="E2055" s="402" t="n"/>
      <c r="F2055" s="401" t="inlineStr">
        <is>
          <t>Lâm Đồng</t>
        </is>
      </c>
      <c r="G2055" s="400" t="inlineStr">
        <is>
          <t>LDONG</t>
        </is>
      </c>
      <c r="H2055" s="402" t="n"/>
      <c r="J2055" s="392">
        <f>IFERROR(UPPER(TRIM(B2055))&amp;"|"&amp;UPPER(TRIM(C2055))&amp;"|"&amp;UPPER(TRIM(D2055)),"")</f>
        <v/>
      </c>
    </row>
    <row r="2056" ht="15.75" customHeight="1" s="217">
      <c r="A2056" s="397" t="n">
        <v>2054</v>
      </c>
      <c r="B2056" s="397" t="inlineStr">
        <is>
          <t>KH1772</t>
        </is>
      </c>
      <c r="C2056" s="398" t="inlineStr">
        <is>
          <t>Anh Ngọc - Long An / 0918.611.910</t>
        </is>
      </c>
      <c r="D2056" s="397" t="inlineStr">
        <is>
          <t>0918.611.910</t>
        </is>
      </c>
      <c r="E2056" s="399" t="n"/>
      <c r="F2056" s="398" t="inlineStr">
        <is>
          <t>Long An</t>
        </is>
      </c>
      <c r="G2056" s="397" t="inlineStr">
        <is>
          <t>LA</t>
        </is>
      </c>
      <c r="H2056" s="399" t="n"/>
      <c r="J2056" s="392">
        <f>IFERROR(UPPER(TRIM(B2056))&amp;"|"&amp;UPPER(TRIM(C2056))&amp;"|"&amp;UPPER(TRIM(D2056)),"")</f>
        <v/>
      </c>
    </row>
    <row r="2057" ht="15.75" customHeight="1" s="217">
      <c r="A2057" s="400" t="n">
        <v>2055</v>
      </c>
      <c r="B2057" s="400" t="inlineStr">
        <is>
          <t>KH1766</t>
        </is>
      </c>
      <c r="C2057" s="401" t="inlineStr">
        <is>
          <t>Anh Ninh - Cty Ty Nam / 0169.771.3839</t>
        </is>
      </c>
      <c r="D2057" s="400" t="inlineStr">
        <is>
          <t>0169.771.3839</t>
        </is>
      </c>
      <c r="E2057" s="402" t="n"/>
      <c r="F2057" s="401" t="inlineStr">
        <is>
          <t>Q.12, TP.HCM</t>
        </is>
      </c>
      <c r="G2057" s="400" t="inlineStr">
        <is>
          <t>SG/HCM</t>
        </is>
      </c>
      <c r="H2057" s="402" t="n"/>
      <c r="J2057" s="392">
        <f>IFERROR(UPPER(TRIM(B2057))&amp;"|"&amp;UPPER(TRIM(C2057))&amp;"|"&amp;UPPER(TRIM(D2057)),"")</f>
        <v/>
      </c>
    </row>
    <row r="2058" ht="15.75" customHeight="1" s="217">
      <c r="A2058" s="397" t="n">
        <v>2056</v>
      </c>
      <c r="B2058" s="397" t="inlineStr">
        <is>
          <t>KH1767</t>
        </is>
      </c>
      <c r="C2058" s="398" t="inlineStr">
        <is>
          <t>Anh Minh - Bình Dương/0909.632.849</t>
        </is>
      </c>
      <c r="D2058" s="397" t="inlineStr">
        <is>
          <t>0909.632.849</t>
        </is>
      </c>
      <c r="E2058" s="399" t="n"/>
      <c r="F2058" s="398" t="inlineStr">
        <is>
          <t>Bình Dương</t>
        </is>
      </c>
      <c r="G2058" s="397" t="inlineStr">
        <is>
          <t>BDUONG</t>
        </is>
      </c>
      <c r="H2058" s="399" t="n"/>
      <c r="J2058" s="392">
        <f>IFERROR(UPPER(TRIM(B2058))&amp;"|"&amp;UPPER(TRIM(C2058))&amp;"|"&amp;UPPER(TRIM(D2058)),"")</f>
        <v/>
      </c>
    </row>
    <row r="2059" ht="15.75" customHeight="1" s="217">
      <c r="A2059" s="400" t="n">
        <v>2057</v>
      </c>
      <c r="B2059" s="400" t="inlineStr">
        <is>
          <t>KH1768</t>
        </is>
      </c>
      <c r="C2059" s="401" t="inlineStr">
        <is>
          <t>Anh Thi - Ba Tri , Bến Tre / 0919.188.110</t>
        </is>
      </c>
      <c r="D2059" s="400" t="inlineStr">
        <is>
          <t>0919.188.110</t>
        </is>
      </c>
      <c r="E2059" s="402" t="n"/>
      <c r="F2059" s="401" t="inlineStr">
        <is>
          <t>Bến Tre</t>
        </is>
      </c>
      <c r="G2059" s="400" t="inlineStr">
        <is>
          <t>BTRE</t>
        </is>
      </c>
      <c r="H2059" s="402" t="n"/>
      <c r="J2059" s="392">
        <f>IFERROR(UPPER(TRIM(B2059))&amp;"|"&amp;UPPER(TRIM(C2059))&amp;"|"&amp;UPPER(TRIM(D2059)),"")</f>
        <v/>
      </c>
    </row>
    <row r="2060" ht="15.75" customHeight="1" s="217">
      <c r="A2060" s="397" t="n">
        <v>2058</v>
      </c>
      <c r="B2060" s="397" t="inlineStr">
        <is>
          <t>KH1769</t>
        </is>
      </c>
      <c r="C2060" s="398" t="inlineStr">
        <is>
          <t>Anh Sơn - Bình Dương/ 0906.343.118</t>
        </is>
      </c>
      <c r="D2060" s="397" t="inlineStr">
        <is>
          <t>0906.343.118</t>
        </is>
      </c>
      <c r="E2060" s="399" t="n"/>
      <c r="F2060" s="398" t="inlineStr">
        <is>
          <t>Bình Dương</t>
        </is>
      </c>
      <c r="G2060" s="397" t="inlineStr">
        <is>
          <t>BDUONG</t>
        </is>
      </c>
      <c r="H2060" s="399" t="n"/>
      <c r="J2060" s="392">
        <f>IFERROR(UPPER(TRIM(B2060))&amp;"|"&amp;UPPER(TRIM(C2060))&amp;"|"&amp;UPPER(TRIM(D2060)),"")</f>
        <v/>
      </c>
    </row>
    <row r="2061" ht="15.75" customHeight="1" s="217">
      <c r="A2061" s="400" t="n">
        <v>2059</v>
      </c>
      <c r="B2061" s="400" t="inlineStr">
        <is>
          <t>KH1770</t>
        </is>
      </c>
      <c r="C2061" s="401" t="inlineStr">
        <is>
          <t>Anh Cường - Bạc Liêu / 0918.483.153</t>
        </is>
      </c>
      <c r="D2061" s="400" t="inlineStr">
        <is>
          <t>0918.483.153</t>
        </is>
      </c>
      <c r="E2061" s="402" t="n"/>
      <c r="F2061" s="401" t="inlineStr">
        <is>
          <t>Bạc Liêu</t>
        </is>
      </c>
      <c r="G2061" s="400" t="inlineStr">
        <is>
          <t>BLIEU</t>
        </is>
      </c>
      <c r="H2061" s="402" t="n"/>
      <c r="J2061" s="392">
        <f>IFERROR(UPPER(TRIM(B2061))&amp;"|"&amp;UPPER(TRIM(C2061))&amp;"|"&amp;UPPER(TRIM(D2061)),"")</f>
        <v/>
      </c>
    </row>
    <row r="2062" ht="15.75" customHeight="1" s="217">
      <c r="A2062" s="397" t="n">
        <v>2060</v>
      </c>
      <c r="B2062" s="397" t="inlineStr">
        <is>
          <t>KH1763</t>
        </is>
      </c>
      <c r="C2062" s="398" t="inlineStr">
        <is>
          <t>Anh Dũng - Đắk Nông / 0978.878.633</t>
        </is>
      </c>
      <c r="D2062" s="397" t="inlineStr">
        <is>
          <t>0978.878.633</t>
        </is>
      </c>
      <c r="E2062" s="399" t="n"/>
      <c r="F2062" s="398" t="inlineStr">
        <is>
          <t>Đắk Nông</t>
        </is>
      </c>
      <c r="G2062" s="397" t="inlineStr">
        <is>
          <t>DNONG</t>
        </is>
      </c>
      <c r="H2062" s="399" t="n"/>
      <c r="J2062" s="392">
        <f>IFERROR(UPPER(TRIM(B2062))&amp;"|"&amp;UPPER(TRIM(C2062))&amp;"|"&amp;UPPER(TRIM(D2062)),"")</f>
        <v/>
      </c>
    </row>
    <row r="2063" ht="15.75" customHeight="1" s="217">
      <c r="A2063" s="400" t="n">
        <v>2061</v>
      </c>
      <c r="B2063" s="400" t="inlineStr">
        <is>
          <t>KH1764</t>
        </is>
      </c>
      <c r="C2063" s="401" t="inlineStr">
        <is>
          <t>Anh Quang - Quận 12 / 0903.181.013</t>
        </is>
      </c>
      <c r="D2063" s="400" t="inlineStr">
        <is>
          <t>0903.181.013</t>
        </is>
      </c>
      <c r="E2063" s="402" t="n"/>
      <c r="F2063" s="401" t="inlineStr">
        <is>
          <t>Quận 12, Sài Gòn</t>
        </is>
      </c>
      <c r="G2063" s="400" t="inlineStr">
        <is>
          <t>SG/HCM</t>
        </is>
      </c>
      <c r="H2063" s="402" t="n"/>
      <c r="J2063" s="392">
        <f>IFERROR(UPPER(TRIM(B2063))&amp;"|"&amp;UPPER(TRIM(C2063))&amp;"|"&amp;UPPER(TRIM(D2063)),"")</f>
        <v/>
      </c>
    </row>
    <row r="2064" ht="15.75" customHeight="1" s="217">
      <c r="A2064" s="397" t="n">
        <v>2062</v>
      </c>
      <c r="B2064" s="397" t="inlineStr">
        <is>
          <t>KH1765</t>
        </is>
      </c>
      <c r="C2064" s="398" t="inlineStr">
        <is>
          <t>CHú Hùng - Bình Dương / 0913.815.327</t>
        </is>
      </c>
      <c r="D2064" s="397" t="inlineStr">
        <is>
          <t>0913.815.327</t>
        </is>
      </c>
      <c r="E2064" s="399" t="n"/>
      <c r="F2064" s="398" t="inlineStr">
        <is>
          <t>Bình Dương</t>
        </is>
      </c>
      <c r="G2064" s="397" t="inlineStr">
        <is>
          <t>BDUONG</t>
        </is>
      </c>
      <c r="H2064" s="399" t="n"/>
      <c r="J2064" s="392">
        <f>IFERROR(UPPER(TRIM(B2064))&amp;"|"&amp;UPPER(TRIM(C2064))&amp;"|"&amp;UPPER(TRIM(D2064)),"")</f>
        <v/>
      </c>
    </row>
    <row r="2065" ht="15.75" customHeight="1" s="217">
      <c r="A2065" s="400" t="n">
        <v>2063</v>
      </c>
      <c r="B2065" s="400" t="inlineStr">
        <is>
          <t>KH1762</t>
        </is>
      </c>
      <c r="C2065" s="401" t="inlineStr">
        <is>
          <t>Anh Trung - Quận 2(L) / 0913.905.110</t>
        </is>
      </c>
      <c r="D2065" s="400" t="inlineStr">
        <is>
          <t>0913.905.110</t>
        </is>
      </c>
      <c r="E2065" s="402" t="n"/>
      <c r="F2065" s="401" t="inlineStr">
        <is>
          <t>Quận 2, Sài Gòn</t>
        </is>
      </c>
      <c r="G2065" s="400" t="inlineStr">
        <is>
          <t>SG/HCM</t>
        </is>
      </c>
      <c r="H2065" s="402" t="n"/>
      <c r="J2065" s="392">
        <f>IFERROR(UPPER(TRIM(B2065))&amp;"|"&amp;UPPER(TRIM(C2065))&amp;"|"&amp;UPPER(TRIM(D2065)),"")</f>
        <v/>
      </c>
    </row>
    <row r="2066" ht="15.75" customHeight="1" s="217">
      <c r="A2066" s="397" t="n">
        <v>2064</v>
      </c>
      <c r="B2066" s="397" t="inlineStr">
        <is>
          <t>KH1760</t>
        </is>
      </c>
      <c r="C2066" s="398" t="inlineStr">
        <is>
          <t>Anh Hậu - Tây Ninh / 01277.818.235</t>
        </is>
      </c>
      <c r="D2066" s="397" t="inlineStr">
        <is>
          <t>01277.818.235</t>
        </is>
      </c>
      <c r="E2066" s="399" t="n"/>
      <c r="F2066" s="398" t="inlineStr">
        <is>
          <t>Tây Ninh</t>
        </is>
      </c>
      <c r="G2066" s="397" t="inlineStr">
        <is>
          <t>TNINH</t>
        </is>
      </c>
      <c r="H2066" s="399" t="n"/>
      <c r="J2066" s="392">
        <f>IFERROR(UPPER(TRIM(B2066))&amp;"|"&amp;UPPER(TRIM(C2066))&amp;"|"&amp;UPPER(TRIM(D2066)),"")</f>
        <v/>
      </c>
    </row>
    <row r="2067" ht="15.75" customHeight="1" s="217">
      <c r="A2067" s="400" t="n">
        <v>2065</v>
      </c>
      <c r="B2067" s="400" t="inlineStr">
        <is>
          <t>KH1761</t>
        </is>
      </c>
      <c r="C2067" s="401" t="inlineStr">
        <is>
          <t>Anh Sơn - Cái Bè, Tiền Giang/ 0985.859.495</t>
        </is>
      </c>
      <c r="D2067" s="400" t="inlineStr">
        <is>
          <t>0985.859.495</t>
        </is>
      </c>
      <c r="E2067" s="402" t="n"/>
      <c r="F2067" s="401" t="inlineStr">
        <is>
          <t>Tiền Giang</t>
        </is>
      </c>
      <c r="G2067" s="400" t="inlineStr">
        <is>
          <t>TGIANG</t>
        </is>
      </c>
      <c r="H2067" s="402" t="n"/>
      <c r="J2067" s="392">
        <f>IFERROR(UPPER(TRIM(B2067))&amp;"|"&amp;UPPER(TRIM(C2067))&amp;"|"&amp;UPPER(TRIM(D2067)),"")</f>
        <v/>
      </c>
    </row>
    <row r="2068" ht="15.75" customHeight="1" s="217">
      <c r="A2068" s="397" t="n">
        <v>2066</v>
      </c>
      <c r="B2068" s="397" t="inlineStr">
        <is>
          <t>KH1755</t>
        </is>
      </c>
      <c r="C2068" s="398" t="inlineStr">
        <is>
          <t>Bãi Máy Minh Hòa - Bình Chánh /0909.535.478</t>
        </is>
      </c>
      <c r="D2068" s="397" t="inlineStr">
        <is>
          <t>0909.535.478</t>
        </is>
      </c>
      <c r="E2068" s="399" t="n"/>
      <c r="F2068" s="398" t="inlineStr">
        <is>
          <t>Đối diện Nhật Thiên Phú - Bình CHánh, SG</t>
        </is>
      </c>
      <c r="G2068" s="397" t="inlineStr">
        <is>
          <t>SG/HCM</t>
        </is>
      </c>
      <c r="H2068" s="399" t="n"/>
      <c r="J2068" s="392">
        <f>IFERROR(UPPER(TRIM(B2068))&amp;"|"&amp;UPPER(TRIM(C2068))&amp;"|"&amp;UPPER(TRIM(D2068)),"")</f>
        <v/>
      </c>
    </row>
    <row r="2069" ht="15.75" customHeight="1" s="217">
      <c r="A2069" s="400" t="n">
        <v>2067</v>
      </c>
      <c r="B2069" s="400" t="inlineStr">
        <is>
          <t>KH1756</t>
        </is>
      </c>
      <c r="C2069" s="401" t="inlineStr">
        <is>
          <t>Anh Ban - Gò Vấp / 0975.695.553</t>
        </is>
      </c>
      <c r="D2069" s="400" t="inlineStr">
        <is>
          <t>0975.695.553</t>
        </is>
      </c>
      <c r="E2069" s="402" t="n"/>
      <c r="F2069" s="401" t="inlineStr">
        <is>
          <t>Gò Vấp , Sài Gòn</t>
        </is>
      </c>
      <c r="G2069" s="400" t="inlineStr">
        <is>
          <t>SG/HCM</t>
        </is>
      </c>
      <c r="H2069" s="402" t="n"/>
      <c r="J2069" s="392">
        <f>IFERROR(UPPER(TRIM(B2069))&amp;"|"&amp;UPPER(TRIM(C2069))&amp;"|"&amp;UPPER(TRIM(D2069)),"")</f>
        <v/>
      </c>
    </row>
    <row r="2070" ht="15.75" customHeight="1" s="217">
      <c r="A2070" s="397" t="n">
        <v>2068</v>
      </c>
      <c r="B2070" s="397" t="inlineStr">
        <is>
          <t>KH1757</t>
        </is>
      </c>
      <c r="C2070" s="398" t="inlineStr">
        <is>
          <t>Anh Sơn - Tân Bình / 0973.929.796</t>
        </is>
      </c>
      <c r="D2070" s="397" t="inlineStr">
        <is>
          <t>0973.929.796</t>
        </is>
      </c>
      <c r="E2070" s="399" t="n"/>
      <c r="F2070" s="398" t="inlineStr">
        <is>
          <t>Sài Gòn</t>
        </is>
      </c>
      <c r="G2070" s="397" t="inlineStr">
        <is>
          <t>SG/HCM</t>
        </is>
      </c>
      <c r="H2070" s="399" t="n"/>
      <c r="J2070" s="392">
        <f>IFERROR(UPPER(TRIM(B2070))&amp;"|"&amp;UPPER(TRIM(C2070))&amp;"|"&amp;UPPER(TRIM(D2070)),"")</f>
        <v/>
      </c>
    </row>
    <row r="2071" ht="15.75" customHeight="1" s="217">
      <c r="A2071" s="400" t="n">
        <v>2069</v>
      </c>
      <c r="B2071" s="400" t="inlineStr">
        <is>
          <t>KH1758</t>
        </is>
      </c>
      <c r="C2071" s="401" t="inlineStr">
        <is>
          <t>Cty Thuận Lộc - Anh Thuận - Q2 / 0918.146.636</t>
        </is>
      </c>
      <c r="D2071" s="400" t="inlineStr">
        <is>
          <t>0918.146.636</t>
        </is>
      </c>
      <c r="E2071" s="402" t="n"/>
      <c r="F2071" s="401" t="inlineStr">
        <is>
          <t>Q2, Tp.HCM</t>
        </is>
      </c>
      <c r="G2071" s="400" t="inlineStr">
        <is>
          <t>SG/HCM</t>
        </is>
      </c>
      <c r="H2071" s="402" t="n"/>
      <c r="J2071" s="392">
        <f>IFERROR(UPPER(TRIM(B2071))&amp;"|"&amp;UPPER(TRIM(C2071))&amp;"|"&amp;UPPER(TRIM(D2071)),"")</f>
        <v/>
      </c>
    </row>
    <row r="2072" ht="15.75" customHeight="1" s="217">
      <c r="A2072" s="397" t="n">
        <v>2070</v>
      </c>
      <c r="B2072" s="397" t="inlineStr">
        <is>
          <t>KH1759</t>
        </is>
      </c>
      <c r="C2072" s="398" t="inlineStr">
        <is>
          <t>Anh Tèo - Dầu Tiếng / 0972.001.991</t>
        </is>
      </c>
      <c r="D2072" s="397" t="inlineStr">
        <is>
          <t>0972.001.991</t>
        </is>
      </c>
      <c r="E2072" s="399" t="n"/>
      <c r="F2072" s="404" t="n"/>
      <c r="G2072" s="397" t="inlineStr">
        <is>
          <t>BDUONG</t>
        </is>
      </c>
      <c r="H2072" s="399" t="n"/>
      <c r="J2072" s="392">
        <f>IFERROR(UPPER(TRIM(B2072))&amp;"|"&amp;UPPER(TRIM(C2072))&amp;"|"&amp;UPPER(TRIM(D2072)),"")</f>
        <v/>
      </c>
    </row>
    <row r="2073" ht="15.75" customHeight="1" s="217">
      <c r="A2073" s="400" t="n">
        <v>2071</v>
      </c>
      <c r="B2073" s="400" t="inlineStr">
        <is>
          <t>KH1754</t>
        </is>
      </c>
      <c r="C2073" s="401" t="inlineStr">
        <is>
          <t>XƯởng Anh Khởi - Bình Dương / 0987.188.474</t>
        </is>
      </c>
      <c r="D2073" s="400" t="inlineStr">
        <is>
          <t>0987.188.474</t>
        </is>
      </c>
      <c r="E2073" s="402" t="n"/>
      <c r="F2073" s="401" t="inlineStr">
        <is>
          <t>Bình Dương</t>
        </is>
      </c>
      <c r="G2073" s="400" t="inlineStr">
        <is>
          <t>BDUONG</t>
        </is>
      </c>
      <c r="H2073" s="402" t="n"/>
      <c r="J2073" s="392">
        <f>IFERROR(UPPER(TRIM(B2073))&amp;"|"&amp;UPPER(TRIM(C2073))&amp;"|"&amp;UPPER(TRIM(D2073)),"")</f>
        <v/>
      </c>
    </row>
    <row r="2074" ht="15.75" customHeight="1" s="217">
      <c r="A2074" s="397" t="n">
        <v>2072</v>
      </c>
      <c r="B2074" s="397" t="inlineStr">
        <is>
          <t>KH1752</t>
        </is>
      </c>
      <c r="C2074" s="398" t="inlineStr">
        <is>
          <t>Anh Tuấn Anh - Dầu Tiếng/ 0962.724.474</t>
        </is>
      </c>
      <c r="D2074" s="397" t="inlineStr">
        <is>
          <t>0962.724.474</t>
        </is>
      </c>
      <c r="E2074" s="399" t="n"/>
      <c r="F2074" s="398" t="inlineStr">
        <is>
          <t>Dầu Tiếng - BD</t>
        </is>
      </c>
      <c r="G2074" s="397" t="inlineStr">
        <is>
          <t>BDUONG</t>
        </is>
      </c>
      <c r="H2074" s="399" t="n"/>
      <c r="J2074" s="392">
        <f>IFERROR(UPPER(TRIM(B2074))&amp;"|"&amp;UPPER(TRIM(C2074))&amp;"|"&amp;UPPER(TRIM(D2074)),"")</f>
        <v/>
      </c>
    </row>
    <row r="2075" ht="15.75" customHeight="1" s="217">
      <c r="A2075" s="400" t="n">
        <v>2073</v>
      </c>
      <c r="B2075" s="400" t="inlineStr">
        <is>
          <t>KH1753</t>
        </is>
      </c>
      <c r="C2075" s="401" t="inlineStr">
        <is>
          <t>Anh Vồ - Đức Trọng / 0985.474.421</t>
        </is>
      </c>
      <c r="D2075" s="400" t="inlineStr">
        <is>
          <t>0985.474.421</t>
        </is>
      </c>
      <c r="E2075" s="402" t="n"/>
      <c r="F2075" s="401" t="inlineStr">
        <is>
          <t>Đức Trọng, Lâm Đồng</t>
        </is>
      </c>
      <c r="G2075" s="400" t="inlineStr">
        <is>
          <t>LDONG</t>
        </is>
      </c>
      <c r="H2075" s="402" t="n"/>
      <c r="J2075" s="392">
        <f>IFERROR(UPPER(TRIM(B2075))&amp;"|"&amp;UPPER(TRIM(C2075))&amp;"|"&amp;UPPER(TRIM(D2075)),"")</f>
        <v/>
      </c>
    </row>
    <row r="2076" ht="15.75" customHeight="1" s="217">
      <c r="A2076" s="397" t="n">
        <v>2074</v>
      </c>
      <c r="B2076" s="397" t="inlineStr">
        <is>
          <t>KH1748</t>
        </is>
      </c>
      <c r="C2076" s="398" t="inlineStr">
        <is>
          <t>Anh Sơn - Long An / 0918.998.447</t>
        </is>
      </c>
      <c r="D2076" s="397" t="inlineStr">
        <is>
          <t>0918.998.447</t>
        </is>
      </c>
      <c r="E2076" s="399" t="n"/>
      <c r="F2076" s="398" t="inlineStr">
        <is>
          <t>Long An</t>
        </is>
      </c>
      <c r="G2076" s="397" t="inlineStr">
        <is>
          <t>LA</t>
        </is>
      </c>
      <c r="H2076" s="399" t="n"/>
      <c r="J2076" s="392">
        <f>IFERROR(UPPER(TRIM(B2076))&amp;"|"&amp;UPPER(TRIM(C2076))&amp;"|"&amp;UPPER(TRIM(D2076)),"")</f>
        <v/>
      </c>
    </row>
    <row r="2077" ht="15.75" customHeight="1" s="217">
      <c r="A2077" s="400" t="n">
        <v>2075</v>
      </c>
      <c r="B2077" s="400" t="inlineStr">
        <is>
          <t>KH1749</t>
        </is>
      </c>
      <c r="C2077" s="401" t="inlineStr">
        <is>
          <t>Anh Bình - Long An / 0918.129.626</t>
        </is>
      </c>
      <c r="D2077" s="400" t="inlineStr">
        <is>
          <t>0918.129.626</t>
        </is>
      </c>
      <c r="E2077" s="402" t="n"/>
      <c r="F2077" s="401" t="inlineStr">
        <is>
          <t>Long An</t>
        </is>
      </c>
      <c r="G2077" s="400" t="inlineStr">
        <is>
          <t>LA</t>
        </is>
      </c>
      <c r="H2077" s="402" t="n"/>
      <c r="J2077" s="392">
        <f>IFERROR(UPPER(TRIM(B2077))&amp;"|"&amp;UPPER(TRIM(C2077))&amp;"|"&amp;UPPER(TRIM(D2077)),"")</f>
        <v/>
      </c>
    </row>
    <row r="2078" ht="15.75" customHeight="1" s="217">
      <c r="A2078" s="397" t="n">
        <v>2076</v>
      </c>
      <c r="B2078" s="397" t="inlineStr">
        <is>
          <t>KH1750</t>
        </is>
      </c>
      <c r="C2078" s="398" t="inlineStr">
        <is>
          <t>Gara Tư Trí - Suối Tiên / 0903.366.198</t>
        </is>
      </c>
      <c r="D2078" s="397" t="inlineStr">
        <is>
          <t>0903.366.198</t>
        </is>
      </c>
      <c r="E2078" s="399" t="n"/>
      <c r="F2078" s="398" t="inlineStr">
        <is>
          <t>Suối Tiên, Sài Gòn</t>
        </is>
      </c>
      <c r="G2078" s="397" t="inlineStr">
        <is>
          <t>SG/HCM</t>
        </is>
      </c>
      <c r="H2078" s="399" t="n"/>
      <c r="J2078" s="392">
        <f>IFERROR(UPPER(TRIM(B2078))&amp;"|"&amp;UPPER(TRIM(C2078))&amp;"|"&amp;UPPER(TRIM(D2078)),"")</f>
        <v/>
      </c>
    </row>
    <row r="2079" ht="15.75" customHeight="1" s="217">
      <c r="A2079" s="400" t="n">
        <v>2077</v>
      </c>
      <c r="B2079" s="400" t="inlineStr">
        <is>
          <t>KH1751</t>
        </is>
      </c>
      <c r="C2079" s="401" t="inlineStr">
        <is>
          <t>Công Ty Nguyễn Quỳnh - Suối Tiên /0937.724.380</t>
        </is>
      </c>
      <c r="D2079" s="400" t="inlineStr">
        <is>
          <t>0937.724.380</t>
        </is>
      </c>
      <c r="E2079" s="402" t="n"/>
      <c r="F2079" s="401" t="inlineStr">
        <is>
          <t>Suối Tiên</t>
        </is>
      </c>
      <c r="G2079" s="400" t="inlineStr">
        <is>
          <t>SG/HCM</t>
        </is>
      </c>
      <c r="H2079" s="402" t="n"/>
      <c r="J2079" s="392">
        <f>IFERROR(UPPER(TRIM(B2079))&amp;"|"&amp;UPPER(TRIM(C2079))&amp;"|"&amp;UPPER(TRIM(D2079)),"")</f>
        <v/>
      </c>
    </row>
    <row r="2080" ht="15.75" customHeight="1" s="217">
      <c r="A2080" s="397" t="n">
        <v>2078</v>
      </c>
      <c r="B2080" s="397" t="inlineStr">
        <is>
          <t>KONEKS</t>
        </is>
      </c>
      <c r="C2080" s="398" t="inlineStr">
        <is>
          <t>KONEKS PISTON GOMLEK IMALAT SANAYI VE TICARET A.S. (TOROS)</t>
        </is>
      </c>
      <c r="D2080" s="399" t="n"/>
      <c r="E2080" s="399" t="n"/>
      <c r="F2080" s="398" t="inlineStr">
        <is>
          <t>Konya Organize Sanayi Bolgesi T.Ziyaeddin Cd. No 5-42050</t>
        </is>
      </c>
      <c r="G2080" s="399" t="n"/>
      <c r="H2080" s="399" t="n"/>
      <c r="J2080" s="392">
        <f>IFERROR(UPPER(TRIM(B2080))&amp;"|"&amp;UPPER(TRIM(C2080))&amp;"|"&amp;UPPER(TRIM(D2080)),"")</f>
        <v/>
      </c>
    </row>
    <row r="2081" ht="15.75" customHeight="1" s="217">
      <c r="A2081" s="400" t="n">
        <v>2079</v>
      </c>
      <c r="B2081" s="400" t="inlineStr">
        <is>
          <t>KH1747</t>
        </is>
      </c>
      <c r="C2081" s="401" t="inlineStr">
        <is>
          <t>Anh Quốc - Bãi Máy Lê Dũng - Suối Tiên / 0917.189.121</t>
        </is>
      </c>
      <c r="D2081" s="400" t="inlineStr">
        <is>
          <t>0917.189.121</t>
        </is>
      </c>
      <c r="E2081" s="402" t="n"/>
      <c r="F2081" s="401" t="inlineStr">
        <is>
          <t>Suối Tiên</t>
        </is>
      </c>
      <c r="G2081" s="400" t="inlineStr">
        <is>
          <t>SG/HCM</t>
        </is>
      </c>
      <c r="H2081" s="402" t="n"/>
      <c r="J2081" s="392">
        <f>IFERROR(UPPER(TRIM(B2081))&amp;"|"&amp;UPPER(TRIM(C2081))&amp;"|"&amp;UPPER(TRIM(D2081)),"")</f>
        <v/>
      </c>
    </row>
    <row r="2082" ht="15.75" customHeight="1" s="217">
      <c r="A2082" s="397" t="n">
        <v>2080</v>
      </c>
      <c r="B2082" s="397" t="inlineStr">
        <is>
          <t>KH1746</t>
        </is>
      </c>
      <c r="C2082" s="398" t="inlineStr">
        <is>
          <t>Anh Nhất - Đắc Lắc / 0941.481.439</t>
        </is>
      </c>
      <c r="D2082" s="397" t="inlineStr">
        <is>
          <t>0941.481.439</t>
        </is>
      </c>
      <c r="E2082" s="399" t="n"/>
      <c r="F2082" s="398" t="inlineStr">
        <is>
          <t>Đắc Lắc</t>
        </is>
      </c>
      <c r="G2082" s="397" t="inlineStr">
        <is>
          <t>ÐL</t>
        </is>
      </c>
      <c r="H2082" s="399" t="n"/>
      <c r="J2082" s="392">
        <f>IFERROR(UPPER(TRIM(B2082))&amp;"|"&amp;UPPER(TRIM(C2082))&amp;"|"&amp;UPPER(TRIM(D2082)),"")</f>
        <v/>
      </c>
    </row>
    <row r="2083" ht="15.75" customHeight="1" s="217">
      <c r="A2083" s="400" t="n">
        <v>2081</v>
      </c>
      <c r="B2083" s="400" t="inlineStr">
        <is>
          <t>KH1744</t>
        </is>
      </c>
      <c r="C2083" s="401" t="inlineStr">
        <is>
          <t>Anh Thành - Củ CHi / 01664.149.839</t>
        </is>
      </c>
      <c r="D2083" s="400" t="inlineStr">
        <is>
          <t>01664.149.839</t>
        </is>
      </c>
      <c r="E2083" s="402" t="n"/>
      <c r="F2083" s="401" t="inlineStr">
        <is>
          <t>Củ Chi</t>
        </is>
      </c>
      <c r="G2083" s="400" t="inlineStr">
        <is>
          <t>SG/HCM</t>
        </is>
      </c>
      <c r="H2083" s="402" t="n"/>
      <c r="J2083" s="392">
        <f>IFERROR(UPPER(TRIM(B2083))&amp;"|"&amp;UPPER(TRIM(C2083))&amp;"|"&amp;UPPER(TRIM(D2083)),"")</f>
        <v/>
      </c>
    </row>
    <row r="2084" ht="15.75" customHeight="1" s="217">
      <c r="A2084" s="397" t="n">
        <v>2082</v>
      </c>
      <c r="B2084" s="397" t="inlineStr">
        <is>
          <t>KH1745</t>
        </is>
      </c>
      <c r="C2084" s="398" t="inlineStr">
        <is>
          <t>Anh Hùng - Phú Giáo , Bình Dương/ 0977.101.442</t>
        </is>
      </c>
      <c r="D2084" s="397" t="inlineStr">
        <is>
          <t>0977.101.442</t>
        </is>
      </c>
      <c r="E2084" s="399" t="n"/>
      <c r="F2084" s="398" t="inlineStr">
        <is>
          <t>Phú Giáo, Bình Dương</t>
        </is>
      </c>
      <c r="G2084" s="397" t="inlineStr">
        <is>
          <t>BDUONG</t>
        </is>
      </c>
      <c r="H2084" s="399" t="n"/>
      <c r="J2084" s="392">
        <f>IFERROR(UPPER(TRIM(B2084))&amp;"|"&amp;UPPER(TRIM(C2084))&amp;"|"&amp;UPPER(TRIM(D2084)),"")</f>
        <v/>
      </c>
    </row>
    <row r="2085" ht="15.75" customHeight="1" s="217">
      <c r="A2085" s="400" t="n">
        <v>2083</v>
      </c>
      <c r="B2085" s="400" t="inlineStr">
        <is>
          <t>KH1742</t>
        </is>
      </c>
      <c r="C2085" s="401" t="inlineStr">
        <is>
          <t>Anh Lợi - Bến Tre / 0918.543.167</t>
        </is>
      </c>
      <c r="D2085" s="400" t="inlineStr">
        <is>
          <t>0918.543.167</t>
        </is>
      </c>
      <c r="E2085" s="402" t="n"/>
      <c r="F2085" s="401" t="inlineStr">
        <is>
          <t>Bến Tre</t>
        </is>
      </c>
      <c r="G2085" s="400" t="inlineStr">
        <is>
          <t>BTRE</t>
        </is>
      </c>
      <c r="H2085" s="402" t="n"/>
      <c r="J2085" s="392">
        <f>IFERROR(UPPER(TRIM(B2085))&amp;"|"&amp;UPPER(TRIM(C2085))&amp;"|"&amp;UPPER(TRIM(D2085)),"")</f>
        <v/>
      </c>
    </row>
    <row r="2086" ht="15.75" customHeight="1" s="217">
      <c r="A2086" s="397" t="n">
        <v>2084</v>
      </c>
      <c r="B2086" s="397" t="inlineStr">
        <is>
          <t>KH1743</t>
        </is>
      </c>
      <c r="C2086" s="398" t="inlineStr">
        <is>
          <t>Anh Sáng - Đức Trọng / 0983.695.090</t>
        </is>
      </c>
      <c r="D2086" s="397" t="inlineStr">
        <is>
          <t>0983.695.090</t>
        </is>
      </c>
      <c r="E2086" s="399" t="n"/>
      <c r="F2086" s="398" t="inlineStr">
        <is>
          <t>Đức Trọng , Lâm Đồng</t>
        </is>
      </c>
      <c r="G2086" s="397" t="inlineStr">
        <is>
          <t>LDONG</t>
        </is>
      </c>
      <c r="H2086" s="399" t="n"/>
      <c r="J2086" s="392">
        <f>IFERROR(UPPER(TRIM(B2086))&amp;"|"&amp;UPPER(TRIM(C2086))&amp;"|"&amp;UPPER(TRIM(D2086)),"")</f>
        <v/>
      </c>
    </row>
    <row r="2087" ht="15.75" customHeight="1" s="217">
      <c r="A2087" s="400" t="n">
        <v>2085</v>
      </c>
      <c r="B2087" s="400" t="inlineStr">
        <is>
          <t>KH1740</t>
        </is>
      </c>
      <c r="C2087" s="401" t="inlineStr">
        <is>
          <t>Chú Vinh - BRVT/ 0986.514.290</t>
        </is>
      </c>
      <c r="D2087" s="400" t="inlineStr">
        <is>
          <t>0986.514.290</t>
        </is>
      </c>
      <c r="E2087" s="402" t="n"/>
      <c r="F2087" s="401" t="inlineStr">
        <is>
          <t>Bình Dã - BRVT</t>
        </is>
      </c>
      <c r="G2087" s="400" t="inlineStr">
        <is>
          <t>BRVT</t>
        </is>
      </c>
      <c r="H2087" s="402" t="n"/>
      <c r="J2087" s="392">
        <f>IFERROR(UPPER(TRIM(B2087))&amp;"|"&amp;UPPER(TRIM(C2087))&amp;"|"&amp;UPPER(TRIM(D2087)),"")</f>
        <v/>
      </c>
    </row>
    <row r="2088" ht="15.75" customHeight="1" s="217">
      <c r="A2088" s="397" t="n">
        <v>2086</v>
      </c>
      <c r="B2088" s="397" t="inlineStr">
        <is>
          <t>KH1741</t>
        </is>
      </c>
      <c r="C2088" s="398" t="inlineStr">
        <is>
          <t>Anh Lập - Thủ Đức /0903.947.322 - 0933.692.673</t>
        </is>
      </c>
      <c r="D2088" s="397" t="inlineStr">
        <is>
          <t>0903.947.322 / 0933.692.673</t>
        </is>
      </c>
      <c r="E2088" s="399" t="n"/>
      <c r="F2088" s="398" t="inlineStr">
        <is>
          <t>Thủ Đức</t>
        </is>
      </c>
      <c r="G2088" s="397" t="inlineStr">
        <is>
          <t>SG/HCM</t>
        </is>
      </c>
      <c r="H2088" s="399" t="n"/>
      <c r="J2088" s="392">
        <f>IFERROR(UPPER(TRIM(B2088))&amp;"|"&amp;UPPER(TRIM(C2088))&amp;"|"&amp;UPPER(TRIM(D2088)),"")</f>
        <v/>
      </c>
    </row>
    <row r="2089" ht="15.75" customHeight="1" s="217">
      <c r="A2089" s="400" t="n">
        <v>2087</v>
      </c>
      <c r="B2089" s="400" t="inlineStr">
        <is>
          <t>KH1739</t>
        </is>
      </c>
      <c r="C2089" s="401" t="inlineStr">
        <is>
          <t>Cửa Hàng Ngọc Thảo - Eakar/ 0914.093.097</t>
        </is>
      </c>
      <c r="D2089" s="400" t="inlineStr">
        <is>
          <t>0914.093.097</t>
        </is>
      </c>
      <c r="E2089" s="402" t="n"/>
      <c r="F2089" s="401" t="inlineStr">
        <is>
          <t>Eakar - Đắk Lăk</t>
        </is>
      </c>
      <c r="G2089" s="400" t="inlineStr">
        <is>
          <t>ÐL</t>
        </is>
      </c>
      <c r="H2089" s="402" t="n"/>
      <c r="J2089" s="392">
        <f>IFERROR(UPPER(TRIM(B2089))&amp;"|"&amp;UPPER(TRIM(C2089))&amp;"|"&amp;UPPER(TRIM(D2089)),"")</f>
        <v/>
      </c>
    </row>
    <row r="2090" ht="15.75" customHeight="1" s="217">
      <c r="A2090" s="397" t="n">
        <v>2088</v>
      </c>
      <c r="B2090" s="397" t="inlineStr">
        <is>
          <t>KH1735</t>
        </is>
      </c>
      <c r="C2090" s="398" t="inlineStr">
        <is>
          <t>DNTN Đăng Khoa - Bến Tre/ anh Vân - 01299.728.979</t>
        </is>
      </c>
      <c r="D2090" s="397" t="inlineStr">
        <is>
          <t>01299.728.979</t>
        </is>
      </c>
      <c r="E2090" s="399" t="n"/>
      <c r="F2090" s="398" t="inlineStr">
        <is>
          <t>Bến Tre</t>
        </is>
      </c>
      <c r="G2090" s="397" t="inlineStr">
        <is>
          <t>BTRE</t>
        </is>
      </c>
      <c r="H2090" s="399" t="n"/>
      <c r="J2090" s="392">
        <f>IFERROR(UPPER(TRIM(B2090))&amp;"|"&amp;UPPER(TRIM(C2090))&amp;"|"&amp;UPPER(TRIM(D2090)),"")</f>
        <v/>
      </c>
    </row>
    <row r="2091" ht="15.75" customHeight="1" s="217">
      <c r="A2091" s="400" t="n">
        <v>2089</v>
      </c>
      <c r="B2091" s="400" t="inlineStr">
        <is>
          <t>KH1736</t>
        </is>
      </c>
      <c r="C2091" s="401" t="inlineStr">
        <is>
          <t>Bãi Máy Anh Đức - Suối Tiên/ 0964.003.389</t>
        </is>
      </c>
      <c r="D2091" s="400" t="inlineStr">
        <is>
          <t>0964.003.389</t>
        </is>
      </c>
      <c r="E2091" s="402" t="n"/>
      <c r="F2091" s="401" t="inlineStr">
        <is>
          <t>Suối Tiên - TP.HCM</t>
        </is>
      </c>
      <c r="G2091" s="400" t="inlineStr">
        <is>
          <t>SG/HCM</t>
        </is>
      </c>
      <c r="H2091" s="402" t="n"/>
      <c r="J2091" s="392">
        <f>IFERROR(UPPER(TRIM(B2091))&amp;"|"&amp;UPPER(TRIM(C2091))&amp;"|"&amp;UPPER(TRIM(D2091)),"")</f>
        <v/>
      </c>
    </row>
    <row r="2092" ht="15.75" customHeight="1" s="217">
      <c r="A2092" s="397" t="n">
        <v>2090</v>
      </c>
      <c r="B2092" s="397" t="inlineStr">
        <is>
          <t>KH1737</t>
        </is>
      </c>
      <c r="C2092" s="398" t="inlineStr">
        <is>
          <t>Công Ty CP Hiệp Thành - Lâm Đồng/ 0908.403.727</t>
        </is>
      </c>
      <c r="D2092" s="397" t="inlineStr">
        <is>
          <t>0908.403.727</t>
        </is>
      </c>
      <c r="E2092" s="399" t="n"/>
      <c r="F2092" s="398" t="inlineStr">
        <is>
          <t>Số 5 Hiệp Thành, Tam Bố, Di Linh, Lâm Đồng</t>
        </is>
      </c>
      <c r="G2092" s="397" t="inlineStr">
        <is>
          <t>LDONG</t>
        </is>
      </c>
      <c r="H2092" s="399" t="n"/>
      <c r="J2092" s="392">
        <f>IFERROR(UPPER(TRIM(B2092))&amp;"|"&amp;UPPER(TRIM(C2092))&amp;"|"&amp;UPPER(TRIM(D2092)),"")</f>
        <v/>
      </c>
    </row>
    <row r="2093" ht="15.75" customHeight="1" s="217">
      <c r="A2093" s="400" t="n">
        <v>2091</v>
      </c>
      <c r="B2093" s="400" t="inlineStr">
        <is>
          <t>KH1738</t>
        </is>
      </c>
      <c r="C2093" s="401" t="inlineStr">
        <is>
          <t>Cơ Khí Sơn Tùng / Anh Tùng - Q7 / 01667.989.300</t>
        </is>
      </c>
      <c r="D2093" s="400" t="inlineStr">
        <is>
          <t>01667.989.300</t>
        </is>
      </c>
      <c r="E2093" s="402" t="n"/>
      <c r="F2093" s="401" t="inlineStr">
        <is>
          <t>Q7, HCM</t>
        </is>
      </c>
      <c r="G2093" s="400" t="inlineStr">
        <is>
          <t>SG/HCM</t>
        </is>
      </c>
      <c r="H2093" s="402" t="n"/>
      <c r="J2093" s="392">
        <f>IFERROR(UPPER(TRIM(B2093))&amp;"|"&amp;UPPER(TRIM(C2093))&amp;"|"&amp;UPPER(TRIM(D2093)),"")</f>
        <v/>
      </c>
    </row>
    <row r="2094" ht="15.75" customHeight="1" s="217">
      <c r="A2094" s="397" t="n">
        <v>2092</v>
      </c>
      <c r="B2094" s="397" t="inlineStr">
        <is>
          <t>KH1734</t>
        </is>
      </c>
      <c r="C2094" s="398" t="inlineStr">
        <is>
          <t>Anh Trung - Củ Chi / 01667.499.599 - 0903.942.866</t>
        </is>
      </c>
      <c r="D2094" s="397" t="inlineStr">
        <is>
          <t>01667.499.599 / 0903.942.866</t>
        </is>
      </c>
      <c r="E2094" s="399" t="n"/>
      <c r="F2094" s="398" t="inlineStr">
        <is>
          <t>Củ Chi</t>
        </is>
      </c>
      <c r="G2094" s="397" t="inlineStr">
        <is>
          <t>SG/HCM</t>
        </is>
      </c>
      <c r="H2094" s="399" t="n"/>
      <c r="J2094" s="392">
        <f>IFERROR(UPPER(TRIM(B2094))&amp;"|"&amp;UPPER(TRIM(C2094))&amp;"|"&amp;UPPER(TRIM(D2094)),"")</f>
        <v/>
      </c>
    </row>
    <row r="2095" ht="15.75" customHeight="1" s="217">
      <c r="A2095" s="400" t="n">
        <v>2093</v>
      </c>
      <c r="B2095" s="400" t="inlineStr">
        <is>
          <t>KH1731</t>
        </is>
      </c>
      <c r="C2095" s="401" t="inlineStr">
        <is>
          <t>Chú Hiển - Bù Đốp , Bình Phước / 0984.172.440</t>
        </is>
      </c>
      <c r="D2095" s="400" t="inlineStr">
        <is>
          <t>0984.172.440</t>
        </is>
      </c>
      <c r="E2095" s="402" t="n"/>
      <c r="F2095" s="401" t="inlineStr">
        <is>
          <t>Bình Phước</t>
        </is>
      </c>
      <c r="G2095" s="400" t="inlineStr">
        <is>
          <t>BP</t>
        </is>
      </c>
      <c r="H2095" s="402" t="n"/>
      <c r="J2095" s="392">
        <f>IFERROR(UPPER(TRIM(B2095))&amp;"|"&amp;UPPER(TRIM(C2095))&amp;"|"&amp;UPPER(TRIM(D2095)),"")</f>
        <v/>
      </c>
    </row>
    <row r="2096" ht="15.75" customHeight="1" s="217">
      <c r="A2096" s="397" t="n">
        <v>2094</v>
      </c>
      <c r="B2096" s="397" t="inlineStr">
        <is>
          <t>KH1732</t>
        </is>
      </c>
      <c r="C2096" s="398" t="inlineStr">
        <is>
          <t>Chi Nhánh Công Ty TNHH Xây Dựng và Thương Mại Yên Phú/ Chú Lộc - 01285.735.726</t>
        </is>
      </c>
      <c r="D2096" s="397" t="inlineStr">
        <is>
          <t>01285.735.726</t>
        </is>
      </c>
      <c r="E2096" s="399" t="n"/>
      <c r="F2096" s="398" t="inlineStr">
        <is>
          <t>Thửa đất số 16, tờ bản đồ số 37, tổ 5, KP7, P.Uyên Hưng, TX.Tân Uyên, T.Bình Dương</t>
        </is>
      </c>
      <c r="G2096" s="397" t="inlineStr">
        <is>
          <t>PYEN</t>
        </is>
      </c>
      <c r="H2096" s="399" t="n"/>
      <c r="J2096" s="392">
        <f>IFERROR(UPPER(TRIM(B2096))&amp;"|"&amp;UPPER(TRIM(C2096))&amp;"|"&amp;UPPER(TRIM(D2096)),"")</f>
        <v/>
      </c>
    </row>
    <row r="2097" ht="15.75" customHeight="1" s="217">
      <c r="A2097" s="400" t="n">
        <v>2095</v>
      </c>
      <c r="B2097" s="400" t="inlineStr">
        <is>
          <t>KH1733</t>
        </is>
      </c>
      <c r="C2097" s="401" t="inlineStr">
        <is>
          <t>Anh Cường - Bến Tre / 0918.790.911</t>
        </is>
      </c>
      <c r="D2097" s="400" t="inlineStr">
        <is>
          <t>0918.790.911</t>
        </is>
      </c>
      <c r="E2097" s="402" t="n"/>
      <c r="F2097" s="401" t="inlineStr">
        <is>
          <t>Bến Tre</t>
        </is>
      </c>
      <c r="G2097" s="400" t="inlineStr">
        <is>
          <t>BTRE</t>
        </is>
      </c>
      <c r="H2097" s="402" t="n"/>
      <c r="J2097" s="392">
        <f>IFERROR(UPPER(TRIM(B2097))&amp;"|"&amp;UPPER(TRIM(C2097))&amp;"|"&amp;UPPER(TRIM(D2097)),"")</f>
        <v/>
      </c>
    </row>
    <row r="2098" ht="15.75" customHeight="1" s="217">
      <c r="A2098" s="397" t="n">
        <v>2096</v>
      </c>
      <c r="B2098" s="397" t="inlineStr">
        <is>
          <t>KH1727</t>
        </is>
      </c>
      <c r="C2098" s="398" t="inlineStr">
        <is>
          <t>Anh Thủ - Trà Vinh / 0906.836.682</t>
        </is>
      </c>
      <c r="D2098" s="397" t="inlineStr">
        <is>
          <t>0906.836.682</t>
        </is>
      </c>
      <c r="E2098" s="399" t="n"/>
      <c r="F2098" s="398" t="inlineStr">
        <is>
          <t>Trà Vinh</t>
        </is>
      </c>
      <c r="G2098" s="397" t="inlineStr">
        <is>
          <t>TV</t>
        </is>
      </c>
      <c r="H2098" s="399" t="n"/>
      <c r="J2098" s="392">
        <f>IFERROR(UPPER(TRIM(B2098))&amp;"|"&amp;UPPER(TRIM(C2098))&amp;"|"&amp;UPPER(TRIM(D2098)),"")</f>
        <v/>
      </c>
    </row>
    <row r="2099" ht="15.75" customHeight="1" s="217">
      <c r="A2099" s="400" t="n">
        <v>2097</v>
      </c>
      <c r="B2099" s="400" t="inlineStr">
        <is>
          <t>KH1728</t>
        </is>
      </c>
      <c r="C2099" s="401" t="inlineStr">
        <is>
          <t>Anh May - Công Ty Thái Bình Dương - Long An / 0983.109.135</t>
        </is>
      </c>
      <c r="D2099" s="400" t="inlineStr">
        <is>
          <t>0983.109.135</t>
        </is>
      </c>
      <c r="E2099" s="402" t="n"/>
      <c r="F2099" s="401" t="inlineStr">
        <is>
          <t>Bến Lức, Long An</t>
        </is>
      </c>
      <c r="G2099" s="400" t="inlineStr">
        <is>
          <t>LA</t>
        </is>
      </c>
      <c r="H2099" s="402" t="n"/>
      <c r="J2099" s="392">
        <f>IFERROR(UPPER(TRIM(B2099))&amp;"|"&amp;UPPER(TRIM(C2099))&amp;"|"&amp;UPPER(TRIM(D2099)),"")</f>
        <v/>
      </c>
    </row>
    <row r="2100" ht="15.75" customHeight="1" s="217">
      <c r="A2100" s="397" t="n">
        <v>2098</v>
      </c>
      <c r="B2100" s="397" t="inlineStr">
        <is>
          <t>KH1729</t>
        </is>
      </c>
      <c r="C2100" s="398" t="inlineStr">
        <is>
          <t>Xưởng Anh Tý - Bình Dương / 0938.546.575</t>
        </is>
      </c>
      <c r="D2100" s="397" t="inlineStr">
        <is>
          <t>0938.546.575</t>
        </is>
      </c>
      <c r="E2100" s="399" t="n"/>
      <c r="F2100" s="398" t="inlineStr">
        <is>
          <t>Bình Dương</t>
        </is>
      </c>
      <c r="G2100" s="397" t="inlineStr">
        <is>
          <t>BDUONG</t>
        </is>
      </c>
      <c r="H2100" s="399" t="n"/>
      <c r="J2100" s="392">
        <f>IFERROR(UPPER(TRIM(B2100))&amp;"|"&amp;UPPER(TRIM(C2100))&amp;"|"&amp;UPPER(TRIM(D2100)),"")</f>
        <v/>
      </c>
    </row>
    <row r="2101" ht="15.75" customHeight="1" s="217">
      <c r="A2101" s="400" t="n">
        <v>2099</v>
      </c>
      <c r="B2101" s="400" t="inlineStr">
        <is>
          <t>KH1730</t>
        </is>
      </c>
      <c r="C2101" s="401" t="inlineStr">
        <is>
          <t>Anh NHật - Bảo Lộc / 0906.193.352</t>
        </is>
      </c>
      <c r="D2101" s="400" t="inlineStr">
        <is>
          <t>0906.193.352</t>
        </is>
      </c>
      <c r="E2101" s="402" t="n"/>
      <c r="F2101" s="401" t="inlineStr">
        <is>
          <t>Bảo Lộc</t>
        </is>
      </c>
      <c r="G2101" s="400" t="inlineStr">
        <is>
          <t>LDONG</t>
        </is>
      </c>
      <c r="H2101" s="402" t="n"/>
      <c r="J2101" s="392">
        <f>IFERROR(UPPER(TRIM(B2101))&amp;"|"&amp;UPPER(TRIM(C2101))&amp;"|"&amp;UPPER(TRIM(D2101)),"")</f>
        <v/>
      </c>
    </row>
    <row r="2102" ht="15.75" customHeight="1" s="217">
      <c r="A2102" s="397" t="n">
        <v>2100</v>
      </c>
      <c r="B2102" s="397" t="inlineStr">
        <is>
          <t>KH1726</t>
        </is>
      </c>
      <c r="C2102" s="398" t="inlineStr">
        <is>
          <t>Công Ty Cổ Phần Cầu 14.1 - Hà Nội /04.3872.6447</t>
        </is>
      </c>
      <c r="D2102" s="397" t="inlineStr">
        <is>
          <t>04.3872.6447</t>
        </is>
      </c>
      <c r="E2102" s="399" t="n"/>
      <c r="F2102" s="398" t="inlineStr">
        <is>
          <t>Long Biên , Hà Nội</t>
        </is>
      </c>
      <c r="G2102" s="397" t="inlineStr">
        <is>
          <t>HN</t>
        </is>
      </c>
      <c r="H2102" s="399" t="n"/>
      <c r="J2102" s="392">
        <f>IFERROR(UPPER(TRIM(B2102))&amp;"|"&amp;UPPER(TRIM(C2102))&amp;"|"&amp;UPPER(TRIM(D2102)),"")</f>
        <v/>
      </c>
    </row>
    <row r="2103" ht="15.75" customHeight="1" s="217">
      <c r="A2103" s="400" t="n">
        <v>2101</v>
      </c>
      <c r="B2103" s="400" t="inlineStr">
        <is>
          <t>KH1719</t>
        </is>
      </c>
      <c r="C2103" s="401" t="inlineStr">
        <is>
          <t>Anh Ninh - Dầu Tiếng / 0973.119.545</t>
        </is>
      </c>
      <c r="D2103" s="400" t="inlineStr">
        <is>
          <t>0973.119.545</t>
        </is>
      </c>
      <c r="E2103" s="402" t="n"/>
      <c r="F2103" s="401" t="inlineStr">
        <is>
          <t>Dầu Tiếng</t>
        </is>
      </c>
      <c r="G2103" s="400" t="inlineStr">
        <is>
          <t>DTHAP</t>
        </is>
      </c>
      <c r="H2103" s="402" t="n"/>
      <c r="J2103" s="392">
        <f>IFERROR(UPPER(TRIM(B2103))&amp;"|"&amp;UPPER(TRIM(C2103))&amp;"|"&amp;UPPER(TRIM(D2103)),"")</f>
        <v/>
      </c>
    </row>
    <row r="2104" ht="15.75" customHeight="1" s="217">
      <c r="A2104" s="397" t="n">
        <v>2102</v>
      </c>
      <c r="B2104" s="397" t="inlineStr">
        <is>
          <t>KH1720</t>
        </is>
      </c>
      <c r="C2104" s="398" t="inlineStr">
        <is>
          <t>Anh Hoàng - Đà Lạt / 0918.675.755</t>
        </is>
      </c>
      <c r="D2104" s="397" t="inlineStr">
        <is>
          <t>0918.675.755</t>
        </is>
      </c>
      <c r="E2104" s="399" t="n"/>
      <c r="F2104" s="398" t="inlineStr">
        <is>
          <t>Đà Lạt</t>
        </is>
      </c>
      <c r="G2104" s="397" t="inlineStr">
        <is>
          <t>LDONG</t>
        </is>
      </c>
      <c r="H2104" s="399" t="n"/>
      <c r="J2104" s="392">
        <f>IFERROR(UPPER(TRIM(B2104))&amp;"|"&amp;UPPER(TRIM(C2104))&amp;"|"&amp;UPPER(TRIM(D2104)),"")</f>
        <v/>
      </c>
    </row>
    <row r="2105" ht="15.75" customHeight="1" s="217">
      <c r="A2105" s="400" t="n">
        <v>2103</v>
      </c>
      <c r="B2105" s="400" t="inlineStr">
        <is>
          <t>KH1721</t>
        </is>
      </c>
      <c r="C2105" s="401" t="inlineStr">
        <is>
          <t>Anh Vương  -Vườn lài, Q12 / 0909.058.226</t>
        </is>
      </c>
      <c r="D2105" s="400" t="inlineStr">
        <is>
          <t>0909.058.226</t>
        </is>
      </c>
      <c r="E2105" s="402" t="n"/>
      <c r="F2105" s="401" t="inlineStr">
        <is>
          <t>Vườn Lài, Q12</t>
        </is>
      </c>
      <c r="G2105" s="400" t="inlineStr">
        <is>
          <t>SG/HCM</t>
        </is>
      </c>
      <c r="H2105" s="402" t="n"/>
      <c r="J2105" s="392">
        <f>IFERROR(UPPER(TRIM(B2105))&amp;"|"&amp;UPPER(TRIM(C2105))&amp;"|"&amp;UPPER(TRIM(D2105)),"")</f>
        <v/>
      </c>
    </row>
    <row r="2106" ht="15.75" customHeight="1" s="217">
      <c r="A2106" s="397" t="n">
        <v>2104</v>
      </c>
      <c r="B2106" s="397" t="inlineStr">
        <is>
          <t>KH1722</t>
        </is>
      </c>
      <c r="C2106" s="398" t="inlineStr">
        <is>
          <t>Anh Linh - Gia Lai / 0985.092.967</t>
        </is>
      </c>
      <c r="D2106" s="397" t="inlineStr">
        <is>
          <t>0985.092.967</t>
        </is>
      </c>
      <c r="E2106" s="399" t="n"/>
      <c r="F2106" s="398" t="inlineStr">
        <is>
          <t>Gia Lai</t>
        </is>
      </c>
      <c r="G2106" s="397" t="inlineStr">
        <is>
          <t>GLAI</t>
        </is>
      </c>
      <c r="H2106" s="399" t="n"/>
      <c r="J2106" s="392">
        <f>IFERROR(UPPER(TRIM(B2106))&amp;"|"&amp;UPPER(TRIM(C2106))&amp;"|"&amp;UPPER(TRIM(D2106)),"")</f>
        <v/>
      </c>
    </row>
    <row r="2107" ht="15.75" customHeight="1" s="217">
      <c r="A2107" s="400" t="n">
        <v>2105</v>
      </c>
      <c r="B2107" s="400" t="inlineStr">
        <is>
          <t>KH1723</t>
        </is>
      </c>
      <c r="C2107" s="401" t="inlineStr">
        <is>
          <t>Anh Hoàng - Nha TRang / 0905.170.239</t>
        </is>
      </c>
      <c r="D2107" s="400" t="inlineStr">
        <is>
          <t>0905.170.239</t>
        </is>
      </c>
      <c r="E2107" s="402" t="n"/>
      <c r="F2107" s="401" t="inlineStr">
        <is>
          <t>Nha Trang</t>
        </is>
      </c>
      <c r="G2107" s="400" t="inlineStr">
        <is>
          <t>NTRANG</t>
        </is>
      </c>
      <c r="H2107" s="402" t="n"/>
      <c r="J2107" s="392">
        <f>IFERROR(UPPER(TRIM(B2107))&amp;"|"&amp;UPPER(TRIM(C2107))&amp;"|"&amp;UPPER(TRIM(D2107)),"")</f>
        <v/>
      </c>
    </row>
    <row r="2108" ht="15.75" customHeight="1" s="217">
      <c r="A2108" s="397" t="n">
        <v>2106</v>
      </c>
      <c r="B2108" s="397" t="inlineStr">
        <is>
          <t>KH1724</t>
        </is>
      </c>
      <c r="C2108" s="398" t="inlineStr">
        <is>
          <t>Anh út - Bình Long / 0913.919.869</t>
        </is>
      </c>
      <c r="D2108" s="397" t="inlineStr">
        <is>
          <t>0913.919.869</t>
        </is>
      </c>
      <c r="E2108" s="399" t="n"/>
      <c r="F2108" s="404" t="n"/>
      <c r="G2108" s="397" t="inlineStr">
        <is>
          <t>BP</t>
        </is>
      </c>
      <c r="H2108" s="399" t="n"/>
      <c r="J2108" s="392">
        <f>IFERROR(UPPER(TRIM(B2108))&amp;"|"&amp;UPPER(TRIM(C2108))&amp;"|"&amp;UPPER(TRIM(D2108)),"")</f>
        <v/>
      </c>
    </row>
    <row r="2109" ht="15.75" customHeight="1" s="217">
      <c r="A2109" s="400" t="n">
        <v>2107</v>
      </c>
      <c r="B2109" s="400" t="inlineStr">
        <is>
          <t>KH1725</t>
        </is>
      </c>
      <c r="C2109" s="401" t="inlineStr">
        <is>
          <t>Anh Thiện - Gia lai / 0914.843.016</t>
        </is>
      </c>
      <c r="D2109" s="400" t="inlineStr">
        <is>
          <t>0914.843.016</t>
        </is>
      </c>
      <c r="E2109" s="402" t="n"/>
      <c r="F2109" s="403" t="n"/>
      <c r="G2109" s="400" t="inlineStr">
        <is>
          <t>GLAI</t>
        </is>
      </c>
      <c r="H2109" s="402" t="n"/>
      <c r="J2109" s="392">
        <f>IFERROR(UPPER(TRIM(B2109))&amp;"|"&amp;UPPER(TRIM(C2109))&amp;"|"&amp;UPPER(TRIM(D2109)),"")</f>
        <v/>
      </c>
    </row>
    <row r="2110" ht="15.75" customHeight="1" s="217">
      <c r="A2110" s="397" t="n">
        <v>2108</v>
      </c>
      <c r="B2110" s="397" t="inlineStr">
        <is>
          <t>KH1717</t>
        </is>
      </c>
      <c r="C2110" s="398" t="inlineStr">
        <is>
          <t>Anh Toàn - Đức Hòa , Long An / 0938.333.346</t>
        </is>
      </c>
      <c r="D2110" s="397" t="inlineStr">
        <is>
          <t>0938.333.346</t>
        </is>
      </c>
      <c r="E2110" s="399" t="n"/>
      <c r="F2110" s="398" t="inlineStr">
        <is>
          <t>Đức Hòa , Long An</t>
        </is>
      </c>
      <c r="G2110" s="397" t="inlineStr">
        <is>
          <t>LA</t>
        </is>
      </c>
      <c r="H2110" s="399" t="n"/>
      <c r="J2110" s="392">
        <f>IFERROR(UPPER(TRIM(B2110))&amp;"|"&amp;UPPER(TRIM(C2110))&amp;"|"&amp;UPPER(TRIM(D2110)),"")</f>
        <v/>
      </c>
    </row>
    <row r="2111" ht="15.75" customHeight="1" s="217">
      <c r="A2111" s="400" t="n">
        <v>2109</v>
      </c>
      <c r="B2111" s="400" t="inlineStr">
        <is>
          <t>KH1718</t>
        </is>
      </c>
      <c r="C2111" s="401" t="inlineStr">
        <is>
          <t>Xưởng Chú Son - Đắk Lắk/0985.544.047</t>
        </is>
      </c>
      <c r="D2111" s="400" t="inlineStr">
        <is>
          <t>0985.544.047</t>
        </is>
      </c>
      <c r="E2111" s="402" t="n"/>
      <c r="F2111" s="403" t="n"/>
      <c r="G2111" s="400" t="inlineStr">
        <is>
          <t>ÐL</t>
        </is>
      </c>
      <c r="H2111" s="402" t="n"/>
      <c r="J2111" s="392">
        <f>IFERROR(UPPER(TRIM(B2111))&amp;"|"&amp;UPPER(TRIM(C2111))&amp;"|"&amp;UPPER(TRIM(D2111)),"")</f>
        <v/>
      </c>
    </row>
    <row r="2112" ht="15.75" customHeight="1" s="217">
      <c r="A2112" s="397" t="n">
        <v>2110</v>
      </c>
      <c r="B2112" s="397" t="inlineStr">
        <is>
          <t>KH1716</t>
        </is>
      </c>
      <c r="C2112" s="398" t="inlineStr">
        <is>
          <t>Anh Tâm - Củ Chi /0913.700.187</t>
        </is>
      </c>
      <c r="D2112" s="397" t="inlineStr">
        <is>
          <t>0913.700.187</t>
        </is>
      </c>
      <c r="E2112" s="399" t="n"/>
      <c r="F2112" s="398" t="inlineStr">
        <is>
          <t>Củ Chi</t>
        </is>
      </c>
      <c r="G2112" s="397" t="inlineStr">
        <is>
          <t>SG/HCM</t>
        </is>
      </c>
      <c r="H2112" s="399" t="n"/>
      <c r="J2112" s="392">
        <f>IFERROR(UPPER(TRIM(B2112))&amp;"|"&amp;UPPER(TRIM(C2112))&amp;"|"&amp;UPPER(TRIM(D2112)),"")</f>
        <v/>
      </c>
    </row>
    <row r="2113" ht="15.75" customHeight="1" s="217">
      <c r="A2113" s="400" t="n">
        <v>2111</v>
      </c>
      <c r="B2113" s="400" t="inlineStr">
        <is>
          <t>KH1714</t>
        </is>
      </c>
      <c r="C2113" s="401" t="inlineStr">
        <is>
          <t>Anh Được - Đắc Nông/ 01683.129.161</t>
        </is>
      </c>
      <c r="D2113" s="400" t="inlineStr">
        <is>
          <t>01683.129.161</t>
        </is>
      </c>
      <c r="E2113" s="402" t="n"/>
      <c r="F2113" s="403" t="n"/>
      <c r="G2113" s="400" t="inlineStr">
        <is>
          <t>DNONG</t>
        </is>
      </c>
      <c r="H2113" s="402" t="n"/>
      <c r="J2113" s="392">
        <f>IFERROR(UPPER(TRIM(B2113))&amp;"|"&amp;UPPER(TRIM(C2113))&amp;"|"&amp;UPPER(TRIM(D2113)),"")</f>
        <v/>
      </c>
    </row>
    <row r="2114" ht="15.75" customHeight="1" s="217">
      <c r="A2114" s="397" t="n">
        <v>2112</v>
      </c>
      <c r="B2114" s="397" t="inlineStr">
        <is>
          <t>KH1715</t>
        </is>
      </c>
      <c r="C2114" s="398" t="inlineStr">
        <is>
          <t>Bãi Máy Thành Hưng Phát - Suối Tiên /0903.815.441</t>
        </is>
      </c>
      <c r="D2114" s="397" t="inlineStr">
        <is>
          <t>0903.815.441</t>
        </is>
      </c>
      <c r="E2114" s="399" t="n"/>
      <c r="F2114" s="398" t="inlineStr">
        <is>
          <t>Sài Gòn</t>
        </is>
      </c>
      <c r="G2114" s="397" t="inlineStr">
        <is>
          <t>SG/HCM</t>
        </is>
      </c>
      <c r="H2114" s="399" t="n"/>
      <c r="J2114" s="392">
        <f>IFERROR(UPPER(TRIM(B2114))&amp;"|"&amp;UPPER(TRIM(C2114))&amp;"|"&amp;UPPER(TRIM(D2114)),"")</f>
        <v/>
      </c>
    </row>
    <row r="2115" ht="15.75" customHeight="1" s="217">
      <c r="A2115" s="400" t="n">
        <v>2113</v>
      </c>
      <c r="B2115" s="400" t="inlineStr">
        <is>
          <t>KH1712</t>
        </is>
      </c>
      <c r="C2115" s="401" t="inlineStr">
        <is>
          <t>( không sử dụng mã này)Anh Khoa - Quận 7/0919.490.234</t>
        </is>
      </c>
      <c r="D2115" s="400" t="inlineStr">
        <is>
          <t>0919.490.234</t>
        </is>
      </c>
      <c r="E2115" s="402" t="n"/>
      <c r="F2115" s="401" t="inlineStr">
        <is>
          <t>Sài Gòn</t>
        </is>
      </c>
      <c r="G2115" s="400" t="inlineStr">
        <is>
          <t>SG/HCM</t>
        </is>
      </c>
      <c r="H2115" s="402" t="n"/>
      <c r="J2115" s="392">
        <f>IFERROR(UPPER(TRIM(B2115))&amp;"|"&amp;UPPER(TRIM(C2115))&amp;"|"&amp;UPPER(TRIM(D2115)),"")</f>
        <v/>
      </c>
    </row>
    <row r="2116" ht="15.75" customHeight="1" s="217">
      <c r="A2116" s="397" t="n">
        <v>2114</v>
      </c>
      <c r="B2116" s="397" t="inlineStr">
        <is>
          <t>KH1713</t>
        </is>
      </c>
      <c r="C2116" s="398" t="inlineStr">
        <is>
          <t>Anh Hoàng - Đức Trọng / 0916.948.910</t>
        </is>
      </c>
      <c r="D2116" s="397" t="inlineStr">
        <is>
          <t>0916.948.910</t>
        </is>
      </c>
      <c r="E2116" s="399" t="n"/>
      <c r="F2116" s="398" t="inlineStr">
        <is>
          <t>Lâm Đồng</t>
        </is>
      </c>
      <c r="G2116" s="397" t="inlineStr">
        <is>
          <t>LDONG</t>
        </is>
      </c>
      <c r="H2116" s="399" t="n"/>
      <c r="J2116" s="392">
        <f>IFERROR(UPPER(TRIM(B2116))&amp;"|"&amp;UPPER(TRIM(C2116))&amp;"|"&amp;UPPER(TRIM(D2116)),"")</f>
        <v/>
      </c>
    </row>
    <row r="2117" ht="15.75" customHeight="1" s="217">
      <c r="A2117" s="400" t="n">
        <v>2115</v>
      </c>
      <c r="B2117" s="400" t="inlineStr">
        <is>
          <t>KH1711</t>
        </is>
      </c>
      <c r="C2117" s="401" t="inlineStr">
        <is>
          <t>Anh Thắng - Đồng Xoài/ 0942.697.769</t>
        </is>
      </c>
      <c r="D2117" s="400" t="inlineStr">
        <is>
          <t>0942.697.769</t>
        </is>
      </c>
      <c r="E2117" s="402" t="n"/>
      <c r="F2117" s="401" t="inlineStr">
        <is>
          <t>Đồng Xoài - Bình Phước</t>
        </is>
      </c>
      <c r="G2117" s="400" t="inlineStr">
        <is>
          <t>BP</t>
        </is>
      </c>
      <c r="H2117" s="402" t="n"/>
      <c r="J2117" s="392">
        <f>IFERROR(UPPER(TRIM(B2117))&amp;"|"&amp;UPPER(TRIM(C2117))&amp;"|"&amp;UPPER(TRIM(D2117)),"")</f>
        <v/>
      </c>
    </row>
    <row r="2118" ht="15.75" customHeight="1" s="217">
      <c r="A2118" s="397" t="n">
        <v>2116</v>
      </c>
      <c r="B2118" s="397" t="inlineStr">
        <is>
          <t>MN54</t>
        </is>
      </c>
      <c r="C2118" s="398" t="inlineStr">
        <is>
          <t>Chỉnh - NVVC</t>
        </is>
      </c>
      <c r="D2118" s="399" t="n"/>
      <c r="E2118" s="399" t="n"/>
      <c r="F2118" s="398" t="inlineStr">
        <is>
          <t>CT CPCG Miền Nam</t>
        </is>
      </c>
      <c r="G2118" s="399" t="n"/>
      <c r="H2118" s="399" t="n"/>
      <c r="J2118" s="392">
        <f>IFERROR(UPPER(TRIM(B2118))&amp;"|"&amp;UPPER(TRIM(C2118))&amp;"|"&amp;UPPER(TRIM(D2118)),"")</f>
        <v/>
      </c>
    </row>
    <row r="2119" ht="15.75" customHeight="1" s="217">
      <c r="A2119" s="400" t="n">
        <v>2117</v>
      </c>
      <c r="B2119" s="400" t="inlineStr">
        <is>
          <t>KH1709</t>
        </is>
      </c>
      <c r="C2119" s="401" t="inlineStr">
        <is>
          <t>Anh THành - Bình Chánh /0913.945.221</t>
        </is>
      </c>
      <c r="D2119" s="400" t="inlineStr">
        <is>
          <t>0913.945.221</t>
        </is>
      </c>
      <c r="E2119" s="402" t="n"/>
      <c r="F2119" s="403" t="n"/>
      <c r="G2119" s="400" t="inlineStr">
        <is>
          <t>SG/HCM</t>
        </is>
      </c>
      <c r="H2119" s="402" t="n"/>
      <c r="J2119" s="392">
        <f>IFERROR(UPPER(TRIM(B2119))&amp;"|"&amp;UPPER(TRIM(C2119))&amp;"|"&amp;UPPER(TRIM(D2119)),"")</f>
        <v/>
      </c>
    </row>
    <row r="2120" ht="15.75" customHeight="1" s="217">
      <c r="A2120" s="397" t="n">
        <v>2118</v>
      </c>
      <c r="B2120" s="397" t="inlineStr">
        <is>
          <t>KH1710</t>
        </is>
      </c>
      <c r="C2120" s="398" t="inlineStr">
        <is>
          <t>Anh Điền - Bảo Lộc / 01664.977.486</t>
        </is>
      </c>
      <c r="D2120" s="397" t="inlineStr">
        <is>
          <t>01664.977.486</t>
        </is>
      </c>
      <c r="E2120" s="399" t="n"/>
      <c r="F2120" s="398" t="inlineStr">
        <is>
          <t>Lâm Đồng</t>
        </is>
      </c>
      <c r="G2120" s="397" t="inlineStr">
        <is>
          <t>LDONG</t>
        </is>
      </c>
      <c r="H2120" s="399" t="n"/>
      <c r="J2120" s="392">
        <f>IFERROR(UPPER(TRIM(B2120))&amp;"|"&amp;UPPER(TRIM(C2120))&amp;"|"&amp;UPPER(TRIM(D2120)),"")</f>
        <v/>
      </c>
    </row>
    <row r="2121" ht="15.75" customHeight="1" s="217">
      <c r="A2121" s="400" t="n">
        <v>2119</v>
      </c>
      <c r="B2121" s="400" t="inlineStr">
        <is>
          <t>KH1707</t>
        </is>
      </c>
      <c r="C2121" s="401" t="inlineStr">
        <is>
          <t>Công Ty Hùng Vương - Bình Phước/ Anh Quang - 0983.718.059</t>
        </is>
      </c>
      <c r="D2121" s="400" t="inlineStr">
        <is>
          <t>0983.718.059</t>
        </is>
      </c>
      <c r="E2121" s="402" t="n"/>
      <c r="F2121" s="401" t="inlineStr">
        <is>
          <t>Bình Phước</t>
        </is>
      </c>
      <c r="G2121" s="400" t="inlineStr">
        <is>
          <t>BP</t>
        </is>
      </c>
      <c r="H2121" s="402" t="n"/>
      <c r="J2121" s="392">
        <f>IFERROR(UPPER(TRIM(B2121))&amp;"|"&amp;UPPER(TRIM(C2121))&amp;"|"&amp;UPPER(TRIM(D2121)),"")</f>
        <v/>
      </c>
    </row>
    <row r="2122" ht="15.75" customHeight="1" s="217">
      <c r="A2122" s="397" t="n">
        <v>2120</v>
      </c>
      <c r="B2122" s="397" t="inlineStr">
        <is>
          <t>KH1708</t>
        </is>
      </c>
      <c r="C2122" s="398" t="inlineStr">
        <is>
          <t>Anh Tân -  Bình Phước /0978.890.627</t>
        </is>
      </c>
      <c r="D2122" s="397" t="inlineStr">
        <is>
          <t>0978.890.627</t>
        </is>
      </c>
      <c r="E2122" s="399" t="n"/>
      <c r="F2122" s="398" t="inlineStr">
        <is>
          <t>Hoàng Diệu, Bình Phước</t>
        </is>
      </c>
      <c r="G2122" s="397" t="inlineStr">
        <is>
          <t>BP</t>
        </is>
      </c>
      <c r="H2122" s="399" t="n"/>
      <c r="J2122" s="392">
        <f>IFERROR(UPPER(TRIM(B2122))&amp;"|"&amp;UPPER(TRIM(C2122))&amp;"|"&amp;UPPER(TRIM(D2122)),"")</f>
        <v/>
      </c>
    </row>
    <row r="2123" ht="15.75" customHeight="1" s="217">
      <c r="A2123" s="400" t="n">
        <v>2121</v>
      </c>
      <c r="B2123" s="400" t="inlineStr">
        <is>
          <t>KH1706</t>
        </is>
      </c>
      <c r="C2123" s="401" t="inlineStr">
        <is>
          <t>ANh Thu - Bà Rịa Vũng Tàu/ 0913.839.811</t>
        </is>
      </c>
      <c r="D2123" s="400" t="inlineStr">
        <is>
          <t>0913.839.811</t>
        </is>
      </c>
      <c r="E2123" s="402" t="n"/>
      <c r="F2123" s="401" t="inlineStr">
        <is>
          <t>Bà Rịa Vũng Tàu</t>
        </is>
      </c>
      <c r="G2123" s="400" t="inlineStr">
        <is>
          <t>BRVT</t>
        </is>
      </c>
      <c r="H2123" s="402" t="n"/>
      <c r="J2123" s="392">
        <f>IFERROR(UPPER(TRIM(B2123))&amp;"|"&amp;UPPER(TRIM(C2123))&amp;"|"&amp;UPPER(TRIM(D2123)),"")</f>
        <v/>
      </c>
    </row>
    <row r="2124" ht="15.75" customHeight="1" s="217">
      <c r="A2124" s="397" t="n">
        <v>2122</v>
      </c>
      <c r="B2124" s="397" t="inlineStr">
        <is>
          <t>KH1703</t>
        </is>
      </c>
      <c r="C2124" s="398" t="inlineStr">
        <is>
          <t>Anh Tuấn Anh ( CTy XD Bảo Phượng Trang )  - THủ Đức / 0915.600.839</t>
        </is>
      </c>
      <c r="D2124" s="397" t="inlineStr">
        <is>
          <t>0915.600.839</t>
        </is>
      </c>
      <c r="E2124" s="399" t="n"/>
      <c r="F2124" s="404" t="n"/>
      <c r="G2124" s="397" t="inlineStr">
        <is>
          <t>SG/HCM</t>
        </is>
      </c>
      <c r="H2124" s="399" t="n"/>
      <c r="J2124" s="392">
        <f>IFERROR(UPPER(TRIM(B2124))&amp;"|"&amp;UPPER(TRIM(C2124))&amp;"|"&amp;UPPER(TRIM(D2124)),"")</f>
        <v/>
      </c>
    </row>
    <row r="2125" ht="15.75" customHeight="1" s="217">
      <c r="A2125" s="400" t="n">
        <v>2123</v>
      </c>
      <c r="B2125" s="400" t="inlineStr">
        <is>
          <t>KH1704</t>
        </is>
      </c>
      <c r="C2125" s="401" t="inlineStr">
        <is>
          <t>Anh Tín - Phước Long/ 0948.900.001</t>
        </is>
      </c>
      <c r="D2125" s="400" t="inlineStr">
        <is>
          <t>0948.900.001</t>
        </is>
      </c>
      <c r="E2125" s="402" t="n"/>
      <c r="F2125" s="401" t="inlineStr">
        <is>
          <t>Phước Long - Bình Phước</t>
        </is>
      </c>
      <c r="G2125" s="400" t="inlineStr">
        <is>
          <t>BP</t>
        </is>
      </c>
      <c r="H2125" s="402" t="n"/>
      <c r="J2125" s="392">
        <f>IFERROR(UPPER(TRIM(B2125))&amp;"|"&amp;UPPER(TRIM(C2125))&amp;"|"&amp;UPPER(TRIM(D2125)),"")</f>
        <v/>
      </c>
    </row>
    <row r="2126" ht="15.75" customHeight="1" s="217">
      <c r="A2126" s="397" t="n">
        <v>2124</v>
      </c>
      <c r="B2126" s="397" t="inlineStr">
        <is>
          <t>KH1705</t>
        </is>
      </c>
      <c r="C2126" s="398" t="inlineStr">
        <is>
          <t>Anh Thưởng - Tây Ninh/ 0909.937.610</t>
        </is>
      </c>
      <c r="D2126" s="397" t="inlineStr">
        <is>
          <t>0909.937.610</t>
        </is>
      </c>
      <c r="E2126" s="399" t="n"/>
      <c r="F2126" s="398" t="inlineStr">
        <is>
          <t>Tây Ninh</t>
        </is>
      </c>
      <c r="G2126" s="397" t="inlineStr">
        <is>
          <t>TNINH</t>
        </is>
      </c>
      <c r="H2126" s="399" t="n"/>
      <c r="J2126" s="392">
        <f>IFERROR(UPPER(TRIM(B2126))&amp;"|"&amp;UPPER(TRIM(C2126))&amp;"|"&amp;UPPER(TRIM(D2126)),"")</f>
        <v/>
      </c>
    </row>
    <row r="2127" ht="15.75" customHeight="1" s="217">
      <c r="A2127" s="400" t="n">
        <v>2125</v>
      </c>
      <c r="B2127" s="400" t="inlineStr">
        <is>
          <t>KH1702</t>
        </is>
      </c>
      <c r="C2127" s="401" t="inlineStr">
        <is>
          <t>Anh Mỹ - An Giang / 0913.694.442</t>
        </is>
      </c>
      <c r="D2127" s="400" t="inlineStr">
        <is>
          <t>0913.694.442</t>
        </is>
      </c>
      <c r="E2127" s="402" t="n"/>
      <c r="F2127" s="403" t="n"/>
      <c r="G2127" s="400" t="inlineStr">
        <is>
          <t>ANGIANG</t>
        </is>
      </c>
      <c r="H2127" s="402" t="n"/>
      <c r="J2127" s="392">
        <f>IFERROR(UPPER(TRIM(B2127))&amp;"|"&amp;UPPER(TRIM(C2127))&amp;"|"&amp;UPPER(TRIM(D2127)),"")</f>
        <v/>
      </c>
    </row>
    <row r="2128" ht="15.75" customHeight="1" s="217">
      <c r="A2128" s="397" t="n">
        <v>2126</v>
      </c>
      <c r="B2128" s="397" t="inlineStr">
        <is>
          <t>KH1700</t>
        </is>
      </c>
      <c r="C2128" s="398" t="inlineStr">
        <is>
          <t>Anh Đức - Đức Trọng / 0919.389.711</t>
        </is>
      </c>
      <c r="D2128" s="397" t="inlineStr">
        <is>
          <t>0919.389.711</t>
        </is>
      </c>
      <c r="E2128" s="399" t="n"/>
      <c r="F2128" s="398" t="inlineStr">
        <is>
          <t>Đức Trọng, Lâm Đồng</t>
        </is>
      </c>
      <c r="G2128" s="397" t="inlineStr">
        <is>
          <t>LDONG</t>
        </is>
      </c>
      <c r="H2128" s="399" t="n"/>
      <c r="J2128" s="392">
        <f>IFERROR(UPPER(TRIM(B2128))&amp;"|"&amp;UPPER(TRIM(C2128))&amp;"|"&amp;UPPER(TRIM(D2128)),"")</f>
        <v/>
      </c>
    </row>
    <row r="2129" ht="15.75" customHeight="1" s="217">
      <c r="A2129" s="400" t="n">
        <v>2127</v>
      </c>
      <c r="B2129" s="400" t="inlineStr">
        <is>
          <t>KH1701</t>
        </is>
      </c>
      <c r="C2129" s="401" t="inlineStr">
        <is>
          <t>Anh Lượng - Sóc Trăng/ 0909.666.185</t>
        </is>
      </c>
      <c r="D2129" s="400" t="inlineStr">
        <is>
          <t>0909.666.185</t>
        </is>
      </c>
      <c r="E2129" s="402" t="n"/>
      <c r="F2129" s="403" t="n"/>
      <c r="G2129" s="400" t="inlineStr">
        <is>
          <t>STRANG</t>
        </is>
      </c>
      <c r="H2129" s="402" t="n"/>
      <c r="J2129" s="392">
        <f>IFERROR(UPPER(TRIM(B2129))&amp;"|"&amp;UPPER(TRIM(C2129))&amp;"|"&amp;UPPER(TRIM(D2129)),"")</f>
        <v/>
      </c>
    </row>
    <row r="2130" ht="15.75" customHeight="1" s="217">
      <c r="A2130" s="397" t="n">
        <v>2128</v>
      </c>
      <c r="B2130" s="397" t="inlineStr">
        <is>
          <t>MN53</t>
        </is>
      </c>
      <c r="C2130" s="398" t="inlineStr">
        <is>
          <t>Điệp xe cont</t>
        </is>
      </c>
      <c r="D2130" s="399" t="n"/>
      <c r="E2130" s="399" t="n"/>
      <c r="F2130" s="404" t="n"/>
      <c r="G2130" s="399" t="n"/>
      <c r="H2130" s="399" t="n"/>
      <c r="J2130" s="392">
        <f>IFERROR(UPPER(TRIM(B2130))&amp;"|"&amp;UPPER(TRIM(C2130))&amp;"|"&amp;UPPER(TRIM(D2130)),"")</f>
        <v/>
      </c>
    </row>
    <row r="2131" ht="15.75" customHeight="1" s="217">
      <c r="A2131" s="400" t="n">
        <v>2129</v>
      </c>
      <c r="B2131" s="400" t="inlineStr">
        <is>
          <t>KH1694</t>
        </is>
      </c>
      <c r="C2131" s="401" t="inlineStr">
        <is>
          <t>Anh Chí - Cà Mau / 0982.242.243</t>
        </is>
      </c>
      <c r="D2131" s="400" t="inlineStr">
        <is>
          <t>0982.242.243</t>
        </is>
      </c>
      <c r="E2131" s="402" t="n"/>
      <c r="F2131" s="401" t="inlineStr">
        <is>
          <t>Cà Mau</t>
        </is>
      </c>
      <c r="G2131" s="400" t="inlineStr">
        <is>
          <t>CMAU</t>
        </is>
      </c>
      <c r="H2131" s="402" t="n"/>
      <c r="J2131" s="392">
        <f>IFERROR(UPPER(TRIM(B2131))&amp;"|"&amp;UPPER(TRIM(C2131))&amp;"|"&amp;UPPER(TRIM(D2131)),"")</f>
        <v/>
      </c>
    </row>
    <row r="2132" ht="15.75" customHeight="1" s="217">
      <c r="A2132" s="397" t="n">
        <v>2130</v>
      </c>
      <c r="B2132" s="397" t="inlineStr">
        <is>
          <t>KH1699</t>
        </is>
      </c>
      <c r="C2132" s="398" t="inlineStr">
        <is>
          <t>Anh An - Đức Hòa/ 0983.651.851</t>
        </is>
      </c>
      <c r="D2132" s="397" t="inlineStr">
        <is>
          <t>0983.651.851</t>
        </is>
      </c>
      <c r="E2132" s="399" t="n"/>
      <c r="F2132" s="398" t="inlineStr">
        <is>
          <t>Đức Hòa - Long An</t>
        </is>
      </c>
      <c r="G2132" s="397" t="inlineStr">
        <is>
          <t>LA</t>
        </is>
      </c>
      <c r="H2132" s="399" t="n"/>
      <c r="J2132" s="392">
        <f>IFERROR(UPPER(TRIM(B2132))&amp;"|"&amp;UPPER(TRIM(C2132))&amp;"|"&amp;UPPER(TRIM(D2132)),"")</f>
        <v/>
      </c>
    </row>
    <row r="2133" ht="15.75" customHeight="1" s="217">
      <c r="A2133" s="400" t="n">
        <v>2131</v>
      </c>
      <c r="B2133" s="400" t="inlineStr">
        <is>
          <t>KH1693</t>
        </is>
      </c>
      <c r="C2133" s="401" t="inlineStr">
        <is>
          <t>Anh Kiên - Bảo Lộc / 01642.829.559</t>
        </is>
      </c>
      <c r="D2133" s="400" t="inlineStr">
        <is>
          <t>01642.829.559</t>
        </is>
      </c>
      <c r="E2133" s="402" t="n"/>
      <c r="F2133" s="401" t="inlineStr">
        <is>
          <t>Lâm Đồng</t>
        </is>
      </c>
      <c r="G2133" s="400" t="inlineStr">
        <is>
          <t>LDONG</t>
        </is>
      </c>
      <c r="H2133" s="402" t="n"/>
      <c r="J2133" s="392">
        <f>IFERROR(UPPER(TRIM(B2133))&amp;"|"&amp;UPPER(TRIM(C2133))&amp;"|"&amp;UPPER(TRIM(D2133)),"")</f>
        <v/>
      </c>
    </row>
    <row r="2134" ht="15.75" customHeight="1" s="217">
      <c r="A2134" s="397" t="n">
        <v>2132</v>
      </c>
      <c r="B2134" s="397" t="inlineStr">
        <is>
          <t>KH1692</t>
        </is>
      </c>
      <c r="C2134" s="398" t="inlineStr">
        <is>
          <t>Anh Lâm - Long An/ 01682.268.938</t>
        </is>
      </c>
      <c r="D2134" s="397" t="inlineStr">
        <is>
          <t>01682.268.938</t>
        </is>
      </c>
      <c r="E2134" s="399" t="n"/>
      <c r="F2134" s="398" t="inlineStr">
        <is>
          <t>Long An</t>
        </is>
      </c>
      <c r="G2134" s="397" t="inlineStr">
        <is>
          <t>LA</t>
        </is>
      </c>
      <c r="H2134" s="399" t="n"/>
      <c r="J2134" s="392">
        <f>IFERROR(UPPER(TRIM(B2134))&amp;"|"&amp;UPPER(TRIM(C2134))&amp;"|"&amp;UPPER(TRIM(D2134)),"")</f>
        <v/>
      </c>
    </row>
    <row r="2135" ht="15.75" customHeight="1" s="217">
      <c r="A2135" s="400" t="n">
        <v>2133</v>
      </c>
      <c r="B2135" s="400" t="inlineStr">
        <is>
          <t>KH1691</t>
        </is>
      </c>
      <c r="C2135" s="401" t="inlineStr">
        <is>
          <t>Công Ty Hùng Cường 342 - Gia Lai/ Anh Tiến 0905.843.444</t>
        </is>
      </c>
      <c r="D2135" s="400" t="inlineStr">
        <is>
          <t>0905.843.444</t>
        </is>
      </c>
      <c r="E2135" s="402" t="n"/>
      <c r="F2135" s="401" t="inlineStr">
        <is>
          <t>Trần Hưng Đạo, huyện Măng Yang, Gia Lai</t>
        </is>
      </c>
      <c r="G2135" s="400" t="inlineStr">
        <is>
          <t>GLAI</t>
        </is>
      </c>
      <c r="H2135" s="402" t="n"/>
      <c r="J2135" s="392">
        <f>IFERROR(UPPER(TRIM(B2135))&amp;"|"&amp;UPPER(TRIM(C2135))&amp;"|"&amp;UPPER(TRIM(D2135)),"")</f>
        <v/>
      </c>
    </row>
    <row r="2136" ht="15.75" customHeight="1" s="217">
      <c r="A2136" s="397" t="n">
        <v>2134</v>
      </c>
      <c r="B2136" s="397" t="inlineStr">
        <is>
          <t>KH1698</t>
        </is>
      </c>
      <c r="C2136" s="398" t="inlineStr">
        <is>
          <t>Anh Lỳ - Sài Gòn/ 0914.834.000</t>
        </is>
      </c>
      <c r="D2136" s="397" t="inlineStr">
        <is>
          <t>0914.834.000</t>
        </is>
      </c>
      <c r="E2136" s="399" t="n"/>
      <c r="F2136" s="398" t="inlineStr">
        <is>
          <t>Sài Gòn</t>
        </is>
      </c>
      <c r="G2136" s="397" t="inlineStr">
        <is>
          <t>SG/HCM</t>
        </is>
      </c>
      <c r="H2136" s="399" t="n"/>
      <c r="J2136" s="392">
        <f>IFERROR(UPPER(TRIM(B2136))&amp;"|"&amp;UPPER(TRIM(C2136))&amp;"|"&amp;UPPER(TRIM(D2136)),"")</f>
        <v/>
      </c>
    </row>
    <row r="2137" ht="15.75" customHeight="1" s="217">
      <c r="A2137" s="400" t="n">
        <v>2135</v>
      </c>
      <c r="B2137" s="400" t="inlineStr">
        <is>
          <t>DANANG</t>
        </is>
      </c>
      <c r="C2137" s="401" t="inlineStr">
        <is>
          <t>Thiết Bị Miền Nam - Chi Nhánh Đà Nẵng</t>
        </is>
      </c>
      <c r="D2137" s="402" t="n"/>
      <c r="E2137" s="402" t="n"/>
      <c r="F2137" s="401" t="inlineStr">
        <is>
          <t>Đà Nẵng</t>
        </is>
      </c>
      <c r="G2137" s="402" t="n"/>
      <c r="H2137" s="402" t="n"/>
      <c r="J2137" s="392">
        <f>IFERROR(UPPER(TRIM(B2137))&amp;"|"&amp;UPPER(TRIM(C2137))&amp;"|"&amp;UPPER(TRIM(D2137)),"")</f>
        <v/>
      </c>
    </row>
    <row r="2138" ht="15.75" customHeight="1" s="217">
      <c r="A2138" s="397" t="n">
        <v>2136</v>
      </c>
      <c r="B2138" s="397" t="inlineStr">
        <is>
          <t>KH1588</t>
        </is>
      </c>
      <c r="C2138" s="398" t="inlineStr">
        <is>
          <t>Baĩ máy Hoàng Dũng - Bình Chánh /0903.917.922</t>
        </is>
      </c>
      <c r="D2138" s="397" t="inlineStr">
        <is>
          <t>0903.917.922</t>
        </is>
      </c>
      <c r="E2138" s="399" t="n"/>
      <c r="F2138" s="398" t="inlineStr">
        <is>
          <t>11/10 QL1A ấp 3 xã Tân quý, Tây Bình , Bình Chánh</t>
        </is>
      </c>
      <c r="G2138" s="397" t="inlineStr">
        <is>
          <t>SG/HCM</t>
        </is>
      </c>
      <c r="H2138" s="399" t="n"/>
      <c r="J2138" s="392">
        <f>IFERROR(UPPER(TRIM(B2138))&amp;"|"&amp;UPPER(TRIM(C2138))&amp;"|"&amp;UPPER(TRIM(D2138)),"")</f>
        <v/>
      </c>
    </row>
    <row r="2139" ht="15.75" customHeight="1" s="217">
      <c r="A2139" s="400" t="n">
        <v>2137</v>
      </c>
      <c r="B2139" s="400" t="inlineStr">
        <is>
          <t>KH1589</t>
        </is>
      </c>
      <c r="C2139" s="401" t="inlineStr">
        <is>
          <t>Anh Tiến - Gia Lai/ 01632.968.296</t>
        </is>
      </c>
      <c r="D2139" s="400" t="inlineStr">
        <is>
          <t>01632.968.296</t>
        </is>
      </c>
      <c r="E2139" s="402" t="n"/>
      <c r="F2139" s="401" t="inlineStr">
        <is>
          <t>Gia LAi</t>
        </is>
      </c>
      <c r="G2139" s="400" t="inlineStr">
        <is>
          <t>GLAI</t>
        </is>
      </c>
      <c r="H2139" s="402" t="n"/>
      <c r="J2139" s="392">
        <f>IFERROR(UPPER(TRIM(B2139))&amp;"|"&amp;UPPER(TRIM(C2139))&amp;"|"&amp;UPPER(TRIM(D2139)),"")</f>
        <v/>
      </c>
    </row>
    <row r="2140" ht="15.75" customHeight="1" s="217">
      <c r="A2140" s="397" t="n">
        <v>2138</v>
      </c>
      <c r="B2140" s="397" t="inlineStr">
        <is>
          <t>KH1590</t>
        </is>
      </c>
      <c r="C2140" s="398" t="inlineStr">
        <is>
          <t>anh Khang - Đức Trọng/ 01673.116.698</t>
        </is>
      </c>
      <c r="D2140" s="397" t="inlineStr">
        <is>
          <t>01673.116.698</t>
        </is>
      </c>
      <c r="E2140" s="399" t="n"/>
      <c r="F2140" s="398" t="inlineStr">
        <is>
          <t>Đức Trọng</t>
        </is>
      </c>
      <c r="G2140" s="397" t="inlineStr">
        <is>
          <t>LDONG</t>
        </is>
      </c>
      <c r="H2140" s="399" t="n"/>
      <c r="J2140" s="392">
        <f>IFERROR(UPPER(TRIM(B2140))&amp;"|"&amp;UPPER(TRIM(C2140))&amp;"|"&amp;UPPER(TRIM(D2140)),"")</f>
        <v/>
      </c>
    </row>
    <row r="2141" ht="15.75" customHeight="1" s="217">
      <c r="A2141" s="400" t="n">
        <v>2139</v>
      </c>
      <c r="B2141" s="400" t="inlineStr">
        <is>
          <t>KH1587</t>
        </is>
      </c>
      <c r="C2141" s="401" t="inlineStr">
        <is>
          <t>Anh Hiền - Bình Chánh / 0913.969.477</t>
        </is>
      </c>
      <c r="D2141" s="400" t="inlineStr">
        <is>
          <t>0913969477 / 0913.969.477</t>
        </is>
      </c>
      <c r="E2141" s="402" t="n"/>
      <c r="F2141" s="401" t="inlineStr">
        <is>
          <t>bình chánh - sài gòn</t>
        </is>
      </c>
      <c r="G2141" s="400" t="inlineStr">
        <is>
          <t>SG/HCM</t>
        </is>
      </c>
      <c r="H2141" s="402" t="n"/>
      <c r="J2141" s="392">
        <f>IFERROR(UPPER(TRIM(B2141))&amp;"|"&amp;UPPER(TRIM(C2141))&amp;"|"&amp;UPPER(TRIM(D2141)),"")</f>
        <v/>
      </c>
    </row>
    <row r="2142" ht="15.75" customHeight="1" s="217">
      <c r="A2142" s="397" t="n">
        <v>2140</v>
      </c>
      <c r="B2142" s="397" t="inlineStr">
        <is>
          <t>KH1697</t>
        </is>
      </c>
      <c r="C2142" s="398" t="inlineStr">
        <is>
          <t>Chú Lâm - Cái Bè ,Tiền Giang / 0976.870.551</t>
        </is>
      </c>
      <c r="D2142" s="397" t="inlineStr">
        <is>
          <t>0976.870.551</t>
        </is>
      </c>
      <c r="E2142" s="399" t="n"/>
      <c r="F2142" s="398" t="inlineStr">
        <is>
          <t>Cái Bè, Tiền Giang</t>
        </is>
      </c>
      <c r="G2142" s="397" t="inlineStr">
        <is>
          <t>TGIANG</t>
        </is>
      </c>
      <c r="H2142" s="399" t="n"/>
      <c r="J2142" s="392">
        <f>IFERROR(UPPER(TRIM(B2142))&amp;"|"&amp;UPPER(TRIM(C2142))&amp;"|"&amp;UPPER(TRIM(D2142)),"")</f>
        <v/>
      </c>
    </row>
    <row r="2143" ht="15.75" customHeight="1" s="217">
      <c r="A2143" s="400" t="n">
        <v>2141</v>
      </c>
      <c r="B2143" s="400" t="inlineStr">
        <is>
          <t>KH1585</t>
        </is>
      </c>
      <c r="C2143" s="401" t="inlineStr">
        <is>
          <t>anh Quý- Gia Lai/ 0961.308.778</t>
        </is>
      </c>
      <c r="D2143" s="400" t="inlineStr">
        <is>
          <t>0961308778 / 0961.308.778</t>
        </is>
      </c>
      <c r="E2143" s="402" t="n"/>
      <c r="F2143" s="401" t="inlineStr">
        <is>
          <t>Gia lai</t>
        </is>
      </c>
      <c r="G2143" s="400" t="inlineStr">
        <is>
          <t>GLAI</t>
        </is>
      </c>
      <c r="H2143" s="402" t="n"/>
      <c r="J2143" s="392">
        <f>IFERROR(UPPER(TRIM(B2143))&amp;"|"&amp;UPPER(TRIM(C2143))&amp;"|"&amp;UPPER(TRIM(D2143)),"")</f>
        <v/>
      </c>
    </row>
    <row r="2144" ht="15.75" customHeight="1" s="217">
      <c r="A2144" s="397" t="n">
        <v>2142</v>
      </c>
      <c r="B2144" s="397" t="inlineStr">
        <is>
          <t>KH1586</t>
        </is>
      </c>
      <c r="C2144" s="398" t="inlineStr">
        <is>
          <t>Anh Đông - Ngã Tư Bình Phước/ 0982.933.060</t>
        </is>
      </c>
      <c r="D2144" s="397" t="inlineStr">
        <is>
          <t>0982.933.060</t>
        </is>
      </c>
      <c r="E2144" s="399" t="n"/>
      <c r="F2144" s="398" t="inlineStr">
        <is>
          <t>Ngã Tư Bình Phước - TP.HCM</t>
        </is>
      </c>
      <c r="G2144" s="397" t="inlineStr">
        <is>
          <t>SG/HCM</t>
        </is>
      </c>
      <c r="H2144" s="399" t="n"/>
      <c r="J2144" s="392">
        <f>IFERROR(UPPER(TRIM(B2144))&amp;"|"&amp;UPPER(TRIM(C2144))&amp;"|"&amp;UPPER(TRIM(D2144)),"")</f>
        <v/>
      </c>
    </row>
    <row r="2145" ht="15.75" customHeight="1" s="217">
      <c r="A2145" s="400" t="n">
        <v>2143</v>
      </c>
      <c r="B2145" s="400" t="inlineStr">
        <is>
          <t>JUN</t>
        </is>
      </c>
      <c r="C2145" s="401" t="inlineStr">
        <is>
          <t>Henagshui Juneng Machinery Fittings Co., Ltd</t>
        </is>
      </c>
      <c r="D2145" s="402" t="n"/>
      <c r="E2145" s="402" t="n"/>
      <c r="F2145" s="401" t="inlineStr">
        <is>
          <t>Wuqiang Industrial Zone, Hengshui, Hebei, China</t>
        </is>
      </c>
      <c r="G2145" s="402" t="n"/>
      <c r="H2145" s="402" t="n"/>
      <c r="J2145" s="392">
        <f>IFERROR(UPPER(TRIM(B2145))&amp;"|"&amp;UPPER(TRIM(C2145))&amp;"|"&amp;UPPER(TRIM(D2145)),"")</f>
        <v/>
      </c>
    </row>
    <row r="2146" ht="15.75" customHeight="1" s="217">
      <c r="A2146" s="397" t="n">
        <v>2144</v>
      </c>
      <c r="B2146" s="397" t="inlineStr">
        <is>
          <t>KH1584</t>
        </is>
      </c>
      <c r="C2146" s="398" t="inlineStr">
        <is>
          <t>Anh Nhượng - Đức Trọng/ 0903.018.689</t>
        </is>
      </c>
      <c r="D2146" s="397" t="inlineStr">
        <is>
          <t>0903.018.689</t>
        </is>
      </c>
      <c r="E2146" s="399" t="n"/>
      <c r="F2146" s="398" t="inlineStr">
        <is>
          <t>Đức Trọng - Lâm Đồng</t>
        </is>
      </c>
      <c r="G2146" s="397" t="inlineStr">
        <is>
          <t>LDONG</t>
        </is>
      </c>
      <c r="H2146" s="399" t="n"/>
      <c r="J2146" s="392">
        <f>IFERROR(UPPER(TRIM(B2146))&amp;"|"&amp;UPPER(TRIM(C2146))&amp;"|"&amp;UPPER(TRIM(D2146)),"")</f>
        <v/>
      </c>
    </row>
    <row r="2147" ht="15.75" customHeight="1" s="217">
      <c r="A2147" s="400" t="n">
        <v>2145</v>
      </c>
      <c r="B2147" s="400" t="inlineStr">
        <is>
          <t>KH1582</t>
        </is>
      </c>
      <c r="C2147" s="401" t="inlineStr">
        <is>
          <t>Anh Nghĩa - Chơn Thành/ 0915.161.909</t>
        </is>
      </c>
      <c r="D2147" s="400" t="inlineStr">
        <is>
          <t>0915.161.909</t>
        </is>
      </c>
      <c r="E2147" s="402" t="n"/>
      <c r="F2147" s="401" t="inlineStr">
        <is>
          <t>Chơn Thành - Bình Phước</t>
        </is>
      </c>
      <c r="G2147" s="400" t="inlineStr">
        <is>
          <t>BP</t>
        </is>
      </c>
      <c r="H2147" s="402" t="n"/>
      <c r="J2147" s="392">
        <f>IFERROR(UPPER(TRIM(B2147))&amp;"|"&amp;UPPER(TRIM(C2147))&amp;"|"&amp;UPPER(TRIM(D2147)),"")</f>
        <v/>
      </c>
    </row>
    <row r="2148" ht="15.75" customHeight="1" s="217">
      <c r="A2148" s="397" t="n">
        <v>2146</v>
      </c>
      <c r="B2148" s="397" t="inlineStr">
        <is>
          <t>KH1583</t>
        </is>
      </c>
      <c r="C2148" s="398" t="inlineStr">
        <is>
          <t>Anh Tài - Bình Thuận/ 01212.006.686</t>
        </is>
      </c>
      <c r="D2148" s="397" t="inlineStr">
        <is>
          <t>01212.006.686</t>
        </is>
      </c>
      <c r="E2148" s="399" t="n"/>
      <c r="F2148" s="398" t="inlineStr">
        <is>
          <t>Bình Thuận</t>
        </is>
      </c>
      <c r="G2148" s="397" t="inlineStr">
        <is>
          <t>BTHUAN</t>
        </is>
      </c>
      <c r="H2148" s="399" t="n"/>
      <c r="J2148" s="392">
        <f>IFERROR(UPPER(TRIM(B2148))&amp;"|"&amp;UPPER(TRIM(C2148))&amp;"|"&amp;UPPER(TRIM(D2148)),"")</f>
        <v/>
      </c>
    </row>
    <row r="2149" ht="15.75" customHeight="1" s="217">
      <c r="A2149" s="400" t="n">
        <v>2147</v>
      </c>
      <c r="B2149" s="400" t="inlineStr">
        <is>
          <t>KH1565</t>
        </is>
      </c>
      <c r="C2149" s="401" t="inlineStr">
        <is>
          <t>Anh Nhất - Bình Dương / 0937.010.035</t>
        </is>
      </c>
      <c r="D2149" s="400" t="inlineStr">
        <is>
          <t>0937.010.035</t>
        </is>
      </c>
      <c r="E2149" s="402" t="n"/>
      <c r="F2149" s="401" t="inlineStr">
        <is>
          <t>Bến Cát - Bình dương</t>
        </is>
      </c>
      <c r="G2149" s="400" t="inlineStr">
        <is>
          <t>BDUONG</t>
        </is>
      </c>
      <c r="H2149" s="402" t="n"/>
      <c r="J2149" s="392">
        <f>IFERROR(UPPER(TRIM(B2149))&amp;"|"&amp;UPPER(TRIM(C2149))&amp;"|"&amp;UPPER(TRIM(D2149)),"")</f>
        <v/>
      </c>
    </row>
    <row r="2150" ht="15.75" customHeight="1" s="217">
      <c r="A2150" s="397" t="n">
        <v>2148</v>
      </c>
      <c r="B2150" s="397" t="inlineStr">
        <is>
          <t>KH1580</t>
        </is>
      </c>
      <c r="C2150" s="398" t="inlineStr">
        <is>
          <t>Anh Hải - Vĩnh Châu/ 0902.829.717</t>
        </is>
      </c>
      <c r="D2150" s="397" t="inlineStr">
        <is>
          <t>0902.829.717</t>
        </is>
      </c>
      <c r="E2150" s="399" t="n"/>
      <c r="F2150" s="398" t="inlineStr">
        <is>
          <t>Vĩnh Châu - Sóc Trăng</t>
        </is>
      </c>
      <c r="G2150" s="397" t="inlineStr">
        <is>
          <t>STRANG</t>
        </is>
      </c>
      <c r="H2150" s="399" t="n"/>
      <c r="J2150" s="392">
        <f>IFERROR(UPPER(TRIM(B2150))&amp;"|"&amp;UPPER(TRIM(C2150))&amp;"|"&amp;UPPER(TRIM(D2150)),"")</f>
        <v/>
      </c>
    </row>
    <row r="2151" ht="15.75" customHeight="1" s="217">
      <c r="A2151" s="400" t="n">
        <v>2149</v>
      </c>
      <c r="B2151" s="400" t="inlineStr">
        <is>
          <t>KH1581</t>
        </is>
      </c>
      <c r="C2151" s="401" t="inlineStr">
        <is>
          <t>Cửa hàng Tấn Thành - Bạc Liêu / 0988.950.549</t>
        </is>
      </c>
      <c r="D2151" s="400" t="inlineStr">
        <is>
          <t>0988.950.549</t>
        </is>
      </c>
      <c r="E2151" s="402" t="n"/>
      <c r="F2151" s="401" t="inlineStr">
        <is>
          <t>Bạc Liêu</t>
        </is>
      </c>
      <c r="G2151" s="400" t="inlineStr">
        <is>
          <t>BLIEU</t>
        </is>
      </c>
      <c r="H2151" s="402" t="n"/>
      <c r="J2151" s="392">
        <f>IFERROR(UPPER(TRIM(B2151))&amp;"|"&amp;UPPER(TRIM(C2151))&amp;"|"&amp;UPPER(TRIM(D2151)),"")</f>
        <v/>
      </c>
    </row>
    <row r="2152" ht="15.75" customHeight="1" s="217">
      <c r="A2152" s="397" t="n">
        <v>2150</v>
      </c>
      <c r="B2152" s="397" t="inlineStr">
        <is>
          <t>KH1579</t>
        </is>
      </c>
      <c r="C2152" s="398" t="inlineStr">
        <is>
          <t>Công Ty CP XD Hoa Sen - Q12/ Anh Phúc - 0938.661.759</t>
        </is>
      </c>
      <c r="D2152" s="397" t="inlineStr">
        <is>
          <t>0938.661.759</t>
        </is>
      </c>
      <c r="E2152" s="399" t="n"/>
      <c r="F2152" s="398" t="inlineStr">
        <is>
          <t>Tân Chánh Hiệp, Q12, TP.HCM</t>
        </is>
      </c>
      <c r="G2152" s="397" t="inlineStr">
        <is>
          <t>SG/HCM</t>
        </is>
      </c>
      <c r="H2152" s="399" t="n"/>
      <c r="J2152" s="392">
        <f>IFERROR(UPPER(TRIM(B2152))&amp;"|"&amp;UPPER(TRIM(C2152))&amp;"|"&amp;UPPER(TRIM(D2152)),"")</f>
        <v/>
      </c>
    </row>
    <row r="2153" ht="15.75" customHeight="1" s="217">
      <c r="A2153" s="400" t="n">
        <v>2151</v>
      </c>
      <c r="B2153" s="400" t="inlineStr">
        <is>
          <t>KH1560</t>
        </is>
      </c>
      <c r="C2153" s="401" t="inlineStr">
        <is>
          <t>Anh Dự - Cần Thơ / 0973.197.039</t>
        </is>
      </c>
      <c r="D2153" s="400" t="inlineStr">
        <is>
          <t>0973.197.039</t>
        </is>
      </c>
      <c r="E2153" s="402" t="n"/>
      <c r="F2153" s="401" t="inlineStr">
        <is>
          <t>Cần Thơ</t>
        </is>
      </c>
      <c r="G2153" s="400" t="inlineStr">
        <is>
          <t>CTHO</t>
        </is>
      </c>
      <c r="H2153" s="402" t="n"/>
      <c r="J2153" s="392">
        <f>IFERROR(UPPER(TRIM(B2153))&amp;"|"&amp;UPPER(TRIM(C2153))&amp;"|"&amp;UPPER(TRIM(D2153)),"")</f>
        <v/>
      </c>
    </row>
    <row r="2154" ht="15.75" customHeight="1" s="217">
      <c r="A2154" s="397" t="n">
        <v>2152</v>
      </c>
      <c r="B2154" s="397" t="inlineStr">
        <is>
          <t>KH1561</t>
        </is>
      </c>
      <c r="C2154" s="398" t="inlineStr">
        <is>
          <t>Anh An - Tây Ninh / 0915.755.699</t>
        </is>
      </c>
      <c r="D2154" s="397" t="inlineStr">
        <is>
          <t>0915.755.699</t>
        </is>
      </c>
      <c r="E2154" s="399" t="n"/>
      <c r="F2154" s="404" t="n"/>
      <c r="G2154" s="397" t="inlineStr">
        <is>
          <t>TNINH</t>
        </is>
      </c>
      <c r="H2154" s="399" t="n"/>
      <c r="J2154" s="392">
        <f>IFERROR(UPPER(TRIM(B2154))&amp;"|"&amp;UPPER(TRIM(C2154))&amp;"|"&amp;UPPER(TRIM(D2154)),"")</f>
        <v/>
      </c>
    </row>
    <row r="2155" ht="15.75" customHeight="1" s="217">
      <c r="A2155" s="400" t="n">
        <v>2153</v>
      </c>
      <c r="B2155" s="400" t="inlineStr">
        <is>
          <t>KH1578</t>
        </is>
      </c>
      <c r="C2155" s="401" t="inlineStr">
        <is>
          <t>Anh Thọ - Vườn Lài, Q.12 / 0919.818.879</t>
        </is>
      </c>
      <c r="D2155" s="400" t="inlineStr">
        <is>
          <t>0919.818.879</t>
        </is>
      </c>
      <c r="E2155" s="402" t="n"/>
      <c r="F2155" s="401" t="inlineStr">
        <is>
          <t>TP.HCM</t>
        </is>
      </c>
      <c r="G2155" s="402" t="n"/>
      <c r="H2155" s="402" t="n"/>
      <c r="J2155" s="392">
        <f>IFERROR(UPPER(TRIM(B2155))&amp;"|"&amp;UPPER(TRIM(C2155))&amp;"|"&amp;UPPER(TRIM(D2155)),"")</f>
        <v/>
      </c>
    </row>
    <row r="2156" ht="15.75" customHeight="1" s="217">
      <c r="A2156" s="397" t="n">
        <v>2154</v>
      </c>
      <c r="B2156" s="397" t="inlineStr">
        <is>
          <t>KH1576</t>
        </is>
      </c>
      <c r="C2156" s="398" t="inlineStr">
        <is>
          <t>Bãi máy Anh út - Biên Hoà / 0949.519.772</t>
        </is>
      </c>
      <c r="D2156" s="397" t="inlineStr">
        <is>
          <t>0949.519.772</t>
        </is>
      </c>
      <c r="E2156" s="399" t="n"/>
      <c r="F2156" s="398" t="inlineStr">
        <is>
          <t>Biên Hoà</t>
        </is>
      </c>
      <c r="G2156" s="397" t="inlineStr">
        <is>
          <t>ÐNAI</t>
        </is>
      </c>
      <c r="H2156" s="399" t="n"/>
      <c r="J2156" s="392">
        <f>IFERROR(UPPER(TRIM(B2156))&amp;"|"&amp;UPPER(TRIM(C2156))&amp;"|"&amp;UPPER(TRIM(D2156)),"")</f>
        <v/>
      </c>
    </row>
    <row r="2157" ht="15.75" customHeight="1" s="217">
      <c r="A2157" s="400" t="n">
        <v>2155</v>
      </c>
      <c r="B2157" s="400" t="inlineStr">
        <is>
          <t>KH1577</t>
        </is>
      </c>
      <c r="C2157" s="401" t="inlineStr">
        <is>
          <t>Công ty Tân Phú Phát Đạt - Suối Tiên/0909.027.348</t>
        </is>
      </c>
      <c r="D2157" s="400" t="inlineStr">
        <is>
          <t>0909.027.348</t>
        </is>
      </c>
      <c r="E2157" s="402" t="n"/>
      <c r="F2157" s="401" t="inlineStr">
        <is>
          <t>Suối Tiên</t>
        </is>
      </c>
      <c r="G2157" s="402" t="n"/>
      <c r="H2157" s="402" t="n"/>
      <c r="J2157" s="392">
        <f>IFERROR(UPPER(TRIM(B2157))&amp;"|"&amp;UPPER(TRIM(C2157))&amp;"|"&amp;UPPER(TRIM(D2157)),"")</f>
        <v/>
      </c>
    </row>
    <row r="2158" ht="15.75" customHeight="1" s="217">
      <c r="A2158" s="397" t="n">
        <v>2156</v>
      </c>
      <c r="B2158" s="397" t="inlineStr">
        <is>
          <t>KH1575</t>
        </is>
      </c>
      <c r="C2158" s="398" t="inlineStr">
        <is>
          <t>Bãi máy Bon Chen - Biên Hoà / 0983.009.333</t>
        </is>
      </c>
      <c r="D2158" s="397" t="inlineStr">
        <is>
          <t>0983.009.333</t>
        </is>
      </c>
      <c r="E2158" s="399" t="n"/>
      <c r="F2158" s="398" t="inlineStr">
        <is>
          <t>gần cầu mới Biên Hoà</t>
        </is>
      </c>
      <c r="G2158" s="397" t="inlineStr">
        <is>
          <t>ÐNAI</t>
        </is>
      </c>
      <c r="H2158" s="399" t="n"/>
      <c r="J2158" s="392">
        <f>IFERROR(UPPER(TRIM(B2158))&amp;"|"&amp;UPPER(TRIM(C2158))&amp;"|"&amp;UPPER(TRIM(D2158)),"")</f>
        <v/>
      </c>
    </row>
    <row r="2159" ht="15.75" customHeight="1" s="217">
      <c r="A2159" s="400" t="n">
        <v>2157</v>
      </c>
      <c r="B2159" s="400" t="inlineStr">
        <is>
          <t>KH1574</t>
        </is>
      </c>
      <c r="C2159" s="401" t="inlineStr">
        <is>
          <t>Anh Đô - Long Khánh, Đồng Nai / 0913.756.734</t>
        </is>
      </c>
      <c r="D2159" s="400" t="inlineStr">
        <is>
          <t>0913.756.734</t>
        </is>
      </c>
      <c r="E2159" s="402" t="n"/>
      <c r="F2159" s="401" t="inlineStr">
        <is>
          <t>Đồng Nai</t>
        </is>
      </c>
      <c r="G2159" s="400" t="inlineStr">
        <is>
          <t>ÐNAI</t>
        </is>
      </c>
      <c r="H2159" s="402" t="n"/>
      <c r="J2159" s="392">
        <f>IFERROR(UPPER(TRIM(B2159))&amp;"|"&amp;UPPER(TRIM(C2159))&amp;"|"&amp;UPPER(TRIM(D2159)),"")</f>
        <v/>
      </c>
    </row>
    <row r="2160" ht="15.75" customHeight="1" s="217">
      <c r="A2160" s="397" t="n">
        <v>2158</v>
      </c>
      <c r="B2160" s="397" t="inlineStr">
        <is>
          <t>KH1573</t>
        </is>
      </c>
      <c r="C2160" s="398" t="inlineStr">
        <is>
          <t>Anh Hân - Kontum / 0987.874.353</t>
        </is>
      </c>
      <c r="D2160" s="397" t="inlineStr">
        <is>
          <t>0987.874.353</t>
        </is>
      </c>
      <c r="E2160" s="399" t="n"/>
      <c r="F2160" s="398" t="inlineStr">
        <is>
          <t>Kon Tum</t>
        </is>
      </c>
      <c r="G2160" s="397" t="inlineStr">
        <is>
          <t>KTUM</t>
        </is>
      </c>
      <c r="H2160" s="399" t="n"/>
      <c r="J2160" s="392">
        <f>IFERROR(UPPER(TRIM(B2160))&amp;"|"&amp;UPPER(TRIM(C2160))&amp;"|"&amp;UPPER(TRIM(D2160)),"")</f>
        <v/>
      </c>
    </row>
    <row r="2161" ht="15.75" customHeight="1" s="217">
      <c r="A2161" s="400" t="n">
        <v>2159</v>
      </c>
      <c r="B2161" s="400" t="inlineStr">
        <is>
          <t>KH1569</t>
        </is>
      </c>
      <c r="C2161" s="401" t="inlineStr">
        <is>
          <t>Cửa hàng Minh Chiến - Cà Mau/ ĐT:0914.545.222</t>
        </is>
      </c>
      <c r="D2161" s="400" t="inlineStr">
        <is>
          <t>0914.545.222</t>
        </is>
      </c>
      <c r="E2161" s="402" t="n"/>
      <c r="F2161" s="401" t="inlineStr">
        <is>
          <t>Cà Mau</t>
        </is>
      </c>
      <c r="G2161" s="400" t="inlineStr">
        <is>
          <t>CMAU</t>
        </is>
      </c>
      <c r="H2161" s="402" t="n"/>
      <c r="J2161" s="392">
        <f>IFERROR(UPPER(TRIM(B2161))&amp;"|"&amp;UPPER(TRIM(C2161))&amp;"|"&amp;UPPER(TRIM(D2161)),"")</f>
        <v/>
      </c>
    </row>
    <row r="2162" ht="15.75" customHeight="1" s="217">
      <c r="A2162" s="397" t="n">
        <v>2160</v>
      </c>
      <c r="B2162" s="397" t="inlineStr">
        <is>
          <t>KH1570</t>
        </is>
      </c>
      <c r="C2162" s="398" t="inlineStr">
        <is>
          <t>Xưởng Chú Vũ -  Sóc Trăng / 0906.913.030</t>
        </is>
      </c>
      <c r="D2162" s="397" t="inlineStr">
        <is>
          <t>0906.913.030</t>
        </is>
      </c>
      <c r="E2162" s="399" t="n"/>
      <c r="F2162" s="398" t="inlineStr">
        <is>
          <t>Sóc Trăng</t>
        </is>
      </c>
      <c r="G2162" s="397" t="inlineStr">
        <is>
          <t>STRANG</t>
        </is>
      </c>
      <c r="H2162" s="399" t="n"/>
      <c r="J2162" s="392">
        <f>IFERROR(UPPER(TRIM(B2162))&amp;"|"&amp;UPPER(TRIM(C2162))&amp;"|"&amp;UPPER(TRIM(D2162)),"")</f>
        <v/>
      </c>
    </row>
    <row r="2163" ht="15.75" customHeight="1" s="217">
      <c r="A2163" s="400" t="n">
        <v>2161</v>
      </c>
      <c r="B2163" s="400" t="inlineStr">
        <is>
          <t>KH1571</t>
        </is>
      </c>
      <c r="C2163" s="401" t="inlineStr">
        <is>
          <t>Xưởng Anh Tâm - Vĩnh Long / 0919.787.836</t>
        </is>
      </c>
      <c r="D2163" s="400" t="inlineStr">
        <is>
          <t>0919.787.836</t>
        </is>
      </c>
      <c r="E2163" s="402" t="n"/>
      <c r="F2163" s="401" t="inlineStr">
        <is>
          <t>Vĩnh Long</t>
        </is>
      </c>
      <c r="G2163" s="400" t="inlineStr">
        <is>
          <t>VĨNH LONG</t>
        </is>
      </c>
      <c r="H2163" s="402" t="n"/>
      <c r="J2163" s="392">
        <f>IFERROR(UPPER(TRIM(B2163))&amp;"|"&amp;UPPER(TRIM(C2163))&amp;"|"&amp;UPPER(TRIM(D2163)),"")</f>
        <v/>
      </c>
    </row>
    <row r="2164" ht="15.75" customHeight="1" s="217">
      <c r="A2164" s="397" t="n">
        <v>2162</v>
      </c>
      <c r="B2164" s="397" t="inlineStr">
        <is>
          <t>KH1572</t>
        </is>
      </c>
      <c r="C2164" s="398" t="inlineStr">
        <is>
          <t>Hợp tác xã Phước Lộc - Bình Dương/ Anh Tuấn - 0913.951.909</t>
        </is>
      </c>
      <c r="D2164" s="397" t="inlineStr">
        <is>
          <t>0913.951.909</t>
        </is>
      </c>
      <c r="E2164" s="399" t="n"/>
      <c r="F2164" s="398" t="inlineStr">
        <is>
          <t>Thường Tân - Bắc Tân Uyên - Bình Dương</t>
        </is>
      </c>
      <c r="G2164" s="397" t="inlineStr">
        <is>
          <t>BDUONG</t>
        </is>
      </c>
      <c r="H2164" s="399" t="n"/>
      <c r="J2164" s="392">
        <f>IFERROR(UPPER(TRIM(B2164))&amp;"|"&amp;UPPER(TRIM(C2164))&amp;"|"&amp;UPPER(TRIM(D2164)),"")</f>
        <v/>
      </c>
    </row>
    <row r="2165" ht="15.75" customHeight="1" s="217">
      <c r="A2165" s="400" t="n">
        <v>2163</v>
      </c>
      <c r="B2165" s="400" t="inlineStr">
        <is>
          <t>KH1568</t>
        </is>
      </c>
      <c r="C2165" s="401" t="inlineStr">
        <is>
          <t>Anh Phương - Phú Quốc/ 01699.899.997</t>
        </is>
      </c>
      <c r="D2165" s="400" t="inlineStr">
        <is>
          <t>01699.899.997</t>
        </is>
      </c>
      <c r="E2165" s="402" t="n"/>
      <c r="F2165" s="401" t="inlineStr">
        <is>
          <t>Phú Quốc</t>
        </is>
      </c>
      <c r="G2165" s="402" t="n"/>
      <c r="H2165" s="402" t="n"/>
      <c r="J2165" s="392">
        <f>IFERROR(UPPER(TRIM(B2165))&amp;"|"&amp;UPPER(TRIM(C2165))&amp;"|"&amp;UPPER(TRIM(D2165)),"")</f>
        <v/>
      </c>
    </row>
    <row r="2166" ht="15.75" customHeight="1" s="217">
      <c r="A2166" s="397" t="n">
        <v>2164</v>
      </c>
      <c r="B2166" s="397" t="inlineStr">
        <is>
          <t>KH1566</t>
        </is>
      </c>
      <c r="C2166" s="398" t="inlineStr">
        <is>
          <t>Anh Nhân - Bình Dương / 0989.151.279</t>
        </is>
      </c>
      <c r="D2166" s="397" t="inlineStr">
        <is>
          <t>0989.151.279</t>
        </is>
      </c>
      <c r="E2166" s="399" t="n"/>
      <c r="F2166" s="398" t="inlineStr">
        <is>
          <t>Bình Dương</t>
        </is>
      </c>
      <c r="G2166" s="397" t="inlineStr">
        <is>
          <t>BDUONG</t>
        </is>
      </c>
      <c r="H2166" s="399" t="n"/>
      <c r="J2166" s="392">
        <f>IFERROR(UPPER(TRIM(B2166))&amp;"|"&amp;UPPER(TRIM(C2166))&amp;"|"&amp;UPPER(TRIM(D2166)),"")</f>
        <v/>
      </c>
    </row>
    <row r="2167" ht="15.75" customHeight="1" s="217">
      <c r="A2167" s="400" t="n">
        <v>2165</v>
      </c>
      <c r="B2167" s="400" t="inlineStr">
        <is>
          <t>KH1567</t>
        </is>
      </c>
      <c r="C2167" s="401" t="inlineStr">
        <is>
          <t>Anh Dũng - Ngã tư Bình Thái / 0903.813.939</t>
        </is>
      </c>
      <c r="D2167" s="400" t="inlineStr">
        <is>
          <t>0903.813.939</t>
        </is>
      </c>
      <c r="E2167" s="402" t="n"/>
      <c r="F2167" s="401" t="inlineStr">
        <is>
          <t>Thủ Đức</t>
        </is>
      </c>
      <c r="G2167" s="400" t="inlineStr">
        <is>
          <t>SG/HCM</t>
        </is>
      </c>
      <c r="H2167" s="402" t="n"/>
      <c r="J2167" s="392">
        <f>IFERROR(UPPER(TRIM(B2167))&amp;"|"&amp;UPPER(TRIM(C2167))&amp;"|"&amp;UPPER(TRIM(D2167)),"")</f>
        <v/>
      </c>
    </row>
    <row r="2168" ht="15.75" customHeight="1" s="217">
      <c r="A2168" s="397" t="n">
        <v>2166</v>
      </c>
      <c r="B2168" s="397" t="inlineStr">
        <is>
          <t>HZ</t>
        </is>
      </c>
      <c r="C2168" s="398" t="inlineStr">
        <is>
          <t>NINGBO HUANGZUAN MACHINERY CO., LTD</t>
        </is>
      </c>
      <c r="D2168" s="399" t="n"/>
      <c r="E2168" s="399" t="n"/>
      <c r="F2168" s="398" t="inlineStr">
        <is>
          <t>China</t>
        </is>
      </c>
      <c r="G2168" s="399" t="n"/>
      <c r="H2168" s="399" t="n"/>
      <c r="J2168" s="392">
        <f>IFERROR(UPPER(TRIM(B2168))&amp;"|"&amp;UPPER(TRIM(C2168))&amp;"|"&amp;UPPER(TRIM(D2168)),"")</f>
        <v/>
      </c>
    </row>
    <row r="2169" ht="15.75" customHeight="1" s="217">
      <c r="A2169" s="400" t="n">
        <v>2167</v>
      </c>
      <c r="B2169" s="400" t="inlineStr">
        <is>
          <t>KH1564</t>
        </is>
      </c>
      <c r="C2169" s="401" t="inlineStr">
        <is>
          <t>Bãi Máy Hùng Hải - Cà Mau/ 0972.949.494</t>
        </is>
      </c>
      <c r="D2169" s="400" t="inlineStr">
        <is>
          <t>0972.949.494</t>
        </is>
      </c>
      <c r="E2169" s="402" t="n"/>
      <c r="F2169" s="401" t="inlineStr">
        <is>
          <t>Cà Mau</t>
        </is>
      </c>
      <c r="G2169" s="400" t="inlineStr">
        <is>
          <t>CMAU</t>
        </is>
      </c>
      <c r="H2169" s="402" t="n"/>
      <c r="J2169" s="392">
        <f>IFERROR(UPPER(TRIM(B2169))&amp;"|"&amp;UPPER(TRIM(C2169))&amp;"|"&amp;UPPER(TRIM(D2169)),"")</f>
        <v/>
      </c>
    </row>
    <row r="2170" ht="15.75" customHeight="1" s="217">
      <c r="A2170" s="397" t="n">
        <v>2168</v>
      </c>
      <c r="B2170" s="397" t="inlineStr">
        <is>
          <t>KH1562</t>
        </is>
      </c>
      <c r="C2170" s="398" t="inlineStr">
        <is>
          <t>Cty Trần Trân - SG / ANh Khanh - 0918.454.101</t>
        </is>
      </c>
      <c r="D2170" s="397" t="inlineStr">
        <is>
          <t>0918.454.101</t>
        </is>
      </c>
      <c r="E2170" s="399" t="n"/>
      <c r="F2170" s="398" t="inlineStr">
        <is>
          <t>SG</t>
        </is>
      </c>
      <c r="G2170" s="397" t="inlineStr">
        <is>
          <t>SG/HCM</t>
        </is>
      </c>
      <c r="H2170" s="399" t="n"/>
      <c r="J2170" s="392">
        <f>IFERROR(UPPER(TRIM(B2170))&amp;"|"&amp;UPPER(TRIM(C2170))&amp;"|"&amp;UPPER(TRIM(D2170)),"")</f>
        <v/>
      </c>
    </row>
    <row r="2171" ht="15.75" customHeight="1" s="217">
      <c r="A2171" s="400" t="n">
        <v>2169</v>
      </c>
      <c r="B2171" s="400" t="inlineStr">
        <is>
          <t>KH1563</t>
        </is>
      </c>
      <c r="C2171" s="401" t="inlineStr">
        <is>
          <t>BM Phú Điền - Bình Chánh / 0918.881.567</t>
        </is>
      </c>
      <c r="D2171" s="400" t="inlineStr">
        <is>
          <t>0918.881.567</t>
        </is>
      </c>
      <c r="E2171" s="402" t="n"/>
      <c r="F2171" s="401" t="inlineStr">
        <is>
          <t>gần BM Nhật Tuấn, Bình Chánh</t>
        </is>
      </c>
      <c r="G2171" s="400" t="inlineStr">
        <is>
          <t>SG/HCM</t>
        </is>
      </c>
      <c r="H2171" s="402" t="n"/>
      <c r="J2171" s="392">
        <f>IFERROR(UPPER(TRIM(B2171))&amp;"|"&amp;UPPER(TRIM(C2171))&amp;"|"&amp;UPPER(TRIM(D2171)),"")</f>
        <v/>
      </c>
    </row>
    <row r="2172" ht="15.75" customHeight="1" s="217">
      <c r="A2172" s="397" t="n">
        <v>2170</v>
      </c>
      <c r="B2172" s="397" t="inlineStr">
        <is>
          <t>KH1557</t>
        </is>
      </c>
      <c r="C2172" s="398" t="inlineStr">
        <is>
          <t>Anh Trí - Kiên Giang / 0949.396.964</t>
        </is>
      </c>
      <c r="D2172" s="397" t="inlineStr">
        <is>
          <t>0949.396.964</t>
        </is>
      </c>
      <c r="E2172" s="399" t="n"/>
      <c r="F2172" s="398" t="inlineStr">
        <is>
          <t>Kiên Giang</t>
        </is>
      </c>
      <c r="G2172" s="397" t="inlineStr">
        <is>
          <t>KG</t>
        </is>
      </c>
      <c r="H2172" s="399" t="n"/>
      <c r="J2172" s="392">
        <f>IFERROR(UPPER(TRIM(B2172))&amp;"|"&amp;UPPER(TRIM(C2172))&amp;"|"&amp;UPPER(TRIM(D2172)),"")</f>
        <v/>
      </c>
    </row>
    <row r="2173" ht="15.75" customHeight="1" s="217">
      <c r="A2173" s="400" t="n">
        <v>2171</v>
      </c>
      <c r="B2173" s="400" t="inlineStr">
        <is>
          <t>KH1558</t>
        </is>
      </c>
      <c r="C2173" s="401" t="inlineStr">
        <is>
          <t>Anh Nam - Biên Hòa / 0985.077.380</t>
        </is>
      </c>
      <c r="D2173" s="400" t="inlineStr">
        <is>
          <t>0985.077.380</t>
        </is>
      </c>
      <c r="E2173" s="402" t="n"/>
      <c r="F2173" s="401" t="inlineStr">
        <is>
          <t>Biên Hòa, Đồng Nai</t>
        </is>
      </c>
      <c r="G2173" s="400" t="inlineStr">
        <is>
          <t>ÐNAI</t>
        </is>
      </c>
      <c r="H2173" s="402" t="n"/>
      <c r="J2173" s="392">
        <f>IFERROR(UPPER(TRIM(B2173))&amp;"|"&amp;UPPER(TRIM(C2173))&amp;"|"&amp;UPPER(TRIM(D2173)),"")</f>
        <v/>
      </c>
    </row>
    <row r="2174" ht="15.75" customHeight="1" s="217">
      <c r="A2174" s="397" t="n">
        <v>2172</v>
      </c>
      <c r="B2174" s="397" t="inlineStr">
        <is>
          <t>KH1559</t>
        </is>
      </c>
      <c r="C2174" s="398" t="inlineStr">
        <is>
          <t>Cty Thành Tiên - Bình Dương / Anh Trọng - 0974.446545</t>
        </is>
      </c>
      <c r="D2174" s="397" t="inlineStr">
        <is>
          <t>0974.446545</t>
        </is>
      </c>
      <c r="E2174" s="399" t="n"/>
      <c r="F2174" s="398" t="inlineStr">
        <is>
          <t>Bình Dương</t>
        </is>
      </c>
      <c r="G2174" s="397" t="inlineStr">
        <is>
          <t>BDUONG</t>
        </is>
      </c>
      <c r="H2174" s="399" t="n"/>
      <c r="J2174" s="392">
        <f>IFERROR(UPPER(TRIM(B2174))&amp;"|"&amp;UPPER(TRIM(C2174))&amp;"|"&amp;UPPER(TRIM(D2174)),"")</f>
        <v/>
      </c>
    </row>
    <row r="2175" ht="15.75" customHeight="1" s="217">
      <c r="A2175" s="400" t="n">
        <v>2173</v>
      </c>
      <c r="B2175" s="400" t="inlineStr">
        <is>
          <t>KH1553</t>
        </is>
      </c>
      <c r="C2175" s="401" t="inlineStr">
        <is>
          <t>Công Ty Tấn Phát - Kontum/ 0982.944.991</t>
        </is>
      </c>
      <c r="D2175" s="400" t="inlineStr">
        <is>
          <t>0982.944.991</t>
        </is>
      </c>
      <c r="E2175" s="402" t="n"/>
      <c r="F2175" s="401" t="inlineStr">
        <is>
          <t>Kontum</t>
        </is>
      </c>
      <c r="G2175" s="400" t="inlineStr">
        <is>
          <t>KTUM</t>
        </is>
      </c>
      <c r="H2175" s="402" t="n"/>
      <c r="J2175" s="392">
        <f>IFERROR(UPPER(TRIM(B2175))&amp;"|"&amp;UPPER(TRIM(C2175))&amp;"|"&amp;UPPER(TRIM(D2175)),"")</f>
        <v/>
      </c>
    </row>
    <row r="2176" ht="15.75" customHeight="1" s="217">
      <c r="A2176" s="397" t="n">
        <v>2174</v>
      </c>
      <c r="B2176" s="397" t="inlineStr">
        <is>
          <t>KH1554</t>
        </is>
      </c>
      <c r="C2176" s="398" t="inlineStr">
        <is>
          <t>CH Nguyên Khánh - Phú Quốc / 0939.276.866, Anh Toàn - 0937.744.188</t>
        </is>
      </c>
      <c r="D2176" s="397" t="inlineStr">
        <is>
          <t>0939.276.866 / 0937.744.188</t>
        </is>
      </c>
      <c r="E2176" s="399" t="n"/>
      <c r="F2176" s="398" t="inlineStr">
        <is>
          <t>Phú Quốc</t>
        </is>
      </c>
      <c r="G2176" s="397" t="inlineStr">
        <is>
          <t>KG</t>
        </is>
      </c>
      <c r="H2176" s="399" t="n"/>
      <c r="J2176" s="392">
        <f>IFERROR(UPPER(TRIM(B2176))&amp;"|"&amp;UPPER(TRIM(C2176))&amp;"|"&amp;UPPER(TRIM(D2176)),"")</f>
        <v/>
      </c>
    </row>
    <row r="2177" ht="15.75" customHeight="1" s="217">
      <c r="A2177" s="400" t="n">
        <v>2175</v>
      </c>
      <c r="B2177" s="400" t="inlineStr">
        <is>
          <t>KH1555</t>
        </is>
      </c>
      <c r="C2177" s="401" t="inlineStr">
        <is>
          <t>Anh Vũ -Quảng Nam/ 0914.545.377</t>
        </is>
      </c>
      <c r="D2177" s="400" t="inlineStr">
        <is>
          <t>0914.545.377</t>
        </is>
      </c>
      <c r="E2177" s="402" t="n"/>
      <c r="F2177" s="401" t="inlineStr">
        <is>
          <t>TP. Tam Kỳ - Quảng Nam</t>
        </is>
      </c>
      <c r="G2177" s="400" t="inlineStr">
        <is>
          <t>QNAM</t>
        </is>
      </c>
      <c r="H2177" s="402" t="n"/>
      <c r="J2177" s="392">
        <f>IFERROR(UPPER(TRIM(B2177))&amp;"|"&amp;UPPER(TRIM(C2177))&amp;"|"&amp;UPPER(TRIM(D2177)),"")</f>
        <v/>
      </c>
    </row>
    <row r="2178" ht="15.75" customHeight="1" s="217">
      <c r="A2178" s="397" t="n">
        <v>2176</v>
      </c>
      <c r="B2178" s="397" t="inlineStr">
        <is>
          <t>KH1556</t>
        </is>
      </c>
      <c r="C2178" s="398" t="inlineStr">
        <is>
          <t>Anh Tuấn - Phú Quốc/ 0913.191.442</t>
        </is>
      </c>
      <c r="D2178" s="397" t="inlineStr">
        <is>
          <t>0913.191.442</t>
        </is>
      </c>
      <c r="E2178" s="399" t="n"/>
      <c r="F2178" s="398" t="inlineStr">
        <is>
          <t>Phú Quốc - Kiên Giang</t>
        </is>
      </c>
      <c r="G2178" s="397" t="inlineStr">
        <is>
          <t>KG</t>
        </is>
      </c>
      <c r="H2178" s="399" t="n"/>
      <c r="J2178" s="392">
        <f>IFERROR(UPPER(TRIM(B2178))&amp;"|"&amp;UPPER(TRIM(C2178))&amp;"|"&amp;UPPER(TRIM(D2178)),"")</f>
        <v/>
      </c>
    </row>
    <row r="2179" ht="15.75" customHeight="1" s="217">
      <c r="A2179" s="400" t="n">
        <v>2177</v>
      </c>
      <c r="B2179" s="400" t="inlineStr">
        <is>
          <t>KH1552</t>
        </is>
      </c>
      <c r="C2179" s="401" t="inlineStr">
        <is>
          <t>Anh Hải - Đăk Nông / 0919.379.294</t>
        </is>
      </c>
      <c r="D2179" s="400" t="inlineStr">
        <is>
          <t>0919.379.294</t>
        </is>
      </c>
      <c r="E2179" s="402" t="n"/>
      <c r="F2179" s="401" t="inlineStr">
        <is>
          <t>Đăk Nông</t>
        </is>
      </c>
      <c r="G2179" s="400" t="inlineStr">
        <is>
          <t>DNONG</t>
        </is>
      </c>
      <c r="H2179" s="402" t="n"/>
      <c r="J2179" s="392">
        <f>IFERROR(UPPER(TRIM(B2179))&amp;"|"&amp;UPPER(TRIM(C2179))&amp;"|"&amp;UPPER(TRIM(D2179)),"")</f>
        <v/>
      </c>
    </row>
    <row r="2180" ht="15.75" customHeight="1" s="217">
      <c r="A2180" s="397" t="n">
        <v>2178</v>
      </c>
      <c r="B2180" s="397" t="inlineStr">
        <is>
          <t>KH1551</t>
        </is>
      </c>
      <c r="C2180" s="398" t="inlineStr">
        <is>
          <t>Anh Sơn - An Phú Đông-Q.12 / 0986.434.319</t>
        </is>
      </c>
      <c r="D2180" s="397" t="inlineStr">
        <is>
          <t>0986.434.319</t>
        </is>
      </c>
      <c r="E2180" s="399" t="n"/>
      <c r="F2180" s="398" t="inlineStr">
        <is>
          <t>Gần Vườn Lài</t>
        </is>
      </c>
      <c r="G2180" s="397" t="inlineStr">
        <is>
          <t>SG/HCM</t>
        </is>
      </c>
      <c r="H2180" s="399" t="n"/>
      <c r="J2180" s="392">
        <f>IFERROR(UPPER(TRIM(B2180))&amp;"|"&amp;UPPER(TRIM(C2180))&amp;"|"&amp;UPPER(TRIM(D2180)),"")</f>
        <v/>
      </c>
    </row>
    <row r="2181" ht="15.75" customHeight="1" s="217">
      <c r="A2181" s="400" t="n">
        <v>2179</v>
      </c>
      <c r="B2181" s="400" t="inlineStr">
        <is>
          <t>YJF</t>
        </is>
      </c>
      <c r="C2181" s="401" t="inlineStr">
        <is>
          <t>Lá xích mới</t>
        </is>
      </c>
      <c r="D2181" s="402" t="n"/>
      <c r="E2181" s="402" t="n"/>
      <c r="F2181" s="401" t="inlineStr">
        <is>
          <t>China</t>
        </is>
      </c>
      <c r="G2181" s="402" t="n"/>
      <c r="H2181" s="402" t="n"/>
      <c r="J2181" s="392">
        <f>IFERROR(UPPER(TRIM(B2181))&amp;"|"&amp;UPPER(TRIM(C2181))&amp;"|"&amp;UPPER(TRIM(D2181)),"")</f>
        <v/>
      </c>
    </row>
    <row r="2182" ht="15.75" customHeight="1" s="217">
      <c r="A2182" s="397" t="n">
        <v>2180</v>
      </c>
      <c r="B2182" s="397" t="inlineStr">
        <is>
          <t>KH1550</t>
        </is>
      </c>
      <c r="C2182" s="398" t="inlineStr">
        <is>
          <t>Anh Lâm - Di Linh / 0984.951.865</t>
        </is>
      </c>
      <c r="D2182" s="397" t="inlineStr">
        <is>
          <t>0984.951.865</t>
        </is>
      </c>
      <c r="E2182" s="399" t="n"/>
      <c r="F2182" s="398" t="inlineStr">
        <is>
          <t>Di Linh - Lâm Đồng</t>
        </is>
      </c>
      <c r="G2182" s="397" t="inlineStr">
        <is>
          <t>LDONG</t>
        </is>
      </c>
      <c r="H2182" s="399" t="n"/>
      <c r="J2182" s="392">
        <f>IFERROR(UPPER(TRIM(B2182))&amp;"|"&amp;UPPER(TRIM(C2182))&amp;"|"&amp;UPPER(TRIM(D2182)),"")</f>
        <v/>
      </c>
    </row>
    <row r="2183" ht="15.75" customHeight="1" s="217">
      <c r="A2183" s="400" t="n">
        <v>2181</v>
      </c>
      <c r="B2183" s="400" t="inlineStr">
        <is>
          <t>KH1549</t>
        </is>
      </c>
      <c r="C2183" s="401" t="inlineStr">
        <is>
          <t>Công ty Giang Minh Sơn - Nam Định / 0901.309.585</t>
        </is>
      </c>
      <c r="D2183" s="400" t="inlineStr">
        <is>
          <t>0901.309.585</t>
        </is>
      </c>
      <c r="E2183" s="402" t="n"/>
      <c r="F2183" s="401" t="inlineStr">
        <is>
          <t>Xóm 11 xã Xuân Thuỷ, H.Xuân Trường, T.Nam Định</t>
        </is>
      </c>
      <c r="G2183" s="400" t="inlineStr">
        <is>
          <t>HN</t>
        </is>
      </c>
      <c r="H2183" s="402" t="n"/>
      <c r="J2183" s="392">
        <f>IFERROR(UPPER(TRIM(B2183))&amp;"|"&amp;UPPER(TRIM(C2183))&amp;"|"&amp;UPPER(TRIM(D2183)),"")</f>
        <v/>
      </c>
    </row>
    <row r="2184" ht="15.75" customHeight="1" s="217">
      <c r="A2184" s="397" t="n">
        <v>2182</v>
      </c>
      <c r="B2184" s="397" t="inlineStr">
        <is>
          <t>KH1547</t>
        </is>
      </c>
      <c r="C2184" s="398" t="inlineStr">
        <is>
          <t>Công ty Đa Lộc - SG / A. Văn 01697.700.777</t>
        </is>
      </c>
      <c r="D2184" s="397" t="inlineStr">
        <is>
          <t>01697.700.777</t>
        </is>
      </c>
      <c r="E2184" s="399" t="n"/>
      <c r="F2184" s="398" t="inlineStr">
        <is>
          <t>SG</t>
        </is>
      </c>
      <c r="G2184" s="397" t="inlineStr">
        <is>
          <t>SG/HCM</t>
        </is>
      </c>
      <c r="H2184" s="399" t="n"/>
      <c r="J2184" s="392">
        <f>IFERROR(UPPER(TRIM(B2184))&amp;"|"&amp;UPPER(TRIM(C2184))&amp;"|"&amp;UPPER(TRIM(D2184)),"")</f>
        <v/>
      </c>
    </row>
    <row r="2185" ht="15.75" customHeight="1" s="217">
      <c r="A2185" s="400" t="n">
        <v>2183</v>
      </c>
      <c r="B2185" s="400" t="inlineStr">
        <is>
          <t>KH1548</t>
        </is>
      </c>
      <c r="C2185" s="401" t="inlineStr">
        <is>
          <t>Chị Diễm - Hòn Đất/ 0919.722.626</t>
        </is>
      </c>
      <c r="D2185" s="400" t="inlineStr">
        <is>
          <t>0919.722.626</t>
        </is>
      </c>
      <c r="E2185" s="402" t="n"/>
      <c r="F2185" s="401" t="inlineStr">
        <is>
          <t>Hòn Đất - Kiên Giang</t>
        </is>
      </c>
      <c r="G2185" s="400" t="inlineStr">
        <is>
          <t>KG</t>
        </is>
      </c>
      <c r="H2185" s="402" t="n"/>
      <c r="J2185" s="392">
        <f>IFERROR(UPPER(TRIM(B2185))&amp;"|"&amp;UPPER(TRIM(C2185))&amp;"|"&amp;UPPER(TRIM(D2185)),"")</f>
        <v/>
      </c>
    </row>
    <row r="2186" ht="15.75" customHeight="1" s="217">
      <c r="A2186" s="397" t="n">
        <v>2184</v>
      </c>
      <c r="B2186" s="397" t="inlineStr">
        <is>
          <t>KH1546</t>
        </is>
      </c>
      <c r="C2186" s="398" t="inlineStr">
        <is>
          <t>Anh Tuấn - Đồng Nai / 0912.140.003</t>
        </is>
      </c>
      <c r="D2186" s="397" t="inlineStr">
        <is>
          <t>0912.140.003</t>
        </is>
      </c>
      <c r="E2186" s="399" t="n"/>
      <c r="F2186" s="398" t="inlineStr">
        <is>
          <t>Xuân Lộc, Đồng Nai</t>
        </is>
      </c>
      <c r="G2186" s="397" t="inlineStr">
        <is>
          <t>ÐNAI</t>
        </is>
      </c>
      <c r="H2186" s="399" t="n"/>
      <c r="J2186" s="392">
        <f>IFERROR(UPPER(TRIM(B2186))&amp;"|"&amp;UPPER(TRIM(C2186))&amp;"|"&amp;UPPER(TRIM(D2186)),"")</f>
        <v/>
      </c>
    </row>
    <row r="2187" ht="15.75" customHeight="1" s="217">
      <c r="A2187" s="400" t="n">
        <v>2185</v>
      </c>
      <c r="B2187" s="400" t="inlineStr">
        <is>
          <t>KH1545</t>
        </is>
      </c>
      <c r="C2187" s="401" t="inlineStr">
        <is>
          <t>Cửa Hàng Lê Dũng - Phú Quốc/ 0915.397.334</t>
        </is>
      </c>
      <c r="D2187" s="400" t="inlineStr">
        <is>
          <t>0915.397.334</t>
        </is>
      </c>
      <c r="E2187" s="402" t="n"/>
      <c r="F2187" s="401" t="inlineStr">
        <is>
          <t>Phú Quốc</t>
        </is>
      </c>
      <c r="G2187" s="400" t="inlineStr">
        <is>
          <t>KG</t>
        </is>
      </c>
      <c r="H2187" s="402" t="n"/>
      <c r="J2187" s="392">
        <f>IFERROR(UPPER(TRIM(B2187))&amp;"|"&amp;UPPER(TRIM(C2187))&amp;"|"&amp;UPPER(TRIM(D2187)),"")</f>
        <v/>
      </c>
    </row>
    <row r="2188" ht="15.75" customHeight="1" s="217">
      <c r="A2188" s="397" t="n">
        <v>2186</v>
      </c>
      <c r="B2188" s="397" t="inlineStr">
        <is>
          <t>KH1543</t>
        </is>
      </c>
      <c r="C2188" s="398" t="inlineStr">
        <is>
          <t>Anh ẩn - Long An / 0981.131.345</t>
        </is>
      </c>
      <c r="D2188" s="397" t="inlineStr">
        <is>
          <t>0981.131.345</t>
        </is>
      </c>
      <c r="E2188" s="399" t="n"/>
      <c r="F2188" s="398" t="inlineStr">
        <is>
          <t>Long An</t>
        </is>
      </c>
      <c r="G2188" s="399" t="n"/>
      <c r="H2188" s="399" t="n"/>
      <c r="J2188" s="392">
        <f>IFERROR(UPPER(TRIM(B2188))&amp;"|"&amp;UPPER(TRIM(C2188))&amp;"|"&amp;UPPER(TRIM(D2188)),"")</f>
        <v/>
      </c>
    </row>
    <row r="2189" ht="15.75" customHeight="1" s="217">
      <c r="A2189" s="400" t="n">
        <v>2187</v>
      </c>
      <c r="B2189" s="400" t="inlineStr">
        <is>
          <t>KH1544</t>
        </is>
      </c>
      <c r="C2189" s="401" t="inlineStr">
        <is>
          <t>Công ty CP Thắng Đạt - Đà Lạt / A. Hùng 0983.805.414</t>
        </is>
      </c>
      <c r="D2189" s="400" t="inlineStr">
        <is>
          <t>0983.805.414</t>
        </is>
      </c>
      <c r="E2189" s="402" t="n"/>
      <c r="F2189" s="401" t="inlineStr">
        <is>
          <t>39, Nguyễn Công Trứ, P8, TP Đà Lạt</t>
        </is>
      </c>
      <c r="G2189" s="400" t="inlineStr">
        <is>
          <t>LDONG</t>
        </is>
      </c>
      <c r="H2189" s="402" t="n"/>
      <c r="J2189" s="392">
        <f>IFERROR(UPPER(TRIM(B2189))&amp;"|"&amp;UPPER(TRIM(C2189))&amp;"|"&amp;UPPER(TRIM(D2189)),"")</f>
        <v/>
      </c>
    </row>
    <row r="2190" ht="15.75" customHeight="1" s="217">
      <c r="A2190" s="397" t="n">
        <v>2188</v>
      </c>
      <c r="B2190" s="397" t="inlineStr">
        <is>
          <t>KH1542</t>
        </is>
      </c>
      <c r="C2190" s="398" t="inlineStr">
        <is>
          <t>Xưởng Duy Thông - Phú Quốc / 0966.404.253</t>
        </is>
      </c>
      <c r="D2190" s="397" t="inlineStr">
        <is>
          <t>0966.404.253</t>
        </is>
      </c>
      <c r="E2190" s="399" t="n"/>
      <c r="F2190" s="398" t="inlineStr">
        <is>
          <t>Phú Quốc</t>
        </is>
      </c>
      <c r="G2190" s="397" t="inlineStr">
        <is>
          <t>KG</t>
        </is>
      </c>
      <c r="H2190" s="399" t="n"/>
      <c r="J2190" s="392">
        <f>IFERROR(UPPER(TRIM(B2190))&amp;"|"&amp;UPPER(TRIM(C2190))&amp;"|"&amp;UPPER(TRIM(D2190)),"")</f>
        <v/>
      </c>
    </row>
    <row r="2191" ht="15.75" customHeight="1" s="217">
      <c r="A2191" s="400" t="n">
        <v>2189</v>
      </c>
      <c r="B2191" s="400" t="inlineStr">
        <is>
          <t>KH1541</t>
        </is>
      </c>
      <c r="C2191" s="401" t="inlineStr">
        <is>
          <t>Anh Thọ - Đức Trọng / 0967.879.465</t>
        </is>
      </c>
      <c r="D2191" s="400" t="inlineStr">
        <is>
          <t>0967.879.465</t>
        </is>
      </c>
      <c r="E2191" s="402" t="n"/>
      <c r="F2191" s="401" t="inlineStr">
        <is>
          <t>Ngã Ba Phi Nôm, Đức Trọng, Lâm Đồng</t>
        </is>
      </c>
      <c r="G2191" s="400" t="inlineStr">
        <is>
          <t>LDONG</t>
        </is>
      </c>
      <c r="H2191" s="402" t="n"/>
      <c r="J2191" s="392">
        <f>IFERROR(UPPER(TRIM(B2191))&amp;"|"&amp;UPPER(TRIM(C2191))&amp;"|"&amp;UPPER(TRIM(D2191)),"")</f>
        <v/>
      </c>
    </row>
    <row r="2192" ht="15.75" customHeight="1" s="217">
      <c r="A2192" s="397" t="n">
        <v>2190</v>
      </c>
      <c r="B2192" s="397" t="inlineStr">
        <is>
          <t>KH1539</t>
        </is>
      </c>
      <c r="C2192" s="398" t="inlineStr">
        <is>
          <t>Anh Cường - Gia Nghĩa/ 0964.039.439</t>
        </is>
      </c>
      <c r="D2192" s="397" t="inlineStr">
        <is>
          <t>0964.039.439</t>
        </is>
      </c>
      <c r="E2192" s="399" t="n"/>
      <c r="F2192" s="398" t="inlineStr">
        <is>
          <t>Gia Nghĩa - Đắk Nông</t>
        </is>
      </c>
      <c r="G2192" s="397" t="inlineStr">
        <is>
          <t>DNONG</t>
        </is>
      </c>
      <c r="H2192" s="399" t="n"/>
      <c r="J2192" s="392">
        <f>IFERROR(UPPER(TRIM(B2192))&amp;"|"&amp;UPPER(TRIM(C2192))&amp;"|"&amp;UPPER(TRIM(D2192)),"")</f>
        <v/>
      </c>
    </row>
    <row r="2193" ht="15.75" customHeight="1" s="217">
      <c r="A2193" s="400" t="n">
        <v>2191</v>
      </c>
      <c r="B2193" s="400" t="inlineStr">
        <is>
          <t>KH1540</t>
        </is>
      </c>
      <c r="C2193" s="401" t="inlineStr">
        <is>
          <t>Chú Ba Ngãi - SG/ 0917.227.794</t>
        </is>
      </c>
      <c r="D2193" s="400" t="inlineStr">
        <is>
          <t>0917.227.794</t>
        </is>
      </c>
      <c r="E2193" s="402" t="n"/>
      <c r="F2193" s="401" t="inlineStr">
        <is>
          <t>Linh Đông - Thủ Đức - SG</t>
        </is>
      </c>
      <c r="G2193" s="400" t="inlineStr">
        <is>
          <t>SG/HCM</t>
        </is>
      </c>
      <c r="H2193" s="402" t="n"/>
      <c r="J2193" s="392">
        <f>IFERROR(UPPER(TRIM(B2193))&amp;"|"&amp;UPPER(TRIM(C2193))&amp;"|"&amp;UPPER(TRIM(D2193)),"")</f>
        <v/>
      </c>
    </row>
    <row r="2194" ht="15.75" customHeight="1" s="217">
      <c r="A2194" s="397" t="n">
        <v>2192</v>
      </c>
      <c r="B2194" s="397" t="inlineStr">
        <is>
          <t>KH1538</t>
        </is>
      </c>
      <c r="C2194" s="398" t="inlineStr">
        <is>
          <t>Công Ty CPXD số 2 Thăng Long - Hà Nội/ 0948.566.717</t>
        </is>
      </c>
      <c r="D2194" s="397" t="inlineStr">
        <is>
          <t>0948.566.717</t>
        </is>
      </c>
      <c r="E2194" s="399" t="n"/>
      <c r="F2194" s="398" t="inlineStr">
        <is>
          <t>Từ Liêm - Hà Nội</t>
        </is>
      </c>
      <c r="G2194" s="397" t="inlineStr">
        <is>
          <t>HN</t>
        </is>
      </c>
      <c r="H2194" s="399" t="n"/>
      <c r="J2194" s="392">
        <f>IFERROR(UPPER(TRIM(B2194))&amp;"|"&amp;UPPER(TRIM(C2194))&amp;"|"&amp;UPPER(TRIM(D2194)),"")</f>
        <v/>
      </c>
    </row>
    <row r="2195" ht="15.75" customHeight="1" s="217">
      <c r="A2195" s="400" t="n">
        <v>2193</v>
      </c>
      <c r="B2195" s="400" t="inlineStr">
        <is>
          <t>KH1537</t>
        </is>
      </c>
      <c r="C2195" s="401" t="inlineStr">
        <is>
          <t>Anh Tâm - Bạc Liêu / 0943.699.943</t>
        </is>
      </c>
      <c r="D2195" s="400" t="inlineStr">
        <is>
          <t>0943.699.943</t>
        </is>
      </c>
      <c r="E2195" s="402" t="n"/>
      <c r="F2195" s="401" t="inlineStr">
        <is>
          <t>Hậu Phòng, Bạc Liêu</t>
        </is>
      </c>
      <c r="G2195" s="400" t="inlineStr">
        <is>
          <t>SG/HCM</t>
        </is>
      </c>
      <c r="H2195" s="402" t="n"/>
      <c r="J2195" s="392">
        <f>IFERROR(UPPER(TRIM(B2195))&amp;"|"&amp;UPPER(TRIM(C2195))&amp;"|"&amp;UPPER(TRIM(D2195)),"")</f>
        <v/>
      </c>
    </row>
    <row r="2196" ht="15.75" customHeight="1" s="217">
      <c r="A2196" s="397" t="n">
        <v>2194</v>
      </c>
      <c r="B2196" s="397" t="inlineStr">
        <is>
          <t>KH1535</t>
        </is>
      </c>
      <c r="C2196" s="398" t="inlineStr">
        <is>
          <t>Văn Tâm - Bình Chánh / 0907.168.093</t>
        </is>
      </c>
      <c r="D2196" s="397" t="inlineStr">
        <is>
          <t>0907.168.093</t>
        </is>
      </c>
      <c r="E2196" s="399" t="n"/>
      <c r="F2196" s="398" t="inlineStr">
        <is>
          <t>Chợ Bình Chánh - SG</t>
        </is>
      </c>
      <c r="G2196" s="397" t="inlineStr">
        <is>
          <t>KG</t>
        </is>
      </c>
      <c r="H2196" s="399" t="n"/>
      <c r="J2196" s="392">
        <f>IFERROR(UPPER(TRIM(B2196))&amp;"|"&amp;UPPER(TRIM(C2196))&amp;"|"&amp;UPPER(TRIM(D2196)),"")</f>
        <v/>
      </c>
    </row>
    <row r="2197" ht="15.75" customHeight="1" s="217">
      <c r="A2197" s="400" t="n">
        <v>2195</v>
      </c>
      <c r="B2197" s="400" t="inlineStr">
        <is>
          <t>KH1536</t>
        </is>
      </c>
      <c r="C2197" s="401" t="inlineStr">
        <is>
          <t>Anh Sang - Cầu Bình Lợi/ 0903.055.590</t>
        </is>
      </c>
      <c r="D2197" s="400" t="inlineStr">
        <is>
          <t>0903.055.590</t>
        </is>
      </c>
      <c r="E2197" s="402" t="n"/>
      <c r="F2197" s="401" t="inlineStr">
        <is>
          <t>Cầu Bình Lợi - TP.HCM</t>
        </is>
      </c>
      <c r="G2197" s="400" t="inlineStr">
        <is>
          <t>SG/HCM</t>
        </is>
      </c>
      <c r="H2197" s="402" t="n"/>
      <c r="J2197" s="392">
        <f>IFERROR(UPPER(TRIM(B2197))&amp;"|"&amp;UPPER(TRIM(C2197))&amp;"|"&amp;UPPER(TRIM(D2197)),"")</f>
        <v/>
      </c>
    </row>
    <row r="2198" ht="15.75" customHeight="1" s="217">
      <c r="A2198" s="397" t="n">
        <v>2196</v>
      </c>
      <c r="B2198" s="397" t="inlineStr">
        <is>
          <t>MN52</t>
        </is>
      </c>
      <c r="C2198" s="398" t="inlineStr">
        <is>
          <t>Thịnh - NVVC</t>
        </is>
      </c>
      <c r="D2198" s="399" t="n"/>
      <c r="E2198" s="399" t="n"/>
      <c r="F2198" s="398" t="inlineStr">
        <is>
          <t>Công Ty CPCG Miền Nam</t>
        </is>
      </c>
      <c r="G2198" s="399" t="n"/>
      <c r="H2198" s="399" t="n"/>
      <c r="J2198" s="392">
        <f>IFERROR(UPPER(TRIM(B2198))&amp;"|"&amp;UPPER(TRIM(C2198))&amp;"|"&amp;UPPER(TRIM(D2198)),"")</f>
        <v/>
      </c>
    </row>
    <row r="2199" ht="15.75" customHeight="1" s="217">
      <c r="A2199" s="400" t="n">
        <v>2197</v>
      </c>
      <c r="B2199" s="400" t="inlineStr">
        <is>
          <t>KH1533</t>
        </is>
      </c>
      <c r="C2199" s="401" t="inlineStr">
        <is>
          <t>Công Ty TNHH An Phát - Kiên Lương/ Anh Diện - 0907.262.791</t>
        </is>
      </c>
      <c r="D2199" s="400" t="inlineStr">
        <is>
          <t>0907.262.791</t>
        </is>
      </c>
      <c r="E2199" s="402" t="n"/>
      <c r="F2199" s="401" t="inlineStr">
        <is>
          <t>Kiên Lương- Kiên Giang</t>
        </is>
      </c>
      <c r="G2199" s="400" t="inlineStr">
        <is>
          <t>KG</t>
        </is>
      </c>
      <c r="H2199" s="402" t="n"/>
      <c r="J2199" s="392">
        <f>IFERROR(UPPER(TRIM(B2199))&amp;"|"&amp;UPPER(TRIM(C2199))&amp;"|"&amp;UPPER(TRIM(D2199)),"")</f>
        <v/>
      </c>
    </row>
    <row r="2200" ht="15.75" customHeight="1" s="217">
      <c r="A2200" s="397" t="n">
        <v>2198</v>
      </c>
      <c r="B2200" s="397" t="inlineStr">
        <is>
          <t>KH1534</t>
        </is>
      </c>
      <c r="C2200" s="398" t="inlineStr">
        <is>
          <t>Anh Duy - Đăk Nông/ 0976.674.343</t>
        </is>
      </c>
      <c r="D2200" s="397" t="inlineStr">
        <is>
          <t>0976.674.343</t>
        </is>
      </c>
      <c r="E2200" s="399" t="n"/>
      <c r="F2200" s="398" t="inlineStr">
        <is>
          <t>Thị xã Đăk Nông</t>
        </is>
      </c>
      <c r="G2200" s="397" t="inlineStr">
        <is>
          <t>DNONG</t>
        </is>
      </c>
      <c r="H2200" s="399" t="n"/>
      <c r="J2200" s="392">
        <f>IFERROR(UPPER(TRIM(B2200))&amp;"|"&amp;UPPER(TRIM(C2200))&amp;"|"&amp;UPPER(TRIM(D2200)),"")</f>
        <v/>
      </c>
    </row>
    <row r="2201" ht="15.75" customHeight="1" s="217">
      <c r="A2201" s="400" t="n">
        <v>2199</v>
      </c>
      <c r="B2201" s="400" t="inlineStr">
        <is>
          <t>KH1532</t>
        </is>
      </c>
      <c r="C2201" s="401" t="inlineStr">
        <is>
          <t>Anh Dân - Q9 / 0985.008.081</t>
        </is>
      </c>
      <c r="D2201" s="400" t="inlineStr">
        <is>
          <t>0985.008.081</t>
        </is>
      </c>
      <c r="E2201" s="402" t="n"/>
      <c r="F2201" s="401" t="inlineStr">
        <is>
          <t>Q9, Sài Gòn</t>
        </is>
      </c>
      <c r="G2201" s="400" t="inlineStr">
        <is>
          <t>SG/HCM</t>
        </is>
      </c>
      <c r="H2201" s="402" t="n"/>
      <c r="J2201" s="392">
        <f>IFERROR(UPPER(TRIM(B2201))&amp;"|"&amp;UPPER(TRIM(C2201))&amp;"|"&amp;UPPER(TRIM(D2201)),"")</f>
        <v/>
      </c>
    </row>
    <row r="2202" ht="15.75" customHeight="1" s="217">
      <c r="A2202" s="397" t="n">
        <v>2200</v>
      </c>
      <c r="B2202" s="397" t="inlineStr">
        <is>
          <t>KH1530</t>
        </is>
      </c>
      <c r="C2202" s="398" t="inlineStr">
        <is>
          <t>Anh Thuận - Bình Thạnh, SG / 0903.610.987</t>
        </is>
      </c>
      <c r="D2202" s="397" t="inlineStr">
        <is>
          <t>0903.610.987</t>
        </is>
      </c>
      <c r="E2202" s="399" t="n"/>
      <c r="F2202" s="398" t="inlineStr">
        <is>
          <t>132/79 Nguyễn Hữu Cảnh, Phường 22, Quận Bình Thạnh</t>
        </is>
      </c>
      <c r="G2202" s="397" t="inlineStr">
        <is>
          <t>SG/HCM</t>
        </is>
      </c>
      <c r="H2202" s="399" t="n"/>
      <c r="J2202" s="392">
        <f>IFERROR(UPPER(TRIM(B2202))&amp;"|"&amp;UPPER(TRIM(C2202))&amp;"|"&amp;UPPER(TRIM(D2202)),"")</f>
        <v/>
      </c>
    </row>
    <row r="2203" ht="15.75" customHeight="1" s="217">
      <c r="A2203" s="400" t="n">
        <v>2201</v>
      </c>
      <c r="B2203" s="400" t="inlineStr">
        <is>
          <t>KH1531</t>
        </is>
      </c>
      <c r="C2203" s="401" t="inlineStr">
        <is>
          <t>Anh Định - Bình Chánh/ 0949.740.305</t>
        </is>
      </c>
      <c r="D2203" s="400" t="inlineStr">
        <is>
          <t>0949.740.305</t>
        </is>
      </c>
      <c r="E2203" s="402" t="n"/>
      <c r="F2203" s="401" t="inlineStr">
        <is>
          <t>Bình Chánh - TP.HCM</t>
        </is>
      </c>
      <c r="G2203" s="400" t="inlineStr">
        <is>
          <t>SG/HCM</t>
        </is>
      </c>
      <c r="H2203" s="402" t="n"/>
      <c r="J2203" s="392">
        <f>IFERROR(UPPER(TRIM(B2203))&amp;"|"&amp;UPPER(TRIM(C2203))&amp;"|"&amp;UPPER(TRIM(D2203)),"")</f>
        <v/>
      </c>
    </row>
    <row r="2204" ht="15.75" customHeight="1" s="217">
      <c r="A2204" s="397" t="n">
        <v>2202</v>
      </c>
      <c r="B2204" s="397" t="inlineStr">
        <is>
          <t>KH1529</t>
        </is>
      </c>
      <c r="C2204" s="398" t="inlineStr">
        <is>
          <t>Công Ty Khánh Ngân - Bình Dương/ A. Thắng: 0989.206.111</t>
        </is>
      </c>
      <c r="D2204" s="397" t="inlineStr">
        <is>
          <t>0989.206.111</t>
        </is>
      </c>
      <c r="E2204" s="399" t="n"/>
      <c r="F2204" s="398" t="inlineStr">
        <is>
          <t>Bình Dương</t>
        </is>
      </c>
      <c r="G2204" s="397" t="inlineStr">
        <is>
          <t>BDUONG</t>
        </is>
      </c>
      <c r="H2204" s="399" t="n"/>
      <c r="J2204" s="392">
        <f>IFERROR(UPPER(TRIM(B2204))&amp;"|"&amp;UPPER(TRIM(C2204))&amp;"|"&amp;UPPER(TRIM(D2204)),"")</f>
        <v/>
      </c>
    </row>
    <row r="2205" ht="15.75" customHeight="1" s="217">
      <c r="A2205" s="400" t="n">
        <v>2203</v>
      </c>
      <c r="B2205" s="400" t="inlineStr">
        <is>
          <t>KH1528</t>
        </is>
      </c>
      <c r="C2205" s="401" t="inlineStr">
        <is>
          <t>Anh Lĩnh - Thủ Đức/ 0902.040.944</t>
        </is>
      </c>
      <c r="D2205" s="400" t="inlineStr">
        <is>
          <t>0902.040.944</t>
        </is>
      </c>
      <c r="E2205" s="402" t="n"/>
      <c r="F2205" s="401" t="inlineStr">
        <is>
          <t>Thủ Đức - TP.HCM</t>
        </is>
      </c>
      <c r="G2205" s="400" t="inlineStr">
        <is>
          <t>SG/HCM</t>
        </is>
      </c>
      <c r="H2205" s="402" t="n"/>
      <c r="J2205" s="392">
        <f>IFERROR(UPPER(TRIM(B2205))&amp;"|"&amp;UPPER(TRIM(C2205))&amp;"|"&amp;UPPER(TRIM(D2205)),"")</f>
        <v/>
      </c>
    </row>
    <row r="2206" ht="15.75" customHeight="1" s="217">
      <c r="A2206" s="397" t="n">
        <v>2204</v>
      </c>
      <c r="B2206" s="397" t="inlineStr">
        <is>
          <t>KH1526</t>
        </is>
      </c>
      <c r="C2206" s="398" t="inlineStr">
        <is>
          <t>Công TY TMCG Nhật Hưng Phát - Gò Vấp/ Anh Luận - 0963.126.227</t>
        </is>
      </c>
      <c r="D2206" s="397" t="inlineStr">
        <is>
          <t>0963.126.227</t>
        </is>
      </c>
      <c r="E2206" s="399" t="n"/>
      <c r="F2206" s="398" t="inlineStr">
        <is>
          <t>Gò Vấp - TP.HCM</t>
        </is>
      </c>
      <c r="G2206" s="397" t="inlineStr">
        <is>
          <t>SG/HCM</t>
        </is>
      </c>
      <c r="H2206" s="399" t="n"/>
      <c r="J2206" s="392">
        <f>IFERROR(UPPER(TRIM(B2206))&amp;"|"&amp;UPPER(TRIM(C2206))&amp;"|"&amp;UPPER(TRIM(D2206)),"")</f>
        <v/>
      </c>
    </row>
    <row r="2207" ht="15.75" customHeight="1" s="217">
      <c r="A2207" s="400" t="n">
        <v>2205</v>
      </c>
      <c r="B2207" s="400" t="inlineStr">
        <is>
          <t>KH1527</t>
        </is>
      </c>
      <c r="C2207" s="401" t="inlineStr">
        <is>
          <t>Công ty Hữu Lộc - Bình Thạnh / 01267.390.231 - 0909.932.937</t>
        </is>
      </c>
      <c r="D2207" s="400" t="inlineStr">
        <is>
          <t>01267.390.231 / 0909.932.937</t>
        </is>
      </c>
      <c r="E2207" s="402" t="n"/>
      <c r="F2207" s="401" t="inlineStr">
        <is>
          <t>Bình Thạnh, HCM</t>
        </is>
      </c>
      <c r="G2207" s="400" t="inlineStr">
        <is>
          <t>SG/HCM</t>
        </is>
      </c>
      <c r="H2207" s="402" t="n"/>
      <c r="J2207" s="392">
        <f>IFERROR(UPPER(TRIM(B2207))&amp;"|"&amp;UPPER(TRIM(C2207))&amp;"|"&amp;UPPER(TRIM(D2207)),"")</f>
        <v/>
      </c>
    </row>
    <row r="2208" ht="15.75" customHeight="1" s="217">
      <c r="A2208" s="397" t="n">
        <v>2206</v>
      </c>
      <c r="B2208" s="397" t="inlineStr">
        <is>
          <t>KH1525</t>
        </is>
      </c>
      <c r="C2208" s="398" t="inlineStr">
        <is>
          <t>Anh Khánh - Vĩnh Long/ 01228.862.470</t>
        </is>
      </c>
      <c r="D2208" s="397" t="inlineStr">
        <is>
          <t>01228.862.470</t>
        </is>
      </c>
      <c r="E2208" s="399" t="n"/>
      <c r="F2208" s="398" t="inlineStr">
        <is>
          <t>Vĩnh Long</t>
        </is>
      </c>
      <c r="G2208" s="397" t="inlineStr">
        <is>
          <t>VĨNH LONG</t>
        </is>
      </c>
      <c r="H2208" s="399" t="n"/>
      <c r="J2208" s="392">
        <f>IFERROR(UPPER(TRIM(B2208))&amp;"|"&amp;UPPER(TRIM(C2208))&amp;"|"&amp;UPPER(TRIM(D2208)),"")</f>
        <v/>
      </c>
    </row>
    <row r="2209" ht="15.75" customHeight="1" s="217">
      <c r="A2209" s="400" t="n">
        <v>2207</v>
      </c>
      <c r="B2209" s="400" t="inlineStr">
        <is>
          <t>KH1522</t>
        </is>
      </c>
      <c r="C2209" s="401" t="inlineStr">
        <is>
          <t>Anh Đệ - Phú Yên/ 01254.784.478</t>
        </is>
      </c>
      <c r="D2209" s="400" t="inlineStr">
        <is>
          <t>01254.784.478</t>
        </is>
      </c>
      <c r="E2209" s="402" t="n"/>
      <c r="F2209" s="401" t="inlineStr">
        <is>
          <t>Phú Yên</t>
        </is>
      </c>
      <c r="G2209" s="400" t="inlineStr">
        <is>
          <t>PYEN</t>
        </is>
      </c>
      <c r="H2209" s="402" t="n"/>
      <c r="J2209" s="392">
        <f>IFERROR(UPPER(TRIM(B2209))&amp;"|"&amp;UPPER(TRIM(C2209))&amp;"|"&amp;UPPER(TRIM(D2209)),"")</f>
        <v/>
      </c>
    </row>
    <row r="2210" ht="15.75" customHeight="1" s="217">
      <c r="A2210" s="397" t="n">
        <v>2208</v>
      </c>
      <c r="B2210" s="397" t="inlineStr">
        <is>
          <t>KH1523</t>
        </is>
      </c>
      <c r="C2210" s="398" t="inlineStr">
        <is>
          <t>BM Ô tô Đô Thành - Suối Tiên / 0964.080.623</t>
        </is>
      </c>
      <c r="D2210" s="397" t="inlineStr">
        <is>
          <t>0964.080.623</t>
        </is>
      </c>
      <c r="E2210" s="399" t="n"/>
      <c r="F2210" s="398" t="inlineStr">
        <is>
          <t>Đối diện Suối Tiên</t>
        </is>
      </c>
      <c r="G2210" s="397" t="inlineStr">
        <is>
          <t>SG/HCM</t>
        </is>
      </c>
      <c r="H2210" s="399" t="n"/>
      <c r="J2210" s="392">
        <f>IFERROR(UPPER(TRIM(B2210))&amp;"|"&amp;UPPER(TRIM(C2210))&amp;"|"&amp;UPPER(TRIM(D2210)),"")</f>
        <v/>
      </c>
    </row>
    <row r="2211" ht="15.75" customHeight="1" s="217">
      <c r="A2211" s="400" t="n">
        <v>2209</v>
      </c>
      <c r="B2211" s="400" t="inlineStr">
        <is>
          <t>KH1524</t>
        </is>
      </c>
      <c r="C2211" s="401" t="inlineStr">
        <is>
          <t>Cửa Hàng  Anh Phát - Erka/ 0947.696.878</t>
        </is>
      </c>
      <c r="D2211" s="400" t="inlineStr">
        <is>
          <t>0947.696.878</t>
        </is>
      </c>
      <c r="E2211" s="402" t="n"/>
      <c r="F2211" s="401" t="inlineStr">
        <is>
          <t>Erka - Đắk Lak</t>
        </is>
      </c>
      <c r="G2211" s="400" t="inlineStr">
        <is>
          <t>ÐL</t>
        </is>
      </c>
      <c r="H2211" s="402" t="n"/>
      <c r="J2211" s="392">
        <f>IFERROR(UPPER(TRIM(B2211))&amp;"|"&amp;UPPER(TRIM(C2211))&amp;"|"&amp;UPPER(TRIM(D2211)),"")</f>
        <v/>
      </c>
    </row>
    <row r="2212" ht="15.75" customHeight="1" s="217">
      <c r="A2212" s="397" t="n">
        <v>2210</v>
      </c>
      <c r="B2212" s="397" t="inlineStr">
        <is>
          <t>KH1521</t>
        </is>
      </c>
      <c r="C2212" s="398" t="inlineStr">
        <is>
          <t>Cửa Hàng Tiến Đạt - Vũng Tàu/ 0908.340.152</t>
        </is>
      </c>
      <c r="D2212" s="397" t="inlineStr">
        <is>
          <t>0908.340.152</t>
        </is>
      </c>
      <c r="E2212" s="399" t="n"/>
      <c r="F2212" s="398" t="inlineStr">
        <is>
          <t>Vũng Tàu</t>
        </is>
      </c>
      <c r="G2212" s="397" t="inlineStr">
        <is>
          <t>BRVT</t>
        </is>
      </c>
      <c r="H2212" s="399" t="n"/>
      <c r="J2212" s="392">
        <f>IFERROR(UPPER(TRIM(B2212))&amp;"|"&amp;UPPER(TRIM(C2212))&amp;"|"&amp;UPPER(TRIM(D2212)),"")</f>
        <v/>
      </c>
    </row>
    <row r="2213" ht="15.75" customHeight="1" s="217">
      <c r="A2213" s="400" t="n">
        <v>2211</v>
      </c>
      <c r="B2213" s="400" t="inlineStr">
        <is>
          <t>KH1520</t>
        </is>
      </c>
      <c r="C2213" s="401" t="inlineStr">
        <is>
          <t>Cửa hàng A Mười - BRVT. Anh Phúc - ĐT:01695.107.677</t>
        </is>
      </c>
      <c r="D2213" s="400" t="inlineStr">
        <is>
          <t>01695.107.677</t>
        </is>
      </c>
      <c r="E2213" s="402" t="n"/>
      <c r="F2213" s="401" t="inlineStr">
        <is>
          <t>ấp Tân Lễ B, Xã Châu Pha, Tân Thành, BRVT</t>
        </is>
      </c>
      <c r="G2213" s="400" t="inlineStr">
        <is>
          <t>BRVT</t>
        </is>
      </c>
      <c r="H2213" s="402" t="n"/>
      <c r="J2213" s="392">
        <f>IFERROR(UPPER(TRIM(B2213))&amp;"|"&amp;UPPER(TRIM(C2213))&amp;"|"&amp;UPPER(TRIM(D2213)),"")</f>
        <v/>
      </c>
    </row>
    <row r="2214" ht="15.75" customHeight="1" s="217">
      <c r="A2214" s="397" t="n">
        <v>2212</v>
      </c>
      <c r="B2214" s="397" t="inlineStr">
        <is>
          <t>KH1519</t>
        </is>
      </c>
      <c r="C2214" s="398" t="inlineStr">
        <is>
          <t>Anh Cường - Vũng Tàu/  0913.957.964</t>
        </is>
      </c>
      <c r="D2214" s="397" t="inlineStr">
        <is>
          <t>0913.957.964</t>
        </is>
      </c>
      <c r="E2214" s="399" t="n"/>
      <c r="F2214" s="398" t="inlineStr">
        <is>
          <t>Vũng Tàu</t>
        </is>
      </c>
      <c r="G2214" s="397" t="inlineStr">
        <is>
          <t>BRVT</t>
        </is>
      </c>
      <c r="H2214" s="399" t="n"/>
      <c r="J2214" s="392">
        <f>IFERROR(UPPER(TRIM(B2214))&amp;"|"&amp;UPPER(TRIM(C2214))&amp;"|"&amp;UPPER(TRIM(D2214)),"")</f>
        <v/>
      </c>
    </row>
    <row r="2215" ht="15.75" customHeight="1" s="217">
      <c r="A2215" s="400" t="n">
        <v>2213</v>
      </c>
      <c r="B2215" s="400" t="inlineStr">
        <is>
          <t>KH1517</t>
        </is>
      </c>
      <c r="C2215" s="401" t="inlineStr">
        <is>
          <t>Anh Tạt - Bến Lức/ 0932.510.977</t>
        </is>
      </c>
      <c r="D2215" s="400" t="inlineStr">
        <is>
          <t>0932.510.977</t>
        </is>
      </c>
      <c r="E2215" s="402" t="n"/>
      <c r="F2215" s="401" t="inlineStr">
        <is>
          <t>Bến Lức - Long An</t>
        </is>
      </c>
      <c r="G2215" s="400" t="inlineStr">
        <is>
          <t>LA</t>
        </is>
      </c>
      <c r="H2215" s="402" t="n"/>
      <c r="J2215" s="392">
        <f>IFERROR(UPPER(TRIM(B2215))&amp;"|"&amp;UPPER(TRIM(C2215))&amp;"|"&amp;UPPER(TRIM(D2215)),"")</f>
        <v/>
      </c>
    </row>
    <row r="2216" ht="15.75" customHeight="1" s="217">
      <c r="A2216" s="397" t="n">
        <v>2214</v>
      </c>
      <c r="B2216" s="397" t="inlineStr">
        <is>
          <t>KH1518</t>
        </is>
      </c>
      <c r="C2216" s="398" t="inlineStr">
        <is>
          <t>Anh Duy - Lâm Hà/ 0978.141.237</t>
        </is>
      </c>
      <c r="D2216" s="397" t="inlineStr">
        <is>
          <t>0978.141.237</t>
        </is>
      </c>
      <c r="E2216" s="399" t="n"/>
      <c r="F2216" s="398" t="inlineStr">
        <is>
          <t>Lâm Hà - Lâm Đồng</t>
        </is>
      </c>
      <c r="G2216" s="397" t="inlineStr">
        <is>
          <t>LDONG</t>
        </is>
      </c>
      <c r="H2216" s="399" t="n"/>
      <c r="J2216" s="392">
        <f>IFERROR(UPPER(TRIM(B2216))&amp;"|"&amp;UPPER(TRIM(C2216))&amp;"|"&amp;UPPER(TRIM(D2216)),"")</f>
        <v/>
      </c>
    </row>
    <row r="2217" ht="15.75" customHeight="1" s="217">
      <c r="A2217" s="400" t="n">
        <v>2215</v>
      </c>
      <c r="B2217" s="400" t="inlineStr">
        <is>
          <t>KH1516</t>
        </is>
      </c>
      <c r="C2217" s="401" t="inlineStr">
        <is>
          <t>Công Ty Giang Tô -Thầu Chính/ Đồng Tháp. ĐT: 0939903985</t>
        </is>
      </c>
      <c r="D2217" s="400" t="inlineStr">
        <is>
          <t>0939903985</t>
        </is>
      </c>
      <c r="E2217" s="402" t="n"/>
      <c r="F2217" s="401" t="inlineStr">
        <is>
          <t>Lấp Vò, Đồng Tháp</t>
        </is>
      </c>
      <c r="G2217" s="402" t="n"/>
      <c r="H2217" s="402" t="n"/>
      <c r="J2217" s="392">
        <f>IFERROR(UPPER(TRIM(B2217))&amp;"|"&amp;UPPER(TRIM(C2217))&amp;"|"&amp;UPPER(TRIM(D2217)),"")</f>
        <v/>
      </c>
    </row>
    <row r="2218" ht="15.75" customHeight="1" s="217">
      <c r="A2218" s="397" t="n">
        <v>2216</v>
      </c>
      <c r="B2218" s="397" t="inlineStr">
        <is>
          <t>KH1515</t>
        </is>
      </c>
      <c r="C2218" s="398" t="inlineStr">
        <is>
          <t>Anh Tèo - Vĩnh Long/ 0915.880.203</t>
        </is>
      </c>
      <c r="D2218" s="397" t="inlineStr">
        <is>
          <t>0915.880.203</t>
        </is>
      </c>
      <c r="E2218" s="399" t="n"/>
      <c r="F2218" s="398" t="inlineStr">
        <is>
          <t>Vĩnh Long</t>
        </is>
      </c>
      <c r="G2218" s="397" t="inlineStr">
        <is>
          <t>VĨNH LONG</t>
        </is>
      </c>
      <c r="H2218" s="399" t="n"/>
      <c r="J2218" s="392">
        <f>IFERROR(UPPER(TRIM(B2218))&amp;"|"&amp;UPPER(TRIM(C2218))&amp;"|"&amp;UPPER(TRIM(D2218)),"")</f>
        <v/>
      </c>
    </row>
    <row r="2219" ht="15.75" customHeight="1" s="217">
      <c r="A2219" s="400" t="n">
        <v>2217</v>
      </c>
      <c r="B2219" s="400" t="inlineStr">
        <is>
          <t>KH1514</t>
        </is>
      </c>
      <c r="C2219" s="401" t="inlineStr">
        <is>
          <t>Cửa Hàng Nga Phát - Tri Tôn/ 0982.873.676- Công nợ 0976.633.624</t>
        </is>
      </c>
      <c r="D2219" s="400" t="inlineStr">
        <is>
          <t>0982.873.676- / 0976.633.624</t>
        </is>
      </c>
      <c r="E2219" s="402" t="n"/>
      <c r="F2219" s="401" t="inlineStr">
        <is>
          <t>Tri Tôn - An Giang</t>
        </is>
      </c>
      <c r="G2219" s="400" t="inlineStr">
        <is>
          <t>ANGIANG</t>
        </is>
      </c>
      <c r="H2219" s="402" t="n"/>
      <c r="J2219" s="392">
        <f>IFERROR(UPPER(TRIM(B2219))&amp;"|"&amp;UPPER(TRIM(C2219))&amp;"|"&amp;UPPER(TRIM(D2219)),"")</f>
        <v/>
      </c>
    </row>
    <row r="2220" ht="15.75" customHeight="1" s="217">
      <c r="A2220" s="397" t="n">
        <v>2218</v>
      </c>
      <c r="B2220" s="397" t="inlineStr">
        <is>
          <t>KH1513</t>
        </is>
      </c>
      <c r="C2220" s="398" t="inlineStr">
        <is>
          <t>Anh Toàn - Long Xuyên / 0918.970.970</t>
        </is>
      </c>
      <c r="D2220" s="397" t="inlineStr">
        <is>
          <t>0918.970.970</t>
        </is>
      </c>
      <c r="E2220" s="399" t="n"/>
      <c r="F2220" s="398" t="inlineStr">
        <is>
          <t>Long Xuyên, An Giang</t>
        </is>
      </c>
      <c r="G2220" s="397" t="inlineStr">
        <is>
          <t>ANGIANG</t>
        </is>
      </c>
      <c r="H2220" s="399" t="n"/>
      <c r="J2220" s="392">
        <f>IFERROR(UPPER(TRIM(B2220))&amp;"|"&amp;UPPER(TRIM(C2220))&amp;"|"&amp;UPPER(TRIM(D2220)),"")</f>
        <v/>
      </c>
    </row>
    <row r="2221" ht="15.75" customHeight="1" s="217">
      <c r="A2221" s="400" t="n">
        <v>2219</v>
      </c>
      <c r="B2221" s="400" t="inlineStr">
        <is>
          <t>KH1512</t>
        </is>
      </c>
      <c r="C2221" s="401" t="inlineStr">
        <is>
          <t>Cửa Hàng Trần Tâm - Bến Tre. ĐT: 0913.646.622</t>
        </is>
      </c>
      <c r="D2221" s="400" t="inlineStr">
        <is>
          <t>0913.646.622</t>
        </is>
      </c>
      <c r="E2221" s="402" t="n"/>
      <c r="F2221" s="401" t="inlineStr">
        <is>
          <t>332 An Ngãi Trung, Ba Tri, Bến Tre</t>
        </is>
      </c>
      <c r="G2221" s="400" t="inlineStr">
        <is>
          <t>BTRE</t>
        </is>
      </c>
      <c r="H2221" s="402" t="n"/>
      <c r="J2221" s="392">
        <f>IFERROR(UPPER(TRIM(B2221))&amp;"|"&amp;UPPER(TRIM(C2221))&amp;"|"&amp;UPPER(TRIM(D2221)),"")</f>
        <v/>
      </c>
    </row>
    <row r="2222" ht="15.75" customHeight="1" s="217">
      <c r="A2222" s="397" t="n">
        <v>2220</v>
      </c>
      <c r="B2222" s="397" t="inlineStr">
        <is>
          <t>KH1511</t>
        </is>
      </c>
      <c r="C2222" s="398" t="inlineStr">
        <is>
          <t>Anh Khiêm - Nha Trang/ 01202.635.822</t>
        </is>
      </c>
      <c r="D2222" s="397" t="inlineStr">
        <is>
          <t>01202.635.822</t>
        </is>
      </c>
      <c r="E2222" s="399" t="n"/>
      <c r="F2222" s="398" t="inlineStr">
        <is>
          <t>Nha Trang</t>
        </is>
      </c>
      <c r="G2222" s="397" t="inlineStr">
        <is>
          <t>NTRANG</t>
        </is>
      </c>
      <c r="H2222" s="399" t="n"/>
      <c r="J2222" s="392">
        <f>IFERROR(UPPER(TRIM(B2222))&amp;"|"&amp;UPPER(TRIM(C2222))&amp;"|"&amp;UPPER(TRIM(D2222)),"")</f>
        <v/>
      </c>
    </row>
    <row r="2223" ht="15.75" customHeight="1" s="217">
      <c r="A2223" s="400" t="n">
        <v>2221</v>
      </c>
      <c r="B2223" s="400" t="inlineStr">
        <is>
          <t>KH1509</t>
        </is>
      </c>
      <c r="C2223" s="401" t="inlineStr">
        <is>
          <t>BM Nhân Hoàng Phát - Tân Vạn / A.Nhân: 0908.412.169</t>
        </is>
      </c>
      <c r="D2223" s="400" t="inlineStr">
        <is>
          <t>0908.412.169</t>
        </is>
      </c>
      <c r="E2223" s="402" t="n"/>
      <c r="F2223" s="401" t="inlineStr">
        <is>
          <t>Tân Vạn</t>
        </is>
      </c>
      <c r="G2223" s="400" t="inlineStr">
        <is>
          <t>SG/HCM</t>
        </is>
      </c>
      <c r="H2223" s="402" t="n"/>
      <c r="J2223" s="392">
        <f>IFERROR(UPPER(TRIM(B2223))&amp;"|"&amp;UPPER(TRIM(C2223))&amp;"|"&amp;UPPER(TRIM(D2223)),"")</f>
        <v/>
      </c>
    </row>
    <row r="2224" ht="15.75" customHeight="1" s="217">
      <c r="A2224" s="397" t="n">
        <v>2222</v>
      </c>
      <c r="B2224" s="397" t="inlineStr">
        <is>
          <t>KH1510</t>
        </is>
      </c>
      <c r="C2224" s="398" t="inlineStr">
        <is>
          <t>Xe Tải Anh Công - Đắk Lawk/ 0948.384.879</t>
        </is>
      </c>
      <c r="D2224" s="397" t="inlineStr">
        <is>
          <t>0948.384.879</t>
        </is>
      </c>
      <c r="E2224" s="399" t="n"/>
      <c r="F2224" s="398" t="inlineStr">
        <is>
          <t>Đắk Lak</t>
        </is>
      </c>
      <c r="G2224" s="397" t="inlineStr">
        <is>
          <t>ÐL</t>
        </is>
      </c>
      <c r="H2224" s="399" t="n"/>
      <c r="J2224" s="392">
        <f>IFERROR(UPPER(TRIM(B2224))&amp;"|"&amp;UPPER(TRIM(C2224))&amp;"|"&amp;UPPER(TRIM(D2224)),"")</f>
        <v/>
      </c>
    </row>
    <row r="2225" ht="15.75" customHeight="1" s="217">
      <c r="A2225" s="400" t="n">
        <v>2223</v>
      </c>
      <c r="B2225" s="400" t="inlineStr">
        <is>
          <t>KH1506</t>
        </is>
      </c>
      <c r="C2225" s="401" t="inlineStr">
        <is>
          <t>Bãi Máy Anh Hậu - Bình Thái/ 0979.999.549</t>
        </is>
      </c>
      <c r="D2225" s="400" t="inlineStr">
        <is>
          <t>0979.999.549</t>
        </is>
      </c>
      <c r="E2225" s="402" t="n"/>
      <c r="F2225" s="401" t="inlineStr">
        <is>
          <t>Ngã Tư Bình Thái - Thủ Đức - TP.HCM</t>
        </is>
      </c>
      <c r="G2225" s="400" t="inlineStr">
        <is>
          <t>SG/HCM</t>
        </is>
      </c>
      <c r="H2225" s="402" t="n"/>
      <c r="J2225" s="392">
        <f>IFERROR(UPPER(TRIM(B2225))&amp;"|"&amp;UPPER(TRIM(C2225))&amp;"|"&amp;UPPER(TRIM(D2225)),"")</f>
        <v/>
      </c>
    </row>
    <row r="2226" ht="15.75" customHeight="1" s="217">
      <c r="A2226" s="397" t="n">
        <v>2224</v>
      </c>
      <c r="B2226" s="397" t="inlineStr">
        <is>
          <t>KH1507</t>
        </is>
      </c>
      <c r="C2226" s="398" t="inlineStr">
        <is>
          <t>Cừa Hàng Nam Hòa Lợi - An Giang/ 0944.654.644</t>
        </is>
      </c>
      <c r="D2226" s="397" t="inlineStr">
        <is>
          <t>0944.654.644</t>
        </is>
      </c>
      <c r="E2226" s="399" t="n"/>
      <c r="F2226" s="398" t="inlineStr">
        <is>
          <t>21 Trần Hưng Đạo -  Long Thạnh - Tân Châu - AN Giang</t>
        </is>
      </c>
      <c r="G2226" s="397" t="inlineStr">
        <is>
          <t>ANGIANG</t>
        </is>
      </c>
      <c r="H2226" s="399" t="n"/>
      <c r="J2226" s="392">
        <f>IFERROR(UPPER(TRIM(B2226))&amp;"|"&amp;UPPER(TRIM(C2226))&amp;"|"&amp;UPPER(TRIM(D2226)),"")</f>
        <v/>
      </c>
    </row>
    <row r="2227" ht="15.75" customHeight="1" s="217">
      <c r="A2227" s="400" t="n">
        <v>2225</v>
      </c>
      <c r="B2227" s="400" t="inlineStr">
        <is>
          <t>KH1508</t>
        </is>
      </c>
      <c r="C2227" s="401" t="inlineStr">
        <is>
          <t>Anh Hải - Vĩnh Long/ 0989.975.786</t>
        </is>
      </c>
      <c r="D2227" s="400" t="inlineStr">
        <is>
          <t>0989.975.786</t>
        </is>
      </c>
      <c r="E2227" s="402" t="n"/>
      <c r="F2227" s="401" t="inlineStr">
        <is>
          <t>Vĩnh Long</t>
        </is>
      </c>
      <c r="G2227" s="400" t="inlineStr">
        <is>
          <t>VĨNH LONG</t>
        </is>
      </c>
      <c r="H2227" s="402" t="n"/>
      <c r="J2227" s="392">
        <f>IFERROR(UPPER(TRIM(B2227))&amp;"|"&amp;UPPER(TRIM(C2227))&amp;"|"&amp;UPPER(TRIM(D2227)),"")</f>
        <v/>
      </c>
    </row>
    <row r="2228" ht="15.75" customHeight="1" s="217">
      <c r="A2228" s="397" t="n">
        <v>2226</v>
      </c>
      <c r="B2228" s="397" t="inlineStr">
        <is>
          <t>KH1505</t>
        </is>
      </c>
      <c r="C2228" s="398" t="inlineStr">
        <is>
          <t>Anh Danh - Cần Giuộc/ 0982.426.859</t>
        </is>
      </c>
      <c r="D2228" s="397" t="inlineStr">
        <is>
          <t>0982.426.859</t>
        </is>
      </c>
      <c r="E2228" s="399" t="n"/>
      <c r="F2228" s="398" t="inlineStr">
        <is>
          <t>Cần Giuộc - Long An</t>
        </is>
      </c>
      <c r="G2228" s="397" t="inlineStr">
        <is>
          <t>LA</t>
        </is>
      </c>
      <c r="H2228" s="399" t="n"/>
      <c r="J2228" s="392">
        <f>IFERROR(UPPER(TRIM(B2228))&amp;"|"&amp;UPPER(TRIM(C2228))&amp;"|"&amp;UPPER(TRIM(D2228)),"")</f>
        <v/>
      </c>
    </row>
    <row r="2229" ht="15.75" customHeight="1" s="217">
      <c r="A2229" s="400" t="n">
        <v>2227</v>
      </c>
      <c r="B2229" s="400" t="inlineStr">
        <is>
          <t>KH1504</t>
        </is>
      </c>
      <c r="C2229" s="401" t="inlineStr">
        <is>
          <t>Cty Trường Nhật - Kon Tum / Anh Tùng : 0905.224.879</t>
        </is>
      </c>
      <c r="D2229" s="400" t="inlineStr">
        <is>
          <t>0905.224.879</t>
        </is>
      </c>
      <c r="E2229" s="402" t="n"/>
      <c r="F2229" s="401" t="inlineStr">
        <is>
          <t>Thôn Thanh Trung, P.Ngô Mây, TP.Kon Tum</t>
        </is>
      </c>
      <c r="G2229" s="400" t="inlineStr">
        <is>
          <t>KTUM</t>
        </is>
      </c>
      <c r="H2229" s="402" t="n"/>
      <c r="J2229" s="392">
        <f>IFERROR(UPPER(TRIM(B2229))&amp;"|"&amp;UPPER(TRIM(C2229))&amp;"|"&amp;UPPER(TRIM(D2229)),"")</f>
        <v/>
      </c>
    </row>
    <row r="2230" ht="15.75" customHeight="1" s="217">
      <c r="A2230" s="397" t="n">
        <v>2228</v>
      </c>
      <c r="B2230" s="397" t="inlineStr">
        <is>
          <t>MN51</t>
        </is>
      </c>
      <c r="C2230" s="398" t="inlineStr">
        <is>
          <t>Chiến - NVVC</t>
        </is>
      </c>
      <c r="D2230" s="399" t="n"/>
      <c r="E2230" s="399" t="n"/>
      <c r="F2230" s="398" t="inlineStr">
        <is>
          <t>CTCP CG Miền Nam</t>
        </is>
      </c>
      <c r="G2230" s="399" t="n"/>
      <c r="H2230" s="399" t="n"/>
      <c r="J2230" s="392">
        <f>IFERROR(UPPER(TRIM(B2230))&amp;"|"&amp;UPPER(TRIM(C2230))&amp;"|"&amp;UPPER(TRIM(D2230)),"")</f>
        <v/>
      </c>
    </row>
    <row r="2231" ht="15.75" customHeight="1" s="217">
      <c r="A2231" s="400" t="n">
        <v>2229</v>
      </c>
      <c r="B2231" s="400" t="inlineStr">
        <is>
          <t>KH1502</t>
        </is>
      </c>
      <c r="C2231" s="401" t="inlineStr">
        <is>
          <t>Anh Chinh- Q7/ 0918.390.604</t>
        </is>
      </c>
      <c r="D2231" s="400" t="inlineStr">
        <is>
          <t>0918.390.604</t>
        </is>
      </c>
      <c r="E2231" s="402" t="n"/>
      <c r="F2231" s="401" t="inlineStr">
        <is>
          <t>Q7 - TP.HCM</t>
        </is>
      </c>
      <c r="G2231" s="400" t="inlineStr">
        <is>
          <t>SG/HCM</t>
        </is>
      </c>
      <c r="H2231" s="402" t="n"/>
      <c r="J2231" s="392">
        <f>IFERROR(UPPER(TRIM(B2231))&amp;"|"&amp;UPPER(TRIM(C2231))&amp;"|"&amp;UPPER(TRIM(D2231)),"")</f>
        <v/>
      </c>
    </row>
    <row r="2232" ht="15.75" customHeight="1" s="217">
      <c r="A2232" s="397" t="n">
        <v>2230</v>
      </c>
      <c r="B2232" s="397" t="inlineStr">
        <is>
          <t>KH1503</t>
        </is>
      </c>
      <c r="C2232" s="398" t="inlineStr">
        <is>
          <t>Anh Cao - Q12/ 0903.728.814</t>
        </is>
      </c>
      <c r="D2232" s="397" t="inlineStr">
        <is>
          <t>0903.728.814</t>
        </is>
      </c>
      <c r="E2232" s="399" t="n"/>
      <c r="F2232" s="398" t="inlineStr">
        <is>
          <t>Q12 - TP.HCM</t>
        </is>
      </c>
      <c r="G2232" s="397" t="inlineStr">
        <is>
          <t>SG/HCM</t>
        </is>
      </c>
      <c r="H2232" s="399" t="n"/>
      <c r="J2232" s="392">
        <f>IFERROR(UPPER(TRIM(B2232))&amp;"|"&amp;UPPER(TRIM(C2232))&amp;"|"&amp;UPPER(TRIM(D2232)),"")</f>
        <v/>
      </c>
    </row>
    <row r="2233" ht="15.75" customHeight="1" s="217">
      <c r="A2233" s="400" t="n">
        <v>2231</v>
      </c>
      <c r="B2233" s="400" t="inlineStr">
        <is>
          <t>KH1501</t>
        </is>
      </c>
      <c r="C2233" s="401" t="inlineStr">
        <is>
          <t>Anh Đăng - Bình Dương/ 0913.950.464</t>
        </is>
      </c>
      <c r="D2233" s="400" t="inlineStr">
        <is>
          <t>0913.950.464</t>
        </is>
      </c>
      <c r="E2233" s="402" t="n"/>
      <c r="F2233" s="401" t="inlineStr">
        <is>
          <t>Bình Dương</t>
        </is>
      </c>
      <c r="G2233" s="400" t="inlineStr">
        <is>
          <t>BP</t>
        </is>
      </c>
      <c r="H2233" s="402" t="n"/>
      <c r="J2233" s="392">
        <f>IFERROR(UPPER(TRIM(B2233))&amp;"|"&amp;UPPER(TRIM(C2233))&amp;"|"&amp;UPPER(TRIM(D2233)),"")</f>
        <v/>
      </c>
    </row>
    <row r="2234" ht="15.75" customHeight="1" s="217">
      <c r="A2234" s="397" t="n">
        <v>2232</v>
      </c>
      <c r="B2234" s="397" t="inlineStr">
        <is>
          <t>KH1500</t>
        </is>
      </c>
      <c r="C2234" s="398" t="inlineStr">
        <is>
          <t>Công ty Đông Bắc - Quảng Ninh / Anh Xô - 0989.635.358</t>
        </is>
      </c>
      <c r="D2234" s="397" t="inlineStr">
        <is>
          <t>0989.635.358</t>
        </is>
      </c>
      <c r="E2234" s="399" t="n"/>
      <c r="F2234" s="398" t="inlineStr">
        <is>
          <t>Cẩm Phả, Quảng Ninh</t>
        </is>
      </c>
      <c r="G2234" s="397" t="inlineStr">
        <is>
          <t>BTHUAN</t>
        </is>
      </c>
      <c r="H2234" s="399" t="n"/>
      <c r="J2234" s="392">
        <f>IFERROR(UPPER(TRIM(B2234))&amp;"|"&amp;UPPER(TRIM(C2234))&amp;"|"&amp;UPPER(TRIM(D2234)),"")</f>
        <v/>
      </c>
    </row>
    <row r="2235" ht="15.75" customHeight="1" s="217">
      <c r="A2235" s="400" t="n">
        <v>2233</v>
      </c>
      <c r="B2235" s="400" t="inlineStr">
        <is>
          <t>KH1497</t>
        </is>
      </c>
      <c r="C2235" s="401" t="inlineStr">
        <is>
          <t>Anh vinh _Bình Dương/ 0979.663.382</t>
        </is>
      </c>
      <c r="D2235" s="400" t="inlineStr">
        <is>
          <t>0979.663.382</t>
        </is>
      </c>
      <c r="E2235" s="402" t="n"/>
      <c r="F2235" s="401" t="inlineStr">
        <is>
          <t>Bình Dương</t>
        </is>
      </c>
      <c r="G2235" s="400" t="inlineStr">
        <is>
          <t>BDUONG</t>
        </is>
      </c>
      <c r="H2235" s="402" t="n"/>
      <c r="J2235" s="392">
        <f>IFERROR(UPPER(TRIM(B2235))&amp;"|"&amp;UPPER(TRIM(C2235))&amp;"|"&amp;UPPER(TRIM(D2235)),"")</f>
        <v/>
      </c>
    </row>
    <row r="2236" ht="15.75" customHeight="1" s="217">
      <c r="A2236" s="397" t="n">
        <v>2234</v>
      </c>
      <c r="B2236" s="397" t="inlineStr">
        <is>
          <t>KH1498</t>
        </is>
      </c>
      <c r="C2236" s="398" t="inlineStr">
        <is>
          <t>Công ty Tuấn Minh - Tân Phú /A. Hải 0906.985.992</t>
        </is>
      </c>
      <c r="D2236" s="397" t="inlineStr">
        <is>
          <t>0906.985.992</t>
        </is>
      </c>
      <c r="E2236" s="399" t="n"/>
      <c r="F2236" s="398" t="inlineStr">
        <is>
          <t>Tân Phú, HCM</t>
        </is>
      </c>
      <c r="G2236" s="397" t="inlineStr">
        <is>
          <t>SG/HCM</t>
        </is>
      </c>
      <c r="H2236" s="399" t="n"/>
      <c r="J2236" s="392">
        <f>IFERROR(UPPER(TRIM(B2236))&amp;"|"&amp;UPPER(TRIM(C2236))&amp;"|"&amp;UPPER(TRIM(D2236)),"")</f>
        <v/>
      </c>
    </row>
    <row r="2237" ht="15.75" customHeight="1" s="217">
      <c r="A2237" s="400" t="n">
        <v>2235</v>
      </c>
      <c r="B2237" s="400" t="inlineStr">
        <is>
          <t>KH1499</t>
        </is>
      </c>
      <c r="C2237" s="401" t="inlineStr">
        <is>
          <t>Cửa Hàng Đông Dương - Đắk Lak/ Chị Thúy - 0971.015.179</t>
        </is>
      </c>
      <c r="D2237" s="400" t="inlineStr">
        <is>
          <t>0971.015.179</t>
        </is>
      </c>
      <c r="E2237" s="402" t="n"/>
      <c r="F2237" s="401" t="inlineStr">
        <is>
          <t>24 Chu Văn An - TP Buôn MA Thuột - Đăk Lak</t>
        </is>
      </c>
      <c r="G2237" s="400" t="inlineStr">
        <is>
          <t>ÐL</t>
        </is>
      </c>
      <c r="H2237" s="402" t="n"/>
      <c r="J2237" s="392">
        <f>IFERROR(UPPER(TRIM(B2237))&amp;"|"&amp;UPPER(TRIM(C2237))&amp;"|"&amp;UPPER(TRIM(D2237)),"")</f>
        <v/>
      </c>
    </row>
    <row r="2238" ht="15.75" customHeight="1" s="217">
      <c r="A2238" s="397" t="n">
        <v>2236</v>
      </c>
      <c r="B2238" s="397" t="inlineStr">
        <is>
          <t>KH1495</t>
        </is>
      </c>
      <c r="C2238" s="398" t="inlineStr">
        <is>
          <t>Chú Tiếp - Bình Thạnh/ 0978.360.674</t>
        </is>
      </c>
      <c r="D2238" s="397" t="inlineStr">
        <is>
          <t>0978.360.674</t>
        </is>
      </c>
      <c r="E2238" s="399" t="n"/>
      <c r="F2238" s="398" t="inlineStr">
        <is>
          <t>Bình Thạnh - TP.HCM</t>
        </is>
      </c>
      <c r="G2238" s="397" t="inlineStr">
        <is>
          <t>SG/HCM</t>
        </is>
      </c>
      <c r="H2238" s="399" t="n"/>
      <c r="J2238" s="392">
        <f>IFERROR(UPPER(TRIM(B2238))&amp;"|"&amp;UPPER(TRIM(C2238))&amp;"|"&amp;UPPER(TRIM(D2238)),"")</f>
        <v/>
      </c>
    </row>
    <row r="2239" ht="15.75" customHeight="1" s="217">
      <c r="A2239" s="400" t="n">
        <v>2237</v>
      </c>
      <c r="B2239" s="400" t="inlineStr">
        <is>
          <t>KH1496</t>
        </is>
      </c>
      <c r="C2239" s="401" t="inlineStr">
        <is>
          <t>Anh Công - Sóc Trăng / 0983.786.819</t>
        </is>
      </c>
      <c r="D2239" s="400" t="inlineStr">
        <is>
          <t>0983.786.819</t>
        </is>
      </c>
      <c r="E2239" s="402" t="n"/>
      <c r="F2239" s="401" t="inlineStr">
        <is>
          <t>Sóc Trăng</t>
        </is>
      </c>
      <c r="G2239" s="400" t="inlineStr">
        <is>
          <t>STRANG</t>
        </is>
      </c>
      <c r="H2239" s="402" t="n"/>
      <c r="J2239" s="392">
        <f>IFERROR(UPPER(TRIM(B2239))&amp;"|"&amp;UPPER(TRIM(C2239))&amp;"|"&amp;UPPER(TRIM(D2239)),"")</f>
        <v/>
      </c>
    </row>
    <row r="2240" ht="15.75" customHeight="1" s="217">
      <c r="A2240" s="397" t="n">
        <v>2238</v>
      </c>
      <c r="B2240" s="397" t="inlineStr">
        <is>
          <t>KH1494</t>
        </is>
      </c>
      <c r="C2240" s="398" t="inlineStr">
        <is>
          <t>Anh Trung - Long Xuyên / 0913.721.335</t>
        </is>
      </c>
      <c r="D2240" s="397" t="inlineStr">
        <is>
          <t>0913.721.335</t>
        </is>
      </c>
      <c r="E2240" s="399" t="n"/>
      <c r="F2240" s="398" t="inlineStr">
        <is>
          <t>Long Xuyên, An Giang</t>
        </is>
      </c>
      <c r="G2240" s="397" t="inlineStr">
        <is>
          <t>ANGIANG</t>
        </is>
      </c>
      <c r="H2240" s="399" t="n"/>
      <c r="J2240" s="392">
        <f>IFERROR(UPPER(TRIM(B2240))&amp;"|"&amp;UPPER(TRIM(C2240))&amp;"|"&amp;UPPER(TRIM(D2240)),"")</f>
        <v/>
      </c>
    </row>
    <row r="2241" ht="15.75" customHeight="1" s="217">
      <c r="A2241" s="400" t="n">
        <v>2239</v>
      </c>
      <c r="B2241" s="400" t="inlineStr">
        <is>
          <t>KH1493</t>
        </is>
      </c>
      <c r="C2241" s="401" t="inlineStr">
        <is>
          <t>Anh Lâm - Đồng Nai/ 0966.390.150</t>
        </is>
      </c>
      <c r="D2241" s="400" t="inlineStr">
        <is>
          <t>0966.390.150</t>
        </is>
      </c>
      <c r="E2241" s="402" t="n"/>
      <c r="F2241" s="401" t="inlineStr">
        <is>
          <t>Đồng Nai</t>
        </is>
      </c>
      <c r="G2241" s="400" t="inlineStr">
        <is>
          <t>ÐNAI</t>
        </is>
      </c>
      <c r="H2241" s="402" t="n"/>
      <c r="J2241" s="392">
        <f>IFERROR(UPPER(TRIM(B2241))&amp;"|"&amp;UPPER(TRIM(C2241))&amp;"|"&amp;UPPER(TRIM(D2241)),"")</f>
        <v/>
      </c>
    </row>
    <row r="2242" ht="15.75" customHeight="1" s="217">
      <c r="A2242" s="397" t="n">
        <v>2240</v>
      </c>
      <c r="B2242" s="397" t="inlineStr">
        <is>
          <t>KH1490</t>
        </is>
      </c>
      <c r="C2242" s="398" t="inlineStr">
        <is>
          <t>Anh Nghiêm - Bến Tre/ 0942.196.908</t>
        </is>
      </c>
      <c r="D2242" s="397" t="inlineStr">
        <is>
          <t>0942.196.908</t>
        </is>
      </c>
      <c r="E2242" s="399" t="n"/>
      <c r="F2242" s="398" t="inlineStr">
        <is>
          <t>Bến Tre</t>
        </is>
      </c>
      <c r="G2242" s="397" t="inlineStr">
        <is>
          <t>BTRE</t>
        </is>
      </c>
      <c r="H2242" s="399" t="n"/>
      <c r="J2242" s="392">
        <f>IFERROR(UPPER(TRIM(B2242))&amp;"|"&amp;UPPER(TRIM(C2242))&amp;"|"&amp;UPPER(TRIM(D2242)),"")</f>
        <v/>
      </c>
    </row>
    <row r="2243" ht="15.75" customHeight="1" s="217">
      <c r="A2243" s="400" t="n">
        <v>2241</v>
      </c>
      <c r="B2243" s="400" t="inlineStr">
        <is>
          <t>KH1491</t>
        </is>
      </c>
      <c r="C2243" s="401" t="inlineStr">
        <is>
          <t>Xưởng Anh Hùng - Trà Vinh/ 0919.210.919</t>
        </is>
      </c>
      <c r="D2243" s="400" t="inlineStr">
        <is>
          <t>0919.210.919</t>
        </is>
      </c>
      <c r="E2243" s="402" t="n"/>
      <c r="F2243" s="401" t="inlineStr">
        <is>
          <t>Trà Vinh</t>
        </is>
      </c>
      <c r="G2243" s="400" t="inlineStr">
        <is>
          <t>TV</t>
        </is>
      </c>
      <c r="H2243" s="402" t="n"/>
      <c r="J2243" s="392">
        <f>IFERROR(UPPER(TRIM(B2243))&amp;"|"&amp;UPPER(TRIM(C2243))&amp;"|"&amp;UPPER(TRIM(D2243)),"")</f>
        <v/>
      </c>
    </row>
    <row r="2244" ht="15.75" customHeight="1" s="217">
      <c r="A2244" s="397" t="n">
        <v>2242</v>
      </c>
      <c r="B2244" s="397" t="inlineStr">
        <is>
          <t>KH1492</t>
        </is>
      </c>
      <c r="C2244" s="398" t="inlineStr">
        <is>
          <t>BM Vĩnh Thịnh - Suối Tiên / 0916.567.621</t>
        </is>
      </c>
      <c r="D2244" s="397" t="inlineStr">
        <is>
          <t>0916.567.621</t>
        </is>
      </c>
      <c r="E2244" s="399" t="n"/>
      <c r="F2244" s="398" t="inlineStr">
        <is>
          <t>Suối Tiên, SG</t>
        </is>
      </c>
      <c r="G2244" s="397" t="inlineStr">
        <is>
          <t>SG/HCM</t>
        </is>
      </c>
      <c r="H2244" s="399" t="n"/>
      <c r="J2244" s="392">
        <f>IFERROR(UPPER(TRIM(B2244))&amp;"|"&amp;UPPER(TRIM(C2244))&amp;"|"&amp;UPPER(TRIM(D2244)),"")</f>
        <v/>
      </c>
    </row>
    <row r="2245" ht="15.75" customHeight="1" s="217">
      <c r="A2245" s="400" t="n">
        <v>2243</v>
      </c>
      <c r="B2245" s="400" t="inlineStr">
        <is>
          <t>KH1488</t>
        </is>
      </c>
      <c r="C2245" s="401" t="inlineStr">
        <is>
          <t>Cửa hàng Đức Thành Đạt (Đức Dũng - Hàng Xanh) / 0909.431.952</t>
        </is>
      </c>
      <c r="D2245" s="400" t="inlineStr">
        <is>
          <t>0909.431.952</t>
        </is>
      </c>
      <c r="E2245" s="402" t="n"/>
      <c r="F2245" s="401" t="inlineStr">
        <is>
          <t>520/84/2  đường số 6, khu phố 6, P. Hiệp Bình Phước, Thủ Đức</t>
        </is>
      </c>
      <c r="G2245" s="400" t="inlineStr">
        <is>
          <t>HX</t>
        </is>
      </c>
      <c r="H2245" s="402" t="n"/>
      <c r="J2245" s="392">
        <f>IFERROR(UPPER(TRIM(B2245))&amp;"|"&amp;UPPER(TRIM(C2245))&amp;"|"&amp;UPPER(TRIM(D2245)),"")</f>
        <v/>
      </c>
    </row>
    <row r="2246" ht="15.75" customHeight="1" s="217">
      <c r="A2246" s="397" t="n">
        <v>2244</v>
      </c>
      <c r="B2246" s="397" t="inlineStr">
        <is>
          <t>KH1489</t>
        </is>
      </c>
      <c r="C2246" s="398" t="inlineStr">
        <is>
          <t>Công Ty Tâm Sinh Nghĩa - Anh Sáng, SG / 0977.004.455</t>
        </is>
      </c>
      <c r="D2246" s="397" t="inlineStr">
        <is>
          <t>0977.004.455</t>
        </is>
      </c>
      <c r="E2246" s="399" t="n"/>
      <c r="F2246" s="398" t="inlineStr">
        <is>
          <t>Sài Gòn</t>
        </is>
      </c>
      <c r="G2246" s="397" t="inlineStr">
        <is>
          <t>SG/HCM</t>
        </is>
      </c>
      <c r="H2246" s="399" t="n"/>
      <c r="J2246" s="392">
        <f>IFERROR(UPPER(TRIM(B2246))&amp;"|"&amp;UPPER(TRIM(C2246))&amp;"|"&amp;UPPER(TRIM(D2246)),"")</f>
        <v/>
      </c>
    </row>
    <row r="2247" ht="15.75" customHeight="1" s="217">
      <c r="A2247" s="400" t="n">
        <v>2245</v>
      </c>
      <c r="B2247" s="400" t="inlineStr">
        <is>
          <t>MN50</t>
        </is>
      </c>
      <c r="C2247" s="401" t="inlineStr">
        <is>
          <t>Sơn -NVVC</t>
        </is>
      </c>
      <c r="D2247" s="402" t="n"/>
      <c r="E2247" s="402" t="n"/>
      <c r="F2247" s="401" t="inlineStr">
        <is>
          <t>CTCP CG Miền Nam</t>
        </is>
      </c>
      <c r="G2247" s="402" t="n"/>
      <c r="H2247" s="402" t="n"/>
      <c r="J2247" s="392">
        <f>IFERROR(UPPER(TRIM(B2247))&amp;"|"&amp;UPPER(TRIM(C2247))&amp;"|"&amp;UPPER(TRIM(D2247)),"")</f>
        <v/>
      </c>
    </row>
    <row r="2248" ht="15.75" customHeight="1" s="217">
      <c r="A2248" s="397" t="n">
        <v>2246</v>
      </c>
      <c r="B2248" s="397" t="inlineStr">
        <is>
          <t>KH1487</t>
        </is>
      </c>
      <c r="C2248" s="398" t="inlineStr">
        <is>
          <t>Anh Khanh - Cà Mau/ 0888.787.879</t>
        </is>
      </c>
      <c r="D2248" s="397" t="inlineStr">
        <is>
          <t>0888.787.879</t>
        </is>
      </c>
      <c r="E2248" s="399" t="n"/>
      <c r="F2248" s="398" t="inlineStr">
        <is>
          <t>Cà Mau</t>
        </is>
      </c>
      <c r="G2248" s="397" t="inlineStr">
        <is>
          <t>CMAU</t>
        </is>
      </c>
      <c r="H2248" s="399" t="n"/>
      <c r="J2248" s="392">
        <f>IFERROR(UPPER(TRIM(B2248))&amp;"|"&amp;UPPER(TRIM(C2248))&amp;"|"&amp;UPPER(TRIM(D2248)),"")</f>
        <v/>
      </c>
    </row>
    <row r="2249" ht="15.75" customHeight="1" s="217">
      <c r="A2249" s="400" t="n">
        <v>2247</v>
      </c>
      <c r="B2249" s="400" t="inlineStr">
        <is>
          <t>KH1486</t>
        </is>
      </c>
      <c r="C2249" s="401" t="inlineStr">
        <is>
          <t>Cửa Hàng Kim Muội - CPC / +85512.929.616 / +85510.710.661</t>
        </is>
      </c>
      <c r="D2249" s="400" t="inlineStr">
        <is>
          <t>+85512.929.616 / +85510.710.661</t>
        </is>
      </c>
      <c r="E2249" s="402" t="n"/>
      <c r="F2249" s="401" t="inlineStr">
        <is>
          <t>CPC</t>
        </is>
      </c>
      <c r="G2249" s="400" t="inlineStr">
        <is>
          <t>CPC</t>
        </is>
      </c>
      <c r="H2249" s="402" t="n"/>
      <c r="J2249" s="392">
        <f>IFERROR(UPPER(TRIM(B2249))&amp;"|"&amp;UPPER(TRIM(C2249))&amp;"|"&amp;UPPER(TRIM(D2249)),"")</f>
        <v/>
      </c>
    </row>
    <row r="2250" ht="15.75" customHeight="1" s="217">
      <c r="A2250" s="397" t="n">
        <v>2248</v>
      </c>
      <c r="B2250" s="397" t="inlineStr">
        <is>
          <t>KH1485</t>
        </is>
      </c>
      <c r="C2250" s="398" t="inlineStr">
        <is>
          <t>ANh Hiếu - Đăk Lăk / 0979.197.789</t>
        </is>
      </c>
      <c r="D2250" s="397" t="inlineStr">
        <is>
          <t>0979.197.789</t>
        </is>
      </c>
      <c r="E2250" s="399" t="n"/>
      <c r="F2250" s="398" t="inlineStr">
        <is>
          <t>Đăk Lăk</t>
        </is>
      </c>
      <c r="G2250" s="397" t="inlineStr">
        <is>
          <t>ÐL</t>
        </is>
      </c>
      <c r="H2250" s="399" t="n"/>
      <c r="J2250" s="392">
        <f>IFERROR(UPPER(TRIM(B2250))&amp;"|"&amp;UPPER(TRIM(C2250))&amp;"|"&amp;UPPER(TRIM(D2250)),"")</f>
        <v/>
      </c>
    </row>
    <row r="2251" ht="15.75" customHeight="1" s="217">
      <c r="A2251" s="400" t="n">
        <v>2249</v>
      </c>
      <c r="B2251" s="400" t="inlineStr">
        <is>
          <t>KH1483</t>
        </is>
      </c>
      <c r="C2251" s="401" t="inlineStr">
        <is>
          <t>Anh Toàn - Vình Hưng/0983.226.413</t>
        </is>
      </c>
      <c r="D2251" s="400" t="inlineStr">
        <is>
          <t>0983.226.413</t>
        </is>
      </c>
      <c r="E2251" s="402" t="n"/>
      <c r="F2251" s="401" t="inlineStr">
        <is>
          <t>Vĩnh Hưng - Long An</t>
        </is>
      </c>
      <c r="G2251" s="400" t="inlineStr">
        <is>
          <t>LA</t>
        </is>
      </c>
      <c r="H2251" s="402" t="n"/>
      <c r="J2251" s="392">
        <f>IFERROR(UPPER(TRIM(B2251))&amp;"|"&amp;UPPER(TRIM(C2251))&amp;"|"&amp;UPPER(TRIM(D2251)),"")</f>
        <v/>
      </c>
    </row>
    <row r="2252" ht="15.75" customHeight="1" s="217">
      <c r="A2252" s="397" t="n">
        <v>2250</v>
      </c>
      <c r="B2252" s="397" t="inlineStr">
        <is>
          <t>KH1484</t>
        </is>
      </c>
      <c r="C2252" s="398" t="inlineStr">
        <is>
          <t>BM Anh Hiệp - Ngã 4 An Sương / 0965.302.024</t>
        </is>
      </c>
      <c r="D2252" s="397" t="inlineStr">
        <is>
          <t>0965.302.024</t>
        </is>
      </c>
      <c r="E2252" s="399" t="n"/>
      <c r="F2252" s="398" t="inlineStr">
        <is>
          <t>Ngã 4 An Sương - Q12</t>
        </is>
      </c>
      <c r="G2252" s="397" t="inlineStr">
        <is>
          <t>SG/HCM</t>
        </is>
      </c>
      <c r="H2252" s="399" t="n"/>
      <c r="J2252" s="392">
        <f>IFERROR(UPPER(TRIM(B2252))&amp;"|"&amp;UPPER(TRIM(C2252))&amp;"|"&amp;UPPER(TRIM(D2252)),"")</f>
        <v/>
      </c>
    </row>
    <row r="2253" ht="15.75" customHeight="1" s="217">
      <c r="A2253" s="400" t="n">
        <v>2251</v>
      </c>
      <c r="B2253" s="400" t="inlineStr">
        <is>
          <t>KH1482</t>
        </is>
      </c>
      <c r="C2253" s="401" t="inlineStr">
        <is>
          <t>Cửa hàng Anh Truyền - Đồng Tháp/ 0986.764.012</t>
        </is>
      </c>
      <c r="D2253" s="400" t="inlineStr">
        <is>
          <t>0986.764.012</t>
        </is>
      </c>
      <c r="E2253" s="402" t="n"/>
      <c r="F2253" s="401" t="inlineStr">
        <is>
          <t>Đồng Tháp</t>
        </is>
      </c>
      <c r="G2253" s="400" t="inlineStr">
        <is>
          <t>DTHAP</t>
        </is>
      </c>
      <c r="H2253" s="402" t="n"/>
      <c r="J2253" s="392">
        <f>IFERROR(UPPER(TRIM(B2253))&amp;"|"&amp;UPPER(TRIM(C2253))&amp;"|"&amp;UPPER(TRIM(D2253)),"")</f>
        <v/>
      </c>
    </row>
    <row r="2254" ht="15.75" customHeight="1" s="217">
      <c r="A2254" s="397" t="n">
        <v>2252</v>
      </c>
      <c r="B2254" s="397" t="inlineStr">
        <is>
          <t>KH1480</t>
        </is>
      </c>
      <c r="C2254" s="398" t="inlineStr">
        <is>
          <t>Anh Tiến - Nhà Bè/ 0966.735.377</t>
        </is>
      </c>
      <c r="D2254" s="397" t="inlineStr">
        <is>
          <t>0966.735.377</t>
        </is>
      </c>
      <c r="E2254" s="399" t="n"/>
      <c r="F2254" s="398" t="inlineStr">
        <is>
          <t>Nhà Bè - TP.HCM</t>
        </is>
      </c>
      <c r="G2254" s="397" t="inlineStr">
        <is>
          <t>SG/HCM</t>
        </is>
      </c>
      <c r="H2254" s="399" t="n"/>
      <c r="J2254" s="392">
        <f>IFERROR(UPPER(TRIM(B2254))&amp;"|"&amp;UPPER(TRIM(C2254))&amp;"|"&amp;UPPER(TRIM(D2254)),"")</f>
        <v/>
      </c>
    </row>
    <row r="2255" ht="15.75" customHeight="1" s="217">
      <c r="A2255" s="400" t="n">
        <v>2253</v>
      </c>
      <c r="B2255" s="400" t="inlineStr">
        <is>
          <t>KH1481</t>
        </is>
      </c>
      <c r="C2255" s="401" t="inlineStr">
        <is>
          <t>Anh Hiệp - Gò Công/ 0964.242.429</t>
        </is>
      </c>
      <c r="D2255" s="400" t="inlineStr">
        <is>
          <t>0964.242.429</t>
        </is>
      </c>
      <c r="E2255" s="402" t="n"/>
      <c r="F2255" s="401" t="inlineStr">
        <is>
          <t>Gò Công - Tiền Giang</t>
        </is>
      </c>
      <c r="G2255" s="400" t="inlineStr">
        <is>
          <t>TGIANG</t>
        </is>
      </c>
      <c r="H2255" s="402" t="n"/>
      <c r="J2255" s="392">
        <f>IFERROR(UPPER(TRIM(B2255))&amp;"|"&amp;UPPER(TRIM(C2255))&amp;"|"&amp;UPPER(TRIM(D2255)),"")</f>
        <v/>
      </c>
    </row>
    <row r="2256" ht="15.75" customHeight="1" s="217">
      <c r="A2256" s="397" t="n">
        <v>2254</v>
      </c>
      <c r="B2256" s="397" t="inlineStr">
        <is>
          <t>KH1479</t>
        </is>
      </c>
      <c r="C2256" s="398" t="inlineStr">
        <is>
          <t>Anh Mạnh - Bảo Lộc/ 0962.836.237</t>
        </is>
      </c>
      <c r="D2256" s="397" t="inlineStr">
        <is>
          <t>0962.836.237</t>
        </is>
      </c>
      <c r="E2256" s="399" t="n"/>
      <c r="F2256" s="398" t="inlineStr">
        <is>
          <t>Bảo Lộc - Lâm Đồng</t>
        </is>
      </c>
      <c r="G2256" s="397" t="inlineStr">
        <is>
          <t>LDONG</t>
        </is>
      </c>
      <c r="H2256" s="399" t="n"/>
      <c r="J2256" s="392">
        <f>IFERROR(UPPER(TRIM(B2256))&amp;"|"&amp;UPPER(TRIM(C2256))&amp;"|"&amp;UPPER(TRIM(D2256)),"")</f>
        <v/>
      </c>
    </row>
    <row r="2257" ht="15.75" customHeight="1" s="217">
      <c r="A2257" s="400" t="n">
        <v>2255</v>
      </c>
      <c r="B2257" s="400" t="inlineStr">
        <is>
          <t>KH1478</t>
        </is>
      </c>
      <c r="C2257" s="401" t="inlineStr">
        <is>
          <t>Anh Hoàng - Bến Tre/ 0915.737.687</t>
        </is>
      </c>
      <c r="D2257" s="400" t="inlineStr">
        <is>
          <t>0915.737.687</t>
        </is>
      </c>
      <c r="E2257" s="402" t="n"/>
      <c r="F2257" s="401" t="inlineStr">
        <is>
          <t>Bến Tre</t>
        </is>
      </c>
      <c r="G2257" s="400" t="inlineStr">
        <is>
          <t>BTRE</t>
        </is>
      </c>
      <c r="H2257" s="402" t="n"/>
      <c r="J2257" s="392">
        <f>IFERROR(UPPER(TRIM(B2257))&amp;"|"&amp;UPPER(TRIM(C2257))&amp;"|"&amp;UPPER(TRIM(D2257)),"")</f>
        <v/>
      </c>
    </row>
    <row r="2258" ht="15.75" customHeight="1" s="217">
      <c r="A2258" s="397" t="n">
        <v>2256</v>
      </c>
      <c r="B2258" s="397" t="inlineStr">
        <is>
          <t>KH1477</t>
        </is>
      </c>
      <c r="C2258" s="398" t="inlineStr">
        <is>
          <t>Anh Vượng - Củ Chi / 0968.233.475</t>
        </is>
      </c>
      <c r="D2258" s="397" t="inlineStr">
        <is>
          <t>0968.233.475</t>
        </is>
      </c>
      <c r="E2258" s="399" t="n"/>
      <c r="F2258" s="398" t="inlineStr">
        <is>
          <t>Củ Chi</t>
        </is>
      </c>
      <c r="G2258" s="397" t="inlineStr">
        <is>
          <t>SG/HCM</t>
        </is>
      </c>
      <c r="H2258" s="399" t="n"/>
      <c r="J2258" s="392">
        <f>IFERROR(UPPER(TRIM(B2258))&amp;"|"&amp;UPPER(TRIM(C2258))&amp;"|"&amp;UPPER(TRIM(D2258)),"")</f>
        <v/>
      </c>
    </row>
    <row r="2259" ht="15.75" customHeight="1" s="217">
      <c r="A2259" s="400" t="n">
        <v>2257</v>
      </c>
      <c r="B2259" s="400" t="inlineStr">
        <is>
          <t>KH1475</t>
        </is>
      </c>
      <c r="C2259" s="401" t="inlineStr">
        <is>
          <t>Anh Rô - SG / 0983.277.672</t>
        </is>
      </c>
      <c r="D2259" s="400" t="inlineStr">
        <is>
          <t>0983.277.672</t>
        </is>
      </c>
      <c r="E2259" s="402" t="n"/>
      <c r="F2259" s="401" t="inlineStr">
        <is>
          <t>217/58 Bùi Đình Tuý, Bình Thạnh, Sài Gòn</t>
        </is>
      </c>
      <c r="G2259" s="400" t="inlineStr">
        <is>
          <t>SG/HCM</t>
        </is>
      </c>
      <c r="H2259" s="402" t="n"/>
      <c r="J2259" s="392">
        <f>IFERROR(UPPER(TRIM(B2259))&amp;"|"&amp;UPPER(TRIM(C2259))&amp;"|"&amp;UPPER(TRIM(D2259)),"")</f>
        <v/>
      </c>
    </row>
    <row r="2260" ht="15.75" customHeight="1" s="217">
      <c r="A2260" s="397" t="n">
        <v>2258</v>
      </c>
      <c r="B2260" s="397" t="inlineStr">
        <is>
          <t>KH1476</t>
        </is>
      </c>
      <c r="C2260" s="398" t="inlineStr">
        <is>
          <t>Anh Sơn - Đức Trọng / 0918.722.035</t>
        </is>
      </c>
      <c r="D2260" s="397" t="inlineStr">
        <is>
          <t>0918.722.035</t>
        </is>
      </c>
      <c r="E2260" s="399" t="n"/>
      <c r="F2260" s="398" t="inlineStr">
        <is>
          <t>Đức Trọng</t>
        </is>
      </c>
      <c r="G2260" s="397" t="inlineStr">
        <is>
          <t>LDONG</t>
        </is>
      </c>
      <c r="H2260" s="399" t="n"/>
      <c r="J2260" s="392">
        <f>IFERROR(UPPER(TRIM(B2260))&amp;"|"&amp;UPPER(TRIM(C2260))&amp;"|"&amp;UPPER(TRIM(D2260)),"")</f>
        <v/>
      </c>
    </row>
    <row r="2261" ht="15.75" customHeight="1" s="217">
      <c r="A2261" s="400" t="n">
        <v>2259</v>
      </c>
      <c r="B2261" s="400" t="inlineStr">
        <is>
          <t>HOANG</t>
        </is>
      </c>
      <c r="C2261" s="401" t="inlineStr">
        <is>
          <t>HOANG KIM DIEN</t>
        </is>
      </c>
      <c r="D2261" s="402" t="n"/>
      <c r="E2261" s="402" t="n"/>
      <c r="F2261" s="401" t="inlineStr">
        <is>
          <t>China</t>
        </is>
      </c>
      <c r="G2261" s="402" t="n"/>
      <c r="H2261" s="402" t="n"/>
      <c r="J2261" s="392">
        <f>IFERROR(UPPER(TRIM(B2261))&amp;"|"&amp;UPPER(TRIM(C2261))&amp;"|"&amp;UPPER(TRIM(D2261)),"")</f>
        <v/>
      </c>
    </row>
    <row r="2262" ht="15.75" customHeight="1" s="217">
      <c r="A2262" s="397" t="n">
        <v>2260</v>
      </c>
      <c r="B2262" s="397" t="inlineStr">
        <is>
          <t>KH1474</t>
        </is>
      </c>
      <c r="C2262" s="398" t="inlineStr">
        <is>
          <t>Chú Thành - Bình Tân/ 0909.282.538</t>
        </is>
      </c>
      <c r="D2262" s="397" t="inlineStr">
        <is>
          <t>0909.282.538</t>
        </is>
      </c>
      <c r="E2262" s="399" t="n"/>
      <c r="F2262" s="398" t="inlineStr">
        <is>
          <t>Bình Tân - TP.HCM</t>
        </is>
      </c>
      <c r="G2262" s="397" t="inlineStr">
        <is>
          <t>SG/HCM</t>
        </is>
      </c>
      <c r="H2262" s="399" t="n"/>
      <c r="J2262" s="392">
        <f>IFERROR(UPPER(TRIM(B2262))&amp;"|"&amp;UPPER(TRIM(C2262))&amp;"|"&amp;UPPER(TRIM(D2262)),"")</f>
        <v/>
      </c>
    </row>
    <row r="2263" ht="15.75" customHeight="1" s="217">
      <c r="A2263" s="400" t="n">
        <v>2261</v>
      </c>
      <c r="B2263" s="400" t="inlineStr">
        <is>
          <t>KH1472</t>
        </is>
      </c>
      <c r="C2263" s="401" t="inlineStr">
        <is>
          <t>VLXD Chín Chuối - Bình Chánh/ 0913.751.064</t>
        </is>
      </c>
      <c r="D2263" s="400" t="inlineStr">
        <is>
          <t>0913.751.064</t>
        </is>
      </c>
      <c r="E2263" s="402" t="n"/>
      <c r="F2263" s="401" t="inlineStr">
        <is>
          <t>Bình Chánh - Long An</t>
        </is>
      </c>
      <c r="G2263" s="400" t="inlineStr">
        <is>
          <t>SG/HCM</t>
        </is>
      </c>
      <c r="H2263" s="402" t="n"/>
      <c r="J2263" s="392">
        <f>IFERROR(UPPER(TRIM(B2263))&amp;"|"&amp;UPPER(TRIM(C2263))&amp;"|"&amp;UPPER(TRIM(D2263)),"")</f>
        <v/>
      </c>
    </row>
    <row r="2264" ht="15.75" customHeight="1" s="217">
      <c r="A2264" s="397" t="n">
        <v>2262</v>
      </c>
      <c r="B2264" s="397" t="inlineStr">
        <is>
          <t>KH1473</t>
        </is>
      </c>
      <c r="C2264" s="398" t="inlineStr">
        <is>
          <t>Cửa Hàng Việt Thu - Hòa Ân/ 0914.619.456</t>
        </is>
      </c>
      <c r="D2264" s="397" t="inlineStr">
        <is>
          <t>0914.619.456</t>
        </is>
      </c>
      <c r="E2264" s="399" t="n"/>
      <c r="F2264" s="398" t="inlineStr">
        <is>
          <t>Hòa Ân - Bình Định</t>
        </is>
      </c>
      <c r="G2264" s="397" t="inlineStr">
        <is>
          <t>BDINH</t>
        </is>
      </c>
      <c r="H2264" s="399" t="n"/>
      <c r="J2264" s="392">
        <f>IFERROR(UPPER(TRIM(B2264))&amp;"|"&amp;UPPER(TRIM(C2264))&amp;"|"&amp;UPPER(TRIM(D2264)),"")</f>
        <v/>
      </c>
    </row>
    <row r="2265" ht="15.75" customHeight="1" s="217">
      <c r="A2265" s="400" t="n">
        <v>2263</v>
      </c>
      <c r="B2265" s="400" t="inlineStr">
        <is>
          <t>KH1471</t>
        </is>
      </c>
      <c r="C2265" s="401" t="inlineStr">
        <is>
          <t>Anh Đòn -Long AN/  0903.301.579</t>
        </is>
      </c>
      <c r="D2265" s="400" t="inlineStr">
        <is>
          <t>0903.301.579</t>
        </is>
      </c>
      <c r="E2265" s="402" t="n"/>
      <c r="F2265" s="401" t="inlineStr">
        <is>
          <t>Cần Đước - Long AN</t>
        </is>
      </c>
      <c r="G2265" s="400" t="inlineStr">
        <is>
          <t>LA</t>
        </is>
      </c>
      <c r="H2265" s="402" t="n"/>
      <c r="J2265" s="392">
        <f>IFERROR(UPPER(TRIM(B2265))&amp;"|"&amp;UPPER(TRIM(C2265))&amp;"|"&amp;UPPER(TRIM(D2265)),"")</f>
        <v/>
      </c>
    </row>
    <row r="2266" ht="15.75" customHeight="1" s="217">
      <c r="A2266" s="397" t="n">
        <v>2264</v>
      </c>
      <c r="B2266" s="397" t="inlineStr">
        <is>
          <t>KH1470</t>
        </is>
      </c>
      <c r="C2266" s="398" t="inlineStr">
        <is>
          <t>Anh Dũng - An Khê / 0913.452.224</t>
        </is>
      </c>
      <c r="D2266" s="397" t="inlineStr">
        <is>
          <t>0913.452.224</t>
        </is>
      </c>
      <c r="E2266" s="399" t="n"/>
      <c r="F2266" s="398" t="inlineStr">
        <is>
          <t>An Khê</t>
        </is>
      </c>
      <c r="G2266" s="397" t="inlineStr">
        <is>
          <t>GLAI</t>
        </is>
      </c>
      <c r="H2266" s="399" t="n"/>
      <c r="J2266" s="392">
        <f>IFERROR(UPPER(TRIM(B2266))&amp;"|"&amp;UPPER(TRIM(C2266))&amp;"|"&amp;UPPER(TRIM(D2266)),"")</f>
        <v/>
      </c>
    </row>
    <row r="2267" ht="15.75" customHeight="1" s="217">
      <c r="A2267" s="400" t="n">
        <v>2265</v>
      </c>
      <c r="B2267" s="400" t="inlineStr">
        <is>
          <t>KH1469</t>
        </is>
      </c>
      <c r="C2267" s="401" t="inlineStr">
        <is>
          <t>Anh Long - Tây Ninh/ 01668.768.494</t>
        </is>
      </c>
      <c r="D2267" s="400" t="inlineStr">
        <is>
          <t>01668.768.494</t>
        </is>
      </c>
      <c r="E2267" s="402" t="n"/>
      <c r="F2267" s="401" t="inlineStr">
        <is>
          <t>Tây Ninh</t>
        </is>
      </c>
      <c r="G2267" s="400" t="inlineStr">
        <is>
          <t>TNINH</t>
        </is>
      </c>
      <c r="H2267" s="402" t="n"/>
      <c r="J2267" s="392">
        <f>IFERROR(UPPER(TRIM(B2267))&amp;"|"&amp;UPPER(TRIM(C2267))&amp;"|"&amp;UPPER(TRIM(D2267)),"")</f>
        <v/>
      </c>
    </row>
    <row r="2268" ht="15.75" customHeight="1" s="217">
      <c r="A2268" s="397" t="n">
        <v>2266</v>
      </c>
      <c r="B2268" s="397" t="inlineStr">
        <is>
          <t>KH1467</t>
        </is>
      </c>
      <c r="C2268" s="398" t="inlineStr">
        <is>
          <t>Công Ty TNHH XD Lam Hồng - Lâm Đồng/ Chú Lợi - 0918.034.149</t>
        </is>
      </c>
      <c r="D2268" s="397" t="inlineStr">
        <is>
          <t>0918.034.149</t>
        </is>
      </c>
      <c r="E2268" s="399" t="n"/>
      <c r="F2268" s="398" t="inlineStr">
        <is>
          <t>570 Quốc Lộ 20, Liên Nghĩa, Đức Trọng, Lâm Đồng</t>
        </is>
      </c>
      <c r="G2268" s="397" t="inlineStr">
        <is>
          <t>LDONG</t>
        </is>
      </c>
      <c r="H2268" s="399" t="n"/>
      <c r="J2268" s="392">
        <f>IFERROR(UPPER(TRIM(B2268))&amp;"|"&amp;UPPER(TRIM(C2268))&amp;"|"&amp;UPPER(TRIM(D2268)),"")</f>
        <v/>
      </c>
    </row>
    <row r="2269" ht="15.75" customHeight="1" s="217">
      <c r="A2269" s="400" t="n">
        <v>2267</v>
      </c>
      <c r="B2269" s="400" t="inlineStr">
        <is>
          <t>KH1468</t>
        </is>
      </c>
      <c r="C2269" s="401" t="inlineStr">
        <is>
          <t>Cửa Hàng Ba Thanh - Long An/ 0949.999.397</t>
        </is>
      </c>
      <c r="D2269" s="400" t="inlineStr">
        <is>
          <t>0949.999.397</t>
        </is>
      </c>
      <c r="E2269" s="402" t="n"/>
      <c r="F2269" s="401" t="inlineStr">
        <is>
          <t>Thạnh Hóa - Long An</t>
        </is>
      </c>
      <c r="G2269" s="400" t="inlineStr">
        <is>
          <t>LA</t>
        </is>
      </c>
      <c r="H2269" s="402" t="n"/>
      <c r="J2269" s="392">
        <f>IFERROR(UPPER(TRIM(B2269))&amp;"|"&amp;UPPER(TRIM(C2269))&amp;"|"&amp;UPPER(TRIM(D2269)),"")</f>
        <v/>
      </c>
    </row>
    <row r="2270" ht="15.75" customHeight="1" s="217">
      <c r="A2270" s="397" t="n">
        <v>2268</v>
      </c>
      <c r="B2270" s="397" t="inlineStr">
        <is>
          <t>KH1466</t>
        </is>
      </c>
      <c r="C2270" s="398" t="inlineStr">
        <is>
          <t>Anh Sen - Cầu Đúc Nhỏ/ 0933.119.564</t>
        </is>
      </c>
      <c r="D2270" s="397" t="inlineStr">
        <is>
          <t>0933.119.564</t>
        </is>
      </c>
      <c r="E2270" s="399" t="n"/>
      <c r="F2270" s="398" t="inlineStr">
        <is>
          <t>Sài Gòn</t>
        </is>
      </c>
      <c r="G2270" s="397" t="inlineStr">
        <is>
          <t>SG/HCM</t>
        </is>
      </c>
      <c r="H2270" s="399" t="n"/>
      <c r="J2270" s="392">
        <f>IFERROR(UPPER(TRIM(B2270))&amp;"|"&amp;UPPER(TRIM(C2270))&amp;"|"&amp;UPPER(TRIM(D2270)),"")</f>
        <v/>
      </c>
    </row>
    <row r="2271" ht="15.75" customHeight="1" s="217">
      <c r="A2271" s="400" t="n">
        <v>2269</v>
      </c>
      <c r="B2271" s="400" t="inlineStr">
        <is>
          <t>MX</t>
        </is>
      </c>
      <c r="C2271" s="401" t="inlineStr">
        <is>
          <t>FENGCHENG MINGXIAO TURBOCHARGER MFG CO., LTD</t>
        </is>
      </c>
      <c r="D2271" s="402" t="n"/>
      <c r="E2271" s="402" t="n"/>
      <c r="F2271" s="401" t="inlineStr">
        <is>
          <t>BLOCK B CENTRE PARK XIANDAI INDUSTRIAL PARK FENGCHENG LIAONING CHINA</t>
        </is>
      </c>
      <c r="G2271" s="402" t="n"/>
      <c r="H2271" s="402" t="n"/>
      <c r="J2271" s="392">
        <f>IFERROR(UPPER(TRIM(B2271))&amp;"|"&amp;UPPER(TRIM(C2271))&amp;"|"&amp;UPPER(TRIM(D2271)),"")</f>
        <v/>
      </c>
    </row>
    <row r="2272" ht="15.75" customHeight="1" s="217">
      <c r="A2272" s="397" t="n">
        <v>2270</v>
      </c>
      <c r="B2272" s="397" t="inlineStr">
        <is>
          <t>KH1465</t>
        </is>
      </c>
      <c r="C2272" s="398" t="inlineStr">
        <is>
          <t>Anh Nghiêm - Gia Lai/ 0964.133.456</t>
        </is>
      </c>
      <c r="D2272" s="397" t="inlineStr">
        <is>
          <t>0964.133.456</t>
        </is>
      </c>
      <c r="E2272" s="399" t="n"/>
      <c r="F2272" s="404" t="n"/>
      <c r="G2272" s="397" t="inlineStr">
        <is>
          <t>GLAI</t>
        </is>
      </c>
      <c r="H2272" s="399" t="n"/>
      <c r="J2272" s="392">
        <f>IFERROR(UPPER(TRIM(B2272))&amp;"|"&amp;UPPER(TRIM(C2272))&amp;"|"&amp;UPPER(TRIM(D2272)),"")</f>
        <v/>
      </c>
    </row>
    <row r="2273" ht="15.75" customHeight="1" s="217">
      <c r="A2273" s="400" t="n">
        <v>2271</v>
      </c>
      <c r="B2273" s="400" t="inlineStr">
        <is>
          <t>KH1463</t>
        </is>
      </c>
      <c r="C2273" s="401" t="inlineStr">
        <is>
          <t>Anh Thái - Bến Lức / 0908.596.126</t>
        </is>
      </c>
      <c r="D2273" s="400" t="inlineStr">
        <is>
          <t>0908.596.126</t>
        </is>
      </c>
      <c r="E2273" s="402" t="n"/>
      <c r="F2273" s="401" t="inlineStr">
        <is>
          <t>Bến Lức, Long An</t>
        </is>
      </c>
      <c r="G2273" s="400" t="inlineStr">
        <is>
          <t>LA</t>
        </is>
      </c>
      <c r="H2273" s="402" t="n"/>
      <c r="J2273" s="392">
        <f>IFERROR(UPPER(TRIM(B2273))&amp;"|"&amp;UPPER(TRIM(C2273))&amp;"|"&amp;UPPER(TRIM(D2273)),"")</f>
        <v/>
      </c>
    </row>
    <row r="2274" ht="15.75" customHeight="1" s="217">
      <c r="A2274" s="397" t="n">
        <v>2272</v>
      </c>
      <c r="B2274" s="397" t="inlineStr">
        <is>
          <t>KH1464</t>
        </is>
      </c>
      <c r="C2274" s="398" t="inlineStr">
        <is>
          <t>Anh Tình - Vĩnh Long / 0939.569.089</t>
        </is>
      </c>
      <c r="D2274" s="397" t="inlineStr">
        <is>
          <t>0939.569.089</t>
        </is>
      </c>
      <c r="E2274" s="399" t="n"/>
      <c r="F2274" s="398" t="inlineStr">
        <is>
          <t>Vĩnh Long</t>
        </is>
      </c>
      <c r="G2274" s="397" t="inlineStr">
        <is>
          <t>VĨNH LONG</t>
        </is>
      </c>
      <c r="H2274" s="399" t="n"/>
      <c r="J2274" s="392">
        <f>IFERROR(UPPER(TRIM(B2274))&amp;"|"&amp;UPPER(TRIM(C2274))&amp;"|"&amp;UPPER(TRIM(D2274)),"")</f>
        <v/>
      </c>
    </row>
    <row r="2275" ht="15.75" customHeight="1" s="217">
      <c r="A2275" s="400" t="n">
        <v>2273</v>
      </c>
      <c r="B2275" s="400" t="inlineStr">
        <is>
          <t>KH1462</t>
        </is>
      </c>
      <c r="C2275" s="401" t="inlineStr">
        <is>
          <t>Xưởng anh Trung - Đức Trọng / 0913.191.377</t>
        </is>
      </c>
      <c r="D2275" s="400" t="inlineStr">
        <is>
          <t>0913.191.377</t>
        </is>
      </c>
      <c r="E2275" s="402" t="n"/>
      <c r="F2275" s="401" t="inlineStr">
        <is>
          <t>Đức Trọng, Lâm Đồng</t>
        </is>
      </c>
      <c r="G2275" s="400" t="inlineStr">
        <is>
          <t>LDONG</t>
        </is>
      </c>
      <c r="H2275" s="402" t="n"/>
      <c r="J2275" s="392">
        <f>IFERROR(UPPER(TRIM(B2275))&amp;"|"&amp;UPPER(TRIM(C2275))&amp;"|"&amp;UPPER(TRIM(D2275)),"")</f>
        <v/>
      </c>
    </row>
    <row r="2276" ht="15.75" customHeight="1" s="217">
      <c r="A2276" s="397" t="n">
        <v>2274</v>
      </c>
      <c r="B2276" s="397" t="inlineStr">
        <is>
          <t>KH1461</t>
        </is>
      </c>
      <c r="C2276" s="398" t="inlineStr">
        <is>
          <t>Cty Trung Nguyên - Chị Xuân, Bình Thuận / 0984.027.191</t>
        </is>
      </c>
      <c r="D2276" s="397" t="inlineStr">
        <is>
          <t>0984.027.191</t>
        </is>
      </c>
      <c r="E2276" s="399" t="n"/>
      <c r="F2276" s="398" t="inlineStr">
        <is>
          <t>Bình Thuận</t>
        </is>
      </c>
      <c r="G2276" s="397" t="inlineStr">
        <is>
          <t>BTHUAN</t>
        </is>
      </c>
      <c r="H2276" s="399" t="n"/>
      <c r="J2276" s="392">
        <f>IFERROR(UPPER(TRIM(B2276))&amp;"|"&amp;UPPER(TRIM(C2276))&amp;"|"&amp;UPPER(TRIM(D2276)),"")</f>
        <v/>
      </c>
    </row>
    <row r="2277" ht="15.75" customHeight="1" s="217">
      <c r="A2277" s="400" t="n">
        <v>2275</v>
      </c>
      <c r="B2277" s="400" t="inlineStr">
        <is>
          <t>KH1459</t>
        </is>
      </c>
      <c r="C2277" s="401" t="inlineStr">
        <is>
          <t>Anh Thông - Q7/ 0918.393.782</t>
        </is>
      </c>
      <c r="D2277" s="400" t="inlineStr">
        <is>
          <t>0918.393.782</t>
        </is>
      </c>
      <c r="E2277" s="402" t="n"/>
      <c r="F2277" s="401" t="inlineStr">
        <is>
          <t>Q7 - TP.HCM</t>
        </is>
      </c>
      <c r="G2277" s="400" t="inlineStr">
        <is>
          <t>SG/HCM</t>
        </is>
      </c>
      <c r="H2277" s="402" t="n"/>
      <c r="J2277" s="392">
        <f>IFERROR(UPPER(TRIM(B2277))&amp;"|"&amp;UPPER(TRIM(C2277))&amp;"|"&amp;UPPER(TRIM(D2277)),"")</f>
        <v/>
      </c>
    </row>
    <row r="2278" ht="15.75" customHeight="1" s="217">
      <c r="A2278" s="397" t="n">
        <v>2276</v>
      </c>
      <c r="B2278" s="397" t="inlineStr">
        <is>
          <t>KH1460</t>
        </is>
      </c>
      <c r="C2278" s="398" t="inlineStr">
        <is>
          <t>Anh Chung - Đắk Lắk/0945.677.279</t>
        </is>
      </c>
      <c r="D2278" s="397" t="inlineStr">
        <is>
          <t>0945.677.279</t>
        </is>
      </c>
      <c r="E2278" s="399" t="n"/>
      <c r="F2278" s="398" t="inlineStr">
        <is>
          <t>Đắk Lăk</t>
        </is>
      </c>
      <c r="G2278" s="397" t="inlineStr">
        <is>
          <t>ÐL</t>
        </is>
      </c>
      <c r="H2278" s="399" t="n"/>
      <c r="J2278" s="392">
        <f>IFERROR(UPPER(TRIM(B2278))&amp;"|"&amp;UPPER(TRIM(C2278))&amp;"|"&amp;UPPER(TRIM(D2278)),"")</f>
        <v/>
      </c>
    </row>
    <row r="2279" ht="15.75" customHeight="1" s="217">
      <c r="A2279" s="400" t="n">
        <v>2277</v>
      </c>
      <c r="B2279" s="400" t="inlineStr">
        <is>
          <t>KH1458</t>
        </is>
      </c>
      <c r="C2279" s="401" t="inlineStr">
        <is>
          <t>CH Quang Nhung - Huế/ 0967.717.789</t>
        </is>
      </c>
      <c r="D2279" s="400" t="inlineStr">
        <is>
          <t>0967.717.789</t>
        </is>
      </c>
      <c r="E2279" s="402" t="n"/>
      <c r="F2279" s="401" t="inlineStr">
        <is>
          <t>Huế</t>
        </is>
      </c>
      <c r="G2279" s="400" t="inlineStr">
        <is>
          <t>HUE</t>
        </is>
      </c>
      <c r="H2279" s="402" t="n"/>
      <c r="J2279" s="392">
        <f>IFERROR(UPPER(TRIM(B2279))&amp;"|"&amp;UPPER(TRIM(C2279))&amp;"|"&amp;UPPER(TRIM(D2279)),"")</f>
        <v/>
      </c>
    </row>
    <row r="2280" ht="15.75" customHeight="1" s="217">
      <c r="A2280" s="397" t="n">
        <v>2278</v>
      </c>
      <c r="B2280" s="397" t="inlineStr">
        <is>
          <t>KH1456</t>
        </is>
      </c>
      <c r="C2280" s="398" t="inlineStr">
        <is>
          <t>Bãi Máy anh Thịnh -  Suối Tiên/0974.644.038</t>
        </is>
      </c>
      <c r="D2280" s="397" t="inlineStr">
        <is>
          <t>0974.644.038</t>
        </is>
      </c>
      <c r="E2280" s="399" t="n"/>
      <c r="F2280" s="398" t="inlineStr">
        <is>
          <t>Đối diện khu du lịch Suối Tiên</t>
        </is>
      </c>
      <c r="G2280" s="397" t="inlineStr">
        <is>
          <t>SG/HCM</t>
        </is>
      </c>
      <c r="H2280" s="399" t="n"/>
      <c r="J2280" s="392">
        <f>IFERROR(UPPER(TRIM(B2280))&amp;"|"&amp;UPPER(TRIM(C2280))&amp;"|"&amp;UPPER(TRIM(D2280)),"")</f>
        <v/>
      </c>
    </row>
    <row r="2281" ht="15.75" customHeight="1" s="217">
      <c r="A2281" s="400" t="n">
        <v>2279</v>
      </c>
      <c r="B2281" s="400" t="inlineStr">
        <is>
          <t>KH1457</t>
        </is>
      </c>
      <c r="C2281" s="401" t="inlineStr">
        <is>
          <t>Cửa Hàng Anh Phát - Vĩnh Hưng/ 0918.593.779</t>
        </is>
      </c>
      <c r="D2281" s="400" t="inlineStr">
        <is>
          <t>0918.593.779</t>
        </is>
      </c>
      <c r="E2281" s="402" t="n"/>
      <c r="F2281" s="401" t="inlineStr">
        <is>
          <t>Vĩnh Hưng - Long An</t>
        </is>
      </c>
      <c r="G2281" s="400" t="inlineStr">
        <is>
          <t>LA</t>
        </is>
      </c>
      <c r="H2281" s="402" t="n"/>
      <c r="J2281" s="392">
        <f>IFERROR(UPPER(TRIM(B2281))&amp;"|"&amp;UPPER(TRIM(C2281))&amp;"|"&amp;UPPER(TRIM(D2281)),"")</f>
        <v/>
      </c>
    </row>
    <row r="2282" ht="15.75" customHeight="1" s="217">
      <c r="A2282" s="397" t="n">
        <v>2280</v>
      </c>
      <c r="B2282" s="397" t="inlineStr">
        <is>
          <t>KH1453</t>
        </is>
      </c>
      <c r="C2282" s="398" t="inlineStr">
        <is>
          <t>Xưởng Ba Đặng - Quận 7 / 0903.768.825</t>
        </is>
      </c>
      <c r="D2282" s="397" t="inlineStr">
        <is>
          <t>0903.768.825</t>
        </is>
      </c>
      <c r="E2282" s="399" t="n"/>
      <c r="F2282" s="398" t="inlineStr">
        <is>
          <t>133 Trần Xuân Soạn, Q7</t>
        </is>
      </c>
      <c r="G2282" s="397" t="inlineStr">
        <is>
          <t>SG/HCM</t>
        </is>
      </c>
      <c r="H2282" s="399" t="n"/>
      <c r="J2282" s="392">
        <f>IFERROR(UPPER(TRIM(B2282))&amp;"|"&amp;UPPER(TRIM(C2282))&amp;"|"&amp;UPPER(TRIM(D2282)),"")</f>
        <v/>
      </c>
    </row>
    <row r="2283" ht="15.75" customHeight="1" s="217">
      <c r="A2283" s="400" t="n">
        <v>2281</v>
      </c>
      <c r="B2283" s="400" t="inlineStr">
        <is>
          <t>KH1454</t>
        </is>
      </c>
      <c r="C2283" s="401" t="inlineStr">
        <is>
          <t>Cty VLXD Đồng Tháp - Anh Tây / 01213.970.590</t>
        </is>
      </c>
      <c r="D2283" s="400" t="inlineStr">
        <is>
          <t>01213.970.590</t>
        </is>
      </c>
      <c r="E2283" s="402" t="n"/>
      <c r="F2283" s="401" t="inlineStr">
        <is>
          <t>Số 03 đường Tôn Đức Thắng, P.1, TP.Cao Lãnh, Đồng Tháp</t>
        </is>
      </c>
      <c r="G2283" s="400" t="inlineStr">
        <is>
          <t>DTHAP</t>
        </is>
      </c>
      <c r="H2283" s="402" t="n"/>
      <c r="J2283" s="392">
        <f>IFERROR(UPPER(TRIM(B2283))&amp;"|"&amp;UPPER(TRIM(C2283))&amp;"|"&amp;UPPER(TRIM(D2283)),"")</f>
        <v/>
      </c>
    </row>
    <row r="2284" ht="15.75" customHeight="1" s="217">
      <c r="A2284" s="397" t="n">
        <v>2282</v>
      </c>
      <c r="B2284" s="397" t="inlineStr">
        <is>
          <t>KH1455</t>
        </is>
      </c>
      <c r="C2284" s="398" t="inlineStr">
        <is>
          <t>Anh Thống - Quy Nhơn/ 0968.838.939</t>
        </is>
      </c>
      <c r="D2284" s="397" t="inlineStr">
        <is>
          <t>0968.838.939</t>
        </is>
      </c>
      <c r="E2284" s="399" t="n"/>
      <c r="F2284" s="398" t="inlineStr">
        <is>
          <t>Quy Nhơn</t>
        </is>
      </c>
      <c r="G2284" s="397" t="inlineStr">
        <is>
          <t>BDINH</t>
        </is>
      </c>
      <c r="H2284" s="399" t="n"/>
      <c r="J2284" s="392">
        <f>IFERROR(UPPER(TRIM(B2284))&amp;"|"&amp;UPPER(TRIM(C2284))&amp;"|"&amp;UPPER(TRIM(D2284)),"")</f>
        <v/>
      </c>
    </row>
    <row r="2285" ht="15.75" customHeight="1" s="217">
      <c r="A2285" s="400" t="n">
        <v>2283</v>
      </c>
      <c r="B2285" s="400" t="inlineStr">
        <is>
          <t>KH1451</t>
        </is>
      </c>
      <c r="C2285" s="401" t="inlineStr">
        <is>
          <t>Xưởng Khải Duy - Sóc Trăng / 0912.676.210</t>
        </is>
      </c>
      <c r="D2285" s="400" t="inlineStr">
        <is>
          <t>0912.676.210</t>
        </is>
      </c>
      <c r="E2285" s="402" t="n"/>
      <c r="F2285" s="401" t="inlineStr">
        <is>
          <t>TP.Sóc Trăng, tỉnh Sóc Trăng</t>
        </is>
      </c>
      <c r="G2285" s="400" t="inlineStr">
        <is>
          <t>STRANG</t>
        </is>
      </c>
      <c r="H2285" s="402" t="n"/>
      <c r="J2285" s="392">
        <f>IFERROR(UPPER(TRIM(B2285))&amp;"|"&amp;UPPER(TRIM(C2285))&amp;"|"&amp;UPPER(TRIM(D2285)),"")</f>
        <v/>
      </c>
    </row>
    <row r="2286" ht="15.75" customHeight="1" s="217">
      <c r="A2286" s="397" t="n">
        <v>2284</v>
      </c>
      <c r="B2286" s="397" t="inlineStr">
        <is>
          <t>KH1452</t>
        </is>
      </c>
      <c r="C2286" s="398" t="inlineStr">
        <is>
          <t>Anh Lành - Gia Lai/ 0984.500.409</t>
        </is>
      </c>
      <c r="D2286" s="397" t="inlineStr">
        <is>
          <t>0984.500.409</t>
        </is>
      </c>
      <c r="E2286" s="399" t="n"/>
      <c r="F2286" s="398" t="inlineStr">
        <is>
          <t>Gia Lai</t>
        </is>
      </c>
      <c r="G2286" s="397" t="inlineStr">
        <is>
          <t>GLAI</t>
        </is>
      </c>
      <c r="H2286" s="399" t="n"/>
      <c r="J2286" s="392">
        <f>IFERROR(UPPER(TRIM(B2286))&amp;"|"&amp;UPPER(TRIM(C2286))&amp;"|"&amp;UPPER(TRIM(D2286)),"")</f>
        <v/>
      </c>
    </row>
    <row r="2287" ht="15.75" customHeight="1" s="217">
      <c r="A2287" s="400" t="n">
        <v>2285</v>
      </c>
      <c r="B2287" s="400" t="inlineStr">
        <is>
          <t>KH1449</t>
        </is>
      </c>
      <c r="C2287" s="401" t="inlineStr">
        <is>
          <t>Anh Hiền - Long An/ 0909.175.569</t>
        </is>
      </c>
      <c r="D2287" s="400" t="inlineStr">
        <is>
          <t>0909.175.569</t>
        </is>
      </c>
      <c r="E2287" s="402" t="n"/>
      <c r="F2287" s="401" t="inlineStr">
        <is>
          <t>Gò Đen - Long AN</t>
        </is>
      </c>
      <c r="G2287" s="400" t="inlineStr">
        <is>
          <t>LA</t>
        </is>
      </c>
      <c r="H2287" s="402" t="n"/>
      <c r="J2287" s="392">
        <f>IFERROR(UPPER(TRIM(B2287))&amp;"|"&amp;UPPER(TRIM(C2287))&amp;"|"&amp;UPPER(TRIM(D2287)),"")</f>
        <v/>
      </c>
    </row>
    <row r="2288" ht="15.75" customHeight="1" s="217">
      <c r="A2288" s="397" t="n">
        <v>2286</v>
      </c>
      <c r="B2288" s="397" t="inlineStr">
        <is>
          <t>KH1450</t>
        </is>
      </c>
      <c r="C2288" s="398" t="inlineStr">
        <is>
          <t>Anh Hoàng - An Giang/ 0947.666.575</t>
        </is>
      </c>
      <c r="D2288" s="397" t="inlineStr">
        <is>
          <t>0947.666.575</t>
        </is>
      </c>
      <c r="E2288" s="399" t="n"/>
      <c r="F2288" s="398" t="inlineStr">
        <is>
          <t>An Giang</t>
        </is>
      </c>
      <c r="G2288" s="397" t="inlineStr">
        <is>
          <t>ANGIANG</t>
        </is>
      </c>
      <c r="H2288" s="399" t="n"/>
      <c r="J2288" s="392">
        <f>IFERROR(UPPER(TRIM(B2288))&amp;"|"&amp;UPPER(TRIM(C2288))&amp;"|"&amp;UPPER(TRIM(D2288)),"")</f>
        <v/>
      </c>
    </row>
    <row r="2289" ht="15.75" customHeight="1" s="217">
      <c r="A2289" s="400" t="n">
        <v>2287</v>
      </c>
      <c r="B2289" s="400" t="inlineStr">
        <is>
          <t>KH1448</t>
        </is>
      </c>
      <c r="C2289" s="401" t="inlineStr">
        <is>
          <t>Anh Phương - Bình Chánh/ 0918.087.725</t>
        </is>
      </c>
      <c r="D2289" s="400" t="inlineStr">
        <is>
          <t>0918.087.725</t>
        </is>
      </c>
      <c r="E2289" s="402" t="n"/>
      <c r="F2289" s="401" t="inlineStr">
        <is>
          <t>Gần Chợ Bình Chánh - TH.HCM</t>
        </is>
      </c>
      <c r="G2289" s="400" t="inlineStr">
        <is>
          <t>SG/HCM</t>
        </is>
      </c>
      <c r="H2289" s="402" t="n"/>
      <c r="J2289" s="392">
        <f>IFERROR(UPPER(TRIM(B2289))&amp;"|"&amp;UPPER(TRIM(C2289))&amp;"|"&amp;UPPER(TRIM(D2289)),"")</f>
        <v/>
      </c>
    </row>
    <row r="2290" ht="15.75" customHeight="1" s="217">
      <c r="A2290" s="397" t="n">
        <v>2288</v>
      </c>
      <c r="B2290" s="397" t="inlineStr">
        <is>
          <t>KH1445</t>
        </is>
      </c>
      <c r="C2290" s="398" t="inlineStr">
        <is>
          <t>Anh Giang - Sài Gòn/ 0917.188.043</t>
        </is>
      </c>
      <c r="D2290" s="397" t="inlineStr">
        <is>
          <t>0917.188.043</t>
        </is>
      </c>
      <c r="E2290" s="399" t="n"/>
      <c r="F2290" s="398" t="inlineStr">
        <is>
          <t>Sài Gòn</t>
        </is>
      </c>
      <c r="G2290" s="397" t="inlineStr">
        <is>
          <t>SG/HCM</t>
        </is>
      </c>
      <c r="H2290" s="399" t="n"/>
      <c r="J2290" s="392">
        <f>IFERROR(UPPER(TRIM(B2290))&amp;"|"&amp;UPPER(TRIM(C2290))&amp;"|"&amp;UPPER(TRIM(D2290)),"")</f>
        <v/>
      </c>
    </row>
    <row r="2291" ht="15.75" customHeight="1" s="217">
      <c r="A2291" s="400" t="n">
        <v>2289</v>
      </c>
      <c r="B2291" s="400" t="inlineStr">
        <is>
          <t>KH1446</t>
        </is>
      </c>
      <c r="C2291" s="401" t="inlineStr">
        <is>
          <t>Công Ty TNHH Cơ Khí XD TM Thái Long - TP.HCM/ Anh Toản 01203.629.239</t>
        </is>
      </c>
      <c r="D2291" s="400" t="inlineStr">
        <is>
          <t>01203.629.239</t>
        </is>
      </c>
      <c r="E2291" s="402" t="n"/>
      <c r="F2291" s="401" t="inlineStr">
        <is>
          <t>183/14 QL 1K, KP5, P.Linh Xuân, Q.Thủ Đức, TP.HCM</t>
        </is>
      </c>
      <c r="G2291" s="400" t="inlineStr">
        <is>
          <t>SG/HCM</t>
        </is>
      </c>
      <c r="H2291" s="402" t="n"/>
      <c r="J2291" s="392">
        <f>IFERROR(UPPER(TRIM(B2291))&amp;"|"&amp;UPPER(TRIM(C2291))&amp;"|"&amp;UPPER(TRIM(D2291)),"")</f>
        <v/>
      </c>
    </row>
    <row r="2292" ht="15.75" customHeight="1" s="217">
      <c r="A2292" s="397" t="n">
        <v>2290</v>
      </c>
      <c r="B2292" s="397" t="inlineStr">
        <is>
          <t>KH1447</t>
        </is>
      </c>
      <c r="C2292" s="398" t="inlineStr">
        <is>
          <t>Anh Đạt - Gia Lai/ 0905.182.324</t>
        </is>
      </c>
      <c r="D2292" s="397" t="inlineStr">
        <is>
          <t>0905.182.324</t>
        </is>
      </c>
      <c r="E2292" s="399" t="n"/>
      <c r="F2292" s="398" t="inlineStr">
        <is>
          <t>Gia Lai</t>
        </is>
      </c>
      <c r="G2292" s="397" t="inlineStr">
        <is>
          <t>GLAI</t>
        </is>
      </c>
      <c r="H2292" s="399" t="n"/>
      <c r="J2292" s="392">
        <f>IFERROR(UPPER(TRIM(B2292))&amp;"|"&amp;UPPER(TRIM(C2292))&amp;"|"&amp;UPPER(TRIM(D2292)),"")</f>
        <v/>
      </c>
    </row>
    <row r="2293" ht="15.75" customHeight="1" s="217">
      <c r="A2293" s="400" t="n">
        <v>2291</v>
      </c>
      <c r="B2293" s="400" t="inlineStr">
        <is>
          <t>KH1442</t>
        </is>
      </c>
      <c r="C2293" s="401" t="inlineStr">
        <is>
          <t>Cty Đại Minh Quân - Anh Giới, SG / 0913.657.306</t>
        </is>
      </c>
      <c r="D2293" s="400" t="inlineStr">
        <is>
          <t>0913.657.306</t>
        </is>
      </c>
      <c r="E2293" s="402" t="n"/>
      <c r="F2293" s="401" t="inlineStr">
        <is>
          <t>59/3 KP2, P.An Phú, Thuận An, BD</t>
        </is>
      </c>
      <c r="G2293" s="400" t="inlineStr">
        <is>
          <t>SG/HCM</t>
        </is>
      </c>
      <c r="H2293" s="402" t="n"/>
      <c r="J2293" s="392">
        <f>IFERROR(UPPER(TRIM(B2293))&amp;"|"&amp;UPPER(TRIM(C2293))&amp;"|"&amp;UPPER(TRIM(D2293)),"")</f>
        <v/>
      </c>
    </row>
    <row r="2294" ht="15.75" customHeight="1" s="217">
      <c r="A2294" s="397" t="n">
        <v>2292</v>
      </c>
      <c r="B2294" s="397" t="inlineStr">
        <is>
          <t>KH1443</t>
        </is>
      </c>
      <c r="C2294" s="398" t="inlineStr">
        <is>
          <t>Anh Soái - Đồng Nai/ 0970.021.298</t>
        </is>
      </c>
      <c r="D2294" s="397" t="inlineStr">
        <is>
          <t>0970.021.298</t>
        </is>
      </c>
      <c r="E2294" s="399" t="n"/>
      <c r="F2294" s="398" t="inlineStr">
        <is>
          <t>Đồng Nai</t>
        </is>
      </c>
      <c r="G2294" s="397" t="inlineStr">
        <is>
          <t>ÐNAI</t>
        </is>
      </c>
      <c r="H2294" s="399" t="n"/>
      <c r="J2294" s="392">
        <f>IFERROR(UPPER(TRIM(B2294))&amp;"|"&amp;UPPER(TRIM(C2294))&amp;"|"&amp;UPPER(TRIM(D2294)),"")</f>
        <v/>
      </c>
    </row>
    <row r="2295" ht="15.75" customHeight="1" s="217">
      <c r="A2295" s="400" t="n">
        <v>2293</v>
      </c>
      <c r="B2295" s="400" t="inlineStr">
        <is>
          <t>KH1444</t>
        </is>
      </c>
      <c r="C2295" s="401" t="inlineStr">
        <is>
          <t>Anh Phong - Duyên Hải/0987.857.271</t>
        </is>
      </c>
      <c r="D2295" s="400" t="inlineStr">
        <is>
          <t>0987.857.271</t>
        </is>
      </c>
      <c r="E2295" s="402" t="n"/>
      <c r="F2295" s="401" t="inlineStr">
        <is>
          <t>Duyên Hải - Trà Vinh</t>
        </is>
      </c>
      <c r="G2295" s="400" t="inlineStr">
        <is>
          <t>TV</t>
        </is>
      </c>
      <c r="H2295" s="402" t="n"/>
      <c r="J2295" s="392">
        <f>IFERROR(UPPER(TRIM(B2295))&amp;"|"&amp;UPPER(TRIM(C2295))&amp;"|"&amp;UPPER(TRIM(D2295)),"")</f>
        <v/>
      </c>
    </row>
    <row r="2296" ht="15.75" customHeight="1" s="217">
      <c r="A2296" s="397" t="n">
        <v>2294</v>
      </c>
      <c r="B2296" s="397" t="inlineStr">
        <is>
          <t>KH1441</t>
        </is>
      </c>
      <c r="C2296" s="398" t="inlineStr">
        <is>
          <t>Anh Phong - Đà Lạt / 0919.256.256</t>
        </is>
      </c>
      <c r="D2296" s="397" t="inlineStr">
        <is>
          <t>0919.256.256</t>
        </is>
      </c>
      <c r="E2296" s="399" t="n"/>
      <c r="F2296" s="398" t="inlineStr">
        <is>
          <t>Đà Lạt</t>
        </is>
      </c>
      <c r="G2296" s="397" t="inlineStr">
        <is>
          <t>LDONG</t>
        </is>
      </c>
      <c r="H2296" s="399" t="n"/>
      <c r="J2296" s="392">
        <f>IFERROR(UPPER(TRIM(B2296))&amp;"|"&amp;UPPER(TRIM(C2296))&amp;"|"&amp;UPPER(TRIM(D2296)),"")</f>
        <v/>
      </c>
    </row>
    <row r="2297" ht="15.75" customHeight="1" s="217">
      <c r="A2297" s="400" t="n">
        <v>2295</v>
      </c>
      <c r="B2297" s="400" t="inlineStr">
        <is>
          <t>MN49</t>
        </is>
      </c>
      <c r="C2297" s="401" t="inlineStr">
        <is>
          <t>Phan Văn Be</t>
        </is>
      </c>
      <c r="D2297" s="402" t="n"/>
      <c r="E2297" s="402" t="n"/>
      <c r="F2297" s="401" t="inlineStr">
        <is>
          <t>CTCP CG Miền Nam</t>
        </is>
      </c>
      <c r="G2297" s="402" t="n"/>
      <c r="H2297" s="402" t="n"/>
      <c r="J2297" s="392">
        <f>IFERROR(UPPER(TRIM(B2297))&amp;"|"&amp;UPPER(TRIM(C2297))&amp;"|"&amp;UPPER(TRIM(D2297)),"")</f>
        <v/>
      </c>
    </row>
    <row r="2298" ht="15.75" customHeight="1" s="217">
      <c r="A2298" s="397" t="n">
        <v>2296</v>
      </c>
      <c r="B2298" s="397" t="inlineStr">
        <is>
          <t>KH1440</t>
        </is>
      </c>
      <c r="C2298" s="398" t="inlineStr">
        <is>
          <t>Cửa Hàng Vạn Chính - Đắk Nông/ 0905.649.134</t>
        </is>
      </c>
      <c r="D2298" s="397" t="inlineStr">
        <is>
          <t>0905.649.134</t>
        </is>
      </c>
      <c r="E2298" s="399" t="n"/>
      <c r="F2298" s="398" t="inlineStr">
        <is>
          <t>Kiến Đức - Đắk Nông</t>
        </is>
      </c>
      <c r="G2298" s="397" t="inlineStr">
        <is>
          <t>DNONG</t>
        </is>
      </c>
      <c r="H2298" s="399" t="n"/>
      <c r="J2298" s="392">
        <f>IFERROR(UPPER(TRIM(B2298))&amp;"|"&amp;UPPER(TRIM(C2298))&amp;"|"&amp;UPPER(TRIM(D2298)),"")</f>
        <v/>
      </c>
    </row>
    <row r="2299" ht="15.75" customHeight="1" s="217">
      <c r="A2299" s="400" t="n">
        <v>2297</v>
      </c>
      <c r="B2299" s="400" t="inlineStr">
        <is>
          <t>KH1438</t>
        </is>
      </c>
      <c r="C2299" s="401" t="inlineStr">
        <is>
          <t>Anh Hải - Q2/ 0963.651.361</t>
        </is>
      </c>
      <c r="D2299" s="400" t="inlineStr">
        <is>
          <t>0963.651.361</t>
        </is>
      </c>
      <c r="E2299" s="402" t="n"/>
      <c r="F2299" s="401" t="inlineStr">
        <is>
          <t>Q2 - TP.HCM</t>
        </is>
      </c>
      <c r="G2299" s="400" t="inlineStr">
        <is>
          <t>SG/HCM</t>
        </is>
      </c>
      <c r="H2299" s="402" t="n"/>
      <c r="J2299" s="392">
        <f>IFERROR(UPPER(TRIM(B2299))&amp;"|"&amp;UPPER(TRIM(C2299))&amp;"|"&amp;UPPER(TRIM(D2299)),"")</f>
        <v/>
      </c>
    </row>
    <row r="2300" ht="15.75" customHeight="1" s="217">
      <c r="A2300" s="397" t="n">
        <v>2298</v>
      </c>
      <c r="B2300" s="397" t="inlineStr">
        <is>
          <t>KH1439</t>
        </is>
      </c>
      <c r="C2300" s="398" t="inlineStr">
        <is>
          <t>Anh Lạt - Bảo Lộc/ 0908.834.155</t>
        </is>
      </c>
      <c r="D2300" s="397" t="inlineStr">
        <is>
          <t>0908.834.155</t>
        </is>
      </c>
      <c r="E2300" s="399" t="n"/>
      <c r="F2300" s="398" t="inlineStr">
        <is>
          <t>Bảo Lộc - Lâm Đồng</t>
        </is>
      </c>
      <c r="G2300" s="397" t="inlineStr">
        <is>
          <t>LDONG</t>
        </is>
      </c>
      <c r="H2300" s="399" t="n"/>
      <c r="J2300" s="392">
        <f>IFERROR(UPPER(TRIM(B2300))&amp;"|"&amp;UPPER(TRIM(C2300))&amp;"|"&amp;UPPER(TRIM(D2300)),"")</f>
        <v/>
      </c>
    </row>
    <row r="2301" ht="15.75" customHeight="1" s="217">
      <c r="A2301" s="400" t="n">
        <v>2299</v>
      </c>
      <c r="B2301" s="400" t="inlineStr">
        <is>
          <t>MN48</t>
        </is>
      </c>
      <c r="C2301" s="401" t="inlineStr">
        <is>
          <t>Lê Văn Thành</t>
        </is>
      </c>
      <c r="D2301" s="402" t="n"/>
      <c r="E2301" s="402" t="n"/>
      <c r="F2301" s="401" t="inlineStr">
        <is>
          <t>CTCP CG Miền Nam</t>
        </is>
      </c>
      <c r="G2301" s="402" t="n"/>
      <c r="H2301" s="402" t="n"/>
      <c r="J2301" s="392">
        <f>IFERROR(UPPER(TRIM(B2301))&amp;"|"&amp;UPPER(TRIM(C2301))&amp;"|"&amp;UPPER(TRIM(D2301)),"")</f>
        <v/>
      </c>
    </row>
    <row r="2302" ht="15.75" customHeight="1" s="217">
      <c r="A2302" s="397" t="n">
        <v>2300</v>
      </c>
      <c r="B2302" s="397" t="inlineStr">
        <is>
          <t>KH1437</t>
        </is>
      </c>
      <c r="C2302" s="398" t="inlineStr">
        <is>
          <t>Anh Minh - Bảo Lộc / 0986.083.323</t>
        </is>
      </c>
      <c r="D2302" s="397" t="inlineStr">
        <is>
          <t>0986.083.323</t>
        </is>
      </c>
      <c r="E2302" s="399" t="n"/>
      <c r="F2302" s="398" t="inlineStr">
        <is>
          <t>Bảo Lộc, Lâm Đồng</t>
        </is>
      </c>
      <c r="G2302" s="397" t="inlineStr">
        <is>
          <t>LDONG</t>
        </is>
      </c>
      <c r="H2302" s="399" t="n"/>
      <c r="J2302" s="392">
        <f>IFERROR(UPPER(TRIM(B2302))&amp;"|"&amp;UPPER(TRIM(C2302))&amp;"|"&amp;UPPER(TRIM(D2302)),"")</f>
        <v/>
      </c>
    </row>
    <row r="2303" ht="15.75" customHeight="1" s="217">
      <c r="A2303" s="400" t="n">
        <v>2301</v>
      </c>
      <c r="B2303" s="400" t="inlineStr">
        <is>
          <t>KH1432</t>
        </is>
      </c>
      <c r="C2303" s="401" t="inlineStr">
        <is>
          <t>Anh Khánh - Phú Yên/ 0905.499.515</t>
        </is>
      </c>
      <c r="D2303" s="400" t="inlineStr">
        <is>
          <t>0905.499.515</t>
        </is>
      </c>
      <c r="E2303" s="402" t="n"/>
      <c r="F2303" s="401" t="inlineStr">
        <is>
          <t>Phú Yên</t>
        </is>
      </c>
      <c r="G2303" s="400" t="inlineStr">
        <is>
          <t>PYEN</t>
        </is>
      </c>
      <c r="H2303" s="402" t="n"/>
      <c r="J2303" s="392">
        <f>IFERROR(UPPER(TRIM(B2303))&amp;"|"&amp;UPPER(TRIM(C2303))&amp;"|"&amp;UPPER(TRIM(D2303)),"")</f>
        <v/>
      </c>
    </row>
    <row r="2304" ht="15.75" customHeight="1" s="217">
      <c r="A2304" s="397" t="n">
        <v>2302</v>
      </c>
      <c r="B2304" s="397" t="inlineStr">
        <is>
          <t>KH1433</t>
        </is>
      </c>
      <c r="C2304" s="398" t="inlineStr">
        <is>
          <t>Anh Hiếu - Bình Thuận/ 0983.083.889</t>
        </is>
      </c>
      <c r="D2304" s="397" t="inlineStr">
        <is>
          <t>0983.083.889</t>
        </is>
      </c>
      <c r="E2304" s="399" t="n"/>
      <c r="F2304" s="398" t="inlineStr">
        <is>
          <t>Bình Thuận</t>
        </is>
      </c>
      <c r="G2304" s="397" t="inlineStr">
        <is>
          <t>BTHUAN</t>
        </is>
      </c>
      <c r="H2304" s="399" t="n"/>
      <c r="J2304" s="392">
        <f>IFERROR(UPPER(TRIM(B2304))&amp;"|"&amp;UPPER(TRIM(C2304))&amp;"|"&amp;UPPER(TRIM(D2304)),"")</f>
        <v/>
      </c>
    </row>
    <row r="2305" ht="15.75" customHeight="1" s="217">
      <c r="A2305" s="400" t="n">
        <v>2303</v>
      </c>
      <c r="B2305" s="400" t="inlineStr">
        <is>
          <t>KH1434</t>
        </is>
      </c>
      <c r="C2305" s="401" t="inlineStr">
        <is>
          <t>Anh Tú Anh - Vạn Dã/ 0916.452.945</t>
        </is>
      </c>
      <c r="D2305" s="400" t="inlineStr">
        <is>
          <t>0916.452.945</t>
        </is>
      </c>
      <c r="E2305" s="402" t="n"/>
      <c r="F2305" s="401" t="inlineStr">
        <is>
          <t>Vạn Dã - Khánh Hòa</t>
        </is>
      </c>
      <c r="G2305" s="400" t="inlineStr">
        <is>
          <t>NTRANG</t>
        </is>
      </c>
      <c r="H2305" s="402" t="n"/>
      <c r="J2305" s="392">
        <f>IFERROR(UPPER(TRIM(B2305))&amp;"|"&amp;UPPER(TRIM(C2305))&amp;"|"&amp;UPPER(TRIM(D2305)),"")</f>
        <v/>
      </c>
    </row>
    <row r="2306" ht="15.75" customHeight="1" s="217">
      <c r="A2306" s="397" t="n">
        <v>2304</v>
      </c>
      <c r="B2306" s="397" t="inlineStr">
        <is>
          <t>KH1435</t>
        </is>
      </c>
      <c r="C2306" s="398" t="inlineStr">
        <is>
          <t>Anh Phương - Long Xuyên, An Giang / 0965.411.125</t>
        </is>
      </c>
      <c r="D2306" s="397" t="inlineStr">
        <is>
          <t>0965.411.125</t>
        </is>
      </c>
      <c r="E2306" s="399" t="n"/>
      <c r="F2306" s="398" t="inlineStr">
        <is>
          <t>Long Xuyên, An Giang</t>
        </is>
      </c>
      <c r="G2306" s="397" t="inlineStr">
        <is>
          <t>ANGIANG</t>
        </is>
      </c>
      <c r="H2306" s="399" t="n"/>
      <c r="J2306" s="392">
        <f>IFERROR(UPPER(TRIM(B2306))&amp;"|"&amp;UPPER(TRIM(C2306))&amp;"|"&amp;UPPER(TRIM(D2306)),"")</f>
        <v/>
      </c>
    </row>
    <row r="2307" ht="15.75" customHeight="1" s="217">
      <c r="A2307" s="400" t="n">
        <v>2305</v>
      </c>
      <c r="B2307" s="400" t="inlineStr">
        <is>
          <t>KH1436</t>
        </is>
      </c>
      <c r="C2307" s="401" t="inlineStr">
        <is>
          <t>Anh An - Gia Lai/0989.667.448</t>
        </is>
      </c>
      <c r="D2307" s="400" t="inlineStr">
        <is>
          <t>0989.667.448</t>
        </is>
      </c>
      <c r="E2307" s="402" t="n"/>
      <c r="F2307" s="401" t="inlineStr">
        <is>
          <t>Gia Lai</t>
        </is>
      </c>
      <c r="G2307" s="400" t="inlineStr">
        <is>
          <t>GLAI</t>
        </is>
      </c>
      <c r="H2307" s="402" t="n"/>
      <c r="J2307" s="392">
        <f>IFERROR(UPPER(TRIM(B2307))&amp;"|"&amp;UPPER(TRIM(C2307))&amp;"|"&amp;UPPER(TRIM(D2307)),"")</f>
        <v/>
      </c>
    </row>
    <row r="2308" ht="15.75" customHeight="1" s="217">
      <c r="A2308" s="397" t="n">
        <v>2306</v>
      </c>
      <c r="B2308" s="397" t="inlineStr">
        <is>
          <t>KH1431</t>
        </is>
      </c>
      <c r="C2308" s="398" t="inlineStr">
        <is>
          <t>Anh Minh - Ngã 4 Bình Phước / 0918.428.407</t>
        </is>
      </c>
      <c r="D2308" s="397" t="inlineStr">
        <is>
          <t>0918.428.407</t>
        </is>
      </c>
      <c r="E2308" s="399" t="n"/>
      <c r="F2308" s="398" t="inlineStr">
        <is>
          <t>Ngã 4 Bình Phước, SG</t>
        </is>
      </c>
      <c r="G2308" s="397" t="inlineStr">
        <is>
          <t>SG/HCM</t>
        </is>
      </c>
      <c r="H2308" s="399" t="n"/>
      <c r="J2308" s="392">
        <f>IFERROR(UPPER(TRIM(B2308))&amp;"|"&amp;UPPER(TRIM(C2308))&amp;"|"&amp;UPPER(TRIM(D2308)),"")</f>
        <v/>
      </c>
    </row>
    <row r="2309" ht="15.75" customHeight="1" s="217">
      <c r="A2309" s="400" t="n">
        <v>2307</v>
      </c>
      <c r="B2309" s="400" t="inlineStr">
        <is>
          <t>KH1430</t>
        </is>
      </c>
      <c r="C2309" s="401" t="inlineStr">
        <is>
          <t>Xưởng Thanh Giang - Bạc Liêu / 0919.627.628</t>
        </is>
      </c>
      <c r="D2309" s="400" t="inlineStr">
        <is>
          <t>0919.627.628</t>
        </is>
      </c>
      <c r="E2309" s="402" t="n"/>
      <c r="F2309" s="401" t="inlineStr">
        <is>
          <t>Bạc Liêu</t>
        </is>
      </c>
      <c r="G2309" s="400" t="inlineStr">
        <is>
          <t>BLIEU</t>
        </is>
      </c>
      <c r="H2309" s="402" t="n"/>
      <c r="J2309" s="392">
        <f>IFERROR(UPPER(TRIM(B2309))&amp;"|"&amp;UPPER(TRIM(C2309))&amp;"|"&amp;UPPER(TRIM(D2309)),"")</f>
        <v/>
      </c>
    </row>
    <row r="2310" ht="15.75" customHeight="1" s="217">
      <c r="A2310" s="397" t="n">
        <v>2308</v>
      </c>
      <c r="B2310" s="397" t="inlineStr">
        <is>
          <t>KH1429</t>
        </is>
      </c>
      <c r="C2310" s="398" t="inlineStr">
        <is>
          <t>Anh Quang - Quảng Ngãi/0906.750.389</t>
        </is>
      </c>
      <c r="D2310" s="397" t="inlineStr">
        <is>
          <t>0906.750.389</t>
        </is>
      </c>
      <c r="E2310" s="399" t="n"/>
      <c r="F2310" s="398" t="inlineStr">
        <is>
          <t>Quảng Ngãi</t>
        </is>
      </c>
      <c r="G2310" s="397" t="inlineStr">
        <is>
          <t>QUNGAI</t>
        </is>
      </c>
      <c r="H2310" s="399" t="n"/>
      <c r="J2310" s="392">
        <f>IFERROR(UPPER(TRIM(B2310))&amp;"|"&amp;UPPER(TRIM(C2310))&amp;"|"&amp;UPPER(TRIM(D2310)),"")</f>
        <v/>
      </c>
    </row>
    <row r="2311" ht="15.75" customHeight="1" s="217">
      <c r="A2311" s="400" t="n">
        <v>2309</v>
      </c>
      <c r="B2311" s="400" t="inlineStr">
        <is>
          <t>KH1428</t>
        </is>
      </c>
      <c r="C2311" s="401" t="inlineStr">
        <is>
          <t>Anh Dũng - Trà Vinh/ 0913.855.006</t>
        </is>
      </c>
      <c r="D2311" s="400" t="inlineStr">
        <is>
          <t>0913.855.006</t>
        </is>
      </c>
      <c r="E2311" s="402" t="n"/>
      <c r="F2311" s="403" t="n"/>
      <c r="G2311" s="400" t="inlineStr">
        <is>
          <t>TV</t>
        </is>
      </c>
      <c r="H2311" s="402" t="n"/>
      <c r="J2311" s="392">
        <f>IFERROR(UPPER(TRIM(B2311))&amp;"|"&amp;UPPER(TRIM(C2311))&amp;"|"&amp;UPPER(TRIM(D2311)),"")</f>
        <v/>
      </c>
    </row>
    <row r="2312" ht="15.75" customHeight="1" s="217">
      <c r="A2312" s="397" t="n">
        <v>2310</v>
      </c>
      <c r="B2312" s="397" t="inlineStr">
        <is>
          <t>KH1426</t>
        </is>
      </c>
      <c r="C2312" s="398" t="inlineStr">
        <is>
          <t>Anh Huy - Đắk Nông/ 0972.271.029</t>
        </is>
      </c>
      <c r="D2312" s="397" t="inlineStr">
        <is>
          <t>0972.271.029</t>
        </is>
      </c>
      <c r="E2312" s="399" t="n"/>
      <c r="F2312" s="398" t="inlineStr">
        <is>
          <t>Đắk Nông</t>
        </is>
      </c>
      <c r="G2312" s="397" t="inlineStr">
        <is>
          <t>DNONG</t>
        </is>
      </c>
      <c r="H2312" s="399" t="n"/>
      <c r="J2312" s="392">
        <f>IFERROR(UPPER(TRIM(B2312))&amp;"|"&amp;UPPER(TRIM(C2312))&amp;"|"&amp;UPPER(TRIM(D2312)),"")</f>
        <v/>
      </c>
    </row>
    <row r="2313" ht="15.75" customHeight="1" s="217">
      <c r="A2313" s="400" t="n">
        <v>2311</v>
      </c>
      <c r="B2313" s="400" t="inlineStr">
        <is>
          <t>KH1427</t>
        </is>
      </c>
      <c r="C2313" s="401" t="inlineStr">
        <is>
          <t>Anh Dũng - Tri Tôn/ 0945.118.479</t>
        </is>
      </c>
      <c r="D2313" s="400" t="inlineStr">
        <is>
          <t>0945.118.479</t>
        </is>
      </c>
      <c r="E2313" s="402" t="n"/>
      <c r="F2313" s="401" t="inlineStr">
        <is>
          <t>Tri Tôn - An Giang</t>
        </is>
      </c>
      <c r="G2313" s="400" t="inlineStr">
        <is>
          <t>ANGIANG</t>
        </is>
      </c>
      <c r="H2313" s="402" t="n"/>
      <c r="J2313" s="392">
        <f>IFERROR(UPPER(TRIM(B2313))&amp;"|"&amp;UPPER(TRIM(C2313))&amp;"|"&amp;UPPER(TRIM(D2313)),"")</f>
        <v/>
      </c>
    </row>
    <row r="2314" ht="15.75" customHeight="1" s="217">
      <c r="A2314" s="397" t="n">
        <v>2312</v>
      </c>
      <c r="B2314" s="397" t="inlineStr">
        <is>
          <t>KH1424</t>
        </is>
      </c>
      <c r="C2314" s="398" t="inlineStr">
        <is>
          <t>Anh Tuấn - Bảo Lộc/ 0977.528.045</t>
        </is>
      </c>
      <c r="D2314" s="397" t="inlineStr">
        <is>
          <t>0977.528.045</t>
        </is>
      </c>
      <c r="E2314" s="399" t="n"/>
      <c r="F2314" s="398" t="inlineStr">
        <is>
          <t>bảo Lộc - Lâm Đồng</t>
        </is>
      </c>
      <c r="G2314" s="397" t="inlineStr">
        <is>
          <t>LDONG</t>
        </is>
      </c>
      <c r="H2314" s="399" t="n"/>
      <c r="J2314" s="392">
        <f>IFERROR(UPPER(TRIM(B2314))&amp;"|"&amp;UPPER(TRIM(C2314))&amp;"|"&amp;UPPER(TRIM(D2314)),"")</f>
        <v/>
      </c>
    </row>
    <row r="2315" ht="15.75" customHeight="1" s="217">
      <c r="A2315" s="400" t="n">
        <v>2313</v>
      </c>
      <c r="B2315" s="400" t="inlineStr">
        <is>
          <t>KH1425</t>
        </is>
      </c>
      <c r="C2315" s="401" t="inlineStr">
        <is>
          <t>Cửa Hàng Sỹ Liêm - Đắk Lắk/ 0987.519.519</t>
        </is>
      </c>
      <c r="D2315" s="400" t="inlineStr">
        <is>
          <t>0987.519.519</t>
        </is>
      </c>
      <c r="E2315" s="402" t="n"/>
      <c r="F2315" s="401" t="inlineStr">
        <is>
          <t>Thị Trấn Eakar - Đắk Lắk</t>
        </is>
      </c>
      <c r="G2315" s="400" t="inlineStr">
        <is>
          <t>ÐL</t>
        </is>
      </c>
      <c r="H2315" s="402" t="n"/>
      <c r="J2315" s="392">
        <f>IFERROR(UPPER(TRIM(B2315))&amp;"|"&amp;UPPER(TRIM(C2315))&amp;"|"&amp;UPPER(TRIM(D2315)),"")</f>
        <v/>
      </c>
    </row>
    <row r="2316" ht="15.75" customHeight="1" s="217">
      <c r="A2316" s="397" t="n">
        <v>2314</v>
      </c>
      <c r="B2316" s="397" t="inlineStr">
        <is>
          <t>KH1423</t>
        </is>
      </c>
      <c r="C2316" s="398" t="inlineStr">
        <is>
          <t>Anh Sang - Bình Thuận/ 0965.444.622</t>
        </is>
      </c>
      <c r="D2316" s="397" t="inlineStr">
        <is>
          <t>0965.444.622</t>
        </is>
      </c>
      <c r="E2316" s="399" t="n"/>
      <c r="F2316" s="398" t="inlineStr">
        <is>
          <t>Bình Thuận</t>
        </is>
      </c>
      <c r="G2316" s="397" t="inlineStr">
        <is>
          <t>BTHUAN</t>
        </is>
      </c>
      <c r="H2316" s="399" t="n"/>
      <c r="J2316" s="392">
        <f>IFERROR(UPPER(TRIM(B2316))&amp;"|"&amp;UPPER(TRIM(C2316))&amp;"|"&amp;UPPER(TRIM(D2316)),"")</f>
        <v/>
      </c>
    </row>
    <row r="2317" ht="15.75" customHeight="1" s="217">
      <c r="A2317" s="400" t="n">
        <v>2315</v>
      </c>
      <c r="B2317" s="400" t="inlineStr">
        <is>
          <t>KH1420</t>
        </is>
      </c>
      <c r="C2317" s="401" t="inlineStr">
        <is>
          <t>Xưởng Anh Phước - Q7/ 0934.242.477</t>
        </is>
      </c>
      <c r="D2317" s="400" t="inlineStr">
        <is>
          <t>0934.242.477</t>
        </is>
      </c>
      <c r="E2317" s="402" t="n"/>
      <c r="F2317" s="401" t="inlineStr">
        <is>
          <t>Cầu Rạch Đĩa, Q7, TP.HCM</t>
        </is>
      </c>
      <c r="G2317" s="400" t="inlineStr">
        <is>
          <t>SG/HCM</t>
        </is>
      </c>
      <c r="H2317" s="402" t="n"/>
      <c r="J2317" s="392">
        <f>IFERROR(UPPER(TRIM(B2317))&amp;"|"&amp;UPPER(TRIM(C2317))&amp;"|"&amp;UPPER(TRIM(D2317)),"")</f>
        <v/>
      </c>
    </row>
    <row r="2318" ht="15.75" customHeight="1" s="217">
      <c r="A2318" s="397" t="n">
        <v>2316</v>
      </c>
      <c r="B2318" s="397" t="inlineStr">
        <is>
          <t>KH1421</t>
        </is>
      </c>
      <c r="C2318" s="398" t="inlineStr">
        <is>
          <t>Chú Hải - Bến Tre / 0918.758.762</t>
        </is>
      </c>
      <c r="D2318" s="397" t="inlineStr">
        <is>
          <t>0918.758.762</t>
        </is>
      </c>
      <c r="E2318" s="399" t="n"/>
      <c r="F2318" s="398" t="inlineStr">
        <is>
          <t>Bến Tre</t>
        </is>
      </c>
      <c r="G2318" s="397" t="inlineStr">
        <is>
          <t>BTRE</t>
        </is>
      </c>
      <c r="H2318" s="399" t="n"/>
      <c r="J2318" s="392">
        <f>IFERROR(UPPER(TRIM(B2318))&amp;"|"&amp;UPPER(TRIM(C2318))&amp;"|"&amp;UPPER(TRIM(D2318)),"")</f>
        <v/>
      </c>
    </row>
    <row r="2319" ht="15.75" customHeight="1" s="217">
      <c r="A2319" s="400" t="n">
        <v>2317</v>
      </c>
      <c r="B2319" s="400" t="inlineStr">
        <is>
          <t>KH1422</t>
        </is>
      </c>
      <c r="C2319" s="401" t="inlineStr">
        <is>
          <t>(Không sử dụng)Anh Dương - An Giang/ 0913.565.752</t>
        </is>
      </c>
      <c r="D2319" s="400" t="inlineStr">
        <is>
          <t>0913.565.752</t>
        </is>
      </c>
      <c r="E2319" s="402" t="n"/>
      <c r="F2319" s="401" t="inlineStr">
        <is>
          <t>Long Xuyên - An Giang</t>
        </is>
      </c>
      <c r="G2319" s="400" t="inlineStr">
        <is>
          <t>ANGIANG</t>
        </is>
      </c>
      <c r="H2319" s="402" t="n"/>
      <c r="J2319" s="392">
        <f>IFERROR(UPPER(TRIM(B2319))&amp;"|"&amp;UPPER(TRIM(C2319))&amp;"|"&amp;UPPER(TRIM(D2319)),"")</f>
        <v/>
      </c>
    </row>
    <row r="2320" ht="15.75" customHeight="1" s="217">
      <c r="A2320" s="397" t="n">
        <v>2318</v>
      </c>
      <c r="B2320" s="397" t="inlineStr">
        <is>
          <t>KH1417</t>
        </is>
      </c>
      <c r="C2320" s="398" t="inlineStr">
        <is>
          <t>Anh Thành  -Q7 / 0915.755.678</t>
        </is>
      </c>
      <c r="D2320" s="397" t="inlineStr">
        <is>
          <t>0915.755.678</t>
        </is>
      </c>
      <c r="E2320" s="399" t="n"/>
      <c r="F2320" s="398" t="inlineStr">
        <is>
          <t>Q7, SG</t>
        </is>
      </c>
      <c r="G2320" s="397" t="inlineStr">
        <is>
          <t>SG/HCM</t>
        </is>
      </c>
      <c r="H2320" s="399" t="n"/>
      <c r="J2320" s="392">
        <f>IFERROR(UPPER(TRIM(B2320))&amp;"|"&amp;UPPER(TRIM(C2320))&amp;"|"&amp;UPPER(TRIM(D2320)),"")</f>
        <v/>
      </c>
    </row>
    <row r="2321" ht="15.75" customHeight="1" s="217">
      <c r="A2321" s="400" t="n">
        <v>2319</v>
      </c>
      <c r="B2321" s="400" t="inlineStr">
        <is>
          <t>KH1418</t>
        </is>
      </c>
      <c r="C2321" s="401" t="inlineStr">
        <is>
          <t>Anh Lâm - Q5 / 0908.134.585</t>
        </is>
      </c>
      <c r="D2321" s="400" t="inlineStr">
        <is>
          <t>0908.134.585</t>
        </is>
      </c>
      <c r="E2321" s="402" t="n"/>
      <c r="F2321" s="401" t="inlineStr">
        <is>
          <t>Q5, SG</t>
        </is>
      </c>
      <c r="G2321" s="400" t="inlineStr">
        <is>
          <t>SG/HCM</t>
        </is>
      </c>
      <c r="H2321" s="402" t="n"/>
      <c r="J2321" s="392">
        <f>IFERROR(UPPER(TRIM(B2321))&amp;"|"&amp;UPPER(TRIM(C2321))&amp;"|"&amp;UPPER(TRIM(D2321)),"")</f>
        <v/>
      </c>
    </row>
    <row r="2322" ht="15.75" customHeight="1" s="217">
      <c r="A2322" s="397" t="n">
        <v>2320</v>
      </c>
      <c r="B2322" s="397" t="inlineStr">
        <is>
          <t>KH1419</t>
        </is>
      </c>
      <c r="C2322" s="398" t="inlineStr">
        <is>
          <t>Anh Độ - Q7/ 01693.086.867</t>
        </is>
      </c>
      <c r="D2322" s="397" t="inlineStr">
        <is>
          <t>01693.086.867</t>
        </is>
      </c>
      <c r="E2322" s="399" t="n"/>
      <c r="F2322" s="398" t="inlineStr">
        <is>
          <t>Q7 - TP.HCM</t>
        </is>
      </c>
      <c r="G2322" s="397" t="inlineStr">
        <is>
          <t>SG/HCM</t>
        </is>
      </c>
      <c r="H2322" s="399" t="n"/>
      <c r="J2322" s="392">
        <f>IFERROR(UPPER(TRIM(B2322))&amp;"|"&amp;UPPER(TRIM(C2322))&amp;"|"&amp;UPPER(TRIM(D2322)),"")</f>
        <v/>
      </c>
    </row>
    <row r="2323" ht="15.75" customHeight="1" s="217">
      <c r="A2323" s="400" t="n">
        <v>2321</v>
      </c>
      <c r="B2323" s="400" t="inlineStr">
        <is>
          <t>KH1414</t>
        </is>
      </c>
      <c r="C2323" s="401" t="inlineStr">
        <is>
          <t>Anh Hòa - Bình Thuận/ 01684.443.367</t>
        </is>
      </c>
      <c r="D2323" s="400" t="inlineStr">
        <is>
          <t>01684.443.367</t>
        </is>
      </c>
      <c r="E2323" s="402" t="n"/>
      <c r="F2323" s="401" t="inlineStr">
        <is>
          <t>Bình Thuận</t>
        </is>
      </c>
      <c r="G2323" s="400" t="inlineStr">
        <is>
          <t>BTHUAN</t>
        </is>
      </c>
      <c r="H2323" s="402" t="n"/>
      <c r="J2323" s="392">
        <f>IFERROR(UPPER(TRIM(B2323))&amp;"|"&amp;UPPER(TRIM(C2323))&amp;"|"&amp;UPPER(TRIM(D2323)),"")</f>
        <v/>
      </c>
    </row>
    <row r="2324" ht="15.75" customHeight="1" s="217">
      <c r="A2324" s="397" t="n">
        <v>2322</v>
      </c>
      <c r="B2324" s="397" t="inlineStr">
        <is>
          <t>KH1415</t>
        </is>
      </c>
      <c r="C2324" s="398" t="inlineStr">
        <is>
          <t>Anh Hiếu - Q7/ 0938.204.239</t>
        </is>
      </c>
      <c r="D2324" s="397" t="inlineStr">
        <is>
          <t>0938.204.239</t>
        </is>
      </c>
      <c r="E2324" s="399" t="n"/>
      <c r="F2324" s="398" t="inlineStr">
        <is>
          <t>Q7 - TP.HCM</t>
        </is>
      </c>
      <c r="G2324" s="397" t="inlineStr">
        <is>
          <t>SG/HCM</t>
        </is>
      </c>
      <c r="H2324" s="399" t="n"/>
      <c r="J2324" s="392">
        <f>IFERROR(UPPER(TRIM(B2324))&amp;"|"&amp;UPPER(TRIM(C2324))&amp;"|"&amp;UPPER(TRIM(D2324)),"")</f>
        <v/>
      </c>
    </row>
    <row r="2325" ht="15.75" customHeight="1" s="217">
      <c r="A2325" s="400" t="n">
        <v>2323</v>
      </c>
      <c r="B2325" s="400" t="inlineStr">
        <is>
          <t>KH1416</t>
        </is>
      </c>
      <c r="C2325" s="401" t="inlineStr">
        <is>
          <t>Anh Cường - Ngọc Hồi, Kontum / 0975.035.226</t>
        </is>
      </c>
      <c r="D2325" s="400" t="inlineStr">
        <is>
          <t>0975.035.226</t>
        </is>
      </c>
      <c r="E2325" s="402" t="n"/>
      <c r="F2325" s="401" t="inlineStr">
        <is>
          <t>Ngọc Hồi, Kon tum</t>
        </is>
      </c>
      <c r="G2325" s="400" t="inlineStr">
        <is>
          <t>KTUM</t>
        </is>
      </c>
      <c r="H2325" s="402" t="n"/>
      <c r="J2325" s="392">
        <f>IFERROR(UPPER(TRIM(B2325))&amp;"|"&amp;UPPER(TRIM(C2325))&amp;"|"&amp;UPPER(TRIM(D2325)),"")</f>
        <v/>
      </c>
    </row>
    <row r="2326" ht="15.75" customHeight="1" s="217">
      <c r="A2326" s="397" t="n">
        <v>2324</v>
      </c>
      <c r="B2326" s="397" t="inlineStr">
        <is>
          <t>KH1413</t>
        </is>
      </c>
      <c r="C2326" s="398" t="inlineStr">
        <is>
          <t>Chú Sơn - Hàng Xanh/ 0912.430.406</t>
        </is>
      </c>
      <c r="D2326" s="397" t="inlineStr">
        <is>
          <t>0912.430.406</t>
        </is>
      </c>
      <c r="E2326" s="399" t="n"/>
      <c r="F2326" s="398" t="inlineStr">
        <is>
          <t>Hàng Xanh - Sài Gòn</t>
        </is>
      </c>
      <c r="G2326" s="397" t="inlineStr">
        <is>
          <t>HX</t>
        </is>
      </c>
      <c r="H2326" s="399" t="n"/>
      <c r="J2326" s="392">
        <f>IFERROR(UPPER(TRIM(B2326))&amp;"|"&amp;UPPER(TRIM(C2326))&amp;"|"&amp;UPPER(TRIM(D2326)),"")</f>
        <v/>
      </c>
    </row>
    <row r="2327" ht="15.75" customHeight="1" s="217">
      <c r="A2327" s="400" t="n">
        <v>2325</v>
      </c>
      <c r="B2327" s="400" t="inlineStr">
        <is>
          <t>KH1412</t>
        </is>
      </c>
      <c r="C2327" s="401" t="inlineStr">
        <is>
          <t>Anh Trường - Lâm Hà/0974.852.525</t>
        </is>
      </c>
      <c r="D2327" s="400" t="inlineStr">
        <is>
          <t>0974.852.525</t>
        </is>
      </c>
      <c r="E2327" s="402" t="n"/>
      <c r="F2327" s="401" t="inlineStr">
        <is>
          <t>Lâm Hà - Lâm Đồng</t>
        </is>
      </c>
      <c r="G2327" s="400" t="inlineStr">
        <is>
          <t>LDONG</t>
        </is>
      </c>
      <c r="H2327" s="402" t="n"/>
      <c r="J2327" s="392">
        <f>IFERROR(UPPER(TRIM(B2327))&amp;"|"&amp;UPPER(TRIM(C2327))&amp;"|"&amp;UPPER(TRIM(D2327)),"")</f>
        <v/>
      </c>
    </row>
    <row r="2328" ht="15.75" customHeight="1" s="217">
      <c r="A2328" s="397" t="n">
        <v>2326</v>
      </c>
      <c r="B2328" s="397" t="inlineStr">
        <is>
          <t>KH1411</t>
        </is>
      </c>
      <c r="C2328" s="398" t="inlineStr">
        <is>
          <t>Anh Phúc - Cà Mau/ 0917.633.298</t>
        </is>
      </c>
      <c r="D2328" s="397" t="inlineStr">
        <is>
          <t>0917.633.298</t>
        </is>
      </c>
      <c r="E2328" s="399" t="n"/>
      <c r="F2328" s="398" t="inlineStr">
        <is>
          <t>Cà Mau</t>
        </is>
      </c>
      <c r="G2328" s="397" t="inlineStr">
        <is>
          <t>CMAU</t>
        </is>
      </c>
      <c r="H2328" s="399" t="n"/>
      <c r="J2328" s="392">
        <f>IFERROR(UPPER(TRIM(B2328))&amp;"|"&amp;UPPER(TRIM(C2328))&amp;"|"&amp;UPPER(TRIM(D2328)),"")</f>
        <v/>
      </c>
    </row>
    <row r="2329" ht="15.75" customHeight="1" s="217">
      <c r="A2329" s="400" t="n">
        <v>2327</v>
      </c>
      <c r="B2329" s="400" t="inlineStr">
        <is>
          <t>KH1410</t>
        </is>
      </c>
      <c r="C2329" s="401" t="inlineStr">
        <is>
          <t>Anh Nam - Gò Vấp / 0903.305.626</t>
        </is>
      </c>
      <c r="D2329" s="400" t="inlineStr">
        <is>
          <t>0903.305.626</t>
        </is>
      </c>
      <c r="E2329" s="402" t="n"/>
      <c r="F2329" s="401" t="inlineStr">
        <is>
          <t>Gò Vấp</t>
        </is>
      </c>
      <c r="G2329" s="400" t="inlineStr">
        <is>
          <t>SG/HCM</t>
        </is>
      </c>
      <c r="H2329" s="402" t="n"/>
      <c r="J2329" s="392">
        <f>IFERROR(UPPER(TRIM(B2329))&amp;"|"&amp;UPPER(TRIM(C2329))&amp;"|"&amp;UPPER(TRIM(D2329)),"")</f>
        <v/>
      </c>
    </row>
    <row r="2330" ht="15.75" customHeight="1" s="217">
      <c r="A2330" s="397" t="n">
        <v>2328</v>
      </c>
      <c r="B2330" s="397" t="inlineStr">
        <is>
          <t>KH1408</t>
        </is>
      </c>
      <c r="C2330" s="398" t="inlineStr">
        <is>
          <t>Anh PUN - Đắk Lắk/ 0943.937.550</t>
        </is>
      </c>
      <c r="D2330" s="397" t="inlineStr">
        <is>
          <t>0943.937.550</t>
        </is>
      </c>
      <c r="E2330" s="399" t="n"/>
      <c r="F2330" s="398" t="inlineStr">
        <is>
          <t>Đắk Lắk</t>
        </is>
      </c>
      <c r="G2330" s="397" t="inlineStr">
        <is>
          <t>ÐL</t>
        </is>
      </c>
      <c r="H2330" s="399" t="n"/>
      <c r="J2330" s="392">
        <f>IFERROR(UPPER(TRIM(B2330))&amp;"|"&amp;UPPER(TRIM(C2330))&amp;"|"&amp;UPPER(TRIM(D2330)),"")</f>
        <v/>
      </c>
    </row>
    <row r="2331" ht="15.75" customHeight="1" s="217">
      <c r="A2331" s="400" t="n">
        <v>2329</v>
      </c>
      <c r="B2331" s="400" t="inlineStr">
        <is>
          <t>KH1409</t>
        </is>
      </c>
      <c r="C2331" s="401" t="inlineStr">
        <is>
          <t>Anh Cường - Đồng Nai/ 0913.614.841</t>
        </is>
      </c>
      <c r="D2331" s="400" t="inlineStr">
        <is>
          <t>0913.614.841</t>
        </is>
      </c>
      <c r="E2331" s="402" t="n"/>
      <c r="F2331" s="401" t="inlineStr">
        <is>
          <t>Đồng Nai</t>
        </is>
      </c>
      <c r="G2331" s="400" t="inlineStr">
        <is>
          <t>ÐNAI</t>
        </is>
      </c>
      <c r="H2331" s="402" t="n"/>
      <c r="J2331" s="392">
        <f>IFERROR(UPPER(TRIM(B2331))&amp;"|"&amp;UPPER(TRIM(C2331))&amp;"|"&amp;UPPER(TRIM(D2331)),"")</f>
        <v/>
      </c>
    </row>
    <row r="2332" ht="15.75" customHeight="1" s="217">
      <c r="A2332" s="397" t="n">
        <v>2330</v>
      </c>
      <c r="B2332" s="397" t="inlineStr">
        <is>
          <t>KH1407</t>
        </is>
      </c>
      <c r="C2332" s="398" t="inlineStr">
        <is>
          <t>Bãi Máy Khải Kiệt - Bến Lức/ Anh Tuấn - 0913.668.076</t>
        </is>
      </c>
      <c r="D2332" s="397" t="inlineStr">
        <is>
          <t>0913.668.076</t>
        </is>
      </c>
      <c r="E2332" s="399" t="n"/>
      <c r="F2332" s="398" t="inlineStr">
        <is>
          <t>Cây Xăng Voi Lá - Bến Lức - Long An</t>
        </is>
      </c>
      <c r="G2332" s="397" t="inlineStr">
        <is>
          <t>LA</t>
        </is>
      </c>
      <c r="H2332" s="399" t="n"/>
      <c r="J2332" s="392">
        <f>IFERROR(UPPER(TRIM(B2332))&amp;"|"&amp;UPPER(TRIM(C2332))&amp;"|"&amp;UPPER(TRIM(D2332)),"")</f>
        <v/>
      </c>
    </row>
    <row r="2333" ht="15.75" customHeight="1" s="217">
      <c r="A2333" s="400" t="n">
        <v>2331</v>
      </c>
      <c r="B2333" s="400" t="inlineStr">
        <is>
          <t>KH1405</t>
        </is>
      </c>
      <c r="C2333" s="401" t="inlineStr">
        <is>
          <t>Anh Phúc - Tam Bình/ 0903.846.365</t>
        </is>
      </c>
      <c r="D2333" s="400" t="inlineStr">
        <is>
          <t>0903.846.365</t>
        </is>
      </c>
      <c r="E2333" s="402" t="n"/>
      <c r="F2333" s="401" t="inlineStr">
        <is>
          <t>Tam Bình - Thủ Đức - TP.HCM</t>
        </is>
      </c>
      <c r="G2333" s="400" t="inlineStr">
        <is>
          <t>SG/HCM</t>
        </is>
      </c>
      <c r="H2333" s="402" t="n"/>
      <c r="J2333" s="392">
        <f>IFERROR(UPPER(TRIM(B2333))&amp;"|"&amp;UPPER(TRIM(C2333))&amp;"|"&amp;UPPER(TRIM(D2333)),"")</f>
        <v/>
      </c>
    </row>
    <row r="2334" ht="15.75" customHeight="1" s="217">
      <c r="A2334" s="397" t="n">
        <v>2332</v>
      </c>
      <c r="B2334" s="397" t="inlineStr">
        <is>
          <t>KH1406</t>
        </is>
      </c>
      <c r="C2334" s="398" t="inlineStr">
        <is>
          <t>Anh Hải - Đồng Tháp/ 0979.358.886</t>
        </is>
      </c>
      <c r="D2334" s="397" t="inlineStr">
        <is>
          <t>0979.358.886</t>
        </is>
      </c>
      <c r="E2334" s="399" t="n"/>
      <c r="F2334" s="398" t="inlineStr">
        <is>
          <t>Cao Lãnh - Đồng Tháp</t>
        </is>
      </c>
      <c r="G2334" s="397" t="inlineStr">
        <is>
          <t>DTHAP</t>
        </is>
      </c>
      <c r="H2334" s="399" t="n"/>
      <c r="J2334" s="392">
        <f>IFERROR(UPPER(TRIM(B2334))&amp;"|"&amp;UPPER(TRIM(C2334))&amp;"|"&amp;UPPER(TRIM(D2334)),"")</f>
        <v/>
      </c>
    </row>
    <row r="2335" ht="15.75" customHeight="1" s="217">
      <c r="A2335" s="400" t="n">
        <v>2333</v>
      </c>
      <c r="B2335" s="400" t="inlineStr">
        <is>
          <t>KH1402</t>
        </is>
      </c>
      <c r="C2335" s="401" t="inlineStr">
        <is>
          <t>Gara Anh Đức - Lâm Đồng/0918.824.742</t>
        </is>
      </c>
      <c r="D2335" s="400" t="inlineStr">
        <is>
          <t>0918.824.742</t>
        </is>
      </c>
      <c r="E2335" s="402" t="n"/>
      <c r="F2335" s="401" t="inlineStr">
        <is>
          <t>Lâm Đồng</t>
        </is>
      </c>
      <c r="G2335" s="400" t="inlineStr">
        <is>
          <t>LDONG</t>
        </is>
      </c>
      <c r="H2335" s="402" t="n"/>
      <c r="J2335" s="392">
        <f>IFERROR(UPPER(TRIM(B2335))&amp;"|"&amp;UPPER(TRIM(C2335))&amp;"|"&amp;UPPER(TRIM(D2335)),"")</f>
        <v/>
      </c>
    </row>
    <row r="2336" ht="15.75" customHeight="1" s="217">
      <c r="A2336" s="397" t="n">
        <v>2334</v>
      </c>
      <c r="B2336" s="397" t="inlineStr">
        <is>
          <t>KH1403</t>
        </is>
      </c>
      <c r="C2336" s="398" t="inlineStr">
        <is>
          <t>Anh Đại - Phú Yên/0976.344.733</t>
        </is>
      </c>
      <c r="D2336" s="397" t="inlineStr">
        <is>
          <t>0976.344.733</t>
        </is>
      </c>
      <c r="E2336" s="399" t="n"/>
      <c r="F2336" s="398" t="inlineStr">
        <is>
          <t>Phú Yên</t>
        </is>
      </c>
      <c r="G2336" s="397" t="inlineStr">
        <is>
          <t>PYEN</t>
        </is>
      </c>
      <c r="H2336" s="399" t="n"/>
      <c r="J2336" s="392">
        <f>IFERROR(UPPER(TRIM(B2336))&amp;"|"&amp;UPPER(TRIM(C2336))&amp;"|"&amp;UPPER(TRIM(D2336)),"")</f>
        <v/>
      </c>
    </row>
    <row r="2337" ht="15.75" customHeight="1" s="217">
      <c r="A2337" s="400" t="n">
        <v>2335</v>
      </c>
      <c r="B2337" s="400" t="inlineStr">
        <is>
          <t>KH1404</t>
        </is>
      </c>
      <c r="C2337" s="401" t="inlineStr">
        <is>
          <t>Công Ty Tấn Phúc SJC - Bình Chánh/ Anh Huy - 0908.431.647</t>
        </is>
      </c>
      <c r="D2337" s="400" t="inlineStr">
        <is>
          <t>0908.431.647</t>
        </is>
      </c>
      <c r="E2337" s="402" t="n"/>
      <c r="F2337" s="401" t="inlineStr">
        <is>
          <t>Bình Chánh - TP.HCM</t>
        </is>
      </c>
      <c r="G2337" s="400" t="inlineStr">
        <is>
          <t>SG/HCM</t>
        </is>
      </c>
      <c r="H2337" s="402" t="n"/>
      <c r="J2337" s="392">
        <f>IFERROR(UPPER(TRIM(B2337))&amp;"|"&amp;UPPER(TRIM(C2337))&amp;"|"&amp;UPPER(TRIM(D2337)),"")</f>
        <v/>
      </c>
    </row>
    <row r="2338" ht="15.75" customHeight="1" s="217">
      <c r="A2338" s="397" t="n">
        <v>2336</v>
      </c>
      <c r="B2338" s="397" t="inlineStr">
        <is>
          <t>KH1400</t>
        </is>
      </c>
      <c r="C2338" s="398" t="inlineStr">
        <is>
          <t>Gara Hùng Cường - Tân Hà, Lâm Đồng / 0975.075.975</t>
        </is>
      </c>
      <c r="D2338" s="397" t="inlineStr">
        <is>
          <t>0975.075.975</t>
        </is>
      </c>
      <c r="E2338" s="399" t="n"/>
      <c r="F2338" s="398" t="inlineStr">
        <is>
          <t>Tân Hà, Lâm Hà, Lâm Đồng</t>
        </is>
      </c>
      <c r="G2338" s="397" t="inlineStr">
        <is>
          <t>LDONG</t>
        </is>
      </c>
      <c r="H2338" s="399" t="n"/>
      <c r="J2338" s="392">
        <f>IFERROR(UPPER(TRIM(B2338))&amp;"|"&amp;UPPER(TRIM(C2338))&amp;"|"&amp;UPPER(TRIM(D2338)),"")</f>
        <v/>
      </c>
    </row>
    <row r="2339" ht="15.75" customHeight="1" s="217">
      <c r="A2339" s="400" t="n">
        <v>2337</v>
      </c>
      <c r="B2339" s="400" t="inlineStr">
        <is>
          <t>KH1401</t>
        </is>
      </c>
      <c r="C2339" s="401" t="inlineStr">
        <is>
          <t>Anh Chung - Sài Gòn/ 0903.351.997</t>
        </is>
      </c>
      <c r="D2339" s="400" t="inlineStr">
        <is>
          <t>0903.351.997</t>
        </is>
      </c>
      <c r="E2339" s="402" t="n"/>
      <c r="F2339" s="401" t="inlineStr">
        <is>
          <t>Sài Gòn</t>
        </is>
      </c>
      <c r="G2339" s="400" t="inlineStr">
        <is>
          <t>SG/HCM</t>
        </is>
      </c>
      <c r="H2339" s="402" t="n"/>
      <c r="J2339" s="392">
        <f>IFERROR(UPPER(TRIM(B2339))&amp;"|"&amp;UPPER(TRIM(C2339))&amp;"|"&amp;UPPER(TRIM(D2339)),"")</f>
        <v/>
      </c>
    </row>
    <row r="2340" ht="15.75" customHeight="1" s="217">
      <c r="A2340" s="397" t="n">
        <v>2338</v>
      </c>
      <c r="B2340" s="397" t="inlineStr">
        <is>
          <t>KH1399</t>
        </is>
      </c>
      <c r="C2340" s="398" t="inlineStr">
        <is>
          <t>Bãi Máy Chín Khiêm - Bình Chánh/0916.534.148</t>
        </is>
      </c>
      <c r="D2340" s="397" t="inlineStr">
        <is>
          <t>0916.534.148</t>
        </is>
      </c>
      <c r="E2340" s="399" t="n"/>
      <c r="F2340" s="398" t="inlineStr">
        <is>
          <t>Gần Chợ Bình Chánh, SG</t>
        </is>
      </c>
      <c r="G2340" s="397" t="inlineStr">
        <is>
          <t>SG/HCM</t>
        </is>
      </c>
      <c r="H2340" s="399" t="n"/>
      <c r="J2340" s="392">
        <f>IFERROR(UPPER(TRIM(B2340))&amp;"|"&amp;UPPER(TRIM(C2340))&amp;"|"&amp;UPPER(TRIM(D2340)),"")</f>
        <v/>
      </c>
    </row>
    <row r="2341" ht="15.75" customHeight="1" s="217">
      <c r="A2341" s="400" t="n">
        <v>2339</v>
      </c>
      <c r="B2341" s="400" t="inlineStr">
        <is>
          <t>KH1398</t>
        </is>
      </c>
      <c r="C2341" s="401" t="inlineStr">
        <is>
          <t>Anh Ngon - Đồng Nai/ 0918.153.653</t>
        </is>
      </c>
      <c r="D2341" s="400" t="inlineStr">
        <is>
          <t>0918.153.653</t>
        </is>
      </c>
      <c r="E2341" s="402" t="n"/>
      <c r="F2341" s="401" t="inlineStr">
        <is>
          <t>Đồng Nai</t>
        </is>
      </c>
      <c r="G2341" s="400" t="inlineStr">
        <is>
          <t>ÐNAI</t>
        </is>
      </c>
      <c r="H2341" s="402" t="n"/>
      <c r="J2341" s="392">
        <f>IFERROR(UPPER(TRIM(B2341))&amp;"|"&amp;UPPER(TRIM(C2341))&amp;"|"&amp;UPPER(TRIM(D2341)),"")</f>
        <v/>
      </c>
    </row>
    <row r="2342" ht="15.75" customHeight="1" s="217">
      <c r="A2342" s="397" t="n">
        <v>2340</v>
      </c>
      <c r="B2342" s="397" t="inlineStr">
        <is>
          <t>KH1395</t>
        </is>
      </c>
      <c r="C2342" s="398" t="inlineStr">
        <is>
          <t>SKY - CPC/ 0719.222.999</t>
        </is>
      </c>
      <c r="D2342" s="397" t="inlineStr">
        <is>
          <t>0719.222.999</t>
        </is>
      </c>
      <c r="E2342" s="399" t="n"/>
      <c r="F2342" s="398" t="inlineStr">
        <is>
          <t>Cambodia</t>
        </is>
      </c>
      <c r="G2342" s="397" t="inlineStr">
        <is>
          <t>CPC</t>
        </is>
      </c>
      <c r="H2342" s="399" t="n"/>
      <c r="J2342" s="392">
        <f>IFERROR(UPPER(TRIM(B2342))&amp;"|"&amp;UPPER(TRIM(C2342))&amp;"|"&amp;UPPER(TRIM(D2342)),"")</f>
        <v/>
      </c>
    </row>
    <row r="2343" ht="15.75" customHeight="1" s="217">
      <c r="A2343" s="400" t="n">
        <v>2341</v>
      </c>
      <c r="B2343" s="400" t="inlineStr">
        <is>
          <t>KH1396</t>
        </is>
      </c>
      <c r="C2343" s="401" t="inlineStr">
        <is>
          <t>Anh Hà - Sài Gòn/ 0913.104.774</t>
        </is>
      </c>
      <c r="D2343" s="400" t="inlineStr">
        <is>
          <t>0913.104.774</t>
        </is>
      </c>
      <c r="E2343" s="402" t="n"/>
      <c r="F2343" s="401" t="inlineStr">
        <is>
          <t>Sài Gòn</t>
        </is>
      </c>
      <c r="G2343" s="400" t="inlineStr">
        <is>
          <t>SG/HCM</t>
        </is>
      </c>
      <c r="H2343" s="402" t="n"/>
      <c r="J2343" s="392">
        <f>IFERROR(UPPER(TRIM(B2343))&amp;"|"&amp;UPPER(TRIM(C2343))&amp;"|"&amp;UPPER(TRIM(D2343)),"")</f>
        <v/>
      </c>
    </row>
    <row r="2344" ht="15.75" customHeight="1" s="217">
      <c r="A2344" s="397" t="n">
        <v>2342</v>
      </c>
      <c r="B2344" s="397" t="inlineStr">
        <is>
          <t>KH1397</t>
        </is>
      </c>
      <c r="C2344" s="398" t="inlineStr">
        <is>
          <t>Anh Khánh - Cần Thơ/ 0919.063.957</t>
        </is>
      </c>
      <c r="D2344" s="397" t="inlineStr">
        <is>
          <t>0919.063.957</t>
        </is>
      </c>
      <c r="E2344" s="399" t="n"/>
      <c r="F2344" s="398" t="inlineStr">
        <is>
          <t>Cần Thơ</t>
        </is>
      </c>
      <c r="G2344" s="397" t="inlineStr">
        <is>
          <t>CTHO</t>
        </is>
      </c>
      <c r="H2344" s="399" t="n"/>
      <c r="J2344" s="392">
        <f>IFERROR(UPPER(TRIM(B2344))&amp;"|"&amp;UPPER(TRIM(C2344))&amp;"|"&amp;UPPER(TRIM(D2344)),"")</f>
        <v/>
      </c>
    </row>
    <row r="2345" ht="15.75" customHeight="1" s="217">
      <c r="A2345" s="400" t="n">
        <v>2343</v>
      </c>
      <c r="B2345" s="400" t="inlineStr">
        <is>
          <t>KH1394</t>
        </is>
      </c>
      <c r="C2345" s="401" t="inlineStr">
        <is>
          <t>Anh Mạnh Vũ - Đắk Lăk/ 0917.237.479</t>
        </is>
      </c>
      <c r="D2345" s="400" t="inlineStr">
        <is>
          <t>0917.237.479</t>
        </is>
      </c>
      <c r="E2345" s="402" t="n"/>
      <c r="F2345" s="401" t="inlineStr">
        <is>
          <t>Đắk Lăk</t>
        </is>
      </c>
      <c r="G2345" s="400" t="inlineStr">
        <is>
          <t>ÐL</t>
        </is>
      </c>
      <c r="H2345" s="402" t="n"/>
      <c r="J2345" s="392">
        <f>IFERROR(UPPER(TRIM(B2345))&amp;"|"&amp;UPPER(TRIM(C2345))&amp;"|"&amp;UPPER(TRIM(D2345)),"")</f>
        <v/>
      </c>
    </row>
    <row r="2346" ht="15.75" customHeight="1" s="217">
      <c r="A2346" s="397" t="n">
        <v>2344</v>
      </c>
      <c r="B2346" s="397" t="inlineStr">
        <is>
          <t>KH1392</t>
        </is>
      </c>
      <c r="C2346" s="398" t="inlineStr">
        <is>
          <t>Anh Kiếm - Đức Trọng/ 0919.710.787</t>
        </is>
      </c>
      <c r="D2346" s="397" t="inlineStr">
        <is>
          <t>0919.710.787</t>
        </is>
      </c>
      <c r="E2346" s="399" t="n"/>
      <c r="F2346" s="398" t="inlineStr">
        <is>
          <t>Đức Trọng - Lâm Đồng</t>
        </is>
      </c>
      <c r="G2346" s="397" t="inlineStr">
        <is>
          <t>LDONG</t>
        </is>
      </c>
      <c r="H2346" s="399" t="n"/>
      <c r="J2346" s="392">
        <f>IFERROR(UPPER(TRIM(B2346))&amp;"|"&amp;UPPER(TRIM(C2346))&amp;"|"&amp;UPPER(TRIM(D2346)),"")</f>
        <v/>
      </c>
    </row>
    <row r="2347" ht="15.75" customHeight="1" s="217">
      <c r="A2347" s="400" t="n">
        <v>2345</v>
      </c>
      <c r="B2347" s="400" t="inlineStr">
        <is>
          <t>KH1393</t>
        </is>
      </c>
      <c r="C2347" s="401" t="inlineStr">
        <is>
          <t>Công Ty CP Trung Hoa - Đồng Nai/ anh Trung - 0989.635.717</t>
        </is>
      </c>
      <c r="D2347" s="400" t="inlineStr">
        <is>
          <t>0989.635.717</t>
        </is>
      </c>
      <c r="E2347" s="402" t="n"/>
      <c r="F2347" s="401" t="inlineStr">
        <is>
          <t>Đồng Nai</t>
        </is>
      </c>
      <c r="G2347" s="400" t="inlineStr">
        <is>
          <t>ÐNAI</t>
        </is>
      </c>
      <c r="H2347" s="402" t="n"/>
      <c r="J2347" s="392">
        <f>IFERROR(UPPER(TRIM(B2347))&amp;"|"&amp;UPPER(TRIM(C2347))&amp;"|"&amp;UPPER(TRIM(D2347)),"")</f>
        <v/>
      </c>
    </row>
    <row r="2348" ht="15.75" customHeight="1" s="217">
      <c r="A2348" s="397" t="n">
        <v>2346</v>
      </c>
      <c r="B2348" s="397" t="inlineStr">
        <is>
          <t>KH1391</t>
        </is>
      </c>
      <c r="C2348" s="398" t="inlineStr">
        <is>
          <t>Anh Cường - Bình Dương / 0918.355.690</t>
        </is>
      </c>
      <c r="D2348" s="397" t="inlineStr">
        <is>
          <t>0918.355.690</t>
        </is>
      </c>
      <c r="E2348" s="399" t="n"/>
      <c r="F2348" s="398" t="inlineStr">
        <is>
          <t>Bình Dương</t>
        </is>
      </c>
      <c r="G2348" s="397" t="inlineStr">
        <is>
          <t>BDUONG</t>
        </is>
      </c>
      <c r="H2348" s="399" t="n"/>
      <c r="J2348" s="392">
        <f>IFERROR(UPPER(TRIM(B2348))&amp;"|"&amp;UPPER(TRIM(C2348))&amp;"|"&amp;UPPER(TRIM(D2348)),"")</f>
        <v/>
      </c>
    </row>
    <row r="2349" ht="15.75" customHeight="1" s="217">
      <c r="A2349" s="400" t="n">
        <v>2347</v>
      </c>
      <c r="B2349" s="400" t="inlineStr">
        <is>
          <t>KH1388</t>
        </is>
      </c>
      <c r="C2349" s="401" t="inlineStr">
        <is>
          <t>Anh Hòa - Biên Hòa/ 0903.949.957</t>
        </is>
      </c>
      <c r="D2349" s="400" t="inlineStr">
        <is>
          <t>0903.949.957</t>
        </is>
      </c>
      <c r="E2349" s="402" t="n"/>
      <c r="F2349" s="401" t="inlineStr">
        <is>
          <t>Biên Hòa - Đồng Nai</t>
        </is>
      </c>
      <c r="G2349" s="400" t="inlineStr">
        <is>
          <t>ÐNAI</t>
        </is>
      </c>
      <c r="H2349" s="402" t="n"/>
      <c r="J2349" s="392">
        <f>IFERROR(UPPER(TRIM(B2349))&amp;"|"&amp;UPPER(TRIM(C2349))&amp;"|"&amp;UPPER(TRIM(D2349)),"")</f>
        <v/>
      </c>
    </row>
    <row r="2350" ht="15.75" customHeight="1" s="217">
      <c r="A2350" s="397" t="n">
        <v>2348</v>
      </c>
      <c r="B2350" s="397" t="inlineStr">
        <is>
          <t>KH1389</t>
        </is>
      </c>
      <c r="C2350" s="398" t="inlineStr">
        <is>
          <t>Anh Hồ - Đức Trọng/ 0941.483.871</t>
        </is>
      </c>
      <c r="D2350" s="397" t="inlineStr">
        <is>
          <t>0941.483.871</t>
        </is>
      </c>
      <c r="E2350" s="399" t="n"/>
      <c r="F2350" s="398" t="inlineStr">
        <is>
          <t>Đức Trọng - Lâm Đồng</t>
        </is>
      </c>
      <c r="G2350" s="397" t="inlineStr">
        <is>
          <t>LDONG</t>
        </is>
      </c>
      <c r="H2350" s="399" t="n"/>
      <c r="J2350" s="392">
        <f>IFERROR(UPPER(TRIM(B2350))&amp;"|"&amp;UPPER(TRIM(C2350))&amp;"|"&amp;UPPER(TRIM(D2350)),"")</f>
        <v/>
      </c>
    </row>
    <row r="2351" ht="15.75" customHeight="1" s="217">
      <c r="A2351" s="400" t="n">
        <v>2349</v>
      </c>
      <c r="B2351" s="400" t="inlineStr">
        <is>
          <t>KH1390</t>
        </is>
      </c>
      <c r="C2351" s="401" t="inlineStr">
        <is>
          <t>Cty BOT Vietracimex8 - Anh Dũng - hà Nội / 0979.868.773</t>
        </is>
      </c>
      <c r="D2351" s="400" t="inlineStr">
        <is>
          <t>0979.868.773</t>
        </is>
      </c>
      <c r="E2351" s="402" t="n"/>
      <c r="F2351" s="401" t="inlineStr">
        <is>
          <t>Hà Nội</t>
        </is>
      </c>
      <c r="G2351" s="400" t="inlineStr">
        <is>
          <t>HN</t>
        </is>
      </c>
      <c r="H2351" s="402" t="n"/>
      <c r="J2351" s="392">
        <f>IFERROR(UPPER(TRIM(B2351))&amp;"|"&amp;UPPER(TRIM(C2351))&amp;"|"&amp;UPPER(TRIM(D2351)),"")</f>
        <v/>
      </c>
    </row>
    <row r="2352" ht="15.75" customHeight="1" s="217">
      <c r="A2352" s="397" t="n">
        <v>2350</v>
      </c>
      <c r="B2352" s="397" t="inlineStr">
        <is>
          <t>KH1387</t>
        </is>
      </c>
      <c r="C2352" s="398" t="inlineStr">
        <is>
          <t>Anh Tuấn - Đắk Nông/ 0977.220.039</t>
        </is>
      </c>
      <c r="D2352" s="397" t="inlineStr">
        <is>
          <t>0977.220.039</t>
        </is>
      </c>
      <c r="E2352" s="399" t="n"/>
      <c r="F2352" s="398" t="inlineStr">
        <is>
          <t>Đăk Nông</t>
        </is>
      </c>
      <c r="G2352" s="397" t="inlineStr">
        <is>
          <t>DNONG</t>
        </is>
      </c>
      <c r="H2352" s="399" t="n"/>
      <c r="J2352" s="392">
        <f>IFERROR(UPPER(TRIM(B2352))&amp;"|"&amp;UPPER(TRIM(C2352))&amp;"|"&amp;UPPER(TRIM(D2352)),"")</f>
        <v/>
      </c>
    </row>
    <row r="2353" ht="15.75" customHeight="1" s="217">
      <c r="A2353" s="400" t="n">
        <v>2351</v>
      </c>
      <c r="B2353" s="400" t="inlineStr">
        <is>
          <t>KH1386</t>
        </is>
      </c>
      <c r="C2353" s="401" t="inlineStr">
        <is>
          <t>Anh Thiên - Bến Lức/ 0918.199.756</t>
        </is>
      </c>
      <c r="D2353" s="400" t="inlineStr">
        <is>
          <t>0918.199.756</t>
        </is>
      </c>
      <c r="E2353" s="402" t="n"/>
      <c r="F2353" s="401" t="inlineStr">
        <is>
          <t>Bến Lức - Long AN</t>
        </is>
      </c>
      <c r="G2353" s="400" t="inlineStr">
        <is>
          <t>LA</t>
        </is>
      </c>
      <c r="H2353" s="402" t="n"/>
      <c r="J2353" s="392">
        <f>IFERROR(UPPER(TRIM(B2353))&amp;"|"&amp;UPPER(TRIM(C2353))&amp;"|"&amp;UPPER(TRIM(D2353)),"")</f>
        <v/>
      </c>
    </row>
    <row r="2354" ht="15.75" customHeight="1" s="217">
      <c r="A2354" s="397" t="n">
        <v>2352</v>
      </c>
      <c r="B2354" s="397" t="inlineStr">
        <is>
          <t>KH1384</t>
        </is>
      </c>
      <c r="C2354" s="398" t="inlineStr">
        <is>
          <t>Anh Hòa - Bình Dương/ 0986.791.791</t>
        </is>
      </c>
      <c r="D2354" s="397" t="inlineStr">
        <is>
          <t>0986.791.791</t>
        </is>
      </c>
      <c r="E2354" s="399" t="n"/>
      <c r="F2354" s="398" t="inlineStr">
        <is>
          <t>Bình Dương</t>
        </is>
      </c>
      <c r="G2354" s="397" t="inlineStr">
        <is>
          <t>BDUONG</t>
        </is>
      </c>
      <c r="H2354" s="399" t="n"/>
      <c r="J2354" s="392">
        <f>IFERROR(UPPER(TRIM(B2354))&amp;"|"&amp;UPPER(TRIM(C2354))&amp;"|"&amp;UPPER(TRIM(D2354)),"")</f>
        <v/>
      </c>
    </row>
    <row r="2355" ht="15.75" customHeight="1" s="217">
      <c r="A2355" s="400" t="n">
        <v>2353</v>
      </c>
      <c r="B2355" s="400" t="inlineStr">
        <is>
          <t>KH1385</t>
        </is>
      </c>
      <c r="C2355" s="401" t="inlineStr">
        <is>
          <t>Cty Phúc Ninh - Anh Ninh, SG / 0988.244.255</t>
        </is>
      </c>
      <c r="D2355" s="400" t="inlineStr">
        <is>
          <t>0988.244.255</t>
        </is>
      </c>
      <c r="E2355" s="402" t="n"/>
      <c r="F2355" s="401" t="inlineStr">
        <is>
          <t>249 Nguyễn Văn Tạo, Logn Thới, Nhà Bè, HCM</t>
        </is>
      </c>
      <c r="G2355" s="400" t="inlineStr">
        <is>
          <t>SG/HCM</t>
        </is>
      </c>
      <c r="H2355" s="402" t="n"/>
      <c r="J2355" s="392">
        <f>IFERROR(UPPER(TRIM(B2355))&amp;"|"&amp;UPPER(TRIM(C2355))&amp;"|"&amp;UPPER(TRIM(D2355)),"")</f>
        <v/>
      </c>
    </row>
    <row r="2356" ht="15.75" customHeight="1" s="217">
      <c r="A2356" s="397" t="n">
        <v>2354</v>
      </c>
      <c r="B2356" s="397" t="inlineStr">
        <is>
          <t>KH1383</t>
        </is>
      </c>
      <c r="C2356" s="398" t="inlineStr">
        <is>
          <t>Anh Nhật - Bến Tre / 0913.657.946</t>
        </is>
      </c>
      <c r="D2356" s="397" t="inlineStr">
        <is>
          <t>0913.657.946</t>
        </is>
      </c>
      <c r="E2356" s="399" t="n"/>
      <c r="F2356" s="398" t="inlineStr">
        <is>
          <t>Bến Tre</t>
        </is>
      </c>
      <c r="G2356" s="397" t="inlineStr">
        <is>
          <t>BTRE</t>
        </is>
      </c>
      <c r="H2356" s="399" t="n"/>
      <c r="J2356" s="392">
        <f>IFERROR(UPPER(TRIM(B2356))&amp;"|"&amp;UPPER(TRIM(C2356))&amp;"|"&amp;UPPER(TRIM(D2356)),"")</f>
        <v/>
      </c>
    </row>
    <row r="2357" ht="15.75" customHeight="1" s="217">
      <c r="A2357" s="400" t="n">
        <v>2355</v>
      </c>
      <c r="B2357" s="400" t="inlineStr">
        <is>
          <t>KH1382</t>
        </is>
      </c>
      <c r="C2357" s="401" t="inlineStr">
        <is>
          <t>Anh Thành - Đăk Lăk / 01692.621.118</t>
        </is>
      </c>
      <c r="D2357" s="400" t="inlineStr">
        <is>
          <t>01692.621.118</t>
        </is>
      </c>
      <c r="E2357" s="402" t="n"/>
      <c r="F2357" s="401" t="inlineStr">
        <is>
          <t>Đăk Lăk</t>
        </is>
      </c>
      <c r="G2357" s="400" t="inlineStr">
        <is>
          <t>ÐL</t>
        </is>
      </c>
      <c r="H2357" s="402" t="n"/>
      <c r="J2357" s="392">
        <f>IFERROR(UPPER(TRIM(B2357))&amp;"|"&amp;UPPER(TRIM(C2357))&amp;"|"&amp;UPPER(TRIM(D2357)),"")</f>
        <v/>
      </c>
    </row>
    <row r="2358" ht="15.75" customHeight="1" s="217">
      <c r="A2358" s="397" t="n">
        <v>2356</v>
      </c>
      <c r="B2358" s="397" t="inlineStr">
        <is>
          <t>KH1380</t>
        </is>
      </c>
      <c r="C2358" s="398" t="inlineStr">
        <is>
          <t>Anh Linh - Vĩnh Hưng/ 0918.593.758</t>
        </is>
      </c>
      <c r="D2358" s="397" t="inlineStr">
        <is>
          <t>0918.593.758</t>
        </is>
      </c>
      <c r="E2358" s="399" t="n"/>
      <c r="F2358" s="398" t="inlineStr">
        <is>
          <t>Vĩnh Hưng - Long AN</t>
        </is>
      </c>
      <c r="G2358" s="397" t="inlineStr">
        <is>
          <t>LA</t>
        </is>
      </c>
      <c r="H2358" s="399" t="n"/>
      <c r="J2358" s="392">
        <f>IFERROR(UPPER(TRIM(B2358))&amp;"|"&amp;UPPER(TRIM(C2358))&amp;"|"&amp;UPPER(TRIM(D2358)),"")</f>
        <v/>
      </c>
    </row>
    <row r="2359" ht="15.75" customHeight="1" s="217">
      <c r="A2359" s="400" t="n">
        <v>2357</v>
      </c>
      <c r="B2359" s="400" t="inlineStr">
        <is>
          <t>KH1381</t>
        </is>
      </c>
      <c r="C2359" s="401" t="inlineStr">
        <is>
          <t>DNTN Anh Long - Bình Dương/ 0983.950.558</t>
        </is>
      </c>
      <c r="D2359" s="400" t="inlineStr">
        <is>
          <t>0983.950.558</t>
        </is>
      </c>
      <c r="E2359" s="402" t="n"/>
      <c r="F2359" s="401" t="inlineStr">
        <is>
          <t>50 CMT8, Chành Mỹ, TP.Thủ Dầu Một, Bình Dương</t>
        </is>
      </c>
      <c r="G2359" s="400" t="inlineStr">
        <is>
          <t>BDUONG</t>
        </is>
      </c>
      <c r="H2359" s="402" t="n"/>
      <c r="J2359" s="392">
        <f>IFERROR(UPPER(TRIM(B2359))&amp;"|"&amp;UPPER(TRIM(C2359))&amp;"|"&amp;UPPER(TRIM(D2359)),"")</f>
        <v/>
      </c>
    </row>
    <row r="2360" ht="15.75" customHeight="1" s="217">
      <c r="A2360" s="397" t="n">
        <v>2358</v>
      </c>
      <c r="B2360" s="397" t="inlineStr">
        <is>
          <t>KH1376</t>
        </is>
      </c>
      <c r="C2360" s="398" t="inlineStr">
        <is>
          <t>Anh Bình - Đồng Tháp / 0966.879.673</t>
        </is>
      </c>
      <c r="D2360" s="397" t="inlineStr">
        <is>
          <t>0966.879.673</t>
        </is>
      </c>
      <c r="E2360" s="399" t="n"/>
      <c r="F2360" s="398" t="inlineStr">
        <is>
          <t>Đồng Tháp</t>
        </is>
      </c>
      <c r="G2360" s="397" t="inlineStr">
        <is>
          <t>DTHAP</t>
        </is>
      </c>
      <c r="H2360" s="399" t="n"/>
      <c r="J2360" s="392">
        <f>IFERROR(UPPER(TRIM(B2360))&amp;"|"&amp;UPPER(TRIM(C2360))&amp;"|"&amp;UPPER(TRIM(D2360)),"")</f>
        <v/>
      </c>
    </row>
    <row r="2361" ht="15.75" customHeight="1" s="217">
      <c r="A2361" s="400" t="n">
        <v>2359</v>
      </c>
      <c r="B2361" s="400" t="inlineStr">
        <is>
          <t>KH1377</t>
        </is>
      </c>
      <c r="C2361" s="401" t="inlineStr">
        <is>
          <t>Anh Dũng - Bình chánh (C) / 0909.211.394</t>
        </is>
      </c>
      <c r="D2361" s="400" t="inlineStr">
        <is>
          <t>0909.211.394</t>
        </is>
      </c>
      <c r="E2361" s="402" t="n"/>
      <c r="F2361" s="401" t="inlineStr">
        <is>
          <t>Bình Chánh, TP.HCM</t>
        </is>
      </c>
      <c r="G2361" s="400" t="inlineStr">
        <is>
          <t>SG/HCM</t>
        </is>
      </c>
      <c r="H2361" s="402" t="n"/>
      <c r="J2361" s="392">
        <f>IFERROR(UPPER(TRIM(B2361))&amp;"|"&amp;UPPER(TRIM(C2361))&amp;"|"&amp;UPPER(TRIM(D2361)),"")</f>
        <v/>
      </c>
    </row>
    <row r="2362" ht="15.75" customHeight="1" s="217">
      <c r="A2362" s="397" t="n">
        <v>2360</v>
      </c>
      <c r="B2362" s="397" t="inlineStr">
        <is>
          <t>KH1378</t>
        </is>
      </c>
      <c r="C2362" s="398" t="inlineStr">
        <is>
          <t>Anh Dương - Konum/ 01683.229.707</t>
        </is>
      </c>
      <c r="D2362" s="397" t="inlineStr">
        <is>
          <t>01683.229.707</t>
        </is>
      </c>
      <c r="E2362" s="399" t="n"/>
      <c r="F2362" s="398" t="inlineStr">
        <is>
          <t>Kontum</t>
        </is>
      </c>
      <c r="G2362" s="397" t="inlineStr">
        <is>
          <t>KTUM</t>
        </is>
      </c>
      <c r="H2362" s="399" t="n"/>
      <c r="J2362" s="392">
        <f>IFERROR(UPPER(TRIM(B2362))&amp;"|"&amp;UPPER(TRIM(C2362))&amp;"|"&amp;UPPER(TRIM(D2362)),"")</f>
        <v/>
      </c>
    </row>
    <row r="2363" ht="15.75" customHeight="1" s="217">
      <c r="A2363" s="400" t="n">
        <v>2361</v>
      </c>
      <c r="B2363" s="400" t="inlineStr">
        <is>
          <t>KH1379</t>
        </is>
      </c>
      <c r="C2363" s="401" t="inlineStr">
        <is>
          <t>Anh Biên - Quảng Bình/ 0913.099.632</t>
        </is>
      </c>
      <c r="D2363" s="400" t="inlineStr">
        <is>
          <t>0913.099.632</t>
        </is>
      </c>
      <c r="E2363" s="402" t="n"/>
      <c r="F2363" s="401" t="inlineStr">
        <is>
          <t>Quảng Bình</t>
        </is>
      </c>
      <c r="G2363" s="400" t="inlineStr">
        <is>
          <t>QB</t>
        </is>
      </c>
      <c r="H2363" s="402" t="n"/>
      <c r="J2363" s="392">
        <f>IFERROR(UPPER(TRIM(B2363))&amp;"|"&amp;UPPER(TRIM(C2363))&amp;"|"&amp;UPPER(TRIM(D2363)),"")</f>
        <v/>
      </c>
    </row>
    <row r="2364" ht="15.75" customHeight="1" s="217">
      <c r="A2364" s="397" t="n">
        <v>2362</v>
      </c>
      <c r="B2364" s="397" t="inlineStr">
        <is>
          <t>MN47</t>
        </is>
      </c>
      <c r="C2364" s="398" t="inlineStr">
        <is>
          <t>Chánh</t>
        </is>
      </c>
      <c r="D2364" s="399" t="n"/>
      <c r="E2364" s="399" t="n"/>
      <c r="F2364" s="398" t="inlineStr">
        <is>
          <t>CTCP CG Miền Nam</t>
        </is>
      </c>
      <c r="G2364" s="399" t="n"/>
      <c r="H2364" s="399" t="n"/>
      <c r="J2364" s="392">
        <f>IFERROR(UPPER(TRIM(B2364))&amp;"|"&amp;UPPER(TRIM(C2364))&amp;"|"&amp;UPPER(TRIM(D2364)),"")</f>
        <v/>
      </c>
    </row>
    <row r="2365" ht="15.75" customHeight="1" s="217">
      <c r="A2365" s="400" t="n">
        <v>2363</v>
      </c>
      <c r="B2365" s="400" t="inlineStr">
        <is>
          <t>KH1374</t>
        </is>
      </c>
      <c r="C2365" s="401" t="inlineStr">
        <is>
          <t>Cửa Hàng Hà Bình - TP. Buôn Mê Thuột/ 0911.468.479 - C.No: 0977.342.235</t>
        </is>
      </c>
      <c r="D2365" s="400" t="inlineStr">
        <is>
          <t>0911.468.479 / 0977.342.235</t>
        </is>
      </c>
      <c r="E2365" s="402" t="n"/>
      <c r="F2365" s="401" t="inlineStr">
        <is>
          <t>585 lê Duẩn, TP. Buôn Mê Thuột, Đăk Lăk</t>
        </is>
      </c>
      <c r="G2365" s="400" t="inlineStr">
        <is>
          <t>ÐL</t>
        </is>
      </c>
      <c r="H2365" s="402" t="n"/>
      <c r="J2365" s="392">
        <f>IFERROR(UPPER(TRIM(B2365))&amp;"|"&amp;UPPER(TRIM(C2365))&amp;"|"&amp;UPPER(TRIM(D2365)),"")</f>
        <v/>
      </c>
    </row>
    <row r="2366" ht="15.75" customHeight="1" s="217">
      <c r="A2366" s="397" t="n">
        <v>2364</v>
      </c>
      <c r="B2366" s="397" t="inlineStr">
        <is>
          <t>KH1375</t>
        </is>
      </c>
      <c r="C2366" s="398" t="inlineStr">
        <is>
          <t>Xưởng Chú Lộc - Sóc Trăng/ 0918.403.267</t>
        </is>
      </c>
      <c r="D2366" s="397" t="inlineStr">
        <is>
          <t>0918.403.267</t>
        </is>
      </c>
      <c r="E2366" s="399" t="n"/>
      <c r="F2366" s="398" t="inlineStr">
        <is>
          <t>Sóc Trăng</t>
        </is>
      </c>
      <c r="G2366" s="397" t="inlineStr">
        <is>
          <t>STRANG</t>
        </is>
      </c>
      <c r="H2366" s="399" t="n"/>
      <c r="J2366" s="392">
        <f>IFERROR(UPPER(TRIM(B2366))&amp;"|"&amp;UPPER(TRIM(C2366))&amp;"|"&amp;UPPER(TRIM(D2366)),"")</f>
        <v/>
      </c>
    </row>
    <row r="2367" ht="15.75" customHeight="1" s="217">
      <c r="A2367" s="400" t="n">
        <v>2365</v>
      </c>
      <c r="B2367" s="400" t="inlineStr">
        <is>
          <t>KH1369</t>
        </is>
      </c>
      <c r="C2367" s="401" t="inlineStr">
        <is>
          <t>Anh Mộng - Đức Hòa/ 0966.944.612</t>
        </is>
      </c>
      <c r="D2367" s="400" t="inlineStr">
        <is>
          <t>0966.944.612</t>
        </is>
      </c>
      <c r="E2367" s="402" t="n"/>
      <c r="F2367" s="401" t="inlineStr">
        <is>
          <t>Đức Hòa - Long An</t>
        </is>
      </c>
      <c r="G2367" s="400" t="inlineStr">
        <is>
          <t>LA</t>
        </is>
      </c>
      <c r="H2367" s="402" t="n"/>
      <c r="J2367" s="392">
        <f>IFERROR(UPPER(TRIM(B2367))&amp;"|"&amp;UPPER(TRIM(C2367))&amp;"|"&amp;UPPER(TRIM(D2367)),"")</f>
        <v/>
      </c>
    </row>
    <row r="2368" ht="15.75" customHeight="1" s="217">
      <c r="A2368" s="397" t="n">
        <v>2366</v>
      </c>
      <c r="B2368" s="397" t="inlineStr">
        <is>
          <t>KH1370</t>
        </is>
      </c>
      <c r="C2368" s="398" t="inlineStr">
        <is>
          <t>Anh Nghĩa - Đắk Lăk/ 0947.970.306</t>
        </is>
      </c>
      <c r="D2368" s="397" t="inlineStr">
        <is>
          <t>0947.970.306</t>
        </is>
      </c>
      <c r="E2368" s="399" t="n"/>
      <c r="F2368" s="398" t="inlineStr">
        <is>
          <t>Đắk Lăk</t>
        </is>
      </c>
      <c r="G2368" s="397" t="inlineStr">
        <is>
          <t>ÐL</t>
        </is>
      </c>
      <c r="H2368" s="399" t="n"/>
      <c r="J2368" s="392">
        <f>IFERROR(UPPER(TRIM(B2368))&amp;"|"&amp;UPPER(TRIM(C2368))&amp;"|"&amp;UPPER(TRIM(D2368)),"")</f>
        <v/>
      </c>
    </row>
    <row r="2369" ht="15.75" customHeight="1" s="217">
      <c r="A2369" s="400" t="n">
        <v>2367</v>
      </c>
      <c r="B2369" s="400" t="inlineStr">
        <is>
          <t>KH1367</t>
        </is>
      </c>
      <c r="C2369" s="401" t="inlineStr">
        <is>
          <t>Anh Lùn - Long An / 0982.885.346</t>
        </is>
      </c>
      <c r="D2369" s="400" t="inlineStr">
        <is>
          <t>0982.885.346</t>
        </is>
      </c>
      <c r="E2369" s="402" t="n"/>
      <c r="F2369" s="401" t="inlineStr">
        <is>
          <t>Long An</t>
        </is>
      </c>
      <c r="G2369" s="400" t="inlineStr">
        <is>
          <t>LA</t>
        </is>
      </c>
      <c r="H2369" s="402" t="n"/>
      <c r="J2369" s="392">
        <f>IFERROR(UPPER(TRIM(B2369))&amp;"|"&amp;UPPER(TRIM(C2369))&amp;"|"&amp;UPPER(TRIM(D2369)),"")</f>
        <v/>
      </c>
    </row>
    <row r="2370" ht="15.75" customHeight="1" s="217">
      <c r="A2370" s="397" t="n">
        <v>2368</v>
      </c>
      <c r="B2370" s="397" t="inlineStr">
        <is>
          <t>KH1368</t>
        </is>
      </c>
      <c r="C2370" s="398" t="inlineStr">
        <is>
          <t>Anh Duẩn - Long An/ 0982.841.866</t>
        </is>
      </c>
      <c r="D2370" s="397" t="inlineStr">
        <is>
          <t>0982.841.866</t>
        </is>
      </c>
      <c r="E2370" s="399" t="n"/>
      <c r="F2370" s="404" t="n"/>
      <c r="G2370" s="397" t="inlineStr">
        <is>
          <t>LA</t>
        </is>
      </c>
      <c r="H2370" s="399" t="n"/>
      <c r="J2370" s="392">
        <f>IFERROR(UPPER(TRIM(B2370))&amp;"|"&amp;UPPER(TRIM(C2370))&amp;"|"&amp;UPPER(TRIM(D2370)),"")</f>
        <v/>
      </c>
    </row>
    <row r="2371" ht="15.75" customHeight="1" s="217">
      <c r="A2371" s="400" t="n">
        <v>2369</v>
      </c>
      <c r="B2371" s="400" t="inlineStr">
        <is>
          <t>KH1366</t>
        </is>
      </c>
      <c r="C2371" s="401" t="inlineStr">
        <is>
          <t>Bãi Máy Chú Vàng - ĐHNL/0913.661.917</t>
        </is>
      </c>
      <c r="D2371" s="400" t="inlineStr">
        <is>
          <t>0913.661.917</t>
        </is>
      </c>
      <c r="E2371" s="402" t="n"/>
      <c r="F2371" s="401" t="inlineStr">
        <is>
          <t>Gần ĐH Nông Lâm - TP.HCM</t>
        </is>
      </c>
      <c r="G2371" s="400" t="inlineStr">
        <is>
          <t>SG/HCM</t>
        </is>
      </c>
      <c r="H2371" s="402" t="n"/>
      <c r="J2371" s="392">
        <f>IFERROR(UPPER(TRIM(B2371))&amp;"|"&amp;UPPER(TRIM(C2371))&amp;"|"&amp;UPPER(TRIM(D2371)),"")</f>
        <v/>
      </c>
    </row>
    <row r="2372" ht="15.75" customHeight="1" s="217">
      <c r="A2372" s="397" t="n">
        <v>2370</v>
      </c>
      <c r="B2372" s="397" t="inlineStr">
        <is>
          <t>KH1365</t>
        </is>
      </c>
      <c r="C2372" s="398" t="inlineStr">
        <is>
          <t>Công Ty TNHH Gốm Sứ Minh Phát - Bình Dương/ Chú Phương:  0974.818.779</t>
        </is>
      </c>
      <c r="D2372" s="397" t="inlineStr">
        <is>
          <t>0974.818.779</t>
        </is>
      </c>
      <c r="E2372" s="399" t="n"/>
      <c r="F2372" s="398" t="inlineStr">
        <is>
          <t>Bến Cát - Bình Dương</t>
        </is>
      </c>
      <c r="G2372" s="397" t="inlineStr">
        <is>
          <t>BDUONG</t>
        </is>
      </c>
      <c r="H2372" s="399" t="n"/>
      <c r="J2372" s="392">
        <f>IFERROR(UPPER(TRIM(B2372))&amp;"|"&amp;UPPER(TRIM(C2372))&amp;"|"&amp;UPPER(TRIM(D2372)),"")</f>
        <v/>
      </c>
    </row>
    <row r="2373" ht="15.75" customHeight="1" s="217">
      <c r="A2373" s="400" t="n">
        <v>2371</v>
      </c>
      <c r="B2373" s="400" t="inlineStr">
        <is>
          <t>KH1361</t>
        </is>
      </c>
      <c r="C2373" s="401" t="inlineStr">
        <is>
          <t>Anh Hoài - Vĩnh Hưng, Long An / 0168.555.6785</t>
        </is>
      </c>
      <c r="D2373" s="400" t="inlineStr">
        <is>
          <t>0168.555.6785</t>
        </is>
      </c>
      <c r="E2373" s="402" t="n"/>
      <c r="F2373" s="401" t="inlineStr">
        <is>
          <t>Vĩnh HƯng, Long An</t>
        </is>
      </c>
      <c r="G2373" s="400" t="inlineStr">
        <is>
          <t>LA</t>
        </is>
      </c>
      <c r="H2373" s="402" t="n"/>
      <c r="J2373" s="392">
        <f>IFERROR(UPPER(TRIM(B2373))&amp;"|"&amp;UPPER(TRIM(C2373))&amp;"|"&amp;UPPER(TRIM(D2373)),"")</f>
        <v/>
      </c>
    </row>
    <row r="2374" ht="15.75" customHeight="1" s="217">
      <c r="A2374" s="397" t="n">
        <v>2372</v>
      </c>
      <c r="B2374" s="397" t="inlineStr">
        <is>
          <t>KH1362</t>
        </is>
      </c>
      <c r="C2374" s="398" t="inlineStr">
        <is>
          <t>Bãi Máy Anh Tâm - Suối Tiên/ 0902.561.667</t>
        </is>
      </c>
      <c r="D2374" s="397" t="inlineStr">
        <is>
          <t>0902.561.667</t>
        </is>
      </c>
      <c r="E2374" s="399" t="n"/>
      <c r="F2374" s="398" t="inlineStr">
        <is>
          <t>Suối Tiên - TP.HCM</t>
        </is>
      </c>
      <c r="G2374" s="397" t="inlineStr">
        <is>
          <t>SG/HCM</t>
        </is>
      </c>
      <c r="H2374" s="399" t="n"/>
      <c r="J2374" s="392">
        <f>IFERROR(UPPER(TRIM(B2374))&amp;"|"&amp;UPPER(TRIM(C2374))&amp;"|"&amp;UPPER(TRIM(D2374)),"")</f>
        <v/>
      </c>
    </row>
    <row r="2375" ht="15.75" customHeight="1" s="217">
      <c r="A2375" s="400" t="n">
        <v>2373</v>
      </c>
      <c r="B2375" s="400" t="inlineStr">
        <is>
          <t>KH1363</t>
        </is>
      </c>
      <c r="C2375" s="401" t="inlineStr">
        <is>
          <t>Cửa hàng Ô Tô Thanh Thúy - Đồng Nai / 0906.678.080</t>
        </is>
      </c>
      <c r="D2375" s="400" t="inlineStr">
        <is>
          <t>0906.678.080</t>
        </is>
      </c>
      <c r="E2375" s="402" t="n"/>
      <c r="F2375" s="401" t="inlineStr">
        <is>
          <t>Đồng Nai</t>
        </is>
      </c>
      <c r="G2375" s="400" t="inlineStr">
        <is>
          <t>ÐNAI</t>
        </is>
      </c>
      <c r="H2375" s="402" t="n"/>
      <c r="J2375" s="392">
        <f>IFERROR(UPPER(TRIM(B2375))&amp;"|"&amp;UPPER(TRIM(C2375))&amp;"|"&amp;UPPER(TRIM(D2375)),"")</f>
        <v/>
      </c>
    </row>
    <row r="2376" ht="15.75" customHeight="1" s="217">
      <c r="A2376" s="397" t="n">
        <v>2374</v>
      </c>
      <c r="B2376" s="397" t="inlineStr">
        <is>
          <t>KH1364</t>
        </is>
      </c>
      <c r="C2376" s="398" t="inlineStr">
        <is>
          <t>Anh Đang - Quảng Ngãi/ 0913.418.490</t>
        </is>
      </c>
      <c r="D2376" s="397" t="inlineStr">
        <is>
          <t>0913.418.490</t>
        </is>
      </c>
      <c r="E2376" s="399" t="n"/>
      <c r="F2376" s="398" t="inlineStr">
        <is>
          <t>Quảng Ngãi</t>
        </is>
      </c>
      <c r="G2376" s="397" t="inlineStr">
        <is>
          <t>QUNGAI</t>
        </is>
      </c>
      <c r="H2376" s="399" t="n"/>
      <c r="J2376" s="392">
        <f>IFERROR(UPPER(TRIM(B2376))&amp;"|"&amp;UPPER(TRIM(C2376))&amp;"|"&amp;UPPER(TRIM(D2376)),"")</f>
        <v/>
      </c>
    </row>
    <row r="2377" ht="15.75" customHeight="1" s="217">
      <c r="A2377" s="400" t="n">
        <v>2375</v>
      </c>
      <c r="B2377" s="400" t="inlineStr">
        <is>
          <t>JH</t>
        </is>
      </c>
      <c r="C2377" s="401" t="inlineStr">
        <is>
          <t>QUANZHOU HUANGSHENGDA AUTOPART INDUSTRY CO., LTD</t>
        </is>
      </c>
      <c r="D2377" s="402" t="n"/>
      <c r="E2377" s="402" t="n"/>
      <c r="F2377" s="401" t="inlineStr">
        <is>
          <t>BinJiang AutoPart Base, Xiamei Town, Nan An City, Quanzhou, Fujian, China</t>
        </is>
      </c>
      <c r="G2377" s="402" t="n"/>
      <c r="H2377" s="402" t="n"/>
      <c r="J2377" s="392">
        <f>IFERROR(UPPER(TRIM(B2377))&amp;"|"&amp;UPPER(TRIM(C2377))&amp;"|"&amp;UPPER(TRIM(D2377)),"")</f>
        <v/>
      </c>
    </row>
    <row r="2378" ht="15.75" customHeight="1" s="217">
      <c r="A2378" s="397" t="n">
        <v>2376</v>
      </c>
      <c r="B2378" s="397" t="inlineStr">
        <is>
          <t>KH1360</t>
        </is>
      </c>
      <c r="C2378" s="398" t="inlineStr">
        <is>
          <t>Anh Hùng (L)  - Đăk Lăk / 0986.546.931</t>
        </is>
      </c>
      <c r="D2378" s="397" t="inlineStr">
        <is>
          <t>0986.546.931</t>
        </is>
      </c>
      <c r="E2378" s="399" t="n"/>
      <c r="F2378" s="398" t="inlineStr">
        <is>
          <t>Đăk Lăk</t>
        </is>
      </c>
      <c r="G2378" s="397" t="inlineStr">
        <is>
          <t>ÐL</t>
        </is>
      </c>
      <c r="H2378" s="399" t="n"/>
      <c r="J2378" s="392">
        <f>IFERROR(UPPER(TRIM(B2378))&amp;"|"&amp;UPPER(TRIM(C2378))&amp;"|"&amp;UPPER(TRIM(D2378)),"")</f>
        <v/>
      </c>
    </row>
    <row r="2379" ht="15.75" customHeight="1" s="217">
      <c r="A2379" s="400" t="n">
        <v>2377</v>
      </c>
      <c r="B2379" s="400" t="inlineStr">
        <is>
          <t>KH1358</t>
        </is>
      </c>
      <c r="C2379" s="401" t="inlineStr">
        <is>
          <t>Anh Thọ - Bình Chánh / 0902.935.925</t>
        </is>
      </c>
      <c r="D2379" s="400" t="inlineStr">
        <is>
          <t>0902.935.925</t>
        </is>
      </c>
      <c r="E2379" s="402" t="n"/>
      <c r="F2379" s="401" t="inlineStr">
        <is>
          <t>Bình Chánh</t>
        </is>
      </c>
      <c r="G2379" s="400" t="inlineStr">
        <is>
          <t>SG/HCM</t>
        </is>
      </c>
      <c r="H2379" s="402" t="n"/>
      <c r="J2379" s="392">
        <f>IFERROR(UPPER(TRIM(B2379))&amp;"|"&amp;UPPER(TRIM(C2379))&amp;"|"&amp;UPPER(TRIM(D2379)),"")</f>
        <v/>
      </c>
    </row>
    <row r="2380" ht="15.75" customHeight="1" s="217">
      <c r="A2380" s="397" t="n">
        <v>2378</v>
      </c>
      <c r="B2380" s="397" t="inlineStr">
        <is>
          <t>KH1359</t>
        </is>
      </c>
      <c r="C2380" s="398" t="inlineStr">
        <is>
          <t>Anh Hạt - Lâm Đồng / 0977.979.811</t>
        </is>
      </c>
      <c r="D2380" s="397" t="inlineStr">
        <is>
          <t>0977.979.811</t>
        </is>
      </c>
      <c r="E2380" s="399" t="n"/>
      <c r="F2380" s="398" t="inlineStr">
        <is>
          <t>Lâm Đồng</t>
        </is>
      </c>
      <c r="G2380" s="397" t="inlineStr">
        <is>
          <t>LDONG</t>
        </is>
      </c>
      <c r="H2380" s="399" t="n"/>
      <c r="J2380" s="392">
        <f>IFERROR(UPPER(TRIM(B2380))&amp;"|"&amp;UPPER(TRIM(C2380))&amp;"|"&amp;UPPER(TRIM(D2380)),"")</f>
        <v/>
      </c>
    </row>
    <row r="2381" ht="15.75" customHeight="1" s="217">
      <c r="A2381" s="400" t="n">
        <v>2379</v>
      </c>
      <c r="B2381" s="400" t="inlineStr">
        <is>
          <t>KH1357</t>
        </is>
      </c>
      <c r="C2381" s="401" t="inlineStr">
        <is>
          <t>Xưởng Anh Thiết - Ngã tư Bình Phước / 0909.393.309</t>
        </is>
      </c>
      <c r="D2381" s="400" t="inlineStr">
        <is>
          <t>0909.393.309</t>
        </is>
      </c>
      <c r="E2381" s="402" t="n"/>
      <c r="F2381" s="401" t="inlineStr">
        <is>
          <t>Ngã Tư Bình Phước - TP HCM</t>
        </is>
      </c>
      <c r="G2381" s="400" t="inlineStr">
        <is>
          <t>SG/HCM</t>
        </is>
      </c>
      <c r="H2381" s="402" t="n"/>
      <c r="J2381" s="392">
        <f>IFERROR(UPPER(TRIM(B2381))&amp;"|"&amp;UPPER(TRIM(C2381))&amp;"|"&amp;UPPER(TRIM(D2381)),"")</f>
        <v/>
      </c>
    </row>
    <row r="2382" ht="15.75" customHeight="1" s="217">
      <c r="A2382" s="397" t="n">
        <v>2380</v>
      </c>
      <c r="B2382" s="397" t="inlineStr">
        <is>
          <t>MN46</t>
        </is>
      </c>
      <c r="C2382" s="398" t="inlineStr">
        <is>
          <t>Thuận - Kho</t>
        </is>
      </c>
      <c r="D2382" s="399" t="n"/>
      <c r="E2382" s="399" t="n"/>
      <c r="F2382" s="398" t="inlineStr">
        <is>
          <t>CTCP CG Miền Nam</t>
        </is>
      </c>
      <c r="G2382" s="399" t="n"/>
      <c r="H2382" s="399" t="n"/>
      <c r="J2382" s="392">
        <f>IFERROR(UPPER(TRIM(B2382))&amp;"|"&amp;UPPER(TRIM(C2382))&amp;"|"&amp;UPPER(TRIM(D2382)),"")</f>
        <v/>
      </c>
    </row>
    <row r="2383" ht="15.75" customHeight="1" s="217">
      <c r="A2383" s="400" t="n">
        <v>2381</v>
      </c>
      <c r="B2383" s="400" t="inlineStr">
        <is>
          <t>KH1353</t>
        </is>
      </c>
      <c r="C2383" s="401" t="inlineStr">
        <is>
          <t>Cửa Hàng Anh Bé - Cần Thơ/ 0918.746.199</t>
        </is>
      </c>
      <c r="D2383" s="400" t="inlineStr">
        <is>
          <t>0918.746.199</t>
        </is>
      </c>
      <c r="E2383" s="402" t="n"/>
      <c r="F2383" s="401" t="inlineStr">
        <is>
          <t>Chợ Sắt - An Lạc - TP.HCM</t>
        </is>
      </c>
      <c r="G2383" s="400" t="inlineStr">
        <is>
          <t>CTHO</t>
        </is>
      </c>
      <c r="H2383" s="402" t="n"/>
      <c r="J2383" s="392">
        <f>IFERROR(UPPER(TRIM(B2383))&amp;"|"&amp;UPPER(TRIM(C2383))&amp;"|"&amp;UPPER(TRIM(D2383)),"")</f>
        <v/>
      </c>
    </row>
    <row r="2384" ht="15.75" customHeight="1" s="217">
      <c r="A2384" s="397" t="n">
        <v>2382</v>
      </c>
      <c r="B2384" s="397" t="inlineStr">
        <is>
          <t>KH1354</t>
        </is>
      </c>
      <c r="C2384" s="398" t="inlineStr">
        <is>
          <t>Xưởng Anh Quý - Bình Phước/ 0933.751.213</t>
        </is>
      </c>
      <c r="D2384" s="397" t="inlineStr">
        <is>
          <t>0933.751.213</t>
        </is>
      </c>
      <c r="E2384" s="399" t="n"/>
      <c r="F2384" s="398" t="inlineStr">
        <is>
          <t>Bình Phước</t>
        </is>
      </c>
      <c r="G2384" s="397" t="inlineStr">
        <is>
          <t>BP</t>
        </is>
      </c>
      <c r="H2384" s="399" t="n"/>
      <c r="J2384" s="392">
        <f>IFERROR(UPPER(TRIM(B2384))&amp;"|"&amp;UPPER(TRIM(C2384))&amp;"|"&amp;UPPER(TRIM(D2384)),"")</f>
        <v/>
      </c>
    </row>
    <row r="2385" ht="15.75" customHeight="1" s="217">
      <c r="A2385" s="400" t="n">
        <v>2383</v>
      </c>
      <c r="B2385" s="400" t="inlineStr">
        <is>
          <t>KH1355</t>
        </is>
      </c>
      <c r="C2385" s="401" t="inlineStr">
        <is>
          <t>Anh Sơn - Long An/ 0909.673.399</t>
        </is>
      </c>
      <c r="D2385" s="400" t="inlineStr">
        <is>
          <t>0909.673.399</t>
        </is>
      </c>
      <c r="E2385" s="402" t="n"/>
      <c r="F2385" s="401" t="inlineStr">
        <is>
          <t>Đức Huệ - Long An</t>
        </is>
      </c>
      <c r="G2385" s="400" t="inlineStr">
        <is>
          <t>LA</t>
        </is>
      </c>
      <c r="H2385" s="402" t="n"/>
      <c r="J2385" s="392">
        <f>IFERROR(UPPER(TRIM(B2385))&amp;"|"&amp;UPPER(TRIM(C2385))&amp;"|"&amp;UPPER(TRIM(D2385)),"")</f>
        <v/>
      </c>
    </row>
    <row r="2386" ht="15.75" customHeight="1" s="217">
      <c r="A2386" s="397" t="n">
        <v>2384</v>
      </c>
      <c r="B2386" s="397" t="inlineStr">
        <is>
          <t>KH1356</t>
        </is>
      </c>
      <c r="C2386" s="398" t="inlineStr">
        <is>
          <t>Anh Giang - Cần Thơ / 0988.170.798</t>
        </is>
      </c>
      <c r="D2386" s="397" t="inlineStr">
        <is>
          <t>0988.170.798</t>
        </is>
      </c>
      <c r="E2386" s="399" t="n"/>
      <c r="F2386" s="398" t="inlineStr">
        <is>
          <t>Cần Thơ</t>
        </is>
      </c>
      <c r="G2386" s="397" t="inlineStr">
        <is>
          <t>CTHO</t>
        </is>
      </c>
      <c r="H2386" s="399" t="n"/>
      <c r="J2386" s="392">
        <f>IFERROR(UPPER(TRIM(B2386))&amp;"|"&amp;UPPER(TRIM(C2386))&amp;"|"&amp;UPPER(TRIM(D2386)),"")</f>
        <v/>
      </c>
    </row>
    <row r="2387" ht="15.75" customHeight="1" s="217">
      <c r="A2387" s="400" t="n">
        <v>2385</v>
      </c>
      <c r="B2387" s="400" t="inlineStr">
        <is>
          <t>KH1352</t>
        </is>
      </c>
      <c r="C2387" s="401" t="inlineStr">
        <is>
          <t>Công Ty Trường Lộc- Sài Gòn/ Anh Linh - 0979.454.302</t>
        </is>
      </c>
      <c r="D2387" s="400" t="inlineStr">
        <is>
          <t>0979.454.302</t>
        </is>
      </c>
      <c r="E2387" s="402" t="n"/>
      <c r="F2387" s="401" t="inlineStr">
        <is>
          <t>Sài Gòn</t>
        </is>
      </c>
      <c r="G2387" s="400" t="inlineStr">
        <is>
          <t>SG/HCM</t>
        </is>
      </c>
      <c r="H2387" s="402" t="n"/>
      <c r="J2387" s="392">
        <f>IFERROR(UPPER(TRIM(B2387))&amp;"|"&amp;UPPER(TRIM(C2387))&amp;"|"&amp;UPPER(TRIM(D2387)),"")</f>
        <v/>
      </c>
    </row>
    <row r="2388" ht="15.75" customHeight="1" s="217">
      <c r="A2388" s="397" t="n">
        <v>2386</v>
      </c>
      <c r="B2388" s="397" t="inlineStr">
        <is>
          <t>KH1349</t>
        </is>
      </c>
      <c r="C2388" s="398" t="inlineStr">
        <is>
          <t>Anh Luận - Sài Gòn/ 0963.126.227</t>
        </is>
      </c>
      <c r="D2388" s="397" t="inlineStr">
        <is>
          <t>0963.126.227</t>
        </is>
      </c>
      <c r="E2388" s="399" t="n"/>
      <c r="F2388" s="398" t="inlineStr">
        <is>
          <t>TP.HCM</t>
        </is>
      </c>
      <c r="G2388" s="397" t="inlineStr">
        <is>
          <t>SG/HCM</t>
        </is>
      </c>
      <c r="H2388" s="399" t="n"/>
      <c r="J2388" s="392">
        <f>IFERROR(UPPER(TRIM(B2388))&amp;"|"&amp;UPPER(TRIM(C2388))&amp;"|"&amp;UPPER(TRIM(D2388)),"")</f>
        <v/>
      </c>
    </row>
    <row r="2389" ht="15.75" customHeight="1" s="217">
      <c r="A2389" s="400" t="n">
        <v>2387</v>
      </c>
      <c r="B2389" s="400" t="inlineStr">
        <is>
          <t>KH1350</t>
        </is>
      </c>
      <c r="C2389" s="401" t="inlineStr">
        <is>
          <t>Anh Dũng - Đồng Nai/ 0977.857.627</t>
        </is>
      </c>
      <c r="D2389" s="400" t="inlineStr">
        <is>
          <t>0977.857.627</t>
        </is>
      </c>
      <c r="E2389" s="402" t="n"/>
      <c r="F2389" s="401" t="inlineStr">
        <is>
          <t>Đồng Nai</t>
        </is>
      </c>
      <c r="G2389" s="400" t="inlineStr">
        <is>
          <t>ÐNAI</t>
        </is>
      </c>
      <c r="H2389" s="402" t="n"/>
      <c r="J2389" s="392">
        <f>IFERROR(UPPER(TRIM(B2389))&amp;"|"&amp;UPPER(TRIM(C2389))&amp;"|"&amp;UPPER(TRIM(D2389)),"")</f>
        <v/>
      </c>
    </row>
    <row r="2390" ht="15.75" customHeight="1" s="217">
      <c r="A2390" s="397" t="n">
        <v>2388</v>
      </c>
      <c r="B2390" s="397" t="inlineStr">
        <is>
          <t>KH1351</t>
        </is>
      </c>
      <c r="C2390" s="398" t="inlineStr">
        <is>
          <t>Cty Tấn Hưng Long An  -Anh Siêng, Long An / 0913.839.767</t>
        </is>
      </c>
      <c r="D2390" s="397" t="inlineStr">
        <is>
          <t>0913.839.767</t>
        </is>
      </c>
      <c r="E2390" s="399" t="n"/>
      <c r="F2390" s="398" t="inlineStr">
        <is>
          <t>39 ấp 10 Lương Hoà, Bến Lức, Long An</t>
        </is>
      </c>
      <c r="G2390" s="397" t="inlineStr">
        <is>
          <t>LA</t>
        </is>
      </c>
      <c r="H2390" s="399" t="n"/>
      <c r="J2390" s="392">
        <f>IFERROR(UPPER(TRIM(B2390))&amp;"|"&amp;UPPER(TRIM(C2390))&amp;"|"&amp;UPPER(TRIM(D2390)),"")</f>
        <v/>
      </c>
    </row>
    <row r="2391" ht="15.75" customHeight="1" s="217">
      <c r="A2391" s="400" t="n">
        <v>2389</v>
      </c>
      <c r="B2391" s="400" t="inlineStr">
        <is>
          <t>KH1346</t>
        </is>
      </c>
      <c r="C2391" s="401" t="inlineStr">
        <is>
          <t>Bãi Máy Hải Công Nông - Suối Tiên/ ANh Quốc - 01676.790.087</t>
        </is>
      </c>
      <c r="D2391" s="400" t="inlineStr">
        <is>
          <t>01676.790.087</t>
        </is>
      </c>
      <c r="E2391" s="402" t="n"/>
      <c r="F2391" s="401" t="inlineStr">
        <is>
          <t>Suối Tiên - TP.HCM</t>
        </is>
      </c>
      <c r="G2391" s="400" t="inlineStr">
        <is>
          <t>SG/HCM</t>
        </is>
      </c>
      <c r="H2391" s="402" t="n"/>
      <c r="J2391" s="392">
        <f>IFERROR(UPPER(TRIM(B2391))&amp;"|"&amp;UPPER(TRIM(C2391))&amp;"|"&amp;UPPER(TRIM(D2391)),"")</f>
        <v/>
      </c>
    </row>
    <row r="2392" ht="15.75" customHeight="1" s="217">
      <c r="A2392" s="397" t="n">
        <v>2390</v>
      </c>
      <c r="B2392" s="397" t="inlineStr">
        <is>
          <t>KH1347</t>
        </is>
      </c>
      <c r="C2392" s="398" t="inlineStr">
        <is>
          <t>Anh Hảo - Ngã 4 BP/ 0908.282.955</t>
        </is>
      </c>
      <c r="D2392" s="397" t="inlineStr">
        <is>
          <t>0908.282.955</t>
        </is>
      </c>
      <c r="E2392" s="399" t="n"/>
      <c r="F2392" s="398" t="inlineStr">
        <is>
          <t>Ngacx Tư Bình Phước - TP.HCM</t>
        </is>
      </c>
      <c r="G2392" s="397" t="inlineStr">
        <is>
          <t>SG/HCM</t>
        </is>
      </c>
      <c r="H2392" s="399" t="n"/>
      <c r="J2392" s="392">
        <f>IFERROR(UPPER(TRIM(B2392))&amp;"|"&amp;UPPER(TRIM(C2392))&amp;"|"&amp;UPPER(TRIM(D2392)),"")</f>
        <v/>
      </c>
    </row>
    <row r="2393" ht="15.75" customHeight="1" s="217">
      <c r="A2393" s="400" t="n">
        <v>2391</v>
      </c>
      <c r="B2393" s="400" t="inlineStr">
        <is>
          <t>KH1348</t>
        </is>
      </c>
      <c r="C2393" s="401" t="inlineStr">
        <is>
          <t>Anh Chiến - Cần Thơ / 0939.444.752</t>
        </is>
      </c>
      <c r="D2393" s="400" t="inlineStr">
        <is>
          <t>0939.444.752</t>
        </is>
      </c>
      <c r="E2393" s="402" t="n"/>
      <c r="F2393" s="401" t="inlineStr">
        <is>
          <t>Cần Thơ</t>
        </is>
      </c>
      <c r="G2393" s="400" t="inlineStr">
        <is>
          <t>CTHO</t>
        </is>
      </c>
      <c r="H2393" s="402" t="n"/>
      <c r="J2393" s="392">
        <f>IFERROR(UPPER(TRIM(B2393))&amp;"|"&amp;UPPER(TRIM(C2393))&amp;"|"&amp;UPPER(TRIM(D2393)),"")</f>
        <v/>
      </c>
    </row>
    <row r="2394" ht="15.75" customHeight="1" s="217">
      <c r="A2394" s="397" t="n">
        <v>2392</v>
      </c>
      <c r="B2394" s="397" t="inlineStr">
        <is>
          <t>KH1345</t>
        </is>
      </c>
      <c r="C2394" s="398" t="inlineStr">
        <is>
          <t>Anh Tòng - Gia Lai/ 0902.288.618</t>
        </is>
      </c>
      <c r="D2394" s="397" t="inlineStr">
        <is>
          <t>0902.288.618</t>
        </is>
      </c>
      <c r="E2394" s="399" t="n"/>
      <c r="F2394" s="398" t="inlineStr">
        <is>
          <t>Gia Lai</t>
        </is>
      </c>
      <c r="G2394" s="397" t="inlineStr">
        <is>
          <t>GLAI</t>
        </is>
      </c>
      <c r="H2394" s="399" t="n"/>
      <c r="J2394" s="392">
        <f>IFERROR(UPPER(TRIM(B2394))&amp;"|"&amp;UPPER(TRIM(C2394))&amp;"|"&amp;UPPER(TRIM(D2394)),"")</f>
        <v/>
      </c>
    </row>
    <row r="2395" ht="15.75" customHeight="1" s="217">
      <c r="A2395" s="400" t="n">
        <v>2393</v>
      </c>
      <c r="B2395" s="400" t="inlineStr">
        <is>
          <t>KH1343</t>
        </is>
      </c>
      <c r="C2395" s="401" t="inlineStr">
        <is>
          <t>Anh Thành  - Cần Đước, Long An / 0903.155.760</t>
        </is>
      </c>
      <c r="D2395" s="400" t="inlineStr">
        <is>
          <t>0903.155.760</t>
        </is>
      </c>
      <c r="E2395" s="402" t="n"/>
      <c r="F2395" s="401" t="inlineStr">
        <is>
          <t>Cần Đước, Long An</t>
        </is>
      </c>
      <c r="G2395" s="400" t="inlineStr">
        <is>
          <t>LA</t>
        </is>
      </c>
      <c r="H2395" s="402" t="n"/>
      <c r="J2395" s="392">
        <f>IFERROR(UPPER(TRIM(B2395))&amp;"|"&amp;UPPER(TRIM(C2395))&amp;"|"&amp;UPPER(TRIM(D2395)),"")</f>
        <v/>
      </c>
    </row>
    <row r="2396" ht="15.75" customHeight="1" s="217">
      <c r="A2396" s="397" t="n">
        <v>2394</v>
      </c>
      <c r="B2396" s="397" t="inlineStr">
        <is>
          <t>KH1344</t>
        </is>
      </c>
      <c r="C2396" s="398" t="inlineStr">
        <is>
          <t>Công Ty TNHH ĐT XD Conic - Gò Vấp/Anh Vương - 0988.628.666</t>
        </is>
      </c>
      <c r="D2396" s="397" t="inlineStr">
        <is>
          <t>0988.628.666</t>
        </is>
      </c>
      <c r="E2396" s="399" t="n"/>
      <c r="F2396" s="398" t="inlineStr">
        <is>
          <t>Gò Vấp - TP.HCM</t>
        </is>
      </c>
      <c r="G2396" s="397" t="inlineStr">
        <is>
          <t>SG/HCM</t>
        </is>
      </c>
      <c r="H2396" s="399" t="n"/>
      <c r="J2396" s="392">
        <f>IFERROR(UPPER(TRIM(B2396))&amp;"|"&amp;UPPER(TRIM(C2396))&amp;"|"&amp;UPPER(TRIM(D2396)),"")</f>
        <v/>
      </c>
    </row>
    <row r="2397" ht="15.75" customHeight="1" s="217">
      <c r="A2397" s="400" t="n">
        <v>2395</v>
      </c>
      <c r="B2397" s="400" t="inlineStr">
        <is>
          <t>KH1340</t>
        </is>
      </c>
      <c r="C2397" s="401" t="inlineStr">
        <is>
          <t>Anh Trường - Gò Công/ 0909.285.697</t>
        </is>
      </c>
      <c r="D2397" s="400" t="inlineStr">
        <is>
          <t>0909.285.697</t>
        </is>
      </c>
      <c r="E2397" s="402" t="n"/>
      <c r="F2397" s="401" t="inlineStr">
        <is>
          <t>Gò Công - Tiền Giang</t>
        </is>
      </c>
      <c r="G2397" s="400" t="inlineStr">
        <is>
          <t>TGIANG</t>
        </is>
      </c>
      <c r="H2397" s="402" t="n"/>
      <c r="J2397" s="392">
        <f>IFERROR(UPPER(TRIM(B2397))&amp;"|"&amp;UPPER(TRIM(C2397))&amp;"|"&amp;UPPER(TRIM(D2397)),"")</f>
        <v/>
      </c>
    </row>
    <row r="2398" ht="15.75" customHeight="1" s="217">
      <c r="A2398" s="397" t="n">
        <v>2396</v>
      </c>
      <c r="B2398" s="397" t="inlineStr">
        <is>
          <t>KH1341</t>
        </is>
      </c>
      <c r="C2398" s="398" t="inlineStr">
        <is>
          <t>Anh Tuân - Q12/ 0903.674.196</t>
        </is>
      </c>
      <c r="D2398" s="397" t="inlineStr">
        <is>
          <t>0903.674.196</t>
        </is>
      </c>
      <c r="E2398" s="399" t="n"/>
      <c r="F2398" s="398" t="inlineStr">
        <is>
          <t>Quận 12 - TP.HCM</t>
        </is>
      </c>
      <c r="G2398" s="397" t="inlineStr">
        <is>
          <t>SG/HCM</t>
        </is>
      </c>
      <c r="H2398" s="399" t="n"/>
      <c r="J2398" s="392">
        <f>IFERROR(UPPER(TRIM(B2398))&amp;"|"&amp;UPPER(TRIM(C2398))&amp;"|"&amp;UPPER(TRIM(D2398)),"")</f>
        <v/>
      </c>
    </row>
    <row r="2399" ht="15.75" customHeight="1" s="217">
      <c r="A2399" s="400" t="n">
        <v>2397</v>
      </c>
      <c r="B2399" s="400" t="inlineStr">
        <is>
          <t>KH1342</t>
        </is>
      </c>
      <c r="C2399" s="401" t="inlineStr">
        <is>
          <t>Anh Thịnh - BRVT/ 0979.022.279</t>
        </is>
      </c>
      <c r="D2399" s="400" t="inlineStr">
        <is>
          <t>0979.022.279</t>
        </is>
      </c>
      <c r="E2399" s="402" t="n"/>
      <c r="F2399" s="401" t="inlineStr">
        <is>
          <t>Bà Rịa Vũng Tàu</t>
        </is>
      </c>
      <c r="G2399" s="400" t="inlineStr">
        <is>
          <t>BRVT</t>
        </is>
      </c>
      <c r="H2399" s="402" t="n"/>
      <c r="J2399" s="392">
        <f>IFERROR(UPPER(TRIM(B2399))&amp;"|"&amp;UPPER(TRIM(C2399))&amp;"|"&amp;UPPER(TRIM(D2399)),"")</f>
        <v/>
      </c>
    </row>
    <row r="2400" ht="15.75" customHeight="1" s="217">
      <c r="A2400" s="397" t="n">
        <v>2398</v>
      </c>
      <c r="B2400" s="397" t="inlineStr">
        <is>
          <t>KH1339</t>
        </is>
      </c>
      <c r="C2400" s="398" t="inlineStr">
        <is>
          <t>anh Tân - Nha Trang/ 0902.759.446</t>
        </is>
      </c>
      <c r="D2400" s="397" t="inlineStr">
        <is>
          <t>0902.759.446</t>
        </is>
      </c>
      <c r="E2400" s="399" t="n"/>
      <c r="F2400" s="398" t="inlineStr">
        <is>
          <t>Nha Trang</t>
        </is>
      </c>
      <c r="G2400" s="397" t="inlineStr">
        <is>
          <t>NTRANG</t>
        </is>
      </c>
      <c r="H2400" s="399" t="n"/>
      <c r="J2400" s="392">
        <f>IFERROR(UPPER(TRIM(B2400))&amp;"|"&amp;UPPER(TRIM(C2400))&amp;"|"&amp;UPPER(TRIM(D2400)),"")</f>
        <v/>
      </c>
    </row>
    <row r="2401" ht="15.75" customHeight="1" s="217">
      <c r="A2401" s="400" t="n">
        <v>2399</v>
      </c>
      <c r="B2401" s="400" t="inlineStr">
        <is>
          <t>KH1335</t>
        </is>
      </c>
      <c r="C2401" s="401" t="inlineStr">
        <is>
          <t>Anh Bình - Vũng Tàu/ 0166.963.660</t>
        </is>
      </c>
      <c r="D2401" s="400" t="inlineStr">
        <is>
          <t>0166.963.660</t>
        </is>
      </c>
      <c r="E2401" s="402" t="n"/>
      <c r="F2401" s="401" t="inlineStr">
        <is>
          <t>Vũng Tàu</t>
        </is>
      </c>
      <c r="G2401" s="400" t="inlineStr">
        <is>
          <t>BRVT</t>
        </is>
      </c>
      <c r="H2401" s="402" t="n"/>
      <c r="J2401" s="392">
        <f>IFERROR(UPPER(TRIM(B2401))&amp;"|"&amp;UPPER(TRIM(C2401))&amp;"|"&amp;UPPER(TRIM(D2401)),"")</f>
        <v/>
      </c>
    </row>
    <row r="2402" ht="15.75" customHeight="1" s="217">
      <c r="A2402" s="397" t="n">
        <v>2400</v>
      </c>
      <c r="B2402" s="397" t="inlineStr">
        <is>
          <t>KH1336</t>
        </is>
      </c>
      <c r="C2402" s="398" t="inlineStr">
        <is>
          <t>Công ty Huệ Tấn - Tiền Giang/ 0978.077.739</t>
        </is>
      </c>
      <c r="D2402" s="397" t="inlineStr">
        <is>
          <t>0978.077.739</t>
        </is>
      </c>
      <c r="E2402" s="399" t="n"/>
      <c r="F2402" s="398" t="inlineStr">
        <is>
          <t>Tiền Giang</t>
        </is>
      </c>
      <c r="G2402" s="397" t="inlineStr">
        <is>
          <t>TGIANG</t>
        </is>
      </c>
      <c r="H2402" s="399" t="n"/>
      <c r="J2402" s="392">
        <f>IFERROR(UPPER(TRIM(B2402))&amp;"|"&amp;UPPER(TRIM(C2402))&amp;"|"&amp;UPPER(TRIM(D2402)),"")</f>
        <v/>
      </c>
    </row>
    <row r="2403" ht="15.75" customHeight="1" s="217">
      <c r="A2403" s="400" t="n">
        <v>2401</v>
      </c>
      <c r="B2403" s="400" t="inlineStr">
        <is>
          <t>KH1337</t>
        </is>
      </c>
      <c r="C2403" s="401" t="inlineStr">
        <is>
          <t>Anh Phú - Nha Trang/ 0918.189.883</t>
        </is>
      </c>
      <c r="D2403" s="400" t="inlineStr">
        <is>
          <t>0918.189.883</t>
        </is>
      </c>
      <c r="E2403" s="402" t="n"/>
      <c r="F2403" s="401" t="inlineStr">
        <is>
          <t>Nha Trang</t>
        </is>
      </c>
      <c r="G2403" s="400" t="inlineStr">
        <is>
          <t>NTRANG</t>
        </is>
      </c>
      <c r="H2403" s="402" t="n"/>
      <c r="J2403" s="392">
        <f>IFERROR(UPPER(TRIM(B2403))&amp;"|"&amp;UPPER(TRIM(C2403))&amp;"|"&amp;UPPER(TRIM(D2403)),"")</f>
        <v/>
      </c>
    </row>
    <row r="2404" ht="15.75" customHeight="1" s="217">
      <c r="A2404" s="397" t="n">
        <v>2402</v>
      </c>
      <c r="B2404" s="397" t="inlineStr">
        <is>
          <t>KH1338</t>
        </is>
      </c>
      <c r="C2404" s="398" t="inlineStr">
        <is>
          <t>Công ty Thái Bình Dương - A.Quang - Thủ Đức / 0983.737.829</t>
        </is>
      </c>
      <c r="D2404" s="397" t="inlineStr">
        <is>
          <t>0983.737.829</t>
        </is>
      </c>
      <c r="E2404" s="399" t="n"/>
      <c r="F2404" s="398" t="inlineStr">
        <is>
          <t>31/21 Kha Vạn Cân, Hiệp Bình Chánh, Thủ Đức</t>
        </is>
      </c>
      <c r="G2404" s="397" t="inlineStr">
        <is>
          <t>SG/HCM</t>
        </is>
      </c>
      <c r="H2404" s="399" t="n"/>
      <c r="J2404" s="392">
        <f>IFERROR(UPPER(TRIM(B2404))&amp;"|"&amp;UPPER(TRIM(C2404))&amp;"|"&amp;UPPER(TRIM(D2404)),"")</f>
        <v/>
      </c>
    </row>
    <row r="2405" ht="15.75" customHeight="1" s="217">
      <c r="A2405" s="400" t="n">
        <v>2403</v>
      </c>
      <c r="B2405" s="400" t="inlineStr">
        <is>
          <t>KH1333</t>
        </is>
      </c>
      <c r="C2405" s="401" t="inlineStr">
        <is>
          <t>Anh Hải - Lộc Ninh/ 01267.342.739</t>
        </is>
      </c>
      <c r="D2405" s="400" t="inlineStr">
        <is>
          <t>01267.342.739</t>
        </is>
      </c>
      <c r="E2405" s="402" t="n"/>
      <c r="F2405" s="401" t="inlineStr">
        <is>
          <t>Lộc Ninh -Bù Đốp- Bình Phước</t>
        </is>
      </c>
      <c r="G2405" s="400" t="inlineStr">
        <is>
          <t>BP</t>
        </is>
      </c>
      <c r="H2405" s="402" t="n"/>
      <c r="J2405" s="392">
        <f>IFERROR(UPPER(TRIM(B2405))&amp;"|"&amp;UPPER(TRIM(C2405))&amp;"|"&amp;UPPER(TRIM(D2405)),"")</f>
        <v/>
      </c>
    </row>
    <row r="2406" ht="15.75" customHeight="1" s="217">
      <c r="A2406" s="397" t="n">
        <v>2404</v>
      </c>
      <c r="B2406" s="397" t="inlineStr">
        <is>
          <t>KH1334</t>
        </is>
      </c>
      <c r="C2406" s="398" t="inlineStr">
        <is>
          <t>Anh lôi - Đăk Nông / 0915.253.181</t>
        </is>
      </c>
      <c r="D2406" s="397" t="inlineStr">
        <is>
          <t>0915.253.181</t>
        </is>
      </c>
      <c r="E2406" s="399" t="n"/>
      <c r="F2406" s="398" t="inlineStr">
        <is>
          <t>Đăk Nông</t>
        </is>
      </c>
      <c r="G2406" s="397" t="inlineStr">
        <is>
          <t>DNONG</t>
        </is>
      </c>
      <c r="H2406" s="399" t="n"/>
      <c r="J2406" s="392">
        <f>IFERROR(UPPER(TRIM(B2406))&amp;"|"&amp;UPPER(TRIM(C2406))&amp;"|"&amp;UPPER(TRIM(D2406)),"")</f>
        <v/>
      </c>
    </row>
    <row r="2407" ht="15.75" customHeight="1" s="217">
      <c r="A2407" s="400" t="n">
        <v>2405</v>
      </c>
      <c r="B2407" s="400" t="inlineStr">
        <is>
          <t>KH1331</t>
        </is>
      </c>
      <c r="C2407" s="401" t="inlineStr">
        <is>
          <t>Anh Nghĩa - Đồng Xoài/ 01688.178.177</t>
        </is>
      </c>
      <c r="D2407" s="400" t="inlineStr">
        <is>
          <t>01688.178.177</t>
        </is>
      </c>
      <c r="E2407" s="402" t="n"/>
      <c r="F2407" s="401" t="inlineStr">
        <is>
          <t>Bình Phước</t>
        </is>
      </c>
      <c r="G2407" s="400" t="inlineStr">
        <is>
          <t>BP</t>
        </is>
      </c>
      <c r="H2407" s="402" t="n"/>
      <c r="J2407" s="392">
        <f>IFERROR(UPPER(TRIM(B2407))&amp;"|"&amp;UPPER(TRIM(C2407))&amp;"|"&amp;UPPER(TRIM(D2407)),"")</f>
        <v/>
      </c>
    </row>
    <row r="2408" ht="15.75" customHeight="1" s="217">
      <c r="A2408" s="397" t="n">
        <v>2406</v>
      </c>
      <c r="B2408" s="397" t="inlineStr">
        <is>
          <t>KH1332</t>
        </is>
      </c>
      <c r="C2408" s="398" t="inlineStr">
        <is>
          <t>Anh Sỹ - Bảo Lộc/ 0989.109.279</t>
        </is>
      </c>
      <c r="D2408" s="397" t="inlineStr">
        <is>
          <t>0989.109.279</t>
        </is>
      </c>
      <c r="E2408" s="399" t="n"/>
      <c r="F2408" s="398" t="inlineStr">
        <is>
          <t>Bảo Lộc  Lâm Đồng</t>
        </is>
      </c>
      <c r="G2408" s="397" t="inlineStr">
        <is>
          <t>LDONG</t>
        </is>
      </c>
      <c r="H2408" s="399" t="n"/>
      <c r="J2408" s="392">
        <f>IFERROR(UPPER(TRIM(B2408))&amp;"|"&amp;UPPER(TRIM(C2408))&amp;"|"&amp;UPPER(TRIM(D2408)),"")</f>
        <v/>
      </c>
    </row>
    <row r="2409" ht="15.75" customHeight="1" s="217">
      <c r="A2409" s="400" t="n">
        <v>2407</v>
      </c>
      <c r="B2409" s="400" t="inlineStr">
        <is>
          <t>KH1330</t>
        </is>
      </c>
      <c r="C2409" s="401" t="inlineStr">
        <is>
          <t>Anh Quỳ  - Q2 / 0913.912.921</t>
        </is>
      </c>
      <c r="D2409" s="400" t="inlineStr">
        <is>
          <t>0913.912.921</t>
        </is>
      </c>
      <c r="E2409" s="402" t="n"/>
      <c r="F2409" s="401" t="inlineStr">
        <is>
          <t>Gần bệnh viện Q2</t>
        </is>
      </c>
      <c r="G2409" s="400" t="inlineStr">
        <is>
          <t>SG/HCM</t>
        </is>
      </c>
      <c r="H2409" s="402" t="n"/>
      <c r="J2409" s="392">
        <f>IFERROR(UPPER(TRIM(B2409))&amp;"|"&amp;UPPER(TRIM(C2409))&amp;"|"&amp;UPPER(TRIM(D2409)),"")</f>
        <v/>
      </c>
    </row>
    <row r="2410" ht="15.75" customHeight="1" s="217">
      <c r="A2410" s="397" t="n">
        <v>2408</v>
      </c>
      <c r="B2410" s="397" t="inlineStr">
        <is>
          <t>KH1327</t>
        </is>
      </c>
      <c r="C2410" s="398" t="inlineStr">
        <is>
          <t>Anh Lý - Lâm Hà/ 01664.689.339</t>
        </is>
      </c>
      <c r="D2410" s="397" t="inlineStr">
        <is>
          <t>01664.689.339</t>
        </is>
      </c>
      <c r="E2410" s="399" t="n"/>
      <c r="F2410" s="398" t="inlineStr">
        <is>
          <t>Lâm Hà - Lâm Đồng</t>
        </is>
      </c>
      <c r="G2410" s="397" t="inlineStr">
        <is>
          <t>LDONG</t>
        </is>
      </c>
      <c r="H2410" s="399" t="n"/>
      <c r="J2410" s="392">
        <f>IFERROR(UPPER(TRIM(B2410))&amp;"|"&amp;UPPER(TRIM(C2410))&amp;"|"&amp;UPPER(TRIM(D2410)),"")</f>
        <v/>
      </c>
    </row>
    <row r="2411" ht="15.75" customHeight="1" s="217">
      <c r="A2411" s="400" t="n">
        <v>2409</v>
      </c>
      <c r="B2411" s="400" t="inlineStr">
        <is>
          <t>KH1328</t>
        </is>
      </c>
      <c r="C2411" s="401" t="inlineStr">
        <is>
          <t>Anh Huy - Cần Thơ / 0986.798.815</t>
        </is>
      </c>
      <c r="D2411" s="400" t="inlineStr">
        <is>
          <t>0986.798.815</t>
        </is>
      </c>
      <c r="E2411" s="402" t="n"/>
      <c r="F2411" s="401" t="inlineStr">
        <is>
          <t>Cần thơ</t>
        </is>
      </c>
      <c r="G2411" s="400" t="inlineStr">
        <is>
          <t>CTHO</t>
        </is>
      </c>
      <c r="H2411" s="402" t="n"/>
      <c r="J2411" s="392">
        <f>IFERROR(UPPER(TRIM(B2411))&amp;"|"&amp;UPPER(TRIM(C2411))&amp;"|"&amp;UPPER(TRIM(D2411)),"")</f>
        <v/>
      </c>
    </row>
    <row r="2412" ht="15.75" customHeight="1" s="217">
      <c r="A2412" s="397" t="n">
        <v>2410</v>
      </c>
      <c r="B2412" s="397" t="inlineStr">
        <is>
          <t>KH1329</t>
        </is>
      </c>
      <c r="C2412" s="398" t="inlineStr">
        <is>
          <t>Anh Khanh - Tây Ninh / 0902.311.399</t>
        </is>
      </c>
      <c r="D2412" s="397" t="inlineStr">
        <is>
          <t>0902.311.399</t>
        </is>
      </c>
      <c r="E2412" s="399" t="n"/>
      <c r="F2412" s="398" t="inlineStr">
        <is>
          <t>Tây Ninh</t>
        </is>
      </c>
      <c r="G2412" s="397" t="inlineStr">
        <is>
          <t>TNINH</t>
        </is>
      </c>
      <c r="H2412" s="399" t="n"/>
      <c r="J2412" s="392">
        <f>IFERROR(UPPER(TRIM(B2412))&amp;"|"&amp;UPPER(TRIM(C2412))&amp;"|"&amp;UPPER(TRIM(D2412)),"")</f>
        <v/>
      </c>
    </row>
    <row r="2413" ht="15.75" customHeight="1" s="217">
      <c r="A2413" s="400" t="n">
        <v>2411</v>
      </c>
      <c r="B2413" s="400" t="inlineStr">
        <is>
          <t>KH1323</t>
        </is>
      </c>
      <c r="C2413" s="401" t="inlineStr">
        <is>
          <t>Anh Trí - Phan Thiết/ 0938.753.178</t>
        </is>
      </c>
      <c r="D2413" s="400" t="inlineStr">
        <is>
          <t>0938.753.178</t>
        </is>
      </c>
      <c r="E2413" s="402" t="n"/>
      <c r="F2413" s="401" t="inlineStr">
        <is>
          <t>Phan Thiêt - Ninh Thuận</t>
        </is>
      </c>
      <c r="G2413" s="400" t="inlineStr">
        <is>
          <t>NTHUAN</t>
        </is>
      </c>
      <c r="H2413" s="402" t="n"/>
      <c r="J2413" s="392">
        <f>IFERROR(UPPER(TRIM(B2413))&amp;"|"&amp;UPPER(TRIM(C2413))&amp;"|"&amp;UPPER(TRIM(D2413)),"")</f>
        <v/>
      </c>
    </row>
    <row r="2414" ht="15.75" customHeight="1" s="217">
      <c r="A2414" s="397" t="n">
        <v>2412</v>
      </c>
      <c r="B2414" s="397" t="inlineStr">
        <is>
          <t>KH1324</t>
        </is>
      </c>
      <c r="C2414" s="398" t="inlineStr">
        <is>
          <t>Anh Quyền - Trảng Bàng, Tây Ninh / 01238.897.396</t>
        </is>
      </c>
      <c r="D2414" s="397" t="inlineStr">
        <is>
          <t>01238.897.396</t>
        </is>
      </c>
      <c r="E2414" s="399" t="n"/>
      <c r="F2414" s="398" t="inlineStr">
        <is>
          <t>Trảng Bàng, Tây Ninh</t>
        </is>
      </c>
      <c r="G2414" s="397" t="inlineStr">
        <is>
          <t>TNINH</t>
        </is>
      </c>
      <c r="H2414" s="399" t="n"/>
      <c r="J2414" s="392">
        <f>IFERROR(UPPER(TRIM(B2414))&amp;"|"&amp;UPPER(TRIM(C2414))&amp;"|"&amp;UPPER(TRIM(D2414)),"")</f>
        <v/>
      </c>
    </row>
    <row r="2415" ht="15.75" customHeight="1" s="217">
      <c r="A2415" s="400" t="n">
        <v>2413</v>
      </c>
      <c r="B2415" s="400" t="inlineStr">
        <is>
          <t>KH1325</t>
        </is>
      </c>
      <c r="C2415" s="401" t="inlineStr">
        <is>
          <t>Anh Tới - Bình Phước / 0933.751.213</t>
        </is>
      </c>
      <c r="D2415" s="400" t="inlineStr">
        <is>
          <t>0933.751.213</t>
        </is>
      </c>
      <c r="E2415" s="402" t="n"/>
      <c r="F2415" s="401" t="inlineStr">
        <is>
          <t>Bình Phước</t>
        </is>
      </c>
      <c r="G2415" s="400" t="inlineStr">
        <is>
          <t>BP</t>
        </is>
      </c>
      <c r="H2415" s="402" t="n"/>
      <c r="J2415" s="392">
        <f>IFERROR(UPPER(TRIM(B2415))&amp;"|"&amp;UPPER(TRIM(C2415))&amp;"|"&amp;UPPER(TRIM(D2415)),"")</f>
        <v/>
      </c>
    </row>
    <row r="2416" ht="15.75" customHeight="1" s="217">
      <c r="A2416" s="397" t="n">
        <v>2414</v>
      </c>
      <c r="B2416" s="397" t="inlineStr">
        <is>
          <t>KH1326</t>
        </is>
      </c>
      <c r="C2416" s="398" t="inlineStr">
        <is>
          <t>Chú Trà - Q8/ 0933.533.474</t>
        </is>
      </c>
      <c r="D2416" s="397" t="inlineStr">
        <is>
          <t>0933.533.474</t>
        </is>
      </c>
      <c r="E2416" s="399" t="n"/>
      <c r="F2416" s="398" t="inlineStr">
        <is>
          <t>Q8 - TP. HCM</t>
        </is>
      </c>
      <c r="G2416" s="397" t="inlineStr">
        <is>
          <t>SG/HCM</t>
        </is>
      </c>
      <c r="H2416" s="399" t="n"/>
      <c r="J2416" s="392">
        <f>IFERROR(UPPER(TRIM(B2416))&amp;"|"&amp;UPPER(TRIM(C2416))&amp;"|"&amp;UPPER(TRIM(D2416)),"")</f>
        <v/>
      </c>
    </row>
    <row r="2417" ht="15.75" customHeight="1" s="217">
      <c r="A2417" s="400" t="n">
        <v>2415</v>
      </c>
      <c r="B2417" s="400" t="inlineStr">
        <is>
          <t>KH1321</t>
        </is>
      </c>
      <c r="C2417" s="401" t="inlineStr">
        <is>
          <t>Anh Sang - Đức Hoà, Long An / 0917.005.209</t>
        </is>
      </c>
      <c r="D2417" s="400" t="inlineStr">
        <is>
          <t>0917.005.209</t>
        </is>
      </c>
      <c r="E2417" s="402" t="n"/>
      <c r="F2417" s="401" t="inlineStr">
        <is>
          <t>Đức Hoà, Long An</t>
        </is>
      </c>
      <c r="G2417" s="400" t="inlineStr">
        <is>
          <t>LA</t>
        </is>
      </c>
      <c r="H2417" s="402" t="n"/>
      <c r="J2417" s="392">
        <f>IFERROR(UPPER(TRIM(B2417))&amp;"|"&amp;UPPER(TRIM(C2417))&amp;"|"&amp;UPPER(TRIM(D2417)),"")</f>
        <v/>
      </c>
    </row>
    <row r="2418" ht="15.75" customHeight="1" s="217">
      <c r="A2418" s="397" t="n">
        <v>2416</v>
      </c>
      <c r="B2418" s="397" t="inlineStr">
        <is>
          <t>KH1322</t>
        </is>
      </c>
      <c r="C2418" s="398" t="inlineStr">
        <is>
          <t>Anh Hậu - Cty Nguyên Hậu - Tri Tôn, An Giang / 0982.891.110</t>
        </is>
      </c>
      <c r="D2418" s="397" t="inlineStr">
        <is>
          <t>0982.891.110</t>
        </is>
      </c>
      <c r="E2418" s="399" t="n"/>
      <c r="F2418" s="398" t="inlineStr">
        <is>
          <t>Tri Tôn, An Giang</t>
        </is>
      </c>
      <c r="G2418" s="397" t="inlineStr">
        <is>
          <t>ANGIANG</t>
        </is>
      </c>
      <c r="H2418" s="399" t="n"/>
      <c r="J2418" s="392">
        <f>IFERROR(UPPER(TRIM(B2418))&amp;"|"&amp;UPPER(TRIM(C2418))&amp;"|"&amp;UPPER(TRIM(D2418)),"")</f>
        <v/>
      </c>
    </row>
    <row r="2419" ht="15.75" customHeight="1" s="217">
      <c r="A2419" s="400" t="n">
        <v>2417</v>
      </c>
      <c r="B2419" s="400" t="inlineStr">
        <is>
          <t>KH1319</t>
        </is>
      </c>
      <c r="C2419" s="401" t="inlineStr">
        <is>
          <t>CH Hoàng Thành - Vình Long / Cô Hương: 0934.019.479</t>
        </is>
      </c>
      <c r="D2419" s="400" t="inlineStr">
        <is>
          <t>0934.019.479</t>
        </is>
      </c>
      <c r="E2419" s="402" t="n"/>
      <c r="F2419" s="401" t="inlineStr">
        <is>
          <t>Vĩnh Long</t>
        </is>
      </c>
      <c r="G2419" s="400" t="inlineStr">
        <is>
          <t>VĨNH LONG</t>
        </is>
      </c>
      <c r="H2419" s="402" t="n"/>
      <c r="J2419" s="392">
        <f>IFERROR(UPPER(TRIM(B2419))&amp;"|"&amp;UPPER(TRIM(C2419))&amp;"|"&amp;UPPER(TRIM(D2419)),"")</f>
        <v/>
      </c>
    </row>
    <row r="2420" ht="15.75" customHeight="1" s="217">
      <c r="A2420" s="397" t="n">
        <v>2418</v>
      </c>
      <c r="B2420" s="397" t="inlineStr">
        <is>
          <t>KH1320</t>
        </is>
      </c>
      <c r="C2420" s="398" t="inlineStr">
        <is>
          <t>Anh Thanh Huy - Q12 / 0983.664.983</t>
        </is>
      </c>
      <c r="D2420" s="397" t="inlineStr">
        <is>
          <t>0983.664.983</t>
        </is>
      </c>
      <c r="E2420" s="399" t="n"/>
      <c r="F2420" s="398" t="inlineStr">
        <is>
          <t>Q12, TP.HCM</t>
        </is>
      </c>
      <c r="G2420" s="397" t="inlineStr">
        <is>
          <t>SG/HCM</t>
        </is>
      </c>
      <c r="H2420" s="399" t="n"/>
      <c r="J2420" s="392">
        <f>IFERROR(UPPER(TRIM(B2420))&amp;"|"&amp;UPPER(TRIM(C2420))&amp;"|"&amp;UPPER(TRIM(D2420)),"")</f>
        <v/>
      </c>
    </row>
    <row r="2421" ht="15.75" customHeight="1" s="217">
      <c r="A2421" s="400" t="n">
        <v>2419</v>
      </c>
      <c r="B2421" s="400" t="inlineStr">
        <is>
          <t>KH1317</t>
        </is>
      </c>
      <c r="C2421" s="401" t="inlineStr">
        <is>
          <t>anh Hậu - Bình Dương / 0938.57.51.77</t>
        </is>
      </c>
      <c r="D2421" s="402" t="n"/>
      <c r="E2421" s="402" t="n"/>
      <c r="F2421" s="401" t="inlineStr">
        <is>
          <t>Bình Dương</t>
        </is>
      </c>
      <c r="G2421" s="400" t="inlineStr">
        <is>
          <t>BDUONG</t>
        </is>
      </c>
      <c r="H2421" s="402" t="n"/>
      <c r="J2421" s="392">
        <f>IFERROR(UPPER(TRIM(B2421))&amp;"|"&amp;UPPER(TRIM(C2421))&amp;"|"&amp;UPPER(TRIM(D2421)),"")</f>
        <v/>
      </c>
    </row>
    <row r="2422" ht="15.75" customHeight="1" s="217">
      <c r="A2422" s="397" t="n">
        <v>2420</v>
      </c>
      <c r="B2422" s="397" t="inlineStr">
        <is>
          <t>KH1318</t>
        </is>
      </c>
      <c r="C2422" s="398" t="inlineStr">
        <is>
          <t>Anh Cường - Q8 / 0933.334.367</t>
        </is>
      </c>
      <c r="D2422" s="397" t="inlineStr">
        <is>
          <t>0933.334.367</t>
        </is>
      </c>
      <c r="E2422" s="399" t="n"/>
      <c r="F2422" s="398" t="inlineStr">
        <is>
          <t>Quận 8, HCM</t>
        </is>
      </c>
      <c r="G2422" s="397" t="inlineStr">
        <is>
          <t>SG/HCM</t>
        </is>
      </c>
      <c r="H2422" s="399" t="n"/>
      <c r="J2422" s="392">
        <f>IFERROR(UPPER(TRIM(B2422))&amp;"|"&amp;UPPER(TRIM(C2422))&amp;"|"&amp;UPPER(TRIM(D2422)),"")</f>
        <v/>
      </c>
    </row>
    <row r="2423" ht="15.75" customHeight="1" s="217">
      <c r="A2423" s="400" t="n">
        <v>2421</v>
      </c>
      <c r="B2423" s="400" t="inlineStr">
        <is>
          <t>KH1311</t>
        </is>
      </c>
      <c r="C2423" s="401" t="inlineStr">
        <is>
          <t>Anh Tuấn - Củ Chi/ 0973.772.097</t>
        </is>
      </c>
      <c r="D2423" s="400" t="inlineStr">
        <is>
          <t>0973.772.097</t>
        </is>
      </c>
      <c r="E2423" s="402" t="n"/>
      <c r="F2423" s="401" t="inlineStr">
        <is>
          <t>Củ Chi - TP.HCM</t>
        </is>
      </c>
      <c r="G2423" s="400" t="inlineStr">
        <is>
          <t>SG/HCM</t>
        </is>
      </c>
      <c r="H2423" s="402" t="n"/>
      <c r="J2423" s="392">
        <f>IFERROR(UPPER(TRIM(B2423))&amp;"|"&amp;UPPER(TRIM(C2423))&amp;"|"&amp;UPPER(TRIM(D2423)),"")</f>
        <v/>
      </c>
    </row>
    <row r="2424" ht="15.75" customHeight="1" s="217">
      <c r="A2424" s="397" t="n">
        <v>2422</v>
      </c>
      <c r="B2424" s="397" t="inlineStr">
        <is>
          <t>KH1312</t>
        </is>
      </c>
      <c r="C2424" s="398" t="inlineStr">
        <is>
          <t>Anh Sang - Vĩnh Hưng, Long An (T)/ 0972.433.244</t>
        </is>
      </c>
      <c r="D2424" s="397" t="inlineStr">
        <is>
          <t>0972.433.244</t>
        </is>
      </c>
      <c r="E2424" s="399" t="n"/>
      <c r="F2424" s="398" t="inlineStr">
        <is>
          <t>Vĩnh Hưng, Long An</t>
        </is>
      </c>
      <c r="G2424" s="397" t="inlineStr">
        <is>
          <t>LA</t>
        </is>
      </c>
      <c r="H2424" s="399" t="n"/>
      <c r="J2424" s="392">
        <f>IFERROR(UPPER(TRIM(B2424))&amp;"|"&amp;UPPER(TRIM(C2424))&amp;"|"&amp;UPPER(TRIM(D2424)),"")</f>
        <v/>
      </c>
    </row>
    <row r="2425" ht="15.75" customHeight="1" s="217">
      <c r="A2425" s="400" t="n">
        <v>2423</v>
      </c>
      <c r="B2425" s="400" t="inlineStr">
        <is>
          <t>KH1313</t>
        </is>
      </c>
      <c r="C2425" s="401" t="inlineStr">
        <is>
          <t>CTy CP ĐT XD Phước Thịnh - Anh Linh, Vĩnh Long / 0907.731.768</t>
        </is>
      </c>
      <c r="D2425" s="400" t="inlineStr">
        <is>
          <t>0907.731.768</t>
        </is>
      </c>
      <c r="E2425" s="402" t="n"/>
      <c r="F2425" s="401" t="inlineStr">
        <is>
          <t>51/8/39 Phạm Thái Bường, P4, TP Vĩnh Long, Vĩnh Long</t>
        </is>
      </c>
      <c r="G2425" s="400" t="inlineStr">
        <is>
          <t>VĨNH LONG</t>
        </is>
      </c>
      <c r="H2425" s="402" t="n"/>
      <c r="J2425" s="392">
        <f>IFERROR(UPPER(TRIM(B2425))&amp;"|"&amp;UPPER(TRIM(C2425))&amp;"|"&amp;UPPER(TRIM(D2425)),"")</f>
        <v/>
      </c>
    </row>
    <row r="2426" ht="15.75" customHeight="1" s="217">
      <c r="A2426" s="397" t="n">
        <v>2424</v>
      </c>
      <c r="B2426" s="397" t="inlineStr">
        <is>
          <t>KH1314</t>
        </is>
      </c>
      <c r="C2426" s="398" t="inlineStr">
        <is>
          <t>Xưởng út Lan - Trà Vinh/ 01653.846.893</t>
        </is>
      </c>
      <c r="D2426" s="397" t="inlineStr">
        <is>
          <t>01653.846.893</t>
        </is>
      </c>
      <c r="E2426" s="399" t="n"/>
      <c r="F2426" s="398" t="inlineStr">
        <is>
          <t>Trà Vinh</t>
        </is>
      </c>
      <c r="G2426" s="397" t="inlineStr">
        <is>
          <t>TV</t>
        </is>
      </c>
      <c r="H2426" s="399" t="n"/>
      <c r="J2426" s="392">
        <f>IFERROR(UPPER(TRIM(B2426))&amp;"|"&amp;UPPER(TRIM(C2426))&amp;"|"&amp;UPPER(TRIM(D2426)),"")</f>
        <v/>
      </c>
    </row>
    <row r="2427" ht="15.75" customHeight="1" s="217">
      <c r="A2427" s="400" t="n">
        <v>2425</v>
      </c>
      <c r="B2427" s="400" t="inlineStr">
        <is>
          <t>KH1315</t>
        </is>
      </c>
      <c r="C2427" s="401" t="inlineStr">
        <is>
          <t>Anh Tấn - Đắk Nông/ 0914.863.273</t>
        </is>
      </c>
      <c r="D2427" s="400" t="inlineStr">
        <is>
          <t>0914.863.273</t>
        </is>
      </c>
      <c r="E2427" s="402" t="n"/>
      <c r="F2427" s="401" t="inlineStr">
        <is>
          <t>Đắk Nông</t>
        </is>
      </c>
      <c r="G2427" s="400" t="inlineStr">
        <is>
          <t>DNONG</t>
        </is>
      </c>
      <c r="H2427" s="402" t="n"/>
      <c r="J2427" s="392">
        <f>IFERROR(UPPER(TRIM(B2427))&amp;"|"&amp;UPPER(TRIM(C2427))&amp;"|"&amp;UPPER(TRIM(D2427)),"")</f>
        <v/>
      </c>
    </row>
    <row r="2428" ht="15.75" customHeight="1" s="217">
      <c r="A2428" s="397" t="n">
        <v>2426</v>
      </c>
      <c r="B2428" s="397" t="inlineStr">
        <is>
          <t>KH1316</t>
        </is>
      </c>
      <c r="C2428" s="398" t="inlineStr">
        <is>
          <t>Anh Tâm - Bình Định / 0915.060.644</t>
        </is>
      </c>
      <c r="D2428" s="397" t="inlineStr">
        <is>
          <t>0915.060.644</t>
        </is>
      </c>
      <c r="E2428" s="399" t="n"/>
      <c r="F2428" s="398" t="inlineStr">
        <is>
          <t>Bình Định</t>
        </is>
      </c>
      <c r="G2428" s="397" t="inlineStr">
        <is>
          <t>BDINH</t>
        </is>
      </c>
      <c r="H2428" s="399" t="n"/>
      <c r="J2428" s="392">
        <f>IFERROR(UPPER(TRIM(B2428))&amp;"|"&amp;UPPER(TRIM(C2428))&amp;"|"&amp;UPPER(TRIM(D2428)),"")</f>
        <v/>
      </c>
    </row>
    <row r="2429" ht="15.75" customHeight="1" s="217">
      <c r="A2429" s="400" t="n">
        <v>2427</v>
      </c>
      <c r="B2429" s="400" t="inlineStr">
        <is>
          <t>KH1309</t>
        </is>
      </c>
      <c r="C2429" s="401" t="inlineStr">
        <is>
          <t>Anh Sơn - Quảng Nam/ 0982.650.759</t>
        </is>
      </c>
      <c r="D2429" s="400" t="inlineStr">
        <is>
          <t>0982.650.759</t>
        </is>
      </c>
      <c r="E2429" s="402" t="n"/>
      <c r="F2429" s="401" t="inlineStr">
        <is>
          <t>Quảng Nam</t>
        </is>
      </c>
      <c r="G2429" s="400" t="inlineStr">
        <is>
          <t>QNAM</t>
        </is>
      </c>
      <c r="H2429" s="402" t="n"/>
      <c r="J2429" s="392">
        <f>IFERROR(UPPER(TRIM(B2429))&amp;"|"&amp;UPPER(TRIM(C2429))&amp;"|"&amp;UPPER(TRIM(D2429)),"")</f>
        <v/>
      </c>
    </row>
    <row r="2430" ht="15.75" customHeight="1" s="217">
      <c r="A2430" s="397" t="n">
        <v>2428</v>
      </c>
      <c r="B2430" s="397" t="inlineStr">
        <is>
          <t>KH1310</t>
        </is>
      </c>
      <c r="C2430" s="398" t="inlineStr">
        <is>
          <t>Cơ Sở An Phát - Suối Tiên / 0902.651.649</t>
        </is>
      </c>
      <c r="D2430" s="397" t="inlineStr">
        <is>
          <t>0902.651.649</t>
        </is>
      </c>
      <c r="E2430" s="399" t="n"/>
      <c r="F2430" s="398" t="inlineStr">
        <is>
          <t>Suối Tiên - SG</t>
        </is>
      </c>
      <c r="G2430" s="397" t="inlineStr">
        <is>
          <t>SG/HCM</t>
        </is>
      </c>
      <c r="H2430" s="399" t="n"/>
      <c r="J2430" s="392">
        <f>IFERROR(UPPER(TRIM(B2430))&amp;"|"&amp;UPPER(TRIM(C2430))&amp;"|"&amp;UPPER(TRIM(D2430)),"")</f>
        <v/>
      </c>
    </row>
    <row r="2431" ht="15.75" customHeight="1" s="217">
      <c r="A2431" s="400" t="n">
        <v>2429</v>
      </c>
      <c r="B2431" s="400" t="inlineStr">
        <is>
          <t>KH1308</t>
        </is>
      </c>
      <c r="C2431" s="401" t="inlineStr">
        <is>
          <t>Công Ty TNHH Khoáng Sản Hòa Thắng - Bình Thuận/ anh Nhớ - 0906.652.546</t>
        </is>
      </c>
      <c r="D2431" s="400" t="inlineStr">
        <is>
          <t>0906.652.546</t>
        </is>
      </c>
      <c r="E2431" s="402" t="n"/>
      <c r="F2431" s="401" t="inlineStr">
        <is>
          <t>Bình Thuận</t>
        </is>
      </c>
      <c r="G2431" s="400" t="inlineStr">
        <is>
          <t>BTHUAN</t>
        </is>
      </c>
      <c r="H2431" s="402" t="n"/>
      <c r="J2431" s="392">
        <f>IFERROR(UPPER(TRIM(B2431))&amp;"|"&amp;UPPER(TRIM(C2431))&amp;"|"&amp;UPPER(TRIM(D2431)),"")</f>
        <v/>
      </c>
    </row>
    <row r="2432" ht="15.75" customHeight="1" s="217">
      <c r="A2432" s="397" t="n">
        <v>2430</v>
      </c>
      <c r="B2432" s="397" t="inlineStr">
        <is>
          <t>KH1307</t>
        </is>
      </c>
      <c r="C2432" s="398" t="inlineStr">
        <is>
          <t>Anh Tú - Hậu Giang / 0907.278.322</t>
        </is>
      </c>
      <c r="D2432" s="397" t="inlineStr">
        <is>
          <t>0907.278.322</t>
        </is>
      </c>
      <c r="E2432" s="399" t="n"/>
      <c r="F2432" s="398" t="inlineStr">
        <is>
          <t>Hậu Giang</t>
        </is>
      </c>
      <c r="G2432" s="397" t="inlineStr">
        <is>
          <t>HG</t>
        </is>
      </c>
      <c r="H2432" s="399" t="n"/>
      <c r="J2432" s="392">
        <f>IFERROR(UPPER(TRIM(B2432))&amp;"|"&amp;UPPER(TRIM(C2432))&amp;"|"&amp;UPPER(TRIM(D2432)),"")</f>
        <v/>
      </c>
    </row>
    <row r="2433" ht="15.75" customHeight="1" s="217">
      <c r="A2433" s="400" t="n">
        <v>2431</v>
      </c>
      <c r="B2433" s="400" t="inlineStr">
        <is>
          <t>KH1306</t>
        </is>
      </c>
      <c r="C2433" s="401" t="inlineStr">
        <is>
          <t>Ngọc Quý - Vĩnh Hưng / 0913.847.120</t>
        </is>
      </c>
      <c r="D2433" s="400" t="inlineStr">
        <is>
          <t>0913.847.120</t>
        </is>
      </c>
      <c r="E2433" s="402" t="n"/>
      <c r="F2433" s="401" t="inlineStr">
        <is>
          <t>Vĩnh Hưng - Long an</t>
        </is>
      </c>
      <c r="G2433" s="400" t="inlineStr">
        <is>
          <t>LA</t>
        </is>
      </c>
      <c r="H2433" s="402" t="n"/>
      <c r="J2433" s="392">
        <f>IFERROR(UPPER(TRIM(B2433))&amp;"|"&amp;UPPER(TRIM(C2433))&amp;"|"&amp;UPPER(TRIM(D2433)),"")</f>
        <v/>
      </c>
    </row>
    <row r="2434" ht="15.75" customHeight="1" s="217">
      <c r="A2434" s="397" t="n">
        <v>2432</v>
      </c>
      <c r="B2434" s="397" t="inlineStr">
        <is>
          <t>KH00011</t>
        </is>
      </c>
      <c r="C2434" s="398" t="inlineStr">
        <is>
          <t>Anh Vui - Bình Chánh / 0909.251.642</t>
        </is>
      </c>
      <c r="D2434" s="397" t="inlineStr">
        <is>
          <t>0909.251.642</t>
        </is>
      </c>
      <c r="E2434" s="399" t="n"/>
      <c r="F2434" s="398" t="inlineStr">
        <is>
          <t>Bình Chánh</t>
        </is>
      </c>
      <c r="G2434" s="397" t="inlineStr">
        <is>
          <t>SG/HCM</t>
        </is>
      </c>
      <c r="H2434" s="399" t="n"/>
      <c r="J2434" s="392">
        <f>IFERROR(UPPER(TRIM(B2434))&amp;"|"&amp;UPPER(TRIM(C2434))&amp;"|"&amp;UPPER(TRIM(D2434)),"")</f>
        <v/>
      </c>
    </row>
    <row r="2435" ht="15.75" customHeight="1" s="217">
      <c r="A2435" s="400" t="n">
        <v>2433</v>
      </c>
      <c r="B2435" s="400" t="inlineStr">
        <is>
          <t>KH1305</t>
        </is>
      </c>
      <c r="C2435" s="401" t="inlineStr">
        <is>
          <t>CH Anh Toàn - Long An / 0983.375.810</t>
        </is>
      </c>
      <c r="D2435" s="400" t="inlineStr">
        <is>
          <t>0983.375.810</t>
        </is>
      </c>
      <c r="E2435" s="402" t="n"/>
      <c r="F2435" s="401" t="inlineStr">
        <is>
          <t>Vòng Xoay Tân An, Long An</t>
        </is>
      </c>
      <c r="G2435" s="400" t="inlineStr">
        <is>
          <t>LA</t>
        </is>
      </c>
      <c r="H2435" s="402" t="n"/>
      <c r="J2435" s="392">
        <f>IFERROR(UPPER(TRIM(B2435))&amp;"|"&amp;UPPER(TRIM(C2435))&amp;"|"&amp;UPPER(TRIM(D2435)),"")</f>
        <v/>
      </c>
    </row>
    <row r="2436" ht="15.75" customHeight="1" s="217">
      <c r="A2436" s="397" t="n">
        <v>2434</v>
      </c>
      <c r="B2436" s="397" t="inlineStr">
        <is>
          <t>KH1300</t>
        </is>
      </c>
      <c r="C2436" s="398" t="inlineStr">
        <is>
          <t>Anh Chín Lạc - Vĩnh Hưng, Long An / 0933.153.174</t>
        </is>
      </c>
      <c r="D2436" s="397" t="inlineStr">
        <is>
          <t>0933.153.174</t>
        </is>
      </c>
      <c r="E2436" s="399" t="n"/>
      <c r="F2436" s="398" t="inlineStr">
        <is>
          <t>Vĩnh Hưng, Long An</t>
        </is>
      </c>
      <c r="G2436" s="397" t="inlineStr">
        <is>
          <t>LA</t>
        </is>
      </c>
      <c r="H2436" s="399" t="n"/>
      <c r="J2436" s="392">
        <f>IFERROR(UPPER(TRIM(B2436))&amp;"|"&amp;UPPER(TRIM(C2436))&amp;"|"&amp;UPPER(TRIM(D2436)),"")</f>
        <v/>
      </c>
    </row>
    <row r="2437" ht="15.75" customHeight="1" s="217">
      <c r="A2437" s="400" t="n">
        <v>2435</v>
      </c>
      <c r="B2437" s="400" t="inlineStr">
        <is>
          <t>KH1301</t>
        </is>
      </c>
      <c r="C2437" s="401" t="inlineStr">
        <is>
          <t>Anh Chi - Long An / 0949.879.418</t>
        </is>
      </c>
      <c r="D2437" s="400" t="inlineStr">
        <is>
          <t>0949.879.418</t>
        </is>
      </c>
      <c r="E2437" s="402" t="n"/>
      <c r="F2437" s="401" t="inlineStr">
        <is>
          <t>Long An</t>
        </is>
      </c>
      <c r="G2437" s="400" t="inlineStr">
        <is>
          <t>LA</t>
        </is>
      </c>
      <c r="H2437" s="402" t="n"/>
      <c r="J2437" s="392">
        <f>IFERROR(UPPER(TRIM(B2437))&amp;"|"&amp;UPPER(TRIM(C2437))&amp;"|"&amp;UPPER(TRIM(D2437)),"")</f>
        <v/>
      </c>
    </row>
    <row r="2438" ht="15.75" customHeight="1" s="217">
      <c r="A2438" s="397" t="n">
        <v>2436</v>
      </c>
      <c r="B2438" s="397" t="inlineStr">
        <is>
          <t>KH1302</t>
        </is>
      </c>
      <c r="C2438" s="398" t="inlineStr">
        <is>
          <t>Anh Tùng - Bình Dương/ 01653.499.236</t>
        </is>
      </c>
      <c r="D2438" s="397" t="inlineStr">
        <is>
          <t>01653.499.236</t>
        </is>
      </c>
      <c r="E2438" s="399" t="n"/>
      <c r="F2438" s="398" t="inlineStr">
        <is>
          <t>Bình Dương</t>
        </is>
      </c>
      <c r="G2438" s="397" t="inlineStr">
        <is>
          <t>BDUONG</t>
        </is>
      </c>
      <c r="H2438" s="399" t="n"/>
      <c r="J2438" s="392">
        <f>IFERROR(UPPER(TRIM(B2438))&amp;"|"&amp;UPPER(TRIM(C2438))&amp;"|"&amp;UPPER(TRIM(D2438)),"")</f>
        <v/>
      </c>
    </row>
    <row r="2439" ht="15.75" customHeight="1" s="217">
      <c r="A2439" s="400" t="n">
        <v>2437</v>
      </c>
      <c r="B2439" s="400" t="inlineStr">
        <is>
          <t>KH1303</t>
        </is>
      </c>
      <c r="C2439" s="401" t="inlineStr">
        <is>
          <t>Anh Hải - Trà Vinh/ 0918.975.405</t>
        </is>
      </c>
      <c r="D2439" s="400" t="inlineStr">
        <is>
          <t>0918.975.405</t>
        </is>
      </c>
      <c r="E2439" s="402" t="n"/>
      <c r="F2439" s="401" t="inlineStr">
        <is>
          <t>Trà Vinh</t>
        </is>
      </c>
      <c r="G2439" s="400" t="inlineStr">
        <is>
          <t>TV</t>
        </is>
      </c>
      <c r="H2439" s="402" t="n"/>
      <c r="J2439" s="392">
        <f>IFERROR(UPPER(TRIM(B2439))&amp;"|"&amp;UPPER(TRIM(C2439))&amp;"|"&amp;UPPER(TRIM(D2439)),"")</f>
        <v/>
      </c>
    </row>
    <row r="2440" ht="15.75" customHeight="1" s="217">
      <c r="A2440" s="397" t="n">
        <v>2438</v>
      </c>
      <c r="B2440" s="397" t="inlineStr">
        <is>
          <t>KH1304</t>
        </is>
      </c>
      <c r="C2440" s="398" t="inlineStr">
        <is>
          <t>CH anh Hoài - Sóc Trăng / 0918.626.072</t>
        </is>
      </c>
      <c r="D2440" s="397" t="inlineStr">
        <is>
          <t>0918.626.072</t>
        </is>
      </c>
      <c r="E2440" s="399" t="n"/>
      <c r="F2440" s="398" t="inlineStr">
        <is>
          <t>Sóc Trăng</t>
        </is>
      </c>
      <c r="G2440" s="397" t="inlineStr">
        <is>
          <t>STRANG</t>
        </is>
      </c>
      <c r="H2440" s="399" t="n"/>
      <c r="J2440" s="392">
        <f>IFERROR(UPPER(TRIM(B2440))&amp;"|"&amp;UPPER(TRIM(C2440))&amp;"|"&amp;UPPER(TRIM(D2440)),"")</f>
        <v/>
      </c>
    </row>
    <row r="2441" ht="15.75" customHeight="1" s="217">
      <c r="A2441" s="400" t="n">
        <v>2439</v>
      </c>
      <c r="B2441" s="400" t="inlineStr">
        <is>
          <t>KH1296</t>
        </is>
      </c>
      <c r="C2441" s="401" t="inlineStr">
        <is>
          <t>Anh Thành - Tân Uyên, Bình Dương / 0917.25.6666</t>
        </is>
      </c>
      <c r="D2441" s="402" t="n"/>
      <c r="E2441" s="402" t="n"/>
      <c r="F2441" s="401" t="inlineStr">
        <is>
          <t>Tân Uyên, Bình Dương</t>
        </is>
      </c>
      <c r="G2441" s="400" t="inlineStr">
        <is>
          <t>BDUONG</t>
        </is>
      </c>
      <c r="H2441" s="402" t="n"/>
      <c r="J2441" s="392">
        <f>IFERROR(UPPER(TRIM(B2441))&amp;"|"&amp;UPPER(TRIM(C2441))&amp;"|"&amp;UPPER(TRIM(D2441)),"")</f>
        <v/>
      </c>
    </row>
    <row r="2442" ht="15.75" customHeight="1" s="217">
      <c r="A2442" s="397" t="n">
        <v>2440</v>
      </c>
      <c r="B2442" s="397" t="inlineStr">
        <is>
          <t>KH1297</t>
        </is>
      </c>
      <c r="C2442" s="398" t="inlineStr">
        <is>
          <t>Anh Ngãi (Công Ty TNHH Trương Vĩnh Khang) - Đồng Nai/ 0913.941.536</t>
        </is>
      </c>
      <c r="D2442" s="397" t="inlineStr">
        <is>
          <t>0913.941.536</t>
        </is>
      </c>
      <c r="E2442" s="399" t="n"/>
      <c r="F2442" s="398" t="inlineStr">
        <is>
          <t>Đồng Nai</t>
        </is>
      </c>
      <c r="G2442" s="397" t="inlineStr">
        <is>
          <t>ÐNAI</t>
        </is>
      </c>
      <c r="H2442" s="399" t="n"/>
      <c r="J2442" s="392">
        <f>IFERROR(UPPER(TRIM(B2442))&amp;"|"&amp;UPPER(TRIM(C2442))&amp;"|"&amp;UPPER(TRIM(D2442)),"")</f>
        <v/>
      </c>
    </row>
    <row r="2443" ht="15.75" customHeight="1" s="217">
      <c r="A2443" s="400" t="n">
        <v>2441</v>
      </c>
      <c r="B2443" s="400" t="inlineStr">
        <is>
          <t>KH1298</t>
        </is>
      </c>
      <c r="C2443" s="401" t="inlineStr">
        <is>
          <t>Anh Bửu - Đắk Nông/ 01694.099.108</t>
        </is>
      </c>
      <c r="D2443" s="400" t="inlineStr">
        <is>
          <t>01694.099.108</t>
        </is>
      </c>
      <c r="E2443" s="402" t="n"/>
      <c r="F2443" s="401" t="inlineStr">
        <is>
          <t>Đắk Nông</t>
        </is>
      </c>
      <c r="G2443" s="400" t="inlineStr">
        <is>
          <t>DNONG</t>
        </is>
      </c>
      <c r="H2443" s="402" t="n"/>
      <c r="J2443" s="392">
        <f>IFERROR(UPPER(TRIM(B2443))&amp;"|"&amp;UPPER(TRIM(C2443))&amp;"|"&amp;UPPER(TRIM(D2443)),"")</f>
        <v/>
      </c>
    </row>
    <row r="2444" ht="15.75" customHeight="1" s="217">
      <c r="A2444" s="397" t="n">
        <v>2442</v>
      </c>
      <c r="B2444" s="397" t="inlineStr">
        <is>
          <t>KH1299</t>
        </is>
      </c>
      <c r="C2444" s="398" t="inlineStr">
        <is>
          <t>Anh Mạnh - Bạc Liêu/ 0913.830.011</t>
        </is>
      </c>
      <c r="D2444" s="397" t="inlineStr">
        <is>
          <t>0913.830.011</t>
        </is>
      </c>
      <c r="E2444" s="399" t="n"/>
      <c r="F2444" s="398" t="inlineStr">
        <is>
          <t>Bạc Liêu</t>
        </is>
      </c>
      <c r="G2444" s="397" t="inlineStr">
        <is>
          <t>BLIEU</t>
        </is>
      </c>
      <c r="H2444" s="399" t="n"/>
      <c r="J2444" s="392">
        <f>IFERROR(UPPER(TRIM(B2444))&amp;"|"&amp;UPPER(TRIM(C2444))&amp;"|"&amp;UPPER(TRIM(D2444)),"")</f>
        <v/>
      </c>
    </row>
    <row r="2445" ht="15.75" customHeight="1" s="217">
      <c r="A2445" s="400" t="n">
        <v>2443</v>
      </c>
      <c r="B2445" s="400" t="inlineStr">
        <is>
          <t>KH1295</t>
        </is>
      </c>
      <c r="C2445" s="401" t="inlineStr">
        <is>
          <t>Chị Nga - Bình Dương / 0913.950.926</t>
        </is>
      </c>
      <c r="D2445" s="400" t="inlineStr">
        <is>
          <t>0913.950.926</t>
        </is>
      </c>
      <c r="E2445" s="402" t="n"/>
      <c r="F2445" s="401" t="inlineStr">
        <is>
          <t>Bình Dương</t>
        </is>
      </c>
      <c r="G2445" s="400" t="inlineStr">
        <is>
          <t>BDUONG</t>
        </is>
      </c>
      <c r="H2445" s="402" t="n"/>
      <c r="J2445" s="392">
        <f>IFERROR(UPPER(TRIM(B2445))&amp;"|"&amp;UPPER(TRIM(C2445))&amp;"|"&amp;UPPER(TRIM(D2445)),"")</f>
        <v/>
      </c>
    </row>
    <row r="2446" ht="15.75" customHeight="1" s="217">
      <c r="A2446" s="397" t="n">
        <v>2444</v>
      </c>
      <c r="B2446" s="397" t="inlineStr">
        <is>
          <t>KH1294</t>
        </is>
      </c>
      <c r="C2446" s="398" t="inlineStr">
        <is>
          <t>Anh Thanh - Gia Lai/ 0987.271.665</t>
        </is>
      </c>
      <c r="D2446" s="397" t="inlineStr">
        <is>
          <t>0987.271.665</t>
        </is>
      </c>
      <c r="E2446" s="399" t="n"/>
      <c r="F2446" s="398" t="inlineStr">
        <is>
          <t>Gia Lai</t>
        </is>
      </c>
      <c r="G2446" s="397" t="inlineStr">
        <is>
          <t>GLAI</t>
        </is>
      </c>
      <c r="H2446" s="399" t="n"/>
      <c r="J2446" s="392">
        <f>IFERROR(UPPER(TRIM(B2446))&amp;"|"&amp;UPPER(TRIM(C2446))&amp;"|"&amp;UPPER(TRIM(D2446)),"")</f>
        <v/>
      </c>
    </row>
    <row r="2447" ht="15.75" customHeight="1" s="217">
      <c r="A2447" s="400" t="n">
        <v>2445</v>
      </c>
      <c r="B2447" s="400" t="inlineStr">
        <is>
          <t>KH1293</t>
        </is>
      </c>
      <c r="C2447" s="401" t="inlineStr">
        <is>
          <t>Anh Tùng - Đăk Nông / 0914.086.528</t>
        </is>
      </c>
      <c r="D2447" s="400" t="inlineStr">
        <is>
          <t>0914.086.528</t>
        </is>
      </c>
      <c r="E2447" s="402" t="n"/>
      <c r="F2447" s="401" t="inlineStr">
        <is>
          <t>Đăk Nông</t>
        </is>
      </c>
      <c r="G2447" s="400" t="inlineStr">
        <is>
          <t>DNONG</t>
        </is>
      </c>
      <c r="H2447" s="402" t="n"/>
      <c r="J2447" s="392">
        <f>IFERROR(UPPER(TRIM(B2447))&amp;"|"&amp;UPPER(TRIM(C2447))&amp;"|"&amp;UPPER(TRIM(D2447)),"")</f>
        <v/>
      </c>
    </row>
    <row r="2448" ht="15.75" customHeight="1" s="217">
      <c r="A2448" s="397" t="n">
        <v>2446</v>
      </c>
      <c r="B2448" s="397" t="inlineStr">
        <is>
          <t>KH1291</t>
        </is>
      </c>
      <c r="C2448" s="398" t="inlineStr">
        <is>
          <t>Anh Khanh - Tam Bình/ 0902.799.442</t>
        </is>
      </c>
      <c r="D2448" s="397" t="inlineStr">
        <is>
          <t>0902.799.442</t>
        </is>
      </c>
      <c r="E2448" s="399" t="n"/>
      <c r="F2448" s="398" t="inlineStr">
        <is>
          <t>Tam Bình - Thủ Đức - TP.HCM</t>
        </is>
      </c>
      <c r="G2448" s="397" t="inlineStr">
        <is>
          <t>SG/HCM</t>
        </is>
      </c>
      <c r="H2448" s="399" t="n"/>
      <c r="J2448" s="392">
        <f>IFERROR(UPPER(TRIM(B2448))&amp;"|"&amp;UPPER(TRIM(C2448))&amp;"|"&amp;UPPER(TRIM(D2448)),"")</f>
        <v/>
      </c>
    </row>
    <row r="2449" ht="15.75" customHeight="1" s="217">
      <c r="A2449" s="400" t="n">
        <v>2447</v>
      </c>
      <c r="B2449" s="400" t="inlineStr">
        <is>
          <t>KH1292</t>
        </is>
      </c>
      <c r="C2449" s="401" t="inlineStr">
        <is>
          <t>Anh Sang - Bình Dương / 0944.235.235</t>
        </is>
      </c>
      <c r="D2449" s="400" t="inlineStr">
        <is>
          <t>0944.235.235</t>
        </is>
      </c>
      <c r="E2449" s="402" t="n"/>
      <c r="F2449" s="401" t="inlineStr">
        <is>
          <t>Bình Dương</t>
        </is>
      </c>
      <c r="G2449" s="400" t="inlineStr">
        <is>
          <t>BDUONG</t>
        </is>
      </c>
      <c r="H2449" s="402" t="n"/>
      <c r="J2449" s="392">
        <f>IFERROR(UPPER(TRIM(B2449))&amp;"|"&amp;UPPER(TRIM(C2449))&amp;"|"&amp;UPPER(TRIM(D2449)),"")</f>
        <v/>
      </c>
    </row>
    <row r="2450" ht="15.75" customHeight="1" s="217">
      <c r="A2450" s="397" t="n">
        <v>2448</v>
      </c>
      <c r="B2450" s="397" t="inlineStr">
        <is>
          <t>KH1288</t>
        </is>
      </c>
      <c r="C2450" s="398" t="inlineStr">
        <is>
          <t>Anh Đức - Kiên Giang / 0919.382.855 - 0938.704.784</t>
        </is>
      </c>
      <c r="D2450" s="397" t="inlineStr">
        <is>
          <t>0919.382.855 / 0938.704.784</t>
        </is>
      </c>
      <c r="E2450" s="399" t="n"/>
      <c r="F2450" s="398" t="inlineStr">
        <is>
          <t>Phú Quốc - Kiên Giang</t>
        </is>
      </c>
      <c r="G2450" s="397" t="inlineStr">
        <is>
          <t>KG</t>
        </is>
      </c>
      <c r="H2450" s="399" t="n"/>
      <c r="J2450" s="392">
        <f>IFERROR(UPPER(TRIM(B2450))&amp;"|"&amp;UPPER(TRIM(C2450))&amp;"|"&amp;UPPER(TRIM(D2450)),"")</f>
        <v/>
      </c>
    </row>
    <row r="2451" ht="15.75" customHeight="1" s="217">
      <c r="A2451" s="400" t="n">
        <v>2449</v>
      </c>
      <c r="B2451" s="400" t="inlineStr">
        <is>
          <t>KH1289</t>
        </is>
      </c>
      <c r="C2451" s="401" t="inlineStr">
        <is>
          <t>Anh Thọ - Gia Lai/ 01637.471.055</t>
        </is>
      </c>
      <c r="D2451" s="400" t="inlineStr">
        <is>
          <t>01637.471.055</t>
        </is>
      </c>
      <c r="E2451" s="402" t="n"/>
      <c r="F2451" s="401" t="inlineStr">
        <is>
          <t>Gia Lai</t>
        </is>
      </c>
      <c r="G2451" s="400" t="inlineStr">
        <is>
          <t>GLAI</t>
        </is>
      </c>
      <c r="H2451" s="402" t="n"/>
      <c r="J2451" s="392">
        <f>IFERROR(UPPER(TRIM(B2451))&amp;"|"&amp;UPPER(TRIM(C2451))&amp;"|"&amp;UPPER(TRIM(D2451)),"")</f>
        <v/>
      </c>
    </row>
    <row r="2452" ht="15.75" customHeight="1" s="217">
      <c r="A2452" s="397" t="n">
        <v>2450</v>
      </c>
      <c r="B2452" s="397" t="inlineStr">
        <is>
          <t>KH1290</t>
        </is>
      </c>
      <c r="C2452" s="398" t="inlineStr">
        <is>
          <t>Bãi Máy Hoàng Quyến - Tân Vạn/ 0903.621.095</t>
        </is>
      </c>
      <c r="D2452" s="397" t="inlineStr">
        <is>
          <t>0903.621.095</t>
        </is>
      </c>
      <c r="E2452" s="399" t="n"/>
      <c r="F2452" s="398" t="inlineStr">
        <is>
          <t>Tân Vạn -Suối Tiên - TP.HCM</t>
        </is>
      </c>
      <c r="G2452" s="397" t="inlineStr">
        <is>
          <t>SG/HCM</t>
        </is>
      </c>
      <c r="H2452" s="399" t="n"/>
      <c r="J2452" s="392">
        <f>IFERROR(UPPER(TRIM(B2452))&amp;"|"&amp;UPPER(TRIM(C2452))&amp;"|"&amp;UPPER(TRIM(D2452)),"")</f>
        <v/>
      </c>
    </row>
    <row r="2453" ht="15.75" customHeight="1" s="217">
      <c r="A2453" s="400" t="n">
        <v>2451</v>
      </c>
      <c r="B2453" s="400" t="inlineStr">
        <is>
          <t>KH1287</t>
        </is>
      </c>
      <c r="C2453" s="401" t="inlineStr">
        <is>
          <t>Công Ty CP XD P&amp;F Việt Nam - Hà Nội/ Anh Huy - 0989.536.977</t>
        </is>
      </c>
      <c r="D2453" s="400" t="inlineStr">
        <is>
          <t>0989.536.977</t>
        </is>
      </c>
      <c r="E2453" s="402" t="n"/>
      <c r="F2453" s="401" t="inlineStr">
        <is>
          <t>Cầu Giấy - Hà Nội</t>
        </is>
      </c>
      <c r="G2453" s="400" t="inlineStr">
        <is>
          <t>HN</t>
        </is>
      </c>
      <c r="H2453" s="402" t="n"/>
      <c r="J2453" s="392">
        <f>IFERROR(UPPER(TRIM(B2453))&amp;"|"&amp;UPPER(TRIM(C2453))&amp;"|"&amp;UPPER(TRIM(D2453)),"")</f>
        <v/>
      </c>
    </row>
    <row r="2454" ht="15.75" customHeight="1" s="217">
      <c r="A2454" s="397" t="n">
        <v>2452</v>
      </c>
      <c r="B2454" s="397" t="inlineStr">
        <is>
          <t>KH1285</t>
        </is>
      </c>
      <c r="C2454" s="398" t="inlineStr">
        <is>
          <t>Bãi Máy Đại Quang Chiến - Bình Chánh / 0983.454.451</t>
        </is>
      </c>
      <c r="D2454" s="397" t="inlineStr">
        <is>
          <t>0983.454.451</t>
        </is>
      </c>
      <c r="E2454" s="399" t="n"/>
      <c r="F2454" s="398" t="inlineStr">
        <is>
          <t>Bình Chánh, SG</t>
        </is>
      </c>
      <c r="G2454" s="397" t="inlineStr">
        <is>
          <t>SG/HCM</t>
        </is>
      </c>
      <c r="H2454" s="399" t="n"/>
      <c r="J2454" s="392">
        <f>IFERROR(UPPER(TRIM(B2454))&amp;"|"&amp;UPPER(TRIM(C2454))&amp;"|"&amp;UPPER(TRIM(D2454)),"")</f>
        <v/>
      </c>
    </row>
    <row r="2455" ht="15.75" customHeight="1" s="217">
      <c r="A2455" s="400" t="n">
        <v>2453</v>
      </c>
      <c r="B2455" s="400" t="inlineStr">
        <is>
          <t>KH1286</t>
        </is>
      </c>
      <c r="C2455" s="401" t="inlineStr">
        <is>
          <t>Anh Thành - Nhà Bè/ 0915.416.379</t>
        </is>
      </c>
      <c r="D2455" s="400" t="inlineStr">
        <is>
          <t>0915.416.379</t>
        </is>
      </c>
      <c r="E2455" s="402" t="n"/>
      <c r="F2455" s="401" t="inlineStr">
        <is>
          <t>Nhà Bè-SG</t>
        </is>
      </c>
      <c r="G2455" s="400" t="inlineStr">
        <is>
          <t>SG/HCM</t>
        </is>
      </c>
      <c r="H2455" s="402" t="n"/>
      <c r="J2455" s="392">
        <f>IFERROR(UPPER(TRIM(B2455))&amp;"|"&amp;UPPER(TRIM(C2455))&amp;"|"&amp;UPPER(TRIM(D2455)),"")</f>
        <v/>
      </c>
    </row>
    <row r="2456" ht="15.75" customHeight="1" s="217">
      <c r="A2456" s="397" t="n">
        <v>2454</v>
      </c>
      <c r="B2456" s="397" t="inlineStr">
        <is>
          <t>KH1279</t>
        </is>
      </c>
      <c r="C2456" s="398" t="inlineStr">
        <is>
          <t>Xưởng Anh Đạt  - Cầu Đỏ / 0913.731.676</t>
        </is>
      </c>
      <c r="D2456" s="397" t="inlineStr">
        <is>
          <t>0913.731.676</t>
        </is>
      </c>
      <c r="E2456" s="399" t="n"/>
      <c r="F2456" s="398" t="inlineStr">
        <is>
          <t>Cầu Đỏ, SG</t>
        </is>
      </c>
      <c r="G2456" s="397" t="inlineStr">
        <is>
          <t>SG/HCM</t>
        </is>
      </c>
      <c r="H2456" s="399" t="n"/>
      <c r="J2456" s="392">
        <f>IFERROR(UPPER(TRIM(B2456))&amp;"|"&amp;UPPER(TRIM(C2456))&amp;"|"&amp;UPPER(TRIM(D2456)),"")</f>
        <v/>
      </c>
    </row>
    <row r="2457" ht="15.75" customHeight="1" s="217">
      <c r="A2457" s="400" t="n">
        <v>2455</v>
      </c>
      <c r="B2457" s="400" t="inlineStr">
        <is>
          <t>KH1280</t>
        </is>
      </c>
      <c r="C2457" s="401" t="inlineStr">
        <is>
          <t>Anh Hải - Suối Tiên/ 0903.346.592</t>
        </is>
      </c>
      <c r="D2457" s="400" t="inlineStr">
        <is>
          <t>0903.346.592</t>
        </is>
      </c>
      <c r="E2457" s="402" t="n"/>
      <c r="F2457" s="401" t="inlineStr">
        <is>
          <t>Suối Tiên - TP.HCM</t>
        </is>
      </c>
      <c r="G2457" s="400" t="inlineStr">
        <is>
          <t>SG/HCM</t>
        </is>
      </c>
      <c r="H2457" s="402" t="n"/>
      <c r="J2457" s="392">
        <f>IFERROR(UPPER(TRIM(B2457))&amp;"|"&amp;UPPER(TRIM(C2457))&amp;"|"&amp;UPPER(TRIM(D2457)),"")</f>
        <v/>
      </c>
    </row>
    <row r="2458" ht="15.75" customHeight="1" s="217">
      <c r="A2458" s="397" t="n">
        <v>2456</v>
      </c>
      <c r="B2458" s="397" t="inlineStr">
        <is>
          <t>KH1281</t>
        </is>
      </c>
      <c r="C2458" s="398" t="inlineStr">
        <is>
          <t>Cửa hàng Minh Tâm - Hàng Xanh / 0903.717.082 / 0903.939.557</t>
        </is>
      </c>
      <c r="D2458" s="397" t="inlineStr">
        <is>
          <t>0903.717.082 / 0903.939.557</t>
        </is>
      </c>
      <c r="E2458" s="399" t="n"/>
      <c r="F2458" s="398" t="inlineStr">
        <is>
          <t>530 Điện Biên Phủ, Bình Thạnh, HCM</t>
        </is>
      </c>
      <c r="G2458" s="397" t="inlineStr">
        <is>
          <t>SG/HCM</t>
        </is>
      </c>
      <c r="H2458" s="399" t="n"/>
      <c r="J2458" s="392">
        <f>IFERROR(UPPER(TRIM(B2458))&amp;"|"&amp;UPPER(TRIM(C2458))&amp;"|"&amp;UPPER(TRIM(D2458)),"")</f>
        <v/>
      </c>
    </row>
    <row r="2459" ht="15.75" customHeight="1" s="217">
      <c r="A2459" s="400" t="n">
        <v>2457</v>
      </c>
      <c r="B2459" s="400" t="inlineStr">
        <is>
          <t>KH1282</t>
        </is>
      </c>
      <c r="C2459" s="401" t="inlineStr">
        <is>
          <t>Chú Tân - Đồng Nai/ 0937.626.469</t>
        </is>
      </c>
      <c r="D2459" s="400" t="inlineStr">
        <is>
          <t>0937.626.469</t>
        </is>
      </c>
      <c r="E2459" s="402" t="n"/>
      <c r="F2459" s="401" t="inlineStr">
        <is>
          <t>Đồng Nai</t>
        </is>
      </c>
      <c r="G2459" s="400" t="inlineStr">
        <is>
          <t>ÐNAI</t>
        </is>
      </c>
      <c r="H2459" s="402" t="n"/>
      <c r="J2459" s="392">
        <f>IFERROR(UPPER(TRIM(B2459))&amp;"|"&amp;UPPER(TRIM(C2459))&amp;"|"&amp;UPPER(TRIM(D2459)),"")</f>
        <v/>
      </c>
    </row>
    <row r="2460" ht="15.75" customHeight="1" s="217">
      <c r="A2460" s="397" t="n">
        <v>2458</v>
      </c>
      <c r="B2460" s="397" t="inlineStr">
        <is>
          <t>KH1283</t>
        </is>
      </c>
      <c r="C2460" s="398" t="inlineStr">
        <is>
          <t>Anh Lâm -  Q7 / 0937.294.545</t>
        </is>
      </c>
      <c r="D2460" s="397" t="inlineStr">
        <is>
          <t>0937.294.545</t>
        </is>
      </c>
      <c r="E2460" s="399" t="n"/>
      <c r="F2460" s="398" t="inlineStr">
        <is>
          <t>Q7, SG</t>
        </is>
      </c>
      <c r="G2460" s="397" t="inlineStr">
        <is>
          <t>SG/HCM</t>
        </is>
      </c>
      <c r="H2460" s="399" t="n"/>
      <c r="J2460" s="392">
        <f>IFERROR(UPPER(TRIM(B2460))&amp;"|"&amp;UPPER(TRIM(C2460))&amp;"|"&amp;UPPER(TRIM(D2460)),"")</f>
        <v/>
      </c>
    </row>
    <row r="2461" ht="15.75" customHeight="1" s="217">
      <c r="A2461" s="400" t="n">
        <v>2459</v>
      </c>
      <c r="B2461" s="400" t="inlineStr">
        <is>
          <t>KH1284</t>
        </is>
      </c>
      <c r="C2461" s="401" t="inlineStr">
        <is>
          <t>Bãi Máy Trường Hòa Phát - Q12 / 0939.160.479</t>
        </is>
      </c>
      <c r="D2461" s="400" t="inlineStr">
        <is>
          <t>0939.160.479</t>
        </is>
      </c>
      <c r="E2461" s="402" t="n"/>
      <c r="F2461" s="401" t="inlineStr">
        <is>
          <t>Cầu Bến Cát, Q12</t>
        </is>
      </c>
      <c r="G2461" s="400" t="inlineStr">
        <is>
          <t>SG/HCM</t>
        </is>
      </c>
      <c r="H2461" s="402" t="n"/>
      <c r="J2461" s="392">
        <f>IFERROR(UPPER(TRIM(B2461))&amp;"|"&amp;UPPER(TRIM(C2461))&amp;"|"&amp;UPPER(TRIM(D2461)),"")</f>
        <v/>
      </c>
    </row>
    <row r="2462" ht="15.75" customHeight="1" s="217">
      <c r="A2462" s="397" t="n">
        <v>2460</v>
      </c>
      <c r="B2462" s="397" t="inlineStr">
        <is>
          <t>KH1277</t>
        </is>
      </c>
      <c r="C2462" s="398" t="inlineStr">
        <is>
          <t>Anh Thoại - Gia Lai / 0972.354.110</t>
        </is>
      </c>
      <c r="D2462" s="397" t="inlineStr">
        <is>
          <t>0972.354.110</t>
        </is>
      </c>
      <c r="E2462" s="399" t="n"/>
      <c r="F2462" s="398" t="inlineStr">
        <is>
          <t>Gia Lai</t>
        </is>
      </c>
      <c r="G2462" s="397" t="inlineStr">
        <is>
          <t>GLAI</t>
        </is>
      </c>
      <c r="H2462" s="399" t="n"/>
      <c r="J2462" s="392">
        <f>IFERROR(UPPER(TRIM(B2462))&amp;"|"&amp;UPPER(TRIM(C2462))&amp;"|"&amp;UPPER(TRIM(D2462)),"")</f>
        <v/>
      </c>
    </row>
    <row r="2463" ht="15.75" customHeight="1" s="217">
      <c r="A2463" s="400" t="n">
        <v>2461</v>
      </c>
      <c r="B2463" s="400" t="inlineStr">
        <is>
          <t>KH1278</t>
        </is>
      </c>
      <c r="C2463" s="401" t="inlineStr">
        <is>
          <t>Anh Thành - Gia Lai / 0984.564.000</t>
        </is>
      </c>
      <c r="D2463" s="400" t="inlineStr">
        <is>
          <t>0984.564.000</t>
        </is>
      </c>
      <c r="E2463" s="402" t="n"/>
      <c r="F2463" s="401" t="inlineStr">
        <is>
          <t>Gia Lai</t>
        </is>
      </c>
      <c r="G2463" s="400" t="inlineStr">
        <is>
          <t>GLAI</t>
        </is>
      </c>
      <c r="H2463" s="402" t="n"/>
      <c r="J2463" s="392">
        <f>IFERROR(UPPER(TRIM(B2463))&amp;"|"&amp;UPPER(TRIM(C2463))&amp;"|"&amp;UPPER(TRIM(D2463)),"")</f>
        <v/>
      </c>
    </row>
    <row r="2464" ht="15.75" customHeight="1" s="217">
      <c r="A2464" s="397" t="n">
        <v>2462</v>
      </c>
      <c r="B2464" s="397" t="inlineStr">
        <is>
          <t>KH1274</t>
        </is>
      </c>
      <c r="C2464" s="398" t="inlineStr">
        <is>
          <t>Anh Huy - Đồng Nai / 01666.939.495</t>
        </is>
      </c>
      <c r="D2464" s="397" t="inlineStr">
        <is>
          <t>01666.939.495</t>
        </is>
      </c>
      <c r="E2464" s="399" t="n"/>
      <c r="F2464" s="398" t="inlineStr">
        <is>
          <t>Đồng Nai</t>
        </is>
      </c>
      <c r="G2464" s="397" t="inlineStr">
        <is>
          <t>ÐNAI</t>
        </is>
      </c>
      <c r="H2464" s="399" t="n"/>
      <c r="J2464" s="392">
        <f>IFERROR(UPPER(TRIM(B2464))&amp;"|"&amp;UPPER(TRIM(C2464))&amp;"|"&amp;UPPER(TRIM(D2464)),"")</f>
        <v/>
      </c>
    </row>
    <row r="2465" ht="15.75" customHeight="1" s="217">
      <c r="A2465" s="400" t="n">
        <v>2463</v>
      </c>
      <c r="B2465" s="400" t="inlineStr">
        <is>
          <t>KH1275</t>
        </is>
      </c>
      <c r="C2465" s="401" t="inlineStr">
        <is>
          <t>Xưởng Anh Quang - Long An/ Anh Quang: 0947.845.874</t>
        </is>
      </c>
      <c r="D2465" s="400" t="inlineStr">
        <is>
          <t>0947.845.874</t>
        </is>
      </c>
      <c r="E2465" s="402" t="n"/>
      <c r="F2465" s="401" t="inlineStr">
        <is>
          <t>Ấp 2, xã Hựu Thạnh, Đức Hòa, Long An</t>
        </is>
      </c>
      <c r="G2465" s="400" t="inlineStr">
        <is>
          <t>LA</t>
        </is>
      </c>
      <c r="H2465" s="402" t="n"/>
      <c r="J2465" s="392">
        <f>IFERROR(UPPER(TRIM(B2465))&amp;"|"&amp;UPPER(TRIM(C2465))&amp;"|"&amp;UPPER(TRIM(D2465)),"")</f>
        <v/>
      </c>
    </row>
    <row r="2466" ht="15.75" customHeight="1" s="217">
      <c r="A2466" s="397" t="n">
        <v>2464</v>
      </c>
      <c r="B2466" s="397" t="inlineStr">
        <is>
          <t>KH1276</t>
        </is>
      </c>
      <c r="C2466" s="398" t="inlineStr">
        <is>
          <t>Công Ty Ngân Long - Bến Tre/ 0919.489.456</t>
        </is>
      </c>
      <c r="D2466" s="397" t="inlineStr">
        <is>
          <t>0919.489.456</t>
        </is>
      </c>
      <c r="E2466" s="399" t="n"/>
      <c r="F2466" s="398" t="inlineStr">
        <is>
          <t>Bến Tre</t>
        </is>
      </c>
      <c r="G2466" s="397" t="inlineStr">
        <is>
          <t>BTRE</t>
        </is>
      </c>
      <c r="H2466" s="399" t="n"/>
      <c r="J2466" s="392">
        <f>IFERROR(UPPER(TRIM(B2466))&amp;"|"&amp;UPPER(TRIM(C2466))&amp;"|"&amp;UPPER(TRIM(D2466)),"")</f>
        <v/>
      </c>
    </row>
    <row r="2467" ht="15.75" customHeight="1" s="217">
      <c r="A2467" s="400" t="n">
        <v>2465</v>
      </c>
      <c r="B2467" s="400" t="inlineStr">
        <is>
          <t>KH1273</t>
        </is>
      </c>
      <c r="C2467" s="401" t="inlineStr">
        <is>
          <t>Xưởng Anh Tiến - Quận 7 / 0903.616.546</t>
        </is>
      </c>
      <c r="D2467" s="400" t="inlineStr">
        <is>
          <t>0903.616.546</t>
        </is>
      </c>
      <c r="E2467" s="402" t="n"/>
      <c r="F2467" s="401" t="inlineStr">
        <is>
          <t>Quận 7, TP.HCM</t>
        </is>
      </c>
      <c r="G2467" s="400" t="inlineStr">
        <is>
          <t>SG/HCM</t>
        </is>
      </c>
      <c r="H2467" s="402" t="n"/>
      <c r="J2467" s="392">
        <f>IFERROR(UPPER(TRIM(B2467))&amp;"|"&amp;UPPER(TRIM(C2467))&amp;"|"&amp;UPPER(TRIM(D2467)),"")</f>
        <v/>
      </c>
    </row>
    <row r="2468" ht="15.75" customHeight="1" s="217">
      <c r="A2468" s="397" t="n">
        <v>2466</v>
      </c>
      <c r="B2468" s="397" t="inlineStr">
        <is>
          <t>KH1271</t>
        </is>
      </c>
      <c r="C2468" s="398" t="inlineStr">
        <is>
          <t>Anh Hùng - Cty Trường Phát / 0977.008.779</t>
        </is>
      </c>
      <c r="D2468" s="397" t="inlineStr">
        <is>
          <t>0977.008.779</t>
        </is>
      </c>
      <c r="E2468" s="399" t="n"/>
      <c r="F2468" s="398" t="inlineStr">
        <is>
          <t>316/19 Hà Huy Giáp, P.Thạnh Xuân, Q12, TP.HCM</t>
        </is>
      </c>
      <c r="G2468" s="397" t="inlineStr">
        <is>
          <t>SG/HCM</t>
        </is>
      </c>
      <c r="H2468" s="399" t="n"/>
      <c r="J2468" s="392">
        <f>IFERROR(UPPER(TRIM(B2468))&amp;"|"&amp;UPPER(TRIM(C2468))&amp;"|"&amp;UPPER(TRIM(D2468)),"")</f>
        <v/>
      </c>
    </row>
    <row r="2469" ht="15.75" customHeight="1" s="217">
      <c r="A2469" s="400" t="n">
        <v>2467</v>
      </c>
      <c r="B2469" s="400" t="inlineStr">
        <is>
          <t>KH1272</t>
        </is>
      </c>
      <c r="C2469" s="401" t="inlineStr">
        <is>
          <t>Anh Sơn - Long Hải/0934.064.464</t>
        </is>
      </c>
      <c r="D2469" s="400" t="inlineStr">
        <is>
          <t>0934.064.464</t>
        </is>
      </c>
      <c r="E2469" s="402" t="n"/>
      <c r="F2469" s="401" t="inlineStr">
        <is>
          <t>Long Hải - Vũng Tàu</t>
        </is>
      </c>
      <c r="G2469" s="400" t="inlineStr">
        <is>
          <t>BRVT</t>
        </is>
      </c>
      <c r="H2469" s="402" t="n"/>
      <c r="J2469" s="392">
        <f>IFERROR(UPPER(TRIM(B2469))&amp;"|"&amp;UPPER(TRIM(C2469))&amp;"|"&amp;UPPER(TRIM(D2469)),"")</f>
        <v/>
      </c>
    </row>
    <row r="2470" ht="15.75" customHeight="1" s="217">
      <c r="A2470" s="397" t="n">
        <v>2468</v>
      </c>
      <c r="B2470" s="397" t="inlineStr">
        <is>
          <t>KH1269</t>
        </is>
      </c>
      <c r="C2470" s="398" t="inlineStr">
        <is>
          <t>Công ty Hoàn Cầu Granite - Bình Định. Chị Kiều / 0906.492.868</t>
        </is>
      </c>
      <c r="D2470" s="397" t="inlineStr">
        <is>
          <t>0906.492.868</t>
        </is>
      </c>
      <c r="E2470" s="399" t="n"/>
      <c r="F2470" s="398" t="inlineStr">
        <is>
          <t>QL 19, KV Tân Hoà, TX An Nhơn, Bình Định</t>
        </is>
      </c>
      <c r="G2470" s="397" t="inlineStr">
        <is>
          <t>BDINH</t>
        </is>
      </c>
      <c r="H2470" s="399" t="n"/>
      <c r="J2470" s="392">
        <f>IFERROR(UPPER(TRIM(B2470))&amp;"|"&amp;UPPER(TRIM(C2470))&amp;"|"&amp;UPPER(TRIM(D2470)),"")</f>
        <v/>
      </c>
    </row>
    <row r="2471" ht="15.75" customHeight="1" s="217">
      <c r="A2471" s="400" t="n">
        <v>2469</v>
      </c>
      <c r="B2471" s="400" t="inlineStr">
        <is>
          <t>KH1270</t>
        </is>
      </c>
      <c r="C2471" s="401" t="inlineStr">
        <is>
          <t>Anh Luôn - Bến Tre /    0974.084.575</t>
        </is>
      </c>
      <c r="D2471" s="400" t="inlineStr">
        <is>
          <t>0974.084.575</t>
        </is>
      </c>
      <c r="E2471" s="402" t="n"/>
      <c r="F2471" s="401" t="inlineStr">
        <is>
          <t>Bến Tre</t>
        </is>
      </c>
      <c r="G2471" s="400" t="inlineStr">
        <is>
          <t>BTRE</t>
        </is>
      </c>
      <c r="H2471" s="402" t="n"/>
      <c r="J2471" s="392">
        <f>IFERROR(UPPER(TRIM(B2471))&amp;"|"&amp;UPPER(TRIM(C2471))&amp;"|"&amp;UPPER(TRIM(D2471)),"")</f>
        <v/>
      </c>
    </row>
    <row r="2472" ht="15.75" customHeight="1" s="217">
      <c r="A2472" s="397" t="n">
        <v>2470</v>
      </c>
      <c r="B2472" s="397" t="inlineStr">
        <is>
          <t>KH1267</t>
        </is>
      </c>
      <c r="C2472" s="398" t="inlineStr">
        <is>
          <t>Xưởng anh Ngọc - Gia Lai / 0988.308.967</t>
        </is>
      </c>
      <c r="D2472" s="397" t="inlineStr">
        <is>
          <t>0988.308.967</t>
        </is>
      </c>
      <c r="E2472" s="399" t="n"/>
      <c r="F2472" s="398" t="inlineStr">
        <is>
          <t>Gia Lai</t>
        </is>
      </c>
      <c r="G2472" s="397" t="inlineStr">
        <is>
          <t>GLAI</t>
        </is>
      </c>
      <c r="H2472" s="399" t="n"/>
      <c r="J2472" s="392">
        <f>IFERROR(UPPER(TRIM(B2472))&amp;"|"&amp;UPPER(TRIM(C2472))&amp;"|"&amp;UPPER(TRIM(D2472)),"")</f>
        <v/>
      </c>
    </row>
    <row r="2473" ht="15.75" customHeight="1" s="217">
      <c r="A2473" s="400" t="n">
        <v>2471</v>
      </c>
      <c r="B2473" s="400" t="inlineStr">
        <is>
          <t>KH1268</t>
        </is>
      </c>
      <c r="C2473" s="401" t="inlineStr">
        <is>
          <t>Anh út - Q12 / 0938.446.802</t>
        </is>
      </c>
      <c r="D2473" s="400" t="inlineStr">
        <is>
          <t>0938.446.802</t>
        </is>
      </c>
      <c r="E2473" s="402" t="n"/>
      <c r="F2473" s="401" t="inlineStr">
        <is>
          <t>Sài Gòn</t>
        </is>
      </c>
      <c r="G2473" s="400" t="inlineStr">
        <is>
          <t>SG/HCM</t>
        </is>
      </c>
      <c r="H2473" s="402" t="n"/>
      <c r="J2473" s="392">
        <f>IFERROR(UPPER(TRIM(B2473))&amp;"|"&amp;UPPER(TRIM(C2473))&amp;"|"&amp;UPPER(TRIM(D2473)),"")</f>
        <v/>
      </c>
    </row>
    <row r="2474" ht="15.75" customHeight="1" s="217">
      <c r="A2474" s="397" t="n">
        <v>2472</v>
      </c>
      <c r="B2474" s="397" t="inlineStr">
        <is>
          <t>KH1266</t>
        </is>
      </c>
      <c r="C2474" s="398" t="inlineStr">
        <is>
          <t>Anh Phong - Sóc Trăng / 01684.149.512</t>
        </is>
      </c>
      <c r="D2474" s="397" t="inlineStr">
        <is>
          <t>01684.149.512</t>
        </is>
      </c>
      <c r="E2474" s="399" t="n"/>
      <c r="F2474" s="398" t="inlineStr">
        <is>
          <t>Sóc Trăng</t>
        </is>
      </c>
      <c r="G2474" s="397" t="inlineStr">
        <is>
          <t>STRANG</t>
        </is>
      </c>
      <c r="H2474" s="399" t="n"/>
      <c r="J2474" s="392">
        <f>IFERROR(UPPER(TRIM(B2474))&amp;"|"&amp;UPPER(TRIM(C2474))&amp;"|"&amp;UPPER(TRIM(D2474)),"")</f>
        <v/>
      </c>
    </row>
    <row r="2475" ht="15.75" customHeight="1" s="217">
      <c r="A2475" s="400" t="n">
        <v>2473</v>
      </c>
      <c r="B2475" s="400" t="inlineStr">
        <is>
          <t>KH1265</t>
        </is>
      </c>
      <c r="C2475" s="401" t="inlineStr">
        <is>
          <t>Anh Quang - Gia Lai / 0935.818.593</t>
        </is>
      </c>
      <c r="D2475" s="400" t="inlineStr">
        <is>
          <t>0935.818.593</t>
        </is>
      </c>
      <c r="E2475" s="402" t="n"/>
      <c r="F2475" s="401" t="inlineStr">
        <is>
          <t>Gia Lai</t>
        </is>
      </c>
      <c r="G2475" s="400" t="inlineStr">
        <is>
          <t>GLAI</t>
        </is>
      </c>
      <c r="H2475" s="402" t="n"/>
      <c r="J2475" s="392">
        <f>IFERROR(UPPER(TRIM(B2475))&amp;"|"&amp;UPPER(TRIM(C2475))&amp;"|"&amp;UPPER(TRIM(D2475)),"")</f>
        <v/>
      </c>
    </row>
    <row r="2476" ht="15.75" customHeight="1" s="217">
      <c r="A2476" s="397" t="n">
        <v>2474</v>
      </c>
      <c r="B2476" s="397" t="inlineStr">
        <is>
          <t>KH1263</t>
        </is>
      </c>
      <c r="C2476" s="398" t="inlineStr">
        <is>
          <t>Anh Vinh - Phan Rí / 0909.090.559</t>
        </is>
      </c>
      <c r="D2476" s="397" t="inlineStr">
        <is>
          <t>0909.090.559</t>
        </is>
      </c>
      <c r="E2476" s="399" t="n"/>
      <c r="F2476" s="398" t="inlineStr">
        <is>
          <t>Phan Rí - Bình thuận</t>
        </is>
      </c>
      <c r="G2476" s="397" t="inlineStr">
        <is>
          <t>BTHUAN</t>
        </is>
      </c>
      <c r="H2476" s="399" t="n"/>
      <c r="J2476" s="392">
        <f>IFERROR(UPPER(TRIM(B2476))&amp;"|"&amp;UPPER(TRIM(C2476))&amp;"|"&amp;UPPER(TRIM(D2476)),"")</f>
        <v/>
      </c>
    </row>
    <row r="2477" ht="15.75" customHeight="1" s="217">
      <c r="A2477" s="400" t="n">
        <v>2475</v>
      </c>
      <c r="B2477" s="400" t="inlineStr">
        <is>
          <t>KH1264</t>
        </is>
      </c>
      <c r="C2477" s="401" t="inlineStr">
        <is>
          <t>Chú Thông - Bình Thạnh/0975.291.559</t>
        </is>
      </c>
      <c r="D2477" s="400" t="inlineStr">
        <is>
          <t>0975.291.559</t>
        </is>
      </c>
      <c r="E2477" s="402" t="n"/>
      <c r="F2477" s="401" t="inlineStr">
        <is>
          <t>Bình Thạnh - TP.HCM</t>
        </is>
      </c>
      <c r="G2477" s="400" t="inlineStr">
        <is>
          <t>SG/HCM</t>
        </is>
      </c>
      <c r="H2477" s="402" t="n"/>
      <c r="J2477" s="392">
        <f>IFERROR(UPPER(TRIM(B2477))&amp;"|"&amp;UPPER(TRIM(C2477))&amp;"|"&amp;UPPER(TRIM(D2477)),"")</f>
        <v/>
      </c>
    </row>
    <row r="2478" ht="15.75" customHeight="1" s="217">
      <c r="A2478" s="397" t="n">
        <v>2476</v>
      </c>
      <c r="B2478" s="397" t="inlineStr">
        <is>
          <t>MN45</t>
        </is>
      </c>
      <c r="C2478" s="398" t="inlineStr">
        <is>
          <t>Nghĩa - lái xe</t>
        </is>
      </c>
      <c r="D2478" s="399" t="n"/>
      <c r="E2478" s="399" t="n"/>
      <c r="F2478" s="398" t="inlineStr">
        <is>
          <t>CTCP CG Miền Nam</t>
        </is>
      </c>
      <c r="G2478" s="399" t="n"/>
      <c r="H2478" s="399" t="n"/>
      <c r="J2478" s="392">
        <f>IFERROR(UPPER(TRIM(B2478))&amp;"|"&amp;UPPER(TRIM(C2478))&amp;"|"&amp;UPPER(TRIM(D2478)),"")</f>
        <v/>
      </c>
    </row>
    <row r="2479" ht="15.75" customHeight="1" s="217">
      <c r="A2479" s="400" t="n">
        <v>2477</v>
      </c>
      <c r="B2479" s="400" t="inlineStr">
        <is>
          <t>KH1260</t>
        </is>
      </c>
      <c r="C2479" s="401" t="inlineStr">
        <is>
          <t>Anh Lương - Cần Thơ / 0987.370.300</t>
        </is>
      </c>
      <c r="D2479" s="400" t="inlineStr">
        <is>
          <t>0987.370.300</t>
        </is>
      </c>
      <c r="E2479" s="402" t="n"/>
      <c r="F2479" s="401" t="inlineStr">
        <is>
          <t>Cần Thơ</t>
        </is>
      </c>
      <c r="G2479" s="400" t="inlineStr">
        <is>
          <t>CTHO</t>
        </is>
      </c>
      <c r="H2479" s="402" t="n"/>
      <c r="J2479" s="392">
        <f>IFERROR(UPPER(TRIM(B2479))&amp;"|"&amp;UPPER(TRIM(C2479))&amp;"|"&amp;UPPER(TRIM(D2479)),"")</f>
        <v/>
      </c>
    </row>
    <row r="2480" ht="15.75" customHeight="1" s="217">
      <c r="A2480" s="397" t="n">
        <v>2478</v>
      </c>
      <c r="B2480" s="397" t="inlineStr">
        <is>
          <t>KH1261</t>
        </is>
      </c>
      <c r="C2480" s="398" t="inlineStr">
        <is>
          <t>Anh Tài - Bình Dương/0975.931.913</t>
        </is>
      </c>
      <c r="D2480" s="397" t="inlineStr">
        <is>
          <t>0975.931.913</t>
        </is>
      </c>
      <c r="E2480" s="399" t="n"/>
      <c r="F2480" s="398" t="inlineStr">
        <is>
          <t>Bình Dương</t>
        </is>
      </c>
      <c r="G2480" s="397" t="inlineStr">
        <is>
          <t>BDUONG</t>
        </is>
      </c>
      <c r="H2480" s="399" t="n"/>
      <c r="J2480" s="392">
        <f>IFERROR(UPPER(TRIM(B2480))&amp;"|"&amp;UPPER(TRIM(C2480))&amp;"|"&amp;UPPER(TRIM(D2480)),"")</f>
        <v/>
      </c>
    </row>
    <row r="2481" ht="15.75" customHeight="1" s="217">
      <c r="A2481" s="400" t="n">
        <v>2479</v>
      </c>
      <c r="B2481" s="400" t="inlineStr">
        <is>
          <t>KH1262</t>
        </is>
      </c>
      <c r="C2481" s="401" t="inlineStr">
        <is>
          <t>Công ty TNHH Liên Doanh Cát Phú - TP Cam Ranh/anh Phương - 0978.010.008</t>
        </is>
      </c>
      <c r="D2481" s="400" t="inlineStr">
        <is>
          <t>0978.010.008</t>
        </is>
      </c>
      <c r="E2481" s="402" t="n"/>
      <c r="F2481" s="401" t="inlineStr">
        <is>
          <t>Số 6 Hò Giang - TP.Cam Ranh</t>
        </is>
      </c>
      <c r="G2481" s="400" t="inlineStr">
        <is>
          <t>NTRANG</t>
        </is>
      </c>
      <c r="H2481" s="402" t="n"/>
      <c r="J2481" s="392">
        <f>IFERROR(UPPER(TRIM(B2481))&amp;"|"&amp;UPPER(TRIM(C2481))&amp;"|"&amp;UPPER(TRIM(D2481)),"")</f>
        <v/>
      </c>
    </row>
    <row r="2482" ht="15.75" customHeight="1" s="217">
      <c r="A2482" s="397" t="n">
        <v>2480</v>
      </c>
      <c r="B2482" s="397" t="inlineStr">
        <is>
          <t>MN43</t>
        </is>
      </c>
      <c r="C2482" s="398" t="inlineStr">
        <is>
          <t>Oánh</t>
        </is>
      </c>
      <c r="D2482" s="399" t="n"/>
      <c r="E2482" s="399" t="n"/>
      <c r="F2482" s="398" t="inlineStr">
        <is>
          <t>CTCP CG Miền Nam</t>
        </is>
      </c>
      <c r="G2482" s="399" t="n"/>
      <c r="H2482" s="399" t="n"/>
      <c r="J2482" s="392">
        <f>IFERROR(UPPER(TRIM(B2482))&amp;"|"&amp;UPPER(TRIM(C2482))&amp;"|"&amp;UPPER(TRIM(D2482)),"")</f>
        <v/>
      </c>
    </row>
    <row r="2483" ht="15.75" customHeight="1" s="217">
      <c r="A2483" s="400" t="n">
        <v>2481</v>
      </c>
      <c r="B2483" s="400" t="inlineStr">
        <is>
          <t>MN44</t>
        </is>
      </c>
      <c r="C2483" s="401" t="inlineStr">
        <is>
          <t>Phong</t>
        </is>
      </c>
      <c r="D2483" s="402" t="n"/>
      <c r="E2483" s="402" t="n"/>
      <c r="F2483" s="401" t="inlineStr">
        <is>
          <t>CTCP CG Miền Nam</t>
        </is>
      </c>
      <c r="G2483" s="402" t="n"/>
      <c r="H2483" s="402" t="n"/>
      <c r="J2483" s="392">
        <f>IFERROR(UPPER(TRIM(B2483))&amp;"|"&amp;UPPER(TRIM(C2483))&amp;"|"&amp;UPPER(TRIM(D2483)),"")</f>
        <v/>
      </c>
    </row>
    <row r="2484" ht="15.75" customHeight="1" s="217">
      <c r="A2484" s="397" t="n">
        <v>2482</v>
      </c>
      <c r="B2484" s="397" t="inlineStr">
        <is>
          <t>KH1258</t>
        </is>
      </c>
      <c r="C2484" s="398" t="inlineStr">
        <is>
          <t>Anh Quẹo - Bến Lức / 0989.288.087</t>
        </is>
      </c>
      <c r="D2484" s="397" t="inlineStr">
        <is>
          <t>0989.288.087</t>
        </is>
      </c>
      <c r="E2484" s="399" t="n"/>
      <c r="F2484" s="398" t="inlineStr">
        <is>
          <t>Bến Lức - Long An</t>
        </is>
      </c>
      <c r="G2484" s="397" t="inlineStr">
        <is>
          <t>LA</t>
        </is>
      </c>
      <c r="H2484" s="399" t="n"/>
      <c r="J2484" s="392">
        <f>IFERROR(UPPER(TRIM(B2484))&amp;"|"&amp;UPPER(TRIM(C2484))&amp;"|"&amp;UPPER(TRIM(D2484)),"")</f>
        <v/>
      </c>
    </row>
    <row r="2485" ht="15.75" customHeight="1" s="217">
      <c r="A2485" s="400" t="n">
        <v>2483</v>
      </c>
      <c r="B2485" s="400" t="inlineStr">
        <is>
          <t>KH1259</t>
        </is>
      </c>
      <c r="C2485" s="401" t="inlineStr">
        <is>
          <t>Xưởng Hữu Phước - Đức Trọng / 0919.389.038</t>
        </is>
      </c>
      <c r="D2485" s="400" t="inlineStr">
        <is>
          <t>0919.389.038</t>
        </is>
      </c>
      <c r="E2485" s="402" t="n"/>
      <c r="F2485" s="401" t="inlineStr">
        <is>
          <t>Đức Trọng - Lâm Đồng</t>
        </is>
      </c>
      <c r="G2485" s="400" t="inlineStr">
        <is>
          <t>LDONG</t>
        </is>
      </c>
      <c r="H2485" s="402" t="n"/>
      <c r="J2485" s="392">
        <f>IFERROR(UPPER(TRIM(B2485))&amp;"|"&amp;UPPER(TRIM(C2485))&amp;"|"&amp;UPPER(TRIM(D2485)),"")</f>
        <v/>
      </c>
    </row>
    <row r="2486" ht="15.75" customHeight="1" s="217">
      <c r="A2486" s="397" t="n">
        <v>2484</v>
      </c>
      <c r="B2486" s="397" t="inlineStr">
        <is>
          <t>KH1254</t>
        </is>
      </c>
      <c r="C2486" s="398" t="inlineStr">
        <is>
          <t>Anh Bảo - Bảo Lộc / 0977.566.577</t>
        </is>
      </c>
      <c r="D2486" s="397" t="inlineStr">
        <is>
          <t>0977.566.577</t>
        </is>
      </c>
      <c r="E2486" s="399" t="n"/>
      <c r="F2486" s="398" t="inlineStr">
        <is>
          <t>Bảo Lộc, Lâm Đồng</t>
        </is>
      </c>
      <c r="G2486" s="397" t="inlineStr">
        <is>
          <t>LDONG</t>
        </is>
      </c>
      <c r="H2486" s="399" t="n"/>
      <c r="J2486" s="392">
        <f>IFERROR(UPPER(TRIM(B2486))&amp;"|"&amp;UPPER(TRIM(C2486))&amp;"|"&amp;UPPER(TRIM(D2486)),"")</f>
        <v/>
      </c>
    </row>
    <row r="2487" ht="15.75" customHeight="1" s="217">
      <c r="A2487" s="400" t="n">
        <v>2485</v>
      </c>
      <c r="B2487" s="400" t="inlineStr">
        <is>
          <t>KH1255</t>
        </is>
      </c>
      <c r="C2487" s="401" t="inlineStr">
        <is>
          <t>Văn Dũng - Bảo Lộc / 0917.150.520</t>
        </is>
      </c>
      <c r="D2487" s="400" t="inlineStr">
        <is>
          <t>0917.150.520</t>
        </is>
      </c>
      <c r="E2487" s="402" t="n"/>
      <c r="F2487" s="401" t="inlineStr">
        <is>
          <t>Bảo Lộc</t>
        </is>
      </c>
      <c r="G2487" s="400" t="inlineStr">
        <is>
          <t>LDONG</t>
        </is>
      </c>
      <c r="H2487" s="402" t="n"/>
      <c r="J2487" s="392">
        <f>IFERROR(UPPER(TRIM(B2487))&amp;"|"&amp;UPPER(TRIM(C2487))&amp;"|"&amp;UPPER(TRIM(D2487)),"")</f>
        <v/>
      </c>
    </row>
    <row r="2488" ht="15.75" customHeight="1" s="217">
      <c r="A2488" s="397" t="n">
        <v>2486</v>
      </c>
      <c r="B2488" s="397" t="inlineStr">
        <is>
          <t>KH1256</t>
        </is>
      </c>
      <c r="C2488" s="398" t="inlineStr">
        <is>
          <t>CHú Phi - Vũng Tàu (Công ty Hùng Phi) /0918.155.387</t>
        </is>
      </c>
      <c r="D2488" s="397" t="inlineStr">
        <is>
          <t>0918.155.387</t>
        </is>
      </c>
      <c r="E2488" s="399" t="n"/>
      <c r="F2488" s="398" t="inlineStr">
        <is>
          <t>Vũng Tàu</t>
        </is>
      </c>
      <c r="G2488" s="397" t="inlineStr">
        <is>
          <t>BRVT</t>
        </is>
      </c>
      <c r="H2488" s="399" t="n"/>
      <c r="J2488" s="392">
        <f>IFERROR(UPPER(TRIM(B2488))&amp;"|"&amp;UPPER(TRIM(C2488))&amp;"|"&amp;UPPER(TRIM(D2488)),"")</f>
        <v/>
      </c>
    </row>
    <row r="2489" ht="15.75" customHeight="1" s="217">
      <c r="A2489" s="400" t="n">
        <v>2487</v>
      </c>
      <c r="B2489" s="400" t="inlineStr">
        <is>
          <t>KH1257</t>
        </is>
      </c>
      <c r="C2489" s="401" t="inlineStr">
        <is>
          <t>Anh Vương - Eahleo- Đaklak / 01234.018.889</t>
        </is>
      </c>
      <c r="D2489" s="400" t="inlineStr">
        <is>
          <t>01234.018.889</t>
        </is>
      </c>
      <c r="E2489" s="402" t="n"/>
      <c r="F2489" s="401" t="inlineStr">
        <is>
          <t>Eahleo- Daklak</t>
        </is>
      </c>
      <c r="G2489" s="400" t="inlineStr">
        <is>
          <t>ÐL</t>
        </is>
      </c>
      <c r="H2489" s="402" t="n"/>
      <c r="J2489" s="392">
        <f>IFERROR(UPPER(TRIM(B2489))&amp;"|"&amp;UPPER(TRIM(C2489))&amp;"|"&amp;UPPER(TRIM(D2489)),"")</f>
        <v/>
      </c>
    </row>
    <row r="2490" ht="15.75" customHeight="1" s="217">
      <c r="A2490" s="397" t="n">
        <v>2488</v>
      </c>
      <c r="B2490" s="397" t="inlineStr">
        <is>
          <t>KH1250</t>
        </is>
      </c>
      <c r="C2490" s="398" t="inlineStr">
        <is>
          <t>Anh Bình - CTY Vy Trường Phát- Bình Dương / 0913.789.636</t>
        </is>
      </c>
      <c r="D2490" s="397" t="inlineStr">
        <is>
          <t>0913.789.636</t>
        </is>
      </c>
      <c r="E2490" s="399" t="n"/>
      <c r="F2490" s="398" t="inlineStr">
        <is>
          <t>Bình Dương</t>
        </is>
      </c>
      <c r="G2490" s="397" t="inlineStr">
        <is>
          <t>BDUONG</t>
        </is>
      </c>
      <c r="H2490" s="399" t="n"/>
      <c r="J2490" s="392">
        <f>IFERROR(UPPER(TRIM(B2490))&amp;"|"&amp;UPPER(TRIM(C2490))&amp;"|"&amp;UPPER(TRIM(D2490)),"")</f>
        <v/>
      </c>
    </row>
    <row r="2491" ht="15.75" customHeight="1" s="217">
      <c r="A2491" s="400" t="n">
        <v>2489</v>
      </c>
      <c r="B2491" s="400" t="inlineStr">
        <is>
          <t>KH1251</t>
        </is>
      </c>
      <c r="C2491" s="401" t="inlineStr">
        <is>
          <t>Chị Lan - Đồng Tháp/ 01629.944.555</t>
        </is>
      </c>
      <c r="D2491" s="400" t="inlineStr">
        <is>
          <t>01629.944.555</t>
        </is>
      </c>
      <c r="E2491" s="402" t="n"/>
      <c r="F2491" s="401" t="inlineStr">
        <is>
          <t>Tân Hồng - Đồng Tháp</t>
        </is>
      </c>
      <c r="G2491" s="400" t="inlineStr">
        <is>
          <t>DTHAP</t>
        </is>
      </c>
      <c r="H2491" s="402" t="n"/>
      <c r="J2491" s="392">
        <f>IFERROR(UPPER(TRIM(B2491))&amp;"|"&amp;UPPER(TRIM(C2491))&amp;"|"&amp;UPPER(TRIM(D2491)),"")</f>
        <v/>
      </c>
    </row>
    <row r="2492" ht="15.75" customHeight="1" s="217">
      <c r="A2492" s="397" t="n">
        <v>2490</v>
      </c>
      <c r="B2492" s="397" t="inlineStr">
        <is>
          <t>KH1252</t>
        </is>
      </c>
      <c r="C2492" s="398" t="inlineStr">
        <is>
          <t>Anh Khoa - Hà Nội / 0982.826.574</t>
        </is>
      </c>
      <c r="D2492" s="397" t="inlineStr">
        <is>
          <t>0982.826.574</t>
        </is>
      </c>
      <c r="E2492" s="399" t="n"/>
      <c r="F2492" s="398" t="inlineStr">
        <is>
          <t>Hà Nội</t>
        </is>
      </c>
      <c r="G2492" s="397" t="inlineStr">
        <is>
          <t>HN</t>
        </is>
      </c>
      <c r="H2492" s="399" t="n"/>
      <c r="J2492" s="392">
        <f>IFERROR(UPPER(TRIM(B2492))&amp;"|"&amp;UPPER(TRIM(C2492))&amp;"|"&amp;UPPER(TRIM(D2492)),"")</f>
        <v/>
      </c>
    </row>
    <row r="2493" ht="15.75" customHeight="1" s="217">
      <c r="A2493" s="400" t="n">
        <v>2491</v>
      </c>
      <c r="B2493" s="400" t="inlineStr">
        <is>
          <t>KH1253</t>
        </is>
      </c>
      <c r="C2493" s="401" t="inlineStr">
        <is>
          <t>Anh Tưởng - Bình Định/0986.509.852</t>
        </is>
      </c>
      <c r="D2493" s="400" t="inlineStr">
        <is>
          <t>0986.509.852</t>
        </is>
      </c>
      <c r="E2493" s="402" t="n"/>
      <c r="F2493" s="401" t="inlineStr">
        <is>
          <t>Bình Định</t>
        </is>
      </c>
      <c r="G2493" s="400" t="inlineStr">
        <is>
          <t>BDINH</t>
        </is>
      </c>
      <c r="H2493" s="402" t="n"/>
      <c r="J2493" s="392">
        <f>IFERROR(UPPER(TRIM(B2493))&amp;"|"&amp;UPPER(TRIM(C2493))&amp;"|"&amp;UPPER(TRIM(D2493)),"")</f>
        <v/>
      </c>
    </row>
    <row r="2494" ht="15.75" customHeight="1" s="217">
      <c r="A2494" s="397" t="n">
        <v>2492</v>
      </c>
      <c r="B2494" s="397" t="inlineStr">
        <is>
          <t>KH1249</t>
        </is>
      </c>
      <c r="C2494" s="398" t="inlineStr">
        <is>
          <t>Anh Thành - Quận 2 / 0937.550.718</t>
        </is>
      </c>
      <c r="D2494" s="397" t="inlineStr">
        <is>
          <t>0937.550.718</t>
        </is>
      </c>
      <c r="E2494" s="399" t="n"/>
      <c r="F2494" s="398" t="inlineStr">
        <is>
          <t>Quận 2</t>
        </is>
      </c>
      <c r="G2494" s="397" t="inlineStr">
        <is>
          <t>SG/HCM</t>
        </is>
      </c>
      <c r="H2494" s="399" t="n"/>
      <c r="J2494" s="392">
        <f>IFERROR(UPPER(TRIM(B2494))&amp;"|"&amp;UPPER(TRIM(C2494))&amp;"|"&amp;UPPER(TRIM(D2494)),"")</f>
        <v/>
      </c>
    </row>
    <row r="2495" ht="15.75" customHeight="1" s="217">
      <c r="A2495" s="400" t="n">
        <v>2493</v>
      </c>
      <c r="B2495" s="400" t="inlineStr">
        <is>
          <t>KH1246</t>
        </is>
      </c>
      <c r="C2495" s="401" t="inlineStr">
        <is>
          <t>Công ty Giao Thông  Sài Gòn/ anh Hạnh - 0939.105.544</t>
        </is>
      </c>
      <c r="D2495" s="400" t="inlineStr">
        <is>
          <t>0939.105.544</t>
        </is>
      </c>
      <c r="E2495" s="402" t="n"/>
      <c r="F2495" s="401" t="inlineStr">
        <is>
          <t>Sài Gòn</t>
        </is>
      </c>
      <c r="G2495" s="400" t="inlineStr">
        <is>
          <t>SG/HCM</t>
        </is>
      </c>
      <c r="H2495" s="402" t="n"/>
      <c r="J2495" s="392">
        <f>IFERROR(UPPER(TRIM(B2495))&amp;"|"&amp;UPPER(TRIM(C2495))&amp;"|"&amp;UPPER(TRIM(D2495)),"")</f>
        <v/>
      </c>
    </row>
    <row r="2496" ht="15.75" customHeight="1" s="217">
      <c r="A2496" s="397" t="n">
        <v>2494</v>
      </c>
      <c r="B2496" s="397" t="inlineStr">
        <is>
          <t>KH1247</t>
        </is>
      </c>
      <c r="C2496" s="398" t="inlineStr">
        <is>
          <t>Anh Kiệt - Phú Quốc/0932.885.783</t>
        </is>
      </c>
      <c r="D2496" s="397" t="inlineStr">
        <is>
          <t>0932.885.783</t>
        </is>
      </c>
      <c r="E2496" s="399" t="n"/>
      <c r="F2496" s="398" t="inlineStr">
        <is>
          <t>Phú Quốc - Kiên Giang</t>
        </is>
      </c>
      <c r="G2496" s="397" t="inlineStr">
        <is>
          <t>KG</t>
        </is>
      </c>
      <c r="H2496" s="399" t="n"/>
      <c r="J2496" s="392">
        <f>IFERROR(UPPER(TRIM(B2496))&amp;"|"&amp;UPPER(TRIM(C2496))&amp;"|"&amp;UPPER(TRIM(D2496)),"")</f>
        <v/>
      </c>
    </row>
    <row r="2497" ht="15.75" customHeight="1" s="217">
      <c r="A2497" s="400" t="n">
        <v>2495</v>
      </c>
      <c r="B2497" s="400" t="inlineStr">
        <is>
          <t>KH1248</t>
        </is>
      </c>
      <c r="C2497" s="401" t="inlineStr">
        <is>
          <t>Anh Ngọc - Q8/0907.568.292</t>
        </is>
      </c>
      <c r="D2497" s="400" t="inlineStr">
        <is>
          <t>0907.568.292</t>
        </is>
      </c>
      <c r="E2497" s="402" t="n"/>
      <c r="F2497" s="401" t="inlineStr">
        <is>
          <t>Quận 8 - TP.HCM</t>
        </is>
      </c>
      <c r="G2497" s="400" t="inlineStr">
        <is>
          <t>SG/HCM</t>
        </is>
      </c>
      <c r="H2497" s="402" t="n"/>
      <c r="J2497" s="392">
        <f>IFERROR(UPPER(TRIM(B2497))&amp;"|"&amp;UPPER(TRIM(C2497))&amp;"|"&amp;UPPER(TRIM(D2497)),"")</f>
        <v/>
      </c>
    </row>
    <row r="2498" ht="15.75" customHeight="1" s="217">
      <c r="A2498" s="397" t="n">
        <v>2496</v>
      </c>
      <c r="B2498" s="397" t="inlineStr">
        <is>
          <t>KH1245</t>
        </is>
      </c>
      <c r="C2498" s="398" t="inlineStr">
        <is>
          <t>Bãi Máy Văn Thọ - Suối Tiên/ 0903.706.635</t>
        </is>
      </c>
      <c r="D2498" s="397" t="inlineStr">
        <is>
          <t>0903.706.635</t>
        </is>
      </c>
      <c r="E2498" s="399" t="n"/>
      <c r="F2498" s="398" t="inlineStr">
        <is>
          <t>Suối Tiên - TP.HCM</t>
        </is>
      </c>
      <c r="G2498" s="397" t="inlineStr">
        <is>
          <t>SG/HCM</t>
        </is>
      </c>
      <c r="H2498" s="399" t="n"/>
      <c r="J2498" s="392">
        <f>IFERROR(UPPER(TRIM(B2498))&amp;"|"&amp;UPPER(TRIM(C2498))&amp;"|"&amp;UPPER(TRIM(D2498)),"")</f>
        <v/>
      </c>
    </row>
    <row r="2499" ht="15.75" customHeight="1" s="217">
      <c r="A2499" s="400" t="n">
        <v>2497</v>
      </c>
      <c r="B2499" s="400" t="inlineStr">
        <is>
          <t>KH1242</t>
        </is>
      </c>
      <c r="C2499" s="401" t="inlineStr">
        <is>
          <t>Bãi Máy Bằng Lăng - Suối Tiên / 0985.959.828</t>
        </is>
      </c>
      <c r="D2499" s="400" t="inlineStr">
        <is>
          <t>0985.959.828</t>
        </is>
      </c>
      <c r="E2499" s="402" t="n"/>
      <c r="F2499" s="401" t="inlineStr">
        <is>
          <t>Suối Tiên</t>
        </is>
      </c>
      <c r="G2499" s="400" t="inlineStr">
        <is>
          <t>SG/HCM</t>
        </is>
      </c>
      <c r="H2499" s="402" t="n"/>
      <c r="J2499" s="392">
        <f>IFERROR(UPPER(TRIM(B2499))&amp;"|"&amp;UPPER(TRIM(C2499))&amp;"|"&amp;UPPER(TRIM(D2499)),"")</f>
        <v/>
      </c>
    </row>
    <row r="2500" ht="15.75" customHeight="1" s="217">
      <c r="A2500" s="397" t="n">
        <v>2498</v>
      </c>
      <c r="B2500" s="397" t="inlineStr">
        <is>
          <t>KH1243</t>
        </is>
      </c>
      <c r="C2500" s="398" t="inlineStr">
        <is>
          <t>Anh Rum - Cao Lãnh / 0901.039.561</t>
        </is>
      </c>
      <c r="D2500" s="397" t="inlineStr">
        <is>
          <t>0901.039.561</t>
        </is>
      </c>
      <c r="E2500" s="399" t="n"/>
      <c r="F2500" s="398" t="inlineStr">
        <is>
          <t>Cao Lãnh - Đồng Tháp</t>
        </is>
      </c>
      <c r="G2500" s="397" t="inlineStr">
        <is>
          <t>DTHAP</t>
        </is>
      </c>
      <c r="H2500" s="399" t="n"/>
      <c r="J2500" s="392">
        <f>IFERROR(UPPER(TRIM(B2500))&amp;"|"&amp;UPPER(TRIM(C2500))&amp;"|"&amp;UPPER(TRIM(D2500)),"")</f>
        <v/>
      </c>
    </row>
    <row r="2501" ht="15.75" customHeight="1" s="217">
      <c r="A2501" s="400" t="n">
        <v>2499</v>
      </c>
      <c r="B2501" s="400" t="inlineStr">
        <is>
          <t>KH1241</t>
        </is>
      </c>
      <c r="C2501" s="401" t="inlineStr">
        <is>
          <t>Anh Tho - Ngã Tư AN Sương/ 0908.493.613</t>
        </is>
      </c>
      <c r="D2501" s="400" t="inlineStr">
        <is>
          <t>0908.493.613</t>
        </is>
      </c>
      <c r="E2501" s="402" t="n"/>
      <c r="F2501" s="401" t="inlineStr">
        <is>
          <t>Ngã ba An Sương - Q12 - TP.HCM</t>
        </is>
      </c>
      <c r="G2501" s="400" t="inlineStr">
        <is>
          <t>SG/HCM</t>
        </is>
      </c>
      <c r="H2501" s="402" t="n"/>
      <c r="J2501" s="392">
        <f>IFERROR(UPPER(TRIM(B2501))&amp;"|"&amp;UPPER(TRIM(C2501))&amp;"|"&amp;UPPER(TRIM(D2501)),"")</f>
        <v/>
      </c>
    </row>
    <row r="2502" ht="15.75" customHeight="1" s="217">
      <c r="A2502" s="397" t="n">
        <v>2500</v>
      </c>
      <c r="B2502" s="397" t="inlineStr">
        <is>
          <t>KH1237</t>
        </is>
      </c>
      <c r="C2502" s="398" t="inlineStr">
        <is>
          <t>Cửa Hàng Hùng Duyên - Cái Bè/0988.931.378</t>
        </is>
      </c>
      <c r="D2502" s="397" t="inlineStr">
        <is>
          <t>0988.931.378</t>
        </is>
      </c>
      <c r="E2502" s="399" t="n"/>
      <c r="F2502" s="398" t="inlineStr">
        <is>
          <t>Cái Bè - Tiền Giang</t>
        </is>
      </c>
      <c r="G2502" s="397" t="inlineStr">
        <is>
          <t>TGIANG</t>
        </is>
      </c>
      <c r="H2502" s="399" t="n"/>
      <c r="J2502" s="392">
        <f>IFERROR(UPPER(TRIM(B2502))&amp;"|"&amp;UPPER(TRIM(C2502))&amp;"|"&amp;UPPER(TRIM(D2502)),"")</f>
        <v/>
      </c>
    </row>
    <row r="2503" ht="15.75" customHeight="1" s="217">
      <c r="A2503" s="400" t="n">
        <v>2501</v>
      </c>
      <c r="B2503" s="400" t="inlineStr">
        <is>
          <t>KH1238</t>
        </is>
      </c>
      <c r="C2503" s="401" t="inlineStr">
        <is>
          <t>Anh Tất - Lâm Đồng / 0987.721.153</t>
        </is>
      </c>
      <c r="D2503" s="400" t="inlineStr">
        <is>
          <t>0987.721.153</t>
        </is>
      </c>
      <c r="E2503" s="402" t="n"/>
      <c r="F2503" s="401" t="inlineStr">
        <is>
          <t>Đà Lạt, Lâm Đồng</t>
        </is>
      </c>
      <c r="G2503" s="400" t="inlineStr">
        <is>
          <t>LDONG</t>
        </is>
      </c>
      <c r="H2503" s="402" t="n"/>
      <c r="J2503" s="392">
        <f>IFERROR(UPPER(TRIM(B2503))&amp;"|"&amp;UPPER(TRIM(C2503))&amp;"|"&amp;UPPER(TRIM(D2503)),"")</f>
        <v/>
      </c>
    </row>
    <row r="2504" ht="15.75" customHeight="1" s="217">
      <c r="A2504" s="397" t="n">
        <v>2502</v>
      </c>
      <c r="B2504" s="397" t="inlineStr">
        <is>
          <t>KH1239</t>
        </is>
      </c>
      <c r="C2504" s="398" t="inlineStr">
        <is>
          <t>Công Ty Tuy Phước - Anh Lợi- Bình Định / 0913.448.385/ Fax: 0563.833.182</t>
        </is>
      </c>
      <c r="D2504" s="397" t="inlineStr">
        <is>
          <t>0913.448.385 / 0563.833.182</t>
        </is>
      </c>
      <c r="E2504" s="399" t="n"/>
      <c r="F2504" s="398" t="inlineStr">
        <is>
          <t>Bình Định</t>
        </is>
      </c>
      <c r="G2504" s="397" t="inlineStr">
        <is>
          <t>BDINH</t>
        </is>
      </c>
      <c r="H2504" s="399" t="n"/>
      <c r="J2504" s="392">
        <f>IFERROR(UPPER(TRIM(B2504))&amp;"|"&amp;UPPER(TRIM(C2504))&amp;"|"&amp;UPPER(TRIM(D2504)),"")</f>
        <v/>
      </c>
    </row>
    <row r="2505" ht="15.75" customHeight="1" s="217">
      <c r="A2505" s="400" t="n">
        <v>2503</v>
      </c>
      <c r="B2505" s="400" t="inlineStr">
        <is>
          <t>KH1240</t>
        </is>
      </c>
      <c r="C2505" s="401" t="inlineStr">
        <is>
          <t>Bãi Máy Đoàn Vĩnh Thành - Tân Vạn/ 0903.621.550</t>
        </is>
      </c>
      <c r="D2505" s="400" t="inlineStr">
        <is>
          <t>0903.621.550</t>
        </is>
      </c>
      <c r="E2505" s="402" t="n"/>
      <c r="F2505" s="401" t="inlineStr">
        <is>
          <t>Tân Vạn - TP.HCM</t>
        </is>
      </c>
      <c r="G2505" s="400" t="inlineStr">
        <is>
          <t>SG/HCM</t>
        </is>
      </c>
      <c r="H2505" s="402" t="n"/>
      <c r="J2505" s="392">
        <f>IFERROR(UPPER(TRIM(B2505))&amp;"|"&amp;UPPER(TRIM(C2505))&amp;"|"&amp;UPPER(TRIM(D2505)),"")</f>
        <v/>
      </c>
    </row>
    <row r="2506" ht="15.75" customHeight="1" s="217">
      <c r="A2506" s="397" t="n">
        <v>2504</v>
      </c>
      <c r="B2506" s="397" t="inlineStr">
        <is>
          <t>KH1234</t>
        </is>
      </c>
      <c r="C2506" s="398" t="inlineStr">
        <is>
          <t>Anh Văn Phúc - Đức Trọng/ 0919.157.879</t>
        </is>
      </c>
      <c r="D2506" s="397" t="inlineStr">
        <is>
          <t>0919.157.879</t>
        </is>
      </c>
      <c r="E2506" s="399" t="n"/>
      <c r="F2506" s="398" t="inlineStr">
        <is>
          <t>Đức Trọng - Lâm Đồng</t>
        </is>
      </c>
      <c r="G2506" s="397" t="inlineStr">
        <is>
          <t>LDONG</t>
        </is>
      </c>
      <c r="H2506" s="399" t="n"/>
      <c r="J2506" s="392">
        <f>IFERROR(UPPER(TRIM(B2506))&amp;"|"&amp;UPPER(TRIM(C2506))&amp;"|"&amp;UPPER(TRIM(D2506)),"")</f>
        <v/>
      </c>
    </row>
    <row r="2507" ht="15.75" customHeight="1" s="217">
      <c r="A2507" s="400" t="n">
        <v>2505</v>
      </c>
      <c r="B2507" s="400" t="inlineStr">
        <is>
          <t>KH1235</t>
        </is>
      </c>
      <c r="C2507" s="401" t="inlineStr">
        <is>
          <t>Anh Sương - Q9/ 0974.352.763</t>
        </is>
      </c>
      <c r="D2507" s="400" t="inlineStr">
        <is>
          <t>0974.352.763</t>
        </is>
      </c>
      <c r="E2507" s="402" t="n"/>
      <c r="F2507" s="401" t="inlineStr">
        <is>
          <t>Q9 - TP.HCM</t>
        </is>
      </c>
      <c r="G2507" s="400" t="inlineStr">
        <is>
          <t>SG/HCM</t>
        </is>
      </c>
      <c r="H2507" s="402" t="n"/>
      <c r="J2507" s="392">
        <f>IFERROR(UPPER(TRIM(B2507))&amp;"|"&amp;UPPER(TRIM(C2507))&amp;"|"&amp;UPPER(TRIM(D2507)),"")</f>
        <v/>
      </c>
    </row>
    <row r="2508" ht="15.75" customHeight="1" s="217">
      <c r="A2508" s="397" t="n">
        <v>2506</v>
      </c>
      <c r="B2508" s="397" t="inlineStr">
        <is>
          <t>KH1236</t>
        </is>
      </c>
      <c r="C2508" s="398" t="inlineStr">
        <is>
          <t>Anh Công - Tây Ninh / 0962.266.974</t>
        </is>
      </c>
      <c r="D2508" s="397" t="inlineStr">
        <is>
          <t>0962.266.974</t>
        </is>
      </c>
      <c r="E2508" s="399" t="n"/>
      <c r="F2508" s="398" t="inlineStr">
        <is>
          <t>Tây Ninh</t>
        </is>
      </c>
      <c r="G2508" s="397" t="inlineStr">
        <is>
          <t>TNINH</t>
        </is>
      </c>
      <c r="H2508" s="399" t="n"/>
      <c r="J2508" s="392">
        <f>IFERROR(UPPER(TRIM(B2508))&amp;"|"&amp;UPPER(TRIM(C2508))&amp;"|"&amp;UPPER(TRIM(D2508)),"")</f>
        <v/>
      </c>
    </row>
    <row r="2509" ht="15.75" customHeight="1" s="217">
      <c r="A2509" s="400" t="n">
        <v>2507</v>
      </c>
      <c r="B2509" s="400" t="inlineStr">
        <is>
          <t>KH1230</t>
        </is>
      </c>
      <c r="C2509" s="401" t="inlineStr">
        <is>
          <t>Xưởng Anh Hiền - Vĩnh Long / 0989.113.121</t>
        </is>
      </c>
      <c r="D2509" s="400" t="inlineStr">
        <is>
          <t>0989.113.121</t>
        </is>
      </c>
      <c r="E2509" s="402" t="n"/>
      <c r="F2509" s="401" t="inlineStr">
        <is>
          <t>Vĩnh Long</t>
        </is>
      </c>
      <c r="G2509" s="400" t="inlineStr">
        <is>
          <t>VĨNH LONG</t>
        </is>
      </c>
      <c r="H2509" s="402" t="n"/>
      <c r="J2509" s="392">
        <f>IFERROR(UPPER(TRIM(B2509))&amp;"|"&amp;UPPER(TRIM(C2509))&amp;"|"&amp;UPPER(TRIM(D2509)),"")</f>
        <v/>
      </c>
    </row>
    <row r="2510" ht="15.75" customHeight="1" s="217">
      <c r="A2510" s="397" t="n">
        <v>2508</v>
      </c>
      <c r="B2510" s="397" t="inlineStr">
        <is>
          <t>KH1231</t>
        </is>
      </c>
      <c r="C2510" s="398" t="inlineStr">
        <is>
          <t>Công ty Khải Hoàn NT - Nha Trang/Anh Hồng - 0994.488.949</t>
        </is>
      </c>
      <c r="D2510" s="397" t="inlineStr">
        <is>
          <t>0994.488.949</t>
        </is>
      </c>
      <c r="E2510" s="399" t="n"/>
      <c r="F2510" s="398" t="inlineStr">
        <is>
          <t>Nha Trang</t>
        </is>
      </c>
      <c r="G2510" s="397" t="inlineStr">
        <is>
          <t>NTRANG</t>
        </is>
      </c>
      <c r="H2510" s="399" t="n"/>
      <c r="J2510" s="392">
        <f>IFERROR(UPPER(TRIM(B2510))&amp;"|"&amp;UPPER(TRIM(C2510))&amp;"|"&amp;UPPER(TRIM(D2510)),"")</f>
        <v/>
      </c>
    </row>
    <row r="2511" ht="15.75" customHeight="1" s="217">
      <c r="A2511" s="400" t="n">
        <v>2509</v>
      </c>
      <c r="B2511" s="400" t="inlineStr">
        <is>
          <t>KH1232</t>
        </is>
      </c>
      <c r="C2511" s="401" t="inlineStr">
        <is>
          <t>Tiệm Hàn Hậu Tiến - Trà Vinh / 0907.346.129 or 0915.993.346</t>
        </is>
      </c>
      <c r="D2511" s="400" t="inlineStr">
        <is>
          <t>0907.346.129 / 0915.993.346</t>
        </is>
      </c>
      <c r="E2511" s="402" t="n"/>
      <c r="F2511" s="401" t="inlineStr">
        <is>
          <t>Gần Bãi Gác-Trà Vinh</t>
        </is>
      </c>
      <c r="G2511" s="400" t="inlineStr">
        <is>
          <t>TV</t>
        </is>
      </c>
      <c r="H2511" s="402" t="n"/>
      <c r="J2511" s="392">
        <f>IFERROR(UPPER(TRIM(B2511))&amp;"|"&amp;UPPER(TRIM(C2511))&amp;"|"&amp;UPPER(TRIM(D2511)),"")</f>
        <v/>
      </c>
    </row>
    <row r="2512" ht="15.75" customHeight="1" s="217">
      <c r="A2512" s="397" t="n">
        <v>2510</v>
      </c>
      <c r="B2512" s="397" t="inlineStr">
        <is>
          <t>KH1233</t>
        </is>
      </c>
      <c r="C2512" s="398" t="inlineStr">
        <is>
          <t>Công Ty Thiên Đạt - HN/Anh Mạnh - 0938.293.078</t>
        </is>
      </c>
      <c r="D2512" s="397" t="inlineStr">
        <is>
          <t>0938.293.078</t>
        </is>
      </c>
      <c r="E2512" s="399" t="n"/>
      <c r="F2512" s="398" t="inlineStr">
        <is>
          <t>Trung Hòa - cầu Giấy - Hà Nội</t>
        </is>
      </c>
      <c r="G2512" s="397" t="inlineStr">
        <is>
          <t>HN</t>
        </is>
      </c>
      <c r="H2512" s="399" t="n"/>
      <c r="J2512" s="392">
        <f>IFERROR(UPPER(TRIM(B2512))&amp;"|"&amp;UPPER(TRIM(C2512))&amp;"|"&amp;UPPER(TRIM(D2512)),"")</f>
        <v/>
      </c>
    </row>
    <row r="2513" ht="15.75" customHeight="1" s="217">
      <c r="A2513" s="400" t="n">
        <v>2511</v>
      </c>
      <c r="B2513" s="400" t="inlineStr">
        <is>
          <t>KH1227</t>
        </is>
      </c>
      <c r="C2513" s="401" t="inlineStr">
        <is>
          <t>Anh Chương - Bến Lức/0903.117.775</t>
        </is>
      </c>
      <c r="D2513" s="400" t="inlineStr">
        <is>
          <t>0903.117.775</t>
        </is>
      </c>
      <c r="E2513" s="402" t="n"/>
      <c r="F2513" s="401" t="inlineStr">
        <is>
          <t>Bến Lức - Long An</t>
        </is>
      </c>
      <c r="G2513" s="400" t="inlineStr">
        <is>
          <t>LA</t>
        </is>
      </c>
      <c r="H2513" s="402" t="n"/>
      <c r="J2513" s="392">
        <f>IFERROR(UPPER(TRIM(B2513))&amp;"|"&amp;UPPER(TRIM(C2513))&amp;"|"&amp;UPPER(TRIM(D2513)),"")</f>
        <v/>
      </c>
    </row>
    <row r="2514" ht="15.75" customHeight="1" s="217">
      <c r="A2514" s="397" t="n">
        <v>2512</v>
      </c>
      <c r="B2514" s="397" t="inlineStr">
        <is>
          <t>KH1228</t>
        </is>
      </c>
      <c r="C2514" s="398" t="inlineStr">
        <is>
          <t>Anh Thảo - Cần Đước/ 0913.635.489</t>
        </is>
      </c>
      <c r="D2514" s="397" t="inlineStr">
        <is>
          <t>0913.635.489</t>
        </is>
      </c>
      <c r="E2514" s="399" t="n"/>
      <c r="F2514" s="398" t="inlineStr">
        <is>
          <t>Cần Đước - Long An</t>
        </is>
      </c>
      <c r="G2514" s="397" t="inlineStr">
        <is>
          <t>LA</t>
        </is>
      </c>
      <c r="H2514" s="399" t="n"/>
      <c r="J2514" s="392">
        <f>IFERROR(UPPER(TRIM(B2514))&amp;"|"&amp;UPPER(TRIM(C2514))&amp;"|"&amp;UPPER(TRIM(D2514)),"")</f>
        <v/>
      </c>
    </row>
    <row r="2515" ht="15.75" customHeight="1" s="217">
      <c r="A2515" s="400" t="n">
        <v>2513</v>
      </c>
      <c r="B2515" s="400" t="inlineStr">
        <is>
          <t>KH1229</t>
        </is>
      </c>
      <c r="C2515" s="401" t="inlineStr">
        <is>
          <t>Anh Lộc - Tân Hà/ 0986.502.480</t>
        </is>
      </c>
      <c r="D2515" s="400" t="inlineStr">
        <is>
          <t>0986.502.480</t>
        </is>
      </c>
      <c r="E2515" s="402" t="n"/>
      <c r="F2515" s="401" t="inlineStr">
        <is>
          <t>Tân Hà - Lâm Đồng</t>
        </is>
      </c>
      <c r="G2515" s="400" t="inlineStr">
        <is>
          <t>LDONG</t>
        </is>
      </c>
      <c r="H2515" s="402" t="n"/>
      <c r="J2515" s="392">
        <f>IFERROR(UPPER(TRIM(B2515))&amp;"|"&amp;UPPER(TRIM(C2515))&amp;"|"&amp;UPPER(TRIM(D2515)),"")</f>
        <v/>
      </c>
    </row>
    <row r="2516" ht="15.75" customHeight="1" s="217">
      <c r="A2516" s="397" t="n">
        <v>2514</v>
      </c>
      <c r="B2516" s="397" t="inlineStr">
        <is>
          <t>KH1225</t>
        </is>
      </c>
      <c r="C2516" s="398" t="inlineStr">
        <is>
          <t>Anh Châu - Bến Lức/0918.612.972</t>
        </is>
      </c>
      <c r="D2516" s="397" t="inlineStr">
        <is>
          <t>0918.612.972</t>
        </is>
      </c>
      <c r="E2516" s="399" t="n"/>
      <c r="F2516" s="398" t="inlineStr">
        <is>
          <t>Bến Lức - Long An</t>
        </is>
      </c>
      <c r="G2516" s="397" t="inlineStr">
        <is>
          <t>LA</t>
        </is>
      </c>
      <c r="H2516" s="399" t="n"/>
      <c r="J2516" s="392">
        <f>IFERROR(UPPER(TRIM(B2516))&amp;"|"&amp;UPPER(TRIM(C2516))&amp;"|"&amp;UPPER(TRIM(D2516)),"")</f>
        <v/>
      </c>
    </row>
    <row r="2517" ht="15.75" customHeight="1" s="217">
      <c r="A2517" s="400" t="n">
        <v>2515</v>
      </c>
      <c r="B2517" s="400" t="inlineStr">
        <is>
          <t>KH1226</t>
        </is>
      </c>
      <c r="C2517" s="401" t="inlineStr">
        <is>
          <t>Anh Quang - Tân Cảng SG / 0908.910.353</t>
        </is>
      </c>
      <c r="D2517" s="400" t="inlineStr">
        <is>
          <t>0908.910.353</t>
        </is>
      </c>
      <c r="E2517" s="402" t="n"/>
      <c r="F2517" s="401" t="inlineStr">
        <is>
          <t>Tân Cảng SG - Cầu SG</t>
        </is>
      </c>
      <c r="G2517" s="400" t="inlineStr">
        <is>
          <t>SG/HCM</t>
        </is>
      </c>
      <c r="H2517" s="402" t="n"/>
      <c r="J2517" s="392">
        <f>IFERROR(UPPER(TRIM(B2517))&amp;"|"&amp;UPPER(TRIM(C2517))&amp;"|"&amp;UPPER(TRIM(D2517)),"")</f>
        <v/>
      </c>
    </row>
    <row r="2518" ht="15.75" customHeight="1" s="217">
      <c r="A2518" s="397" t="n">
        <v>2516</v>
      </c>
      <c r="B2518" s="397" t="inlineStr">
        <is>
          <t>KH1223</t>
        </is>
      </c>
      <c r="C2518" s="398" t="inlineStr">
        <is>
          <t>Xưởng Chú Dung - Đắk Lak/ 0982.433.998</t>
        </is>
      </c>
      <c r="D2518" s="397" t="inlineStr">
        <is>
          <t>0982.433.998</t>
        </is>
      </c>
      <c r="E2518" s="399" t="n"/>
      <c r="F2518" s="398" t="inlineStr">
        <is>
          <t>Km8 - Buôn Mê Thuột - Đắk Lak</t>
        </is>
      </c>
      <c r="G2518" s="397" t="inlineStr">
        <is>
          <t>ÐL</t>
        </is>
      </c>
      <c r="H2518" s="399" t="n"/>
      <c r="J2518" s="392">
        <f>IFERROR(UPPER(TRIM(B2518))&amp;"|"&amp;UPPER(TRIM(C2518))&amp;"|"&amp;UPPER(TRIM(D2518)),"")</f>
        <v/>
      </c>
    </row>
    <row r="2519" ht="15.75" customHeight="1" s="217">
      <c r="A2519" s="400" t="n">
        <v>2517</v>
      </c>
      <c r="B2519" s="400" t="inlineStr">
        <is>
          <t>KH1224</t>
        </is>
      </c>
      <c r="C2519" s="401" t="inlineStr">
        <is>
          <t>Anh Sơn - Thủ Đức / 0902.669.925 - Công Ty XD Hiệp Phú</t>
        </is>
      </c>
      <c r="D2519" s="400" t="inlineStr">
        <is>
          <t>0902.669.925</t>
        </is>
      </c>
      <c r="E2519" s="402" t="n"/>
      <c r="F2519" s="401" t="inlineStr">
        <is>
          <t>Thủ Đức - HCM</t>
        </is>
      </c>
      <c r="G2519" s="400" t="inlineStr">
        <is>
          <t>SG/HCM</t>
        </is>
      </c>
      <c r="H2519" s="402" t="n"/>
      <c r="J2519" s="392">
        <f>IFERROR(UPPER(TRIM(B2519))&amp;"|"&amp;UPPER(TRIM(C2519))&amp;"|"&amp;UPPER(TRIM(D2519)),"")</f>
        <v/>
      </c>
    </row>
    <row r="2520" ht="15.75" customHeight="1" s="217">
      <c r="A2520" s="397" t="n">
        <v>2518</v>
      </c>
      <c r="B2520" s="397" t="inlineStr">
        <is>
          <t>KH1222</t>
        </is>
      </c>
      <c r="C2520" s="398" t="inlineStr">
        <is>
          <t>Anh Sơn - Bình Chánh / 0908.009.249</t>
        </is>
      </c>
      <c r="D2520" s="397" t="inlineStr">
        <is>
          <t>0908.009.249</t>
        </is>
      </c>
      <c r="E2520" s="399" t="n"/>
      <c r="F2520" s="398" t="inlineStr">
        <is>
          <t>Ngã tư Bà Hom - Bình Chánh</t>
        </is>
      </c>
      <c r="G2520" s="397" t="inlineStr">
        <is>
          <t>SG/HCM</t>
        </is>
      </c>
      <c r="H2520" s="399" t="n"/>
      <c r="J2520" s="392">
        <f>IFERROR(UPPER(TRIM(B2520))&amp;"|"&amp;UPPER(TRIM(C2520))&amp;"|"&amp;UPPER(TRIM(D2520)),"")</f>
        <v/>
      </c>
    </row>
    <row r="2521" ht="15.75" customHeight="1" s="217">
      <c r="A2521" s="400" t="n">
        <v>2519</v>
      </c>
      <c r="B2521" s="400" t="inlineStr">
        <is>
          <t>KH1217</t>
        </is>
      </c>
      <c r="C2521" s="401" t="inlineStr">
        <is>
          <t>Anh Quang - Bảo Lộc/ 0965.344.655</t>
        </is>
      </c>
      <c r="D2521" s="400" t="inlineStr">
        <is>
          <t>0965.344.655</t>
        </is>
      </c>
      <c r="E2521" s="402" t="n"/>
      <c r="F2521" s="401" t="inlineStr">
        <is>
          <t>Bảo Lộc - Lâm Đồng</t>
        </is>
      </c>
      <c r="G2521" s="400" t="inlineStr">
        <is>
          <t>LDONG</t>
        </is>
      </c>
      <c r="H2521" s="402" t="n"/>
      <c r="J2521" s="392">
        <f>IFERROR(UPPER(TRIM(B2521))&amp;"|"&amp;UPPER(TRIM(C2521))&amp;"|"&amp;UPPER(TRIM(D2521)),"")</f>
        <v/>
      </c>
    </row>
    <row r="2522" ht="15.75" customHeight="1" s="217">
      <c r="A2522" s="397" t="n">
        <v>2520</v>
      </c>
      <c r="B2522" s="397" t="inlineStr">
        <is>
          <t>KH1218</t>
        </is>
      </c>
      <c r="C2522" s="398" t="inlineStr">
        <is>
          <t>Anh Quá - quận 2 / 0903.762.773</t>
        </is>
      </c>
      <c r="D2522" s="397" t="inlineStr">
        <is>
          <t>0903.762.773</t>
        </is>
      </c>
      <c r="E2522" s="399" t="n"/>
      <c r="F2522" s="398" t="inlineStr">
        <is>
          <t>Quận 2</t>
        </is>
      </c>
      <c r="G2522" s="397" t="inlineStr">
        <is>
          <t>SG/HCM</t>
        </is>
      </c>
      <c r="H2522" s="399" t="n"/>
      <c r="J2522" s="392">
        <f>IFERROR(UPPER(TRIM(B2522))&amp;"|"&amp;UPPER(TRIM(C2522))&amp;"|"&amp;UPPER(TRIM(D2522)),"")</f>
        <v/>
      </c>
    </row>
    <row r="2523" ht="15.75" customHeight="1" s="217">
      <c r="A2523" s="400" t="n">
        <v>2521</v>
      </c>
      <c r="B2523" s="400" t="inlineStr">
        <is>
          <t>KH1219</t>
        </is>
      </c>
      <c r="C2523" s="401" t="inlineStr">
        <is>
          <t>Chú Hoàng - Suối Tiên/ 0907.064.122</t>
        </is>
      </c>
      <c r="D2523" s="400" t="inlineStr">
        <is>
          <t>0907.064.122</t>
        </is>
      </c>
      <c r="E2523" s="402" t="n"/>
      <c r="F2523" s="401" t="inlineStr">
        <is>
          <t>Suối Tiên - TP.HCM ( gần BM Văn Tiền )</t>
        </is>
      </c>
      <c r="G2523" s="400" t="inlineStr">
        <is>
          <t>SG/HCM</t>
        </is>
      </c>
      <c r="H2523" s="402" t="n"/>
      <c r="J2523" s="392">
        <f>IFERROR(UPPER(TRIM(B2523))&amp;"|"&amp;UPPER(TRIM(C2523))&amp;"|"&amp;UPPER(TRIM(D2523)),"")</f>
        <v/>
      </c>
    </row>
    <row r="2524" ht="15.75" customHeight="1" s="217">
      <c r="A2524" s="397" t="n">
        <v>2522</v>
      </c>
      <c r="B2524" s="397" t="inlineStr">
        <is>
          <t>KH1220</t>
        </is>
      </c>
      <c r="C2524" s="398" t="inlineStr">
        <is>
          <t>Công Ty Đại Thu - Sài Gòn/ 0946.684.577</t>
        </is>
      </c>
      <c r="D2524" s="397" t="inlineStr">
        <is>
          <t>0946.684.577</t>
        </is>
      </c>
      <c r="E2524" s="399" t="n"/>
      <c r="F2524" s="398" t="inlineStr">
        <is>
          <t>Sài Gòn</t>
        </is>
      </c>
      <c r="G2524" s="397" t="inlineStr">
        <is>
          <t>SG/HCM</t>
        </is>
      </c>
      <c r="H2524" s="399" t="n"/>
      <c r="J2524" s="392">
        <f>IFERROR(UPPER(TRIM(B2524))&amp;"|"&amp;UPPER(TRIM(C2524))&amp;"|"&amp;UPPER(TRIM(D2524)),"")</f>
        <v/>
      </c>
    </row>
    <row r="2525" ht="15.75" customHeight="1" s="217">
      <c r="A2525" s="400" t="n">
        <v>2523</v>
      </c>
      <c r="B2525" s="400" t="inlineStr">
        <is>
          <t>KH1221</t>
        </is>
      </c>
      <c r="C2525" s="401" t="inlineStr">
        <is>
          <t>Anh An - Quận 7/0909.142.296</t>
        </is>
      </c>
      <c r="D2525" s="400" t="inlineStr">
        <is>
          <t>0909.142.296</t>
        </is>
      </c>
      <c r="E2525" s="402" t="n"/>
      <c r="F2525" s="401" t="inlineStr">
        <is>
          <t>Quận 7 - TP.HCM</t>
        </is>
      </c>
      <c r="G2525" s="400" t="inlineStr">
        <is>
          <t>SG/HCM</t>
        </is>
      </c>
      <c r="H2525" s="402" t="n"/>
      <c r="J2525" s="392">
        <f>IFERROR(UPPER(TRIM(B2525))&amp;"|"&amp;UPPER(TRIM(C2525))&amp;"|"&amp;UPPER(TRIM(D2525)),"")</f>
        <v/>
      </c>
    </row>
    <row r="2526" ht="15.75" customHeight="1" s="217">
      <c r="A2526" s="397" t="n">
        <v>2524</v>
      </c>
      <c r="B2526" s="397" t="inlineStr">
        <is>
          <t>MN42</t>
        </is>
      </c>
      <c r="C2526" s="398" t="inlineStr">
        <is>
          <t>Nguyễn Văn Điệp (Bảy)</t>
        </is>
      </c>
      <c r="D2526" s="399" t="n"/>
      <c r="E2526" s="399" t="n"/>
      <c r="F2526" s="398" t="inlineStr">
        <is>
          <t>Phòng Phụ tùng động cơ</t>
        </is>
      </c>
      <c r="G2526" s="399" t="n"/>
      <c r="H2526" s="399" t="n"/>
      <c r="J2526" s="392">
        <f>IFERROR(UPPER(TRIM(B2526))&amp;"|"&amp;UPPER(TRIM(C2526))&amp;"|"&amp;UPPER(TRIM(D2526)),"")</f>
        <v/>
      </c>
    </row>
    <row r="2527" ht="15.75" customHeight="1" s="217">
      <c r="A2527" s="400" t="n">
        <v>2525</v>
      </c>
      <c r="B2527" s="400" t="inlineStr">
        <is>
          <t>KH1215</t>
        </is>
      </c>
      <c r="C2527" s="401" t="inlineStr">
        <is>
          <t>Anh Nghĩa - Q7/ 0903.848.665</t>
        </is>
      </c>
      <c r="D2527" s="400" t="inlineStr">
        <is>
          <t>0903.848.665</t>
        </is>
      </c>
      <c r="E2527" s="402" t="n"/>
      <c r="F2527" s="401" t="inlineStr">
        <is>
          <t>Quận 7 - TP.HCM</t>
        </is>
      </c>
      <c r="G2527" s="400" t="inlineStr">
        <is>
          <t>SG/HCM</t>
        </is>
      </c>
      <c r="H2527" s="402" t="n"/>
      <c r="J2527" s="392">
        <f>IFERROR(UPPER(TRIM(B2527))&amp;"|"&amp;UPPER(TRIM(C2527))&amp;"|"&amp;UPPER(TRIM(D2527)),"")</f>
        <v/>
      </c>
    </row>
    <row r="2528" ht="15.75" customHeight="1" s="217">
      <c r="A2528" s="397" t="n">
        <v>2526</v>
      </c>
      <c r="B2528" s="397" t="inlineStr">
        <is>
          <t>KH1216</t>
        </is>
      </c>
      <c r="C2528" s="398" t="inlineStr">
        <is>
          <t>Anh Mẫn - Đức Hoà- Long an / 0938.149.636</t>
        </is>
      </c>
      <c r="D2528" s="397" t="inlineStr">
        <is>
          <t>0938.149.636</t>
        </is>
      </c>
      <c r="E2528" s="399" t="n"/>
      <c r="F2528" s="398" t="inlineStr">
        <is>
          <t>Đức Hoà- Long An</t>
        </is>
      </c>
      <c r="G2528" s="397" t="inlineStr">
        <is>
          <t>LA</t>
        </is>
      </c>
      <c r="H2528" s="399" t="n"/>
      <c r="J2528" s="392">
        <f>IFERROR(UPPER(TRIM(B2528))&amp;"|"&amp;UPPER(TRIM(C2528))&amp;"|"&amp;UPPER(TRIM(D2528)),"")</f>
        <v/>
      </c>
    </row>
    <row r="2529" ht="15.75" customHeight="1" s="217">
      <c r="A2529" s="400" t="n">
        <v>2527</v>
      </c>
      <c r="B2529" s="400" t="inlineStr">
        <is>
          <t>KH1214</t>
        </is>
      </c>
      <c r="C2529" s="401" t="inlineStr">
        <is>
          <t>Anh Trí - Bến Lức / 0973.713.826</t>
        </is>
      </c>
      <c r="D2529" s="400" t="inlineStr">
        <is>
          <t>0973.713.826</t>
        </is>
      </c>
      <c r="E2529" s="402" t="n"/>
      <c r="F2529" s="401" t="inlineStr">
        <is>
          <t>Bến Lức</t>
        </is>
      </c>
      <c r="G2529" s="400" t="inlineStr">
        <is>
          <t>LA</t>
        </is>
      </c>
      <c r="H2529" s="402" t="n"/>
      <c r="J2529" s="392">
        <f>IFERROR(UPPER(TRIM(B2529))&amp;"|"&amp;UPPER(TRIM(C2529))&amp;"|"&amp;UPPER(TRIM(D2529)),"")</f>
        <v/>
      </c>
    </row>
    <row r="2530" ht="15.75" customHeight="1" s="217">
      <c r="A2530" s="397" t="n">
        <v>2528</v>
      </c>
      <c r="B2530" s="397" t="inlineStr">
        <is>
          <t>KH1213</t>
        </is>
      </c>
      <c r="C2530" s="398" t="inlineStr">
        <is>
          <t>Anh Thông - Tân Hà / 0983.274.678</t>
        </is>
      </c>
      <c r="D2530" s="397" t="inlineStr">
        <is>
          <t>0983.274.678</t>
        </is>
      </c>
      <c r="E2530" s="399" t="n"/>
      <c r="F2530" s="398" t="inlineStr">
        <is>
          <t>Tân Hà</t>
        </is>
      </c>
      <c r="G2530" s="397" t="inlineStr">
        <is>
          <t>LDONG</t>
        </is>
      </c>
      <c r="H2530" s="399" t="n"/>
      <c r="J2530" s="392">
        <f>IFERROR(UPPER(TRIM(B2530))&amp;"|"&amp;UPPER(TRIM(C2530))&amp;"|"&amp;UPPER(TRIM(D2530)),"")</f>
        <v/>
      </c>
    </row>
    <row r="2531" ht="15.75" customHeight="1" s="217">
      <c r="A2531" s="400" t="n">
        <v>2529</v>
      </c>
      <c r="B2531" s="400" t="inlineStr">
        <is>
          <t>KH1211</t>
        </is>
      </c>
      <c r="C2531" s="401" t="inlineStr">
        <is>
          <t>Anh Khải - Bến Tre / 01236.845.500</t>
        </is>
      </c>
      <c r="D2531" s="400" t="inlineStr">
        <is>
          <t>01236.845.500</t>
        </is>
      </c>
      <c r="E2531" s="402" t="n"/>
      <c r="F2531" s="401" t="inlineStr">
        <is>
          <t>Bến Tre</t>
        </is>
      </c>
      <c r="G2531" s="400" t="inlineStr">
        <is>
          <t>BTRE</t>
        </is>
      </c>
      <c r="H2531" s="402" t="n"/>
      <c r="J2531" s="392">
        <f>IFERROR(UPPER(TRIM(B2531))&amp;"|"&amp;UPPER(TRIM(C2531))&amp;"|"&amp;UPPER(TRIM(D2531)),"")</f>
        <v/>
      </c>
    </row>
    <row r="2532" ht="15.75" customHeight="1" s="217">
      <c r="A2532" s="397" t="n">
        <v>2530</v>
      </c>
      <c r="B2532" s="397" t="inlineStr">
        <is>
          <t>KH1212</t>
        </is>
      </c>
      <c r="C2532" s="398" t="inlineStr">
        <is>
          <t>Anh Phát - Bến Lức / 0987.903.909</t>
        </is>
      </c>
      <c r="D2532" s="397" t="inlineStr">
        <is>
          <t>0987.903.909</t>
        </is>
      </c>
      <c r="E2532" s="399" t="n"/>
      <c r="F2532" s="398" t="inlineStr">
        <is>
          <t>Bến Lức - Long An</t>
        </is>
      </c>
      <c r="G2532" s="397" t="inlineStr">
        <is>
          <t>LA</t>
        </is>
      </c>
      <c r="H2532" s="399" t="n"/>
      <c r="J2532" s="392">
        <f>IFERROR(UPPER(TRIM(B2532))&amp;"|"&amp;UPPER(TRIM(C2532))&amp;"|"&amp;UPPER(TRIM(D2532)),"")</f>
        <v/>
      </c>
    </row>
    <row r="2533" ht="15.75" customHeight="1" s="217">
      <c r="A2533" s="400" t="n">
        <v>2531</v>
      </c>
      <c r="B2533" s="400" t="inlineStr">
        <is>
          <t>KH1210</t>
        </is>
      </c>
      <c r="C2533" s="401" t="inlineStr">
        <is>
          <t>Anh Đông - Đồng Tháp/ 0919.272.985</t>
        </is>
      </c>
      <c r="D2533" s="400" t="inlineStr">
        <is>
          <t>0919.272.985</t>
        </is>
      </c>
      <c r="E2533" s="402" t="n"/>
      <c r="F2533" s="401" t="inlineStr">
        <is>
          <t>Đồng Tháp</t>
        </is>
      </c>
      <c r="G2533" s="400" t="inlineStr">
        <is>
          <t>DTHAP</t>
        </is>
      </c>
      <c r="H2533" s="402" t="n"/>
      <c r="J2533" s="392">
        <f>IFERROR(UPPER(TRIM(B2533))&amp;"|"&amp;UPPER(TRIM(C2533))&amp;"|"&amp;UPPER(TRIM(D2533)),"")</f>
        <v/>
      </c>
    </row>
    <row r="2534" ht="15.75" customHeight="1" s="217">
      <c r="A2534" s="397" t="n">
        <v>2532</v>
      </c>
      <c r="B2534" s="397" t="inlineStr">
        <is>
          <t>KH1207</t>
        </is>
      </c>
      <c r="C2534" s="398" t="inlineStr">
        <is>
          <t>Cty Sunpro - Sài Gòn/ Chị Bình 0909.683.595</t>
        </is>
      </c>
      <c r="D2534" s="397" t="inlineStr">
        <is>
          <t>0909.683.595</t>
        </is>
      </c>
      <c r="E2534" s="399" t="n"/>
      <c r="F2534" s="398" t="inlineStr">
        <is>
          <t>Sài Gòn</t>
        </is>
      </c>
      <c r="G2534" s="397" t="inlineStr">
        <is>
          <t>SG/HCM</t>
        </is>
      </c>
      <c r="H2534" s="399" t="n"/>
      <c r="J2534" s="392">
        <f>IFERROR(UPPER(TRIM(B2534))&amp;"|"&amp;UPPER(TRIM(C2534))&amp;"|"&amp;UPPER(TRIM(D2534)),"")</f>
        <v/>
      </c>
    </row>
    <row r="2535" ht="15.75" customHeight="1" s="217">
      <c r="A2535" s="400" t="n">
        <v>2533</v>
      </c>
      <c r="B2535" s="400" t="inlineStr">
        <is>
          <t>KH1208</t>
        </is>
      </c>
      <c r="C2535" s="401" t="inlineStr">
        <is>
          <t>Anh Kỵ - Q7/ 0934.183.664</t>
        </is>
      </c>
      <c r="D2535" s="400" t="inlineStr">
        <is>
          <t>0934.183.664</t>
        </is>
      </c>
      <c r="E2535" s="402" t="n"/>
      <c r="F2535" s="401" t="inlineStr">
        <is>
          <t>Quận 2 - TP.HCM</t>
        </is>
      </c>
      <c r="G2535" s="400" t="inlineStr">
        <is>
          <t>SG/HCM</t>
        </is>
      </c>
      <c r="H2535" s="402" t="n"/>
      <c r="J2535" s="392">
        <f>IFERROR(UPPER(TRIM(B2535))&amp;"|"&amp;UPPER(TRIM(C2535))&amp;"|"&amp;UPPER(TRIM(D2535)),"")</f>
        <v/>
      </c>
    </row>
    <row r="2536" ht="15.75" customHeight="1" s="217">
      <c r="A2536" s="397" t="n">
        <v>2534</v>
      </c>
      <c r="B2536" s="397" t="inlineStr">
        <is>
          <t>KH1209</t>
        </is>
      </c>
      <c r="C2536" s="398" t="inlineStr">
        <is>
          <t>Anh Thuận - Bình Phước/ 0984.550.982</t>
        </is>
      </c>
      <c r="D2536" s="397" t="inlineStr">
        <is>
          <t>0984.550.982</t>
        </is>
      </c>
      <c r="E2536" s="399" t="n"/>
      <c r="F2536" s="398" t="inlineStr">
        <is>
          <t>Bù Nho - Bình Phước</t>
        </is>
      </c>
      <c r="G2536" s="397" t="inlineStr">
        <is>
          <t>BP</t>
        </is>
      </c>
      <c r="H2536" s="399" t="n"/>
      <c r="J2536" s="392">
        <f>IFERROR(UPPER(TRIM(B2536))&amp;"|"&amp;UPPER(TRIM(C2536))&amp;"|"&amp;UPPER(TRIM(D2536)),"")</f>
        <v/>
      </c>
    </row>
    <row r="2537" ht="15.75" customHeight="1" s="217">
      <c r="A2537" s="400" t="n">
        <v>2535</v>
      </c>
      <c r="B2537" s="400" t="inlineStr">
        <is>
          <t>KH1204</t>
        </is>
      </c>
      <c r="C2537" s="401" t="inlineStr">
        <is>
          <t>Anh Đúng - Q12/ 0916.461.378</t>
        </is>
      </c>
      <c r="D2537" s="400" t="inlineStr">
        <is>
          <t>0916.461.378</t>
        </is>
      </c>
      <c r="E2537" s="402" t="n"/>
      <c r="F2537" s="401" t="inlineStr">
        <is>
          <t>cầu Vượt Quang Trung - Q12 - TP.HCM</t>
        </is>
      </c>
      <c r="G2537" s="400" t="inlineStr">
        <is>
          <t>SG/HCM</t>
        </is>
      </c>
      <c r="H2537" s="402" t="n"/>
      <c r="J2537" s="392">
        <f>IFERROR(UPPER(TRIM(B2537))&amp;"|"&amp;UPPER(TRIM(C2537))&amp;"|"&amp;UPPER(TRIM(D2537)),"")</f>
        <v/>
      </c>
    </row>
    <row r="2538" ht="15.75" customHeight="1" s="217">
      <c r="A2538" s="397" t="n">
        <v>2536</v>
      </c>
      <c r="B2538" s="397" t="inlineStr">
        <is>
          <t>KH1205</t>
        </is>
      </c>
      <c r="C2538" s="398" t="inlineStr">
        <is>
          <t>Anh Đạt - EoHLeo/0962.252.277</t>
        </is>
      </c>
      <c r="D2538" s="397" t="inlineStr">
        <is>
          <t>0962.252.277</t>
        </is>
      </c>
      <c r="E2538" s="399" t="n"/>
      <c r="F2538" s="398" t="inlineStr">
        <is>
          <t>EoHleo - Đăk Lak</t>
        </is>
      </c>
      <c r="G2538" s="397" t="inlineStr">
        <is>
          <t>ÐL</t>
        </is>
      </c>
      <c r="H2538" s="399" t="n"/>
      <c r="J2538" s="392">
        <f>IFERROR(UPPER(TRIM(B2538))&amp;"|"&amp;UPPER(TRIM(C2538))&amp;"|"&amp;UPPER(TRIM(D2538)),"")</f>
        <v/>
      </c>
    </row>
    <row r="2539" ht="15.75" customHeight="1" s="217">
      <c r="A2539" s="400" t="n">
        <v>2537</v>
      </c>
      <c r="B2539" s="400" t="inlineStr">
        <is>
          <t>KH1206</t>
        </is>
      </c>
      <c r="C2539" s="401" t="inlineStr">
        <is>
          <t>Anh Bi - Bình Thuận / 0918.507.554</t>
        </is>
      </c>
      <c r="D2539" s="400" t="inlineStr">
        <is>
          <t>0918.507.554</t>
        </is>
      </c>
      <c r="E2539" s="402" t="n"/>
      <c r="F2539" s="401" t="inlineStr">
        <is>
          <t>Bình Thuận</t>
        </is>
      </c>
      <c r="G2539" s="400" t="inlineStr">
        <is>
          <t>BTHUAN</t>
        </is>
      </c>
      <c r="H2539" s="402" t="n"/>
      <c r="J2539" s="392">
        <f>IFERROR(UPPER(TRIM(B2539))&amp;"|"&amp;UPPER(TRIM(C2539))&amp;"|"&amp;UPPER(TRIM(D2539)),"")</f>
        <v/>
      </c>
    </row>
    <row r="2540" ht="15.75" customHeight="1" s="217">
      <c r="A2540" s="397" t="n">
        <v>2538</v>
      </c>
      <c r="B2540" s="397" t="inlineStr">
        <is>
          <t>KH1202</t>
        </is>
      </c>
      <c r="C2540" s="398" t="inlineStr">
        <is>
          <t>Anh Minh - Tam Nông/ 0989.247.076</t>
        </is>
      </c>
      <c r="D2540" s="397" t="inlineStr">
        <is>
          <t>0989.247.076</t>
        </is>
      </c>
      <c r="E2540" s="399" t="n"/>
      <c r="F2540" s="398" t="inlineStr">
        <is>
          <t>Tam Nông - Đồng Tháp</t>
        </is>
      </c>
      <c r="G2540" s="397" t="inlineStr">
        <is>
          <t>DTHAP</t>
        </is>
      </c>
      <c r="H2540" s="399" t="n"/>
      <c r="J2540" s="392">
        <f>IFERROR(UPPER(TRIM(B2540))&amp;"|"&amp;UPPER(TRIM(C2540))&amp;"|"&amp;UPPER(TRIM(D2540)),"")</f>
        <v/>
      </c>
    </row>
    <row r="2541" ht="15.75" customHeight="1" s="217">
      <c r="A2541" s="400" t="n">
        <v>2539</v>
      </c>
      <c r="B2541" s="400" t="inlineStr">
        <is>
          <t>KH1203</t>
        </is>
      </c>
      <c r="C2541" s="401" t="inlineStr">
        <is>
          <t>Công ty An Phong - Quận 2/ anh Hải - 0902.799.522</t>
        </is>
      </c>
      <c r="D2541" s="400" t="inlineStr">
        <is>
          <t>0902.799.522</t>
        </is>
      </c>
      <c r="E2541" s="402" t="n"/>
      <c r="F2541" s="401" t="inlineStr">
        <is>
          <t>Quận 2 - TP.HCM</t>
        </is>
      </c>
      <c r="G2541" s="400" t="inlineStr">
        <is>
          <t>SG/HCM</t>
        </is>
      </c>
      <c r="H2541" s="402" t="n"/>
      <c r="J2541" s="392">
        <f>IFERROR(UPPER(TRIM(B2541))&amp;"|"&amp;UPPER(TRIM(C2541))&amp;"|"&amp;UPPER(TRIM(D2541)),"")</f>
        <v/>
      </c>
    </row>
    <row r="2542" ht="15.75" customHeight="1" s="217">
      <c r="A2542" s="397" t="n">
        <v>2540</v>
      </c>
      <c r="B2542" s="397" t="inlineStr">
        <is>
          <t>KH1201</t>
        </is>
      </c>
      <c r="C2542" s="398" t="inlineStr">
        <is>
          <t>Anh Quân - Đắk Lak/ 0934.935.046</t>
        </is>
      </c>
      <c r="D2542" s="397" t="inlineStr">
        <is>
          <t>0934.935.046</t>
        </is>
      </c>
      <c r="E2542" s="399" t="n"/>
      <c r="F2542" s="398" t="inlineStr">
        <is>
          <t>EoHLeo - Đắk Lăk</t>
        </is>
      </c>
      <c r="G2542" s="397" t="inlineStr">
        <is>
          <t>ÐL</t>
        </is>
      </c>
      <c r="H2542" s="399" t="n"/>
      <c r="J2542" s="392">
        <f>IFERROR(UPPER(TRIM(B2542))&amp;"|"&amp;UPPER(TRIM(C2542))&amp;"|"&amp;UPPER(TRIM(D2542)),"")</f>
        <v/>
      </c>
    </row>
    <row r="2543" ht="15.75" customHeight="1" s="217">
      <c r="A2543" s="400" t="n">
        <v>2541</v>
      </c>
      <c r="B2543" s="400" t="inlineStr">
        <is>
          <t>KH1196</t>
        </is>
      </c>
      <c r="C2543" s="401" t="inlineStr">
        <is>
          <t>Anh Hữu - Q7/ 0985.543.542</t>
        </is>
      </c>
      <c r="D2543" s="400" t="inlineStr">
        <is>
          <t>0985.543.542</t>
        </is>
      </c>
      <c r="E2543" s="402" t="n"/>
      <c r="F2543" s="401" t="inlineStr">
        <is>
          <t>Quận 2 - TP.HCM</t>
        </is>
      </c>
      <c r="G2543" s="400" t="inlineStr">
        <is>
          <t>SG/HCM</t>
        </is>
      </c>
      <c r="H2543" s="402" t="n"/>
      <c r="J2543" s="392">
        <f>IFERROR(UPPER(TRIM(B2543))&amp;"|"&amp;UPPER(TRIM(C2543))&amp;"|"&amp;UPPER(TRIM(D2543)),"")</f>
        <v/>
      </c>
    </row>
    <row r="2544" ht="15.75" customHeight="1" s="217">
      <c r="A2544" s="397" t="n">
        <v>2542</v>
      </c>
      <c r="B2544" s="397" t="inlineStr">
        <is>
          <t>KH1197</t>
        </is>
      </c>
      <c r="C2544" s="398" t="inlineStr">
        <is>
          <t>Anh Bình - Tân Uyên-Bình Dương /0918.549.582</t>
        </is>
      </c>
      <c r="D2544" s="397" t="inlineStr">
        <is>
          <t>0918.549.582</t>
        </is>
      </c>
      <c r="E2544" s="399" t="n"/>
      <c r="F2544" s="398" t="inlineStr">
        <is>
          <t>Tân Uyên - Bình Dương</t>
        </is>
      </c>
      <c r="G2544" s="397" t="inlineStr">
        <is>
          <t>BDUONG</t>
        </is>
      </c>
      <c r="H2544" s="399" t="n"/>
      <c r="J2544" s="392">
        <f>IFERROR(UPPER(TRIM(B2544))&amp;"|"&amp;UPPER(TRIM(C2544))&amp;"|"&amp;UPPER(TRIM(D2544)),"")</f>
        <v/>
      </c>
    </row>
    <row r="2545" ht="15.75" customHeight="1" s="217">
      <c r="A2545" s="400" t="n">
        <v>2543</v>
      </c>
      <c r="B2545" s="400" t="inlineStr">
        <is>
          <t>KH1198</t>
        </is>
      </c>
      <c r="C2545" s="401" t="inlineStr">
        <is>
          <t>Anh Hữu - Đồng Tháp/ 0947.407.572</t>
        </is>
      </c>
      <c r="D2545" s="400" t="inlineStr">
        <is>
          <t>0947.407.572</t>
        </is>
      </c>
      <c r="E2545" s="402" t="n"/>
      <c r="F2545" s="401" t="inlineStr">
        <is>
          <t>TP. Cao Lãnh - Đồng Tháp</t>
        </is>
      </c>
      <c r="G2545" s="400" t="inlineStr">
        <is>
          <t>DTHAP</t>
        </is>
      </c>
      <c r="H2545" s="402" t="n"/>
      <c r="J2545" s="392">
        <f>IFERROR(UPPER(TRIM(B2545))&amp;"|"&amp;UPPER(TRIM(C2545))&amp;"|"&amp;UPPER(TRIM(D2545)),"")</f>
        <v/>
      </c>
    </row>
    <row r="2546" ht="15.75" customHeight="1" s="217">
      <c r="A2546" s="397" t="n">
        <v>2544</v>
      </c>
      <c r="B2546" s="397" t="inlineStr">
        <is>
          <t>KH1199</t>
        </is>
      </c>
      <c r="C2546" s="398" t="inlineStr">
        <is>
          <t>Anh Kiệt - An Giang / 0913.699.146</t>
        </is>
      </c>
      <c r="D2546" s="397" t="inlineStr">
        <is>
          <t>0913.699.146</t>
        </is>
      </c>
      <c r="E2546" s="399" t="n"/>
      <c r="F2546" s="398" t="inlineStr">
        <is>
          <t>Long Xuyên, An Giang</t>
        </is>
      </c>
      <c r="G2546" s="397" t="inlineStr">
        <is>
          <t>ANGIANG</t>
        </is>
      </c>
      <c r="H2546" s="399" t="n"/>
      <c r="J2546" s="392">
        <f>IFERROR(UPPER(TRIM(B2546))&amp;"|"&amp;UPPER(TRIM(C2546))&amp;"|"&amp;UPPER(TRIM(D2546)),"")</f>
        <v/>
      </c>
    </row>
    <row r="2547" ht="15.75" customHeight="1" s="217">
      <c r="A2547" s="400" t="n">
        <v>2545</v>
      </c>
      <c r="B2547" s="400" t="inlineStr">
        <is>
          <t>KH1200</t>
        </is>
      </c>
      <c r="C2547" s="401" t="inlineStr">
        <is>
          <t>Anh Nguyễn - Cần Thơ/ 0913.974.182</t>
        </is>
      </c>
      <c r="D2547" s="400" t="inlineStr">
        <is>
          <t>0913.974.182</t>
        </is>
      </c>
      <c r="E2547" s="402" t="n"/>
      <c r="F2547" s="401" t="inlineStr">
        <is>
          <t>Cần Thơ</t>
        </is>
      </c>
      <c r="G2547" s="400" t="inlineStr">
        <is>
          <t>CTHO</t>
        </is>
      </c>
      <c r="H2547" s="402" t="n"/>
      <c r="J2547" s="392">
        <f>IFERROR(UPPER(TRIM(B2547))&amp;"|"&amp;UPPER(TRIM(C2547))&amp;"|"&amp;UPPER(TRIM(D2547)),"")</f>
        <v/>
      </c>
    </row>
    <row r="2548" ht="15.75" customHeight="1" s="217">
      <c r="A2548" s="397" t="n">
        <v>2546</v>
      </c>
      <c r="B2548" s="397" t="inlineStr">
        <is>
          <t>KH1195</t>
        </is>
      </c>
      <c r="C2548" s="398" t="inlineStr">
        <is>
          <t>Anh Khanh - Cty Phúc Kiến Khang - Q2/ 0938.768.039</t>
        </is>
      </c>
      <c r="D2548" s="397" t="inlineStr">
        <is>
          <t>0938.768.039</t>
        </is>
      </c>
      <c r="E2548" s="399" t="n"/>
      <c r="F2548" s="398" t="inlineStr">
        <is>
          <t>Quận 2 - TP.HCM</t>
        </is>
      </c>
      <c r="G2548" s="397" t="inlineStr">
        <is>
          <t>SG/HCM</t>
        </is>
      </c>
      <c r="H2548" s="399" t="n"/>
      <c r="J2548" s="392">
        <f>IFERROR(UPPER(TRIM(B2548))&amp;"|"&amp;UPPER(TRIM(C2548))&amp;"|"&amp;UPPER(TRIM(D2548)),"")</f>
        <v/>
      </c>
    </row>
    <row r="2549" ht="15.75" customHeight="1" s="217">
      <c r="A2549" s="400" t="n">
        <v>2547</v>
      </c>
      <c r="B2549" s="400" t="inlineStr">
        <is>
          <t>KH1194</t>
        </is>
      </c>
      <c r="C2549" s="401" t="inlineStr">
        <is>
          <t>Anh Hiếu - Tiền Giang/ 0949.446.564</t>
        </is>
      </c>
      <c r="D2549" s="400" t="inlineStr">
        <is>
          <t>0949.446.564</t>
        </is>
      </c>
      <c r="E2549" s="402" t="n"/>
      <c r="F2549" s="401" t="inlineStr">
        <is>
          <t>Chợ Gạo - Tiền Giang</t>
        </is>
      </c>
      <c r="G2549" s="400" t="inlineStr">
        <is>
          <t>TGIANG</t>
        </is>
      </c>
      <c r="H2549" s="402" t="n"/>
      <c r="J2549" s="392">
        <f>IFERROR(UPPER(TRIM(B2549))&amp;"|"&amp;UPPER(TRIM(C2549))&amp;"|"&amp;UPPER(TRIM(D2549)),"")</f>
        <v/>
      </c>
    </row>
    <row r="2550" ht="15.75" customHeight="1" s="217">
      <c r="A2550" s="397" t="n">
        <v>2548</v>
      </c>
      <c r="B2550" s="397" t="inlineStr">
        <is>
          <t>MN41</t>
        </is>
      </c>
      <c r="C2550" s="398" t="inlineStr">
        <is>
          <t>Thảo</t>
        </is>
      </c>
      <c r="D2550" s="399" t="n"/>
      <c r="E2550" s="399" t="n"/>
      <c r="F2550" s="398" t="inlineStr">
        <is>
          <t>CTCP Cơ Giới Miền Nam</t>
        </is>
      </c>
      <c r="G2550" s="399" t="n"/>
      <c r="H2550" s="399" t="n"/>
      <c r="J2550" s="392">
        <f>IFERROR(UPPER(TRIM(B2550))&amp;"|"&amp;UPPER(TRIM(C2550))&amp;"|"&amp;UPPER(TRIM(D2550)),"")</f>
        <v/>
      </c>
    </row>
    <row r="2551" ht="15.75" customHeight="1" s="217">
      <c r="A2551" s="400" t="n">
        <v>2549</v>
      </c>
      <c r="B2551" s="400" t="inlineStr">
        <is>
          <t>KH1191</t>
        </is>
      </c>
      <c r="C2551" s="401" t="inlineStr">
        <is>
          <t>Anh Tùng - Bình Phước /0967.684.599</t>
        </is>
      </c>
      <c r="D2551" s="400" t="inlineStr">
        <is>
          <t>0967.684.599</t>
        </is>
      </c>
      <c r="E2551" s="402" t="n"/>
      <c r="F2551" s="401" t="inlineStr">
        <is>
          <t>Phước Long - Bình Phước</t>
        </is>
      </c>
      <c r="G2551" s="400" t="inlineStr">
        <is>
          <t>BP</t>
        </is>
      </c>
      <c r="H2551" s="402" t="n"/>
      <c r="J2551" s="392">
        <f>IFERROR(UPPER(TRIM(B2551))&amp;"|"&amp;UPPER(TRIM(C2551))&amp;"|"&amp;UPPER(TRIM(D2551)),"")</f>
        <v/>
      </c>
    </row>
    <row r="2552" ht="15.75" customHeight="1" s="217">
      <c r="A2552" s="397" t="n">
        <v>2550</v>
      </c>
      <c r="B2552" s="397" t="inlineStr">
        <is>
          <t>KH1192</t>
        </is>
      </c>
      <c r="C2552" s="398" t="inlineStr">
        <is>
          <t>Lý Sên - Vĩnh Châu - Sóc Trăng / 0913.848.379</t>
        </is>
      </c>
      <c r="D2552" s="397" t="inlineStr">
        <is>
          <t>0913.848.379</t>
        </is>
      </c>
      <c r="E2552" s="399" t="n"/>
      <c r="F2552" s="398" t="inlineStr">
        <is>
          <t>Vĩnh Châu - Sóc Trăng</t>
        </is>
      </c>
      <c r="G2552" s="397" t="inlineStr">
        <is>
          <t>STRANG</t>
        </is>
      </c>
      <c r="H2552" s="399" t="n"/>
      <c r="J2552" s="392">
        <f>IFERROR(UPPER(TRIM(B2552))&amp;"|"&amp;UPPER(TRIM(C2552))&amp;"|"&amp;UPPER(TRIM(D2552)),"")</f>
        <v/>
      </c>
    </row>
    <row r="2553" ht="15.75" customHeight="1" s="217">
      <c r="A2553" s="400" t="n">
        <v>2551</v>
      </c>
      <c r="B2553" s="400" t="inlineStr">
        <is>
          <t>KH1193</t>
        </is>
      </c>
      <c r="C2553" s="401" t="inlineStr">
        <is>
          <t>Xưởng Anh Liêm- Đăklak / 0934.852.123</t>
        </is>
      </c>
      <c r="D2553" s="400" t="inlineStr">
        <is>
          <t>0934.852.123</t>
        </is>
      </c>
      <c r="E2553" s="402" t="n"/>
      <c r="F2553" s="401" t="inlineStr">
        <is>
          <t>50 Trần Quý Cáp - Buôn Ma Thuột</t>
        </is>
      </c>
      <c r="G2553" s="400" t="inlineStr">
        <is>
          <t>ÐL</t>
        </is>
      </c>
      <c r="H2553" s="402" t="n"/>
      <c r="J2553" s="392">
        <f>IFERROR(UPPER(TRIM(B2553))&amp;"|"&amp;UPPER(TRIM(C2553))&amp;"|"&amp;UPPER(TRIM(D2553)),"")</f>
        <v/>
      </c>
    </row>
    <row r="2554" ht="15.75" customHeight="1" s="217">
      <c r="A2554" s="397" t="n">
        <v>2552</v>
      </c>
      <c r="B2554" s="397" t="inlineStr">
        <is>
          <t>KH1190</t>
        </is>
      </c>
      <c r="C2554" s="398" t="inlineStr">
        <is>
          <t>Anh Hùng - An Sương/ 0988.330.320</t>
        </is>
      </c>
      <c r="D2554" s="397" t="inlineStr">
        <is>
          <t>0988.330.320</t>
        </is>
      </c>
      <c r="E2554" s="399" t="n"/>
      <c r="F2554" s="398" t="inlineStr">
        <is>
          <t>An Sương - Quận 12 - TP.HCM</t>
        </is>
      </c>
      <c r="G2554" s="397" t="inlineStr">
        <is>
          <t>SG/HCM</t>
        </is>
      </c>
      <c r="H2554" s="399" t="n"/>
      <c r="J2554" s="392">
        <f>IFERROR(UPPER(TRIM(B2554))&amp;"|"&amp;UPPER(TRIM(C2554))&amp;"|"&amp;UPPER(TRIM(D2554)),"")</f>
        <v/>
      </c>
    </row>
    <row r="2555" ht="15.75" customHeight="1" s="217">
      <c r="A2555" s="400" t="n">
        <v>2553</v>
      </c>
      <c r="B2555" s="400" t="inlineStr">
        <is>
          <t>KH1188</t>
        </is>
      </c>
      <c r="C2555" s="401" t="inlineStr">
        <is>
          <t>Anh Mười - Long An/ 09370700.499</t>
        </is>
      </c>
      <c r="D2555" s="400" t="inlineStr">
        <is>
          <t>09370700.499</t>
        </is>
      </c>
      <c r="E2555" s="402" t="n"/>
      <c r="F2555" s="401" t="inlineStr">
        <is>
          <t>Long An</t>
        </is>
      </c>
      <c r="G2555" s="400" t="inlineStr">
        <is>
          <t>LA</t>
        </is>
      </c>
      <c r="H2555" s="402" t="n"/>
      <c r="J2555" s="392">
        <f>IFERROR(UPPER(TRIM(B2555))&amp;"|"&amp;UPPER(TRIM(C2555))&amp;"|"&amp;UPPER(TRIM(D2555)),"")</f>
        <v/>
      </c>
    </row>
    <row r="2556" ht="15.75" customHeight="1" s="217">
      <c r="A2556" s="397" t="n">
        <v>2554</v>
      </c>
      <c r="B2556" s="397" t="inlineStr">
        <is>
          <t>KH1189</t>
        </is>
      </c>
      <c r="C2556" s="398" t="inlineStr">
        <is>
          <t>Cửa hàng Chú Xuân - Đắk Lăk / 0982.832.432</t>
        </is>
      </c>
      <c r="D2556" s="397" t="inlineStr">
        <is>
          <t>0982.832.432</t>
        </is>
      </c>
      <c r="E2556" s="399" t="n"/>
      <c r="F2556" s="398" t="inlineStr">
        <is>
          <t>Đắk Lắk</t>
        </is>
      </c>
      <c r="G2556" s="397" t="inlineStr">
        <is>
          <t>ÐL</t>
        </is>
      </c>
      <c r="H2556" s="399" t="n"/>
      <c r="J2556" s="392">
        <f>IFERROR(UPPER(TRIM(B2556))&amp;"|"&amp;UPPER(TRIM(C2556))&amp;"|"&amp;UPPER(TRIM(D2556)),"")</f>
        <v/>
      </c>
    </row>
    <row r="2557" ht="15.75" customHeight="1" s="217">
      <c r="A2557" s="400" t="n">
        <v>2555</v>
      </c>
      <c r="B2557" s="400" t="inlineStr">
        <is>
          <t>KH1187</t>
        </is>
      </c>
      <c r="C2557" s="401" t="inlineStr">
        <is>
          <t>LAY (Sok Meng Lay) - CPC/ 092.332.333 - 0883000700</t>
        </is>
      </c>
      <c r="D2557" s="400" t="inlineStr">
        <is>
          <t>0883000700 / 092.332.333</t>
        </is>
      </c>
      <c r="E2557" s="402" t="n"/>
      <c r="F2557" s="401" t="inlineStr">
        <is>
          <t>CPC</t>
        </is>
      </c>
      <c r="G2557" s="400" t="inlineStr">
        <is>
          <t>CPC</t>
        </is>
      </c>
      <c r="H2557" s="400" t="inlineStr">
        <is>
          <t>Email: Menglay8887@yahoo.com</t>
        </is>
      </c>
      <c r="J2557" s="392">
        <f>IFERROR(UPPER(TRIM(B2557))&amp;"|"&amp;UPPER(TRIM(C2557))&amp;"|"&amp;UPPER(TRIM(D2557)),"")</f>
        <v/>
      </c>
    </row>
    <row r="2558" ht="15.75" customHeight="1" s="217">
      <c r="A2558" s="397" t="n">
        <v>2556</v>
      </c>
      <c r="B2558" s="397" t="inlineStr">
        <is>
          <t>KH1185</t>
        </is>
      </c>
      <c r="C2558" s="398" t="inlineStr">
        <is>
          <t>BM Hùng Hải Cường - Quốc Lộ 1K / 0918.200.435</t>
        </is>
      </c>
      <c r="D2558" s="397" t="inlineStr">
        <is>
          <t>0918.200.435</t>
        </is>
      </c>
      <c r="E2558" s="399" t="n"/>
      <c r="F2558" s="398" t="inlineStr">
        <is>
          <t>Quốc Lộ 1K- Bình Dương</t>
        </is>
      </c>
      <c r="G2558" s="397" t="inlineStr">
        <is>
          <t>SG/HCM</t>
        </is>
      </c>
      <c r="H2558" s="399" t="n"/>
      <c r="J2558" s="392">
        <f>IFERROR(UPPER(TRIM(B2558))&amp;"|"&amp;UPPER(TRIM(C2558))&amp;"|"&amp;UPPER(TRIM(D2558)),"")</f>
        <v/>
      </c>
    </row>
    <row r="2559" ht="15.75" customHeight="1" s="217">
      <c r="A2559" s="400" t="n">
        <v>2557</v>
      </c>
      <c r="B2559" s="400" t="inlineStr">
        <is>
          <t>KH1186</t>
        </is>
      </c>
      <c r="C2559" s="401" t="inlineStr">
        <is>
          <t>VLXD Tám Hồng - Bạc Liêu / 0913.892.988</t>
        </is>
      </c>
      <c r="D2559" s="400" t="inlineStr">
        <is>
          <t>0913.892.988</t>
        </is>
      </c>
      <c r="E2559" s="402" t="n"/>
      <c r="F2559" s="401" t="inlineStr">
        <is>
          <t>Bạc Liêu</t>
        </is>
      </c>
      <c r="G2559" s="400" t="inlineStr">
        <is>
          <t>BLIEU</t>
        </is>
      </c>
      <c r="H2559" s="402" t="n"/>
      <c r="J2559" s="392">
        <f>IFERROR(UPPER(TRIM(B2559))&amp;"|"&amp;UPPER(TRIM(C2559))&amp;"|"&amp;UPPER(TRIM(D2559)),"")</f>
        <v/>
      </c>
    </row>
    <row r="2560" ht="15.75" customHeight="1" s="217">
      <c r="A2560" s="397" t="n">
        <v>2558</v>
      </c>
      <c r="B2560" s="397" t="inlineStr">
        <is>
          <t>KH1183</t>
        </is>
      </c>
      <c r="C2560" s="398" t="inlineStr">
        <is>
          <t>Anh Tùng - Di Linh/0918.236.157</t>
        </is>
      </c>
      <c r="D2560" s="397" t="inlineStr">
        <is>
          <t>0918.236.157</t>
        </is>
      </c>
      <c r="E2560" s="399" t="n"/>
      <c r="F2560" s="398" t="inlineStr">
        <is>
          <t>Di Linh - Lâm Đồng</t>
        </is>
      </c>
      <c r="G2560" s="397" t="inlineStr">
        <is>
          <t>LDONG</t>
        </is>
      </c>
      <c r="H2560" s="399" t="n"/>
      <c r="J2560" s="392">
        <f>IFERROR(UPPER(TRIM(B2560))&amp;"|"&amp;UPPER(TRIM(C2560))&amp;"|"&amp;UPPER(TRIM(D2560)),"")</f>
        <v/>
      </c>
    </row>
    <row r="2561" ht="15.75" customHeight="1" s="217">
      <c r="A2561" s="400" t="n">
        <v>2559</v>
      </c>
      <c r="B2561" s="400" t="inlineStr">
        <is>
          <t>KH1182</t>
        </is>
      </c>
      <c r="C2561" s="401" t="inlineStr">
        <is>
          <t>Anh Minh - Q8/ 0913.675.339</t>
        </is>
      </c>
      <c r="D2561" s="400" t="inlineStr">
        <is>
          <t>0913.675.339</t>
        </is>
      </c>
      <c r="E2561" s="402" t="n"/>
      <c r="F2561" s="401" t="inlineStr">
        <is>
          <t>Quận 8 - TP.HCM</t>
        </is>
      </c>
      <c r="G2561" s="400" t="inlineStr">
        <is>
          <t>SG/HCM</t>
        </is>
      </c>
      <c r="H2561" s="402" t="n"/>
      <c r="J2561" s="392">
        <f>IFERROR(UPPER(TRIM(B2561))&amp;"|"&amp;UPPER(TRIM(C2561))&amp;"|"&amp;UPPER(TRIM(D2561)),"")</f>
        <v/>
      </c>
    </row>
    <row r="2562" ht="15.75" customHeight="1" s="217">
      <c r="A2562" s="397" t="n">
        <v>2560</v>
      </c>
      <c r="B2562" s="397" t="inlineStr">
        <is>
          <t>KH1179</t>
        </is>
      </c>
      <c r="C2562" s="398" t="inlineStr">
        <is>
          <t>Anh Linh - Gò Mây/ 0903.828.080</t>
        </is>
      </c>
      <c r="D2562" s="397" t="inlineStr">
        <is>
          <t>0903.828.080</t>
        </is>
      </c>
      <c r="E2562" s="399" t="n"/>
      <c r="F2562" s="398" t="inlineStr">
        <is>
          <t>Ngã Tư Gò Mây - Sài Gòn</t>
        </is>
      </c>
      <c r="G2562" s="397" t="inlineStr">
        <is>
          <t>SG/HCM</t>
        </is>
      </c>
      <c r="H2562" s="399" t="n"/>
      <c r="J2562" s="392">
        <f>IFERROR(UPPER(TRIM(B2562))&amp;"|"&amp;UPPER(TRIM(C2562))&amp;"|"&amp;UPPER(TRIM(D2562)),"")</f>
        <v/>
      </c>
    </row>
    <row r="2563" ht="15.75" customHeight="1" s="217">
      <c r="A2563" s="400" t="n">
        <v>2561</v>
      </c>
      <c r="B2563" s="400" t="inlineStr">
        <is>
          <t>KH1180</t>
        </is>
      </c>
      <c r="C2563" s="401" t="inlineStr">
        <is>
          <t>Anh Hưng - Gia lai (D)/ 0905.529.161</t>
        </is>
      </c>
      <c r="D2563" s="400" t="inlineStr">
        <is>
          <t>0905.529.161</t>
        </is>
      </c>
      <c r="E2563" s="402" t="n"/>
      <c r="F2563" s="401" t="inlineStr">
        <is>
          <t>Gia Trung - Gia Lai</t>
        </is>
      </c>
      <c r="G2563" s="400" t="inlineStr">
        <is>
          <t>GLAI</t>
        </is>
      </c>
      <c r="H2563" s="402" t="n"/>
      <c r="J2563" s="392">
        <f>IFERROR(UPPER(TRIM(B2563))&amp;"|"&amp;UPPER(TRIM(C2563))&amp;"|"&amp;UPPER(TRIM(D2563)),"")</f>
        <v/>
      </c>
    </row>
    <row r="2564" ht="15.75" customHeight="1" s="217">
      <c r="A2564" s="397" t="n">
        <v>2562</v>
      </c>
      <c r="B2564" s="397" t="inlineStr">
        <is>
          <t>KH1181</t>
        </is>
      </c>
      <c r="C2564" s="398" t="inlineStr">
        <is>
          <t>Anh Dương - Đức Trọng / 0919.733.792</t>
        </is>
      </c>
      <c r="D2564" s="397" t="inlineStr">
        <is>
          <t>0919.733.792</t>
        </is>
      </c>
      <c r="E2564" s="399" t="n"/>
      <c r="F2564" s="398" t="inlineStr">
        <is>
          <t>Đức Trong- Lâm Đồng</t>
        </is>
      </c>
      <c r="G2564" s="397" t="inlineStr">
        <is>
          <t>LDONG</t>
        </is>
      </c>
      <c r="H2564" s="399" t="n"/>
      <c r="J2564" s="392">
        <f>IFERROR(UPPER(TRIM(B2564))&amp;"|"&amp;UPPER(TRIM(C2564))&amp;"|"&amp;UPPER(TRIM(D2564)),"")</f>
        <v/>
      </c>
    </row>
    <row r="2565" ht="15.75" customHeight="1" s="217">
      <c r="A2565" s="400" t="n">
        <v>2563</v>
      </c>
      <c r="B2565" s="400" t="inlineStr">
        <is>
          <t>KH1178</t>
        </is>
      </c>
      <c r="C2565" s="401" t="inlineStr">
        <is>
          <t>Anh Hùng - Q7/ 0934.468.508</t>
        </is>
      </c>
      <c r="D2565" s="400" t="inlineStr">
        <is>
          <t>0934.468.508</t>
        </is>
      </c>
      <c r="E2565" s="402" t="n"/>
      <c r="F2565" s="401" t="inlineStr">
        <is>
          <t>Q7 - TP.HCM</t>
        </is>
      </c>
      <c r="G2565" s="400" t="inlineStr">
        <is>
          <t>SG/HCM</t>
        </is>
      </c>
      <c r="H2565" s="402" t="n"/>
      <c r="J2565" s="392">
        <f>IFERROR(UPPER(TRIM(B2565))&amp;"|"&amp;UPPER(TRIM(C2565))&amp;"|"&amp;UPPER(TRIM(D2565)),"")</f>
        <v/>
      </c>
    </row>
    <row r="2566" ht="15.75" customHeight="1" s="217">
      <c r="A2566" s="397" t="n">
        <v>2564</v>
      </c>
      <c r="B2566" s="397" t="inlineStr">
        <is>
          <t>KH1177</t>
        </is>
      </c>
      <c r="C2566" s="398" t="inlineStr">
        <is>
          <t>Bãi Máy Anh Dũng - Suối Tiên/ 0977.339.228</t>
        </is>
      </c>
      <c r="D2566" s="397" t="inlineStr">
        <is>
          <t>0977.339.228</t>
        </is>
      </c>
      <c r="E2566" s="399" t="n"/>
      <c r="F2566" s="398" t="inlineStr">
        <is>
          <t>Đình Bình Thắng, Suối Tiên, TP.HCM</t>
        </is>
      </c>
      <c r="G2566" s="397" t="inlineStr">
        <is>
          <t>SG/HCM</t>
        </is>
      </c>
      <c r="H2566" s="399" t="n"/>
      <c r="J2566" s="392">
        <f>IFERROR(UPPER(TRIM(B2566))&amp;"|"&amp;UPPER(TRIM(C2566))&amp;"|"&amp;UPPER(TRIM(D2566)),"")</f>
        <v/>
      </c>
    </row>
    <row r="2567" ht="15.75" customHeight="1" s="217">
      <c r="A2567" s="400" t="n">
        <v>2565</v>
      </c>
      <c r="B2567" s="400" t="inlineStr">
        <is>
          <t>KH1174</t>
        </is>
      </c>
      <c r="C2567" s="401" t="inlineStr">
        <is>
          <t>Anh Tâm - Sài Gòn/ 0974.861.089</t>
        </is>
      </c>
      <c r="D2567" s="400" t="inlineStr">
        <is>
          <t>0974.861.089</t>
        </is>
      </c>
      <c r="E2567" s="402" t="n"/>
      <c r="F2567" s="401" t="inlineStr">
        <is>
          <t>Sài Gòn</t>
        </is>
      </c>
      <c r="G2567" s="400" t="inlineStr">
        <is>
          <t>SG/HCM</t>
        </is>
      </c>
      <c r="H2567" s="402" t="n"/>
      <c r="J2567" s="392">
        <f>IFERROR(UPPER(TRIM(B2567))&amp;"|"&amp;UPPER(TRIM(C2567))&amp;"|"&amp;UPPER(TRIM(D2567)),"")</f>
        <v/>
      </c>
    </row>
    <row r="2568" ht="15.75" customHeight="1" s="217">
      <c r="A2568" s="397" t="n">
        <v>2566</v>
      </c>
      <c r="B2568" s="397" t="inlineStr">
        <is>
          <t>KH1175</t>
        </is>
      </c>
      <c r="C2568" s="398" t="inlineStr">
        <is>
          <t>Công Ty CP ĐT XD Phúc Trạch / Anh Bảo - 0932.737.385</t>
        </is>
      </c>
      <c r="D2568" s="397" t="inlineStr">
        <is>
          <t>0932.737.385</t>
        </is>
      </c>
      <c r="E2568" s="399" t="n"/>
      <c r="F2568" s="398" t="inlineStr">
        <is>
          <t>TP.HCM</t>
        </is>
      </c>
      <c r="G2568" s="397" t="inlineStr">
        <is>
          <t>SG/HCM</t>
        </is>
      </c>
      <c r="H2568" s="399" t="n"/>
      <c r="J2568" s="392">
        <f>IFERROR(UPPER(TRIM(B2568))&amp;"|"&amp;UPPER(TRIM(C2568))&amp;"|"&amp;UPPER(TRIM(D2568)),"")</f>
        <v/>
      </c>
    </row>
    <row r="2569" ht="15.75" customHeight="1" s="217">
      <c r="A2569" s="400" t="n">
        <v>2567</v>
      </c>
      <c r="B2569" s="400" t="inlineStr">
        <is>
          <t>KH1176</t>
        </is>
      </c>
      <c r="C2569" s="401" t="inlineStr">
        <is>
          <t>Anh Dũng - Đắk Nông/ 0965.024.288</t>
        </is>
      </c>
      <c r="D2569" s="400" t="inlineStr">
        <is>
          <t>0965.024.288</t>
        </is>
      </c>
      <c r="E2569" s="402" t="n"/>
      <c r="F2569" s="401" t="inlineStr">
        <is>
          <t>Đắk Nông</t>
        </is>
      </c>
      <c r="G2569" s="400" t="inlineStr">
        <is>
          <t>DNONG</t>
        </is>
      </c>
      <c r="H2569" s="402" t="n"/>
      <c r="J2569" s="392">
        <f>IFERROR(UPPER(TRIM(B2569))&amp;"|"&amp;UPPER(TRIM(C2569))&amp;"|"&amp;UPPER(TRIM(D2569)),"")</f>
        <v/>
      </c>
    </row>
    <row r="2570" ht="15.75" customHeight="1" s="217">
      <c r="A2570" s="397" t="n">
        <v>2568</v>
      </c>
      <c r="B2570" s="397" t="inlineStr">
        <is>
          <t>KH1172</t>
        </is>
      </c>
      <c r="C2570" s="398" t="inlineStr">
        <is>
          <t>Công Ty TNHH XD- DV-TM Phước Tài - Cần Giờ / Anh Tùng / 0989.170.101</t>
        </is>
      </c>
      <c r="D2570" s="397" t="inlineStr">
        <is>
          <t>0989.170.101</t>
        </is>
      </c>
      <c r="E2570" s="399" t="n"/>
      <c r="F2570" s="398" t="inlineStr">
        <is>
          <t>Cần Giờ - TP.HCM</t>
        </is>
      </c>
      <c r="G2570" s="397" t="inlineStr">
        <is>
          <t>SG/HCM</t>
        </is>
      </c>
      <c r="H2570" s="399" t="n"/>
      <c r="J2570" s="392">
        <f>IFERROR(UPPER(TRIM(B2570))&amp;"|"&amp;UPPER(TRIM(C2570))&amp;"|"&amp;UPPER(TRIM(D2570)),"")</f>
        <v/>
      </c>
    </row>
    <row r="2571" ht="15.75" customHeight="1" s="217">
      <c r="A2571" s="400" t="n">
        <v>2569</v>
      </c>
      <c r="B2571" s="400" t="inlineStr">
        <is>
          <t>KH1173</t>
        </is>
      </c>
      <c r="C2571" s="401" t="inlineStr">
        <is>
          <t>Anh Huy - Công ty Đại Trường Huy- Bình Chánh / 0908.124.393</t>
        </is>
      </c>
      <c r="D2571" s="400" t="inlineStr">
        <is>
          <t>0908.124.393</t>
        </is>
      </c>
      <c r="E2571" s="402" t="n"/>
      <c r="F2571" s="401" t="inlineStr">
        <is>
          <t>Bình Chánh - Sài Gòn</t>
        </is>
      </c>
      <c r="G2571" s="400" t="inlineStr">
        <is>
          <t>SG/HCM</t>
        </is>
      </c>
      <c r="H2571" s="402" t="n"/>
      <c r="J2571" s="392">
        <f>IFERROR(UPPER(TRIM(B2571))&amp;"|"&amp;UPPER(TRIM(C2571))&amp;"|"&amp;UPPER(TRIM(D2571)),"")</f>
        <v/>
      </c>
    </row>
    <row r="2572" ht="15.75" customHeight="1" s="217">
      <c r="A2572" s="397" t="n">
        <v>2570</v>
      </c>
      <c r="B2572" s="397" t="inlineStr">
        <is>
          <t>KH1170</t>
        </is>
      </c>
      <c r="C2572" s="398" t="inlineStr">
        <is>
          <t>Cửa Hàng Thịnh Phát - Kiên Lương/ 0916.282.611</t>
        </is>
      </c>
      <c r="D2572" s="397" t="inlineStr">
        <is>
          <t>0916.282.611</t>
        </is>
      </c>
      <c r="E2572" s="399" t="n"/>
      <c r="F2572" s="398" t="inlineStr">
        <is>
          <t>Kiên Lương - Kiên Giang</t>
        </is>
      </c>
      <c r="G2572" s="397" t="inlineStr">
        <is>
          <t>KG</t>
        </is>
      </c>
      <c r="H2572" s="399" t="n"/>
      <c r="J2572" s="392">
        <f>IFERROR(UPPER(TRIM(B2572))&amp;"|"&amp;UPPER(TRIM(C2572))&amp;"|"&amp;UPPER(TRIM(D2572)),"")</f>
        <v/>
      </c>
    </row>
    <row r="2573" ht="15.75" customHeight="1" s="217">
      <c r="A2573" s="400" t="n">
        <v>2571</v>
      </c>
      <c r="B2573" s="400" t="inlineStr">
        <is>
          <t>KH1171</t>
        </is>
      </c>
      <c r="C2573" s="401" t="inlineStr">
        <is>
          <t>Anh Phương - Vĩnh Long / 0961.250.971</t>
        </is>
      </c>
      <c r="D2573" s="400" t="inlineStr">
        <is>
          <t>0961.250.971</t>
        </is>
      </c>
      <c r="E2573" s="402" t="n"/>
      <c r="F2573" s="401" t="inlineStr">
        <is>
          <t>Vĩnh Long</t>
        </is>
      </c>
      <c r="G2573" s="400" t="inlineStr">
        <is>
          <t>VĨNH LONG</t>
        </is>
      </c>
      <c r="H2573" s="402" t="n"/>
      <c r="J2573" s="392">
        <f>IFERROR(UPPER(TRIM(B2573))&amp;"|"&amp;UPPER(TRIM(C2573))&amp;"|"&amp;UPPER(TRIM(D2573)),"")</f>
        <v/>
      </c>
    </row>
    <row r="2574" ht="15.75" customHeight="1" s="217">
      <c r="A2574" s="397" t="n">
        <v>2572</v>
      </c>
      <c r="B2574" s="397" t="inlineStr">
        <is>
          <t>KH1169</t>
        </is>
      </c>
      <c r="C2574" s="398" t="inlineStr">
        <is>
          <t>Anh út Lớn - Long An/ 0916.892.449</t>
        </is>
      </c>
      <c r="D2574" s="397" t="inlineStr">
        <is>
          <t>0916.892.449</t>
        </is>
      </c>
      <c r="E2574" s="399" t="n"/>
      <c r="F2574" s="398" t="inlineStr">
        <is>
          <t>Bến Lức, Long AN</t>
        </is>
      </c>
      <c r="G2574" s="397" t="inlineStr">
        <is>
          <t>LA</t>
        </is>
      </c>
      <c r="H2574" s="399" t="n"/>
      <c r="J2574" s="392">
        <f>IFERROR(UPPER(TRIM(B2574))&amp;"|"&amp;UPPER(TRIM(C2574))&amp;"|"&amp;UPPER(TRIM(D2574)),"")</f>
        <v/>
      </c>
    </row>
    <row r="2575" ht="15.75" customHeight="1" s="217">
      <c r="A2575" s="400" t="n">
        <v>2573</v>
      </c>
      <c r="B2575" s="400" t="inlineStr">
        <is>
          <t>KH1168</t>
        </is>
      </c>
      <c r="C2575" s="401" t="inlineStr">
        <is>
          <t>Anh Như - Đồng Tháp/0937.444.156</t>
        </is>
      </c>
      <c r="D2575" s="400" t="inlineStr">
        <is>
          <t>0937.444.156</t>
        </is>
      </c>
      <c r="E2575" s="402" t="n"/>
      <c r="F2575" s="401" t="inlineStr">
        <is>
          <t>Đồng Tháp</t>
        </is>
      </c>
      <c r="G2575" s="400" t="inlineStr">
        <is>
          <t>DTHAP</t>
        </is>
      </c>
      <c r="H2575" s="402" t="n"/>
      <c r="J2575" s="392">
        <f>IFERROR(UPPER(TRIM(B2575))&amp;"|"&amp;UPPER(TRIM(C2575))&amp;"|"&amp;UPPER(TRIM(D2575)),"")</f>
        <v/>
      </c>
    </row>
    <row r="2576" ht="15.75" customHeight="1" s="217">
      <c r="A2576" s="397" t="n">
        <v>2574</v>
      </c>
      <c r="B2576" s="397" t="inlineStr">
        <is>
          <t>KH1165</t>
        </is>
      </c>
      <c r="C2576" s="398" t="inlineStr">
        <is>
          <t>(không sử dụng mã này)Bãi Máy Cường Cơ Giới - SG / 0967.601.657 (k dùng mã này)</t>
        </is>
      </c>
      <c r="D2576" s="397" t="inlineStr">
        <is>
          <t>0967.601.657</t>
        </is>
      </c>
      <c r="E2576" s="399" t="n"/>
      <c r="F2576" s="398" t="inlineStr">
        <is>
          <t>Gần cây xăng Bình An - Suối Tiên</t>
        </is>
      </c>
      <c r="G2576" s="397" t="inlineStr">
        <is>
          <t>SG/HCM</t>
        </is>
      </c>
      <c r="H2576" s="399" t="n"/>
      <c r="J2576" s="392">
        <f>IFERROR(UPPER(TRIM(B2576))&amp;"|"&amp;UPPER(TRIM(C2576))&amp;"|"&amp;UPPER(TRIM(D2576)),"")</f>
        <v/>
      </c>
    </row>
    <row r="2577" ht="15.75" customHeight="1" s="217">
      <c r="A2577" s="400" t="n">
        <v>2575</v>
      </c>
      <c r="B2577" s="400" t="inlineStr">
        <is>
          <t>KH1166</t>
        </is>
      </c>
      <c r="C2577" s="401" t="inlineStr">
        <is>
          <t>Công Ty Hải Sơn - Đức Hoà - Long An / 0937.928.924</t>
        </is>
      </c>
      <c r="D2577" s="400" t="inlineStr">
        <is>
          <t>0937.928.924</t>
        </is>
      </c>
      <c r="E2577" s="402" t="n"/>
      <c r="F2577" s="401" t="inlineStr">
        <is>
          <t>ấp Bình Tiền 2 - xã Đức Hoà Hạ - Huyện Đức Hoà - Long An</t>
        </is>
      </c>
      <c r="G2577" s="400" t="inlineStr">
        <is>
          <t>LA</t>
        </is>
      </c>
      <c r="H2577" s="402" t="n"/>
      <c r="J2577" s="392">
        <f>IFERROR(UPPER(TRIM(B2577))&amp;"|"&amp;UPPER(TRIM(C2577))&amp;"|"&amp;UPPER(TRIM(D2577)),"")</f>
        <v/>
      </c>
    </row>
    <row r="2578" ht="15.75" customHeight="1" s="217">
      <c r="A2578" s="397" t="n">
        <v>2576</v>
      </c>
      <c r="B2578" s="397" t="inlineStr">
        <is>
          <t>KH1167</t>
        </is>
      </c>
      <c r="C2578" s="398" t="inlineStr">
        <is>
          <t>Anh Tín - Sài Gòn / 0908.865.353</t>
        </is>
      </c>
      <c r="D2578" s="397" t="inlineStr">
        <is>
          <t>0908.865.353</t>
        </is>
      </c>
      <c r="E2578" s="399" t="n"/>
      <c r="F2578" s="398" t="inlineStr">
        <is>
          <t>Quận 2 - Sài Gòn</t>
        </is>
      </c>
      <c r="G2578" s="397" t="inlineStr">
        <is>
          <t>SG/HCM</t>
        </is>
      </c>
      <c r="H2578" s="399" t="n"/>
      <c r="J2578" s="392">
        <f>IFERROR(UPPER(TRIM(B2578))&amp;"|"&amp;UPPER(TRIM(C2578))&amp;"|"&amp;UPPER(TRIM(D2578)),"")</f>
        <v/>
      </c>
    </row>
    <row r="2579" ht="15.75" customHeight="1" s="217">
      <c r="A2579" s="400" t="n">
        <v>2577</v>
      </c>
      <c r="B2579" s="400" t="inlineStr">
        <is>
          <t>KH1163</t>
        </is>
      </c>
      <c r="C2579" s="401" t="inlineStr">
        <is>
          <t>Anh Phúc - Cần Giuộc - Long An / 0964.848.768</t>
        </is>
      </c>
      <c r="D2579" s="400" t="inlineStr">
        <is>
          <t>0964.848.768</t>
        </is>
      </c>
      <c r="E2579" s="402" t="n"/>
      <c r="F2579" s="401" t="inlineStr">
        <is>
          <t>Cần Giuộc - Long an</t>
        </is>
      </c>
      <c r="G2579" s="400" t="inlineStr">
        <is>
          <t>LA</t>
        </is>
      </c>
      <c r="H2579" s="402" t="n"/>
      <c r="J2579" s="392">
        <f>IFERROR(UPPER(TRIM(B2579))&amp;"|"&amp;UPPER(TRIM(C2579))&amp;"|"&amp;UPPER(TRIM(D2579)),"")</f>
        <v/>
      </c>
    </row>
    <row r="2580" ht="15.75" customHeight="1" s="217">
      <c r="A2580" s="397" t="n">
        <v>2578</v>
      </c>
      <c r="B2580" s="397" t="inlineStr">
        <is>
          <t>KH1164</t>
        </is>
      </c>
      <c r="C2580" s="398" t="inlineStr">
        <is>
          <t>Công Ty CP XD CTGT6 - Bình Thạnh/ 0835.101.860</t>
        </is>
      </c>
      <c r="D2580" s="397" t="inlineStr">
        <is>
          <t>0835.101.860</t>
        </is>
      </c>
      <c r="E2580" s="399" t="n"/>
      <c r="F2580" s="398" t="inlineStr">
        <is>
          <t>127 Đinh Tiên Hoàng, P.3, Q.Bình Thạnh , TP.HCM</t>
        </is>
      </c>
      <c r="G2580" s="397" t="inlineStr">
        <is>
          <t>SG/HCM</t>
        </is>
      </c>
      <c r="H2580" s="399" t="n"/>
      <c r="J2580" s="392">
        <f>IFERROR(UPPER(TRIM(B2580))&amp;"|"&amp;UPPER(TRIM(C2580))&amp;"|"&amp;UPPER(TRIM(D2580)),"")</f>
        <v/>
      </c>
    </row>
    <row r="2581" ht="15.75" customHeight="1" s="217">
      <c r="A2581" s="400" t="n">
        <v>2579</v>
      </c>
      <c r="B2581" s="400" t="inlineStr">
        <is>
          <t>KH1160</t>
        </is>
      </c>
      <c r="C2581" s="401" t="inlineStr">
        <is>
          <t>CH Phát Thịnh / Anh Tuấn - Tam Quan - Bình Định / 0935.715.699</t>
        </is>
      </c>
      <c r="D2581" s="400" t="inlineStr">
        <is>
          <t>0935.715.699</t>
        </is>
      </c>
      <c r="E2581" s="402" t="n"/>
      <c r="F2581" s="401" t="inlineStr">
        <is>
          <t>Tam Quan - Bình Định</t>
        </is>
      </c>
      <c r="G2581" s="400" t="inlineStr">
        <is>
          <t>BDINH</t>
        </is>
      </c>
      <c r="H2581" s="402" t="n"/>
      <c r="J2581" s="392">
        <f>IFERROR(UPPER(TRIM(B2581))&amp;"|"&amp;UPPER(TRIM(C2581))&amp;"|"&amp;UPPER(TRIM(D2581)),"")</f>
        <v/>
      </c>
    </row>
    <row r="2582" ht="15.75" customHeight="1" s="217">
      <c r="A2582" s="397" t="n">
        <v>2580</v>
      </c>
      <c r="B2582" s="397" t="inlineStr">
        <is>
          <t>KH1161</t>
        </is>
      </c>
      <c r="C2582" s="398" t="inlineStr">
        <is>
          <t>Anh Tình - Ngã Tư Bình Phước/ 0919.548.480</t>
        </is>
      </c>
      <c r="D2582" s="397" t="inlineStr">
        <is>
          <t>0919.548.480</t>
        </is>
      </c>
      <c r="E2582" s="399" t="n"/>
      <c r="F2582" s="398" t="inlineStr">
        <is>
          <t>Ngã Tư Bình Phước - Thủ Đức</t>
        </is>
      </c>
      <c r="G2582" s="397" t="inlineStr">
        <is>
          <t>SG/HCM</t>
        </is>
      </c>
      <c r="H2582" s="399" t="n"/>
      <c r="J2582" s="392">
        <f>IFERROR(UPPER(TRIM(B2582))&amp;"|"&amp;UPPER(TRIM(C2582))&amp;"|"&amp;UPPER(TRIM(D2582)),"")</f>
        <v/>
      </c>
    </row>
    <row r="2583" ht="15.75" customHeight="1" s="217">
      <c r="A2583" s="400" t="n">
        <v>2581</v>
      </c>
      <c r="B2583" s="400" t="inlineStr">
        <is>
          <t>KH1162</t>
        </is>
      </c>
      <c r="C2583" s="401" t="inlineStr">
        <is>
          <t>Anh Diệu - Sài Gòn/ 0938.800.744</t>
        </is>
      </c>
      <c r="D2583" s="400" t="inlineStr">
        <is>
          <t>0938.800.744</t>
        </is>
      </c>
      <c r="E2583" s="402" t="n"/>
      <c r="F2583" s="401" t="inlineStr">
        <is>
          <t>Sài Gòn</t>
        </is>
      </c>
      <c r="G2583" s="400" t="inlineStr">
        <is>
          <t>SG/HCM</t>
        </is>
      </c>
      <c r="H2583" s="402" t="n"/>
      <c r="J2583" s="392">
        <f>IFERROR(UPPER(TRIM(B2583))&amp;"|"&amp;UPPER(TRIM(C2583))&amp;"|"&amp;UPPER(TRIM(D2583)),"")</f>
        <v/>
      </c>
    </row>
    <row r="2584" ht="15.75" customHeight="1" s="217">
      <c r="A2584" s="397" t="n">
        <v>2582</v>
      </c>
      <c r="B2584" s="397" t="inlineStr">
        <is>
          <t>KH1159</t>
        </is>
      </c>
      <c r="C2584" s="398" t="inlineStr">
        <is>
          <t>Anh Trắng - Đồng Nai/ 0903.995.759</t>
        </is>
      </c>
      <c r="D2584" s="397" t="inlineStr">
        <is>
          <t>0903.995.759</t>
        </is>
      </c>
      <c r="E2584" s="399" t="n"/>
      <c r="F2584" s="398" t="inlineStr">
        <is>
          <t>Đồng Nai ( cách ngã ba vũng tàu 6km)</t>
        </is>
      </c>
      <c r="G2584" s="397" t="inlineStr">
        <is>
          <t>ÐNAI</t>
        </is>
      </c>
      <c r="H2584" s="399" t="n"/>
      <c r="J2584" s="392">
        <f>IFERROR(UPPER(TRIM(B2584))&amp;"|"&amp;UPPER(TRIM(C2584))&amp;"|"&amp;UPPER(TRIM(D2584)),"")</f>
        <v/>
      </c>
    </row>
    <row r="2585" ht="15.75" customHeight="1" s="217">
      <c r="A2585" s="400" t="n">
        <v>2583</v>
      </c>
      <c r="B2585" s="400" t="inlineStr">
        <is>
          <t>KH1158</t>
        </is>
      </c>
      <c r="C2585" s="401" t="inlineStr">
        <is>
          <t>Anh Dũng - Sài Gòn/ 0933.719.890</t>
        </is>
      </c>
      <c r="D2585" s="400" t="inlineStr">
        <is>
          <t>0933.719.890</t>
        </is>
      </c>
      <c r="E2585" s="402" t="n"/>
      <c r="F2585" s="401" t="inlineStr">
        <is>
          <t>Sài Gòn</t>
        </is>
      </c>
      <c r="G2585" s="400" t="inlineStr">
        <is>
          <t>SG/HCM</t>
        </is>
      </c>
      <c r="H2585" s="402" t="n"/>
      <c r="J2585" s="392">
        <f>IFERROR(UPPER(TRIM(B2585))&amp;"|"&amp;UPPER(TRIM(C2585))&amp;"|"&amp;UPPER(TRIM(D2585)),"")</f>
        <v/>
      </c>
    </row>
    <row r="2586" ht="15.75" customHeight="1" s="217">
      <c r="A2586" s="397" t="n">
        <v>2584</v>
      </c>
      <c r="B2586" s="397" t="inlineStr">
        <is>
          <t>KH1156</t>
        </is>
      </c>
      <c r="C2586" s="398" t="inlineStr">
        <is>
          <t>Công Ty Cổ Phần Gạch Ngói Đồng Nai - TP.HCM/ Chú Sơn - 0913.758.875</t>
        </is>
      </c>
      <c r="D2586" s="397" t="inlineStr">
        <is>
          <t>0913.758.875</t>
        </is>
      </c>
      <c r="E2586" s="399" t="n"/>
      <c r="F2586" s="398" t="inlineStr">
        <is>
          <t>119 Điện Biên Phủ, Phường Đakao, Quận 1 - TP.HCM</t>
        </is>
      </c>
      <c r="G2586" s="397" t="inlineStr">
        <is>
          <t>SG/HCM</t>
        </is>
      </c>
      <c r="H2586" s="399" t="n"/>
      <c r="J2586" s="392">
        <f>IFERROR(UPPER(TRIM(B2586))&amp;"|"&amp;UPPER(TRIM(C2586))&amp;"|"&amp;UPPER(TRIM(D2586)),"")</f>
        <v/>
      </c>
    </row>
    <row r="2587" ht="15.75" customHeight="1" s="217">
      <c r="A2587" s="400" t="n">
        <v>2585</v>
      </c>
      <c r="B2587" s="400" t="inlineStr">
        <is>
          <t>KH1157</t>
        </is>
      </c>
      <c r="C2587" s="401" t="inlineStr">
        <is>
          <t>Kho Hàng Đỗ Thành Đạt - Suối Tiên / Anh Siếu - 0982.110.427</t>
        </is>
      </c>
      <c r="D2587" s="400" t="inlineStr">
        <is>
          <t>0982.110.427</t>
        </is>
      </c>
      <c r="E2587" s="402" t="n"/>
      <c r="F2587" s="401" t="inlineStr">
        <is>
          <t>Suối Tiên - Gần Nghĩa Trang Liệt sĩ</t>
        </is>
      </c>
      <c r="G2587" s="400" t="inlineStr">
        <is>
          <t>SG/HCM</t>
        </is>
      </c>
      <c r="H2587" s="402" t="n"/>
      <c r="J2587" s="392">
        <f>IFERROR(UPPER(TRIM(B2587))&amp;"|"&amp;UPPER(TRIM(C2587))&amp;"|"&amp;UPPER(TRIM(D2587)),"")</f>
        <v/>
      </c>
    </row>
    <row r="2588" ht="15.75" customHeight="1" s="217">
      <c r="A2588" s="397" t="n">
        <v>2586</v>
      </c>
      <c r="B2588" s="397" t="inlineStr">
        <is>
          <t>KH1155</t>
        </is>
      </c>
      <c r="C2588" s="398" t="inlineStr">
        <is>
          <t>Công Ty Cổ Phần LICOGI 12 - Hà Nội/ Anh Tuấn - 0913.282.821</t>
        </is>
      </c>
      <c r="D2588" s="397" t="inlineStr">
        <is>
          <t>0913.282.821</t>
        </is>
      </c>
      <c r="E2588" s="399" t="n"/>
      <c r="F2588" s="398" t="inlineStr">
        <is>
          <t>Hoàng Mai - TP.Hà Nội</t>
        </is>
      </c>
      <c r="G2588" s="399" t="n"/>
      <c r="H2588" s="399" t="n"/>
      <c r="J2588" s="392">
        <f>IFERROR(UPPER(TRIM(B2588))&amp;"|"&amp;UPPER(TRIM(C2588))&amp;"|"&amp;UPPER(TRIM(D2588)),"")</f>
        <v/>
      </c>
    </row>
    <row r="2589" ht="15.75" customHeight="1" s="217">
      <c r="A2589" s="400" t="n">
        <v>2587</v>
      </c>
      <c r="B2589" s="400" t="inlineStr">
        <is>
          <t>KH1154</t>
        </is>
      </c>
      <c r="C2589" s="401" t="inlineStr">
        <is>
          <t>Anh Châu - Đức Trọng/ 0989.787.427</t>
        </is>
      </c>
      <c r="D2589" s="400" t="inlineStr">
        <is>
          <t>0989.787.427</t>
        </is>
      </c>
      <c r="E2589" s="402" t="n"/>
      <c r="F2589" s="401" t="inlineStr">
        <is>
          <t>Đức Trọng - Lâm Đồng</t>
        </is>
      </c>
      <c r="G2589" s="400" t="inlineStr">
        <is>
          <t>LDONG</t>
        </is>
      </c>
      <c r="H2589" s="402" t="n"/>
      <c r="J2589" s="392">
        <f>IFERROR(UPPER(TRIM(B2589))&amp;"|"&amp;UPPER(TRIM(C2589))&amp;"|"&amp;UPPER(TRIM(D2589)),"")</f>
        <v/>
      </c>
    </row>
    <row r="2590" ht="15.75" customHeight="1" s="217">
      <c r="A2590" s="397" t="n">
        <v>2588</v>
      </c>
      <c r="B2590" s="397" t="inlineStr">
        <is>
          <t>OTO</t>
        </is>
      </c>
      <c r="C2590" s="398" t="inlineStr">
        <is>
          <t>Công Ty Cổ Phần Ô Tô Trường Hải - CN Thủ Đức</t>
        </is>
      </c>
      <c r="D2590" s="399" t="n"/>
      <c r="E2590" s="399" t="n"/>
      <c r="F2590" s="398" t="inlineStr">
        <is>
          <t>Số 570 Quốc lộ 13, P.Hiệp Bình Phước, Q.Thủ Đức, TP.HCM</t>
        </is>
      </c>
      <c r="G2590" s="399" t="n"/>
      <c r="H2590" s="399" t="n"/>
      <c r="J2590" s="392">
        <f>IFERROR(UPPER(TRIM(B2590))&amp;"|"&amp;UPPER(TRIM(C2590))&amp;"|"&amp;UPPER(TRIM(D2590)),"")</f>
        <v/>
      </c>
    </row>
    <row r="2591" ht="15.75" customHeight="1" s="217">
      <c r="A2591" s="400" t="n">
        <v>2589</v>
      </c>
      <c r="B2591" s="400" t="inlineStr">
        <is>
          <t>KH1153</t>
        </is>
      </c>
      <c r="C2591" s="401" t="inlineStr">
        <is>
          <t>Anh Tiên - Bến Tre / 0972.604.145</t>
        </is>
      </c>
      <c r="D2591" s="400" t="inlineStr">
        <is>
          <t>0972.604.145</t>
        </is>
      </c>
      <c r="E2591" s="402" t="n"/>
      <c r="F2591" s="401" t="inlineStr">
        <is>
          <t>Bến Tre</t>
        </is>
      </c>
      <c r="G2591" s="400" t="inlineStr">
        <is>
          <t>BTRE</t>
        </is>
      </c>
      <c r="H2591" s="402" t="n"/>
      <c r="J2591" s="392">
        <f>IFERROR(UPPER(TRIM(B2591))&amp;"|"&amp;UPPER(TRIM(C2591))&amp;"|"&amp;UPPER(TRIM(D2591)),"")</f>
        <v/>
      </c>
    </row>
    <row r="2592" ht="15.75" customHeight="1" s="217">
      <c r="A2592" s="397" t="n">
        <v>2590</v>
      </c>
      <c r="B2592" s="397" t="inlineStr">
        <is>
          <t>KH1152</t>
        </is>
      </c>
      <c r="C2592" s="398" t="inlineStr">
        <is>
          <t>Anh Hiếu - Q8/0913.377.812</t>
        </is>
      </c>
      <c r="D2592" s="397" t="inlineStr">
        <is>
          <t>0913.377.812</t>
        </is>
      </c>
      <c r="E2592" s="399" t="n"/>
      <c r="F2592" s="398" t="inlineStr">
        <is>
          <t>Quận 8 - Sài Gòn</t>
        </is>
      </c>
      <c r="G2592" s="397" t="inlineStr">
        <is>
          <t>SG/HCM</t>
        </is>
      </c>
      <c r="H2592" s="399" t="n"/>
      <c r="J2592" s="392">
        <f>IFERROR(UPPER(TRIM(B2592))&amp;"|"&amp;UPPER(TRIM(C2592))&amp;"|"&amp;UPPER(TRIM(D2592)),"")</f>
        <v/>
      </c>
    </row>
    <row r="2593" ht="15.75" customHeight="1" s="217">
      <c r="A2593" s="400" t="n">
        <v>2591</v>
      </c>
      <c r="B2593" s="400" t="inlineStr">
        <is>
          <t>MN40</t>
        </is>
      </c>
      <c r="C2593" s="401" t="inlineStr">
        <is>
          <t>Phi</t>
        </is>
      </c>
      <c r="D2593" s="402" t="n"/>
      <c r="E2593" s="402" t="n"/>
      <c r="F2593" s="401" t="inlineStr">
        <is>
          <t>CTCP Cơ Giới Miền Nam</t>
        </is>
      </c>
      <c r="G2593" s="402" t="n"/>
      <c r="H2593" s="402" t="n"/>
      <c r="J2593" s="392">
        <f>IFERROR(UPPER(TRIM(B2593))&amp;"|"&amp;UPPER(TRIM(C2593))&amp;"|"&amp;UPPER(TRIM(D2593)),"")</f>
        <v/>
      </c>
    </row>
    <row r="2594" ht="15.75" customHeight="1" s="217">
      <c r="A2594" s="397" t="n">
        <v>2592</v>
      </c>
      <c r="B2594" s="397" t="inlineStr">
        <is>
          <t>KH1151</t>
        </is>
      </c>
      <c r="C2594" s="398" t="inlineStr">
        <is>
          <t>Anh Hải - Đaklak / 0976.796.631</t>
        </is>
      </c>
      <c r="D2594" s="397" t="inlineStr">
        <is>
          <t>0976.796.631</t>
        </is>
      </c>
      <c r="E2594" s="399" t="n"/>
      <c r="F2594" s="398" t="inlineStr">
        <is>
          <t>Đaklak</t>
        </is>
      </c>
      <c r="G2594" s="397" t="inlineStr">
        <is>
          <t>ÐL</t>
        </is>
      </c>
      <c r="H2594" s="399" t="n"/>
      <c r="J2594" s="392">
        <f>IFERROR(UPPER(TRIM(B2594))&amp;"|"&amp;UPPER(TRIM(C2594))&amp;"|"&amp;UPPER(TRIM(D2594)),"")</f>
        <v/>
      </c>
    </row>
    <row r="2595" ht="15.75" customHeight="1" s="217">
      <c r="A2595" s="400" t="n">
        <v>2593</v>
      </c>
      <c r="B2595" s="400" t="inlineStr">
        <is>
          <t>KH1144</t>
        </is>
      </c>
      <c r="C2595" s="401" t="inlineStr">
        <is>
          <t>Cửa Hàng Gia Lân - Gia Lai / 0947.004.008</t>
        </is>
      </c>
      <c r="D2595" s="400" t="inlineStr">
        <is>
          <t>0947.004.008</t>
        </is>
      </c>
      <c r="E2595" s="402" t="n"/>
      <c r="F2595" s="401" t="inlineStr">
        <is>
          <t>46 Trần Phú, TP Pleiku, Gia Lai</t>
        </is>
      </c>
      <c r="G2595" s="400" t="inlineStr">
        <is>
          <t>GLAI</t>
        </is>
      </c>
      <c r="H2595" s="402" t="n"/>
      <c r="J2595" s="392">
        <f>IFERROR(UPPER(TRIM(B2595))&amp;"|"&amp;UPPER(TRIM(C2595))&amp;"|"&amp;UPPER(TRIM(D2595)),"")</f>
        <v/>
      </c>
    </row>
    <row r="2596" ht="15.75" customHeight="1" s="217">
      <c r="A2596" s="397" t="n">
        <v>2594</v>
      </c>
      <c r="B2596" s="397" t="inlineStr">
        <is>
          <t>KH1145</t>
        </is>
      </c>
      <c r="C2596" s="398" t="inlineStr">
        <is>
          <t>Chú Nhã - Bình Dương/ 01296.666.979</t>
        </is>
      </c>
      <c r="D2596" s="397" t="inlineStr">
        <is>
          <t>01296.666.979</t>
        </is>
      </c>
      <c r="E2596" s="399" t="n"/>
      <c r="F2596" s="398" t="inlineStr">
        <is>
          <t>Bình Dương</t>
        </is>
      </c>
      <c r="G2596" s="397" t="inlineStr">
        <is>
          <t>BDUONG</t>
        </is>
      </c>
      <c r="H2596" s="399" t="n"/>
      <c r="J2596" s="392">
        <f>IFERROR(UPPER(TRIM(B2596))&amp;"|"&amp;UPPER(TRIM(C2596))&amp;"|"&amp;UPPER(TRIM(D2596)),"")</f>
        <v/>
      </c>
    </row>
    <row r="2597" ht="15.75" customHeight="1" s="217">
      <c r="A2597" s="400" t="n">
        <v>2595</v>
      </c>
      <c r="B2597" s="400" t="inlineStr">
        <is>
          <t>KH1146</t>
        </is>
      </c>
      <c r="C2597" s="401" t="inlineStr">
        <is>
          <t>Anh Phát - Q2/ 0913.611.839</t>
        </is>
      </c>
      <c r="D2597" s="400" t="inlineStr">
        <is>
          <t>0913.611.839</t>
        </is>
      </c>
      <c r="E2597" s="402" t="n"/>
      <c r="F2597" s="401" t="inlineStr">
        <is>
          <t>Quận 2 - TP.HCM</t>
        </is>
      </c>
      <c r="G2597" s="400" t="inlineStr">
        <is>
          <t>SG/HCM</t>
        </is>
      </c>
      <c r="H2597" s="402" t="n"/>
      <c r="J2597" s="392">
        <f>IFERROR(UPPER(TRIM(B2597))&amp;"|"&amp;UPPER(TRIM(C2597))&amp;"|"&amp;UPPER(TRIM(D2597)),"")</f>
        <v/>
      </c>
    </row>
    <row r="2598" ht="15.75" customHeight="1" s="217">
      <c r="A2598" s="397" t="n">
        <v>2596</v>
      </c>
      <c r="B2598" s="397" t="inlineStr">
        <is>
          <t>KH1147</t>
        </is>
      </c>
      <c r="C2598" s="398" t="inlineStr">
        <is>
          <t>Xưởng Toàn Tâm - Đức Trọng/ 0988.324.777</t>
        </is>
      </c>
      <c r="D2598" s="397" t="inlineStr">
        <is>
          <t>0988.324.777</t>
        </is>
      </c>
      <c r="E2598" s="399" t="n"/>
      <c r="F2598" s="398" t="inlineStr">
        <is>
          <t>Ninh Gia, Đức Trọng, Lâm Đồng</t>
        </is>
      </c>
      <c r="G2598" s="397" t="inlineStr">
        <is>
          <t>LDONG</t>
        </is>
      </c>
      <c r="H2598" s="399" t="n"/>
      <c r="J2598" s="392">
        <f>IFERROR(UPPER(TRIM(B2598))&amp;"|"&amp;UPPER(TRIM(C2598))&amp;"|"&amp;UPPER(TRIM(D2598)),"")</f>
        <v/>
      </c>
    </row>
    <row r="2599" ht="15.75" customHeight="1" s="217">
      <c r="A2599" s="400" t="n">
        <v>2597</v>
      </c>
      <c r="B2599" s="400" t="inlineStr">
        <is>
          <t>KH1148</t>
        </is>
      </c>
      <c r="C2599" s="401" t="inlineStr">
        <is>
          <t>DNTN Xây Dựng Viết Xuân - Phú Yên/ Anh Lý - 0913.448.556</t>
        </is>
      </c>
      <c r="D2599" s="400" t="inlineStr">
        <is>
          <t>0913.448.556</t>
        </is>
      </c>
      <c r="E2599" s="402" t="n"/>
      <c r="F2599" s="401" t="inlineStr">
        <is>
          <t>244 Trường Chinh, Phường 7, TP Tuy Hòa, Phú Yên</t>
        </is>
      </c>
      <c r="G2599" s="400" t="inlineStr">
        <is>
          <t>PYEN</t>
        </is>
      </c>
      <c r="H2599" s="402" t="n"/>
      <c r="J2599" s="392">
        <f>IFERROR(UPPER(TRIM(B2599))&amp;"|"&amp;UPPER(TRIM(C2599))&amp;"|"&amp;UPPER(TRIM(D2599)),"")</f>
        <v/>
      </c>
    </row>
    <row r="2600" ht="15.75" customHeight="1" s="217">
      <c r="A2600" s="397" t="n">
        <v>2598</v>
      </c>
      <c r="B2600" s="397" t="inlineStr">
        <is>
          <t>KH1149</t>
        </is>
      </c>
      <c r="C2600" s="398" t="inlineStr">
        <is>
          <t>Anh Hưng - Nhà Bè / 0908.129.007</t>
        </is>
      </c>
      <c r="D2600" s="397" t="inlineStr">
        <is>
          <t>0908.129.007</t>
        </is>
      </c>
      <c r="E2600" s="399" t="n"/>
      <c r="F2600" s="398" t="inlineStr">
        <is>
          <t>Nhà Bè</t>
        </is>
      </c>
      <c r="G2600" s="397" t="inlineStr">
        <is>
          <t>SG/HCM</t>
        </is>
      </c>
      <c r="H2600" s="399" t="n"/>
      <c r="J2600" s="392">
        <f>IFERROR(UPPER(TRIM(B2600))&amp;"|"&amp;UPPER(TRIM(C2600))&amp;"|"&amp;UPPER(TRIM(D2600)),"")</f>
        <v/>
      </c>
    </row>
    <row r="2601" ht="15.75" customHeight="1" s="217">
      <c r="A2601" s="400" t="n">
        <v>2599</v>
      </c>
      <c r="B2601" s="400" t="inlineStr">
        <is>
          <t>KH1150</t>
        </is>
      </c>
      <c r="C2601" s="401" t="inlineStr">
        <is>
          <t>Cơ Khí Nam Hà - Sài Gòn/ 0979.934.417</t>
        </is>
      </c>
      <c r="D2601" s="400" t="inlineStr">
        <is>
          <t>0979.934.417</t>
        </is>
      </c>
      <c r="E2601" s="402" t="n"/>
      <c r="F2601" s="401" t="inlineStr">
        <is>
          <t>Sài Gòn</t>
        </is>
      </c>
      <c r="G2601" s="400" t="inlineStr">
        <is>
          <t>SG/HCM</t>
        </is>
      </c>
      <c r="H2601" s="402" t="n"/>
      <c r="J2601" s="392">
        <f>IFERROR(UPPER(TRIM(B2601))&amp;"|"&amp;UPPER(TRIM(C2601))&amp;"|"&amp;UPPER(TRIM(D2601)),"")</f>
        <v/>
      </c>
    </row>
    <row r="2602" ht="15.75" customHeight="1" s="217">
      <c r="A2602" s="397" t="n">
        <v>2600</v>
      </c>
      <c r="B2602" s="397" t="inlineStr">
        <is>
          <t>KH1142</t>
        </is>
      </c>
      <c r="C2602" s="398" t="inlineStr">
        <is>
          <t>Anh Thành - Kiên Giang / 0947.370.758</t>
        </is>
      </c>
      <c r="D2602" s="397" t="inlineStr">
        <is>
          <t>0947.370.758</t>
        </is>
      </c>
      <c r="E2602" s="399" t="n"/>
      <c r="F2602" s="398" t="inlineStr">
        <is>
          <t>Kiên Giang</t>
        </is>
      </c>
      <c r="G2602" s="397" t="inlineStr">
        <is>
          <t>KG</t>
        </is>
      </c>
      <c r="H2602" s="399" t="n"/>
      <c r="J2602" s="392">
        <f>IFERROR(UPPER(TRIM(B2602))&amp;"|"&amp;UPPER(TRIM(C2602))&amp;"|"&amp;UPPER(TRIM(D2602)),"")</f>
        <v/>
      </c>
    </row>
    <row r="2603" ht="15.75" customHeight="1" s="217">
      <c r="A2603" s="400" t="n">
        <v>2601</v>
      </c>
      <c r="B2603" s="400" t="inlineStr">
        <is>
          <t>KH1143</t>
        </is>
      </c>
      <c r="C2603" s="401" t="inlineStr">
        <is>
          <t>Anh Tý - Bình Thuận /0909.759.316</t>
        </is>
      </c>
      <c r="D2603" s="400" t="inlineStr">
        <is>
          <t>0909.759.316</t>
        </is>
      </c>
      <c r="E2603" s="402" t="n"/>
      <c r="F2603" s="401" t="inlineStr">
        <is>
          <t>Bình Thuận</t>
        </is>
      </c>
      <c r="G2603" s="400" t="inlineStr">
        <is>
          <t>BTHUAN</t>
        </is>
      </c>
      <c r="H2603" s="402" t="n"/>
      <c r="J2603" s="392">
        <f>IFERROR(UPPER(TRIM(B2603))&amp;"|"&amp;UPPER(TRIM(C2603))&amp;"|"&amp;UPPER(TRIM(D2603)),"")</f>
        <v/>
      </c>
    </row>
    <row r="2604" ht="15.75" customHeight="1" s="217">
      <c r="A2604" s="397" t="n">
        <v>2602</v>
      </c>
      <c r="B2604" s="397" t="inlineStr">
        <is>
          <t>KH1141</t>
        </is>
      </c>
      <c r="C2604" s="398" t="inlineStr">
        <is>
          <t>Anh Bằng (Cty Hưng Thành Lộc) - Q2 / 0984.253.607</t>
        </is>
      </c>
      <c r="D2604" s="397" t="inlineStr">
        <is>
          <t>0984.253.607</t>
        </is>
      </c>
      <c r="E2604" s="399" t="n"/>
      <c r="F2604" s="398" t="inlineStr">
        <is>
          <t>Quận 2</t>
        </is>
      </c>
      <c r="G2604" s="397" t="inlineStr">
        <is>
          <t>SG/HCM</t>
        </is>
      </c>
      <c r="H2604" s="399" t="n"/>
      <c r="J2604" s="392">
        <f>IFERROR(UPPER(TRIM(B2604))&amp;"|"&amp;UPPER(TRIM(C2604))&amp;"|"&amp;UPPER(TRIM(D2604)),"")</f>
        <v/>
      </c>
    </row>
    <row r="2605" ht="15.75" customHeight="1" s="217">
      <c r="A2605" s="400" t="n">
        <v>2603</v>
      </c>
      <c r="B2605" s="400" t="inlineStr">
        <is>
          <t>KH1139</t>
        </is>
      </c>
      <c r="C2605" s="401" t="inlineStr">
        <is>
          <t>Bãi Máy Anh Bảo - Bình Chánh/ 0909.561.838</t>
        </is>
      </c>
      <c r="D2605" s="400" t="inlineStr">
        <is>
          <t>0909.561.838</t>
        </is>
      </c>
      <c r="E2605" s="402" t="n"/>
      <c r="F2605" s="401" t="inlineStr">
        <is>
          <t>Cầu Vượt Nguyễn Văn Linh, Bình Chánh, TP.HCM</t>
        </is>
      </c>
      <c r="G2605" s="400" t="inlineStr">
        <is>
          <t>SG/HCM</t>
        </is>
      </c>
      <c r="H2605" s="402" t="n"/>
      <c r="J2605" s="392">
        <f>IFERROR(UPPER(TRIM(B2605))&amp;"|"&amp;UPPER(TRIM(C2605))&amp;"|"&amp;UPPER(TRIM(D2605)),"")</f>
        <v/>
      </c>
    </row>
    <row r="2606" ht="15.75" customHeight="1" s="217">
      <c r="A2606" s="397" t="n">
        <v>2604</v>
      </c>
      <c r="B2606" s="397" t="inlineStr">
        <is>
          <t>KH1140</t>
        </is>
      </c>
      <c r="C2606" s="398" t="inlineStr">
        <is>
          <t>Anh Lén - Cà Mau/ 0913.657.112</t>
        </is>
      </c>
      <c r="D2606" s="397" t="inlineStr">
        <is>
          <t>0913.657.112</t>
        </is>
      </c>
      <c r="E2606" s="399" t="n"/>
      <c r="F2606" s="398" t="inlineStr">
        <is>
          <t>Cà Mau</t>
        </is>
      </c>
      <c r="G2606" s="397" t="inlineStr">
        <is>
          <t>CMAU</t>
        </is>
      </c>
      <c r="H2606" s="399" t="n"/>
      <c r="J2606" s="392">
        <f>IFERROR(UPPER(TRIM(B2606))&amp;"|"&amp;UPPER(TRIM(C2606))&amp;"|"&amp;UPPER(TRIM(D2606)),"")</f>
        <v/>
      </c>
    </row>
    <row r="2607" ht="15.75" customHeight="1" s="217">
      <c r="A2607" s="400" t="n">
        <v>2605</v>
      </c>
      <c r="B2607" s="400" t="inlineStr">
        <is>
          <t>KH1138</t>
        </is>
      </c>
      <c r="C2607" s="401" t="inlineStr">
        <is>
          <t>Anh Huy - Bình Thạnh/ 0906.961.736</t>
        </is>
      </c>
      <c r="D2607" s="400" t="inlineStr">
        <is>
          <t>0906.961.736</t>
        </is>
      </c>
      <c r="E2607" s="402" t="n"/>
      <c r="F2607" s="401" t="inlineStr">
        <is>
          <t>Bình Thạnh - TP.HCM</t>
        </is>
      </c>
      <c r="G2607" s="400" t="inlineStr">
        <is>
          <t>SG/HCM</t>
        </is>
      </c>
      <c r="H2607" s="402" t="n"/>
      <c r="J2607" s="392">
        <f>IFERROR(UPPER(TRIM(B2607))&amp;"|"&amp;UPPER(TRIM(C2607))&amp;"|"&amp;UPPER(TRIM(D2607)),"")</f>
        <v/>
      </c>
    </row>
    <row r="2608" ht="15.75" customHeight="1" s="217">
      <c r="A2608" s="397" t="n">
        <v>2606</v>
      </c>
      <c r="B2608" s="397" t="inlineStr">
        <is>
          <t>KH1136</t>
        </is>
      </c>
      <c r="C2608" s="398" t="inlineStr">
        <is>
          <t>Anh Tý - Đồng Tháp/ 0949.640.069</t>
        </is>
      </c>
      <c r="D2608" s="397" t="inlineStr">
        <is>
          <t>0949.640.069</t>
        </is>
      </c>
      <c r="E2608" s="399" t="n"/>
      <c r="F2608" s="398" t="inlineStr">
        <is>
          <t>Đồng Tháp</t>
        </is>
      </c>
      <c r="G2608" s="397" t="inlineStr">
        <is>
          <t>DTHAP</t>
        </is>
      </c>
      <c r="H2608" s="399" t="n"/>
      <c r="J2608" s="392">
        <f>IFERROR(UPPER(TRIM(B2608))&amp;"|"&amp;UPPER(TRIM(C2608))&amp;"|"&amp;UPPER(TRIM(D2608)),"")</f>
        <v/>
      </c>
    </row>
    <row r="2609" ht="15.75" customHeight="1" s="217">
      <c r="A2609" s="400" t="n">
        <v>2607</v>
      </c>
      <c r="B2609" s="400" t="inlineStr">
        <is>
          <t>KH1137</t>
        </is>
      </c>
      <c r="C2609" s="401" t="inlineStr">
        <is>
          <t>Sophan - CPC/ 092.222.000</t>
        </is>
      </c>
      <c r="D2609" s="400" t="inlineStr">
        <is>
          <t>092.222.000</t>
        </is>
      </c>
      <c r="E2609" s="402" t="n"/>
      <c r="F2609" s="401" t="inlineStr">
        <is>
          <t>Campuchia</t>
        </is>
      </c>
      <c r="G2609" s="400" t="inlineStr">
        <is>
          <t>CPC</t>
        </is>
      </c>
      <c r="H2609" s="400" t="inlineStr">
        <is>
          <t>Gửi hàng: Người nhận hàng: Chú Lê 0906.734.013 Bến xe Hoàng Gia - Đặng Thái Thân, P11, Q5</t>
        </is>
      </c>
      <c r="J2609" s="392">
        <f>IFERROR(UPPER(TRIM(B2609))&amp;"|"&amp;UPPER(TRIM(C2609))&amp;"|"&amp;UPPER(TRIM(D2609)),"")</f>
        <v/>
      </c>
    </row>
    <row r="2610" ht="15.75" customHeight="1" s="217">
      <c r="A2610" s="397" t="n">
        <v>2608</v>
      </c>
      <c r="B2610" s="397" t="inlineStr">
        <is>
          <t>KH1131</t>
        </is>
      </c>
      <c r="C2610" s="398" t="inlineStr">
        <is>
          <t>Anh Thư - Đaklak / 0989.315.769</t>
        </is>
      </c>
      <c r="D2610" s="397" t="inlineStr">
        <is>
          <t>0989.315.769</t>
        </is>
      </c>
      <c r="E2610" s="399" t="n"/>
      <c r="F2610" s="398" t="inlineStr">
        <is>
          <t>Đaklak</t>
        </is>
      </c>
      <c r="G2610" s="397" t="inlineStr">
        <is>
          <t>ÐL</t>
        </is>
      </c>
      <c r="H2610" s="399" t="n"/>
      <c r="J2610" s="392">
        <f>IFERROR(UPPER(TRIM(B2610))&amp;"|"&amp;UPPER(TRIM(C2610))&amp;"|"&amp;UPPER(TRIM(D2610)),"")</f>
        <v/>
      </c>
    </row>
    <row r="2611" ht="15.75" customHeight="1" s="217">
      <c r="A2611" s="400" t="n">
        <v>2609</v>
      </c>
      <c r="B2611" s="400" t="inlineStr">
        <is>
          <t>KH1132</t>
        </is>
      </c>
      <c r="C2611" s="401" t="inlineStr">
        <is>
          <t>Anh Tùng - Bình Chánh/0909.045.912</t>
        </is>
      </c>
      <c r="D2611" s="400" t="inlineStr">
        <is>
          <t>0909.045.912</t>
        </is>
      </c>
      <c r="E2611" s="402" t="n"/>
      <c r="F2611" s="401" t="inlineStr">
        <is>
          <t>Bình Chánh - TP.HCM</t>
        </is>
      </c>
      <c r="G2611" s="400" t="inlineStr">
        <is>
          <t>SG/HCM</t>
        </is>
      </c>
      <c r="H2611" s="402" t="n"/>
      <c r="J2611" s="392">
        <f>IFERROR(UPPER(TRIM(B2611))&amp;"|"&amp;UPPER(TRIM(C2611))&amp;"|"&amp;UPPER(TRIM(D2611)),"")</f>
        <v/>
      </c>
    </row>
    <row r="2612" ht="15.75" customHeight="1" s="217">
      <c r="A2612" s="397" t="n">
        <v>2610</v>
      </c>
      <c r="B2612" s="397" t="inlineStr">
        <is>
          <t>KH1133</t>
        </is>
      </c>
      <c r="C2612" s="398" t="inlineStr">
        <is>
          <t>Anh Phi - Lâm Hà/ 0978.412.413</t>
        </is>
      </c>
      <c r="D2612" s="397" t="inlineStr">
        <is>
          <t>0978.412.413</t>
        </is>
      </c>
      <c r="E2612" s="399" t="n"/>
      <c r="F2612" s="398" t="inlineStr">
        <is>
          <t>lâm Hà - Lâm Đồng</t>
        </is>
      </c>
      <c r="G2612" s="397" t="inlineStr">
        <is>
          <t>LDONG</t>
        </is>
      </c>
      <c r="H2612" s="399" t="n"/>
      <c r="J2612" s="392">
        <f>IFERROR(UPPER(TRIM(B2612))&amp;"|"&amp;UPPER(TRIM(C2612))&amp;"|"&amp;UPPER(TRIM(D2612)),"")</f>
        <v/>
      </c>
    </row>
    <row r="2613" ht="15.75" customHeight="1" s="217">
      <c r="A2613" s="400" t="n">
        <v>2611</v>
      </c>
      <c r="B2613" s="400" t="inlineStr">
        <is>
          <t>KH1134</t>
        </is>
      </c>
      <c r="C2613" s="401" t="inlineStr">
        <is>
          <t>Chú Hiếu - Bình Dương/ 0911.411.527</t>
        </is>
      </c>
      <c r="D2613" s="400" t="inlineStr">
        <is>
          <t>0911.411.527</t>
        </is>
      </c>
      <c r="E2613" s="402" t="n"/>
      <c r="F2613" s="401" t="inlineStr">
        <is>
          <t>Bình Dương</t>
        </is>
      </c>
      <c r="G2613" s="400" t="inlineStr">
        <is>
          <t>BDUONG</t>
        </is>
      </c>
      <c r="H2613" s="402" t="n"/>
      <c r="J2613" s="392">
        <f>IFERROR(UPPER(TRIM(B2613))&amp;"|"&amp;UPPER(TRIM(C2613))&amp;"|"&amp;UPPER(TRIM(D2613)),"")</f>
        <v/>
      </c>
    </row>
    <row r="2614" ht="15.75" customHeight="1" s="217">
      <c r="A2614" s="397" t="n">
        <v>2612</v>
      </c>
      <c r="B2614" s="397" t="inlineStr">
        <is>
          <t>KH1135</t>
        </is>
      </c>
      <c r="C2614" s="398" t="inlineStr">
        <is>
          <t>Anh Chương - Vĩnh Long / 0905.986.395</t>
        </is>
      </c>
      <c r="D2614" s="397" t="inlineStr">
        <is>
          <t>0905.986.395</t>
        </is>
      </c>
      <c r="E2614" s="399" t="n"/>
      <c r="F2614" s="398" t="inlineStr">
        <is>
          <t>Vĩnh Long</t>
        </is>
      </c>
      <c r="G2614" s="397" t="inlineStr">
        <is>
          <t>VĨNH LONG</t>
        </is>
      </c>
      <c r="H2614" s="399" t="n"/>
      <c r="J2614" s="392">
        <f>IFERROR(UPPER(TRIM(B2614))&amp;"|"&amp;UPPER(TRIM(C2614))&amp;"|"&amp;UPPER(TRIM(D2614)),"")</f>
        <v/>
      </c>
    </row>
    <row r="2615" ht="15.75" customHeight="1" s="217">
      <c r="A2615" s="400" t="n">
        <v>2613</v>
      </c>
      <c r="B2615" s="400" t="inlineStr">
        <is>
          <t>KH1130</t>
        </is>
      </c>
      <c r="C2615" s="401" t="inlineStr">
        <is>
          <t>Anh Khanh - Đaklak / 0905.304.902</t>
        </is>
      </c>
      <c r="D2615" s="400" t="inlineStr">
        <is>
          <t>0905.304.902</t>
        </is>
      </c>
      <c r="E2615" s="402" t="n"/>
      <c r="F2615" s="401" t="inlineStr">
        <is>
          <t>Buôn Ma Thuột - Đaklak</t>
        </is>
      </c>
      <c r="G2615" s="400" t="inlineStr">
        <is>
          <t>ÐL</t>
        </is>
      </c>
      <c r="H2615" s="402" t="n"/>
      <c r="J2615" s="392">
        <f>IFERROR(UPPER(TRIM(B2615))&amp;"|"&amp;UPPER(TRIM(C2615))&amp;"|"&amp;UPPER(TRIM(D2615)),"")</f>
        <v/>
      </c>
    </row>
    <row r="2616" ht="15.75" customHeight="1" s="217">
      <c r="A2616" s="397" t="n">
        <v>2614</v>
      </c>
      <c r="B2616" s="397" t="inlineStr">
        <is>
          <t>KH1127</t>
        </is>
      </c>
      <c r="C2616" s="398" t="inlineStr">
        <is>
          <t>Anh Sang - Vĩnh Hưng/01275.357.789</t>
        </is>
      </c>
      <c r="D2616" s="397" t="inlineStr">
        <is>
          <t>01275.357.789</t>
        </is>
      </c>
      <c r="E2616" s="399" t="n"/>
      <c r="F2616" s="398" t="inlineStr">
        <is>
          <t>Vĩnh Hưng - Long An</t>
        </is>
      </c>
      <c r="G2616" s="397" t="inlineStr">
        <is>
          <t>LA</t>
        </is>
      </c>
      <c r="H2616" s="399" t="n"/>
      <c r="J2616" s="392">
        <f>IFERROR(UPPER(TRIM(B2616))&amp;"|"&amp;UPPER(TRIM(C2616))&amp;"|"&amp;UPPER(TRIM(D2616)),"")</f>
        <v/>
      </c>
    </row>
    <row r="2617" ht="15.75" customHeight="1" s="217">
      <c r="A2617" s="400" t="n">
        <v>2615</v>
      </c>
      <c r="B2617" s="400" t="inlineStr">
        <is>
          <t>KH1128</t>
        </is>
      </c>
      <c r="C2617" s="401" t="inlineStr">
        <is>
          <t>Bãi Máy Hòa Dũng - Suối Tiên/ 0914.185.964</t>
        </is>
      </c>
      <c r="D2617" s="400" t="inlineStr">
        <is>
          <t>0914.185.964</t>
        </is>
      </c>
      <c r="E2617" s="402" t="n"/>
      <c r="F2617" s="401" t="inlineStr">
        <is>
          <t>Dốc Thiên Thu, Suối Tiên, TH.HCM</t>
        </is>
      </c>
      <c r="G2617" s="400" t="inlineStr">
        <is>
          <t>SG/HCM</t>
        </is>
      </c>
      <c r="H2617" s="402" t="n"/>
      <c r="J2617" s="392">
        <f>IFERROR(UPPER(TRIM(B2617))&amp;"|"&amp;UPPER(TRIM(C2617))&amp;"|"&amp;UPPER(TRIM(D2617)),"")</f>
        <v/>
      </c>
    </row>
    <row r="2618" ht="15.75" customHeight="1" s="217">
      <c r="A2618" s="397" t="n">
        <v>2616</v>
      </c>
      <c r="B2618" s="397" t="inlineStr">
        <is>
          <t>KH1129</t>
        </is>
      </c>
      <c r="C2618" s="398" t="inlineStr">
        <is>
          <t>Cơ Khí Ba Tọa - Quảng Ngãi/ 0905.857.796</t>
        </is>
      </c>
      <c r="D2618" s="397" t="inlineStr">
        <is>
          <t>0905.857.796</t>
        </is>
      </c>
      <c r="E2618" s="399" t="n"/>
      <c r="F2618" s="398" t="inlineStr">
        <is>
          <t>Cầu Đập, Đức Tân, Mộ Đức, Quảng Ngãi</t>
        </is>
      </c>
      <c r="G2618" s="397" t="inlineStr">
        <is>
          <t>QUNGAI</t>
        </is>
      </c>
      <c r="H2618" s="399" t="n"/>
      <c r="J2618" s="392">
        <f>IFERROR(UPPER(TRIM(B2618))&amp;"|"&amp;UPPER(TRIM(C2618))&amp;"|"&amp;UPPER(TRIM(D2618)),"")</f>
        <v/>
      </c>
    </row>
    <row r="2619" ht="15.75" customHeight="1" s="217">
      <c r="A2619" s="400" t="n">
        <v>2617</v>
      </c>
      <c r="B2619" s="400" t="inlineStr">
        <is>
          <t>KH1124</t>
        </is>
      </c>
      <c r="C2619" s="401" t="inlineStr">
        <is>
          <t>Anh Trường - Q6/0938.413.751</t>
        </is>
      </c>
      <c r="D2619" s="400" t="inlineStr">
        <is>
          <t>0938.413.751</t>
        </is>
      </c>
      <c r="E2619" s="402" t="n"/>
      <c r="F2619" s="401" t="inlineStr">
        <is>
          <t>Quận 6-SG</t>
        </is>
      </c>
      <c r="G2619" s="400" t="inlineStr">
        <is>
          <t>SG/HCM</t>
        </is>
      </c>
      <c r="H2619" s="402" t="n"/>
      <c r="J2619" s="392">
        <f>IFERROR(UPPER(TRIM(B2619))&amp;"|"&amp;UPPER(TRIM(C2619))&amp;"|"&amp;UPPER(TRIM(D2619)),"")</f>
        <v/>
      </c>
    </row>
    <row r="2620" ht="15.75" customHeight="1" s="217">
      <c r="A2620" s="397" t="n">
        <v>2618</v>
      </c>
      <c r="B2620" s="397" t="inlineStr">
        <is>
          <t>KH1125</t>
        </is>
      </c>
      <c r="C2620" s="398" t="inlineStr">
        <is>
          <t>Anh Bé - Bình Dương/ 0918.138.319</t>
        </is>
      </c>
      <c r="D2620" s="397" t="inlineStr">
        <is>
          <t>0918.138.319</t>
        </is>
      </c>
      <c r="E2620" s="399" t="n"/>
      <c r="F2620" s="398" t="inlineStr">
        <is>
          <t>Bình Dương</t>
        </is>
      </c>
      <c r="G2620" s="397" t="inlineStr">
        <is>
          <t>BDUONG</t>
        </is>
      </c>
      <c r="H2620" s="399" t="n"/>
      <c r="J2620" s="392">
        <f>IFERROR(UPPER(TRIM(B2620))&amp;"|"&amp;UPPER(TRIM(C2620))&amp;"|"&amp;UPPER(TRIM(D2620)),"")</f>
        <v/>
      </c>
    </row>
    <row r="2621" ht="15.75" customHeight="1" s="217">
      <c r="A2621" s="400" t="n">
        <v>2619</v>
      </c>
      <c r="B2621" s="400" t="inlineStr">
        <is>
          <t>KH1126</t>
        </is>
      </c>
      <c r="C2621" s="401" t="inlineStr">
        <is>
          <t>Công Ty TNHH MTV Hoàng Bình - Khánh Hòa/ anh Trang - 0905.190.752</t>
        </is>
      </c>
      <c r="D2621" s="400" t="inlineStr">
        <is>
          <t>0905.190.752</t>
        </is>
      </c>
      <c r="E2621" s="402" t="n"/>
      <c r="F2621" s="401" t="inlineStr">
        <is>
          <t>226 Hùng Vương, TT.Diên Khánh, Huyện Diên Khánh, Tỉnh khánh Hòa</t>
        </is>
      </c>
      <c r="G2621" s="400" t="inlineStr">
        <is>
          <t>NTRANG</t>
        </is>
      </c>
      <c r="H2621" s="402" t="n"/>
      <c r="J2621" s="392">
        <f>IFERROR(UPPER(TRIM(B2621))&amp;"|"&amp;UPPER(TRIM(C2621))&amp;"|"&amp;UPPER(TRIM(D2621)),"")</f>
        <v/>
      </c>
    </row>
    <row r="2622" ht="15.75" customHeight="1" s="217">
      <c r="A2622" s="397" t="n">
        <v>2620</v>
      </c>
      <c r="B2622" s="397" t="inlineStr">
        <is>
          <t>KH1122</t>
        </is>
      </c>
      <c r="C2622" s="398" t="inlineStr">
        <is>
          <t>Cơ Khí Hoàng Quân - Suối Tiên / 0908.691.708</t>
        </is>
      </c>
      <c r="D2622" s="397" t="inlineStr">
        <is>
          <t>0908.691.708</t>
        </is>
      </c>
      <c r="E2622" s="399" t="n"/>
      <c r="F2622" s="398" t="inlineStr">
        <is>
          <t>Suối Tiên - SG</t>
        </is>
      </c>
      <c r="G2622" s="397" t="inlineStr">
        <is>
          <t>SG/HCM</t>
        </is>
      </c>
      <c r="H2622" s="399" t="n"/>
      <c r="J2622" s="392">
        <f>IFERROR(UPPER(TRIM(B2622))&amp;"|"&amp;UPPER(TRIM(C2622))&amp;"|"&amp;UPPER(TRIM(D2622)),"")</f>
        <v/>
      </c>
    </row>
    <row r="2623" ht="15.75" customHeight="1" s="217">
      <c r="A2623" s="400" t="n">
        <v>2621</v>
      </c>
      <c r="B2623" s="400" t="inlineStr">
        <is>
          <t>KH1123</t>
        </is>
      </c>
      <c r="C2623" s="401" t="inlineStr">
        <is>
          <t>Xưởng anh Vũ - SG/ 0913.710.792</t>
        </is>
      </c>
      <c r="D2623" s="400" t="inlineStr">
        <is>
          <t>0913.710.792</t>
        </is>
      </c>
      <c r="E2623" s="402" t="n"/>
      <c r="F2623" s="401" t="inlineStr">
        <is>
          <t>SG</t>
        </is>
      </c>
      <c r="G2623" s="400" t="inlineStr">
        <is>
          <t>SG/HCM</t>
        </is>
      </c>
      <c r="H2623" s="402" t="n"/>
      <c r="J2623" s="392">
        <f>IFERROR(UPPER(TRIM(B2623))&amp;"|"&amp;UPPER(TRIM(C2623))&amp;"|"&amp;UPPER(TRIM(D2623)),"")</f>
        <v/>
      </c>
    </row>
    <row r="2624" ht="15.75" customHeight="1" s="217">
      <c r="A2624" s="397" t="n">
        <v>2622</v>
      </c>
      <c r="B2624" s="397" t="inlineStr">
        <is>
          <t>KH1121</t>
        </is>
      </c>
      <c r="C2624" s="398" t="inlineStr">
        <is>
          <t>Anh Vũ - Giá Rai - Bạc Liêu / 0913.825.547</t>
        </is>
      </c>
      <c r="D2624" s="397" t="inlineStr">
        <is>
          <t>0913.825.547</t>
        </is>
      </c>
      <c r="E2624" s="399" t="n"/>
      <c r="F2624" s="398" t="inlineStr">
        <is>
          <t>Giá Rai - Bạc Liêu</t>
        </is>
      </c>
      <c r="G2624" s="397" t="inlineStr">
        <is>
          <t>BLIEU</t>
        </is>
      </c>
      <c r="H2624" s="399" t="n"/>
      <c r="J2624" s="392">
        <f>IFERROR(UPPER(TRIM(B2624))&amp;"|"&amp;UPPER(TRIM(C2624))&amp;"|"&amp;UPPER(TRIM(D2624)),"")</f>
        <v/>
      </c>
    </row>
    <row r="2625" ht="15.75" customHeight="1" s="217">
      <c r="A2625" s="400" t="n">
        <v>2623</v>
      </c>
      <c r="B2625" s="400" t="inlineStr">
        <is>
          <t>KH1120</t>
        </is>
      </c>
      <c r="C2625" s="401" t="inlineStr">
        <is>
          <t>Công Ty Hữu Thọ - Long An / 0909.442.655</t>
        </is>
      </c>
      <c r="D2625" s="400" t="inlineStr">
        <is>
          <t>0909.442.655</t>
        </is>
      </c>
      <c r="E2625" s="402" t="n"/>
      <c r="F2625" s="401" t="inlineStr">
        <is>
          <t>Cần Đước - Long An</t>
        </is>
      </c>
      <c r="G2625" s="400" t="inlineStr">
        <is>
          <t>LA</t>
        </is>
      </c>
      <c r="H2625" s="402" t="n"/>
      <c r="J2625" s="392">
        <f>IFERROR(UPPER(TRIM(B2625))&amp;"|"&amp;UPPER(TRIM(C2625))&amp;"|"&amp;UPPER(TRIM(D2625)),"")</f>
        <v/>
      </c>
    </row>
    <row r="2626" ht="15.75" customHeight="1" s="217">
      <c r="A2626" s="397" t="n">
        <v>2624</v>
      </c>
      <c r="B2626" s="397" t="inlineStr">
        <is>
          <t>KH1117</t>
        </is>
      </c>
      <c r="C2626" s="398" t="inlineStr">
        <is>
          <t>Quang Thanh - Lộc Ninh (T) / 0949.964.949</t>
        </is>
      </c>
      <c r="D2626" s="397" t="inlineStr">
        <is>
          <t>0949.964.949</t>
        </is>
      </c>
      <c r="E2626" s="399" t="n"/>
      <c r="F2626" s="398" t="inlineStr">
        <is>
          <t>Lộc Ninh - Bình Phước</t>
        </is>
      </c>
      <c r="G2626" s="397" t="inlineStr">
        <is>
          <t>BP</t>
        </is>
      </c>
      <c r="H2626" s="399" t="n"/>
      <c r="J2626" s="392">
        <f>IFERROR(UPPER(TRIM(B2626))&amp;"|"&amp;UPPER(TRIM(C2626))&amp;"|"&amp;UPPER(TRIM(D2626)),"")</f>
        <v/>
      </c>
    </row>
    <row r="2627" ht="15.75" customHeight="1" s="217">
      <c r="A2627" s="400" t="n">
        <v>2625</v>
      </c>
      <c r="B2627" s="400" t="inlineStr">
        <is>
          <t>KH1118</t>
        </is>
      </c>
      <c r="C2627" s="401" t="inlineStr">
        <is>
          <t>BM Thanh Bình Đông Kinh - Q9 / 0908.376.926</t>
        </is>
      </c>
      <c r="D2627" s="400" t="inlineStr">
        <is>
          <t>0908.376.926</t>
        </is>
      </c>
      <c r="E2627" s="402" t="n"/>
      <c r="F2627" s="401" t="inlineStr">
        <is>
          <t>Q9- SG</t>
        </is>
      </c>
      <c r="G2627" s="400" t="inlineStr">
        <is>
          <t>SG/HCM</t>
        </is>
      </c>
      <c r="H2627" s="402" t="n"/>
      <c r="J2627" s="392">
        <f>IFERROR(UPPER(TRIM(B2627))&amp;"|"&amp;UPPER(TRIM(C2627))&amp;"|"&amp;UPPER(TRIM(D2627)),"")</f>
        <v/>
      </c>
    </row>
    <row r="2628" ht="15.75" customHeight="1" s="217">
      <c r="A2628" s="397" t="n">
        <v>2626</v>
      </c>
      <c r="B2628" s="397" t="inlineStr">
        <is>
          <t>KH1119</t>
        </is>
      </c>
      <c r="C2628" s="398" t="inlineStr">
        <is>
          <t>Xưởng Chú Hùng - Kiên Giang / 0918.006.329</t>
        </is>
      </c>
      <c r="D2628" s="397" t="inlineStr">
        <is>
          <t>0918.006.329</t>
        </is>
      </c>
      <c r="E2628" s="399" t="n"/>
      <c r="F2628" s="398" t="inlineStr">
        <is>
          <t>Kiên Giang</t>
        </is>
      </c>
      <c r="G2628" s="397" t="inlineStr">
        <is>
          <t>KG</t>
        </is>
      </c>
      <c r="H2628" s="399" t="n"/>
      <c r="J2628" s="392">
        <f>IFERROR(UPPER(TRIM(B2628))&amp;"|"&amp;UPPER(TRIM(C2628))&amp;"|"&amp;UPPER(TRIM(D2628)),"")</f>
        <v/>
      </c>
    </row>
    <row r="2629" ht="15.75" customHeight="1" s="217">
      <c r="A2629" s="400" t="n">
        <v>2627</v>
      </c>
      <c r="B2629" s="400" t="inlineStr">
        <is>
          <t>KH1115</t>
        </is>
      </c>
      <c r="C2629" s="401" t="inlineStr">
        <is>
          <t>Anh Nhật - Cty Thành Long -SG/0906.160.989</t>
        </is>
      </c>
      <c r="D2629" s="400" t="inlineStr">
        <is>
          <t>0906.160.989</t>
        </is>
      </c>
      <c r="E2629" s="402" t="n"/>
      <c r="F2629" s="401" t="inlineStr">
        <is>
          <t>Sài Gòn</t>
        </is>
      </c>
      <c r="G2629" s="400" t="inlineStr">
        <is>
          <t>SG/HCM</t>
        </is>
      </c>
      <c r="H2629" s="402" t="n"/>
      <c r="J2629" s="392">
        <f>IFERROR(UPPER(TRIM(B2629))&amp;"|"&amp;UPPER(TRIM(C2629))&amp;"|"&amp;UPPER(TRIM(D2629)),"")</f>
        <v/>
      </c>
    </row>
    <row r="2630" ht="15.75" customHeight="1" s="217">
      <c r="A2630" s="397" t="n">
        <v>2628</v>
      </c>
      <c r="B2630" s="397" t="inlineStr">
        <is>
          <t>KH1116</t>
        </is>
      </c>
      <c r="C2630" s="398" t="inlineStr">
        <is>
          <t>Chú Thịnh - Gia Lai/ 0903.578.796</t>
        </is>
      </c>
      <c r="D2630" s="397" t="inlineStr">
        <is>
          <t>0903.578.796</t>
        </is>
      </c>
      <c r="E2630" s="399" t="n"/>
      <c r="F2630" s="398" t="inlineStr">
        <is>
          <t>Gia Lai</t>
        </is>
      </c>
      <c r="G2630" s="397" t="inlineStr">
        <is>
          <t>GLAI</t>
        </is>
      </c>
      <c r="H2630" s="399" t="n"/>
      <c r="J2630" s="392">
        <f>IFERROR(UPPER(TRIM(B2630))&amp;"|"&amp;UPPER(TRIM(C2630))&amp;"|"&amp;UPPER(TRIM(D2630)),"")</f>
        <v/>
      </c>
    </row>
    <row r="2631" ht="15.75" customHeight="1" s="217">
      <c r="A2631" s="400" t="n">
        <v>2629</v>
      </c>
      <c r="B2631" s="400" t="inlineStr">
        <is>
          <t>KH1114</t>
        </is>
      </c>
      <c r="C2631" s="401" t="inlineStr">
        <is>
          <t>Chú Đoan - Tây Ninh / 0948.779.567</t>
        </is>
      </c>
      <c r="D2631" s="400" t="inlineStr">
        <is>
          <t>0948.779.567</t>
        </is>
      </c>
      <c r="E2631" s="402" t="n"/>
      <c r="F2631" s="401" t="inlineStr">
        <is>
          <t>Tây Ninh</t>
        </is>
      </c>
      <c r="G2631" s="400" t="inlineStr">
        <is>
          <t>TNINH</t>
        </is>
      </c>
      <c r="H2631" s="402" t="n"/>
      <c r="J2631" s="392">
        <f>IFERROR(UPPER(TRIM(B2631))&amp;"|"&amp;UPPER(TRIM(C2631))&amp;"|"&amp;UPPER(TRIM(D2631)),"")</f>
        <v/>
      </c>
    </row>
    <row r="2632" ht="15.75" customHeight="1" s="217">
      <c r="A2632" s="397" t="n">
        <v>2630</v>
      </c>
      <c r="B2632" s="397" t="inlineStr">
        <is>
          <t>KH1111</t>
        </is>
      </c>
      <c r="C2632" s="398" t="inlineStr">
        <is>
          <t>Anh Thắng - Kon tum / 0978.185.342</t>
        </is>
      </c>
      <c r="D2632" s="397" t="inlineStr">
        <is>
          <t>0978.185.342</t>
        </is>
      </c>
      <c r="E2632" s="399" t="n"/>
      <c r="F2632" s="398" t="inlineStr">
        <is>
          <t>Kon tum</t>
        </is>
      </c>
      <c r="G2632" s="397" t="inlineStr">
        <is>
          <t>KTUM</t>
        </is>
      </c>
      <c r="H2632" s="399" t="n"/>
      <c r="J2632" s="392">
        <f>IFERROR(UPPER(TRIM(B2632))&amp;"|"&amp;UPPER(TRIM(C2632))&amp;"|"&amp;UPPER(TRIM(D2632)),"")</f>
        <v/>
      </c>
    </row>
    <row r="2633" ht="15.75" customHeight="1" s="217">
      <c r="A2633" s="400" t="n">
        <v>2631</v>
      </c>
      <c r="B2633" s="400" t="inlineStr">
        <is>
          <t>KH1112</t>
        </is>
      </c>
      <c r="C2633" s="401" t="inlineStr">
        <is>
          <t>Anh Long - Bù Đốp/ 01626.622.773</t>
        </is>
      </c>
      <c r="D2633" s="400" t="inlineStr">
        <is>
          <t>01626.622.773</t>
        </is>
      </c>
      <c r="E2633" s="402" t="n"/>
      <c r="F2633" s="401" t="inlineStr">
        <is>
          <t>Bù Đốp - Bình Phước</t>
        </is>
      </c>
      <c r="G2633" s="400" t="inlineStr">
        <is>
          <t>BP</t>
        </is>
      </c>
      <c r="H2633" s="402" t="n"/>
      <c r="J2633" s="392">
        <f>IFERROR(UPPER(TRIM(B2633))&amp;"|"&amp;UPPER(TRIM(C2633))&amp;"|"&amp;UPPER(TRIM(D2633)),"")</f>
        <v/>
      </c>
    </row>
    <row r="2634" ht="15.75" customHeight="1" s="217">
      <c r="A2634" s="397" t="n">
        <v>2632</v>
      </c>
      <c r="B2634" s="397" t="inlineStr">
        <is>
          <t>KH1113</t>
        </is>
      </c>
      <c r="C2634" s="398" t="inlineStr">
        <is>
          <t>Anh Ty - Vũng Tàu / 0974.949.916</t>
        </is>
      </c>
      <c r="D2634" s="397" t="inlineStr">
        <is>
          <t>0974.949.916</t>
        </is>
      </c>
      <c r="E2634" s="399" t="n"/>
      <c r="F2634" s="398" t="inlineStr">
        <is>
          <t>Vũng Tàu</t>
        </is>
      </c>
      <c r="G2634" s="397" t="inlineStr">
        <is>
          <t>BRVT</t>
        </is>
      </c>
      <c r="H2634" s="399" t="n"/>
      <c r="J2634" s="392">
        <f>IFERROR(UPPER(TRIM(B2634))&amp;"|"&amp;UPPER(TRIM(C2634))&amp;"|"&amp;UPPER(TRIM(D2634)),"")</f>
        <v/>
      </c>
    </row>
    <row r="2635" ht="15.75" customHeight="1" s="217">
      <c r="A2635" s="400" t="n">
        <v>2633</v>
      </c>
      <c r="B2635" s="400" t="inlineStr">
        <is>
          <t>KH1108</t>
        </is>
      </c>
      <c r="C2635" s="401" t="inlineStr">
        <is>
          <t>Chú Tín - Sài Gòn /0913.624.913</t>
        </is>
      </c>
      <c r="D2635" s="400" t="inlineStr">
        <is>
          <t>0913.624.913</t>
        </is>
      </c>
      <c r="E2635" s="402" t="n"/>
      <c r="F2635" s="401" t="inlineStr">
        <is>
          <t>Sài Gòn</t>
        </is>
      </c>
      <c r="G2635" s="400" t="inlineStr">
        <is>
          <t>SG/HCM</t>
        </is>
      </c>
      <c r="H2635" s="402" t="n"/>
      <c r="J2635" s="392">
        <f>IFERROR(UPPER(TRIM(B2635))&amp;"|"&amp;UPPER(TRIM(C2635))&amp;"|"&amp;UPPER(TRIM(D2635)),"")</f>
        <v/>
      </c>
    </row>
    <row r="2636" ht="15.75" customHeight="1" s="217">
      <c r="A2636" s="397" t="n">
        <v>2634</v>
      </c>
      <c r="B2636" s="397" t="inlineStr">
        <is>
          <t>KH1109</t>
        </is>
      </c>
      <c r="C2636" s="398" t="inlineStr">
        <is>
          <t>Công ty TNHH Việt úc Thức ăn Thuỷ Sản - Bến Tre / 0918.230.709</t>
        </is>
      </c>
      <c r="D2636" s="397" t="inlineStr">
        <is>
          <t>0918.230.709</t>
        </is>
      </c>
      <c r="E2636" s="399" t="n"/>
      <c r="F2636" s="398" t="inlineStr">
        <is>
          <t>Bến Tre</t>
        </is>
      </c>
      <c r="G2636" s="397" t="inlineStr">
        <is>
          <t>BTRE</t>
        </is>
      </c>
      <c r="H2636" s="399" t="n"/>
      <c r="J2636" s="392">
        <f>IFERROR(UPPER(TRIM(B2636))&amp;"|"&amp;UPPER(TRIM(C2636))&amp;"|"&amp;UPPER(TRIM(D2636)),"")</f>
        <v/>
      </c>
    </row>
    <row r="2637" ht="15.75" customHeight="1" s="217">
      <c r="A2637" s="400" t="n">
        <v>2635</v>
      </c>
      <c r="B2637" s="400" t="inlineStr">
        <is>
          <t>KH1110</t>
        </is>
      </c>
      <c r="C2637" s="401" t="inlineStr">
        <is>
          <t>Cửa Hàng Công Lý - Tri Tôn/ 0913.972.432</t>
        </is>
      </c>
      <c r="D2637" s="400" t="inlineStr">
        <is>
          <t>0913.972.432</t>
        </is>
      </c>
      <c r="E2637" s="402" t="n"/>
      <c r="F2637" s="401" t="inlineStr">
        <is>
          <t>Tri Tôn - AN Giang</t>
        </is>
      </c>
      <c r="G2637" s="400" t="inlineStr">
        <is>
          <t>ANGIANG</t>
        </is>
      </c>
      <c r="H2637" s="402" t="n"/>
      <c r="J2637" s="392">
        <f>IFERROR(UPPER(TRIM(B2637))&amp;"|"&amp;UPPER(TRIM(C2637))&amp;"|"&amp;UPPER(TRIM(D2637)),"")</f>
        <v/>
      </c>
    </row>
    <row r="2638" ht="15.75" customHeight="1" s="217">
      <c r="A2638" s="397" t="n">
        <v>2636</v>
      </c>
      <c r="B2638" s="397" t="inlineStr">
        <is>
          <t>KH1107</t>
        </is>
      </c>
      <c r="C2638" s="398" t="inlineStr">
        <is>
          <t>Anh Long - Bình Chánh / 0939.693.026</t>
        </is>
      </c>
      <c r="D2638" s="397" t="inlineStr">
        <is>
          <t>0939.693.026</t>
        </is>
      </c>
      <c r="E2638" s="399" t="n"/>
      <c r="F2638" s="398" t="inlineStr">
        <is>
          <t>Bình Chánh- Sài Gòn</t>
        </is>
      </c>
      <c r="G2638" s="397" t="inlineStr">
        <is>
          <t>SG/HCM</t>
        </is>
      </c>
      <c r="H2638" s="399" t="n"/>
      <c r="J2638" s="392">
        <f>IFERROR(UPPER(TRIM(B2638))&amp;"|"&amp;UPPER(TRIM(C2638))&amp;"|"&amp;UPPER(TRIM(D2638)),"")</f>
        <v/>
      </c>
    </row>
    <row r="2639" ht="15.75" customHeight="1" s="217">
      <c r="A2639" s="400" t="n">
        <v>2637</v>
      </c>
      <c r="B2639" s="400" t="inlineStr">
        <is>
          <t>KH1105</t>
        </is>
      </c>
      <c r="C2639" s="401" t="inlineStr">
        <is>
          <t>Bãi Máy Anh Tuấn - Suối Tiên/ 0903.833.391</t>
        </is>
      </c>
      <c r="D2639" s="400" t="inlineStr">
        <is>
          <t>0903.833.391</t>
        </is>
      </c>
      <c r="E2639" s="402" t="n"/>
      <c r="F2639" s="401" t="inlineStr">
        <is>
          <t>Suối Tiên - TP.HCM</t>
        </is>
      </c>
      <c r="G2639" s="400" t="inlineStr">
        <is>
          <t>SG/HCM</t>
        </is>
      </c>
      <c r="H2639" s="402" t="n"/>
      <c r="J2639" s="392">
        <f>IFERROR(UPPER(TRIM(B2639))&amp;"|"&amp;UPPER(TRIM(C2639))&amp;"|"&amp;UPPER(TRIM(D2639)),"")</f>
        <v/>
      </c>
    </row>
    <row r="2640" ht="15.75" customHeight="1" s="217">
      <c r="A2640" s="397" t="n">
        <v>2638</v>
      </c>
      <c r="B2640" s="397" t="inlineStr">
        <is>
          <t>KH1106</t>
        </is>
      </c>
      <c r="C2640" s="398" t="inlineStr">
        <is>
          <t>Anh Vũ - Bến Cát/ 0949.667.999</t>
        </is>
      </c>
      <c r="D2640" s="397" t="inlineStr">
        <is>
          <t>0949.667.999</t>
        </is>
      </c>
      <c r="E2640" s="399" t="n"/>
      <c r="F2640" s="398" t="inlineStr">
        <is>
          <t>Bến Cát - Bình Dương</t>
        </is>
      </c>
      <c r="G2640" s="397" t="inlineStr">
        <is>
          <t>BDUONG</t>
        </is>
      </c>
      <c r="H2640" s="399" t="n"/>
      <c r="J2640" s="392">
        <f>IFERROR(UPPER(TRIM(B2640))&amp;"|"&amp;UPPER(TRIM(C2640))&amp;"|"&amp;UPPER(TRIM(D2640)),"")</f>
        <v/>
      </c>
    </row>
    <row r="2641" ht="15.75" customHeight="1" s="217">
      <c r="A2641" s="400" t="n">
        <v>2639</v>
      </c>
      <c r="B2641" s="400" t="inlineStr">
        <is>
          <t>KH1103</t>
        </is>
      </c>
      <c r="C2641" s="401" t="inlineStr">
        <is>
          <t>Anh Việt - Bình Dương/ 0906.702.239</t>
        </is>
      </c>
      <c r="D2641" s="400" t="inlineStr">
        <is>
          <t>0906.702.239</t>
        </is>
      </c>
      <c r="E2641" s="402" t="n"/>
      <c r="F2641" s="401" t="inlineStr">
        <is>
          <t>Bình Dương</t>
        </is>
      </c>
      <c r="G2641" s="400" t="inlineStr">
        <is>
          <t>BDUONG</t>
        </is>
      </c>
      <c r="H2641" s="402" t="n"/>
      <c r="J2641" s="392">
        <f>IFERROR(UPPER(TRIM(B2641))&amp;"|"&amp;UPPER(TRIM(C2641))&amp;"|"&amp;UPPER(TRIM(D2641)),"")</f>
        <v/>
      </c>
    </row>
    <row r="2642" ht="15.75" customHeight="1" s="217">
      <c r="A2642" s="397" t="n">
        <v>2640</v>
      </c>
      <c r="B2642" s="397" t="inlineStr">
        <is>
          <t>KH1104</t>
        </is>
      </c>
      <c r="C2642" s="398" t="inlineStr">
        <is>
          <t>Anh Minh Hạnh - Suối Tiên/ 0909.481.118</t>
        </is>
      </c>
      <c r="D2642" s="397" t="inlineStr">
        <is>
          <t>0909.481.118</t>
        </is>
      </c>
      <c r="E2642" s="399" t="n"/>
      <c r="F2642" s="398" t="inlineStr">
        <is>
          <t>Suối Tiên - TP.HCM</t>
        </is>
      </c>
      <c r="G2642" s="397" t="inlineStr">
        <is>
          <t>SG/HCM</t>
        </is>
      </c>
      <c r="H2642" s="399" t="n"/>
      <c r="J2642" s="392">
        <f>IFERROR(UPPER(TRIM(B2642))&amp;"|"&amp;UPPER(TRIM(C2642))&amp;"|"&amp;UPPER(TRIM(D2642)),"")</f>
        <v/>
      </c>
    </row>
    <row r="2643" ht="15.75" customHeight="1" s="217">
      <c r="A2643" s="400" t="n">
        <v>2641</v>
      </c>
      <c r="B2643" s="400" t="inlineStr">
        <is>
          <t>KH1100</t>
        </is>
      </c>
      <c r="C2643" s="401" t="inlineStr">
        <is>
          <t>Xưởng Chú Sáu - An Sương/ 0903.814.202</t>
        </is>
      </c>
      <c r="D2643" s="400" t="inlineStr">
        <is>
          <t>0903.814.202</t>
        </is>
      </c>
      <c r="E2643" s="402" t="n"/>
      <c r="F2643" s="401" t="inlineStr">
        <is>
          <t>An Sương - Quận 12 - TP.HCM</t>
        </is>
      </c>
      <c r="G2643" s="400" t="inlineStr">
        <is>
          <t>SG/HCM</t>
        </is>
      </c>
      <c r="H2643" s="402" t="n"/>
      <c r="J2643" s="392">
        <f>IFERROR(UPPER(TRIM(B2643))&amp;"|"&amp;UPPER(TRIM(C2643))&amp;"|"&amp;UPPER(TRIM(D2643)),"")</f>
        <v/>
      </c>
    </row>
    <row r="2644" ht="15.75" customHeight="1" s="217">
      <c r="A2644" s="397" t="n">
        <v>2642</v>
      </c>
      <c r="B2644" s="397" t="inlineStr">
        <is>
          <t>KH1101</t>
        </is>
      </c>
      <c r="C2644" s="398" t="inlineStr">
        <is>
          <t>Anh Sẻn- Sóc Trăng/ 0989.863.567</t>
        </is>
      </c>
      <c r="D2644" s="397" t="inlineStr">
        <is>
          <t>0989.863.567</t>
        </is>
      </c>
      <c r="E2644" s="399" t="n"/>
      <c r="F2644" s="398" t="inlineStr">
        <is>
          <t>Vĩnh Châu- Sóc Trăng</t>
        </is>
      </c>
      <c r="G2644" s="397" t="inlineStr">
        <is>
          <t>SG/HCM</t>
        </is>
      </c>
      <c r="H2644" s="399" t="n"/>
      <c r="J2644" s="392">
        <f>IFERROR(UPPER(TRIM(B2644))&amp;"|"&amp;UPPER(TRIM(C2644))&amp;"|"&amp;UPPER(TRIM(D2644)),"")</f>
        <v/>
      </c>
    </row>
    <row r="2645" ht="15.75" customHeight="1" s="217">
      <c r="A2645" s="400" t="n">
        <v>2643</v>
      </c>
      <c r="B2645" s="400" t="inlineStr">
        <is>
          <t>KH1102</t>
        </is>
      </c>
      <c r="C2645" s="401" t="inlineStr">
        <is>
          <t>Anh Vũ - Cần Thơ/ 0948.817.179</t>
        </is>
      </c>
      <c r="D2645" s="400" t="inlineStr">
        <is>
          <t>0948.817.179</t>
        </is>
      </c>
      <c r="E2645" s="402" t="n"/>
      <c r="F2645" s="401" t="inlineStr">
        <is>
          <t>Cần Thơ</t>
        </is>
      </c>
      <c r="G2645" s="400" t="inlineStr">
        <is>
          <t>CTHO</t>
        </is>
      </c>
      <c r="H2645" s="402" t="n"/>
      <c r="J2645" s="392">
        <f>IFERROR(UPPER(TRIM(B2645))&amp;"|"&amp;UPPER(TRIM(C2645))&amp;"|"&amp;UPPER(TRIM(D2645)),"")</f>
        <v/>
      </c>
    </row>
    <row r="2646" ht="15.75" customHeight="1" s="217">
      <c r="A2646" s="397" t="n">
        <v>2644</v>
      </c>
      <c r="B2646" s="397" t="inlineStr">
        <is>
          <t>MN39</t>
        </is>
      </c>
      <c r="C2646" s="398" t="inlineStr">
        <is>
          <t>Trần Trí (nhỏ)</t>
        </is>
      </c>
      <c r="D2646" s="399" t="n"/>
      <c r="E2646" s="399" t="n"/>
      <c r="F2646" s="398" t="inlineStr">
        <is>
          <t>CTCP Cơ Giới Miền Nam</t>
        </is>
      </c>
      <c r="G2646" s="399" t="n"/>
      <c r="H2646" s="399" t="n"/>
      <c r="J2646" s="392">
        <f>IFERROR(UPPER(TRIM(B2646))&amp;"|"&amp;UPPER(TRIM(C2646))&amp;"|"&amp;UPPER(TRIM(D2646)),"")</f>
        <v/>
      </c>
    </row>
    <row r="2647" ht="15.75" customHeight="1" s="217">
      <c r="A2647" s="400" t="n">
        <v>2645</v>
      </c>
      <c r="B2647" s="400" t="inlineStr">
        <is>
          <t>KH1097</t>
        </is>
      </c>
      <c r="C2647" s="401" t="inlineStr">
        <is>
          <t>Xưởng Anh Mạnh Tèo - Đồng Nai/ 0909.199.334</t>
        </is>
      </c>
      <c r="D2647" s="400" t="inlineStr">
        <is>
          <t>0909.199.334</t>
        </is>
      </c>
      <c r="E2647" s="402" t="n"/>
      <c r="F2647" s="401" t="inlineStr">
        <is>
          <t>Biên Hòa - Đồng Nai</t>
        </is>
      </c>
      <c r="G2647" s="400" t="inlineStr">
        <is>
          <t>ÐNAI</t>
        </is>
      </c>
      <c r="H2647" s="402" t="n"/>
      <c r="J2647" s="392">
        <f>IFERROR(UPPER(TRIM(B2647))&amp;"|"&amp;UPPER(TRIM(C2647))&amp;"|"&amp;UPPER(TRIM(D2647)),"")</f>
        <v/>
      </c>
    </row>
    <row r="2648" ht="15.75" customHeight="1" s="217">
      <c r="A2648" s="397" t="n">
        <v>2646</v>
      </c>
      <c r="B2648" s="397" t="inlineStr">
        <is>
          <t>KH1098</t>
        </is>
      </c>
      <c r="C2648" s="398" t="inlineStr">
        <is>
          <t>Anh Khang - Thủ Đức/ 0902.799.442</t>
        </is>
      </c>
      <c r="D2648" s="397" t="inlineStr">
        <is>
          <t>0902.799.442</t>
        </is>
      </c>
      <c r="E2648" s="399" t="n"/>
      <c r="F2648" s="398" t="inlineStr">
        <is>
          <t>Thủ Đức - TP. HCM</t>
        </is>
      </c>
      <c r="G2648" s="397" t="inlineStr">
        <is>
          <t>SG/HCM</t>
        </is>
      </c>
      <c r="H2648" s="399" t="n"/>
      <c r="J2648" s="392">
        <f>IFERROR(UPPER(TRIM(B2648))&amp;"|"&amp;UPPER(TRIM(C2648))&amp;"|"&amp;UPPER(TRIM(D2648)),"")</f>
        <v/>
      </c>
    </row>
    <row r="2649" ht="15.75" customHeight="1" s="217">
      <c r="A2649" s="400" t="n">
        <v>2647</v>
      </c>
      <c r="B2649" s="400" t="inlineStr">
        <is>
          <t>KH1099</t>
        </is>
      </c>
      <c r="C2649" s="401" t="inlineStr">
        <is>
          <t>Anh Hùng -Phú Quốc/ 0905.363.929</t>
        </is>
      </c>
      <c r="D2649" s="400" t="inlineStr">
        <is>
          <t>0905.363.929</t>
        </is>
      </c>
      <c r="E2649" s="402" t="n"/>
      <c r="F2649" s="401" t="inlineStr">
        <is>
          <t>Phú Quốc - Kiên Giang</t>
        </is>
      </c>
      <c r="G2649" s="400" t="inlineStr">
        <is>
          <t>KG</t>
        </is>
      </c>
      <c r="H2649" s="402" t="n"/>
      <c r="J2649" s="392">
        <f>IFERROR(UPPER(TRIM(B2649))&amp;"|"&amp;UPPER(TRIM(C2649))&amp;"|"&amp;UPPER(TRIM(D2649)),"")</f>
        <v/>
      </c>
    </row>
    <row r="2650" ht="15.75" customHeight="1" s="217">
      <c r="A2650" s="397" t="n">
        <v>2648</v>
      </c>
      <c r="B2650" s="397" t="inlineStr">
        <is>
          <t>KH1096</t>
        </is>
      </c>
      <c r="C2650" s="398" t="inlineStr">
        <is>
          <t>Anh Thức - Đà Lạt/ 0988.644.644</t>
        </is>
      </c>
      <c r="D2650" s="397" t="inlineStr">
        <is>
          <t>0988.644.644</t>
        </is>
      </c>
      <c r="E2650" s="399" t="n"/>
      <c r="F2650" s="398" t="inlineStr">
        <is>
          <t>Bảo Lộc - Lâm Đồng</t>
        </is>
      </c>
      <c r="G2650" s="397" t="inlineStr">
        <is>
          <t>LDONG</t>
        </is>
      </c>
      <c r="H2650" s="399" t="n"/>
      <c r="J2650" s="392">
        <f>IFERROR(UPPER(TRIM(B2650))&amp;"|"&amp;UPPER(TRIM(C2650))&amp;"|"&amp;UPPER(TRIM(D2650)),"")</f>
        <v/>
      </c>
    </row>
    <row r="2651" ht="15.75" customHeight="1" s="217">
      <c r="A2651" s="400" t="n">
        <v>2649</v>
      </c>
      <c r="B2651" s="400" t="inlineStr">
        <is>
          <t>KH1095</t>
        </is>
      </c>
      <c r="C2651" s="401" t="inlineStr">
        <is>
          <t>Anh Thi - Đắk Nông/ 0967.559.379</t>
        </is>
      </c>
      <c r="D2651" s="400" t="inlineStr">
        <is>
          <t>0967.559.379</t>
        </is>
      </c>
      <c r="E2651" s="402" t="n"/>
      <c r="F2651" s="401" t="inlineStr">
        <is>
          <t>Đắk Nông</t>
        </is>
      </c>
      <c r="G2651" s="400" t="inlineStr">
        <is>
          <t>DNONG</t>
        </is>
      </c>
      <c r="H2651" s="402" t="n"/>
      <c r="J2651" s="392">
        <f>IFERROR(UPPER(TRIM(B2651))&amp;"|"&amp;UPPER(TRIM(C2651))&amp;"|"&amp;UPPER(TRIM(D2651)),"")</f>
        <v/>
      </c>
    </row>
    <row r="2652" ht="15.75" customHeight="1" s="217">
      <c r="A2652" s="397" t="n">
        <v>2650</v>
      </c>
      <c r="B2652" s="397" t="inlineStr">
        <is>
          <t>KH1092</t>
        </is>
      </c>
      <c r="C2652" s="398" t="inlineStr">
        <is>
          <t>Anh Đoàn - Vĩnh Long/ 0977.922.568</t>
        </is>
      </c>
      <c r="D2652" s="397" t="inlineStr">
        <is>
          <t>0977.922.568</t>
        </is>
      </c>
      <c r="E2652" s="399" t="n"/>
      <c r="F2652" s="398" t="inlineStr">
        <is>
          <t>Trà Ôn - Vĩnh Long</t>
        </is>
      </c>
      <c r="G2652" s="397" t="inlineStr">
        <is>
          <t>VĨNH LONG</t>
        </is>
      </c>
      <c r="H2652" s="399" t="n"/>
      <c r="J2652" s="392">
        <f>IFERROR(UPPER(TRIM(B2652))&amp;"|"&amp;UPPER(TRIM(C2652))&amp;"|"&amp;UPPER(TRIM(D2652)),"")</f>
        <v/>
      </c>
    </row>
    <row r="2653" ht="15.75" customHeight="1" s="217">
      <c r="A2653" s="400" t="n">
        <v>2651</v>
      </c>
      <c r="B2653" s="400" t="inlineStr">
        <is>
          <t>KH1093</t>
        </is>
      </c>
      <c r="C2653" s="401" t="inlineStr">
        <is>
          <t>Bãi Máy Phan Chí Nam - Suối Tiên/ Anh Kiếm - 0903.863.971</t>
        </is>
      </c>
      <c r="D2653" s="400" t="inlineStr">
        <is>
          <t>0903.863.971</t>
        </is>
      </c>
      <c r="E2653" s="402" t="n"/>
      <c r="F2653" s="401" t="inlineStr">
        <is>
          <t>Suối Tiên - TP.HCM</t>
        </is>
      </c>
      <c r="G2653" s="400" t="inlineStr">
        <is>
          <t>SG/HCM</t>
        </is>
      </c>
      <c r="H2653" s="402" t="n"/>
      <c r="J2653" s="392">
        <f>IFERROR(UPPER(TRIM(B2653))&amp;"|"&amp;UPPER(TRIM(C2653))&amp;"|"&amp;UPPER(TRIM(D2653)),"")</f>
        <v/>
      </c>
    </row>
    <row r="2654" ht="15.75" customHeight="1" s="217">
      <c r="A2654" s="397" t="n">
        <v>2652</v>
      </c>
      <c r="B2654" s="397" t="inlineStr">
        <is>
          <t>KH1094</t>
        </is>
      </c>
      <c r="C2654" s="398" t="inlineStr">
        <is>
          <t>Anh Tuân - Bến Lức - Long An / 0907.062.818</t>
        </is>
      </c>
      <c r="D2654" s="397" t="inlineStr">
        <is>
          <t>0907.062.818</t>
        </is>
      </c>
      <c r="E2654" s="399" t="n"/>
      <c r="F2654" s="398" t="inlineStr">
        <is>
          <t>Bến Lức - Long An</t>
        </is>
      </c>
      <c r="G2654" s="397" t="inlineStr">
        <is>
          <t>SG/HCM</t>
        </is>
      </c>
      <c r="H2654" s="399" t="n"/>
      <c r="J2654" s="392">
        <f>IFERROR(UPPER(TRIM(B2654))&amp;"|"&amp;UPPER(TRIM(C2654))&amp;"|"&amp;UPPER(TRIM(D2654)),"")</f>
        <v/>
      </c>
    </row>
    <row r="2655" ht="15.75" customHeight="1" s="217">
      <c r="A2655" s="400" t="n">
        <v>2653</v>
      </c>
      <c r="B2655" s="400" t="inlineStr">
        <is>
          <t>KH1086</t>
        </is>
      </c>
      <c r="C2655" s="401" t="inlineStr">
        <is>
          <t>Anh Bộ - Bình Dương/ 0966.818.088</t>
        </is>
      </c>
      <c r="D2655" s="400" t="inlineStr">
        <is>
          <t>0966.818.088</t>
        </is>
      </c>
      <c r="E2655" s="402" t="n"/>
      <c r="F2655" s="401" t="inlineStr">
        <is>
          <t>Bình Dương</t>
        </is>
      </c>
      <c r="G2655" s="400" t="inlineStr">
        <is>
          <t>BDUONG</t>
        </is>
      </c>
      <c r="H2655" s="402" t="n"/>
      <c r="J2655" s="392">
        <f>IFERROR(UPPER(TRIM(B2655))&amp;"|"&amp;UPPER(TRIM(C2655))&amp;"|"&amp;UPPER(TRIM(D2655)),"")</f>
        <v/>
      </c>
    </row>
    <row r="2656" ht="15.75" customHeight="1" s="217">
      <c r="A2656" s="397" t="n">
        <v>2654</v>
      </c>
      <c r="B2656" s="397" t="inlineStr">
        <is>
          <t>KH1087</t>
        </is>
      </c>
      <c r="C2656" s="398" t="inlineStr">
        <is>
          <t>Chú Thùy - Thủ Đức/ 0989.592.539</t>
        </is>
      </c>
      <c r="D2656" s="397" t="inlineStr">
        <is>
          <t>0989.592.539</t>
        </is>
      </c>
      <c r="E2656" s="399" t="n"/>
      <c r="F2656" s="398" t="inlineStr">
        <is>
          <t>Thủ Đức - TP.HCM</t>
        </is>
      </c>
      <c r="G2656" s="397" t="inlineStr">
        <is>
          <t>SG/HCM</t>
        </is>
      </c>
      <c r="H2656" s="399" t="n"/>
      <c r="J2656" s="392">
        <f>IFERROR(UPPER(TRIM(B2656))&amp;"|"&amp;UPPER(TRIM(C2656))&amp;"|"&amp;UPPER(TRIM(D2656)),"")</f>
        <v/>
      </c>
    </row>
    <row r="2657" ht="15.75" customHeight="1" s="217">
      <c r="A2657" s="400" t="n">
        <v>2655</v>
      </c>
      <c r="B2657" s="400" t="inlineStr">
        <is>
          <t>KH1088</t>
        </is>
      </c>
      <c r="C2657" s="401" t="inlineStr">
        <is>
          <t>anh Thuận - Cà Mau/0919.457.334</t>
        </is>
      </c>
      <c r="D2657" s="400" t="inlineStr">
        <is>
          <t>0919.457.334</t>
        </is>
      </c>
      <c r="E2657" s="402" t="n"/>
      <c r="F2657" s="401" t="inlineStr">
        <is>
          <t>Cà Mau</t>
        </is>
      </c>
      <c r="G2657" s="400" t="inlineStr">
        <is>
          <t>CMAU</t>
        </is>
      </c>
      <c r="H2657" s="402" t="n"/>
      <c r="J2657" s="392">
        <f>IFERROR(UPPER(TRIM(B2657))&amp;"|"&amp;UPPER(TRIM(C2657))&amp;"|"&amp;UPPER(TRIM(D2657)),"")</f>
        <v/>
      </c>
    </row>
    <row r="2658" ht="15.75" customHeight="1" s="217">
      <c r="A2658" s="397" t="n">
        <v>2656</v>
      </c>
      <c r="B2658" s="397" t="inlineStr">
        <is>
          <t>KH1089</t>
        </is>
      </c>
      <c r="C2658" s="398" t="inlineStr">
        <is>
          <t>Anh Hảo - Bình Dương/ 0906.484.151</t>
        </is>
      </c>
      <c r="D2658" s="397" t="inlineStr">
        <is>
          <t>0906.484.151</t>
        </is>
      </c>
      <c r="E2658" s="399" t="n"/>
      <c r="F2658" s="398" t="inlineStr">
        <is>
          <t>Bình Dương</t>
        </is>
      </c>
      <c r="G2658" s="397" t="inlineStr">
        <is>
          <t>BDUONG</t>
        </is>
      </c>
      <c r="H2658" s="399" t="n"/>
      <c r="J2658" s="392">
        <f>IFERROR(UPPER(TRIM(B2658))&amp;"|"&amp;UPPER(TRIM(C2658))&amp;"|"&amp;UPPER(TRIM(D2658)),"")</f>
        <v/>
      </c>
    </row>
    <row r="2659" ht="15.75" customHeight="1" s="217">
      <c r="A2659" s="400" t="n">
        <v>2657</v>
      </c>
      <c r="B2659" s="400" t="inlineStr">
        <is>
          <t>KH1090</t>
        </is>
      </c>
      <c r="C2659" s="401" t="inlineStr">
        <is>
          <t>Xưởng Anh Tùng - An Giang / 0913.808.011</t>
        </is>
      </c>
      <c r="D2659" s="400" t="inlineStr">
        <is>
          <t>0913.808.011</t>
        </is>
      </c>
      <c r="E2659" s="402" t="n"/>
      <c r="F2659" s="401" t="inlineStr">
        <is>
          <t>Long Xuyên - An giang</t>
        </is>
      </c>
      <c r="G2659" s="400" t="inlineStr">
        <is>
          <t>ANGIANG</t>
        </is>
      </c>
      <c r="H2659" s="402" t="n"/>
      <c r="J2659" s="392">
        <f>IFERROR(UPPER(TRIM(B2659))&amp;"|"&amp;UPPER(TRIM(C2659))&amp;"|"&amp;UPPER(TRIM(D2659)),"")</f>
        <v/>
      </c>
    </row>
    <row r="2660" ht="15.75" customHeight="1" s="217">
      <c r="A2660" s="397" t="n">
        <v>2658</v>
      </c>
      <c r="B2660" s="397" t="inlineStr">
        <is>
          <t>KH1091</t>
        </is>
      </c>
      <c r="C2660" s="398" t="inlineStr">
        <is>
          <t>Anh Đăng (Công ty Đăng Nam) - Bình Thuận / 0901.665.666</t>
        </is>
      </c>
      <c r="D2660" s="397" t="inlineStr">
        <is>
          <t>0901.665.666</t>
        </is>
      </c>
      <c r="E2660" s="399" t="n"/>
      <c r="F2660" s="398" t="inlineStr">
        <is>
          <t>Bình Thuận</t>
        </is>
      </c>
      <c r="G2660" s="397" t="inlineStr">
        <is>
          <t>BTHUAN</t>
        </is>
      </c>
      <c r="H2660" s="399" t="n"/>
      <c r="J2660" s="392">
        <f>IFERROR(UPPER(TRIM(B2660))&amp;"|"&amp;UPPER(TRIM(C2660))&amp;"|"&amp;UPPER(TRIM(D2660)),"")</f>
        <v/>
      </c>
    </row>
    <row r="2661" ht="15.75" customHeight="1" s="217">
      <c r="A2661" s="400" t="n">
        <v>2659</v>
      </c>
      <c r="B2661" s="400" t="inlineStr">
        <is>
          <t>KH1085</t>
        </is>
      </c>
      <c r="C2661" s="401" t="inlineStr">
        <is>
          <t>Chú Lực - Cty Minh Hoàng SG/0913.806.642</t>
        </is>
      </c>
      <c r="D2661" s="400" t="inlineStr">
        <is>
          <t>0913.806.642</t>
        </is>
      </c>
      <c r="E2661" s="402" t="n"/>
      <c r="F2661" s="401" t="inlineStr">
        <is>
          <t>534/3 Phạm Văn Bạch, P12, Gò Vấp, TP.HCM</t>
        </is>
      </c>
      <c r="G2661" s="400" t="inlineStr">
        <is>
          <t>SG/HCM</t>
        </is>
      </c>
      <c r="H2661" s="402" t="n"/>
      <c r="J2661" s="392">
        <f>IFERROR(UPPER(TRIM(B2661))&amp;"|"&amp;UPPER(TRIM(C2661))&amp;"|"&amp;UPPER(TRIM(D2661)),"")</f>
        <v/>
      </c>
    </row>
    <row r="2662" ht="15.75" customHeight="1" s="217">
      <c r="A2662" s="397" t="n">
        <v>2660</v>
      </c>
      <c r="B2662" s="397" t="inlineStr">
        <is>
          <t>KH1084</t>
        </is>
      </c>
      <c r="C2662" s="398" t="inlineStr">
        <is>
          <t>Chú Lưu - Sài Gòn/ 01215.108.030</t>
        </is>
      </c>
      <c r="D2662" s="397" t="inlineStr">
        <is>
          <t>01215.108.030</t>
        </is>
      </c>
      <c r="E2662" s="399" t="n"/>
      <c r="F2662" s="398" t="inlineStr">
        <is>
          <t>Sài Gòn</t>
        </is>
      </c>
      <c r="G2662" s="397" t="inlineStr">
        <is>
          <t>SG/HCM</t>
        </is>
      </c>
      <c r="H2662" s="399" t="n"/>
      <c r="J2662" s="392">
        <f>IFERROR(UPPER(TRIM(B2662))&amp;"|"&amp;UPPER(TRIM(C2662))&amp;"|"&amp;UPPER(TRIM(D2662)),"")</f>
        <v/>
      </c>
    </row>
    <row r="2663" ht="15.75" customHeight="1" s="217">
      <c r="A2663" s="400" t="n">
        <v>2661</v>
      </c>
      <c r="B2663" s="400" t="inlineStr">
        <is>
          <t>KH1081</t>
        </is>
      </c>
      <c r="C2663" s="401" t="inlineStr">
        <is>
          <t>Anh Hoàng - Quy Nhơn / 0972.425.526</t>
        </is>
      </c>
      <c r="D2663" s="400" t="inlineStr">
        <is>
          <t>0972.425.526</t>
        </is>
      </c>
      <c r="E2663" s="402" t="n"/>
      <c r="F2663" s="401" t="inlineStr">
        <is>
          <t>Quy Nhơn</t>
        </is>
      </c>
      <c r="G2663" s="400" t="inlineStr">
        <is>
          <t>BDINH</t>
        </is>
      </c>
      <c r="H2663" s="402" t="n"/>
      <c r="J2663" s="392">
        <f>IFERROR(UPPER(TRIM(B2663))&amp;"|"&amp;UPPER(TRIM(C2663))&amp;"|"&amp;UPPER(TRIM(D2663)),"")</f>
        <v/>
      </c>
    </row>
    <row r="2664" ht="15.75" customHeight="1" s="217">
      <c r="A2664" s="397" t="n">
        <v>2662</v>
      </c>
      <c r="B2664" s="397" t="inlineStr">
        <is>
          <t>KH1082</t>
        </is>
      </c>
      <c r="C2664" s="398" t="inlineStr">
        <is>
          <t>Anh Thắng - Quận 9/ 0978.834.342</t>
        </is>
      </c>
      <c r="D2664" s="397" t="inlineStr">
        <is>
          <t>0978.834.342</t>
        </is>
      </c>
      <c r="E2664" s="399" t="n"/>
      <c r="F2664" s="398" t="inlineStr">
        <is>
          <t>Quận 9, TPHCM</t>
        </is>
      </c>
      <c r="G2664" s="397" t="inlineStr">
        <is>
          <t>SG/HCM</t>
        </is>
      </c>
      <c r="H2664" s="399" t="n"/>
      <c r="J2664" s="392">
        <f>IFERROR(UPPER(TRIM(B2664))&amp;"|"&amp;UPPER(TRIM(C2664))&amp;"|"&amp;UPPER(TRIM(D2664)),"")</f>
        <v/>
      </c>
    </row>
    <row r="2665" ht="15.75" customHeight="1" s="217">
      <c r="A2665" s="400" t="n">
        <v>2663</v>
      </c>
      <c r="B2665" s="400" t="inlineStr">
        <is>
          <t>KH1083</t>
        </is>
      </c>
      <c r="C2665" s="401" t="inlineStr">
        <is>
          <t>Anh Phú - SG / 0909.886.409</t>
        </is>
      </c>
      <c r="D2665" s="400" t="inlineStr">
        <is>
          <t>0909.886.409</t>
        </is>
      </c>
      <c r="E2665" s="402" t="n"/>
      <c r="F2665" s="401" t="inlineStr">
        <is>
          <t>Tân Bình - Sài Gòn</t>
        </is>
      </c>
      <c r="G2665" s="400" t="inlineStr">
        <is>
          <t>SG/HCM</t>
        </is>
      </c>
      <c r="H2665" s="402" t="n"/>
      <c r="J2665" s="392">
        <f>IFERROR(UPPER(TRIM(B2665))&amp;"|"&amp;UPPER(TRIM(C2665))&amp;"|"&amp;UPPER(TRIM(D2665)),"")</f>
        <v/>
      </c>
    </row>
    <row r="2666" ht="15.75" customHeight="1" s="217">
      <c r="A2666" s="397" t="n">
        <v>2664</v>
      </c>
      <c r="B2666" s="397" t="inlineStr">
        <is>
          <t>KH1080</t>
        </is>
      </c>
      <c r="C2666" s="398" t="inlineStr">
        <is>
          <t>Xưởng Anh Lâm - Ngã Ba 621/0907.339.282</t>
        </is>
      </c>
      <c r="D2666" s="397" t="inlineStr">
        <is>
          <t>0907.339.282</t>
        </is>
      </c>
      <c r="E2666" s="399" t="n"/>
      <c r="F2666" s="398" t="inlineStr">
        <is>
          <t>Suối Mơ - Ngã ba 621 - Suối Tiên</t>
        </is>
      </c>
      <c r="G2666" s="397" t="inlineStr">
        <is>
          <t>SG/HCM</t>
        </is>
      </c>
      <c r="H2666" s="399" t="n"/>
      <c r="J2666" s="392">
        <f>IFERROR(UPPER(TRIM(B2666))&amp;"|"&amp;UPPER(TRIM(C2666))&amp;"|"&amp;UPPER(TRIM(D2666)),"")</f>
        <v/>
      </c>
    </row>
    <row r="2667" ht="15.75" customHeight="1" s="217">
      <c r="A2667" s="400" t="n">
        <v>2665</v>
      </c>
      <c r="B2667" s="400" t="inlineStr">
        <is>
          <t>KH1077</t>
        </is>
      </c>
      <c r="C2667" s="401" t="inlineStr">
        <is>
          <t>Anh Lực - Thạnh Hóa/0908.661.529</t>
        </is>
      </c>
      <c r="D2667" s="400" t="inlineStr">
        <is>
          <t>0908.661.529</t>
        </is>
      </c>
      <c r="E2667" s="402" t="n"/>
      <c r="F2667" s="401" t="inlineStr">
        <is>
          <t>Thạnh Hóa - Long An</t>
        </is>
      </c>
      <c r="G2667" s="400" t="inlineStr">
        <is>
          <t>LA</t>
        </is>
      </c>
      <c r="H2667" s="402" t="n"/>
      <c r="J2667" s="392">
        <f>IFERROR(UPPER(TRIM(B2667))&amp;"|"&amp;UPPER(TRIM(C2667))&amp;"|"&amp;UPPER(TRIM(D2667)),"")</f>
        <v/>
      </c>
    </row>
    <row r="2668" ht="15.75" customHeight="1" s="217">
      <c r="A2668" s="397" t="n">
        <v>2666</v>
      </c>
      <c r="B2668" s="397" t="inlineStr">
        <is>
          <t>KH1078</t>
        </is>
      </c>
      <c r="C2668" s="398" t="inlineStr">
        <is>
          <t>Công Ty CP TMXD GT Thái Bình - Gò Vấp/ Chú Đạo - 0978.343.499</t>
        </is>
      </c>
      <c r="D2668" s="397" t="inlineStr">
        <is>
          <t>0978.343.499</t>
        </is>
      </c>
      <c r="E2668" s="399" t="n"/>
      <c r="F2668" s="398" t="inlineStr">
        <is>
          <t>Gò Vấp - TP.HCM</t>
        </is>
      </c>
      <c r="G2668" s="397" t="inlineStr">
        <is>
          <t>SG/HCM</t>
        </is>
      </c>
      <c r="H2668" s="399" t="n"/>
      <c r="J2668" s="392">
        <f>IFERROR(UPPER(TRIM(B2668))&amp;"|"&amp;UPPER(TRIM(C2668))&amp;"|"&amp;UPPER(TRIM(D2668)),"")</f>
        <v/>
      </c>
    </row>
    <row r="2669" ht="15.75" customHeight="1" s="217">
      <c r="A2669" s="400" t="n">
        <v>2667</v>
      </c>
      <c r="B2669" s="400" t="inlineStr">
        <is>
          <t>KH1079</t>
        </is>
      </c>
      <c r="C2669" s="401" t="inlineStr">
        <is>
          <t>Anh Hậu - Đức Trọng (L)/ 01655.470.986</t>
        </is>
      </c>
      <c r="D2669" s="400" t="inlineStr">
        <is>
          <t>01655.470.986</t>
        </is>
      </c>
      <c r="E2669" s="402" t="n"/>
      <c r="F2669" s="401" t="inlineStr">
        <is>
          <t>Đức Trọng - Lâm Đồng</t>
        </is>
      </c>
      <c r="G2669" s="400" t="inlineStr">
        <is>
          <t>LDONG</t>
        </is>
      </c>
      <c r="H2669" s="402" t="n"/>
      <c r="J2669" s="392">
        <f>IFERROR(UPPER(TRIM(B2669))&amp;"|"&amp;UPPER(TRIM(C2669))&amp;"|"&amp;UPPER(TRIM(D2669)),"")</f>
        <v/>
      </c>
    </row>
    <row r="2670" ht="15.75" customHeight="1" s="217">
      <c r="A2670" s="397" t="n">
        <v>2668</v>
      </c>
      <c r="B2670" s="397" t="inlineStr">
        <is>
          <t>KH1076</t>
        </is>
      </c>
      <c r="C2670" s="398" t="inlineStr">
        <is>
          <t>Anh Thăng - Đắk Nông/ 0983.900.279</t>
        </is>
      </c>
      <c r="D2670" s="397" t="inlineStr">
        <is>
          <t>0983.900.279</t>
        </is>
      </c>
      <c r="E2670" s="399" t="n"/>
      <c r="F2670" s="398" t="inlineStr">
        <is>
          <t>Ngã ba Đồi Thông - Nhân Cơ - Đắk Nông</t>
        </is>
      </c>
      <c r="G2670" s="397" t="inlineStr">
        <is>
          <t>DNONG</t>
        </is>
      </c>
      <c r="H2670" s="399" t="n"/>
      <c r="J2670" s="392">
        <f>IFERROR(UPPER(TRIM(B2670))&amp;"|"&amp;UPPER(TRIM(C2670))&amp;"|"&amp;UPPER(TRIM(D2670)),"")</f>
        <v/>
      </c>
    </row>
    <row r="2671" ht="15.75" customHeight="1" s="217">
      <c r="A2671" s="400" t="n">
        <v>2669</v>
      </c>
      <c r="B2671" s="400" t="inlineStr">
        <is>
          <t>KH1074</t>
        </is>
      </c>
      <c r="C2671" s="401" t="inlineStr">
        <is>
          <t>X anh Chín - Bình chánh / 0902.799.272</t>
        </is>
      </c>
      <c r="D2671" s="400" t="inlineStr">
        <is>
          <t>0902.799.272</t>
        </is>
      </c>
      <c r="E2671" s="402" t="n"/>
      <c r="F2671" s="401" t="inlineStr">
        <is>
          <t>Bình Chánh</t>
        </is>
      </c>
      <c r="G2671" s="400" t="inlineStr">
        <is>
          <t>SG/HCM</t>
        </is>
      </c>
      <c r="H2671" s="402" t="n"/>
      <c r="J2671" s="392">
        <f>IFERROR(UPPER(TRIM(B2671))&amp;"|"&amp;UPPER(TRIM(C2671))&amp;"|"&amp;UPPER(TRIM(D2671)),"")</f>
        <v/>
      </c>
    </row>
    <row r="2672" ht="15.75" customHeight="1" s="217">
      <c r="A2672" s="397" t="n">
        <v>2670</v>
      </c>
      <c r="B2672" s="397" t="inlineStr">
        <is>
          <t>KH1075</t>
        </is>
      </c>
      <c r="C2672" s="398" t="inlineStr">
        <is>
          <t>Anh Tý - Gia Lai / 0986.907.979</t>
        </is>
      </c>
      <c r="D2672" s="397" t="inlineStr">
        <is>
          <t>0986.907.979</t>
        </is>
      </c>
      <c r="E2672" s="399" t="n"/>
      <c r="F2672" s="398" t="inlineStr">
        <is>
          <t>Gia Lai</t>
        </is>
      </c>
      <c r="G2672" s="397" t="inlineStr">
        <is>
          <t>GLAI</t>
        </is>
      </c>
      <c r="H2672" s="399" t="n"/>
      <c r="J2672" s="392">
        <f>IFERROR(UPPER(TRIM(B2672))&amp;"|"&amp;UPPER(TRIM(C2672))&amp;"|"&amp;UPPER(TRIM(D2672)),"")</f>
        <v/>
      </c>
    </row>
    <row r="2673" ht="15.75" customHeight="1" s="217">
      <c r="A2673" s="400" t="n">
        <v>2671</v>
      </c>
      <c r="B2673" s="400" t="inlineStr">
        <is>
          <t>KH1072</t>
        </is>
      </c>
      <c r="C2673" s="401" t="inlineStr">
        <is>
          <t>Cửa hàng Vững Phát - Cần Thơ / 0913.740.900 - Fax: 07103.737.352</t>
        </is>
      </c>
      <c r="D2673" s="400" t="inlineStr">
        <is>
          <t>0913.740.900 / 07103.737.352</t>
        </is>
      </c>
      <c r="E2673" s="402" t="n"/>
      <c r="F2673" s="401" t="inlineStr">
        <is>
          <t>Cần Thơ</t>
        </is>
      </c>
      <c r="G2673" s="400" t="inlineStr">
        <is>
          <t>CTHO</t>
        </is>
      </c>
      <c r="H2673" s="402" t="n"/>
      <c r="J2673" s="392">
        <f>IFERROR(UPPER(TRIM(B2673))&amp;"|"&amp;UPPER(TRIM(C2673))&amp;"|"&amp;UPPER(TRIM(D2673)),"")</f>
        <v/>
      </c>
    </row>
    <row r="2674" ht="15.75" customHeight="1" s="217">
      <c r="A2674" s="397" t="n">
        <v>2672</v>
      </c>
      <c r="B2674" s="397" t="inlineStr">
        <is>
          <t>KH1073</t>
        </is>
      </c>
      <c r="C2674" s="398" t="inlineStr">
        <is>
          <t>Anh út - Man Yang, Gia Lai/ 0983.839.064 - 01638.141.642</t>
        </is>
      </c>
      <c r="D2674" s="397" t="inlineStr">
        <is>
          <t>0983.839.064 / 01638.141.642</t>
        </is>
      </c>
      <c r="E2674" s="399" t="n"/>
      <c r="F2674" s="398" t="inlineStr">
        <is>
          <t>Man Yang - Gia Lai</t>
        </is>
      </c>
      <c r="G2674" s="397" t="inlineStr">
        <is>
          <t>GLAI</t>
        </is>
      </c>
      <c r="H2674" s="399" t="n"/>
      <c r="J2674" s="392">
        <f>IFERROR(UPPER(TRIM(B2674))&amp;"|"&amp;UPPER(TRIM(C2674))&amp;"|"&amp;UPPER(TRIM(D2674)),"")</f>
        <v/>
      </c>
    </row>
    <row r="2675" ht="15.75" customHeight="1" s="217">
      <c r="A2675" s="400" t="n">
        <v>2673</v>
      </c>
      <c r="B2675" s="400" t="inlineStr">
        <is>
          <t>KH1071</t>
        </is>
      </c>
      <c r="C2675" s="401" t="inlineStr">
        <is>
          <t>Anh Chi - Sài Gòn/ 0918.019.143</t>
        </is>
      </c>
      <c r="D2675" s="400" t="inlineStr">
        <is>
          <t>0918.019.143</t>
        </is>
      </c>
      <c r="E2675" s="402" t="n"/>
      <c r="F2675" s="401" t="inlineStr">
        <is>
          <t>Sài Gòn</t>
        </is>
      </c>
      <c r="G2675" s="400" t="inlineStr">
        <is>
          <t>SG/HCM</t>
        </is>
      </c>
      <c r="H2675" s="402" t="n"/>
      <c r="J2675" s="392">
        <f>IFERROR(UPPER(TRIM(B2675))&amp;"|"&amp;UPPER(TRIM(C2675))&amp;"|"&amp;UPPER(TRIM(D2675)),"")</f>
        <v/>
      </c>
    </row>
    <row r="2676" ht="15.75" customHeight="1" s="217">
      <c r="A2676" s="397" t="n">
        <v>2674</v>
      </c>
      <c r="B2676" s="397" t="inlineStr">
        <is>
          <t>MN38</t>
        </is>
      </c>
      <c r="C2676" s="398" t="inlineStr">
        <is>
          <t>Lê Thị Hồng</t>
        </is>
      </c>
      <c r="D2676" s="399" t="n"/>
      <c r="E2676" s="399" t="n"/>
      <c r="F2676" s="398" t="inlineStr">
        <is>
          <t>CTCP Cơ Giới Miền Nam</t>
        </is>
      </c>
      <c r="G2676" s="399" t="n"/>
      <c r="H2676" s="399" t="n"/>
      <c r="J2676" s="392">
        <f>IFERROR(UPPER(TRIM(B2676))&amp;"|"&amp;UPPER(TRIM(C2676))&amp;"|"&amp;UPPER(TRIM(D2676)),"")</f>
        <v/>
      </c>
    </row>
    <row r="2677" ht="15.75" customHeight="1" s="217">
      <c r="A2677" s="400" t="n">
        <v>2675</v>
      </c>
      <c r="B2677" s="400" t="inlineStr">
        <is>
          <t>KH1070</t>
        </is>
      </c>
      <c r="C2677" s="401" t="inlineStr">
        <is>
          <t>Anh Bi- Đức Hoà-Long An/0965.332.750</t>
        </is>
      </c>
      <c r="D2677" s="400" t="inlineStr">
        <is>
          <t>0965.332.750</t>
        </is>
      </c>
      <c r="E2677" s="402" t="n"/>
      <c r="F2677" s="401" t="inlineStr">
        <is>
          <t>Đức Hoà-Long An</t>
        </is>
      </c>
      <c r="G2677" s="400" t="inlineStr">
        <is>
          <t>LA</t>
        </is>
      </c>
      <c r="H2677" s="402" t="n"/>
      <c r="J2677" s="392">
        <f>IFERROR(UPPER(TRIM(B2677))&amp;"|"&amp;UPPER(TRIM(C2677))&amp;"|"&amp;UPPER(TRIM(D2677)),"")</f>
        <v/>
      </c>
    </row>
    <row r="2678" ht="15.75" customHeight="1" s="217">
      <c r="A2678" s="397" t="n">
        <v>2676</v>
      </c>
      <c r="B2678" s="397" t="inlineStr">
        <is>
          <t>KH1067</t>
        </is>
      </c>
      <c r="C2678" s="398" t="inlineStr">
        <is>
          <t>Anh Thiện - Cà Mau/ 0949.117.577</t>
        </is>
      </c>
      <c r="D2678" s="397" t="inlineStr">
        <is>
          <t>0949.117.577</t>
        </is>
      </c>
      <c r="E2678" s="399" t="n"/>
      <c r="F2678" s="398" t="inlineStr">
        <is>
          <t>Cà Mau</t>
        </is>
      </c>
      <c r="G2678" s="397" t="inlineStr">
        <is>
          <t>CMAU</t>
        </is>
      </c>
      <c r="H2678" s="399" t="n"/>
      <c r="J2678" s="392">
        <f>IFERROR(UPPER(TRIM(B2678))&amp;"|"&amp;UPPER(TRIM(C2678))&amp;"|"&amp;UPPER(TRIM(D2678)),"")</f>
        <v/>
      </c>
    </row>
    <row r="2679" ht="15.75" customHeight="1" s="217">
      <c r="A2679" s="400" t="n">
        <v>2677</v>
      </c>
      <c r="B2679" s="400" t="inlineStr">
        <is>
          <t>KH1068</t>
        </is>
      </c>
      <c r="C2679" s="401" t="inlineStr">
        <is>
          <t>Anh Đen-Cai Lậy -Tiền Giang/0939.572.519</t>
        </is>
      </c>
      <c r="D2679" s="400" t="inlineStr">
        <is>
          <t>0939.572.519</t>
        </is>
      </c>
      <c r="E2679" s="402" t="n"/>
      <c r="F2679" s="401" t="inlineStr">
        <is>
          <t>Cai Lậy-Tiền Giang</t>
        </is>
      </c>
      <c r="G2679" s="400" t="inlineStr">
        <is>
          <t>TGIANG</t>
        </is>
      </c>
      <c r="H2679" s="402" t="n"/>
      <c r="J2679" s="392">
        <f>IFERROR(UPPER(TRIM(B2679))&amp;"|"&amp;UPPER(TRIM(C2679))&amp;"|"&amp;UPPER(TRIM(D2679)),"")</f>
        <v/>
      </c>
    </row>
    <row r="2680" ht="15.75" customHeight="1" s="217">
      <c r="A2680" s="397" t="n">
        <v>2678</v>
      </c>
      <c r="B2680" s="397" t="inlineStr">
        <is>
          <t>KH1069</t>
        </is>
      </c>
      <c r="C2680" s="398" t="inlineStr">
        <is>
          <t>Anh Lý - Đăk Nông / 0979.152.161</t>
        </is>
      </c>
      <c r="D2680" s="397" t="inlineStr">
        <is>
          <t>0979.152.161</t>
        </is>
      </c>
      <c r="E2680" s="399" t="n"/>
      <c r="F2680" s="398" t="inlineStr">
        <is>
          <t>Đăk Nông</t>
        </is>
      </c>
      <c r="G2680" s="397" t="inlineStr">
        <is>
          <t>DNONG</t>
        </is>
      </c>
      <c r="H2680" s="399" t="n"/>
      <c r="J2680" s="392">
        <f>IFERROR(UPPER(TRIM(B2680))&amp;"|"&amp;UPPER(TRIM(C2680))&amp;"|"&amp;UPPER(TRIM(D2680)),"")</f>
        <v/>
      </c>
    </row>
    <row r="2681" ht="15.75" customHeight="1" s="217">
      <c r="A2681" s="400" t="n">
        <v>2679</v>
      </c>
      <c r="B2681" s="400" t="inlineStr">
        <is>
          <t>KH1063</t>
        </is>
      </c>
      <c r="C2681" s="401" t="inlineStr">
        <is>
          <t>Anh Quang Thanh - Lộc Ninh/ 0919.193.149</t>
        </is>
      </c>
      <c r="D2681" s="400" t="inlineStr">
        <is>
          <t>0919.193.149</t>
        </is>
      </c>
      <c r="E2681" s="402" t="n"/>
      <c r="F2681" s="401" t="inlineStr">
        <is>
          <t>Lộc Ninh - Bình Phước</t>
        </is>
      </c>
      <c r="G2681" s="400" t="inlineStr">
        <is>
          <t>BP</t>
        </is>
      </c>
      <c r="H2681" s="402" t="n"/>
      <c r="J2681" s="392">
        <f>IFERROR(UPPER(TRIM(B2681))&amp;"|"&amp;UPPER(TRIM(C2681))&amp;"|"&amp;UPPER(TRIM(D2681)),"")</f>
        <v/>
      </c>
    </row>
    <row r="2682" ht="15.75" customHeight="1" s="217">
      <c r="A2682" s="397" t="n">
        <v>2680</v>
      </c>
      <c r="B2682" s="397" t="inlineStr">
        <is>
          <t>KH1064</t>
        </is>
      </c>
      <c r="C2682" s="398" t="inlineStr">
        <is>
          <t>Anh Thật - Quảng Ngãi/ 0916.242.661</t>
        </is>
      </c>
      <c r="D2682" s="397" t="inlineStr">
        <is>
          <t>0916.242.661</t>
        </is>
      </c>
      <c r="E2682" s="399" t="n"/>
      <c r="F2682" s="398" t="inlineStr">
        <is>
          <t>Quảng Ngãi</t>
        </is>
      </c>
      <c r="G2682" s="397" t="inlineStr">
        <is>
          <t>QUNGAI</t>
        </is>
      </c>
      <c r="H2682" s="399" t="n"/>
      <c r="J2682" s="392">
        <f>IFERROR(UPPER(TRIM(B2682))&amp;"|"&amp;UPPER(TRIM(C2682))&amp;"|"&amp;UPPER(TRIM(D2682)),"")</f>
        <v/>
      </c>
    </row>
    <row r="2683" ht="15.75" customHeight="1" s="217">
      <c r="A2683" s="400" t="n">
        <v>2681</v>
      </c>
      <c r="B2683" s="400" t="inlineStr">
        <is>
          <t>KH1065</t>
        </is>
      </c>
      <c r="C2683" s="401" t="inlineStr">
        <is>
          <t>Bãi máy Quang Thọ - SG/ 0913.638.848</t>
        </is>
      </c>
      <c r="D2683" s="400" t="inlineStr">
        <is>
          <t>0913.638.848</t>
        </is>
      </c>
      <c r="E2683" s="402" t="n"/>
      <c r="F2683" s="401" t="inlineStr">
        <is>
          <t>99 QL1A, KP5, P. Linh Trung, Q.Thủ Đức, TPHCM</t>
        </is>
      </c>
      <c r="G2683" s="400" t="inlineStr">
        <is>
          <t>SG/HCM</t>
        </is>
      </c>
      <c r="H2683" s="402" t="n"/>
      <c r="J2683" s="392">
        <f>IFERROR(UPPER(TRIM(B2683))&amp;"|"&amp;UPPER(TRIM(C2683))&amp;"|"&amp;UPPER(TRIM(D2683)),"")</f>
        <v/>
      </c>
    </row>
    <row r="2684" ht="15.75" customHeight="1" s="217">
      <c r="A2684" s="397" t="n">
        <v>2682</v>
      </c>
      <c r="B2684" s="397" t="inlineStr">
        <is>
          <t>KH1066</t>
        </is>
      </c>
      <c r="C2684" s="398" t="inlineStr">
        <is>
          <t>Bãi Máy Hoàng Quang Hưng - Suối Tiên/ 0913.942.179</t>
        </is>
      </c>
      <c r="D2684" s="397" t="inlineStr">
        <is>
          <t>0913.942.179</t>
        </is>
      </c>
      <c r="E2684" s="399" t="n"/>
      <c r="F2684" s="398" t="inlineStr">
        <is>
          <t>Suối Tiên - TP.HCM</t>
        </is>
      </c>
      <c r="G2684" s="397" t="inlineStr">
        <is>
          <t>SG/HCM</t>
        </is>
      </c>
      <c r="H2684" s="399" t="n"/>
      <c r="J2684" s="392">
        <f>IFERROR(UPPER(TRIM(B2684))&amp;"|"&amp;UPPER(TRIM(C2684))&amp;"|"&amp;UPPER(TRIM(D2684)),"")</f>
        <v/>
      </c>
    </row>
    <row r="2685" ht="15.75" customHeight="1" s="217">
      <c r="A2685" s="400" t="n">
        <v>2683</v>
      </c>
      <c r="B2685" s="400" t="inlineStr">
        <is>
          <t>KH1060</t>
        </is>
      </c>
      <c r="C2685" s="401" t="inlineStr">
        <is>
          <t>Anh Bi - Đức Trọng/ 0907.990.114</t>
        </is>
      </c>
      <c r="D2685" s="400" t="inlineStr">
        <is>
          <t>0907.990.114</t>
        </is>
      </c>
      <c r="E2685" s="402" t="n"/>
      <c r="F2685" s="401" t="inlineStr">
        <is>
          <t>Đức Trọng - Lâm Đồng</t>
        </is>
      </c>
      <c r="G2685" s="400" t="inlineStr">
        <is>
          <t>LDONG</t>
        </is>
      </c>
      <c r="H2685" s="402" t="n"/>
      <c r="J2685" s="392">
        <f>IFERROR(UPPER(TRIM(B2685))&amp;"|"&amp;UPPER(TRIM(C2685))&amp;"|"&amp;UPPER(TRIM(D2685)),"")</f>
        <v/>
      </c>
    </row>
    <row r="2686" ht="15.75" customHeight="1" s="217">
      <c r="A2686" s="397" t="n">
        <v>2684</v>
      </c>
      <c r="B2686" s="397" t="inlineStr">
        <is>
          <t>KH1061</t>
        </is>
      </c>
      <c r="C2686" s="398" t="inlineStr">
        <is>
          <t>Bãi Máy Anh Vàng - Đức Hòa/ 0945.400.400</t>
        </is>
      </c>
      <c r="D2686" s="397" t="inlineStr">
        <is>
          <t>0945.400.400</t>
        </is>
      </c>
      <c r="E2686" s="399" t="n"/>
      <c r="F2686" s="398" t="inlineStr">
        <is>
          <t>Đức Hòa - Long An</t>
        </is>
      </c>
      <c r="G2686" s="397" t="inlineStr">
        <is>
          <t>LA</t>
        </is>
      </c>
      <c r="H2686" s="399" t="n"/>
      <c r="J2686" s="392">
        <f>IFERROR(UPPER(TRIM(B2686))&amp;"|"&amp;UPPER(TRIM(C2686))&amp;"|"&amp;UPPER(TRIM(D2686)),"")</f>
        <v/>
      </c>
    </row>
    <row r="2687" ht="15.75" customHeight="1" s="217">
      <c r="A2687" s="400" t="n">
        <v>2685</v>
      </c>
      <c r="B2687" s="400" t="inlineStr">
        <is>
          <t>KH1062</t>
        </is>
      </c>
      <c r="C2687" s="401" t="inlineStr">
        <is>
          <t>Anh Lớn - Cà Mau/ 0939.498.249</t>
        </is>
      </c>
      <c r="D2687" s="400" t="inlineStr">
        <is>
          <t>0939.498.249</t>
        </is>
      </c>
      <c r="E2687" s="402" t="n"/>
      <c r="F2687" s="401" t="inlineStr">
        <is>
          <t>Cà Mau</t>
        </is>
      </c>
      <c r="G2687" s="400" t="inlineStr">
        <is>
          <t>CMAU</t>
        </is>
      </c>
      <c r="H2687" s="402" t="n"/>
      <c r="J2687" s="392">
        <f>IFERROR(UPPER(TRIM(B2687))&amp;"|"&amp;UPPER(TRIM(C2687))&amp;"|"&amp;UPPER(TRIM(D2687)),"")</f>
        <v/>
      </c>
    </row>
    <row r="2688" ht="15.75" customHeight="1" s="217">
      <c r="A2688" s="397" t="n">
        <v>2686</v>
      </c>
      <c r="B2688" s="397" t="inlineStr">
        <is>
          <t>KH1057</t>
        </is>
      </c>
      <c r="C2688" s="398" t="inlineStr">
        <is>
          <t>Bãi Máy Hồng Quảng - Bình Chánh/0982.271.512</t>
        </is>
      </c>
      <c r="D2688" s="397" t="inlineStr">
        <is>
          <t>0982.271.512</t>
        </is>
      </c>
      <c r="E2688" s="399" t="n"/>
      <c r="F2688" s="398" t="inlineStr">
        <is>
          <t>Bình Chánh - TP.HCM</t>
        </is>
      </c>
      <c r="G2688" s="397" t="inlineStr">
        <is>
          <t>SG/HCM</t>
        </is>
      </c>
      <c r="H2688" s="399" t="n"/>
      <c r="J2688" s="392">
        <f>IFERROR(UPPER(TRIM(B2688))&amp;"|"&amp;UPPER(TRIM(C2688))&amp;"|"&amp;UPPER(TRIM(D2688)),"")</f>
        <v/>
      </c>
    </row>
    <row r="2689" ht="15.75" customHeight="1" s="217">
      <c r="A2689" s="400" t="n">
        <v>2687</v>
      </c>
      <c r="B2689" s="400" t="inlineStr">
        <is>
          <t>KH1058</t>
        </is>
      </c>
      <c r="C2689" s="401" t="inlineStr">
        <is>
          <t>Anh Tín - Tây Ninh/ 0913.141.816</t>
        </is>
      </c>
      <c r="D2689" s="400" t="inlineStr">
        <is>
          <t>0913.141.816</t>
        </is>
      </c>
      <c r="E2689" s="402" t="n"/>
      <c r="F2689" s="401" t="inlineStr">
        <is>
          <t>Tây Ninh</t>
        </is>
      </c>
      <c r="G2689" s="400" t="inlineStr">
        <is>
          <t>TNINH</t>
        </is>
      </c>
      <c r="H2689" s="402" t="n"/>
      <c r="J2689" s="392">
        <f>IFERROR(UPPER(TRIM(B2689))&amp;"|"&amp;UPPER(TRIM(C2689))&amp;"|"&amp;UPPER(TRIM(D2689)),"")</f>
        <v/>
      </c>
    </row>
    <row r="2690" ht="15.75" customHeight="1" s="217">
      <c r="A2690" s="397" t="n">
        <v>2688</v>
      </c>
      <c r="B2690" s="397" t="inlineStr">
        <is>
          <t>KH1059</t>
        </is>
      </c>
      <c r="C2690" s="398" t="inlineStr">
        <is>
          <t>Cửa Hàng Trần Gia Phát - Đức Trọng / 0902.755.720</t>
        </is>
      </c>
      <c r="D2690" s="397" t="inlineStr">
        <is>
          <t>0902.755.720</t>
        </is>
      </c>
      <c r="E2690" s="399" t="n"/>
      <c r="F2690" s="398" t="inlineStr">
        <is>
          <t>Ninh Gia - Đức Trọng - Lâm Đồng</t>
        </is>
      </c>
      <c r="G2690" s="397" t="inlineStr">
        <is>
          <t>LDONG</t>
        </is>
      </c>
      <c r="H2690" s="399" t="n"/>
      <c r="J2690" s="392">
        <f>IFERROR(UPPER(TRIM(B2690))&amp;"|"&amp;UPPER(TRIM(C2690))&amp;"|"&amp;UPPER(TRIM(D2690)),"")</f>
        <v/>
      </c>
    </row>
    <row r="2691" ht="15.75" customHeight="1" s="217">
      <c r="A2691" s="400" t="n">
        <v>2689</v>
      </c>
      <c r="B2691" s="400" t="inlineStr">
        <is>
          <t>KH1054</t>
        </is>
      </c>
      <c r="C2691" s="401" t="inlineStr">
        <is>
          <t>Vật Liệu XD 6 Sẹo - Trà Vinh/ Anh Kiệt - 0983.492.199</t>
        </is>
      </c>
      <c r="D2691" s="400" t="inlineStr">
        <is>
          <t>0983.492.199</t>
        </is>
      </c>
      <c r="E2691" s="402" t="n"/>
      <c r="F2691" s="401" t="inlineStr">
        <is>
          <t>Cầu Ngang - Trà Vinh</t>
        </is>
      </c>
      <c r="G2691" s="400" t="inlineStr">
        <is>
          <t>TV</t>
        </is>
      </c>
      <c r="H2691" s="402" t="n"/>
      <c r="J2691" s="392">
        <f>IFERROR(UPPER(TRIM(B2691))&amp;"|"&amp;UPPER(TRIM(C2691))&amp;"|"&amp;UPPER(TRIM(D2691)),"")</f>
        <v/>
      </c>
    </row>
    <row r="2692" ht="15.75" customHeight="1" s="217">
      <c r="A2692" s="397" t="n">
        <v>2690</v>
      </c>
      <c r="B2692" s="397" t="inlineStr">
        <is>
          <t>KH1055</t>
        </is>
      </c>
      <c r="C2692" s="398" t="inlineStr">
        <is>
          <t>anh Thanh Tùng - Đức Trọng/0913.744.904</t>
        </is>
      </c>
      <c r="D2692" s="397" t="inlineStr">
        <is>
          <t>0913.744.904</t>
        </is>
      </c>
      <c r="E2692" s="399" t="n"/>
      <c r="F2692" s="398" t="inlineStr">
        <is>
          <t>Đức Trọng - Lâm Đồng</t>
        </is>
      </c>
      <c r="G2692" s="397" t="inlineStr">
        <is>
          <t>LDONG</t>
        </is>
      </c>
      <c r="H2692" s="399" t="n"/>
      <c r="J2692" s="392">
        <f>IFERROR(UPPER(TRIM(B2692))&amp;"|"&amp;UPPER(TRIM(C2692))&amp;"|"&amp;UPPER(TRIM(D2692)),"")</f>
        <v/>
      </c>
    </row>
    <row r="2693" ht="15.75" customHeight="1" s="217">
      <c r="A2693" s="400" t="n">
        <v>2691</v>
      </c>
      <c r="B2693" s="400" t="inlineStr">
        <is>
          <t>KH1056</t>
        </is>
      </c>
      <c r="C2693" s="401" t="inlineStr">
        <is>
          <t>Bãi Máy Phú Thọ- Suối Tiên/ 0913.727.742 or 0934.110.909</t>
        </is>
      </c>
      <c r="D2693" s="400" t="inlineStr">
        <is>
          <t>0913.727.742 / 0934.110.909</t>
        </is>
      </c>
      <c r="E2693" s="402" t="n"/>
      <c r="F2693" s="401" t="inlineStr">
        <is>
          <t>Suối Tiên- Sài Gòn</t>
        </is>
      </c>
      <c r="G2693" s="400" t="inlineStr">
        <is>
          <t>SG/HCM</t>
        </is>
      </c>
      <c r="H2693" s="402" t="n"/>
      <c r="J2693" s="392">
        <f>IFERROR(UPPER(TRIM(B2693))&amp;"|"&amp;UPPER(TRIM(C2693))&amp;"|"&amp;UPPER(TRIM(D2693)),"")</f>
        <v/>
      </c>
    </row>
    <row r="2694" ht="15.75" customHeight="1" s="217">
      <c r="A2694" s="397" t="n">
        <v>2692</v>
      </c>
      <c r="B2694" s="397" t="inlineStr">
        <is>
          <t>KH1053</t>
        </is>
      </c>
      <c r="C2694" s="398" t="inlineStr">
        <is>
          <t>Bãi Máy Chú Mỹ - Bình Chánh/ 0903.851.132</t>
        </is>
      </c>
      <c r="D2694" s="397" t="inlineStr">
        <is>
          <t>0903.851.132</t>
        </is>
      </c>
      <c r="E2694" s="399" t="n"/>
      <c r="F2694" s="398" t="inlineStr">
        <is>
          <t>Bình Chánh - TP.HCM</t>
        </is>
      </c>
      <c r="G2694" s="397" t="inlineStr">
        <is>
          <t>SG/HCM</t>
        </is>
      </c>
      <c r="H2694" s="399" t="n"/>
      <c r="J2694" s="392">
        <f>IFERROR(UPPER(TRIM(B2694))&amp;"|"&amp;UPPER(TRIM(C2694))&amp;"|"&amp;UPPER(TRIM(D2694)),"")</f>
        <v/>
      </c>
    </row>
    <row r="2695" ht="15.75" customHeight="1" s="217">
      <c r="A2695" s="400" t="n">
        <v>2693</v>
      </c>
      <c r="B2695" s="400" t="inlineStr">
        <is>
          <t>KH1052</t>
        </is>
      </c>
      <c r="C2695" s="401" t="inlineStr">
        <is>
          <t>Anh Hai - Đắk Nông/ 0985.864.020</t>
        </is>
      </c>
      <c r="D2695" s="400" t="inlineStr">
        <is>
          <t>0985.864.020</t>
        </is>
      </c>
      <c r="E2695" s="402" t="n"/>
      <c r="F2695" s="401" t="inlineStr">
        <is>
          <t>Đăk Nông</t>
        </is>
      </c>
      <c r="G2695" s="400" t="inlineStr">
        <is>
          <t>DNONG</t>
        </is>
      </c>
      <c r="H2695" s="402" t="n"/>
      <c r="J2695" s="392">
        <f>IFERROR(UPPER(TRIM(B2695))&amp;"|"&amp;UPPER(TRIM(C2695))&amp;"|"&amp;UPPER(TRIM(D2695)),"")</f>
        <v/>
      </c>
    </row>
    <row r="2696" ht="15.75" customHeight="1" s="217">
      <c r="A2696" s="397" t="n">
        <v>2694</v>
      </c>
      <c r="B2696" s="397" t="inlineStr">
        <is>
          <t>KH1050</t>
        </is>
      </c>
      <c r="C2696" s="398" t="inlineStr">
        <is>
          <t>Anh Lành - Bến Lức/ 0948.082.867</t>
        </is>
      </c>
      <c r="D2696" s="397" t="inlineStr">
        <is>
          <t>0948.082.867</t>
        </is>
      </c>
      <c r="E2696" s="399" t="n"/>
      <c r="F2696" s="398" t="inlineStr">
        <is>
          <t>Bến Lức - Long An</t>
        </is>
      </c>
      <c r="G2696" s="397" t="inlineStr">
        <is>
          <t>LA</t>
        </is>
      </c>
      <c r="H2696" s="399" t="n"/>
      <c r="J2696" s="392">
        <f>IFERROR(UPPER(TRIM(B2696))&amp;"|"&amp;UPPER(TRIM(C2696))&amp;"|"&amp;UPPER(TRIM(D2696)),"")</f>
        <v/>
      </c>
    </row>
    <row r="2697" ht="15.75" customHeight="1" s="217">
      <c r="A2697" s="400" t="n">
        <v>2695</v>
      </c>
      <c r="B2697" s="400" t="inlineStr">
        <is>
          <t>KH1051</t>
        </is>
      </c>
      <c r="C2697" s="401" t="inlineStr">
        <is>
          <t>Anh Lương - Quảng Khê/ 0935.291.939</t>
        </is>
      </c>
      <c r="D2697" s="400" t="inlineStr">
        <is>
          <t>0935.291.939</t>
        </is>
      </c>
      <c r="E2697" s="402" t="n"/>
      <c r="F2697" s="401" t="inlineStr">
        <is>
          <t>Quảng Khê - Đắk Nông</t>
        </is>
      </c>
      <c r="G2697" s="400" t="inlineStr">
        <is>
          <t>DNONG</t>
        </is>
      </c>
      <c r="H2697" s="402" t="n"/>
      <c r="J2697" s="392">
        <f>IFERROR(UPPER(TRIM(B2697))&amp;"|"&amp;UPPER(TRIM(C2697))&amp;"|"&amp;UPPER(TRIM(D2697)),"")</f>
        <v/>
      </c>
    </row>
    <row r="2698" ht="15.75" customHeight="1" s="217">
      <c r="A2698" s="397" t="n">
        <v>2696</v>
      </c>
      <c r="B2698" s="397" t="inlineStr">
        <is>
          <t>KH1049</t>
        </is>
      </c>
      <c r="C2698" s="398" t="inlineStr">
        <is>
          <t>Anh Quân - Quảng Ngãi/0947.855.388</t>
        </is>
      </c>
      <c r="D2698" s="397" t="inlineStr">
        <is>
          <t>0947.855.388</t>
        </is>
      </c>
      <c r="E2698" s="399" t="n"/>
      <c r="F2698" s="398" t="inlineStr">
        <is>
          <t>Quảng Ngãi</t>
        </is>
      </c>
      <c r="G2698" s="397" t="inlineStr">
        <is>
          <t>QUNGAI</t>
        </is>
      </c>
      <c r="H2698" s="399" t="n"/>
      <c r="J2698" s="392">
        <f>IFERROR(UPPER(TRIM(B2698))&amp;"|"&amp;UPPER(TRIM(C2698))&amp;"|"&amp;UPPER(TRIM(D2698)),"")</f>
        <v/>
      </c>
    </row>
    <row r="2699" ht="15.75" customHeight="1" s="217">
      <c r="A2699" s="400" t="n">
        <v>2697</v>
      </c>
      <c r="B2699" s="400" t="inlineStr">
        <is>
          <t>KH1048</t>
        </is>
      </c>
      <c r="C2699" s="401" t="inlineStr">
        <is>
          <t>Anh Lợi - Bình Chánh/0908.686.127</t>
        </is>
      </c>
      <c r="D2699" s="400" t="inlineStr">
        <is>
          <t>0908.686.127</t>
        </is>
      </c>
      <c r="E2699" s="402" t="n"/>
      <c r="F2699" s="401" t="inlineStr">
        <is>
          <t>Bình Chánh - TP.HCM</t>
        </is>
      </c>
      <c r="G2699" s="400" t="inlineStr">
        <is>
          <t>SG/HCM</t>
        </is>
      </c>
      <c r="H2699" s="402" t="n"/>
      <c r="J2699" s="392">
        <f>IFERROR(UPPER(TRIM(B2699))&amp;"|"&amp;UPPER(TRIM(C2699))&amp;"|"&amp;UPPER(TRIM(D2699)),"")</f>
        <v/>
      </c>
    </row>
    <row r="2700" ht="15.75" customHeight="1" s="217">
      <c r="A2700" s="397" t="n">
        <v>2698</v>
      </c>
      <c r="B2700" s="397" t="inlineStr">
        <is>
          <t>KH1046</t>
        </is>
      </c>
      <c r="C2700" s="398" t="inlineStr">
        <is>
          <t>Anh Hưng - Q9/01655.999.115</t>
        </is>
      </c>
      <c r="D2700" s="397" t="inlineStr">
        <is>
          <t>01655.999.115</t>
        </is>
      </c>
      <c r="E2700" s="399" t="n"/>
      <c r="F2700" s="398" t="inlineStr">
        <is>
          <t>Quận 9 - TP.HCM</t>
        </is>
      </c>
      <c r="G2700" s="397" t="inlineStr">
        <is>
          <t>SG/HCM</t>
        </is>
      </c>
      <c r="H2700" s="399" t="n"/>
      <c r="J2700" s="392">
        <f>IFERROR(UPPER(TRIM(B2700))&amp;"|"&amp;UPPER(TRIM(C2700))&amp;"|"&amp;UPPER(TRIM(D2700)),"")</f>
        <v/>
      </c>
    </row>
    <row r="2701" ht="15.75" customHeight="1" s="217">
      <c r="A2701" s="400" t="n">
        <v>2699</v>
      </c>
      <c r="B2701" s="400" t="inlineStr">
        <is>
          <t>KH1047</t>
        </is>
      </c>
      <c r="C2701" s="401" t="inlineStr">
        <is>
          <t>Bãi máy Mai Dũng-Bình chánh/0903.820.465</t>
        </is>
      </c>
      <c r="D2701" s="400" t="inlineStr">
        <is>
          <t>0903.820.465</t>
        </is>
      </c>
      <c r="E2701" s="402" t="n"/>
      <c r="F2701" s="401" t="inlineStr">
        <is>
          <t>Ngã Ba Quán Chuối, Quốc Lộ 1A, Bình Chánh, TP.HCM</t>
        </is>
      </c>
      <c r="G2701" s="400" t="inlineStr">
        <is>
          <t>SG/HCM</t>
        </is>
      </c>
      <c r="H2701" s="402" t="n"/>
      <c r="J2701" s="392">
        <f>IFERROR(UPPER(TRIM(B2701))&amp;"|"&amp;UPPER(TRIM(C2701))&amp;"|"&amp;UPPER(TRIM(D2701)),"")</f>
        <v/>
      </c>
    </row>
    <row r="2702" ht="15.75" customHeight="1" s="217">
      <c r="A2702" s="397" t="n">
        <v>2700</v>
      </c>
      <c r="B2702" s="397" t="inlineStr">
        <is>
          <t>KH1044</t>
        </is>
      </c>
      <c r="C2702" s="398" t="inlineStr">
        <is>
          <t>Anh Khanh - Đà Lạt/01644.554.093</t>
        </is>
      </c>
      <c r="D2702" s="397" t="inlineStr">
        <is>
          <t>01644.554.093</t>
        </is>
      </c>
      <c r="E2702" s="399" t="n"/>
      <c r="F2702" s="398" t="inlineStr">
        <is>
          <t>Đà Lạt - Lâm Đồng</t>
        </is>
      </c>
      <c r="G2702" s="397" t="inlineStr">
        <is>
          <t>LDONG</t>
        </is>
      </c>
      <c r="H2702" s="399" t="n"/>
      <c r="J2702" s="392">
        <f>IFERROR(UPPER(TRIM(B2702))&amp;"|"&amp;UPPER(TRIM(C2702))&amp;"|"&amp;UPPER(TRIM(D2702)),"")</f>
        <v/>
      </c>
    </row>
    <row r="2703" ht="15.75" customHeight="1" s="217">
      <c r="A2703" s="400" t="n">
        <v>2701</v>
      </c>
      <c r="B2703" s="400" t="inlineStr">
        <is>
          <t>KH1045</t>
        </is>
      </c>
      <c r="C2703" s="401" t="inlineStr">
        <is>
          <t>Anh Thuận - SG/0938.110.755</t>
        </is>
      </c>
      <c r="D2703" s="400" t="inlineStr">
        <is>
          <t>0938.110.755</t>
        </is>
      </c>
      <c r="E2703" s="402" t="n"/>
      <c r="F2703" s="401" t="inlineStr">
        <is>
          <t>Sài Gòn</t>
        </is>
      </c>
      <c r="G2703" s="400" t="inlineStr">
        <is>
          <t>SG/HCM</t>
        </is>
      </c>
      <c r="H2703" s="402" t="n"/>
      <c r="J2703" s="392">
        <f>IFERROR(UPPER(TRIM(B2703))&amp;"|"&amp;UPPER(TRIM(C2703))&amp;"|"&amp;UPPER(TRIM(D2703)),"")</f>
        <v/>
      </c>
    </row>
    <row r="2704" ht="15.75" customHeight="1" s="217">
      <c r="A2704" s="397" t="n">
        <v>2702</v>
      </c>
      <c r="B2704" s="397" t="inlineStr">
        <is>
          <t>KH1043</t>
        </is>
      </c>
      <c r="C2704" s="398" t="inlineStr">
        <is>
          <t>Anh Minh - Q2/ 0974.308.456</t>
        </is>
      </c>
      <c r="D2704" s="397" t="inlineStr">
        <is>
          <t>0974.308.456</t>
        </is>
      </c>
      <c r="E2704" s="399" t="n"/>
      <c r="F2704" s="398" t="inlineStr">
        <is>
          <t>Quận 2</t>
        </is>
      </c>
      <c r="G2704" s="397" t="inlineStr">
        <is>
          <t>SG/HCM</t>
        </is>
      </c>
      <c r="H2704" s="399" t="n"/>
      <c r="J2704" s="392">
        <f>IFERROR(UPPER(TRIM(B2704))&amp;"|"&amp;UPPER(TRIM(C2704))&amp;"|"&amp;UPPER(TRIM(D2704)),"")</f>
        <v/>
      </c>
    </row>
    <row r="2705" ht="15.75" customHeight="1" s="217">
      <c r="A2705" s="400" t="n">
        <v>2703</v>
      </c>
      <c r="B2705" s="400" t="inlineStr">
        <is>
          <t>KH1041</t>
        </is>
      </c>
      <c r="C2705" s="401" t="inlineStr">
        <is>
          <t>Cửa Hàng Lộc Hưng - An Khê/ Anh Lộc - 0983.469.562/ 0326.142.729</t>
        </is>
      </c>
      <c r="D2705" s="400" t="inlineStr">
        <is>
          <t>0983.469.562 / 0326.142.729</t>
        </is>
      </c>
      <c r="E2705" s="402" t="n"/>
      <c r="F2705" s="401" t="inlineStr">
        <is>
          <t>287 Quang Trung - TX An Khê - An Khê</t>
        </is>
      </c>
      <c r="G2705" s="400" t="inlineStr">
        <is>
          <t>GLAI</t>
        </is>
      </c>
      <c r="H2705" s="402" t="n"/>
      <c r="J2705" s="392">
        <f>IFERROR(UPPER(TRIM(B2705))&amp;"|"&amp;UPPER(TRIM(C2705))&amp;"|"&amp;UPPER(TRIM(D2705)),"")</f>
        <v/>
      </c>
    </row>
    <row r="2706" ht="15.75" customHeight="1" s="217">
      <c r="A2706" s="397" t="n">
        <v>2704</v>
      </c>
      <c r="B2706" s="397" t="inlineStr">
        <is>
          <t>KH1042</t>
        </is>
      </c>
      <c r="C2706" s="398" t="inlineStr">
        <is>
          <t>Anh Trưởng  (Cty Bình Định ) - SG/0908.990.386</t>
        </is>
      </c>
      <c r="D2706" s="397" t="inlineStr">
        <is>
          <t>0908.990.386</t>
        </is>
      </c>
      <c r="E2706" s="399" t="n"/>
      <c r="F2706" s="398" t="inlineStr">
        <is>
          <t>Sài Gòn</t>
        </is>
      </c>
      <c r="G2706" s="397" t="inlineStr">
        <is>
          <t>SG/HCM</t>
        </is>
      </c>
      <c r="H2706" s="399" t="n"/>
      <c r="J2706" s="392">
        <f>IFERROR(UPPER(TRIM(B2706))&amp;"|"&amp;UPPER(TRIM(C2706))&amp;"|"&amp;UPPER(TRIM(D2706)),"")</f>
        <v/>
      </c>
    </row>
    <row r="2707" ht="15.75" customHeight="1" s="217">
      <c r="A2707" s="400" t="n">
        <v>2705</v>
      </c>
      <c r="B2707" s="400" t="inlineStr">
        <is>
          <t>KH1039</t>
        </is>
      </c>
      <c r="C2707" s="401" t="inlineStr">
        <is>
          <t>Bãi Máy Thanh Sơn - Bình Chánh/ Anh Bằng - 0918.052.600</t>
        </is>
      </c>
      <c r="D2707" s="400" t="inlineStr">
        <is>
          <t>0918.052.600</t>
        </is>
      </c>
      <c r="E2707" s="402" t="n"/>
      <c r="F2707" s="401" t="inlineStr">
        <is>
          <t>Bình Chánh - TP.HCM</t>
        </is>
      </c>
      <c r="G2707" s="400" t="inlineStr">
        <is>
          <t>SG/HCM</t>
        </is>
      </c>
      <c r="H2707" s="402" t="n"/>
      <c r="J2707" s="392">
        <f>IFERROR(UPPER(TRIM(B2707))&amp;"|"&amp;UPPER(TRIM(C2707))&amp;"|"&amp;UPPER(TRIM(D2707)),"")</f>
        <v/>
      </c>
    </row>
    <row r="2708" ht="15.75" customHeight="1" s="217">
      <c r="A2708" s="397" t="n">
        <v>2706</v>
      </c>
      <c r="B2708" s="397" t="inlineStr">
        <is>
          <t>KH1040</t>
        </is>
      </c>
      <c r="C2708" s="398" t="inlineStr">
        <is>
          <t>Nguyễn Quang Hạnh - Cty Phúc An - Quận 2 / 0933.226.265 - 0903.857.589</t>
        </is>
      </c>
      <c r="D2708" s="397" t="inlineStr">
        <is>
          <t>0933.226.265 / 0903.857.589</t>
        </is>
      </c>
      <c r="E2708" s="399" t="n"/>
      <c r="F2708" s="398" t="inlineStr">
        <is>
          <t>57 Đường số 6, P. Bình Trưng Đông, Quận 2, TP HCM</t>
        </is>
      </c>
      <c r="G2708" s="397" t="inlineStr">
        <is>
          <t>SG/HCM</t>
        </is>
      </c>
      <c r="H2708" s="399" t="n"/>
      <c r="J2708" s="392">
        <f>IFERROR(UPPER(TRIM(B2708))&amp;"|"&amp;UPPER(TRIM(C2708))&amp;"|"&amp;UPPER(TRIM(D2708)),"")</f>
        <v/>
      </c>
    </row>
    <row r="2709" ht="15.75" customHeight="1" s="217">
      <c r="A2709" s="400" t="n">
        <v>2707</v>
      </c>
      <c r="B2709" s="400" t="inlineStr">
        <is>
          <t>KH1038</t>
        </is>
      </c>
      <c r="C2709" s="401" t="inlineStr">
        <is>
          <t>Chú Tài - Q7/0913.654.320</t>
        </is>
      </c>
      <c r="D2709" s="400" t="inlineStr">
        <is>
          <t>0913.654.320</t>
        </is>
      </c>
      <c r="E2709" s="402" t="n"/>
      <c r="F2709" s="401" t="inlineStr">
        <is>
          <t>Quận 7 - TP.HCM</t>
        </is>
      </c>
      <c r="G2709" s="400" t="inlineStr">
        <is>
          <t>SG/HCM</t>
        </is>
      </c>
      <c r="H2709" s="402" t="n"/>
      <c r="J2709" s="392">
        <f>IFERROR(UPPER(TRIM(B2709))&amp;"|"&amp;UPPER(TRIM(C2709))&amp;"|"&amp;UPPER(TRIM(D2709)),"")</f>
        <v/>
      </c>
    </row>
    <row r="2710" ht="15.75" customHeight="1" s="217">
      <c r="A2710" s="397" t="n">
        <v>2708</v>
      </c>
      <c r="B2710" s="397" t="inlineStr">
        <is>
          <t>KH1037</t>
        </is>
      </c>
      <c r="C2710" s="398" t="inlineStr">
        <is>
          <t>Anh Hải - Bến Lức/0907.925.929</t>
        </is>
      </c>
      <c r="D2710" s="397" t="inlineStr">
        <is>
          <t>0907.925.929</t>
        </is>
      </c>
      <c r="E2710" s="399" t="n"/>
      <c r="F2710" s="398" t="inlineStr">
        <is>
          <t>Bến Lức - Long An</t>
        </is>
      </c>
      <c r="G2710" s="397" t="inlineStr">
        <is>
          <t>LA</t>
        </is>
      </c>
      <c r="H2710" s="399" t="n"/>
      <c r="J2710" s="392">
        <f>IFERROR(UPPER(TRIM(B2710))&amp;"|"&amp;UPPER(TRIM(C2710))&amp;"|"&amp;UPPER(TRIM(D2710)),"")</f>
        <v/>
      </c>
    </row>
    <row r="2711" ht="15.75" customHeight="1" s="217">
      <c r="A2711" s="400" t="n">
        <v>2709</v>
      </c>
      <c r="B2711" s="400" t="inlineStr">
        <is>
          <t>KH1035</t>
        </is>
      </c>
      <c r="C2711" s="401" t="inlineStr">
        <is>
          <t>Anh Dũng - Long An/0916.479.152</t>
        </is>
      </c>
      <c r="D2711" s="400" t="inlineStr">
        <is>
          <t>0916.479.152</t>
        </is>
      </c>
      <c r="E2711" s="402" t="n"/>
      <c r="F2711" s="401" t="inlineStr">
        <is>
          <t>Long An</t>
        </is>
      </c>
      <c r="G2711" s="400" t="inlineStr">
        <is>
          <t>LA</t>
        </is>
      </c>
      <c r="H2711" s="402" t="n"/>
      <c r="J2711" s="392">
        <f>IFERROR(UPPER(TRIM(B2711))&amp;"|"&amp;UPPER(TRIM(C2711))&amp;"|"&amp;UPPER(TRIM(D2711)),"")</f>
        <v/>
      </c>
    </row>
    <row r="2712" ht="15.75" customHeight="1" s="217">
      <c r="A2712" s="397" t="n">
        <v>2710</v>
      </c>
      <c r="B2712" s="397" t="inlineStr">
        <is>
          <t>KH1036</t>
        </is>
      </c>
      <c r="C2712" s="398" t="inlineStr">
        <is>
          <t>Cty Bá Phúc - Anh Lợi-Kiên Giang/0974.997.799</t>
        </is>
      </c>
      <c r="D2712" s="397" t="inlineStr">
        <is>
          <t>0974.997.799</t>
        </is>
      </c>
      <c r="E2712" s="399" t="n"/>
      <c r="F2712" s="398" t="inlineStr">
        <is>
          <t>Kiên Giang</t>
        </is>
      </c>
      <c r="G2712" s="397" t="inlineStr">
        <is>
          <t>KG</t>
        </is>
      </c>
      <c r="H2712" s="399" t="n"/>
      <c r="J2712" s="392">
        <f>IFERROR(UPPER(TRIM(B2712))&amp;"|"&amp;UPPER(TRIM(C2712))&amp;"|"&amp;UPPER(TRIM(D2712)),"")</f>
        <v/>
      </c>
    </row>
    <row r="2713" ht="15.75" customHeight="1" s="217">
      <c r="A2713" s="400" t="n">
        <v>2711</v>
      </c>
      <c r="B2713" s="400" t="inlineStr">
        <is>
          <t>HDX</t>
        </is>
      </c>
      <c r="C2713" s="401" t="inlineStr">
        <is>
          <t>Chị Xuyên - BM Vĩnh Phát SG/ 0908.672.228</t>
        </is>
      </c>
      <c r="D2713" s="400" t="inlineStr">
        <is>
          <t>0908.672.228</t>
        </is>
      </c>
      <c r="E2713" s="402" t="n"/>
      <c r="F2713" s="401" t="inlineStr">
        <is>
          <t>SG</t>
        </is>
      </c>
      <c r="G2713" s="402" t="n"/>
      <c r="H2713" s="402" t="n"/>
      <c r="J2713" s="392">
        <f>IFERROR(UPPER(TRIM(B2713))&amp;"|"&amp;UPPER(TRIM(C2713))&amp;"|"&amp;UPPER(TRIM(D2713)),"")</f>
        <v/>
      </c>
    </row>
    <row r="2714" ht="15.75" customHeight="1" s="217">
      <c r="A2714" s="397" t="n">
        <v>2712</v>
      </c>
      <c r="B2714" s="397" t="inlineStr">
        <is>
          <t>KH1034</t>
        </is>
      </c>
      <c r="C2714" s="398" t="inlineStr">
        <is>
          <t>Anh Sơn - Q9/0983.496.939</t>
        </is>
      </c>
      <c r="D2714" s="397" t="inlineStr">
        <is>
          <t>0983.496.939</t>
        </is>
      </c>
      <c r="E2714" s="399" t="n"/>
      <c r="F2714" s="398" t="inlineStr">
        <is>
          <t>Quận 9 - TP.HCM</t>
        </is>
      </c>
      <c r="G2714" s="397" t="inlineStr">
        <is>
          <t>SG/HCM</t>
        </is>
      </c>
      <c r="H2714" s="399" t="n"/>
      <c r="J2714" s="392">
        <f>IFERROR(UPPER(TRIM(B2714))&amp;"|"&amp;UPPER(TRIM(C2714))&amp;"|"&amp;UPPER(TRIM(D2714)),"")</f>
        <v/>
      </c>
    </row>
    <row r="2715" ht="15.75" customHeight="1" s="217">
      <c r="A2715" s="400" t="n">
        <v>2713</v>
      </c>
      <c r="B2715" s="400" t="inlineStr">
        <is>
          <t>KH1031</t>
        </is>
      </c>
      <c r="C2715" s="401" t="inlineStr">
        <is>
          <t>Bãi Máy Ngọc Hòa - Bình Chánh/0908.536.369</t>
        </is>
      </c>
      <c r="D2715" s="400" t="inlineStr">
        <is>
          <t>0908.536.369</t>
        </is>
      </c>
      <c r="E2715" s="402" t="n"/>
      <c r="F2715" s="401" t="inlineStr">
        <is>
          <t>Quốc Lộ 1A, Bình Chánh, TP.HCM</t>
        </is>
      </c>
      <c r="G2715" s="400" t="inlineStr">
        <is>
          <t>SG/HCM</t>
        </is>
      </c>
      <c r="H2715" s="402" t="n"/>
      <c r="J2715" s="392">
        <f>IFERROR(UPPER(TRIM(B2715))&amp;"|"&amp;UPPER(TRIM(C2715))&amp;"|"&amp;UPPER(TRIM(D2715)),"")</f>
        <v/>
      </c>
    </row>
    <row r="2716" ht="15.75" customHeight="1" s="217">
      <c r="A2716" s="397" t="n">
        <v>2714</v>
      </c>
      <c r="B2716" s="397" t="inlineStr">
        <is>
          <t>KH1032</t>
        </is>
      </c>
      <c r="C2716" s="398" t="inlineStr">
        <is>
          <t>Bãi Máy Trọng Tuấn - Q9/Anh Đức - 0903.343.531</t>
        </is>
      </c>
      <c r="D2716" s="397" t="inlineStr">
        <is>
          <t>0903.343.531</t>
        </is>
      </c>
      <c r="E2716" s="399" t="n"/>
      <c r="F2716" s="398" t="inlineStr">
        <is>
          <t>Quận 9 - TP.HCM</t>
        </is>
      </c>
      <c r="G2716" s="397" t="inlineStr">
        <is>
          <t>SG/HCM</t>
        </is>
      </c>
      <c r="H2716" s="399" t="n"/>
      <c r="J2716" s="392">
        <f>IFERROR(UPPER(TRIM(B2716))&amp;"|"&amp;UPPER(TRIM(C2716))&amp;"|"&amp;UPPER(TRIM(D2716)),"")</f>
        <v/>
      </c>
    </row>
    <row r="2717" ht="15.75" customHeight="1" s="217">
      <c r="A2717" s="400" t="n">
        <v>2715</v>
      </c>
      <c r="B2717" s="400" t="inlineStr">
        <is>
          <t>KH1033</t>
        </is>
      </c>
      <c r="C2717" s="401" t="inlineStr">
        <is>
          <t>(khong dùng) Bãi Máy Bằng Lăng - SG/Anh Hòa - 0973.137.313</t>
        </is>
      </c>
      <c r="D2717" s="400" t="inlineStr">
        <is>
          <t>0973.137.313</t>
        </is>
      </c>
      <c r="E2717" s="402" t="n"/>
      <c r="F2717" s="401" t="inlineStr">
        <is>
          <t>Sài Gòn</t>
        </is>
      </c>
      <c r="G2717" s="400" t="inlineStr">
        <is>
          <t>SG/HCM</t>
        </is>
      </c>
      <c r="H2717" s="402" t="n"/>
      <c r="J2717" s="392">
        <f>IFERROR(UPPER(TRIM(B2717))&amp;"|"&amp;UPPER(TRIM(C2717))&amp;"|"&amp;UPPER(TRIM(D2717)),"")</f>
        <v/>
      </c>
    </row>
    <row r="2718" ht="15.75" customHeight="1" s="217">
      <c r="A2718" s="397" t="n">
        <v>2716</v>
      </c>
      <c r="B2718" s="397" t="inlineStr">
        <is>
          <t>CGMN</t>
        </is>
      </c>
      <c r="C2718" s="398" t="inlineStr">
        <is>
          <t>(TÁCH RON) Công ty Cổ Phần Cơ giới Miền Nam</t>
        </is>
      </c>
      <c r="D2718" s="399" t="n"/>
      <c r="E2718" s="399" t="n"/>
      <c r="F2718" s="398" t="inlineStr">
        <is>
          <t>339 Quốc Lộ 13, Phường Hiệp Bình Phước, Quận Thủ Đức, TPHCM</t>
        </is>
      </c>
      <c r="G2718" s="399" t="n"/>
      <c r="H2718" s="399" t="n"/>
      <c r="J2718" s="392">
        <f>IFERROR(UPPER(TRIM(B2718))&amp;"|"&amp;UPPER(TRIM(C2718))&amp;"|"&amp;UPPER(TRIM(D2718)),"")</f>
        <v/>
      </c>
    </row>
    <row r="2719" ht="15.75" customHeight="1" s="217">
      <c r="A2719" s="400" t="n">
        <v>2717</v>
      </c>
      <c r="B2719" s="400" t="inlineStr">
        <is>
          <t>KH1030</t>
        </is>
      </c>
      <c r="C2719" s="401" t="inlineStr">
        <is>
          <t>Anh Nhật-Quảng ngãi/0984.157.114</t>
        </is>
      </c>
      <c r="D2719" s="400" t="inlineStr">
        <is>
          <t>0984.157.114</t>
        </is>
      </c>
      <c r="E2719" s="402" t="n"/>
      <c r="F2719" s="401" t="inlineStr">
        <is>
          <t>Quảng Ngãi</t>
        </is>
      </c>
      <c r="G2719" s="400" t="inlineStr">
        <is>
          <t>QUNGAI</t>
        </is>
      </c>
      <c r="H2719" s="402" t="n"/>
      <c r="J2719" s="392">
        <f>IFERROR(UPPER(TRIM(B2719))&amp;"|"&amp;UPPER(TRIM(C2719))&amp;"|"&amp;UPPER(TRIM(D2719)),"")</f>
        <v/>
      </c>
    </row>
    <row r="2720" ht="15.75" customHeight="1" s="217">
      <c r="A2720" s="397" t="n">
        <v>2718</v>
      </c>
      <c r="B2720" s="397" t="inlineStr">
        <is>
          <t>KH1029</t>
        </is>
      </c>
      <c r="C2720" s="398" t="inlineStr">
        <is>
          <t>Xường Vũ Hùng - Earka/ 0961.154.077</t>
        </is>
      </c>
      <c r="D2720" s="397" t="inlineStr">
        <is>
          <t>0961.154.077</t>
        </is>
      </c>
      <c r="E2720" s="399" t="n"/>
      <c r="F2720" s="398" t="inlineStr">
        <is>
          <t>Km66 Earka, Đắk Lắk</t>
        </is>
      </c>
      <c r="G2720" s="397" t="inlineStr">
        <is>
          <t>ÐL</t>
        </is>
      </c>
      <c r="H2720" s="399" t="n"/>
      <c r="J2720" s="392">
        <f>IFERROR(UPPER(TRIM(B2720))&amp;"|"&amp;UPPER(TRIM(C2720))&amp;"|"&amp;UPPER(TRIM(D2720)),"")</f>
        <v/>
      </c>
    </row>
    <row r="2721" ht="15.75" customHeight="1" s="217">
      <c r="A2721" s="400" t="n">
        <v>2719</v>
      </c>
      <c r="B2721" s="400" t="inlineStr">
        <is>
          <t>KH1026</t>
        </is>
      </c>
      <c r="C2721" s="401" t="inlineStr">
        <is>
          <t>Công Ty Cổ Phần Xây Dựng Lập Sơn - Quận 2/ 0989.043.268</t>
        </is>
      </c>
      <c r="D2721" s="400" t="inlineStr">
        <is>
          <t>0989.043.268</t>
        </is>
      </c>
      <c r="E2721" s="402" t="n"/>
      <c r="F2721" s="401" t="inlineStr">
        <is>
          <t>133 - 135 Lương Định Của, KP3, P.Bình An, Quận 2, TP.HCM</t>
        </is>
      </c>
      <c r="G2721" s="400" t="inlineStr">
        <is>
          <t>SG/HCM</t>
        </is>
      </c>
      <c r="H2721" s="402" t="n"/>
      <c r="J2721" s="392">
        <f>IFERROR(UPPER(TRIM(B2721))&amp;"|"&amp;UPPER(TRIM(C2721))&amp;"|"&amp;UPPER(TRIM(D2721)),"")</f>
        <v/>
      </c>
    </row>
    <row r="2722" ht="15.75" customHeight="1" s="217">
      <c r="A2722" s="397" t="n">
        <v>2720</v>
      </c>
      <c r="B2722" s="397" t="inlineStr">
        <is>
          <t>KH1027</t>
        </is>
      </c>
      <c r="C2722" s="398" t="inlineStr">
        <is>
          <t>Anh Tuân - Bù Đăng, Bình Phước/01644.440.440</t>
        </is>
      </c>
      <c r="D2722" s="397" t="inlineStr">
        <is>
          <t>01644.440.440</t>
        </is>
      </c>
      <c r="E2722" s="399" t="n"/>
      <c r="F2722" s="398" t="inlineStr">
        <is>
          <t>Bù Đăng, Bình Phước</t>
        </is>
      </c>
      <c r="G2722" s="397" t="inlineStr">
        <is>
          <t>BP</t>
        </is>
      </c>
      <c r="H2722" s="399" t="n"/>
      <c r="J2722" s="392">
        <f>IFERROR(UPPER(TRIM(B2722))&amp;"|"&amp;UPPER(TRIM(C2722))&amp;"|"&amp;UPPER(TRIM(D2722)),"")</f>
        <v/>
      </c>
    </row>
    <row r="2723" ht="15.75" customHeight="1" s="217">
      <c r="A2723" s="400" t="n">
        <v>2721</v>
      </c>
      <c r="B2723" s="400" t="inlineStr">
        <is>
          <t>KH1028</t>
        </is>
      </c>
      <c r="C2723" s="401" t="inlineStr">
        <is>
          <t>Công ty Đồng Phong - SG/0946.584.449</t>
        </is>
      </c>
      <c r="D2723" s="400" t="inlineStr">
        <is>
          <t>0946.584.449</t>
        </is>
      </c>
      <c r="E2723" s="402" t="n"/>
      <c r="F2723" s="401" t="inlineStr">
        <is>
          <t>SG</t>
        </is>
      </c>
      <c r="G2723" s="400" t="inlineStr">
        <is>
          <t>SG/HCM</t>
        </is>
      </c>
      <c r="H2723" s="402" t="n"/>
      <c r="J2723" s="392">
        <f>IFERROR(UPPER(TRIM(B2723))&amp;"|"&amp;UPPER(TRIM(C2723))&amp;"|"&amp;UPPER(TRIM(D2723)),"")</f>
        <v/>
      </c>
    </row>
    <row r="2724" ht="15.75" customHeight="1" s="217">
      <c r="A2724" s="397" t="n">
        <v>2722</v>
      </c>
      <c r="B2724" s="397" t="inlineStr">
        <is>
          <t>KH1025</t>
        </is>
      </c>
      <c r="C2724" s="398" t="inlineStr">
        <is>
          <t>Bãi Máy Anh Dũng - Gần ĐHNL/0917.995.993</t>
        </is>
      </c>
      <c r="D2724" s="397" t="inlineStr">
        <is>
          <t>0917.995.993</t>
        </is>
      </c>
      <c r="E2724" s="399" t="n"/>
      <c r="F2724" s="398" t="inlineStr">
        <is>
          <t>Gần ĐH Nông Lâm</t>
        </is>
      </c>
      <c r="G2724" s="397" t="inlineStr">
        <is>
          <t>SG/HCM</t>
        </is>
      </c>
      <c r="H2724" s="399" t="n"/>
      <c r="J2724" s="392">
        <f>IFERROR(UPPER(TRIM(B2724))&amp;"|"&amp;UPPER(TRIM(C2724))&amp;"|"&amp;UPPER(TRIM(D2724)),"")</f>
        <v/>
      </c>
    </row>
    <row r="2725" ht="15.75" customHeight="1" s="217">
      <c r="A2725" s="400" t="n">
        <v>2723</v>
      </c>
      <c r="B2725" s="400" t="inlineStr">
        <is>
          <t>MN37</t>
        </is>
      </c>
      <c r="C2725" s="401" t="inlineStr">
        <is>
          <t>Chị Yến - GV</t>
        </is>
      </c>
      <c r="D2725" s="402" t="n"/>
      <c r="E2725" s="402" t="n"/>
      <c r="F2725" s="403" t="n"/>
      <c r="G2725" s="402" t="n"/>
      <c r="H2725" s="402" t="n"/>
      <c r="J2725" s="392">
        <f>IFERROR(UPPER(TRIM(B2725))&amp;"|"&amp;UPPER(TRIM(C2725))&amp;"|"&amp;UPPER(TRIM(D2725)),"")</f>
        <v/>
      </c>
    </row>
    <row r="2726" ht="15.75" customHeight="1" s="217">
      <c r="A2726" s="397" t="n">
        <v>2724</v>
      </c>
      <c r="B2726" s="397" t="inlineStr">
        <is>
          <t>KH1021</t>
        </is>
      </c>
      <c r="C2726" s="398" t="inlineStr">
        <is>
          <t>Công Ty Confitech Cửu Long - Vĩnh Long/Anh Đông - 0942.454.101</t>
        </is>
      </c>
      <c r="D2726" s="397" t="inlineStr">
        <is>
          <t>0942.454.101</t>
        </is>
      </c>
      <c r="E2726" s="399" t="n"/>
      <c r="F2726" s="398" t="inlineStr">
        <is>
          <t>1/1 Hoàng Thái Hiếu, P1, TP. Vĩnh long</t>
        </is>
      </c>
      <c r="G2726" s="397" t="inlineStr">
        <is>
          <t>VĨNH LONG</t>
        </is>
      </c>
      <c r="H2726" s="399" t="n"/>
      <c r="J2726" s="392">
        <f>IFERROR(UPPER(TRIM(B2726))&amp;"|"&amp;UPPER(TRIM(C2726))&amp;"|"&amp;UPPER(TRIM(D2726)),"")</f>
        <v/>
      </c>
    </row>
    <row r="2727" ht="15.75" customHeight="1" s="217">
      <c r="A2727" s="400" t="n">
        <v>2725</v>
      </c>
      <c r="B2727" s="400" t="inlineStr">
        <is>
          <t>KH1022</t>
        </is>
      </c>
      <c r="C2727" s="401" t="inlineStr">
        <is>
          <t>Anh Bảy-Phạm Hùng-Sài Gòn /0907.701.189</t>
        </is>
      </c>
      <c r="D2727" s="400" t="inlineStr">
        <is>
          <t>0907.701.189</t>
        </is>
      </c>
      <c r="E2727" s="402" t="n"/>
      <c r="F2727" s="401" t="inlineStr">
        <is>
          <t>Quận 8-Sài Gòn</t>
        </is>
      </c>
      <c r="G2727" s="400" t="inlineStr">
        <is>
          <t>SG/HCM</t>
        </is>
      </c>
      <c r="H2727" s="402" t="n"/>
      <c r="J2727" s="392">
        <f>IFERROR(UPPER(TRIM(B2727))&amp;"|"&amp;UPPER(TRIM(C2727))&amp;"|"&amp;UPPER(TRIM(D2727)),"")</f>
        <v/>
      </c>
    </row>
    <row r="2728" ht="15.75" customHeight="1" s="217">
      <c r="A2728" s="397" t="n">
        <v>2726</v>
      </c>
      <c r="B2728" s="397" t="inlineStr">
        <is>
          <t>KH1023</t>
        </is>
      </c>
      <c r="C2728" s="398" t="inlineStr">
        <is>
          <t>Anh Hòa - Long An/0987.243.921</t>
        </is>
      </c>
      <c r="D2728" s="397" t="inlineStr">
        <is>
          <t>0987.243.921</t>
        </is>
      </c>
      <c r="E2728" s="399" t="n"/>
      <c r="F2728" s="398" t="inlineStr">
        <is>
          <t>Cần Giuộc - Long An</t>
        </is>
      </c>
      <c r="G2728" s="397" t="inlineStr">
        <is>
          <t>LA</t>
        </is>
      </c>
      <c r="H2728" s="399" t="n"/>
      <c r="J2728" s="392">
        <f>IFERROR(UPPER(TRIM(B2728))&amp;"|"&amp;UPPER(TRIM(C2728))&amp;"|"&amp;UPPER(TRIM(D2728)),"")</f>
        <v/>
      </c>
    </row>
    <row r="2729" ht="15.75" customHeight="1" s="217">
      <c r="A2729" s="400" t="n">
        <v>2727</v>
      </c>
      <c r="B2729" s="400" t="inlineStr">
        <is>
          <t>KH1024</t>
        </is>
      </c>
      <c r="C2729" s="401" t="inlineStr">
        <is>
          <t>Bãi Máy Anh út - Cty 624 / Bình Dương /0903.072.918</t>
        </is>
      </c>
      <c r="D2729" s="400" t="inlineStr">
        <is>
          <t>0903.072.918</t>
        </is>
      </c>
      <c r="E2729" s="402" t="n"/>
      <c r="F2729" s="401" t="inlineStr">
        <is>
          <t>Suối Lồ ồ - Dĩ An - Bình Dương</t>
        </is>
      </c>
      <c r="G2729" s="400" t="inlineStr">
        <is>
          <t>BDUONG</t>
        </is>
      </c>
      <c r="H2729" s="402" t="n"/>
      <c r="J2729" s="392">
        <f>IFERROR(UPPER(TRIM(B2729))&amp;"|"&amp;UPPER(TRIM(C2729))&amp;"|"&amp;UPPER(TRIM(D2729)),"")</f>
        <v/>
      </c>
    </row>
    <row r="2730" ht="15.75" customHeight="1" s="217">
      <c r="A2730" s="397" t="n">
        <v>2728</v>
      </c>
      <c r="B2730" s="397" t="inlineStr">
        <is>
          <t>KH1019</t>
        </is>
      </c>
      <c r="C2730" s="398" t="inlineStr">
        <is>
          <t>Anh Kế - Tân Cảng-Bình Thạnh/0972.392.679</t>
        </is>
      </c>
      <c r="D2730" s="397" t="inlineStr">
        <is>
          <t>0972.392.679</t>
        </is>
      </c>
      <c r="E2730" s="399" t="n"/>
      <c r="F2730" s="398" t="inlineStr">
        <is>
          <t>Bình Thạnh</t>
        </is>
      </c>
      <c r="G2730" s="397" t="inlineStr">
        <is>
          <t>SG/HCM</t>
        </is>
      </c>
      <c r="H2730" s="399" t="n"/>
      <c r="J2730" s="392">
        <f>IFERROR(UPPER(TRIM(B2730))&amp;"|"&amp;UPPER(TRIM(C2730))&amp;"|"&amp;UPPER(TRIM(D2730)),"")</f>
        <v/>
      </c>
    </row>
    <row r="2731" ht="15.75" customHeight="1" s="217">
      <c r="A2731" s="400" t="n">
        <v>2729</v>
      </c>
      <c r="B2731" s="400" t="inlineStr">
        <is>
          <t>KH1020</t>
        </is>
      </c>
      <c r="C2731" s="401" t="inlineStr">
        <is>
          <t>Long Tuấn-Đồng xoài/01672.341.067</t>
        </is>
      </c>
      <c r="D2731" s="400" t="inlineStr">
        <is>
          <t>01672.341.067</t>
        </is>
      </c>
      <c r="E2731" s="402" t="n"/>
      <c r="F2731" s="401" t="inlineStr">
        <is>
          <t>Đồng xoài</t>
        </is>
      </c>
      <c r="G2731" s="400" t="inlineStr">
        <is>
          <t>BP</t>
        </is>
      </c>
      <c r="H2731" s="402" t="n"/>
      <c r="J2731" s="392">
        <f>IFERROR(UPPER(TRIM(B2731))&amp;"|"&amp;UPPER(TRIM(C2731))&amp;"|"&amp;UPPER(TRIM(D2731)),"")</f>
        <v/>
      </c>
    </row>
    <row r="2732" ht="15.75" customHeight="1" s="217">
      <c r="A2732" s="397" t="n">
        <v>2730</v>
      </c>
      <c r="B2732" s="397" t="inlineStr">
        <is>
          <t>KH1018</t>
        </is>
      </c>
      <c r="C2732" s="398" t="inlineStr">
        <is>
          <t>Bãi Máy Thiên Trường Sơn - Suối Tiên/01685.669.533</t>
        </is>
      </c>
      <c r="D2732" s="397" t="inlineStr">
        <is>
          <t>01685.669.533</t>
        </is>
      </c>
      <c r="E2732" s="399" t="n"/>
      <c r="F2732" s="398" t="inlineStr">
        <is>
          <t>Suối Tiên - Sài Gòn</t>
        </is>
      </c>
      <c r="G2732" s="397" t="inlineStr">
        <is>
          <t>SG/HCM</t>
        </is>
      </c>
      <c r="H2732" s="399" t="n"/>
      <c r="J2732" s="392">
        <f>IFERROR(UPPER(TRIM(B2732))&amp;"|"&amp;UPPER(TRIM(C2732))&amp;"|"&amp;UPPER(TRIM(D2732)),"")</f>
        <v/>
      </c>
    </row>
    <row r="2733" ht="15.75" customHeight="1" s="217">
      <c r="A2733" s="400" t="n">
        <v>2731</v>
      </c>
      <c r="B2733" s="400" t="inlineStr">
        <is>
          <t>KH1016</t>
        </is>
      </c>
      <c r="C2733" s="401" t="inlineStr">
        <is>
          <t>Bãi Máy Kiến Cường - Thủ Đức/ Anh Vũ - 0914.585.060</t>
        </is>
      </c>
      <c r="D2733" s="400" t="inlineStr">
        <is>
          <t>0914.585.060</t>
        </is>
      </c>
      <c r="E2733" s="402" t="n"/>
      <c r="F2733" s="401" t="inlineStr">
        <is>
          <t>Ngã tư Thủ Đức - TP.HCM</t>
        </is>
      </c>
      <c r="G2733" s="400" t="inlineStr">
        <is>
          <t>SG/HCM</t>
        </is>
      </c>
      <c r="H2733" s="402" t="n"/>
      <c r="J2733" s="392">
        <f>IFERROR(UPPER(TRIM(B2733))&amp;"|"&amp;UPPER(TRIM(C2733))&amp;"|"&amp;UPPER(TRIM(D2733)),"")</f>
        <v/>
      </c>
    </row>
    <row r="2734" ht="15.75" customHeight="1" s="217">
      <c r="A2734" s="397" t="n">
        <v>2732</v>
      </c>
      <c r="B2734" s="397" t="inlineStr">
        <is>
          <t>KH1017</t>
        </is>
      </c>
      <c r="C2734" s="398" t="inlineStr">
        <is>
          <t>Anh Hải ( Công Ty Hùng Hải ) - Thủ Đức / 01233.530.468</t>
        </is>
      </c>
      <c r="D2734" s="397" t="inlineStr">
        <is>
          <t>01233.530.468</t>
        </is>
      </c>
      <c r="E2734" s="399" t="n"/>
      <c r="F2734" s="398" t="inlineStr">
        <is>
          <t>Thủ Đức - TP.HCM</t>
        </is>
      </c>
      <c r="G2734" s="397" t="inlineStr">
        <is>
          <t>SG/HCM</t>
        </is>
      </c>
      <c r="H2734" s="399" t="n"/>
      <c r="J2734" s="392">
        <f>IFERROR(UPPER(TRIM(B2734))&amp;"|"&amp;UPPER(TRIM(C2734))&amp;"|"&amp;UPPER(TRIM(D2734)),"")</f>
        <v/>
      </c>
    </row>
    <row r="2735" ht="15.75" customHeight="1" s="217">
      <c r="A2735" s="400" t="n">
        <v>2733</v>
      </c>
      <c r="B2735" s="400" t="inlineStr">
        <is>
          <t>KH1015</t>
        </is>
      </c>
      <c r="C2735" s="401" t="inlineStr">
        <is>
          <t>Bãi Máy Chung Lộc Phát - Suối Tiên/ Anh Chung - 0983.875.779</t>
        </is>
      </c>
      <c r="D2735" s="400" t="inlineStr">
        <is>
          <t>0983.875.779</t>
        </is>
      </c>
      <c r="E2735" s="402" t="n"/>
      <c r="F2735" s="401" t="inlineStr">
        <is>
          <t>Suối Tiên - TP.HCM</t>
        </is>
      </c>
      <c r="G2735" s="400" t="inlineStr">
        <is>
          <t>SG/HCM</t>
        </is>
      </c>
      <c r="H2735" s="402" t="n"/>
      <c r="J2735" s="392">
        <f>IFERROR(UPPER(TRIM(B2735))&amp;"|"&amp;UPPER(TRIM(C2735))&amp;"|"&amp;UPPER(TRIM(D2735)),"")</f>
        <v/>
      </c>
    </row>
    <row r="2736" ht="15.75" customHeight="1" s="217">
      <c r="A2736" s="397" t="n">
        <v>2734</v>
      </c>
      <c r="B2736" s="397" t="inlineStr">
        <is>
          <t>KH1011</t>
        </is>
      </c>
      <c r="C2736" s="398" t="inlineStr">
        <is>
          <t>Anh Hùng - Bình Dương/0976.112.123</t>
        </is>
      </c>
      <c r="D2736" s="397" t="inlineStr">
        <is>
          <t>0976.112.123</t>
        </is>
      </c>
      <c r="E2736" s="399" t="n"/>
      <c r="F2736" s="398" t="inlineStr">
        <is>
          <t>Bình Dương</t>
        </is>
      </c>
      <c r="G2736" s="397" t="inlineStr">
        <is>
          <t>BDUONG</t>
        </is>
      </c>
      <c r="H2736" s="399" t="n"/>
      <c r="J2736" s="392">
        <f>IFERROR(UPPER(TRIM(B2736))&amp;"|"&amp;UPPER(TRIM(C2736))&amp;"|"&amp;UPPER(TRIM(D2736)),"")</f>
        <v/>
      </c>
    </row>
    <row r="2737" ht="15.75" customHeight="1" s="217">
      <c r="A2737" s="400" t="n">
        <v>2735</v>
      </c>
      <c r="B2737" s="400" t="inlineStr">
        <is>
          <t>KH1012</t>
        </is>
      </c>
      <c r="C2737" s="401" t="inlineStr">
        <is>
          <t>Bãi Máy Quốc Phú - Bến Lức/0903.057.579</t>
        </is>
      </c>
      <c r="D2737" s="400" t="inlineStr">
        <is>
          <t>0903.057.579</t>
        </is>
      </c>
      <c r="E2737" s="402" t="n"/>
      <c r="F2737" s="401" t="inlineStr">
        <is>
          <t>Gần BM Nhật Tuấn, Bến Lức, Long AN</t>
        </is>
      </c>
      <c r="G2737" s="400" t="inlineStr">
        <is>
          <t>LA</t>
        </is>
      </c>
      <c r="H2737" s="402" t="n"/>
      <c r="J2737" s="392">
        <f>IFERROR(UPPER(TRIM(B2737))&amp;"|"&amp;UPPER(TRIM(C2737))&amp;"|"&amp;UPPER(TRIM(D2737)),"")</f>
        <v/>
      </c>
    </row>
    <row r="2738" ht="15.75" customHeight="1" s="217">
      <c r="A2738" s="397" t="n">
        <v>2736</v>
      </c>
      <c r="B2738" s="397" t="inlineStr">
        <is>
          <t>KH1013</t>
        </is>
      </c>
      <c r="C2738" s="398" t="inlineStr">
        <is>
          <t>Anh Văn Anh - Vĩnh Long/0966.708.843</t>
        </is>
      </c>
      <c r="D2738" s="397" t="inlineStr">
        <is>
          <t>0966.708.843</t>
        </is>
      </c>
      <c r="E2738" s="399" t="n"/>
      <c r="F2738" s="398" t="inlineStr">
        <is>
          <t>Vĩnh Long</t>
        </is>
      </c>
      <c r="G2738" s="397" t="inlineStr">
        <is>
          <t>VĨNH LONG</t>
        </is>
      </c>
      <c r="H2738" s="399" t="n"/>
      <c r="J2738" s="392">
        <f>IFERROR(UPPER(TRIM(B2738))&amp;"|"&amp;UPPER(TRIM(C2738))&amp;"|"&amp;UPPER(TRIM(D2738)),"")</f>
        <v/>
      </c>
    </row>
    <row r="2739" ht="15.75" customHeight="1" s="217">
      <c r="A2739" s="400" t="n">
        <v>2737</v>
      </c>
      <c r="B2739" s="400" t="inlineStr">
        <is>
          <t>KH1014</t>
        </is>
      </c>
      <c r="C2739" s="401" t="inlineStr">
        <is>
          <t>Cửa Hàng Ngọc Hòa - Gia Lai/Chị Lan - 0935.119.949</t>
        </is>
      </c>
      <c r="D2739" s="400" t="inlineStr">
        <is>
          <t>0935.119.949</t>
        </is>
      </c>
      <c r="E2739" s="402" t="n"/>
      <c r="F2739" s="401" t="inlineStr">
        <is>
          <t>409 Trường Chinh, Pleiku, Gia Lai</t>
        </is>
      </c>
      <c r="G2739" s="400" t="inlineStr">
        <is>
          <t>GLAI</t>
        </is>
      </c>
      <c r="H2739" s="402" t="n"/>
      <c r="J2739" s="392">
        <f>IFERROR(UPPER(TRIM(B2739))&amp;"|"&amp;UPPER(TRIM(C2739))&amp;"|"&amp;UPPER(TRIM(D2739)),"")</f>
        <v/>
      </c>
    </row>
    <row r="2740" ht="15.75" customHeight="1" s="217">
      <c r="A2740" s="397" t="n">
        <v>2738</v>
      </c>
      <c r="B2740" s="397" t="inlineStr">
        <is>
          <t>KH1010</t>
        </is>
      </c>
      <c r="C2740" s="398" t="inlineStr">
        <is>
          <t>Gara Quốc Vũ - Bình Dương/0975.848.239</t>
        </is>
      </c>
      <c r="D2740" s="397" t="inlineStr">
        <is>
          <t>0975.848.239</t>
        </is>
      </c>
      <c r="E2740" s="399" t="n"/>
      <c r="F2740" s="398" t="inlineStr">
        <is>
          <t>Bình Dương</t>
        </is>
      </c>
      <c r="G2740" s="397" t="inlineStr">
        <is>
          <t>BDUONG</t>
        </is>
      </c>
      <c r="H2740" s="399" t="n"/>
      <c r="J2740" s="392">
        <f>IFERROR(UPPER(TRIM(B2740))&amp;"|"&amp;UPPER(TRIM(C2740))&amp;"|"&amp;UPPER(TRIM(D2740)),"")</f>
        <v/>
      </c>
    </row>
    <row r="2741" ht="15.75" customHeight="1" s="217">
      <c r="A2741" s="400" t="n">
        <v>2739</v>
      </c>
      <c r="B2741" s="400" t="inlineStr">
        <is>
          <t>MN36</t>
        </is>
      </c>
      <c r="C2741" s="401" t="inlineStr">
        <is>
          <t>Bà Hiển</t>
        </is>
      </c>
      <c r="D2741" s="402" t="n"/>
      <c r="E2741" s="402" t="n"/>
      <c r="F2741" s="403" t="n"/>
      <c r="G2741" s="402" t="n"/>
      <c r="H2741" s="402" t="n"/>
      <c r="J2741" s="392">
        <f>IFERROR(UPPER(TRIM(B2741))&amp;"|"&amp;UPPER(TRIM(C2741))&amp;"|"&amp;UPPER(TRIM(D2741)),"")</f>
        <v/>
      </c>
    </row>
    <row r="2742" ht="15.75" customHeight="1" s="217">
      <c r="A2742" s="397" t="n">
        <v>2740</v>
      </c>
      <c r="B2742" s="397" t="inlineStr">
        <is>
          <t>KH1008</t>
        </is>
      </c>
      <c r="C2742" s="398" t="inlineStr">
        <is>
          <t>A Tiền - Xưởng Tiền Trang - Long An/0947.904.881 ;  0942.732.700</t>
        </is>
      </c>
      <c r="D2742" s="397" t="inlineStr">
        <is>
          <t>0947.904.881 / 0942.732.700</t>
        </is>
      </c>
      <c r="E2742" s="399" t="n"/>
      <c r="F2742" s="398" t="inlineStr">
        <is>
          <t>Long AN</t>
        </is>
      </c>
      <c r="G2742" s="397" t="inlineStr">
        <is>
          <t>LA</t>
        </is>
      </c>
      <c r="H2742" s="399" t="n"/>
      <c r="J2742" s="392">
        <f>IFERROR(UPPER(TRIM(B2742))&amp;"|"&amp;UPPER(TRIM(C2742))&amp;"|"&amp;UPPER(TRIM(D2742)),"")</f>
        <v/>
      </c>
    </row>
    <row r="2743" ht="15.75" customHeight="1" s="217">
      <c r="A2743" s="400" t="n">
        <v>2741</v>
      </c>
      <c r="B2743" s="400" t="inlineStr">
        <is>
          <t>KH1009</t>
        </is>
      </c>
      <c r="C2743" s="401" t="inlineStr">
        <is>
          <t>Bãi Máy Hồng Gia - Suối Tiên/0909.464.948</t>
        </is>
      </c>
      <c r="D2743" s="400" t="inlineStr">
        <is>
          <t>0909.464.948</t>
        </is>
      </c>
      <c r="E2743" s="402" t="n"/>
      <c r="F2743" s="401" t="inlineStr">
        <is>
          <t>Suối tiên - TP.HCM</t>
        </is>
      </c>
      <c r="G2743" s="400" t="inlineStr">
        <is>
          <t>SG/HCM</t>
        </is>
      </c>
      <c r="H2743" s="402" t="n"/>
      <c r="J2743" s="392">
        <f>IFERROR(UPPER(TRIM(B2743))&amp;"|"&amp;UPPER(TRIM(C2743))&amp;"|"&amp;UPPER(TRIM(D2743)),"")</f>
        <v/>
      </c>
    </row>
    <row r="2744" ht="15.75" customHeight="1" s="217">
      <c r="A2744" s="397" t="n">
        <v>2742</v>
      </c>
      <c r="B2744" s="397" t="inlineStr">
        <is>
          <t>KH1007</t>
        </is>
      </c>
      <c r="C2744" s="398" t="inlineStr">
        <is>
          <t>Anh Vũ - Gia Lai/0978.067.736</t>
        </is>
      </c>
      <c r="D2744" s="397" t="inlineStr">
        <is>
          <t>0978.067.736</t>
        </is>
      </c>
      <c r="E2744" s="399" t="n"/>
      <c r="F2744" s="398" t="inlineStr">
        <is>
          <t>Man Giang - Gia Lai</t>
        </is>
      </c>
      <c r="G2744" s="397" t="inlineStr">
        <is>
          <t>GLAI</t>
        </is>
      </c>
      <c r="H2744" s="399" t="n"/>
      <c r="J2744" s="392">
        <f>IFERROR(UPPER(TRIM(B2744))&amp;"|"&amp;UPPER(TRIM(C2744))&amp;"|"&amp;UPPER(TRIM(D2744)),"")</f>
        <v/>
      </c>
    </row>
    <row r="2745" ht="15.75" customHeight="1" s="217">
      <c r="A2745" s="400" t="n">
        <v>2743</v>
      </c>
      <c r="B2745" s="400" t="inlineStr">
        <is>
          <t>KH1004</t>
        </is>
      </c>
      <c r="C2745" s="401" t="inlineStr">
        <is>
          <t>Anh Long - Q2/0903.900.140</t>
        </is>
      </c>
      <c r="D2745" s="400" t="inlineStr">
        <is>
          <t>0903.900.140</t>
        </is>
      </c>
      <c r="E2745" s="402" t="n"/>
      <c r="F2745" s="401" t="inlineStr">
        <is>
          <t>Quận 12 - TPHCM</t>
        </is>
      </c>
      <c r="G2745" s="400" t="inlineStr">
        <is>
          <t>SG/HCM</t>
        </is>
      </c>
      <c r="H2745" s="402" t="n"/>
      <c r="J2745" s="392">
        <f>IFERROR(UPPER(TRIM(B2745))&amp;"|"&amp;UPPER(TRIM(C2745))&amp;"|"&amp;UPPER(TRIM(D2745)),"")</f>
        <v/>
      </c>
    </row>
    <row r="2746" ht="15.75" customHeight="1" s="217">
      <c r="A2746" s="397" t="n">
        <v>2744</v>
      </c>
      <c r="B2746" s="397" t="inlineStr">
        <is>
          <t>KH1005</t>
        </is>
      </c>
      <c r="C2746" s="398" t="inlineStr">
        <is>
          <t>Anh Phong - Bình Dương/0969.999.945</t>
        </is>
      </c>
      <c r="D2746" s="397" t="inlineStr">
        <is>
          <t>0969.999.945</t>
        </is>
      </c>
      <c r="E2746" s="399" t="n"/>
      <c r="F2746" s="398" t="inlineStr">
        <is>
          <t>Ngà tư Hòa Lăn - Bình Dương</t>
        </is>
      </c>
      <c r="G2746" s="397" t="inlineStr">
        <is>
          <t>BDUONG</t>
        </is>
      </c>
      <c r="H2746" s="399" t="n"/>
      <c r="J2746" s="392">
        <f>IFERROR(UPPER(TRIM(B2746))&amp;"|"&amp;UPPER(TRIM(C2746))&amp;"|"&amp;UPPER(TRIM(D2746)),"")</f>
        <v/>
      </c>
    </row>
    <row r="2747" ht="15.75" customHeight="1" s="217">
      <c r="A2747" s="400" t="n">
        <v>2745</v>
      </c>
      <c r="B2747" s="400" t="inlineStr">
        <is>
          <t>KH1006</t>
        </is>
      </c>
      <c r="C2747" s="401" t="inlineStr">
        <is>
          <t>Chú Mạnh - Chợ Lầu/01695.012.561</t>
        </is>
      </c>
      <c r="D2747" s="400" t="inlineStr">
        <is>
          <t>01695.012.561</t>
        </is>
      </c>
      <c r="E2747" s="402" t="n"/>
      <c r="F2747" s="401" t="inlineStr">
        <is>
          <t>Chợ lầu - Phan Thiết</t>
        </is>
      </c>
      <c r="G2747" s="400" t="inlineStr">
        <is>
          <t>BTHUAN</t>
        </is>
      </c>
      <c r="H2747" s="402" t="n"/>
      <c r="J2747" s="392">
        <f>IFERROR(UPPER(TRIM(B2747))&amp;"|"&amp;UPPER(TRIM(C2747))&amp;"|"&amp;UPPER(TRIM(D2747)),"")</f>
        <v/>
      </c>
    </row>
    <row r="2748" ht="15.75" customHeight="1" s="217">
      <c r="A2748" s="397" t="n">
        <v>2746</v>
      </c>
      <c r="B2748" s="397" t="inlineStr">
        <is>
          <t>KH1002</t>
        </is>
      </c>
      <c r="C2748" s="398" t="inlineStr">
        <is>
          <t>Anh Sang - Trà Vinh/0974.411.198</t>
        </is>
      </c>
      <c r="D2748" s="397" t="inlineStr">
        <is>
          <t>0974.411.198</t>
        </is>
      </c>
      <c r="E2748" s="399" t="n"/>
      <c r="F2748" s="398" t="inlineStr">
        <is>
          <t>Trà Vinh</t>
        </is>
      </c>
      <c r="G2748" s="397" t="inlineStr">
        <is>
          <t>TV</t>
        </is>
      </c>
      <c r="H2748" s="399" t="n"/>
      <c r="J2748" s="392">
        <f>IFERROR(UPPER(TRIM(B2748))&amp;"|"&amp;UPPER(TRIM(C2748))&amp;"|"&amp;UPPER(TRIM(D2748)),"")</f>
        <v/>
      </c>
    </row>
    <row r="2749" ht="15.75" customHeight="1" s="217">
      <c r="A2749" s="400" t="n">
        <v>2747</v>
      </c>
      <c r="B2749" s="400" t="inlineStr">
        <is>
          <t>KH1003</t>
        </is>
      </c>
      <c r="C2749" s="401" t="inlineStr">
        <is>
          <t>Bãi máy Thái Sơn - Tân Vạn - Chú Tuấn/0903.805.748</t>
        </is>
      </c>
      <c r="D2749" s="400" t="inlineStr">
        <is>
          <t>0903.805.748</t>
        </is>
      </c>
      <c r="E2749" s="402" t="n"/>
      <c r="F2749" s="401" t="inlineStr">
        <is>
          <t>Tân Vạn- Suối Tiên</t>
        </is>
      </c>
      <c r="G2749" s="400" t="inlineStr">
        <is>
          <t>SG/HCM</t>
        </is>
      </c>
      <c r="H2749" s="402" t="n"/>
      <c r="J2749" s="392">
        <f>IFERROR(UPPER(TRIM(B2749))&amp;"|"&amp;UPPER(TRIM(C2749))&amp;"|"&amp;UPPER(TRIM(D2749)),"")</f>
        <v/>
      </c>
    </row>
    <row r="2750" ht="15.75" customHeight="1" s="217">
      <c r="A2750" s="397" t="n">
        <v>2748</v>
      </c>
      <c r="B2750" s="397" t="inlineStr">
        <is>
          <t>KH1000</t>
        </is>
      </c>
      <c r="C2750" s="398" t="inlineStr">
        <is>
          <t>Anh Hải - Đồng Nai/0985.431.688</t>
        </is>
      </c>
      <c r="D2750" s="397" t="inlineStr">
        <is>
          <t>0985.431.688</t>
        </is>
      </c>
      <c r="E2750" s="399" t="n"/>
      <c r="F2750" s="398" t="inlineStr">
        <is>
          <t>Đồng Nai</t>
        </is>
      </c>
      <c r="G2750" s="397" t="inlineStr">
        <is>
          <t>ÐNAI</t>
        </is>
      </c>
      <c r="H2750" s="399" t="n"/>
      <c r="J2750" s="392">
        <f>IFERROR(UPPER(TRIM(B2750))&amp;"|"&amp;UPPER(TRIM(C2750))&amp;"|"&amp;UPPER(TRIM(D2750)),"")</f>
        <v/>
      </c>
    </row>
    <row r="2751" ht="15.75" customHeight="1" s="217">
      <c r="A2751" s="400" t="n">
        <v>2749</v>
      </c>
      <c r="B2751" s="400" t="inlineStr">
        <is>
          <t>KH1001</t>
        </is>
      </c>
      <c r="C2751" s="401" t="inlineStr">
        <is>
          <t>Anh Thành - Q9/0983.296.939</t>
        </is>
      </c>
      <c r="D2751" s="400" t="inlineStr">
        <is>
          <t>0983.296.939</t>
        </is>
      </c>
      <c r="E2751" s="402" t="n"/>
      <c r="F2751" s="401" t="inlineStr">
        <is>
          <t>Quận 9 - TP.HCM</t>
        </is>
      </c>
      <c r="G2751" s="400" t="inlineStr">
        <is>
          <t>SG/HCM</t>
        </is>
      </c>
      <c r="H2751" s="402" t="n"/>
      <c r="J2751" s="392">
        <f>IFERROR(UPPER(TRIM(B2751))&amp;"|"&amp;UPPER(TRIM(C2751))&amp;"|"&amp;UPPER(TRIM(D2751)),"")</f>
        <v/>
      </c>
    </row>
    <row r="2752" ht="15.75" customHeight="1" s="217">
      <c r="A2752" s="397" t="n">
        <v>2750</v>
      </c>
      <c r="B2752" s="397" t="inlineStr">
        <is>
          <t>KH0998</t>
        </is>
      </c>
      <c r="C2752" s="398" t="inlineStr">
        <is>
          <t>Xưởng Anh Thuận - Biên Hòa/0932.170.899</t>
        </is>
      </c>
      <c r="D2752" s="397" t="inlineStr">
        <is>
          <t>0932.170.899</t>
        </is>
      </c>
      <c r="E2752" s="399" t="n"/>
      <c r="F2752" s="398" t="inlineStr">
        <is>
          <t>Biên Hòa - Đồng Nai</t>
        </is>
      </c>
      <c r="G2752" s="397" t="inlineStr">
        <is>
          <t>ÐNAI</t>
        </is>
      </c>
      <c r="H2752" s="399" t="n"/>
      <c r="J2752" s="392">
        <f>IFERROR(UPPER(TRIM(B2752))&amp;"|"&amp;UPPER(TRIM(C2752))&amp;"|"&amp;UPPER(TRIM(D2752)),"")</f>
        <v/>
      </c>
    </row>
    <row r="2753" ht="15.75" customHeight="1" s="217">
      <c r="A2753" s="400" t="n">
        <v>2751</v>
      </c>
      <c r="B2753" s="400" t="inlineStr">
        <is>
          <t>KH0999</t>
        </is>
      </c>
      <c r="C2753" s="401" t="inlineStr">
        <is>
          <t>Anh Tuyền- SG/0918.835.590</t>
        </is>
      </c>
      <c r="D2753" s="400" t="inlineStr">
        <is>
          <t>0918.835.590</t>
        </is>
      </c>
      <c r="E2753" s="402" t="n"/>
      <c r="F2753" s="401" t="inlineStr">
        <is>
          <t>Suối Tiên - TP.HCM</t>
        </is>
      </c>
      <c r="G2753" s="400" t="inlineStr">
        <is>
          <t>SG/HCM</t>
        </is>
      </c>
      <c r="H2753" s="402" t="n"/>
      <c r="J2753" s="392">
        <f>IFERROR(UPPER(TRIM(B2753))&amp;"|"&amp;UPPER(TRIM(C2753))&amp;"|"&amp;UPPER(TRIM(D2753)),"")</f>
        <v/>
      </c>
    </row>
    <row r="2754" ht="15.75" customHeight="1" s="217">
      <c r="A2754" s="397" t="n">
        <v>2752</v>
      </c>
      <c r="B2754" s="397" t="inlineStr">
        <is>
          <t>KH0995</t>
        </is>
      </c>
      <c r="C2754" s="398" t="inlineStr">
        <is>
          <t>Cửa Hàng Hoàng Sinh - Đức Trọng/Anh Sinh - 0918.007.200</t>
        </is>
      </c>
      <c r="D2754" s="397" t="inlineStr">
        <is>
          <t>0918.007.200</t>
        </is>
      </c>
      <c r="E2754" s="399" t="n"/>
      <c r="F2754" s="398" t="inlineStr">
        <is>
          <t>Đức Trong - Lâm Đồng</t>
        </is>
      </c>
      <c r="G2754" s="397" t="inlineStr">
        <is>
          <t>LDONG</t>
        </is>
      </c>
      <c r="H2754" s="399" t="n"/>
      <c r="J2754" s="392">
        <f>IFERROR(UPPER(TRIM(B2754))&amp;"|"&amp;UPPER(TRIM(C2754))&amp;"|"&amp;UPPER(TRIM(D2754)),"")</f>
        <v/>
      </c>
    </row>
    <row r="2755" ht="15.75" customHeight="1" s="217">
      <c r="A2755" s="400" t="n">
        <v>2753</v>
      </c>
      <c r="B2755" s="400" t="inlineStr">
        <is>
          <t>KH0996</t>
        </is>
      </c>
      <c r="C2755" s="401" t="inlineStr">
        <is>
          <t>Bãi Máy Sinh Việt - Thủ Đức / Anh Đức -0939.100.600</t>
        </is>
      </c>
      <c r="D2755" s="400" t="inlineStr">
        <is>
          <t>0939.100.600</t>
        </is>
      </c>
      <c r="E2755" s="402" t="n"/>
      <c r="F2755" s="401" t="inlineStr">
        <is>
          <t>Thủ Đức - TP.HCM</t>
        </is>
      </c>
      <c r="G2755" s="400" t="inlineStr">
        <is>
          <t>SG/HCM</t>
        </is>
      </c>
      <c r="H2755" s="402" t="n"/>
      <c r="J2755" s="392">
        <f>IFERROR(UPPER(TRIM(B2755))&amp;"|"&amp;UPPER(TRIM(C2755))&amp;"|"&amp;UPPER(TRIM(D2755)),"")</f>
        <v/>
      </c>
    </row>
    <row r="2756" ht="15.75" customHeight="1" s="217">
      <c r="A2756" s="397" t="n">
        <v>2754</v>
      </c>
      <c r="B2756" s="397" t="inlineStr">
        <is>
          <t>KH0997</t>
        </is>
      </c>
      <c r="C2756" s="398" t="inlineStr">
        <is>
          <t>Anh Quý - Cà Mau/0915.888.845</t>
        </is>
      </c>
      <c r="D2756" s="397" t="inlineStr">
        <is>
          <t>0915.888.845</t>
        </is>
      </c>
      <c r="E2756" s="399" t="n"/>
      <c r="F2756" s="398" t="inlineStr">
        <is>
          <t>Cà Mau</t>
        </is>
      </c>
      <c r="G2756" s="397" t="inlineStr">
        <is>
          <t>CMAU</t>
        </is>
      </c>
      <c r="H2756" s="399" t="n"/>
      <c r="J2756" s="392">
        <f>IFERROR(UPPER(TRIM(B2756))&amp;"|"&amp;UPPER(TRIM(C2756))&amp;"|"&amp;UPPER(TRIM(D2756)),"")</f>
        <v/>
      </c>
    </row>
    <row r="2757" ht="15.75" customHeight="1" s="217">
      <c r="A2757" s="400" t="n">
        <v>2755</v>
      </c>
      <c r="B2757" s="400" t="inlineStr">
        <is>
          <t>KH0993</t>
        </is>
      </c>
      <c r="C2757" s="401" t="inlineStr">
        <is>
          <t>Xưởng Anh Điệp - TP.Cần Thơ/0919.476.744</t>
        </is>
      </c>
      <c r="D2757" s="400" t="inlineStr">
        <is>
          <t>0919.476.744</t>
        </is>
      </c>
      <c r="E2757" s="402" t="n"/>
      <c r="F2757" s="401" t="inlineStr">
        <is>
          <t>Đường Lê hồng Phong, P.Bình Thủy, TP.Cần Thơ</t>
        </is>
      </c>
      <c r="G2757" s="400" t="inlineStr">
        <is>
          <t>CTHO</t>
        </is>
      </c>
      <c r="H2757" s="402" t="n"/>
      <c r="J2757" s="392">
        <f>IFERROR(UPPER(TRIM(B2757))&amp;"|"&amp;UPPER(TRIM(C2757))&amp;"|"&amp;UPPER(TRIM(D2757)),"")</f>
        <v/>
      </c>
    </row>
    <row r="2758" ht="15.75" customHeight="1" s="217">
      <c r="A2758" s="397" t="n">
        <v>2756</v>
      </c>
      <c r="B2758" s="397" t="inlineStr">
        <is>
          <t>KH0994</t>
        </is>
      </c>
      <c r="C2758" s="398" t="inlineStr">
        <is>
          <t>Bãi Máy Bảo Sơn - Suối Tiên/0947.818.018 , 0987.870.222</t>
        </is>
      </c>
      <c r="D2758" s="397" t="inlineStr">
        <is>
          <t>0947.818.018 / 0987.870.222</t>
        </is>
      </c>
      <c r="E2758" s="399" t="n"/>
      <c r="F2758" s="398" t="inlineStr">
        <is>
          <t>Tân Vạn - Suối Tiên - TP.HCM</t>
        </is>
      </c>
      <c r="G2758" s="397" t="inlineStr">
        <is>
          <t>SG/HCM</t>
        </is>
      </c>
      <c r="H2758" s="399" t="n"/>
      <c r="J2758" s="392">
        <f>IFERROR(UPPER(TRIM(B2758))&amp;"|"&amp;UPPER(TRIM(C2758))&amp;"|"&amp;UPPER(TRIM(D2758)),"")</f>
        <v/>
      </c>
    </row>
    <row r="2759" ht="15.75" customHeight="1" s="217">
      <c r="A2759" s="400" t="n">
        <v>2757</v>
      </c>
      <c r="B2759" s="400" t="inlineStr">
        <is>
          <t>KH0991</t>
        </is>
      </c>
      <c r="C2759" s="401" t="inlineStr">
        <is>
          <t>Bãi Máy Tuấn Nghĩa - Đối diện Samsung/0906.707.033</t>
        </is>
      </c>
      <c r="D2759" s="400" t="inlineStr">
        <is>
          <t>0906.707.033</t>
        </is>
      </c>
      <c r="E2759" s="402" t="n"/>
      <c r="F2759" s="401" t="inlineStr">
        <is>
          <t>Đối diện Sam Sung - TP.HCM</t>
        </is>
      </c>
      <c r="G2759" s="400" t="inlineStr">
        <is>
          <t>SG/HCM</t>
        </is>
      </c>
      <c r="H2759" s="402" t="n"/>
      <c r="J2759" s="392">
        <f>IFERROR(UPPER(TRIM(B2759))&amp;"|"&amp;UPPER(TRIM(C2759))&amp;"|"&amp;UPPER(TRIM(D2759)),"")</f>
        <v/>
      </c>
    </row>
    <row r="2760" ht="15.75" customHeight="1" s="217">
      <c r="A2760" s="397" t="n">
        <v>2758</v>
      </c>
      <c r="B2760" s="397" t="inlineStr">
        <is>
          <t>KH0992</t>
        </is>
      </c>
      <c r="C2760" s="398" t="inlineStr">
        <is>
          <t>Anh An- TP.HCM/0938.250.439</t>
        </is>
      </c>
      <c r="D2760" s="397" t="inlineStr">
        <is>
          <t>0938.250.439</t>
        </is>
      </c>
      <c r="E2760" s="399" t="n"/>
      <c r="F2760" s="398" t="inlineStr">
        <is>
          <t>TP.HCM</t>
        </is>
      </c>
      <c r="G2760" s="397" t="inlineStr">
        <is>
          <t>SG/HCM</t>
        </is>
      </c>
      <c r="H2760" s="399" t="n"/>
      <c r="J2760" s="392">
        <f>IFERROR(UPPER(TRIM(B2760))&amp;"|"&amp;UPPER(TRIM(C2760))&amp;"|"&amp;UPPER(TRIM(D2760)),"")</f>
        <v/>
      </c>
    </row>
    <row r="2761" ht="15.75" customHeight="1" s="217">
      <c r="A2761" s="400" t="n">
        <v>2759</v>
      </c>
      <c r="B2761" s="400" t="inlineStr">
        <is>
          <t>KH0988</t>
        </is>
      </c>
      <c r="C2761" s="401" t="inlineStr">
        <is>
          <t>Bãi Máy Lập Thuận - ĐH Nông Lâm/0903.600.231</t>
        </is>
      </c>
      <c r="D2761" s="400" t="inlineStr">
        <is>
          <t>0903.600.231</t>
        </is>
      </c>
      <c r="E2761" s="402" t="n"/>
      <c r="F2761" s="401" t="inlineStr">
        <is>
          <t>ĐH Nông Lâm - TP.HCM</t>
        </is>
      </c>
      <c r="G2761" s="400" t="inlineStr">
        <is>
          <t>SG/HCM</t>
        </is>
      </c>
      <c r="H2761" s="402" t="n"/>
      <c r="J2761" s="392">
        <f>IFERROR(UPPER(TRIM(B2761))&amp;"|"&amp;UPPER(TRIM(C2761))&amp;"|"&amp;UPPER(TRIM(D2761)),"")</f>
        <v/>
      </c>
    </row>
    <row r="2762" ht="15.75" customHeight="1" s="217">
      <c r="A2762" s="397" t="n">
        <v>2760</v>
      </c>
      <c r="B2762" s="397" t="inlineStr">
        <is>
          <t>KH0989</t>
        </is>
      </c>
      <c r="C2762" s="398" t="inlineStr">
        <is>
          <t>Anh Trường - Bình Dương/0907.002.111</t>
        </is>
      </c>
      <c r="D2762" s="397" t="inlineStr">
        <is>
          <t>0907.002.111</t>
        </is>
      </c>
      <c r="E2762" s="399" t="n"/>
      <c r="F2762" s="398" t="inlineStr">
        <is>
          <t>Dầu Tiếng - Bình Dương</t>
        </is>
      </c>
      <c r="G2762" s="397" t="inlineStr">
        <is>
          <t>BDUONG</t>
        </is>
      </c>
      <c r="H2762" s="399" t="n"/>
      <c r="J2762" s="392">
        <f>IFERROR(UPPER(TRIM(B2762))&amp;"|"&amp;UPPER(TRIM(C2762))&amp;"|"&amp;UPPER(TRIM(D2762)),"")</f>
        <v/>
      </c>
    </row>
    <row r="2763" ht="15.75" customHeight="1" s="217">
      <c r="A2763" s="400" t="n">
        <v>2761</v>
      </c>
      <c r="B2763" s="400" t="inlineStr">
        <is>
          <t>KH0990</t>
        </is>
      </c>
      <c r="C2763" s="401" t="inlineStr">
        <is>
          <t>Anh Tiến - Công ty TNHH MTV Dịch vụ Công ích Quận Gò Vấp/ 0988.677.289</t>
        </is>
      </c>
      <c r="D2763" s="400" t="inlineStr">
        <is>
          <t>0988.677.289</t>
        </is>
      </c>
      <c r="E2763" s="402" t="n"/>
      <c r="F2763" s="401" t="inlineStr">
        <is>
          <t>Gò Vấp, TPHCM</t>
        </is>
      </c>
      <c r="G2763" s="402" t="n"/>
      <c r="H2763" s="402" t="n"/>
      <c r="J2763" s="392">
        <f>IFERROR(UPPER(TRIM(B2763))&amp;"|"&amp;UPPER(TRIM(C2763))&amp;"|"&amp;UPPER(TRIM(D2763)),"")</f>
        <v/>
      </c>
    </row>
    <row r="2764" ht="15.75" customHeight="1" s="217">
      <c r="A2764" s="397" t="n">
        <v>2762</v>
      </c>
      <c r="B2764" s="397" t="inlineStr">
        <is>
          <t>KH0985</t>
        </is>
      </c>
      <c r="C2764" s="398" t="inlineStr">
        <is>
          <t>Xưởng Chú Mậu - Sóc Trăng/0939.090.047</t>
        </is>
      </c>
      <c r="D2764" s="397" t="inlineStr">
        <is>
          <t>0939.090.047</t>
        </is>
      </c>
      <c r="E2764" s="399" t="n"/>
      <c r="F2764" s="398" t="inlineStr">
        <is>
          <t>Sóc Trăng</t>
        </is>
      </c>
      <c r="G2764" s="397" t="inlineStr">
        <is>
          <t>STRANG</t>
        </is>
      </c>
      <c r="H2764" s="399" t="n"/>
      <c r="J2764" s="392">
        <f>IFERROR(UPPER(TRIM(B2764))&amp;"|"&amp;UPPER(TRIM(C2764))&amp;"|"&amp;UPPER(TRIM(D2764)),"")</f>
        <v/>
      </c>
    </row>
    <row r="2765" ht="15.75" customHeight="1" s="217">
      <c r="A2765" s="400" t="n">
        <v>2763</v>
      </c>
      <c r="B2765" s="400" t="inlineStr">
        <is>
          <t>KH0986</t>
        </is>
      </c>
      <c r="C2765" s="401" t="inlineStr">
        <is>
          <t>Anh Bảy Búa - Long An / 0913.168.528</t>
        </is>
      </c>
      <c r="D2765" s="400" t="inlineStr">
        <is>
          <t>0913.168.528</t>
        </is>
      </c>
      <c r="E2765" s="402" t="n"/>
      <c r="F2765" s="401" t="inlineStr">
        <is>
          <t>Long An</t>
        </is>
      </c>
      <c r="G2765" s="400" t="inlineStr">
        <is>
          <t>LA</t>
        </is>
      </c>
      <c r="H2765" s="402" t="n"/>
      <c r="J2765" s="392">
        <f>IFERROR(UPPER(TRIM(B2765))&amp;"|"&amp;UPPER(TRIM(C2765))&amp;"|"&amp;UPPER(TRIM(D2765)),"")</f>
        <v/>
      </c>
    </row>
    <row r="2766" ht="15.75" customHeight="1" s="217">
      <c r="A2766" s="397" t="n">
        <v>2764</v>
      </c>
      <c r="B2766" s="397" t="inlineStr">
        <is>
          <t>KH0987</t>
        </is>
      </c>
      <c r="C2766" s="398" t="inlineStr">
        <is>
          <t>Anh Trúc - Gia Lai/0974.236.302</t>
        </is>
      </c>
      <c r="D2766" s="397" t="inlineStr">
        <is>
          <t>0974.236.302</t>
        </is>
      </c>
      <c r="E2766" s="399" t="n"/>
      <c r="F2766" s="398" t="inlineStr">
        <is>
          <t>Gia Lai</t>
        </is>
      </c>
      <c r="G2766" s="397" t="inlineStr">
        <is>
          <t>GLAI</t>
        </is>
      </c>
      <c r="H2766" s="399" t="n"/>
      <c r="J2766" s="392">
        <f>IFERROR(UPPER(TRIM(B2766))&amp;"|"&amp;UPPER(TRIM(C2766))&amp;"|"&amp;UPPER(TRIM(D2766)),"")</f>
        <v/>
      </c>
    </row>
    <row r="2767" ht="15.75" customHeight="1" s="217">
      <c r="A2767" s="400" t="n">
        <v>2765</v>
      </c>
      <c r="B2767" s="400" t="inlineStr">
        <is>
          <t>KH0981</t>
        </is>
      </c>
      <c r="C2767" s="401" t="inlineStr">
        <is>
          <t>Công Ty TNHH Đầu Tư Thiết Kế &amp; XD Minh Huy - Quận 12/ Anh Thu - 0941.899.779</t>
        </is>
      </c>
      <c r="D2767" s="400" t="inlineStr">
        <is>
          <t>0941.899.779</t>
        </is>
      </c>
      <c r="E2767" s="402" t="n"/>
      <c r="F2767" s="401" t="inlineStr">
        <is>
          <t>123/11 Lê Thị Riêng, P. Thới An, Quận 12, TPHCM</t>
        </is>
      </c>
      <c r="G2767" s="400" t="inlineStr">
        <is>
          <t>SG/HCM</t>
        </is>
      </c>
      <c r="H2767" s="402" t="n"/>
      <c r="J2767" s="392">
        <f>IFERROR(UPPER(TRIM(B2767))&amp;"|"&amp;UPPER(TRIM(C2767))&amp;"|"&amp;UPPER(TRIM(D2767)),"")</f>
        <v/>
      </c>
    </row>
    <row r="2768" ht="15.75" customHeight="1" s="217">
      <c r="A2768" s="397" t="n">
        <v>2766</v>
      </c>
      <c r="B2768" s="397" t="inlineStr">
        <is>
          <t>KH0982</t>
        </is>
      </c>
      <c r="C2768" s="398" t="inlineStr">
        <is>
          <t>Bãi Máy Khải Hoàng - DH Nông Lâm/0907.575.664</t>
        </is>
      </c>
      <c r="D2768" s="397" t="inlineStr">
        <is>
          <t>0907.575.664</t>
        </is>
      </c>
      <c r="E2768" s="399" t="n"/>
      <c r="F2768" s="398" t="inlineStr">
        <is>
          <t>Đại Học Nông Lâm - TP.HCM</t>
        </is>
      </c>
      <c r="G2768" s="397" t="inlineStr">
        <is>
          <t>SG/HCM</t>
        </is>
      </c>
      <c r="H2768" s="399" t="n"/>
      <c r="J2768" s="392">
        <f>IFERROR(UPPER(TRIM(B2768))&amp;"|"&amp;UPPER(TRIM(C2768))&amp;"|"&amp;UPPER(TRIM(D2768)),"")</f>
        <v/>
      </c>
    </row>
    <row r="2769" ht="15.75" customHeight="1" s="217">
      <c r="A2769" s="400" t="n">
        <v>2767</v>
      </c>
      <c r="B2769" s="400" t="inlineStr">
        <is>
          <t>KH0983</t>
        </is>
      </c>
      <c r="C2769" s="401" t="inlineStr">
        <is>
          <t>Bãi Máy Nhân Vy - Long An/ 0938.442.442</t>
        </is>
      </c>
      <c r="D2769" s="400" t="inlineStr">
        <is>
          <t>0938.442.442</t>
        </is>
      </c>
      <c r="E2769" s="402" t="n"/>
      <c r="F2769" s="401" t="inlineStr">
        <is>
          <t>Long An</t>
        </is>
      </c>
      <c r="G2769" s="400" t="inlineStr">
        <is>
          <t>LA</t>
        </is>
      </c>
      <c r="H2769" s="402" t="n"/>
      <c r="J2769" s="392">
        <f>IFERROR(UPPER(TRIM(B2769))&amp;"|"&amp;UPPER(TRIM(C2769))&amp;"|"&amp;UPPER(TRIM(D2769)),"")</f>
        <v/>
      </c>
    </row>
    <row r="2770" ht="15.75" customHeight="1" s="217">
      <c r="A2770" s="397" t="n">
        <v>2768</v>
      </c>
      <c r="B2770" s="397" t="inlineStr">
        <is>
          <t>KH0984</t>
        </is>
      </c>
      <c r="C2770" s="398" t="inlineStr">
        <is>
          <t>Anh Học - Gia Lai/ 0943.489.123</t>
        </is>
      </c>
      <c r="D2770" s="397" t="inlineStr">
        <is>
          <t>0943.489.123</t>
        </is>
      </c>
      <c r="E2770" s="399" t="n"/>
      <c r="F2770" s="398" t="inlineStr">
        <is>
          <t>Pleiku, Gia Lai</t>
        </is>
      </c>
      <c r="G2770" s="397" t="inlineStr">
        <is>
          <t>GLAI</t>
        </is>
      </c>
      <c r="H2770" s="399" t="n"/>
      <c r="J2770" s="392">
        <f>IFERROR(UPPER(TRIM(B2770))&amp;"|"&amp;UPPER(TRIM(C2770))&amp;"|"&amp;UPPER(TRIM(D2770)),"")</f>
        <v/>
      </c>
    </row>
    <row r="2771" ht="15.75" customHeight="1" s="217">
      <c r="A2771" s="400" t="n">
        <v>2769</v>
      </c>
      <c r="B2771" s="400" t="inlineStr">
        <is>
          <t>KH0977</t>
        </is>
      </c>
      <c r="C2771" s="401" t="inlineStr">
        <is>
          <t>Anh Phúc - Phú Yên/ 0982.343.433</t>
        </is>
      </c>
      <c r="D2771" s="400" t="inlineStr">
        <is>
          <t>0982.343.433</t>
        </is>
      </c>
      <c r="E2771" s="402" t="n"/>
      <c r="F2771" s="401" t="inlineStr">
        <is>
          <t>Phú Yên</t>
        </is>
      </c>
      <c r="G2771" s="400" t="inlineStr">
        <is>
          <t>PYEN</t>
        </is>
      </c>
      <c r="H2771" s="402" t="n"/>
      <c r="J2771" s="392">
        <f>IFERROR(UPPER(TRIM(B2771))&amp;"|"&amp;UPPER(TRIM(C2771))&amp;"|"&amp;UPPER(TRIM(D2771)),"")</f>
        <v/>
      </c>
    </row>
    <row r="2772" ht="15.75" customHeight="1" s="217">
      <c r="A2772" s="397" t="n">
        <v>2770</v>
      </c>
      <c r="B2772" s="397" t="inlineStr">
        <is>
          <t>KH0978</t>
        </is>
      </c>
      <c r="C2772" s="398" t="inlineStr">
        <is>
          <t>Xưởng Anh Bình - Đắk Lắk /0984.188.737</t>
        </is>
      </c>
      <c r="D2772" s="397" t="inlineStr">
        <is>
          <t>0984.188.737</t>
        </is>
      </c>
      <c r="E2772" s="399" t="n"/>
      <c r="F2772" s="398" t="inlineStr">
        <is>
          <t>Trần Quý Cáp, Buôn Ma Thuột, Đắk Lắk</t>
        </is>
      </c>
      <c r="G2772" s="397" t="inlineStr">
        <is>
          <t>ÐL</t>
        </is>
      </c>
      <c r="H2772" s="399" t="n"/>
      <c r="J2772" s="392">
        <f>IFERROR(UPPER(TRIM(B2772))&amp;"|"&amp;UPPER(TRIM(C2772))&amp;"|"&amp;UPPER(TRIM(D2772)),"")</f>
        <v/>
      </c>
    </row>
    <row r="2773" ht="15.75" customHeight="1" s="217">
      <c r="A2773" s="400" t="n">
        <v>2771</v>
      </c>
      <c r="B2773" s="400" t="inlineStr">
        <is>
          <t>KH0979</t>
        </is>
      </c>
      <c r="C2773" s="401" t="inlineStr">
        <is>
          <t>Anh Bình - Nam Định/0946.550.098</t>
        </is>
      </c>
      <c r="D2773" s="400" t="inlineStr">
        <is>
          <t>0946.550.098</t>
        </is>
      </c>
      <c r="E2773" s="402" t="n"/>
      <c r="F2773" s="401" t="inlineStr">
        <is>
          <t>Nam Đinh</t>
        </is>
      </c>
      <c r="G2773" s="400" t="inlineStr">
        <is>
          <t>HN</t>
        </is>
      </c>
      <c r="H2773" s="402" t="n"/>
      <c r="J2773" s="392">
        <f>IFERROR(UPPER(TRIM(B2773))&amp;"|"&amp;UPPER(TRIM(C2773))&amp;"|"&amp;UPPER(TRIM(D2773)),"")</f>
        <v/>
      </c>
    </row>
    <row r="2774" ht="15.75" customHeight="1" s="217">
      <c r="A2774" s="397" t="n">
        <v>2772</v>
      </c>
      <c r="B2774" s="397" t="inlineStr">
        <is>
          <t>KH0980</t>
        </is>
      </c>
      <c r="C2774" s="398" t="inlineStr">
        <is>
          <t>Cửa Hàng Anh Thu - Phan Thiết/0913.793.717</t>
        </is>
      </c>
      <c r="D2774" s="397" t="inlineStr">
        <is>
          <t>0913.793.717</t>
        </is>
      </c>
      <c r="E2774" s="399" t="n"/>
      <c r="F2774" s="398" t="inlineStr">
        <is>
          <t>Phan Thiết - Bình Thuận</t>
        </is>
      </c>
      <c r="G2774" s="397" t="inlineStr">
        <is>
          <t>BTHUAN</t>
        </is>
      </c>
      <c r="H2774" s="399" t="n"/>
      <c r="J2774" s="392">
        <f>IFERROR(UPPER(TRIM(B2774))&amp;"|"&amp;UPPER(TRIM(C2774))&amp;"|"&amp;UPPER(TRIM(D2774)),"")</f>
        <v/>
      </c>
    </row>
    <row r="2775" ht="15.75" customHeight="1" s="217">
      <c r="A2775" s="400" t="n">
        <v>2773</v>
      </c>
      <c r="B2775" s="400" t="inlineStr">
        <is>
          <t>KH0974</t>
        </is>
      </c>
      <c r="C2775" s="401" t="inlineStr">
        <is>
          <t>Bài Máy Thanh Oanh - ĐH Nông Lâm/ 0913.545.609</t>
        </is>
      </c>
      <c r="D2775" s="400" t="inlineStr">
        <is>
          <t>0913.545.609</t>
        </is>
      </c>
      <c r="E2775" s="402" t="n"/>
      <c r="F2775" s="401" t="inlineStr">
        <is>
          <t>Quốc Lộ 1A, Thủ Đức, TP.HCM ( Gần Xưởng Ba Điệp)</t>
        </is>
      </c>
      <c r="G2775" s="400" t="inlineStr">
        <is>
          <t>SG/HCM</t>
        </is>
      </c>
      <c r="H2775" s="402" t="n"/>
      <c r="J2775" s="392">
        <f>IFERROR(UPPER(TRIM(B2775))&amp;"|"&amp;UPPER(TRIM(C2775))&amp;"|"&amp;UPPER(TRIM(D2775)),"")</f>
        <v/>
      </c>
    </row>
    <row r="2776" ht="15.75" customHeight="1" s="217">
      <c r="A2776" s="397" t="n">
        <v>2774</v>
      </c>
      <c r="B2776" s="397" t="inlineStr">
        <is>
          <t>KH0975</t>
        </is>
      </c>
      <c r="C2776" s="398" t="inlineStr">
        <is>
          <t>Anh Cương - Bình Dương/0962.072.079</t>
        </is>
      </c>
      <c r="D2776" s="397" t="inlineStr">
        <is>
          <t>0962.072.079</t>
        </is>
      </c>
      <c r="E2776" s="399" t="n"/>
      <c r="F2776" s="398" t="inlineStr">
        <is>
          <t>Bình Dương</t>
        </is>
      </c>
      <c r="G2776" s="397" t="inlineStr">
        <is>
          <t>BDUONG</t>
        </is>
      </c>
      <c r="H2776" s="399" t="n"/>
      <c r="J2776" s="392">
        <f>IFERROR(UPPER(TRIM(B2776))&amp;"|"&amp;UPPER(TRIM(C2776))&amp;"|"&amp;UPPER(TRIM(D2776)),"")</f>
        <v/>
      </c>
    </row>
    <row r="2777" ht="15.75" customHeight="1" s="217">
      <c r="A2777" s="400" t="n">
        <v>2775</v>
      </c>
      <c r="B2777" s="400" t="inlineStr">
        <is>
          <t>KH0976</t>
        </is>
      </c>
      <c r="C2777" s="401" t="inlineStr">
        <is>
          <t>Anh Văn Lợi - bảo Lộc /0949.421.777</t>
        </is>
      </c>
      <c r="D2777" s="400" t="inlineStr">
        <is>
          <t>0949.421.777</t>
        </is>
      </c>
      <c r="E2777" s="402" t="n"/>
      <c r="F2777" s="401" t="inlineStr">
        <is>
          <t>Bảo Lộc</t>
        </is>
      </c>
      <c r="G2777" s="400" t="inlineStr">
        <is>
          <t>LDONG</t>
        </is>
      </c>
      <c r="H2777" s="402" t="n"/>
      <c r="J2777" s="392">
        <f>IFERROR(UPPER(TRIM(B2777))&amp;"|"&amp;UPPER(TRIM(C2777))&amp;"|"&amp;UPPER(TRIM(D2777)),"")</f>
        <v/>
      </c>
    </row>
    <row r="2778" ht="15.75" customHeight="1" s="217">
      <c r="A2778" s="397" t="n">
        <v>2776</v>
      </c>
      <c r="B2778" s="397" t="inlineStr">
        <is>
          <t>KH0973</t>
        </is>
      </c>
      <c r="C2778" s="398" t="inlineStr">
        <is>
          <t>Anh Phước - Vĩnh Hưng/ 0949.398.849</t>
        </is>
      </c>
      <c r="D2778" s="397" t="inlineStr">
        <is>
          <t>0949.398.849</t>
        </is>
      </c>
      <c r="E2778" s="399" t="n"/>
      <c r="F2778" s="398" t="inlineStr">
        <is>
          <t>Vĩnh Hưng - Long AN</t>
        </is>
      </c>
      <c r="G2778" s="397" t="inlineStr">
        <is>
          <t>LA</t>
        </is>
      </c>
      <c r="H2778" s="399" t="n"/>
      <c r="J2778" s="392">
        <f>IFERROR(UPPER(TRIM(B2778))&amp;"|"&amp;UPPER(TRIM(C2778))&amp;"|"&amp;UPPER(TRIM(D2778)),"")</f>
        <v/>
      </c>
    </row>
    <row r="2779" ht="15.75" customHeight="1" s="217">
      <c r="A2779" s="400" t="n">
        <v>2777</v>
      </c>
      <c r="B2779" s="400" t="inlineStr">
        <is>
          <t>KH0972</t>
        </is>
      </c>
      <c r="C2779" s="401" t="inlineStr">
        <is>
          <t>Công ty TNHH Nhật Khải Minh - Kiên Giang/ Anh Trung - 0913.718.692</t>
        </is>
      </c>
      <c r="D2779" s="400" t="inlineStr">
        <is>
          <t>0913.718.692</t>
        </is>
      </c>
      <c r="E2779" s="402" t="n"/>
      <c r="F2779" s="401" t="inlineStr">
        <is>
          <t>Thị Trấn Kiên Lương -  Tỉnh Kiên Giang</t>
        </is>
      </c>
      <c r="G2779" s="400" t="inlineStr">
        <is>
          <t>KG</t>
        </is>
      </c>
      <c r="H2779" s="402" t="n"/>
      <c r="J2779" s="392">
        <f>IFERROR(UPPER(TRIM(B2779))&amp;"|"&amp;UPPER(TRIM(C2779))&amp;"|"&amp;UPPER(TRIM(D2779)),"")</f>
        <v/>
      </c>
    </row>
    <row r="2780" ht="15.75" customHeight="1" s="217">
      <c r="A2780" s="397" t="n">
        <v>2778</v>
      </c>
      <c r="B2780" s="397" t="inlineStr">
        <is>
          <t>KH0970</t>
        </is>
      </c>
      <c r="C2780" s="398" t="inlineStr">
        <is>
          <t>Công ty 515- Anh Thịnh - Q8/0983.590.459</t>
        </is>
      </c>
      <c r="D2780" s="397" t="inlineStr">
        <is>
          <t>0983.590.459</t>
        </is>
      </c>
      <c r="E2780" s="399" t="n"/>
      <c r="F2780" s="398" t="inlineStr">
        <is>
          <t>Quận 8 - TP.HCM</t>
        </is>
      </c>
      <c r="G2780" s="397" t="inlineStr">
        <is>
          <t>SG/HCM</t>
        </is>
      </c>
      <c r="H2780" s="399" t="n"/>
      <c r="J2780" s="392">
        <f>IFERROR(UPPER(TRIM(B2780))&amp;"|"&amp;UPPER(TRIM(C2780))&amp;"|"&amp;UPPER(TRIM(D2780)),"")</f>
        <v/>
      </c>
    </row>
    <row r="2781" ht="15.75" customHeight="1" s="217">
      <c r="A2781" s="400" t="n">
        <v>2779</v>
      </c>
      <c r="B2781" s="400" t="inlineStr">
        <is>
          <t>KH0971</t>
        </is>
      </c>
      <c r="C2781" s="401" t="inlineStr">
        <is>
          <t>Anh Lâm - Tây Ninh/0986.331.080</t>
        </is>
      </c>
      <c r="D2781" s="400" t="inlineStr">
        <is>
          <t>0986.331.080</t>
        </is>
      </c>
      <c r="E2781" s="402" t="n"/>
      <c r="F2781" s="401" t="inlineStr">
        <is>
          <t>Tây Ninh</t>
        </is>
      </c>
      <c r="G2781" s="400" t="inlineStr">
        <is>
          <t>TNINH</t>
        </is>
      </c>
      <c r="H2781" s="402" t="n"/>
      <c r="J2781" s="392">
        <f>IFERROR(UPPER(TRIM(B2781))&amp;"|"&amp;UPPER(TRIM(C2781))&amp;"|"&amp;UPPER(TRIM(D2781)),"")</f>
        <v/>
      </c>
    </row>
    <row r="2782" ht="15.75" customHeight="1" s="217">
      <c r="A2782" s="397" t="n">
        <v>2780</v>
      </c>
      <c r="B2782" s="397" t="inlineStr">
        <is>
          <t>KH0969</t>
        </is>
      </c>
      <c r="C2782" s="398" t="inlineStr">
        <is>
          <t>Anh Hạnh - Bình Dương/0984.067.757</t>
        </is>
      </c>
      <c r="D2782" s="397" t="inlineStr">
        <is>
          <t>0984.067.757</t>
        </is>
      </c>
      <c r="E2782" s="399" t="n"/>
      <c r="F2782" s="398" t="inlineStr">
        <is>
          <t>Bình Dương</t>
        </is>
      </c>
      <c r="G2782" s="397" t="inlineStr">
        <is>
          <t>BDUONG</t>
        </is>
      </c>
      <c r="H2782" s="399" t="n"/>
      <c r="J2782" s="392">
        <f>IFERROR(UPPER(TRIM(B2782))&amp;"|"&amp;UPPER(TRIM(C2782))&amp;"|"&amp;UPPER(TRIM(D2782)),"")</f>
        <v/>
      </c>
    </row>
    <row r="2783" ht="15.75" customHeight="1" s="217">
      <c r="A2783" s="400" t="n">
        <v>2781</v>
      </c>
      <c r="B2783" s="400" t="inlineStr">
        <is>
          <t>KH0968</t>
        </is>
      </c>
      <c r="C2783" s="401" t="inlineStr">
        <is>
          <t>Bãi Máy Chú Giảm - Suối Tiên/0908.291.778</t>
        </is>
      </c>
      <c r="D2783" s="400" t="inlineStr">
        <is>
          <t>0908.291.778</t>
        </is>
      </c>
      <c r="E2783" s="402" t="n"/>
      <c r="F2783" s="401" t="inlineStr">
        <is>
          <t>Xa Lộ Hà Nội - Suối Tiên - TP HCM</t>
        </is>
      </c>
      <c r="G2783" s="400" t="inlineStr">
        <is>
          <t>SG/HCM</t>
        </is>
      </c>
      <c r="H2783" s="402" t="n"/>
      <c r="J2783" s="392">
        <f>IFERROR(UPPER(TRIM(B2783))&amp;"|"&amp;UPPER(TRIM(C2783))&amp;"|"&amp;UPPER(TRIM(D2783)),"")</f>
        <v/>
      </c>
    </row>
    <row r="2784" ht="15.75" customHeight="1" s="217">
      <c r="A2784" s="397" t="n">
        <v>2782</v>
      </c>
      <c r="B2784" s="397" t="inlineStr">
        <is>
          <t>KH0967</t>
        </is>
      </c>
      <c r="C2784" s="398" t="inlineStr">
        <is>
          <t>Bãi Máy Tân Việt Phát- Suối Tiên/ Anh Phúc0949.666.581</t>
        </is>
      </c>
      <c r="D2784" s="397" t="inlineStr">
        <is>
          <t>0949.666.581</t>
        </is>
      </c>
      <c r="E2784" s="399" t="n"/>
      <c r="F2784" s="398" t="inlineStr">
        <is>
          <t>Xa Lộ Hà Nội, Suối Tiên, Hồ Chí Minh</t>
        </is>
      </c>
      <c r="G2784" s="397" t="inlineStr">
        <is>
          <t>SG/HCM</t>
        </is>
      </c>
      <c r="H2784" s="399" t="n"/>
      <c r="J2784" s="392">
        <f>IFERROR(UPPER(TRIM(B2784))&amp;"|"&amp;UPPER(TRIM(C2784))&amp;"|"&amp;UPPER(TRIM(D2784)),"")</f>
        <v/>
      </c>
    </row>
    <row r="2785" ht="15.75" customHeight="1" s="217">
      <c r="A2785" s="400" t="n">
        <v>2783</v>
      </c>
      <c r="B2785" s="400" t="inlineStr">
        <is>
          <t>KH0965</t>
        </is>
      </c>
      <c r="C2785" s="401" t="inlineStr">
        <is>
          <t>Công ty TNHH Xây Lắp Tấn Lực - Quy Nhơn/ A.Hưng: 0913.154.108</t>
        </is>
      </c>
      <c r="D2785" s="400" t="inlineStr">
        <is>
          <t>0913.154.108</t>
        </is>
      </c>
      <c r="E2785" s="402" t="n"/>
      <c r="F2785" s="401" t="inlineStr">
        <is>
          <t>Phường Bình Định, TX An Nhơn, Tỉnh Bình Định</t>
        </is>
      </c>
      <c r="G2785" s="400" t="inlineStr">
        <is>
          <t>BDINH</t>
        </is>
      </c>
      <c r="H2785" s="402" t="n"/>
      <c r="J2785" s="392">
        <f>IFERROR(UPPER(TRIM(B2785))&amp;"|"&amp;UPPER(TRIM(C2785))&amp;"|"&amp;UPPER(TRIM(D2785)),"")</f>
        <v/>
      </c>
    </row>
    <row r="2786" ht="15.75" customHeight="1" s="217">
      <c r="A2786" s="397" t="n">
        <v>2784</v>
      </c>
      <c r="B2786" s="397" t="inlineStr">
        <is>
          <t>KH0966</t>
        </is>
      </c>
      <c r="C2786" s="398" t="inlineStr">
        <is>
          <t>(không sử dụng) Bãi Máy Anh Hoàng - Bình Dương /0907.606.036</t>
        </is>
      </c>
      <c r="D2786" s="397" t="inlineStr">
        <is>
          <t>0907.606.036</t>
        </is>
      </c>
      <c r="E2786" s="399" t="n"/>
      <c r="F2786" s="398" t="inlineStr">
        <is>
          <t>Bình Dương</t>
        </is>
      </c>
      <c r="G2786" s="397" t="inlineStr">
        <is>
          <t>BDUONG</t>
        </is>
      </c>
      <c r="H2786" s="399" t="n"/>
      <c r="J2786" s="392">
        <f>IFERROR(UPPER(TRIM(B2786))&amp;"|"&amp;UPPER(TRIM(C2786))&amp;"|"&amp;UPPER(TRIM(D2786)),"")</f>
        <v/>
      </c>
    </row>
    <row r="2787" ht="15.75" customHeight="1" s="217">
      <c r="A2787" s="400" t="n">
        <v>2785</v>
      </c>
      <c r="B2787" s="400" t="inlineStr">
        <is>
          <t>KH0964</t>
        </is>
      </c>
      <c r="C2787" s="401" t="inlineStr">
        <is>
          <t>Ga ra Phú Thịnh - Gia Nghĩa- Đắk Nông/ 0912.126.837</t>
        </is>
      </c>
      <c r="D2787" s="400" t="inlineStr">
        <is>
          <t>0912.126.837</t>
        </is>
      </c>
      <c r="E2787" s="402" t="n"/>
      <c r="F2787" s="401" t="inlineStr">
        <is>
          <t>Đắk nông</t>
        </is>
      </c>
      <c r="G2787" s="400" t="inlineStr">
        <is>
          <t>DNONG</t>
        </is>
      </c>
      <c r="H2787" s="402" t="n"/>
      <c r="J2787" s="392">
        <f>IFERROR(UPPER(TRIM(B2787))&amp;"|"&amp;UPPER(TRIM(C2787))&amp;"|"&amp;UPPER(TRIM(D2787)),"")</f>
        <v/>
      </c>
    </row>
    <row r="2788" ht="15.75" customHeight="1" s="217">
      <c r="A2788" s="397" t="n">
        <v>2786</v>
      </c>
      <c r="B2788" s="397" t="inlineStr">
        <is>
          <t>KH0963</t>
        </is>
      </c>
      <c r="C2788" s="398" t="inlineStr">
        <is>
          <t>Anh Thông - Đà Lạt/ 0979.677.417</t>
        </is>
      </c>
      <c r="D2788" s="397" t="inlineStr">
        <is>
          <t>0979.677.417</t>
        </is>
      </c>
      <c r="E2788" s="399" t="n"/>
      <c r="F2788" s="398" t="inlineStr">
        <is>
          <t>Đà Lạt - Lâm Đồng</t>
        </is>
      </c>
      <c r="G2788" s="397" t="inlineStr">
        <is>
          <t>LDONG</t>
        </is>
      </c>
      <c r="H2788" s="399" t="n"/>
      <c r="J2788" s="392">
        <f>IFERROR(UPPER(TRIM(B2788))&amp;"|"&amp;UPPER(TRIM(C2788))&amp;"|"&amp;UPPER(TRIM(D2788)),"")</f>
        <v/>
      </c>
    </row>
    <row r="2789" ht="15.75" customHeight="1" s="217">
      <c r="A2789" s="400" t="n">
        <v>2787</v>
      </c>
      <c r="B2789" s="400" t="inlineStr">
        <is>
          <t>KH0962</t>
        </is>
      </c>
      <c r="C2789" s="401" t="inlineStr">
        <is>
          <t>Công ty CP Công Trình Đô Thị Trà Vinh/ Anh Lộc - 0909.739.919</t>
        </is>
      </c>
      <c r="D2789" s="400" t="inlineStr">
        <is>
          <t>0909.739.919</t>
        </is>
      </c>
      <c r="E2789" s="402" t="n"/>
      <c r="F2789" s="401" t="inlineStr">
        <is>
          <t>Số 377 Phạm Ngũ Lão, Phường 2, TP.Trà Vinh, Tỉnh Trà Vinh</t>
        </is>
      </c>
      <c r="G2789" s="400" t="inlineStr">
        <is>
          <t>TV</t>
        </is>
      </c>
      <c r="H2789" s="402" t="n"/>
      <c r="J2789" s="392">
        <f>IFERROR(UPPER(TRIM(B2789))&amp;"|"&amp;UPPER(TRIM(C2789))&amp;"|"&amp;UPPER(TRIM(D2789)),"")</f>
        <v/>
      </c>
    </row>
    <row r="2790" ht="15.75" customHeight="1" s="217">
      <c r="A2790" s="397" t="n">
        <v>2788</v>
      </c>
      <c r="B2790" s="397" t="inlineStr">
        <is>
          <t>MN35</t>
        </is>
      </c>
      <c r="C2790" s="398" t="inlineStr">
        <is>
          <t>Trường</t>
        </is>
      </c>
      <c r="D2790" s="399" t="n"/>
      <c r="E2790" s="399" t="n"/>
      <c r="F2790" s="398" t="inlineStr">
        <is>
          <t>CTCP Cơ Giới Miền Nam</t>
        </is>
      </c>
      <c r="G2790" s="399" t="n"/>
      <c r="H2790" s="399" t="n"/>
      <c r="J2790" s="392">
        <f>IFERROR(UPPER(TRIM(B2790))&amp;"|"&amp;UPPER(TRIM(C2790))&amp;"|"&amp;UPPER(TRIM(D2790)),"")</f>
        <v/>
      </c>
    </row>
    <row r="2791" ht="15.75" customHeight="1" s="217">
      <c r="A2791" s="400" t="n">
        <v>2789</v>
      </c>
      <c r="B2791" s="400" t="inlineStr">
        <is>
          <t>KH0960</t>
        </is>
      </c>
      <c r="C2791" s="401" t="inlineStr">
        <is>
          <t>Anh Thanh - Bảo Lộc/ 0972.882.552</t>
        </is>
      </c>
      <c r="D2791" s="400" t="inlineStr">
        <is>
          <t>0972.882.552</t>
        </is>
      </c>
      <c r="E2791" s="402" t="n"/>
      <c r="F2791" s="401" t="inlineStr">
        <is>
          <t>Bảo Lộc - Lâm Đồng</t>
        </is>
      </c>
      <c r="G2791" s="400" t="inlineStr">
        <is>
          <t>LDONG</t>
        </is>
      </c>
      <c r="H2791" s="402" t="n"/>
      <c r="J2791" s="392">
        <f>IFERROR(UPPER(TRIM(B2791))&amp;"|"&amp;UPPER(TRIM(C2791))&amp;"|"&amp;UPPER(TRIM(D2791)),"")</f>
        <v/>
      </c>
    </row>
    <row r="2792" ht="15.75" customHeight="1" s="217">
      <c r="A2792" s="397" t="n">
        <v>2790</v>
      </c>
      <c r="B2792" s="397" t="inlineStr">
        <is>
          <t>KH0961</t>
        </is>
      </c>
      <c r="C2792" s="398" t="inlineStr">
        <is>
          <t>Xưởng Anh Hoàng - Gia Lai/0963.137.347</t>
        </is>
      </c>
      <c r="D2792" s="397" t="inlineStr">
        <is>
          <t>0963.137.347</t>
        </is>
      </c>
      <c r="E2792" s="399" t="n"/>
      <c r="F2792" s="398" t="inlineStr">
        <is>
          <t>Gia Lai</t>
        </is>
      </c>
      <c r="G2792" s="397" t="inlineStr">
        <is>
          <t>GLAI</t>
        </is>
      </c>
      <c r="H2792" s="399" t="n"/>
      <c r="J2792" s="392">
        <f>IFERROR(UPPER(TRIM(B2792))&amp;"|"&amp;UPPER(TRIM(C2792))&amp;"|"&amp;UPPER(TRIM(D2792)),"")</f>
        <v/>
      </c>
    </row>
    <row r="2793" ht="15.75" customHeight="1" s="217">
      <c r="A2793" s="400" t="n">
        <v>2791</v>
      </c>
      <c r="B2793" s="400" t="inlineStr">
        <is>
          <t>KH0957</t>
        </is>
      </c>
      <c r="C2793" s="401" t="inlineStr">
        <is>
          <t>Gara Anh Lâm - Đồng Nai / 0914.873.384</t>
        </is>
      </c>
      <c r="D2793" s="400" t="inlineStr">
        <is>
          <t>0914.873.384</t>
        </is>
      </c>
      <c r="E2793" s="402" t="n"/>
      <c r="F2793" s="401" t="inlineStr">
        <is>
          <t>Định Quán - Đồng Nai</t>
        </is>
      </c>
      <c r="G2793" s="400" t="inlineStr">
        <is>
          <t>ÐNAI</t>
        </is>
      </c>
      <c r="H2793" s="402" t="n"/>
      <c r="J2793" s="392">
        <f>IFERROR(UPPER(TRIM(B2793))&amp;"|"&amp;UPPER(TRIM(C2793))&amp;"|"&amp;UPPER(TRIM(D2793)),"")</f>
        <v/>
      </c>
    </row>
    <row r="2794" ht="15.75" customHeight="1" s="217">
      <c r="A2794" s="397" t="n">
        <v>2792</v>
      </c>
      <c r="B2794" s="397" t="inlineStr">
        <is>
          <t>KH0958</t>
        </is>
      </c>
      <c r="C2794" s="398" t="inlineStr">
        <is>
          <t>Anh Phương - Trà Vinh / 0913.748.657</t>
        </is>
      </c>
      <c r="D2794" s="397" t="inlineStr">
        <is>
          <t>0913.748.657</t>
        </is>
      </c>
      <c r="E2794" s="399" t="n"/>
      <c r="F2794" s="398" t="inlineStr">
        <is>
          <t>Trà Vinh</t>
        </is>
      </c>
      <c r="G2794" s="397" t="inlineStr">
        <is>
          <t>TV</t>
        </is>
      </c>
      <c r="H2794" s="399" t="n"/>
      <c r="J2794" s="392">
        <f>IFERROR(UPPER(TRIM(B2794))&amp;"|"&amp;UPPER(TRIM(C2794))&amp;"|"&amp;UPPER(TRIM(D2794)),"")</f>
        <v/>
      </c>
    </row>
    <row r="2795" ht="15.75" customHeight="1" s="217">
      <c r="A2795" s="400" t="n">
        <v>2793</v>
      </c>
      <c r="B2795" s="400" t="inlineStr">
        <is>
          <t>KH0959</t>
        </is>
      </c>
      <c r="C2795" s="401" t="inlineStr">
        <is>
          <t>Anh Đạt - Bình Long / 01212.333.898</t>
        </is>
      </c>
      <c r="D2795" s="400" t="inlineStr">
        <is>
          <t>01212.333.898</t>
        </is>
      </c>
      <c r="E2795" s="402" t="n"/>
      <c r="F2795" s="401" t="inlineStr">
        <is>
          <t>Bình Long - Bình Phước</t>
        </is>
      </c>
      <c r="G2795" s="400" t="inlineStr">
        <is>
          <t>BP</t>
        </is>
      </c>
      <c r="H2795" s="402" t="n"/>
      <c r="J2795" s="392">
        <f>IFERROR(UPPER(TRIM(B2795))&amp;"|"&amp;UPPER(TRIM(C2795))&amp;"|"&amp;UPPER(TRIM(D2795)),"")</f>
        <v/>
      </c>
    </row>
    <row r="2796" ht="15.75" customHeight="1" s="217">
      <c r="A2796" s="397" t="n">
        <v>2794</v>
      </c>
      <c r="B2796" s="397" t="inlineStr">
        <is>
          <t>KH0956</t>
        </is>
      </c>
      <c r="C2796" s="398" t="inlineStr">
        <is>
          <t>Anh Oai - Q.12/0984.178.392</t>
        </is>
      </c>
      <c r="D2796" s="397" t="inlineStr">
        <is>
          <t>0984.178.392</t>
        </is>
      </c>
      <c r="E2796" s="399" t="n"/>
      <c r="F2796" s="398" t="inlineStr">
        <is>
          <t>Quận 12 - TP.HCM</t>
        </is>
      </c>
      <c r="G2796" s="397" t="inlineStr">
        <is>
          <t>SG/HCM</t>
        </is>
      </c>
      <c r="H2796" s="399" t="n"/>
      <c r="J2796" s="392">
        <f>IFERROR(UPPER(TRIM(B2796))&amp;"|"&amp;UPPER(TRIM(C2796))&amp;"|"&amp;UPPER(TRIM(D2796)),"")</f>
        <v/>
      </c>
    </row>
    <row r="2797" ht="15.75" customHeight="1" s="217">
      <c r="A2797" s="400" t="n">
        <v>2795</v>
      </c>
      <c r="B2797" s="400" t="inlineStr">
        <is>
          <t>KH0954</t>
        </is>
      </c>
      <c r="C2797" s="401" t="inlineStr">
        <is>
          <t>Công Ty Tuấn Quỳnh - Lâm Đồng / ANh Nam</t>
        </is>
      </c>
      <c r="D2797" s="402" t="n"/>
      <c r="E2797" s="402" t="n"/>
      <c r="F2797" s="401" t="inlineStr">
        <is>
          <t>Đà Lạt - Lâm Đồng</t>
        </is>
      </c>
      <c r="G2797" s="400" t="inlineStr">
        <is>
          <t>LDONG</t>
        </is>
      </c>
      <c r="H2797" s="402" t="n"/>
      <c r="J2797" s="392">
        <f>IFERROR(UPPER(TRIM(B2797))&amp;"|"&amp;UPPER(TRIM(C2797))&amp;"|"&amp;UPPER(TRIM(D2797)),"")</f>
        <v/>
      </c>
    </row>
    <row r="2798" ht="15.75" customHeight="1" s="217">
      <c r="A2798" s="397" t="n">
        <v>2796</v>
      </c>
      <c r="B2798" s="397" t="inlineStr">
        <is>
          <t>KH0955</t>
        </is>
      </c>
      <c r="C2798" s="398" t="inlineStr">
        <is>
          <t>Anh Hà - Bình Thạnh/ 0973.300.269 - 0977.722.088</t>
        </is>
      </c>
      <c r="D2798" s="397" t="inlineStr">
        <is>
          <t>0973.300.269 / 0977.722.088</t>
        </is>
      </c>
      <c r="E2798" s="399" t="n"/>
      <c r="F2798" s="398" t="inlineStr">
        <is>
          <t>Bình Thạnh - SG</t>
        </is>
      </c>
      <c r="G2798" s="397" t="inlineStr">
        <is>
          <t>SG/HCM</t>
        </is>
      </c>
      <c r="H2798" s="399" t="n"/>
      <c r="J2798" s="392">
        <f>IFERROR(UPPER(TRIM(B2798))&amp;"|"&amp;UPPER(TRIM(C2798))&amp;"|"&amp;UPPER(TRIM(D2798)),"")</f>
        <v/>
      </c>
    </row>
    <row r="2799" ht="15.75" customHeight="1" s="217">
      <c r="A2799" s="400" t="n">
        <v>2797</v>
      </c>
      <c r="B2799" s="400" t="inlineStr">
        <is>
          <t>KH0952</t>
        </is>
      </c>
      <c r="C2799" s="401" t="inlineStr">
        <is>
          <t>Anh Chất - Tam Nông/ 0986.206.006</t>
        </is>
      </c>
      <c r="D2799" s="400" t="inlineStr">
        <is>
          <t>0986.206.006</t>
        </is>
      </c>
      <c r="E2799" s="402" t="n"/>
      <c r="F2799" s="401" t="inlineStr">
        <is>
          <t>Tam Nông - Đồng Tháp</t>
        </is>
      </c>
      <c r="G2799" s="400" t="inlineStr">
        <is>
          <t>DTHAP</t>
        </is>
      </c>
      <c r="H2799" s="402" t="n"/>
      <c r="J2799" s="392">
        <f>IFERROR(UPPER(TRIM(B2799))&amp;"|"&amp;UPPER(TRIM(C2799))&amp;"|"&amp;UPPER(TRIM(D2799)),"")</f>
        <v/>
      </c>
    </row>
    <row r="2800" ht="15.75" customHeight="1" s="217">
      <c r="A2800" s="397" t="n">
        <v>2798</v>
      </c>
      <c r="B2800" s="397" t="inlineStr">
        <is>
          <t>KH0953</t>
        </is>
      </c>
      <c r="C2800" s="398" t="inlineStr">
        <is>
          <t>Công Ty Lê Tiến - Quảng Ngãi / Anh Lê - 0989.971.720</t>
        </is>
      </c>
      <c r="D2800" s="397" t="inlineStr">
        <is>
          <t>0989.971.720</t>
        </is>
      </c>
      <c r="E2800" s="399" t="n"/>
      <c r="F2800" s="398" t="inlineStr">
        <is>
          <t>Quảng Ngãi</t>
        </is>
      </c>
      <c r="G2800" s="397" t="inlineStr">
        <is>
          <t>QUNGAI</t>
        </is>
      </c>
      <c r="H2800" s="399" t="n"/>
      <c r="J2800" s="392">
        <f>IFERROR(UPPER(TRIM(B2800))&amp;"|"&amp;UPPER(TRIM(C2800))&amp;"|"&amp;UPPER(TRIM(D2800)),"")</f>
        <v/>
      </c>
    </row>
    <row r="2801" ht="15.75" customHeight="1" s="217">
      <c r="A2801" s="400" t="n">
        <v>2799</v>
      </c>
      <c r="B2801" s="400" t="inlineStr">
        <is>
          <t>KH0949</t>
        </is>
      </c>
      <c r="C2801" s="401" t="inlineStr">
        <is>
          <t>Anh Văn Việt - Bình Phước / 0982.859.338</t>
        </is>
      </c>
      <c r="D2801" s="400" t="inlineStr">
        <is>
          <t>0982.859.338</t>
        </is>
      </c>
      <c r="E2801" s="402" t="n"/>
      <c r="F2801" s="401" t="inlineStr">
        <is>
          <t>Bình Phước</t>
        </is>
      </c>
      <c r="G2801" s="400" t="inlineStr">
        <is>
          <t>BP</t>
        </is>
      </c>
      <c r="H2801" s="402" t="n"/>
      <c r="J2801" s="392">
        <f>IFERROR(UPPER(TRIM(B2801))&amp;"|"&amp;UPPER(TRIM(C2801))&amp;"|"&amp;UPPER(TRIM(D2801)),"")</f>
        <v/>
      </c>
    </row>
    <row r="2802" ht="15.75" customHeight="1" s="217">
      <c r="A2802" s="397" t="n">
        <v>2800</v>
      </c>
      <c r="B2802" s="397" t="inlineStr">
        <is>
          <t>KH0950</t>
        </is>
      </c>
      <c r="C2802" s="398" t="inlineStr">
        <is>
          <t>(không dùng) Xưởng Minh Mẫn - Lâm Đồng / 0918.772.485</t>
        </is>
      </c>
      <c r="D2802" s="397" t="inlineStr">
        <is>
          <t>0918.772.485</t>
        </is>
      </c>
      <c r="E2802" s="399" t="n"/>
      <c r="F2802" s="398" t="inlineStr">
        <is>
          <t>Bảo Lộc - Lâm Đồng</t>
        </is>
      </c>
      <c r="G2802" s="397" t="inlineStr">
        <is>
          <t>LDONG</t>
        </is>
      </c>
      <c r="H2802" s="399" t="n"/>
      <c r="J2802" s="392">
        <f>IFERROR(UPPER(TRIM(B2802))&amp;"|"&amp;UPPER(TRIM(C2802))&amp;"|"&amp;UPPER(TRIM(D2802)),"")</f>
        <v/>
      </c>
    </row>
    <row r="2803" ht="15.75" customHeight="1" s="217">
      <c r="A2803" s="400" t="n">
        <v>2801</v>
      </c>
      <c r="B2803" s="400" t="inlineStr">
        <is>
          <t>KH0951</t>
        </is>
      </c>
      <c r="C2803" s="401" t="inlineStr">
        <is>
          <t>Anh Hiếu - Bình Dương/ 01274.367.543</t>
        </is>
      </c>
      <c r="D2803" s="400" t="inlineStr">
        <is>
          <t>01274.367.543</t>
        </is>
      </c>
      <c r="E2803" s="402" t="n"/>
      <c r="F2803" s="401" t="inlineStr">
        <is>
          <t>Bến Cát - bình Dương</t>
        </is>
      </c>
      <c r="G2803" s="400" t="inlineStr">
        <is>
          <t>BDUONG</t>
        </is>
      </c>
      <c r="H2803" s="402" t="n"/>
      <c r="J2803" s="392">
        <f>IFERROR(UPPER(TRIM(B2803))&amp;"|"&amp;UPPER(TRIM(C2803))&amp;"|"&amp;UPPER(TRIM(D2803)),"")</f>
        <v/>
      </c>
    </row>
    <row r="2804" ht="15.75" customHeight="1" s="217">
      <c r="A2804" s="397" t="n">
        <v>2802</v>
      </c>
      <c r="B2804" s="397" t="inlineStr">
        <is>
          <t>KH0945</t>
        </is>
      </c>
      <c r="C2804" s="398" t="inlineStr">
        <is>
          <t>Anh Hưởng - Bình Phước / 0972.595.323</t>
        </is>
      </c>
      <c r="D2804" s="397" t="inlineStr">
        <is>
          <t>0972.595.323</t>
        </is>
      </c>
      <c r="E2804" s="399" t="n"/>
      <c r="F2804" s="398" t="inlineStr">
        <is>
          <t>Bình Phước</t>
        </is>
      </c>
      <c r="G2804" s="397" t="inlineStr">
        <is>
          <t>BP</t>
        </is>
      </c>
      <c r="H2804" s="399" t="n"/>
      <c r="J2804" s="392">
        <f>IFERROR(UPPER(TRIM(B2804))&amp;"|"&amp;UPPER(TRIM(C2804))&amp;"|"&amp;UPPER(TRIM(D2804)),"")</f>
        <v/>
      </c>
    </row>
    <row r="2805" ht="15.75" customHeight="1" s="217">
      <c r="A2805" s="400" t="n">
        <v>2803</v>
      </c>
      <c r="B2805" s="400" t="inlineStr">
        <is>
          <t>KH0946</t>
        </is>
      </c>
      <c r="C2805" s="401" t="inlineStr">
        <is>
          <t>Anh Hậu - Lâm Hà / 0984.678.192</t>
        </is>
      </c>
      <c r="D2805" s="400" t="inlineStr">
        <is>
          <t>0984.678.192</t>
        </is>
      </c>
      <c r="E2805" s="402" t="n"/>
      <c r="F2805" s="401" t="inlineStr">
        <is>
          <t>Lâm Hà -Lâm Đồng</t>
        </is>
      </c>
      <c r="G2805" s="400" t="inlineStr">
        <is>
          <t>LDONG</t>
        </is>
      </c>
      <c r="H2805" s="402" t="n"/>
      <c r="J2805" s="392">
        <f>IFERROR(UPPER(TRIM(B2805))&amp;"|"&amp;UPPER(TRIM(C2805))&amp;"|"&amp;UPPER(TRIM(D2805)),"")</f>
        <v/>
      </c>
    </row>
    <row r="2806" ht="15.75" customHeight="1" s="217">
      <c r="A2806" s="397" t="n">
        <v>2804</v>
      </c>
      <c r="B2806" s="397" t="inlineStr">
        <is>
          <t>KH0947</t>
        </is>
      </c>
      <c r="C2806" s="398" t="inlineStr">
        <is>
          <t>Anh Hoàng Long - Đà Lạt/ 0949.605.577</t>
        </is>
      </c>
      <c r="D2806" s="397" t="inlineStr">
        <is>
          <t>0949.605.577</t>
        </is>
      </c>
      <c r="E2806" s="399" t="n"/>
      <c r="F2806" s="398" t="inlineStr">
        <is>
          <t>Đà Lạt - Lâm Đồng</t>
        </is>
      </c>
      <c r="G2806" s="397" t="inlineStr">
        <is>
          <t>LDONG</t>
        </is>
      </c>
      <c r="H2806" s="399" t="n"/>
      <c r="J2806" s="392">
        <f>IFERROR(UPPER(TRIM(B2806))&amp;"|"&amp;UPPER(TRIM(C2806))&amp;"|"&amp;UPPER(TRIM(D2806)),"")</f>
        <v/>
      </c>
    </row>
    <row r="2807" ht="15.75" customHeight="1" s="217">
      <c r="A2807" s="400" t="n">
        <v>2805</v>
      </c>
      <c r="B2807" s="400" t="inlineStr">
        <is>
          <t>KH0948</t>
        </is>
      </c>
      <c r="C2807" s="401" t="inlineStr">
        <is>
          <t>Anh Thanh - Cần Thơ / 0918.663.314</t>
        </is>
      </c>
      <c r="D2807" s="400" t="inlineStr">
        <is>
          <t>0918.663.314</t>
        </is>
      </c>
      <c r="E2807" s="402" t="n"/>
      <c r="F2807" s="401" t="inlineStr">
        <is>
          <t>Cần Thơ</t>
        </is>
      </c>
      <c r="G2807" s="400" t="inlineStr">
        <is>
          <t>CTHO</t>
        </is>
      </c>
      <c r="H2807" s="402" t="n"/>
      <c r="J2807" s="392">
        <f>IFERROR(UPPER(TRIM(B2807))&amp;"|"&amp;UPPER(TRIM(C2807))&amp;"|"&amp;UPPER(TRIM(D2807)),"")</f>
        <v/>
      </c>
    </row>
    <row r="2808" ht="15.75" customHeight="1" s="217">
      <c r="A2808" s="397" t="n">
        <v>2806</v>
      </c>
      <c r="B2808" s="397" t="inlineStr">
        <is>
          <t>KH0943</t>
        </is>
      </c>
      <c r="C2808" s="398" t="inlineStr">
        <is>
          <t>Anh Tuấn - Long An/ 0939.364.826</t>
        </is>
      </c>
      <c r="D2808" s="397" t="inlineStr">
        <is>
          <t>0939.364.826</t>
        </is>
      </c>
      <c r="E2808" s="399" t="n"/>
      <c r="F2808" s="398" t="inlineStr">
        <is>
          <t>Long AN</t>
        </is>
      </c>
      <c r="G2808" s="397" t="inlineStr">
        <is>
          <t>LA</t>
        </is>
      </c>
      <c r="H2808" s="399" t="n"/>
      <c r="J2808" s="392">
        <f>IFERROR(UPPER(TRIM(B2808))&amp;"|"&amp;UPPER(TRIM(C2808))&amp;"|"&amp;UPPER(TRIM(D2808)),"")</f>
        <v/>
      </c>
    </row>
    <row r="2809" ht="15.75" customHeight="1" s="217">
      <c r="A2809" s="400" t="n">
        <v>2807</v>
      </c>
      <c r="B2809" s="400" t="inlineStr">
        <is>
          <t>KH0944</t>
        </is>
      </c>
      <c r="C2809" s="401" t="inlineStr">
        <is>
          <t>Anh Tư Trí - Trà Vinh/ 0918.528.341</t>
        </is>
      </c>
      <c r="D2809" s="400" t="inlineStr">
        <is>
          <t>0918.528.341</t>
        </is>
      </c>
      <c r="E2809" s="402" t="n"/>
      <c r="F2809" s="401" t="inlineStr">
        <is>
          <t>Cầu Ngang - Trà Vinh</t>
        </is>
      </c>
      <c r="G2809" s="400" t="inlineStr">
        <is>
          <t>TV</t>
        </is>
      </c>
      <c r="H2809" s="402" t="n"/>
      <c r="J2809" s="392">
        <f>IFERROR(UPPER(TRIM(B2809))&amp;"|"&amp;UPPER(TRIM(C2809))&amp;"|"&amp;UPPER(TRIM(D2809)),"")</f>
        <v/>
      </c>
    </row>
    <row r="2810" ht="15.75" customHeight="1" s="217">
      <c r="A2810" s="397" t="n">
        <v>2808</v>
      </c>
      <c r="B2810" s="397" t="inlineStr">
        <is>
          <t>KH0942</t>
        </is>
      </c>
      <c r="C2810" s="398" t="inlineStr">
        <is>
          <t>Cửa hàng Nông Ngư Cơ Lâm - SG/ Anh Phú - An Sương- 0913.609.097</t>
        </is>
      </c>
      <c r="D2810" s="397" t="inlineStr">
        <is>
          <t>0913.609.097</t>
        </is>
      </c>
      <c r="E2810" s="399" t="n"/>
      <c r="F2810" s="398" t="inlineStr">
        <is>
          <t>28/2A Thái Thị Giữ, Đồng Lân, Bà Điểm, Hooc Môn</t>
        </is>
      </c>
      <c r="G2810" s="397" t="inlineStr">
        <is>
          <t>SG/HCM</t>
        </is>
      </c>
      <c r="H2810" s="399" t="n"/>
      <c r="J2810" s="392">
        <f>IFERROR(UPPER(TRIM(B2810))&amp;"|"&amp;UPPER(TRIM(C2810))&amp;"|"&amp;UPPER(TRIM(D2810)),"")</f>
        <v/>
      </c>
    </row>
    <row r="2811" ht="15.75" customHeight="1" s="217">
      <c r="A2811" s="400" t="n">
        <v>2809</v>
      </c>
      <c r="B2811" s="400" t="inlineStr">
        <is>
          <t>KH0940</t>
        </is>
      </c>
      <c r="C2811" s="401" t="inlineStr">
        <is>
          <t>Anh Thành - Gò Vấp/ 0988.476.688</t>
        </is>
      </c>
      <c r="D2811" s="400" t="inlineStr">
        <is>
          <t>0988.476.688</t>
        </is>
      </c>
      <c r="E2811" s="402" t="n"/>
      <c r="F2811" s="401" t="inlineStr">
        <is>
          <t>Gò Vấp - TP. HCM</t>
        </is>
      </c>
      <c r="G2811" s="400" t="inlineStr">
        <is>
          <t>SG/HCM</t>
        </is>
      </c>
      <c r="H2811" s="402" t="n"/>
      <c r="J2811" s="392">
        <f>IFERROR(UPPER(TRIM(B2811))&amp;"|"&amp;UPPER(TRIM(C2811))&amp;"|"&amp;UPPER(TRIM(D2811)),"")</f>
        <v/>
      </c>
    </row>
    <row r="2812" ht="15.75" customHeight="1" s="217">
      <c r="A2812" s="397" t="n">
        <v>2810</v>
      </c>
      <c r="B2812" s="397" t="inlineStr">
        <is>
          <t>KH0941</t>
        </is>
      </c>
      <c r="C2812" s="398" t="inlineStr">
        <is>
          <t>Công Ty Hùng Sơn - Bình Chánh/ Chú Tùng - 0909.502.006</t>
        </is>
      </c>
      <c r="D2812" s="397" t="inlineStr">
        <is>
          <t>0909.502.006</t>
        </is>
      </c>
      <c r="E2812" s="399" t="n"/>
      <c r="F2812" s="398" t="inlineStr">
        <is>
          <t>Bình Chánh - TP.HCM</t>
        </is>
      </c>
      <c r="G2812" s="397" t="inlineStr">
        <is>
          <t>SG/HCM</t>
        </is>
      </c>
      <c r="H2812" s="399" t="n"/>
      <c r="J2812" s="392">
        <f>IFERROR(UPPER(TRIM(B2812))&amp;"|"&amp;UPPER(TRIM(C2812))&amp;"|"&amp;UPPER(TRIM(D2812)),"")</f>
        <v/>
      </c>
    </row>
    <row r="2813" ht="15.75" customHeight="1" s="217">
      <c r="A2813" s="400" t="n">
        <v>2811</v>
      </c>
      <c r="B2813" s="400" t="inlineStr">
        <is>
          <t>KH0938</t>
        </is>
      </c>
      <c r="C2813" s="401" t="inlineStr">
        <is>
          <t>Anh Tuấn - Tây Ninh / 0988.484.893</t>
        </is>
      </c>
      <c r="D2813" s="400" t="inlineStr">
        <is>
          <t>0988.484.893</t>
        </is>
      </c>
      <c r="E2813" s="402" t="n"/>
      <c r="F2813" s="401" t="inlineStr">
        <is>
          <t>Tây Ninh</t>
        </is>
      </c>
      <c r="G2813" s="400" t="inlineStr">
        <is>
          <t>TNINH</t>
        </is>
      </c>
      <c r="H2813" s="402" t="n"/>
      <c r="J2813" s="392">
        <f>IFERROR(UPPER(TRIM(B2813))&amp;"|"&amp;UPPER(TRIM(C2813))&amp;"|"&amp;UPPER(TRIM(D2813)),"")</f>
        <v/>
      </c>
    </row>
    <row r="2814" ht="15.75" customHeight="1" s="217">
      <c r="A2814" s="397" t="n">
        <v>2812</v>
      </c>
      <c r="B2814" s="397" t="inlineStr">
        <is>
          <t>KH0939</t>
        </is>
      </c>
      <c r="C2814" s="398" t="inlineStr">
        <is>
          <t>Chú Hai Mung - Long An/ 0918.593.685</t>
        </is>
      </c>
      <c r="D2814" s="397" t="inlineStr">
        <is>
          <t>0918.593.685</t>
        </is>
      </c>
      <c r="E2814" s="399" t="n"/>
      <c r="F2814" s="398" t="inlineStr">
        <is>
          <t>Thạnh Hóa - Long An</t>
        </is>
      </c>
      <c r="G2814" s="397" t="inlineStr">
        <is>
          <t>LA</t>
        </is>
      </c>
      <c r="H2814" s="399" t="n"/>
      <c r="J2814" s="392">
        <f>IFERROR(UPPER(TRIM(B2814))&amp;"|"&amp;UPPER(TRIM(C2814))&amp;"|"&amp;UPPER(TRIM(D2814)),"")</f>
        <v/>
      </c>
    </row>
    <row r="2815" ht="15.75" customHeight="1" s="217">
      <c r="A2815" s="400" t="n">
        <v>2813</v>
      </c>
      <c r="B2815" s="400" t="inlineStr">
        <is>
          <t>KH0936</t>
        </is>
      </c>
      <c r="C2815" s="401" t="inlineStr">
        <is>
          <t>Anh Nghị - Bình Dương/ 0987.231.077</t>
        </is>
      </c>
      <c r="D2815" s="400" t="inlineStr">
        <is>
          <t>0987.231.077</t>
        </is>
      </c>
      <c r="E2815" s="402" t="n"/>
      <c r="F2815" s="401" t="inlineStr">
        <is>
          <t>Bình Dương</t>
        </is>
      </c>
      <c r="G2815" s="400" t="inlineStr">
        <is>
          <t>BDUONG</t>
        </is>
      </c>
      <c r="H2815" s="402" t="n"/>
      <c r="J2815" s="392">
        <f>IFERROR(UPPER(TRIM(B2815))&amp;"|"&amp;UPPER(TRIM(C2815))&amp;"|"&amp;UPPER(TRIM(D2815)),"")</f>
        <v/>
      </c>
    </row>
    <row r="2816" ht="15.75" customHeight="1" s="217">
      <c r="A2816" s="397" t="n">
        <v>2814</v>
      </c>
      <c r="B2816" s="397" t="inlineStr">
        <is>
          <t>KH0937</t>
        </is>
      </c>
      <c r="C2816" s="398" t="inlineStr">
        <is>
          <t>Anh Đức - Lâm Đồng/ 0983.865.343</t>
        </is>
      </c>
      <c r="D2816" s="397" t="inlineStr">
        <is>
          <t>0983.865.343</t>
        </is>
      </c>
      <c r="E2816" s="399" t="n"/>
      <c r="F2816" s="398" t="inlineStr">
        <is>
          <t>Lâm Đồng</t>
        </is>
      </c>
      <c r="G2816" s="397" t="inlineStr">
        <is>
          <t>LDONG</t>
        </is>
      </c>
      <c r="H2816" s="399" t="n"/>
      <c r="J2816" s="392">
        <f>IFERROR(UPPER(TRIM(B2816))&amp;"|"&amp;UPPER(TRIM(C2816))&amp;"|"&amp;UPPER(TRIM(D2816)),"")</f>
        <v/>
      </c>
    </row>
    <row r="2817" ht="15.75" customHeight="1" s="217">
      <c r="A2817" s="400" t="n">
        <v>2815</v>
      </c>
      <c r="B2817" s="400" t="inlineStr">
        <is>
          <t>MN34</t>
        </is>
      </c>
      <c r="C2817" s="401" t="inlineStr">
        <is>
          <t>Dương -lái xe</t>
        </is>
      </c>
      <c r="D2817" s="402" t="n"/>
      <c r="E2817" s="402" t="n"/>
      <c r="F2817" s="401" t="inlineStr">
        <is>
          <t>Công Ty CP Cơ Giới Miền Nam</t>
        </is>
      </c>
      <c r="G2817" s="402" t="n"/>
      <c r="H2817" s="402" t="n"/>
      <c r="J2817" s="392">
        <f>IFERROR(UPPER(TRIM(B2817))&amp;"|"&amp;UPPER(TRIM(C2817))&amp;"|"&amp;UPPER(TRIM(D2817)),"")</f>
        <v/>
      </c>
    </row>
    <row r="2818" ht="15.75" customHeight="1" s="217">
      <c r="A2818" s="397" t="n">
        <v>2816</v>
      </c>
      <c r="B2818" s="397" t="inlineStr">
        <is>
          <t>KH0934</t>
        </is>
      </c>
      <c r="C2818" s="398" t="inlineStr">
        <is>
          <t>Anh Bộ - Trà Vinh / 0918.586.506</t>
        </is>
      </c>
      <c r="D2818" s="397" t="inlineStr">
        <is>
          <t>0918.586.506</t>
        </is>
      </c>
      <c r="E2818" s="399" t="n"/>
      <c r="F2818" s="398" t="inlineStr">
        <is>
          <t>Trà Vinh</t>
        </is>
      </c>
      <c r="G2818" s="397" t="inlineStr">
        <is>
          <t>TV</t>
        </is>
      </c>
      <c r="H2818" s="399" t="n"/>
      <c r="J2818" s="392">
        <f>IFERROR(UPPER(TRIM(B2818))&amp;"|"&amp;UPPER(TRIM(C2818))&amp;"|"&amp;UPPER(TRIM(D2818)),"")</f>
        <v/>
      </c>
    </row>
    <row r="2819" ht="15.75" customHeight="1" s="217">
      <c r="A2819" s="400" t="n">
        <v>2817</v>
      </c>
      <c r="B2819" s="400" t="inlineStr">
        <is>
          <t>KH0935</t>
        </is>
      </c>
      <c r="C2819" s="401" t="inlineStr">
        <is>
          <t>Anh Văn Hoàng - Đức Trọng/ 0977.097.148</t>
        </is>
      </c>
      <c r="D2819" s="400" t="inlineStr">
        <is>
          <t>0977.097.148</t>
        </is>
      </c>
      <c r="E2819" s="402" t="n"/>
      <c r="F2819" s="401" t="inlineStr">
        <is>
          <t>Đức Trọng - Lâm Đồng</t>
        </is>
      </c>
      <c r="G2819" s="400" t="inlineStr">
        <is>
          <t>LDONG</t>
        </is>
      </c>
      <c r="H2819" s="402" t="n"/>
      <c r="J2819" s="392">
        <f>IFERROR(UPPER(TRIM(B2819))&amp;"|"&amp;UPPER(TRIM(C2819))&amp;"|"&amp;UPPER(TRIM(D2819)),"")</f>
        <v/>
      </c>
    </row>
    <row r="2820" ht="15.75" customHeight="1" s="217">
      <c r="A2820" s="397" t="n">
        <v>2818</v>
      </c>
      <c r="B2820" s="397" t="inlineStr">
        <is>
          <t>KH0932</t>
        </is>
      </c>
      <c r="C2820" s="398" t="inlineStr">
        <is>
          <t>Anh Nam - Ngã 4 Bình Phước/ 0923.373.646</t>
        </is>
      </c>
      <c r="D2820" s="397" t="inlineStr">
        <is>
          <t>0923.373.646</t>
        </is>
      </c>
      <c r="E2820" s="399" t="n"/>
      <c r="F2820" s="398" t="inlineStr">
        <is>
          <t>Ngã 4 Bình Phước - SG</t>
        </is>
      </c>
      <c r="G2820" s="397" t="inlineStr">
        <is>
          <t>SG/HCM</t>
        </is>
      </c>
      <c r="H2820" s="399" t="n"/>
      <c r="J2820" s="392">
        <f>IFERROR(UPPER(TRIM(B2820))&amp;"|"&amp;UPPER(TRIM(C2820))&amp;"|"&amp;UPPER(TRIM(D2820)),"")</f>
        <v/>
      </c>
    </row>
    <row r="2821" ht="15.75" customHeight="1" s="217">
      <c r="A2821" s="400" t="n">
        <v>2819</v>
      </c>
      <c r="B2821" s="400" t="inlineStr">
        <is>
          <t>KH0933</t>
        </is>
      </c>
      <c r="C2821" s="401" t="inlineStr">
        <is>
          <t>Anh Hiền - Long An / 0985.120.883</t>
        </is>
      </c>
      <c r="D2821" s="400" t="inlineStr">
        <is>
          <t>0985.120.883</t>
        </is>
      </c>
      <c r="E2821" s="402" t="n"/>
      <c r="F2821" s="401" t="inlineStr">
        <is>
          <t>Long An</t>
        </is>
      </c>
      <c r="G2821" s="400" t="inlineStr">
        <is>
          <t>LA</t>
        </is>
      </c>
      <c r="H2821" s="402" t="n"/>
      <c r="J2821" s="392">
        <f>IFERROR(UPPER(TRIM(B2821))&amp;"|"&amp;UPPER(TRIM(C2821))&amp;"|"&amp;UPPER(TRIM(D2821)),"")</f>
        <v/>
      </c>
    </row>
    <row r="2822" ht="15.75" customHeight="1" s="217">
      <c r="A2822" s="397" t="n">
        <v>2820</v>
      </c>
      <c r="B2822" s="397" t="inlineStr">
        <is>
          <t>KH0927</t>
        </is>
      </c>
      <c r="C2822" s="398" t="inlineStr">
        <is>
          <t>Anh Phước - Đắk Lắk /0989.114.487</t>
        </is>
      </c>
      <c r="D2822" s="397" t="inlineStr">
        <is>
          <t>0989.114.487</t>
        </is>
      </c>
      <c r="E2822" s="399" t="n"/>
      <c r="F2822" s="398" t="inlineStr">
        <is>
          <t>Đắk Lắk</t>
        </is>
      </c>
      <c r="G2822" s="397" t="inlineStr">
        <is>
          <t>ÐL</t>
        </is>
      </c>
      <c r="H2822" s="399" t="n"/>
      <c r="J2822" s="392">
        <f>IFERROR(UPPER(TRIM(B2822))&amp;"|"&amp;UPPER(TRIM(C2822))&amp;"|"&amp;UPPER(TRIM(D2822)),"")</f>
        <v/>
      </c>
    </row>
    <row r="2823" ht="15.75" customHeight="1" s="217">
      <c r="A2823" s="400" t="n">
        <v>2821</v>
      </c>
      <c r="B2823" s="400" t="inlineStr">
        <is>
          <t>KH0928</t>
        </is>
      </c>
      <c r="C2823" s="401" t="inlineStr">
        <is>
          <t>Anh Hà - Đồng Xoài /0975.552.290</t>
        </is>
      </c>
      <c r="D2823" s="400" t="inlineStr">
        <is>
          <t>0975.552.290</t>
        </is>
      </c>
      <c r="E2823" s="402" t="n"/>
      <c r="F2823" s="401" t="inlineStr">
        <is>
          <t>Đồng Xoài - Bình Phước</t>
        </is>
      </c>
      <c r="G2823" s="400" t="inlineStr">
        <is>
          <t>BP</t>
        </is>
      </c>
      <c r="H2823" s="402" t="n"/>
      <c r="J2823" s="392">
        <f>IFERROR(UPPER(TRIM(B2823))&amp;"|"&amp;UPPER(TRIM(C2823))&amp;"|"&amp;UPPER(TRIM(D2823)),"")</f>
        <v/>
      </c>
    </row>
    <row r="2824" ht="15.75" customHeight="1" s="217">
      <c r="A2824" s="397" t="n">
        <v>2822</v>
      </c>
      <c r="B2824" s="397" t="inlineStr">
        <is>
          <t>KH0929</t>
        </is>
      </c>
      <c r="C2824" s="398" t="inlineStr">
        <is>
          <t>Anh Vũ - Vĩnh Long / 0907.764.018</t>
        </is>
      </c>
      <c r="D2824" s="397" t="inlineStr">
        <is>
          <t>0907.764.018</t>
        </is>
      </c>
      <c r="E2824" s="399" t="n"/>
      <c r="F2824" s="398" t="inlineStr">
        <is>
          <t>Vĩnh Long</t>
        </is>
      </c>
      <c r="G2824" s="397" t="inlineStr">
        <is>
          <t>VĨNH LONG</t>
        </is>
      </c>
      <c r="H2824" s="399" t="n"/>
      <c r="J2824" s="392">
        <f>IFERROR(UPPER(TRIM(B2824))&amp;"|"&amp;UPPER(TRIM(C2824))&amp;"|"&amp;UPPER(TRIM(D2824)),"")</f>
        <v/>
      </c>
    </row>
    <row r="2825" ht="15.75" customHeight="1" s="217">
      <c r="A2825" s="400" t="n">
        <v>2823</v>
      </c>
      <c r="B2825" s="400" t="inlineStr">
        <is>
          <t>KH0930</t>
        </is>
      </c>
      <c r="C2825" s="401" t="inlineStr">
        <is>
          <t>Anh Tuyên - Bình Phước /0986.323.338</t>
        </is>
      </c>
      <c r="D2825" s="400" t="inlineStr">
        <is>
          <t>0986.323.338</t>
        </is>
      </c>
      <c r="E2825" s="402" t="n"/>
      <c r="F2825" s="401" t="inlineStr">
        <is>
          <t>Bình Phước</t>
        </is>
      </c>
      <c r="G2825" s="400" t="inlineStr">
        <is>
          <t>BP</t>
        </is>
      </c>
      <c r="H2825" s="402" t="n"/>
      <c r="J2825" s="392">
        <f>IFERROR(UPPER(TRIM(B2825))&amp;"|"&amp;UPPER(TRIM(C2825))&amp;"|"&amp;UPPER(TRIM(D2825)),"")</f>
        <v/>
      </c>
    </row>
    <row r="2826" ht="15.75" customHeight="1" s="217">
      <c r="A2826" s="397" t="n">
        <v>2824</v>
      </c>
      <c r="B2826" s="397" t="inlineStr">
        <is>
          <t>KH0931</t>
        </is>
      </c>
      <c r="C2826" s="398" t="inlineStr">
        <is>
          <t>Anh Phi - An Giang (L)/ 0982.944.977</t>
        </is>
      </c>
      <c r="D2826" s="397" t="inlineStr">
        <is>
          <t>0982.944.977</t>
        </is>
      </c>
      <c r="E2826" s="399" t="n"/>
      <c r="F2826" s="398" t="inlineStr">
        <is>
          <t>An Giang</t>
        </is>
      </c>
      <c r="G2826" s="397" t="inlineStr">
        <is>
          <t>ANGIANG</t>
        </is>
      </c>
      <c r="H2826" s="399" t="n"/>
      <c r="J2826" s="392">
        <f>IFERROR(UPPER(TRIM(B2826))&amp;"|"&amp;UPPER(TRIM(C2826))&amp;"|"&amp;UPPER(TRIM(D2826)),"")</f>
        <v/>
      </c>
    </row>
    <row r="2827" ht="15.75" customHeight="1" s="217">
      <c r="A2827" s="400" t="n">
        <v>2825</v>
      </c>
      <c r="B2827" s="400" t="inlineStr">
        <is>
          <t>KH0924</t>
        </is>
      </c>
      <c r="C2827" s="401" t="inlineStr">
        <is>
          <t>Xưởng anh Hoàng - Đức Trọng / 0941.671.252</t>
        </is>
      </c>
      <c r="D2827" s="400" t="inlineStr">
        <is>
          <t>0941.671.252</t>
        </is>
      </c>
      <c r="E2827" s="402" t="n"/>
      <c r="F2827" s="401" t="inlineStr">
        <is>
          <t>Đức Trọng - Lâm Đồng</t>
        </is>
      </c>
      <c r="G2827" s="400" t="inlineStr">
        <is>
          <t>LDONG</t>
        </is>
      </c>
      <c r="H2827" s="402" t="n"/>
      <c r="J2827" s="392">
        <f>IFERROR(UPPER(TRIM(B2827))&amp;"|"&amp;UPPER(TRIM(C2827))&amp;"|"&amp;UPPER(TRIM(D2827)),"")</f>
        <v/>
      </c>
    </row>
    <row r="2828" ht="15.75" customHeight="1" s="217">
      <c r="A2828" s="397" t="n">
        <v>2826</v>
      </c>
      <c r="B2828" s="397" t="inlineStr">
        <is>
          <t>KH0925</t>
        </is>
      </c>
      <c r="C2828" s="398" t="inlineStr">
        <is>
          <t>Bãi Máy Kiến Thành - Long An/ 0938.513.938</t>
        </is>
      </c>
      <c r="D2828" s="397" t="inlineStr">
        <is>
          <t>0938.513.938</t>
        </is>
      </c>
      <c r="E2828" s="399" t="n"/>
      <c r="F2828" s="398" t="inlineStr">
        <is>
          <t>Gò Đen - Bến Lức - Long An</t>
        </is>
      </c>
      <c r="G2828" s="397" t="inlineStr">
        <is>
          <t>LA</t>
        </is>
      </c>
      <c r="H2828" s="399" t="n"/>
      <c r="J2828" s="392">
        <f>IFERROR(UPPER(TRIM(B2828))&amp;"|"&amp;UPPER(TRIM(C2828))&amp;"|"&amp;UPPER(TRIM(D2828)),"")</f>
        <v/>
      </c>
    </row>
    <row r="2829" ht="15.75" customHeight="1" s="217">
      <c r="A2829" s="400" t="n">
        <v>2827</v>
      </c>
      <c r="B2829" s="400" t="inlineStr">
        <is>
          <t>KH0926</t>
        </is>
      </c>
      <c r="C2829" s="401" t="inlineStr">
        <is>
          <t>Công TyTNHH ĐT - XD - TM Vũ Kiều - Bình Dương / Chị Lan - 0909.871.699</t>
        </is>
      </c>
      <c r="D2829" s="400" t="inlineStr">
        <is>
          <t>0909.871.699</t>
        </is>
      </c>
      <c r="E2829" s="402" t="n"/>
      <c r="F2829" s="401" t="inlineStr">
        <is>
          <t>34/11 Vĩnh Phú 10, Thuận An - Bình Dương</t>
        </is>
      </c>
      <c r="G2829" s="400" t="inlineStr">
        <is>
          <t>BDUONG</t>
        </is>
      </c>
      <c r="H2829" s="402" t="n"/>
      <c r="J2829" s="392">
        <f>IFERROR(UPPER(TRIM(B2829))&amp;"|"&amp;UPPER(TRIM(C2829))&amp;"|"&amp;UPPER(TRIM(D2829)),"")</f>
        <v/>
      </c>
    </row>
    <row r="2830" ht="15.75" customHeight="1" s="217">
      <c r="A2830" s="397" t="n">
        <v>2828</v>
      </c>
      <c r="B2830" s="397" t="inlineStr">
        <is>
          <t>KH0920</t>
        </is>
      </c>
      <c r="C2830" s="398" t="inlineStr">
        <is>
          <t>Xưởng anh Nguyện - Bình Chánh / 0982.939.514</t>
        </is>
      </c>
      <c r="D2830" s="397" t="inlineStr">
        <is>
          <t>0982.939.514</t>
        </is>
      </c>
      <c r="E2830" s="399" t="n"/>
      <c r="F2830" s="398" t="inlineStr">
        <is>
          <t>Ngã tư Gò Mây, Quốc Lộ 1A, Bình Chánh, TP HCM</t>
        </is>
      </c>
      <c r="G2830" s="397" t="inlineStr">
        <is>
          <t>SG/HCM</t>
        </is>
      </c>
      <c r="H2830" s="399" t="n"/>
      <c r="J2830" s="392">
        <f>IFERROR(UPPER(TRIM(B2830))&amp;"|"&amp;UPPER(TRIM(C2830))&amp;"|"&amp;UPPER(TRIM(D2830)),"")</f>
        <v/>
      </c>
    </row>
    <row r="2831" ht="15.75" customHeight="1" s="217">
      <c r="A2831" s="400" t="n">
        <v>2829</v>
      </c>
      <c r="B2831" s="400" t="inlineStr">
        <is>
          <t>KH0921</t>
        </is>
      </c>
      <c r="C2831" s="401" t="inlineStr">
        <is>
          <t>Xưởng Tân Hội - Đức Trọng / Anh Dương - 0969.007.792</t>
        </is>
      </c>
      <c r="D2831" s="400" t="inlineStr">
        <is>
          <t>0969.007.792</t>
        </is>
      </c>
      <c r="E2831" s="402" t="n"/>
      <c r="F2831" s="401" t="inlineStr">
        <is>
          <t>Đức Trọng - Lâm Đồng</t>
        </is>
      </c>
      <c r="G2831" s="400" t="inlineStr">
        <is>
          <t>LDONG</t>
        </is>
      </c>
      <c r="H2831" s="402" t="n"/>
      <c r="J2831" s="392">
        <f>IFERROR(UPPER(TRIM(B2831))&amp;"|"&amp;UPPER(TRIM(C2831))&amp;"|"&amp;UPPER(TRIM(D2831)),"")</f>
        <v/>
      </c>
    </row>
    <row r="2832" ht="15.75" customHeight="1" s="217">
      <c r="A2832" s="397" t="n">
        <v>2830</v>
      </c>
      <c r="B2832" s="397" t="inlineStr">
        <is>
          <t>KH0922</t>
        </is>
      </c>
      <c r="C2832" s="398" t="inlineStr">
        <is>
          <t>Anh Tài - Bình Chánh/ 0987.300.024</t>
        </is>
      </c>
      <c r="D2832" s="397" t="inlineStr">
        <is>
          <t>0987.300.024</t>
        </is>
      </c>
      <c r="E2832" s="399" t="n"/>
      <c r="F2832" s="398" t="inlineStr">
        <is>
          <t>Bình Chánh - SG</t>
        </is>
      </c>
      <c r="G2832" s="397" t="inlineStr">
        <is>
          <t>SG/HCM</t>
        </is>
      </c>
      <c r="H2832" s="399" t="n"/>
      <c r="J2832" s="392">
        <f>IFERROR(UPPER(TRIM(B2832))&amp;"|"&amp;UPPER(TRIM(C2832))&amp;"|"&amp;UPPER(TRIM(D2832)),"")</f>
        <v/>
      </c>
    </row>
    <row r="2833" ht="15.75" customHeight="1" s="217">
      <c r="A2833" s="400" t="n">
        <v>2831</v>
      </c>
      <c r="B2833" s="400" t="inlineStr">
        <is>
          <t>KH0923</t>
        </is>
      </c>
      <c r="C2833" s="401" t="inlineStr">
        <is>
          <t>Anh Khánh - BRVT / 0988.253.579</t>
        </is>
      </c>
      <c r="D2833" s="400" t="inlineStr">
        <is>
          <t>0988.253.579</t>
        </is>
      </c>
      <c r="E2833" s="402" t="n"/>
      <c r="F2833" s="401" t="inlineStr">
        <is>
          <t>Bà Rịa - Vũng Tàu</t>
        </is>
      </c>
      <c r="G2833" s="400" t="inlineStr">
        <is>
          <t>BRVT</t>
        </is>
      </c>
      <c r="H2833" s="402" t="n"/>
      <c r="J2833" s="392">
        <f>IFERROR(UPPER(TRIM(B2833))&amp;"|"&amp;UPPER(TRIM(C2833))&amp;"|"&amp;UPPER(TRIM(D2833)),"")</f>
        <v/>
      </c>
    </row>
    <row r="2834" ht="15.75" customHeight="1" s="217">
      <c r="A2834" s="397" t="n">
        <v>2832</v>
      </c>
      <c r="B2834" s="397" t="inlineStr">
        <is>
          <t>MN33</t>
        </is>
      </c>
      <c r="C2834" s="398" t="inlineStr">
        <is>
          <t>Nguyễn Thanh Sang</t>
        </is>
      </c>
      <c r="D2834" s="399" t="n"/>
      <c r="E2834" s="399" t="n"/>
      <c r="F2834" s="398" t="inlineStr">
        <is>
          <t>Công Ty Cổ Phần Cơ Giới Miền Nam</t>
        </is>
      </c>
      <c r="G2834" s="399" t="n"/>
      <c r="H2834" s="399" t="n"/>
      <c r="J2834" s="392">
        <f>IFERROR(UPPER(TRIM(B2834))&amp;"|"&amp;UPPER(TRIM(C2834))&amp;"|"&amp;UPPER(TRIM(D2834)),"")</f>
        <v/>
      </c>
    </row>
    <row r="2835" ht="15.75" customHeight="1" s="217">
      <c r="A2835" s="400" t="n">
        <v>2833</v>
      </c>
      <c r="B2835" s="400" t="inlineStr">
        <is>
          <t>KH0918</t>
        </is>
      </c>
      <c r="C2835" s="401" t="inlineStr">
        <is>
          <t>Anh Huấn - Đắk Nông / 0982.013.056</t>
        </is>
      </c>
      <c r="D2835" s="400" t="inlineStr">
        <is>
          <t>0982.013.056</t>
        </is>
      </c>
      <c r="E2835" s="402" t="n"/>
      <c r="F2835" s="401" t="inlineStr">
        <is>
          <t>Đắk Nông</t>
        </is>
      </c>
      <c r="G2835" s="400" t="inlineStr">
        <is>
          <t>DNONG</t>
        </is>
      </c>
      <c r="H2835" s="402" t="n"/>
      <c r="J2835" s="392">
        <f>IFERROR(UPPER(TRIM(B2835))&amp;"|"&amp;UPPER(TRIM(C2835))&amp;"|"&amp;UPPER(TRIM(D2835)),"")</f>
        <v/>
      </c>
    </row>
    <row r="2836" ht="15.75" customHeight="1" s="217">
      <c r="A2836" s="397" t="n">
        <v>2834</v>
      </c>
      <c r="B2836" s="397" t="inlineStr">
        <is>
          <t>KH0919</t>
        </is>
      </c>
      <c r="C2836" s="398" t="inlineStr">
        <is>
          <t>Cửa Hàng Thiện Phước - Trà Vinh /0918.704.645</t>
        </is>
      </c>
      <c r="D2836" s="397" t="inlineStr">
        <is>
          <t>0918.704.645</t>
        </is>
      </c>
      <c r="E2836" s="399" t="n"/>
      <c r="F2836" s="398" t="inlineStr">
        <is>
          <t>Trà Vinh</t>
        </is>
      </c>
      <c r="G2836" s="397" t="inlineStr">
        <is>
          <t>TV</t>
        </is>
      </c>
      <c r="H2836" s="399" t="n"/>
      <c r="J2836" s="392">
        <f>IFERROR(UPPER(TRIM(B2836))&amp;"|"&amp;UPPER(TRIM(C2836))&amp;"|"&amp;UPPER(TRIM(D2836)),"")</f>
        <v/>
      </c>
    </row>
    <row r="2837" ht="15.75" customHeight="1" s="217">
      <c r="A2837" s="400" t="n">
        <v>2835</v>
      </c>
      <c r="B2837" s="400" t="inlineStr">
        <is>
          <t>KH0917</t>
        </is>
      </c>
      <c r="C2837" s="401" t="inlineStr">
        <is>
          <t>Anh Tiến - Q2 / 0908.064.595</t>
        </is>
      </c>
      <c r="D2837" s="400" t="inlineStr">
        <is>
          <t>0908.064.595</t>
        </is>
      </c>
      <c r="E2837" s="402" t="n"/>
      <c r="F2837" s="401" t="inlineStr">
        <is>
          <t>quận 2 - TP.HCM</t>
        </is>
      </c>
      <c r="G2837" s="400" t="inlineStr">
        <is>
          <t>SG/HCM</t>
        </is>
      </c>
      <c r="H2837" s="402" t="n"/>
      <c r="J2837" s="392">
        <f>IFERROR(UPPER(TRIM(B2837))&amp;"|"&amp;UPPER(TRIM(C2837))&amp;"|"&amp;UPPER(TRIM(D2837)),"")</f>
        <v/>
      </c>
    </row>
    <row r="2838" ht="15.75" customHeight="1" s="217">
      <c r="A2838" s="397" t="n">
        <v>2836</v>
      </c>
      <c r="B2838" s="397" t="inlineStr">
        <is>
          <t>KH0915</t>
        </is>
      </c>
      <c r="C2838" s="398" t="inlineStr">
        <is>
          <t>Anh Thắng - Suôi Tiên / 0932.702.492</t>
        </is>
      </c>
      <c r="D2838" s="397" t="inlineStr">
        <is>
          <t>0932.702.492</t>
        </is>
      </c>
      <c r="E2838" s="399" t="n"/>
      <c r="F2838" s="398" t="inlineStr">
        <is>
          <t>Suối Tiên- SG</t>
        </is>
      </c>
      <c r="G2838" s="397" t="inlineStr">
        <is>
          <t>SG/HCM</t>
        </is>
      </c>
      <c r="H2838" s="399" t="n"/>
      <c r="J2838" s="392">
        <f>IFERROR(UPPER(TRIM(B2838))&amp;"|"&amp;UPPER(TRIM(C2838))&amp;"|"&amp;UPPER(TRIM(D2838)),"")</f>
        <v/>
      </c>
    </row>
    <row r="2839" ht="15.75" customHeight="1" s="217">
      <c r="A2839" s="400" t="n">
        <v>2837</v>
      </c>
      <c r="B2839" s="400" t="inlineStr">
        <is>
          <t>KH0916</t>
        </is>
      </c>
      <c r="C2839" s="401" t="inlineStr">
        <is>
          <t>Anh Lang - Đức Trọng / 0913.181.217</t>
        </is>
      </c>
      <c r="D2839" s="400" t="inlineStr">
        <is>
          <t>0913.181.217</t>
        </is>
      </c>
      <c r="E2839" s="402" t="n"/>
      <c r="F2839" s="401" t="inlineStr">
        <is>
          <t>Đức Trọng - Lâm Đồng</t>
        </is>
      </c>
      <c r="G2839" s="400" t="inlineStr">
        <is>
          <t>LDONG</t>
        </is>
      </c>
      <c r="H2839" s="402" t="n"/>
      <c r="J2839" s="392">
        <f>IFERROR(UPPER(TRIM(B2839))&amp;"|"&amp;UPPER(TRIM(C2839))&amp;"|"&amp;UPPER(TRIM(D2839)),"")</f>
        <v/>
      </c>
    </row>
    <row r="2840" ht="15.75" customHeight="1" s="217">
      <c r="A2840" s="397" t="n">
        <v>2838</v>
      </c>
      <c r="B2840" s="397" t="inlineStr">
        <is>
          <t>KH0912</t>
        </is>
      </c>
      <c r="C2840" s="398" t="inlineStr">
        <is>
          <t>Công ty Chí Cường - TPHCM/0908.171.113</t>
        </is>
      </c>
      <c r="D2840" s="397" t="inlineStr">
        <is>
          <t>0908.171.113</t>
        </is>
      </c>
      <c r="E2840" s="399" t="n"/>
      <c r="F2840" s="398" t="inlineStr">
        <is>
          <t>quốc lộ 13 - Thủ Đức - TP.HCM</t>
        </is>
      </c>
      <c r="G2840" s="397" t="inlineStr">
        <is>
          <t>SG/HCM</t>
        </is>
      </c>
      <c r="H2840" s="399" t="n"/>
      <c r="J2840" s="392">
        <f>IFERROR(UPPER(TRIM(B2840))&amp;"|"&amp;UPPER(TRIM(C2840))&amp;"|"&amp;UPPER(TRIM(D2840)),"")</f>
        <v/>
      </c>
    </row>
    <row r="2841" ht="15.75" customHeight="1" s="217">
      <c r="A2841" s="400" t="n">
        <v>2839</v>
      </c>
      <c r="B2841" s="400" t="inlineStr">
        <is>
          <t>KH0913</t>
        </is>
      </c>
      <c r="C2841" s="401" t="inlineStr">
        <is>
          <t>Bãi Máy Nhật Thiên Phú - Bình Chánh / Chú Dũng - 0908.337.155</t>
        </is>
      </c>
      <c r="D2841" s="400" t="inlineStr">
        <is>
          <t>0908.337.155</t>
        </is>
      </c>
      <c r="E2841" s="402" t="n"/>
      <c r="F2841" s="401" t="inlineStr">
        <is>
          <t>QL1A, Bình Chánh, TPHCM</t>
        </is>
      </c>
      <c r="G2841" s="400" t="inlineStr">
        <is>
          <t>SG/HCM</t>
        </is>
      </c>
      <c r="H2841" s="402" t="n"/>
      <c r="J2841" s="392">
        <f>IFERROR(UPPER(TRIM(B2841))&amp;"|"&amp;UPPER(TRIM(C2841))&amp;"|"&amp;UPPER(TRIM(D2841)),"")</f>
        <v/>
      </c>
    </row>
    <row r="2842" ht="15.75" customHeight="1" s="217">
      <c r="A2842" s="397" t="n">
        <v>2840</v>
      </c>
      <c r="B2842" s="397" t="inlineStr">
        <is>
          <t>KH0914</t>
        </is>
      </c>
      <c r="C2842" s="398" t="inlineStr">
        <is>
          <t>Anh Khoa (Công Ty TNHH Minh Trung) - Tiền Giang/ 01234.599.934</t>
        </is>
      </c>
      <c r="D2842" s="397" t="inlineStr">
        <is>
          <t>01234.599.934</t>
        </is>
      </c>
      <c r="E2842" s="399" t="n"/>
      <c r="F2842" s="398" t="inlineStr">
        <is>
          <t>Châu Thành, Tiền Giang</t>
        </is>
      </c>
      <c r="G2842" s="397" t="inlineStr">
        <is>
          <t>TGIANG</t>
        </is>
      </c>
      <c r="H2842" s="399" t="n"/>
      <c r="J2842" s="392">
        <f>IFERROR(UPPER(TRIM(B2842))&amp;"|"&amp;UPPER(TRIM(C2842))&amp;"|"&amp;UPPER(TRIM(D2842)),"")</f>
        <v/>
      </c>
    </row>
    <row r="2843" ht="15.75" customHeight="1" s="217">
      <c r="A2843" s="400" t="n">
        <v>2841</v>
      </c>
      <c r="B2843" s="400" t="inlineStr">
        <is>
          <t>KH0908</t>
        </is>
      </c>
      <c r="C2843" s="401" t="inlineStr">
        <is>
          <t>Công ty 19/5 - Quảng Ngãi / Anh Long - 0962.650.579</t>
        </is>
      </c>
      <c r="D2843" s="400" t="inlineStr">
        <is>
          <t>0962.650.579</t>
        </is>
      </c>
      <c r="E2843" s="402" t="n"/>
      <c r="F2843" s="401" t="inlineStr">
        <is>
          <t>TP Quảng Ngãi - Quảng Ngãi</t>
        </is>
      </c>
      <c r="G2843" s="400" t="inlineStr">
        <is>
          <t>QUNGAI</t>
        </is>
      </c>
      <c r="H2843" s="402" t="n"/>
      <c r="J2843" s="392">
        <f>IFERROR(UPPER(TRIM(B2843))&amp;"|"&amp;UPPER(TRIM(C2843))&amp;"|"&amp;UPPER(TRIM(D2843)),"")</f>
        <v/>
      </c>
    </row>
    <row r="2844" ht="15.75" customHeight="1" s="217">
      <c r="A2844" s="397" t="n">
        <v>2842</v>
      </c>
      <c r="B2844" s="397" t="inlineStr">
        <is>
          <t>KH0909</t>
        </is>
      </c>
      <c r="C2844" s="398" t="inlineStr">
        <is>
          <t>Xưởng Anh Dũng - Bình Dương / 0903.635.692</t>
        </is>
      </c>
      <c r="D2844" s="397" t="inlineStr">
        <is>
          <t>0903.635.692</t>
        </is>
      </c>
      <c r="E2844" s="399" t="n"/>
      <c r="F2844" s="398" t="inlineStr">
        <is>
          <t>Bình Dương</t>
        </is>
      </c>
      <c r="G2844" s="397" t="inlineStr">
        <is>
          <t>BDUONG</t>
        </is>
      </c>
      <c r="H2844" s="399" t="n"/>
      <c r="J2844" s="392">
        <f>IFERROR(UPPER(TRIM(B2844))&amp;"|"&amp;UPPER(TRIM(C2844))&amp;"|"&amp;UPPER(TRIM(D2844)),"")</f>
        <v/>
      </c>
    </row>
    <row r="2845" ht="15.75" customHeight="1" s="217">
      <c r="A2845" s="400" t="n">
        <v>2843</v>
      </c>
      <c r="B2845" s="400" t="inlineStr">
        <is>
          <t>KH0910</t>
        </is>
      </c>
      <c r="C2845" s="401" t="inlineStr">
        <is>
          <t>Công ty TNHH Thiết kế và Xây dựng Đức Hùng - Hà Nội/ A.Cường:</t>
        </is>
      </c>
      <c r="D2845" s="402" t="n"/>
      <c r="E2845" s="402" t="n"/>
      <c r="F2845" s="401" t="inlineStr">
        <is>
          <t>186 Kim Hoa, Phường Phương Liên, Quận Đống Đa, HN</t>
        </is>
      </c>
      <c r="G2845" s="400" t="inlineStr">
        <is>
          <t>HN</t>
        </is>
      </c>
      <c r="H2845" s="402" t="n"/>
      <c r="J2845" s="392">
        <f>IFERROR(UPPER(TRIM(B2845))&amp;"|"&amp;UPPER(TRIM(C2845))&amp;"|"&amp;UPPER(TRIM(D2845)),"")</f>
        <v/>
      </c>
    </row>
    <row r="2846" ht="15.75" customHeight="1" s="217">
      <c r="A2846" s="397" t="n">
        <v>2844</v>
      </c>
      <c r="B2846" s="397" t="inlineStr">
        <is>
          <t>KH0911</t>
        </is>
      </c>
      <c r="C2846" s="398" t="inlineStr">
        <is>
          <t>Bãi Máy anh Thái - Q12 / 0933.779.666</t>
        </is>
      </c>
      <c r="D2846" s="397" t="inlineStr">
        <is>
          <t>0933.779.666</t>
        </is>
      </c>
      <c r="E2846" s="399" t="n"/>
      <c r="F2846" s="398" t="inlineStr">
        <is>
          <t>Quận 12 - SG</t>
        </is>
      </c>
      <c r="G2846" s="397" t="inlineStr">
        <is>
          <t>SG/HCM</t>
        </is>
      </c>
      <c r="H2846" s="399" t="n"/>
      <c r="J2846" s="392">
        <f>IFERROR(UPPER(TRIM(B2846))&amp;"|"&amp;UPPER(TRIM(C2846))&amp;"|"&amp;UPPER(TRIM(D2846)),"")</f>
        <v/>
      </c>
    </row>
    <row r="2847" ht="15.75" customHeight="1" s="217">
      <c r="A2847" s="400" t="n">
        <v>2845</v>
      </c>
      <c r="B2847" s="400" t="inlineStr">
        <is>
          <t>KH0907</t>
        </is>
      </c>
      <c r="C2847" s="401" t="inlineStr">
        <is>
          <t>Anh Bi - SG / 0906.961.736</t>
        </is>
      </c>
      <c r="D2847" s="400" t="inlineStr">
        <is>
          <t>0906.961.736</t>
        </is>
      </c>
      <c r="E2847" s="402" t="n"/>
      <c r="F2847" s="401" t="inlineStr">
        <is>
          <t>Sài Gòn</t>
        </is>
      </c>
      <c r="G2847" s="400" t="inlineStr">
        <is>
          <t>SG/HCM</t>
        </is>
      </c>
      <c r="H2847" s="402" t="n"/>
      <c r="J2847" s="392">
        <f>IFERROR(UPPER(TRIM(B2847))&amp;"|"&amp;UPPER(TRIM(C2847))&amp;"|"&amp;UPPER(TRIM(D2847)),"")</f>
        <v/>
      </c>
    </row>
    <row r="2848" ht="15.75" customHeight="1" s="217">
      <c r="A2848" s="397" t="n">
        <v>2846</v>
      </c>
      <c r="B2848" s="397" t="inlineStr">
        <is>
          <t>KH0906</t>
        </is>
      </c>
      <c r="C2848" s="398" t="inlineStr">
        <is>
          <t>Công Ty Lâm Khen - Anh Dũng - Long An/ 0949.002.868</t>
        </is>
      </c>
      <c r="D2848" s="397" t="inlineStr">
        <is>
          <t>0949.002.868</t>
        </is>
      </c>
      <c r="E2848" s="399" t="n"/>
      <c r="F2848" s="398" t="inlineStr">
        <is>
          <t>Bến Lức - Long An</t>
        </is>
      </c>
      <c r="G2848" s="397" t="inlineStr">
        <is>
          <t>LA</t>
        </is>
      </c>
      <c r="H2848" s="399" t="n"/>
      <c r="J2848" s="392">
        <f>IFERROR(UPPER(TRIM(B2848))&amp;"|"&amp;UPPER(TRIM(C2848))&amp;"|"&amp;UPPER(TRIM(D2848)),"")</f>
        <v/>
      </c>
    </row>
    <row r="2849" ht="15.75" customHeight="1" s="217">
      <c r="A2849" s="400" t="n">
        <v>2847</v>
      </c>
      <c r="B2849" s="400" t="inlineStr">
        <is>
          <t>KH0905</t>
        </is>
      </c>
      <c r="C2849" s="401" t="inlineStr">
        <is>
          <t>Anh Bình - Đức Trọng/ 0972.289.247</t>
        </is>
      </c>
      <c r="D2849" s="400" t="inlineStr">
        <is>
          <t>0972.289.247</t>
        </is>
      </c>
      <c r="E2849" s="402" t="n"/>
      <c r="F2849" s="401" t="inlineStr">
        <is>
          <t>Đức Trọng, Lâm Đồng</t>
        </is>
      </c>
      <c r="G2849" s="400" t="inlineStr">
        <is>
          <t>LDONG</t>
        </is>
      </c>
      <c r="H2849" s="402" t="n"/>
      <c r="J2849" s="392">
        <f>IFERROR(UPPER(TRIM(B2849))&amp;"|"&amp;UPPER(TRIM(C2849))&amp;"|"&amp;UPPER(TRIM(D2849)),"")</f>
        <v/>
      </c>
    </row>
    <row r="2850" ht="15.75" customHeight="1" s="217">
      <c r="A2850" s="397" t="n">
        <v>2848</v>
      </c>
      <c r="B2850" s="397" t="inlineStr">
        <is>
          <t>KH0899</t>
        </is>
      </c>
      <c r="C2850" s="398" t="inlineStr">
        <is>
          <t>Anh Minh Trung - Sài Gòn / 0903.351.997</t>
        </is>
      </c>
      <c r="D2850" s="397" t="inlineStr">
        <is>
          <t>0903.351.997</t>
        </is>
      </c>
      <c r="E2850" s="399" t="n"/>
      <c r="F2850" s="398" t="inlineStr">
        <is>
          <t>Sài Gòn</t>
        </is>
      </c>
      <c r="G2850" s="397" t="inlineStr">
        <is>
          <t>SG/HCM</t>
        </is>
      </c>
      <c r="H2850" s="399" t="n"/>
      <c r="J2850" s="392">
        <f>IFERROR(UPPER(TRIM(B2850))&amp;"|"&amp;UPPER(TRIM(C2850))&amp;"|"&amp;UPPER(TRIM(D2850)),"")</f>
        <v/>
      </c>
    </row>
    <row r="2851" ht="15.75" customHeight="1" s="217">
      <c r="A2851" s="400" t="n">
        <v>2849</v>
      </c>
      <c r="B2851" s="400" t="inlineStr">
        <is>
          <t>KH0900</t>
        </is>
      </c>
      <c r="C2851" s="401" t="inlineStr">
        <is>
          <t>Anh Bé - Bạc Liêu / 0913.714.753</t>
        </is>
      </c>
      <c r="D2851" s="400" t="inlineStr">
        <is>
          <t>0913.714.753</t>
        </is>
      </c>
      <c r="E2851" s="402" t="n"/>
      <c r="F2851" s="401" t="inlineStr">
        <is>
          <t>Bạc Liêu</t>
        </is>
      </c>
      <c r="G2851" s="400" t="inlineStr">
        <is>
          <t>BLIEU</t>
        </is>
      </c>
      <c r="H2851" s="402" t="n"/>
      <c r="J2851" s="392">
        <f>IFERROR(UPPER(TRIM(B2851))&amp;"|"&amp;UPPER(TRIM(C2851))&amp;"|"&amp;UPPER(TRIM(D2851)),"")</f>
        <v/>
      </c>
    </row>
    <row r="2852" ht="15.75" customHeight="1" s="217">
      <c r="A2852" s="397" t="n">
        <v>2850</v>
      </c>
      <c r="B2852" s="397" t="inlineStr">
        <is>
          <t>KH0901</t>
        </is>
      </c>
      <c r="C2852" s="398" t="inlineStr">
        <is>
          <t>Công ty TNHH ĐT XD TM Hợp Thành - Q12 / 0918.396.570</t>
        </is>
      </c>
      <c r="D2852" s="397" t="inlineStr">
        <is>
          <t>0918.396.570</t>
        </is>
      </c>
      <c r="E2852" s="399" t="n"/>
      <c r="F2852" s="398" t="inlineStr">
        <is>
          <t>Quận 12 - TPHCM</t>
        </is>
      </c>
      <c r="G2852" s="397" t="inlineStr">
        <is>
          <t>SG/HCM</t>
        </is>
      </c>
      <c r="H2852" s="399" t="n"/>
      <c r="J2852" s="392">
        <f>IFERROR(UPPER(TRIM(B2852))&amp;"|"&amp;UPPER(TRIM(C2852))&amp;"|"&amp;UPPER(TRIM(D2852)),"")</f>
        <v/>
      </c>
    </row>
    <row r="2853" ht="15.75" customHeight="1" s="217">
      <c r="A2853" s="400" t="n">
        <v>2851</v>
      </c>
      <c r="B2853" s="400" t="inlineStr">
        <is>
          <t>KH0902</t>
        </is>
      </c>
      <c r="C2853" s="401" t="inlineStr">
        <is>
          <t>Công ty Phát Đạt Thành - Ninh Thuận/ Anh Thành: 0975.552.861</t>
        </is>
      </c>
      <c r="D2853" s="400" t="inlineStr">
        <is>
          <t>0975.552.861</t>
        </is>
      </c>
      <c r="E2853" s="402" t="n"/>
      <c r="F2853" s="401" t="inlineStr">
        <is>
          <t>Phan Rang, Ninh Thuận</t>
        </is>
      </c>
      <c r="G2853" s="400" t="inlineStr">
        <is>
          <t>NTHUAN</t>
        </is>
      </c>
      <c r="H2853" s="400" t="inlineStr">
        <is>
          <t>CÔNG TY TNHH PHÁT ĐẠT THÀNH NINH THUẬN
Thôn Long Bình 2, Xã An Hải, Huyện Ninh Phước, Tỉnh Ninh Thuận, Việt Nam</t>
        </is>
      </c>
      <c r="J2853" s="392">
        <f>IFERROR(UPPER(TRIM(B2853))&amp;"|"&amp;UPPER(TRIM(C2853))&amp;"|"&amp;UPPER(TRIM(D2853)),"")</f>
        <v/>
      </c>
    </row>
    <row r="2854" ht="15.75" customHeight="1" s="217">
      <c r="A2854" s="397" t="n">
        <v>2852</v>
      </c>
      <c r="B2854" s="397" t="inlineStr">
        <is>
          <t>KH0903</t>
        </is>
      </c>
      <c r="C2854" s="398" t="inlineStr">
        <is>
          <t>DNTN Xuân Bình - Cao Lãnh/ Anh Thanh:0918.054.567</t>
        </is>
      </c>
      <c r="D2854" s="397" t="inlineStr">
        <is>
          <t>0918.054.567</t>
        </is>
      </c>
      <c r="E2854" s="399" t="n"/>
      <c r="F2854" s="398" t="inlineStr">
        <is>
          <t>13 Điện Biên Phủ, Phường Mỹ Phú, TP Cao Lãnh, Đồng Tháp</t>
        </is>
      </c>
      <c r="G2854" s="397" t="inlineStr">
        <is>
          <t>DTHAP</t>
        </is>
      </c>
      <c r="H2854" s="399" t="n"/>
      <c r="J2854" s="392">
        <f>IFERROR(UPPER(TRIM(B2854))&amp;"|"&amp;UPPER(TRIM(C2854))&amp;"|"&amp;UPPER(TRIM(D2854)),"")</f>
        <v/>
      </c>
    </row>
    <row r="2855" ht="15.75" customHeight="1" s="217">
      <c r="A2855" s="400" t="n">
        <v>2853</v>
      </c>
      <c r="B2855" s="400" t="inlineStr">
        <is>
          <t>KH0904</t>
        </is>
      </c>
      <c r="C2855" s="401" t="inlineStr">
        <is>
          <t>Xưởng Anh Vĩnh - Đắk Lắk / 0914.069.926</t>
        </is>
      </c>
      <c r="D2855" s="400" t="inlineStr">
        <is>
          <t>0914.069.926</t>
        </is>
      </c>
      <c r="E2855" s="402" t="n"/>
      <c r="F2855" s="401" t="inlineStr">
        <is>
          <t>Đắk Lắk</t>
        </is>
      </c>
      <c r="G2855" s="400" t="inlineStr">
        <is>
          <t>ÐL</t>
        </is>
      </c>
      <c r="H2855" s="402" t="n"/>
      <c r="J2855" s="392">
        <f>IFERROR(UPPER(TRIM(B2855))&amp;"|"&amp;UPPER(TRIM(C2855))&amp;"|"&amp;UPPER(TRIM(D2855)),"")</f>
        <v/>
      </c>
    </row>
    <row r="2856" ht="15.75" customHeight="1" s="217">
      <c r="A2856" s="397" t="n">
        <v>2854</v>
      </c>
      <c r="B2856" s="397" t="inlineStr">
        <is>
          <t>KH0897</t>
        </is>
      </c>
      <c r="C2856" s="398" t="inlineStr">
        <is>
          <t>(không dùng) Gara Chí Dũng - Đắknông/ A.Dũng: 0978.878.633</t>
        </is>
      </c>
      <c r="D2856" s="397" t="inlineStr">
        <is>
          <t>0978.878.633</t>
        </is>
      </c>
      <c r="E2856" s="399" t="n"/>
      <c r="F2856" s="398" t="inlineStr">
        <is>
          <t>TX Gia Nghĩa - Đắk nông</t>
        </is>
      </c>
      <c r="G2856" s="397" t="inlineStr">
        <is>
          <t>DNONG</t>
        </is>
      </c>
      <c r="H2856" s="399" t="n"/>
      <c r="J2856" s="392">
        <f>IFERROR(UPPER(TRIM(B2856))&amp;"|"&amp;UPPER(TRIM(C2856))&amp;"|"&amp;UPPER(TRIM(D2856)),"")</f>
        <v/>
      </c>
    </row>
    <row r="2857" ht="15.75" customHeight="1" s="217">
      <c r="A2857" s="400" t="n">
        <v>2855</v>
      </c>
      <c r="B2857" s="400" t="inlineStr">
        <is>
          <t>KH0898</t>
        </is>
      </c>
      <c r="C2857" s="401" t="inlineStr">
        <is>
          <t>Xưởng Anh Quốc - Đức Trọng / 01685.986.606</t>
        </is>
      </c>
      <c r="D2857" s="400" t="inlineStr">
        <is>
          <t>01685.986.606</t>
        </is>
      </c>
      <c r="E2857" s="402" t="n"/>
      <c r="F2857" s="401" t="inlineStr">
        <is>
          <t>Đức Trọng - Lâm Đồng</t>
        </is>
      </c>
      <c r="G2857" s="400" t="inlineStr">
        <is>
          <t>LDONG</t>
        </is>
      </c>
      <c r="H2857" s="402" t="n"/>
      <c r="J2857" s="392">
        <f>IFERROR(UPPER(TRIM(B2857))&amp;"|"&amp;UPPER(TRIM(C2857))&amp;"|"&amp;UPPER(TRIM(D2857)),"")</f>
        <v/>
      </c>
    </row>
    <row r="2858" ht="15.75" customHeight="1" s="217">
      <c r="A2858" s="397" t="n">
        <v>2856</v>
      </c>
      <c r="B2858" s="397" t="inlineStr">
        <is>
          <t>KH0894</t>
        </is>
      </c>
      <c r="C2858" s="398" t="inlineStr">
        <is>
          <t>Công ty Tân Lập - Bình Định / anh Hòa - 01689.429379</t>
        </is>
      </c>
      <c r="D2858" s="397" t="inlineStr">
        <is>
          <t>01689.429379</t>
        </is>
      </c>
      <c r="E2858" s="399" t="n"/>
      <c r="F2858" s="398" t="inlineStr">
        <is>
          <t>Quy Nhơn - Bình Định</t>
        </is>
      </c>
      <c r="G2858" s="397" t="inlineStr">
        <is>
          <t>BDINH</t>
        </is>
      </c>
      <c r="H2858" s="399" t="n"/>
      <c r="J2858" s="392">
        <f>IFERROR(UPPER(TRIM(B2858))&amp;"|"&amp;UPPER(TRIM(C2858))&amp;"|"&amp;UPPER(TRIM(D2858)),"")</f>
        <v/>
      </c>
    </row>
    <row r="2859" ht="15.75" customHeight="1" s="217">
      <c r="A2859" s="400" t="n">
        <v>2857</v>
      </c>
      <c r="B2859" s="400" t="inlineStr">
        <is>
          <t>KH0895</t>
        </is>
      </c>
      <c r="C2859" s="401" t="inlineStr">
        <is>
          <t>Anh Tèo - Sài Gòn / 01687.678.078</t>
        </is>
      </c>
      <c r="D2859" s="400" t="inlineStr">
        <is>
          <t>01687.678.078</t>
        </is>
      </c>
      <c r="E2859" s="402" t="n"/>
      <c r="F2859" s="401" t="inlineStr">
        <is>
          <t>sài Gòn</t>
        </is>
      </c>
      <c r="G2859" s="400" t="inlineStr">
        <is>
          <t>SG/HCM</t>
        </is>
      </c>
      <c r="H2859" s="402" t="n"/>
      <c r="J2859" s="392">
        <f>IFERROR(UPPER(TRIM(B2859))&amp;"|"&amp;UPPER(TRIM(C2859))&amp;"|"&amp;UPPER(TRIM(D2859)),"")</f>
        <v/>
      </c>
    </row>
    <row r="2860" ht="15.75" customHeight="1" s="217">
      <c r="A2860" s="397" t="n">
        <v>2858</v>
      </c>
      <c r="B2860" s="397" t="inlineStr">
        <is>
          <t>KH0896</t>
        </is>
      </c>
      <c r="C2860" s="398" t="inlineStr">
        <is>
          <t>Anh Thanh Quý - QL13 / 0903.695.478</t>
        </is>
      </c>
      <c r="D2860" s="397" t="inlineStr">
        <is>
          <t>0903.695.478</t>
        </is>
      </c>
      <c r="E2860" s="399" t="n"/>
      <c r="F2860" s="398" t="inlineStr">
        <is>
          <t>Quốc lộ 13 - Thủ Đức - SG</t>
        </is>
      </c>
      <c r="G2860" s="397" t="inlineStr">
        <is>
          <t>SG/HCM</t>
        </is>
      </c>
      <c r="H2860" s="399" t="n"/>
      <c r="J2860" s="392">
        <f>IFERROR(UPPER(TRIM(B2860))&amp;"|"&amp;UPPER(TRIM(C2860))&amp;"|"&amp;UPPER(TRIM(D2860)),"")</f>
        <v/>
      </c>
    </row>
    <row r="2861" ht="15.75" customHeight="1" s="217">
      <c r="A2861" s="400" t="n">
        <v>2859</v>
      </c>
      <c r="B2861" s="400" t="inlineStr">
        <is>
          <t>KH0893</t>
        </is>
      </c>
      <c r="C2861" s="401" t="inlineStr">
        <is>
          <t>Anh Minh - Đắk Lắk/ 0975.772.788</t>
        </is>
      </c>
      <c r="D2861" s="400" t="inlineStr">
        <is>
          <t>0975.772.788</t>
        </is>
      </c>
      <c r="E2861" s="402" t="n"/>
      <c r="F2861" s="401" t="inlineStr">
        <is>
          <t>Earka - Đắk Lắk</t>
        </is>
      </c>
      <c r="G2861" s="400" t="inlineStr">
        <is>
          <t>ÐL</t>
        </is>
      </c>
      <c r="H2861" s="402" t="n"/>
      <c r="J2861" s="392">
        <f>IFERROR(UPPER(TRIM(B2861))&amp;"|"&amp;UPPER(TRIM(C2861))&amp;"|"&amp;UPPER(TRIM(D2861)),"")</f>
        <v/>
      </c>
    </row>
    <row r="2862" ht="15.75" customHeight="1" s="217">
      <c r="A2862" s="397" t="n">
        <v>2860</v>
      </c>
      <c r="B2862" s="397" t="inlineStr">
        <is>
          <t>KH0890</t>
        </is>
      </c>
      <c r="C2862" s="398" t="inlineStr">
        <is>
          <t>Anh Tươi - An Giang / 0949.585.152</t>
        </is>
      </c>
      <c r="D2862" s="397" t="inlineStr">
        <is>
          <t>0949.585.152</t>
        </is>
      </c>
      <c r="E2862" s="399" t="n"/>
      <c r="F2862" s="398" t="inlineStr">
        <is>
          <t>Châu Đốc - An Giang</t>
        </is>
      </c>
      <c r="G2862" s="397" t="inlineStr">
        <is>
          <t>ANGIANG</t>
        </is>
      </c>
      <c r="H2862" s="399" t="n"/>
      <c r="J2862" s="392">
        <f>IFERROR(UPPER(TRIM(B2862))&amp;"|"&amp;UPPER(TRIM(C2862))&amp;"|"&amp;UPPER(TRIM(D2862)),"")</f>
        <v/>
      </c>
    </row>
    <row r="2863" ht="15.75" customHeight="1" s="217">
      <c r="A2863" s="400" t="n">
        <v>2861</v>
      </c>
      <c r="B2863" s="400" t="inlineStr">
        <is>
          <t>KH0891</t>
        </is>
      </c>
      <c r="C2863" s="401" t="inlineStr">
        <is>
          <t>Cửa Hàng Thịnh Phát - Bình Thạnh / 0909.755.518</t>
        </is>
      </c>
      <c r="D2863" s="400" t="inlineStr">
        <is>
          <t>0909.755.518</t>
        </is>
      </c>
      <c r="E2863" s="402" t="n"/>
      <c r="F2863" s="401" t="inlineStr">
        <is>
          <t>68 D2 - Q. Bình Thạnh - TPHCM</t>
        </is>
      </c>
      <c r="G2863" s="400" t="inlineStr">
        <is>
          <t>HX</t>
        </is>
      </c>
      <c r="H2863" s="402" t="n"/>
      <c r="J2863" s="392">
        <f>IFERROR(UPPER(TRIM(B2863))&amp;"|"&amp;UPPER(TRIM(C2863))&amp;"|"&amp;UPPER(TRIM(D2863)),"")</f>
        <v/>
      </c>
    </row>
    <row r="2864" ht="15.75" customHeight="1" s="217">
      <c r="A2864" s="397" t="n">
        <v>2862</v>
      </c>
      <c r="B2864" s="397" t="inlineStr">
        <is>
          <t>KH0892</t>
        </is>
      </c>
      <c r="C2864" s="398" t="inlineStr">
        <is>
          <t>Anh Đèo - Bảo Lộc / 01643.779.947</t>
        </is>
      </c>
      <c r="D2864" s="397" t="inlineStr">
        <is>
          <t>01643.779.947</t>
        </is>
      </c>
      <c r="E2864" s="399" t="n"/>
      <c r="F2864" s="398" t="inlineStr">
        <is>
          <t>Bảo Lộc - Lâm Đồng</t>
        </is>
      </c>
      <c r="G2864" s="397" t="inlineStr">
        <is>
          <t>LDONG</t>
        </is>
      </c>
      <c r="H2864" s="399" t="n"/>
      <c r="J2864" s="392">
        <f>IFERROR(UPPER(TRIM(B2864))&amp;"|"&amp;UPPER(TRIM(C2864))&amp;"|"&amp;UPPER(TRIM(D2864)),"")</f>
        <v/>
      </c>
    </row>
    <row r="2865" ht="15.75" customHeight="1" s="217">
      <c r="A2865" s="400" t="n">
        <v>2863</v>
      </c>
      <c r="B2865" s="400" t="inlineStr">
        <is>
          <t>KH0889</t>
        </is>
      </c>
      <c r="C2865" s="401" t="inlineStr">
        <is>
          <t>Anh Hiệp - Ninh Thuận / 0918.935.143</t>
        </is>
      </c>
      <c r="D2865" s="400" t="inlineStr">
        <is>
          <t>0918.935.143</t>
        </is>
      </c>
      <c r="E2865" s="402" t="n"/>
      <c r="F2865" s="401" t="inlineStr">
        <is>
          <t>Quảng Sơn - Ninh Thuận</t>
        </is>
      </c>
      <c r="G2865" s="400" t="inlineStr">
        <is>
          <t>NTHUAN</t>
        </is>
      </c>
      <c r="H2865" s="402" t="n"/>
      <c r="J2865" s="392">
        <f>IFERROR(UPPER(TRIM(B2865))&amp;"|"&amp;UPPER(TRIM(C2865))&amp;"|"&amp;UPPER(TRIM(D2865)),"")</f>
        <v/>
      </c>
    </row>
    <row r="2866" ht="15.75" customHeight="1" s="217">
      <c r="A2866" s="397" t="n">
        <v>2864</v>
      </c>
      <c r="B2866" s="397" t="inlineStr">
        <is>
          <t>KH0887</t>
        </is>
      </c>
      <c r="C2866" s="398" t="inlineStr">
        <is>
          <t>Anh Kim - Q9 (CTCP SX ĐT và XD Việt Anh - ĐắkLắk)/ 01688.867.462</t>
        </is>
      </c>
      <c r="D2866" s="397" t="inlineStr">
        <is>
          <t>01688.867.462</t>
        </is>
      </c>
      <c r="E2866" s="399" t="n"/>
      <c r="F2866" s="398" t="inlineStr">
        <is>
          <t>21 Lô S KDC Gia Hòa - Phước Long B - Q9 - TPHCM</t>
        </is>
      </c>
      <c r="G2866" s="397" t="inlineStr">
        <is>
          <t>SG/HCM</t>
        </is>
      </c>
      <c r="H2866" s="399" t="n"/>
      <c r="J2866" s="392">
        <f>IFERROR(UPPER(TRIM(B2866))&amp;"|"&amp;UPPER(TRIM(C2866))&amp;"|"&amp;UPPER(TRIM(D2866)),"")</f>
        <v/>
      </c>
    </row>
    <row r="2867" ht="15.75" customHeight="1" s="217">
      <c r="A2867" s="400" t="n">
        <v>2865</v>
      </c>
      <c r="B2867" s="400" t="inlineStr">
        <is>
          <t>KH0888</t>
        </is>
      </c>
      <c r="C2867" s="401" t="inlineStr">
        <is>
          <t>Anh Hạ - Đức Trọng/ 0977.979.811</t>
        </is>
      </c>
      <c r="D2867" s="400" t="inlineStr">
        <is>
          <t>0977.979.811</t>
        </is>
      </c>
      <c r="E2867" s="402" t="n"/>
      <c r="F2867" s="401" t="inlineStr">
        <is>
          <t>Đức Trọng - Lâm Đồng</t>
        </is>
      </c>
      <c r="G2867" s="400" t="inlineStr">
        <is>
          <t>LDONG</t>
        </is>
      </c>
      <c r="H2867" s="402" t="n"/>
      <c r="J2867" s="392">
        <f>IFERROR(UPPER(TRIM(B2867))&amp;"|"&amp;UPPER(TRIM(C2867))&amp;"|"&amp;UPPER(TRIM(D2867)),"")</f>
        <v/>
      </c>
    </row>
    <row r="2868" ht="15.75" customHeight="1" s="217">
      <c r="A2868" s="397" t="n">
        <v>2866</v>
      </c>
      <c r="B2868" s="397" t="inlineStr">
        <is>
          <t>KH0885</t>
        </is>
      </c>
      <c r="C2868" s="398" t="inlineStr">
        <is>
          <t>Bãi Máy Nghi Toàn - Xa Lộ Hà Nội/ 0903.112.369</t>
        </is>
      </c>
      <c r="D2868" s="397" t="inlineStr">
        <is>
          <t>0903.112.369</t>
        </is>
      </c>
      <c r="E2868" s="399" t="n"/>
      <c r="F2868" s="398" t="inlineStr">
        <is>
          <t>Suối Tiên - SG</t>
        </is>
      </c>
      <c r="G2868" s="397" t="inlineStr">
        <is>
          <t>SG/HCM</t>
        </is>
      </c>
      <c r="H2868" s="399" t="n"/>
      <c r="J2868" s="392">
        <f>IFERROR(UPPER(TRIM(B2868))&amp;"|"&amp;UPPER(TRIM(C2868))&amp;"|"&amp;UPPER(TRIM(D2868)),"")</f>
        <v/>
      </c>
    </row>
    <row r="2869" ht="15.75" customHeight="1" s="217">
      <c r="A2869" s="400" t="n">
        <v>2867</v>
      </c>
      <c r="B2869" s="400" t="inlineStr">
        <is>
          <t>KH0886</t>
        </is>
      </c>
      <c r="C2869" s="401" t="inlineStr">
        <is>
          <t>Anh Thủy - Đắk Nông / 0982.736.279</t>
        </is>
      </c>
      <c r="D2869" s="400" t="inlineStr">
        <is>
          <t>0982.736.279</t>
        </is>
      </c>
      <c r="E2869" s="402" t="n"/>
      <c r="F2869" s="403" t="n"/>
      <c r="G2869" s="400" t="inlineStr">
        <is>
          <t>DNONG</t>
        </is>
      </c>
      <c r="H2869" s="402" t="n"/>
      <c r="J2869" s="392">
        <f>IFERROR(UPPER(TRIM(B2869))&amp;"|"&amp;UPPER(TRIM(C2869))&amp;"|"&amp;UPPER(TRIM(D2869)),"")</f>
        <v/>
      </c>
    </row>
    <row r="2870" ht="15.75" customHeight="1" s="217">
      <c r="A2870" s="397" t="n">
        <v>2868</v>
      </c>
      <c r="B2870" s="397" t="inlineStr">
        <is>
          <t>KH0884</t>
        </is>
      </c>
      <c r="C2870" s="398" t="inlineStr">
        <is>
          <t>Cửa hàng  Phước Lộc - Nha Trang / 0905.899.772</t>
        </is>
      </c>
      <c r="D2870" s="397" t="inlineStr">
        <is>
          <t>0905.899.772</t>
        </is>
      </c>
      <c r="E2870" s="399" t="n"/>
      <c r="F2870" s="398" t="inlineStr">
        <is>
          <t>Nha Trang</t>
        </is>
      </c>
      <c r="G2870" s="397" t="inlineStr">
        <is>
          <t>NTRANG</t>
        </is>
      </c>
      <c r="H2870" s="399" t="n"/>
      <c r="J2870" s="392">
        <f>IFERROR(UPPER(TRIM(B2870))&amp;"|"&amp;UPPER(TRIM(C2870))&amp;"|"&amp;UPPER(TRIM(D2870)),"")</f>
        <v/>
      </c>
    </row>
    <row r="2871" ht="15.75" customHeight="1" s="217">
      <c r="A2871" s="400" t="n">
        <v>2869</v>
      </c>
      <c r="B2871" s="400" t="inlineStr">
        <is>
          <t>KH0882</t>
        </is>
      </c>
      <c r="C2871" s="401" t="inlineStr">
        <is>
          <t>Anh Minh - Bến Lức / 0937.803.039</t>
        </is>
      </c>
      <c r="D2871" s="400" t="inlineStr">
        <is>
          <t>0937.803.039</t>
        </is>
      </c>
      <c r="E2871" s="402" t="n"/>
      <c r="F2871" s="401" t="inlineStr">
        <is>
          <t>Bến Lức - Long An</t>
        </is>
      </c>
      <c r="G2871" s="400" t="inlineStr">
        <is>
          <t>LA</t>
        </is>
      </c>
      <c r="H2871" s="402" t="n"/>
      <c r="J2871" s="392">
        <f>IFERROR(UPPER(TRIM(B2871))&amp;"|"&amp;UPPER(TRIM(C2871))&amp;"|"&amp;UPPER(TRIM(D2871)),"")</f>
        <v/>
      </c>
    </row>
    <row r="2872" ht="15.75" customHeight="1" s="217">
      <c r="A2872" s="397" t="n">
        <v>2870</v>
      </c>
      <c r="B2872" s="397" t="inlineStr">
        <is>
          <t>KH0883</t>
        </is>
      </c>
      <c r="C2872" s="398" t="inlineStr">
        <is>
          <t>Cơ Khí Sáu Râu - Long An/0918.700.544</t>
        </is>
      </c>
      <c r="D2872" s="397" t="inlineStr">
        <is>
          <t>0918.700.544</t>
        </is>
      </c>
      <c r="E2872" s="399" t="n"/>
      <c r="F2872" s="398" t="inlineStr">
        <is>
          <t>Số 14, Phạm Văn Trạch - Tân An - Long AN</t>
        </is>
      </c>
      <c r="G2872" s="397" t="inlineStr">
        <is>
          <t>LA</t>
        </is>
      </c>
      <c r="H2872" s="399" t="n"/>
      <c r="J2872" s="392">
        <f>IFERROR(UPPER(TRIM(B2872))&amp;"|"&amp;UPPER(TRIM(C2872))&amp;"|"&amp;UPPER(TRIM(D2872)),"")</f>
        <v/>
      </c>
    </row>
    <row r="2873" ht="15.75" customHeight="1" s="217">
      <c r="A2873" s="400" t="n">
        <v>2871</v>
      </c>
      <c r="B2873" s="400" t="inlineStr">
        <is>
          <t>KH0880</t>
        </is>
      </c>
      <c r="C2873" s="401" t="inlineStr">
        <is>
          <t>Anh Tín - Gia Lai/ 0973.594.662</t>
        </is>
      </c>
      <c r="D2873" s="400" t="inlineStr">
        <is>
          <t>0973.594.662</t>
        </is>
      </c>
      <c r="E2873" s="402" t="n"/>
      <c r="F2873" s="401" t="inlineStr">
        <is>
          <t>Gia Lai</t>
        </is>
      </c>
      <c r="G2873" s="400" t="inlineStr">
        <is>
          <t>GLAI</t>
        </is>
      </c>
      <c r="H2873" s="402" t="n"/>
      <c r="J2873" s="392">
        <f>IFERROR(UPPER(TRIM(B2873))&amp;"|"&amp;UPPER(TRIM(C2873))&amp;"|"&amp;UPPER(TRIM(D2873)),"")</f>
        <v/>
      </c>
    </row>
    <row r="2874" ht="15.75" customHeight="1" s="217">
      <c r="A2874" s="397" t="n">
        <v>2872</v>
      </c>
      <c r="B2874" s="397" t="inlineStr">
        <is>
          <t>KH0881</t>
        </is>
      </c>
      <c r="C2874" s="398" t="inlineStr">
        <is>
          <t>Cửa Hàng Thành Sang - Bình Phước / 0982.568.252 , CĐ - 0651.3568.252</t>
        </is>
      </c>
      <c r="D2874" s="397" t="inlineStr">
        <is>
          <t>0651.3568.252 / 0982.568.252</t>
        </is>
      </c>
      <c r="E2874" s="399" t="n"/>
      <c r="F2874" s="398" t="inlineStr">
        <is>
          <t>TT Lộc Ninh - Lộc Ninh - Bình Phước</t>
        </is>
      </c>
      <c r="G2874" s="397" t="inlineStr">
        <is>
          <t>BP</t>
        </is>
      </c>
      <c r="H2874" s="399" t="n"/>
      <c r="J2874" s="392">
        <f>IFERROR(UPPER(TRIM(B2874))&amp;"|"&amp;UPPER(TRIM(C2874))&amp;"|"&amp;UPPER(TRIM(D2874)),"")</f>
        <v/>
      </c>
    </row>
    <row r="2875" ht="15.75" customHeight="1" s="217">
      <c r="A2875" s="400" t="n">
        <v>2873</v>
      </c>
      <c r="B2875" s="400" t="inlineStr">
        <is>
          <t>KH0879</t>
        </is>
      </c>
      <c r="C2875" s="401" t="inlineStr">
        <is>
          <t>CH Thành Lợi - Vình Long/ 0913.198.699</t>
        </is>
      </c>
      <c r="D2875" s="400" t="inlineStr">
        <is>
          <t>0913.198.699</t>
        </is>
      </c>
      <c r="E2875" s="402" t="n"/>
      <c r="F2875" s="401" t="inlineStr">
        <is>
          <t>10C Đinh Tiên Hoàng - P8 - Vĩnh Long</t>
        </is>
      </c>
      <c r="G2875" s="400" t="inlineStr">
        <is>
          <t>VĨNH LONG</t>
        </is>
      </c>
      <c r="H2875" s="402" t="n"/>
      <c r="J2875" s="392">
        <f>IFERROR(UPPER(TRIM(B2875))&amp;"|"&amp;UPPER(TRIM(C2875))&amp;"|"&amp;UPPER(TRIM(D2875)),"")</f>
        <v/>
      </c>
    </row>
    <row r="2876" ht="15.75" customHeight="1" s="217">
      <c r="A2876" s="397" t="n">
        <v>2874</v>
      </c>
      <c r="B2876" s="397" t="inlineStr">
        <is>
          <t>KH0878</t>
        </is>
      </c>
      <c r="C2876" s="398" t="inlineStr">
        <is>
          <t>Bãi Máy Châu Phát - Suối Tiên /0909.234.681</t>
        </is>
      </c>
      <c r="D2876" s="397" t="inlineStr">
        <is>
          <t>0909.234.681</t>
        </is>
      </c>
      <c r="E2876" s="399" t="n"/>
      <c r="F2876" s="398" t="inlineStr">
        <is>
          <t>XLHN - Suối Tiên - TP.HCM</t>
        </is>
      </c>
      <c r="G2876" s="397" t="inlineStr">
        <is>
          <t>SG/HCM</t>
        </is>
      </c>
      <c r="H2876" s="399" t="n"/>
      <c r="J2876" s="392">
        <f>IFERROR(UPPER(TRIM(B2876))&amp;"|"&amp;UPPER(TRIM(C2876))&amp;"|"&amp;UPPER(TRIM(D2876)),"")</f>
        <v/>
      </c>
    </row>
    <row r="2877" ht="15.75" customHeight="1" s="217">
      <c r="A2877" s="400" t="n">
        <v>2875</v>
      </c>
      <c r="B2877" s="400" t="inlineStr">
        <is>
          <t>KH0875</t>
        </is>
      </c>
      <c r="C2877" s="401" t="inlineStr">
        <is>
          <t>Anh Xuyên (Công ty TNHH MTV Đông Hà) - Bến Lức/ 0974.977.881</t>
        </is>
      </c>
      <c r="D2877" s="400" t="inlineStr">
        <is>
          <t>0974.977.881</t>
        </is>
      </c>
      <c r="E2877" s="402" t="n"/>
      <c r="F2877" s="401" t="inlineStr">
        <is>
          <t>ấp 3, xã Bình Đức, Huyện Bến Lức, Long An</t>
        </is>
      </c>
      <c r="G2877" s="400" t="inlineStr">
        <is>
          <t>LA</t>
        </is>
      </c>
      <c r="H2877" s="402" t="n"/>
      <c r="J2877" s="392">
        <f>IFERROR(UPPER(TRIM(B2877))&amp;"|"&amp;UPPER(TRIM(C2877))&amp;"|"&amp;UPPER(TRIM(D2877)),"")</f>
        <v/>
      </c>
    </row>
    <row r="2878" ht="15.75" customHeight="1" s="217">
      <c r="A2878" s="397" t="n">
        <v>2876</v>
      </c>
      <c r="B2878" s="397" t="inlineStr">
        <is>
          <t>KH0876</t>
        </is>
      </c>
      <c r="C2878" s="398" t="inlineStr">
        <is>
          <t>Anh Minh Tuấn - Tây Ninh/0913.986.493 - 0915.800.693</t>
        </is>
      </c>
      <c r="D2878" s="397" t="inlineStr">
        <is>
          <t>0913.986.493 / 0915.800.693</t>
        </is>
      </c>
      <c r="E2878" s="399" t="n"/>
      <c r="F2878" s="398" t="inlineStr">
        <is>
          <t>Chảng Bàng - Tây Ninh</t>
        </is>
      </c>
      <c r="G2878" s="397" t="inlineStr">
        <is>
          <t>TNINH</t>
        </is>
      </c>
      <c r="H2878" s="399" t="n"/>
      <c r="J2878" s="392">
        <f>IFERROR(UPPER(TRIM(B2878))&amp;"|"&amp;UPPER(TRIM(C2878))&amp;"|"&amp;UPPER(TRIM(D2878)),"")</f>
        <v/>
      </c>
    </row>
    <row r="2879" ht="15.75" customHeight="1" s="217">
      <c r="A2879" s="400" t="n">
        <v>2877</v>
      </c>
      <c r="B2879" s="400" t="inlineStr">
        <is>
          <t>KH0877</t>
        </is>
      </c>
      <c r="C2879" s="401" t="inlineStr">
        <is>
          <t>Công ty TNHH Nhân Đất Việt - Tây Ninh/ A.Toại: 0913.663.091</t>
        </is>
      </c>
      <c r="D2879" s="400" t="inlineStr">
        <is>
          <t>0913.663.091</t>
        </is>
      </c>
      <c r="E2879" s="402" t="n"/>
      <c r="F2879" s="401" t="inlineStr">
        <is>
          <t>47 Đường B, KP1, P3, TP Tây Ninh</t>
        </is>
      </c>
      <c r="G2879" s="400" t="inlineStr">
        <is>
          <t>TNINH</t>
        </is>
      </c>
      <c r="H2879" s="402" t="n"/>
      <c r="J2879" s="392">
        <f>IFERROR(UPPER(TRIM(B2879))&amp;"|"&amp;UPPER(TRIM(C2879))&amp;"|"&amp;UPPER(TRIM(D2879)),"")</f>
        <v/>
      </c>
    </row>
    <row r="2880" ht="15.75" customHeight="1" s="217">
      <c r="A2880" s="397" t="n">
        <v>2878</v>
      </c>
      <c r="B2880" s="397" t="inlineStr">
        <is>
          <t>KH0873</t>
        </is>
      </c>
      <c r="C2880" s="398" t="inlineStr">
        <is>
          <t>Anh Tây - Quận 8 /0918.432.707</t>
        </is>
      </c>
      <c r="D2880" s="397" t="inlineStr">
        <is>
          <t>0918.432.707</t>
        </is>
      </c>
      <c r="E2880" s="399" t="n"/>
      <c r="F2880" s="398" t="inlineStr">
        <is>
          <t>Quận 8 - TP.HCM</t>
        </is>
      </c>
      <c r="G2880" s="397" t="inlineStr">
        <is>
          <t>SG/HCM</t>
        </is>
      </c>
      <c r="H2880" s="399" t="n"/>
      <c r="J2880" s="392">
        <f>IFERROR(UPPER(TRIM(B2880))&amp;"|"&amp;UPPER(TRIM(C2880))&amp;"|"&amp;UPPER(TRIM(D2880)),"")</f>
        <v/>
      </c>
    </row>
    <row r="2881" ht="15.75" customHeight="1" s="217">
      <c r="A2881" s="400" t="n">
        <v>2879</v>
      </c>
      <c r="B2881" s="400" t="inlineStr">
        <is>
          <t>KH0874</t>
        </is>
      </c>
      <c r="C2881" s="401" t="inlineStr">
        <is>
          <t>Anh Phương - Bình Tân/0979.372.878</t>
        </is>
      </c>
      <c r="D2881" s="400" t="inlineStr">
        <is>
          <t>0979.372.878</t>
        </is>
      </c>
      <c r="E2881" s="402" t="n"/>
      <c r="F2881" s="401" t="inlineStr">
        <is>
          <t>Bình Tân - TP.HCM</t>
        </is>
      </c>
      <c r="G2881" s="400" t="inlineStr">
        <is>
          <t>SG/HCM</t>
        </is>
      </c>
      <c r="H2881" s="402" t="n"/>
      <c r="J2881" s="392">
        <f>IFERROR(UPPER(TRIM(B2881))&amp;"|"&amp;UPPER(TRIM(C2881))&amp;"|"&amp;UPPER(TRIM(D2881)),"")</f>
        <v/>
      </c>
    </row>
    <row r="2882" ht="15.75" customHeight="1" s="217">
      <c r="A2882" s="397" t="n">
        <v>2880</v>
      </c>
      <c r="B2882" s="397" t="inlineStr">
        <is>
          <t>KH0872</t>
        </is>
      </c>
      <c r="C2882" s="398" t="inlineStr">
        <is>
          <t>Anh Nhớ - Bình Dương /0906.494.688</t>
        </is>
      </c>
      <c r="D2882" s="397" t="inlineStr">
        <is>
          <t>0906.494.688</t>
        </is>
      </c>
      <c r="E2882" s="399" t="n"/>
      <c r="F2882" s="398" t="inlineStr">
        <is>
          <t>Bình Dương</t>
        </is>
      </c>
      <c r="G2882" s="397" t="inlineStr">
        <is>
          <t>BDUONG</t>
        </is>
      </c>
      <c r="H2882" s="399" t="n"/>
      <c r="J2882" s="392">
        <f>IFERROR(UPPER(TRIM(B2882))&amp;"|"&amp;UPPER(TRIM(C2882))&amp;"|"&amp;UPPER(TRIM(D2882)),"")</f>
        <v/>
      </c>
    </row>
    <row r="2883" ht="15.75" customHeight="1" s="217">
      <c r="A2883" s="400" t="n">
        <v>2881</v>
      </c>
      <c r="B2883" s="400" t="inlineStr">
        <is>
          <t>KH0871</t>
        </is>
      </c>
      <c r="C2883" s="401" t="inlineStr">
        <is>
          <t>CH Phụ tùng Quang Hiếu - Quảng Bình/ 0961.105.777</t>
        </is>
      </c>
      <c r="D2883" s="400" t="inlineStr">
        <is>
          <t>0961.105.777</t>
        </is>
      </c>
      <c r="E2883" s="402" t="n"/>
      <c r="F2883" s="401" t="inlineStr">
        <is>
          <t>Quảng Bình</t>
        </is>
      </c>
      <c r="G2883" s="402" t="n"/>
      <c r="H2883" s="402" t="n"/>
      <c r="J2883" s="392">
        <f>IFERROR(UPPER(TRIM(B2883))&amp;"|"&amp;UPPER(TRIM(C2883))&amp;"|"&amp;UPPER(TRIM(D2883)),"")</f>
        <v/>
      </c>
    </row>
    <row r="2884" ht="15.75" customHeight="1" s="217">
      <c r="A2884" s="397" t="n">
        <v>2882</v>
      </c>
      <c r="B2884" s="397" t="inlineStr">
        <is>
          <t>KH0870</t>
        </is>
      </c>
      <c r="C2884" s="398" t="inlineStr">
        <is>
          <t>Anh Phúc - Quận 7/ 0907.316.938</t>
        </is>
      </c>
      <c r="D2884" s="397" t="inlineStr">
        <is>
          <t>0907.316.938</t>
        </is>
      </c>
      <c r="E2884" s="399" t="n"/>
      <c r="F2884" s="398" t="inlineStr">
        <is>
          <t>Nguyễn Văn Linh, SG</t>
        </is>
      </c>
      <c r="G2884" s="397" t="inlineStr">
        <is>
          <t>SG/HCM</t>
        </is>
      </c>
      <c r="H2884" s="399" t="n"/>
      <c r="J2884" s="392">
        <f>IFERROR(UPPER(TRIM(B2884))&amp;"|"&amp;UPPER(TRIM(C2884))&amp;"|"&amp;UPPER(TRIM(D2884)),"")</f>
        <v/>
      </c>
    </row>
    <row r="2885" ht="15.75" customHeight="1" s="217">
      <c r="A2885" s="400" t="n">
        <v>2883</v>
      </c>
      <c r="B2885" s="400" t="inlineStr">
        <is>
          <t>KH0868</t>
        </is>
      </c>
      <c r="C2885" s="401" t="inlineStr">
        <is>
          <t>Công ty TNHH SXTM và DV Tiến Thành Phát - Q12/ A.Hòa: 0982.043.022</t>
        </is>
      </c>
      <c r="D2885" s="400" t="inlineStr">
        <is>
          <t>0982.043.022</t>
        </is>
      </c>
      <c r="E2885" s="402" t="n"/>
      <c r="F2885" s="401" t="inlineStr">
        <is>
          <t>54/7/3/7 Đường TCH07, KP4, P.Tân Chánh Hiệp, Q12, TP HCM</t>
        </is>
      </c>
      <c r="G2885" s="400" t="inlineStr">
        <is>
          <t>SG/HCM</t>
        </is>
      </c>
      <c r="H2885" s="402" t="n"/>
      <c r="J2885" s="392">
        <f>IFERROR(UPPER(TRIM(B2885))&amp;"|"&amp;UPPER(TRIM(C2885))&amp;"|"&amp;UPPER(TRIM(D2885)),"")</f>
        <v/>
      </c>
    </row>
    <row r="2886" ht="15.75" customHeight="1" s="217">
      <c r="A2886" s="397" t="n">
        <v>2884</v>
      </c>
      <c r="B2886" s="397" t="inlineStr">
        <is>
          <t>KH0869</t>
        </is>
      </c>
      <c r="C2886" s="398" t="inlineStr">
        <is>
          <t>Anh Hải - Trà Vinh/0934.493.055</t>
        </is>
      </c>
      <c r="D2886" s="397" t="inlineStr">
        <is>
          <t>0934.493.055</t>
        </is>
      </c>
      <c r="E2886" s="399" t="n"/>
      <c r="F2886" s="398" t="inlineStr">
        <is>
          <t>Nhiệt Điện - Trà Vinh</t>
        </is>
      </c>
      <c r="G2886" s="397" t="inlineStr">
        <is>
          <t>TV</t>
        </is>
      </c>
      <c r="H2886" s="399" t="n"/>
      <c r="J2886" s="392">
        <f>IFERROR(UPPER(TRIM(B2886))&amp;"|"&amp;UPPER(TRIM(C2886))&amp;"|"&amp;UPPER(TRIM(D2886)),"")</f>
        <v/>
      </c>
    </row>
    <row r="2887" ht="15.75" customHeight="1" s="217">
      <c r="A2887" s="400" t="n">
        <v>2885</v>
      </c>
      <c r="B2887" s="400" t="inlineStr">
        <is>
          <t>KH0864</t>
        </is>
      </c>
      <c r="C2887" s="401" t="inlineStr">
        <is>
          <t>Anh Tân - Tân Vạn/ 0913.941.304</t>
        </is>
      </c>
      <c r="D2887" s="400" t="inlineStr">
        <is>
          <t>0913.941.304</t>
        </is>
      </c>
      <c r="E2887" s="402" t="n"/>
      <c r="F2887" s="401" t="inlineStr">
        <is>
          <t>Tân Vạn - TP.HCM</t>
        </is>
      </c>
      <c r="G2887" s="400" t="inlineStr">
        <is>
          <t>SG/HCM</t>
        </is>
      </c>
      <c r="H2887" s="402" t="n"/>
      <c r="J2887" s="392">
        <f>IFERROR(UPPER(TRIM(B2887))&amp;"|"&amp;UPPER(TRIM(C2887))&amp;"|"&amp;UPPER(TRIM(D2887)),"")</f>
        <v/>
      </c>
    </row>
    <row r="2888" ht="15.75" customHeight="1" s="217">
      <c r="A2888" s="397" t="n">
        <v>2886</v>
      </c>
      <c r="B2888" s="397" t="inlineStr">
        <is>
          <t>KH0865</t>
        </is>
      </c>
      <c r="C2888" s="398" t="inlineStr">
        <is>
          <t>X anh Hà - Ngã Tư Bình Phước/0979.137.032</t>
        </is>
      </c>
      <c r="D2888" s="397" t="inlineStr">
        <is>
          <t>0979.137.032</t>
        </is>
      </c>
      <c r="E2888" s="399" t="n"/>
      <c r="F2888" s="398" t="inlineStr">
        <is>
          <t>Ngã tư Bình Phước - TP.HCM</t>
        </is>
      </c>
      <c r="G2888" s="397" t="inlineStr">
        <is>
          <t>SG/HCM</t>
        </is>
      </c>
      <c r="H2888" s="399" t="n"/>
      <c r="J2888" s="392">
        <f>IFERROR(UPPER(TRIM(B2888))&amp;"|"&amp;UPPER(TRIM(C2888))&amp;"|"&amp;UPPER(TRIM(D2888)),"")</f>
        <v/>
      </c>
    </row>
    <row r="2889" ht="15.75" customHeight="1" s="217">
      <c r="A2889" s="400" t="n">
        <v>2887</v>
      </c>
      <c r="B2889" s="400" t="inlineStr">
        <is>
          <t>KH0866</t>
        </is>
      </c>
      <c r="C2889" s="401" t="inlineStr">
        <is>
          <t>Anh Bảy - Bình Định/0934.910.087</t>
        </is>
      </c>
      <c r="D2889" s="400" t="inlineStr">
        <is>
          <t>0934.910.087</t>
        </is>
      </c>
      <c r="E2889" s="402" t="n"/>
      <c r="F2889" s="401" t="inlineStr">
        <is>
          <t>Tam Quang - Bình Định</t>
        </is>
      </c>
      <c r="G2889" s="400" t="inlineStr">
        <is>
          <t>BDINH</t>
        </is>
      </c>
      <c r="H2889" s="402" t="n"/>
      <c r="J2889" s="392">
        <f>IFERROR(UPPER(TRIM(B2889))&amp;"|"&amp;UPPER(TRIM(C2889))&amp;"|"&amp;UPPER(TRIM(D2889)),"")</f>
        <v/>
      </c>
    </row>
    <row r="2890" ht="15.75" customHeight="1" s="217">
      <c r="A2890" s="397" t="n">
        <v>2888</v>
      </c>
      <c r="B2890" s="397" t="inlineStr">
        <is>
          <t>KH0867</t>
        </is>
      </c>
      <c r="C2890" s="398" t="inlineStr">
        <is>
          <t>Anh Điền - TP Rạch Giá /0907.442.383</t>
        </is>
      </c>
      <c r="D2890" s="397" t="inlineStr">
        <is>
          <t>0907.442.383</t>
        </is>
      </c>
      <c r="E2890" s="399" t="n"/>
      <c r="F2890" s="398" t="inlineStr">
        <is>
          <t>TP Rạch Giá - Kiên Giang</t>
        </is>
      </c>
      <c r="G2890" s="397" t="inlineStr">
        <is>
          <t>KG</t>
        </is>
      </c>
      <c r="H2890" s="399" t="n"/>
      <c r="J2890" s="392">
        <f>IFERROR(UPPER(TRIM(B2890))&amp;"|"&amp;UPPER(TRIM(C2890))&amp;"|"&amp;UPPER(TRIM(D2890)),"")</f>
        <v/>
      </c>
    </row>
    <row r="2891" ht="15.75" customHeight="1" s="217">
      <c r="A2891" s="400" t="n">
        <v>2889</v>
      </c>
      <c r="B2891" s="400" t="inlineStr">
        <is>
          <t>KH0863</t>
        </is>
      </c>
      <c r="C2891" s="401" t="inlineStr">
        <is>
          <t>Xưởng Nam Thành - Earka/ 0903.534.547</t>
        </is>
      </c>
      <c r="D2891" s="400" t="inlineStr">
        <is>
          <t>0903.534.547</t>
        </is>
      </c>
      <c r="E2891" s="402" t="n"/>
      <c r="F2891" s="401" t="inlineStr">
        <is>
          <t>Earka, ĐắkLắk</t>
        </is>
      </c>
      <c r="G2891" s="400" t="inlineStr">
        <is>
          <t>ÐL</t>
        </is>
      </c>
      <c r="H2891" s="402" t="n"/>
      <c r="J2891" s="392">
        <f>IFERROR(UPPER(TRIM(B2891))&amp;"|"&amp;UPPER(TRIM(C2891))&amp;"|"&amp;UPPER(TRIM(D2891)),"")</f>
        <v/>
      </c>
    </row>
    <row r="2892" ht="15.75" customHeight="1" s="217">
      <c r="A2892" s="397" t="n">
        <v>2890</v>
      </c>
      <c r="B2892" s="397" t="inlineStr">
        <is>
          <t>KH0862</t>
        </is>
      </c>
      <c r="C2892" s="398" t="inlineStr">
        <is>
          <t>Xưởng Anh Dũng - Bình Chánh /0973.515.136</t>
        </is>
      </c>
      <c r="D2892" s="397" t="inlineStr">
        <is>
          <t>0973.515.136</t>
        </is>
      </c>
      <c r="E2892" s="399" t="n"/>
      <c r="F2892" s="398" t="inlineStr">
        <is>
          <t>Quốc Lộ 1A - Bình Chánh - SG</t>
        </is>
      </c>
      <c r="G2892" s="397" t="inlineStr">
        <is>
          <t>SG/HCM</t>
        </is>
      </c>
      <c r="H2892" s="399" t="n"/>
      <c r="J2892" s="392">
        <f>IFERROR(UPPER(TRIM(B2892))&amp;"|"&amp;UPPER(TRIM(C2892))&amp;"|"&amp;UPPER(TRIM(D2892)),"")</f>
        <v/>
      </c>
    </row>
    <row r="2893" ht="15.75" customHeight="1" s="217">
      <c r="A2893" s="400" t="n">
        <v>2891</v>
      </c>
      <c r="B2893" s="400" t="inlineStr">
        <is>
          <t>KH0861</t>
        </is>
      </c>
      <c r="C2893" s="401" t="inlineStr">
        <is>
          <t>Cửa Hàng Ba Duy  - Kiên Giang / 0917.266.483</t>
        </is>
      </c>
      <c r="D2893" s="400" t="inlineStr">
        <is>
          <t>0917.266.483</t>
        </is>
      </c>
      <c r="E2893" s="402" t="n"/>
      <c r="F2893" s="401" t="inlineStr">
        <is>
          <t>TT Kiên Lương - Kiên Lương - Kiên Giang</t>
        </is>
      </c>
      <c r="G2893" s="400" t="inlineStr">
        <is>
          <t>KG</t>
        </is>
      </c>
      <c r="H2893" s="402" t="n"/>
      <c r="J2893" s="392">
        <f>IFERROR(UPPER(TRIM(B2893))&amp;"|"&amp;UPPER(TRIM(C2893))&amp;"|"&amp;UPPER(TRIM(D2893)),"")</f>
        <v/>
      </c>
    </row>
    <row r="2894" ht="15.75" customHeight="1" s="217">
      <c r="A2894" s="397" t="n">
        <v>2892</v>
      </c>
      <c r="B2894" s="397" t="inlineStr">
        <is>
          <t>KKM</t>
        </is>
      </c>
      <c r="C2894" s="398" t="inlineStr">
        <is>
          <t>KUAN KUNG MACHINERY CORP</t>
        </is>
      </c>
      <c r="D2894" s="399" t="n"/>
      <c r="E2894" s="399" t="n"/>
      <c r="F2894" s="398" t="inlineStr">
        <is>
          <t>#12, Lane 53, Taiming Rd., Wuji, Taichung, Taiwan, R.O.C</t>
        </is>
      </c>
      <c r="G2894" s="399" t="n"/>
      <c r="H2894" s="399" t="n"/>
      <c r="J2894" s="392">
        <f>IFERROR(UPPER(TRIM(B2894))&amp;"|"&amp;UPPER(TRIM(C2894))&amp;"|"&amp;UPPER(TRIM(D2894)),"")</f>
        <v/>
      </c>
    </row>
    <row r="2895" ht="15.75" customHeight="1" s="217">
      <c r="A2895" s="400" t="n">
        <v>2893</v>
      </c>
      <c r="B2895" s="400" t="inlineStr">
        <is>
          <t>KH0860</t>
        </is>
      </c>
      <c r="C2895" s="401" t="inlineStr">
        <is>
          <t>Anh Phúc - Đắk Lắk / 0989.249.143</t>
        </is>
      </c>
      <c r="D2895" s="400" t="inlineStr">
        <is>
          <t>0989.249.143</t>
        </is>
      </c>
      <c r="E2895" s="402" t="n"/>
      <c r="F2895" s="401" t="inlineStr">
        <is>
          <t>Km52, Đắk Lắk</t>
        </is>
      </c>
      <c r="G2895" s="400" t="inlineStr">
        <is>
          <t>ÐL</t>
        </is>
      </c>
      <c r="H2895" s="402" t="n"/>
      <c r="J2895" s="392">
        <f>IFERROR(UPPER(TRIM(B2895))&amp;"|"&amp;UPPER(TRIM(C2895))&amp;"|"&amp;UPPER(TRIM(D2895)),"")</f>
        <v/>
      </c>
    </row>
    <row r="2896" ht="15.75" customHeight="1" s="217">
      <c r="A2896" s="397" t="n">
        <v>2894</v>
      </c>
      <c r="B2896" s="397" t="inlineStr">
        <is>
          <t>KH0858</t>
        </is>
      </c>
      <c r="C2896" s="398" t="inlineStr">
        <is>
          <t>Bãi Máy Nghĩa Trí - Ngã tư Thủ Đức/ Anh Hưng - 0989.784.815</t>
        </is>
      </c>
      <c r="D2896" s="397" t="inlineStr">
        <is>
          <t>0989.784.815</t>
        </is>
      </c>
      <c r="E2896" s="399" t="n"/>
      <c r="F2896" s="398" t="inlineStr">
        <is>
          <t>Ngã tư Thủ Đức - Quận 9 - TP. HCM</t>
        </is>
      </c>
      <c r="G2896" s="397" t="inlineStr">
        <is>
          <t>SG/HCM</t>
        </is>
      </c>
      <c r="H2896" s="399" t="n"/>
      <c r="J2896" s="392">
        <f>IFERROR(UPPER(TRIM(B2896))&amp;"|"&amp;UPPER(TRIM(C2896))&amp;"|"&amp;UPPER(TRIM(D2896)),"")</f>
        <v/>
      </c>
    </row>
    <row r="2897" ht="15.75" customHeight="1" s="217">
      <c r="A2897" s="400" t="n">
        <v>2895</v>
      </c>
      <c r="B2897" s="400" t="inlineStr">
        <is>
          <t>KH0859</t>
        </is>
      </c>
      <c r="C2897" s="401" t="inlineStr">
        <is>
          <t>Chị Thu - Bình Dương / 0908.881.533</t>
        </is>
      </c>
      <c r="D2897" s="400" t="inlineStr">
        <is>
          <t>0908.881.533</t>
        </is>
      </c>
      <c r="E2897" s="402" t="n"/>
      <c r="F2897" s="401" t="inlineStr">
        <is>
          <t>Bình Dương</t>
        </is>
      </c>
      <c r="G2897" s="400" t="inlineStr">
        <is>
          <t>BDUONG</t>
        </is>
      </c>
      <c r="H2897" s="402" t="n"/>
      <c r="J2897" s="392">
        <f>IFERROR(UPPER(TRIM(B2897))&amp;"|"&amp;UPPER(TRIM(C2897))&amp;"|"&amp;UPPER(TRIM(D2897)),"")</f>
        <v/>
      </c>
    </row>
    <row r="2898" ht="15.75" customHeight="1" s="217">
      <c r="A2898" s="397" t="n">
        <v>2896</v>
      </c>
      <c r="B2898" s="397" t="inlineStr">
        <is>
          <t>KH0855</t>
        </is>
      </c>
      <c r="C2898" s="398" t="inlineStr">
        <is>
          <t>Anh Thắng - Bình Định/ 0938.525.058</t>
        </is>
      </c>
      <c r="D2898" s="397" t="inlineStr">
        <is>
          <t>0938.525.058</t>
        </is>
      </c>
      <c r="E2898" s="399" t="n"/>
      <c r="F2898" s="398" t="inlineStr">
        <is>
          <t>Bình Định</t>
        </is>
      </c>
      <c r="G2898" s="397" t="inlineStr">
        <is>
          <t>BDINH</t>
        </is>
      </c>
      <c r="H2898" s="399" t="n"/>
      <c r="J2898" s="392">
        <f>IFERROR(UPPER(TRIM(B2898))&amp;"|"&amp;UPPER(TRIM(C2898))&amp;"|"&amp;UPPER(TRIM(D2898)),"")</f>
        <v/>
      </c>
    </row>
    <row r="2899" ht="15.75" customHeight="1" s="217">
      <c r="A2899" s="400" t="n">
        <v>2897</v>
      </c>
      <c r="B2899" s="400" t="inlineStr">
        <is>
          <t>KH0856</t>
        </is>
      </c>
      <c r="C2899" s="401" t="inlineStr">
        <is>
          <t>Công ty CP Đầu Tư và Xây Lắp 5</t>
        </is>
      </c>
      <c r="D2899" s="402" t="n"/>
      <c r="E2899" s="402" t="n"/>
      <c r="F2899" s="401" t="inlineStr">
        <is>
          <t>Số 6 Nguyễn Công Trứ, Phường Phạm Đình Hồ, Quận Hai Bà Trưng, TP Hà Nội</t>
        </is>
      </c>
      <c r="G2899" s="400" t="inlineStr">
        <is>
          <t>HN</t>
        </is>
      </c>
      <c r="H2899" s="402" t="n"/>
      <c r="J2899" s="392">
        <f>IFERROR(UPPER(TRIM(B2899))&amp;"|"&amp;UPPER(TRIM(C2899))&amp;"|"&amp;UPPER(TRIM(D2899)),"")</f>
        <v/>
      </c>
    </row>
    <row r="2900" ht="15.75" customHeight="1" s="217">
      <c r="A2900" s="397" t="n">
        <v>2898</v>
      </c>
      <c r="B2900" s="397" t="inlineStr">
        <is>
          <t>KH0857</t>
        </is>
      </c>
      <c r="C2900" s="398" t="inlineStr">
        <is>
          <t>Công Ty CP Gạch Men V.T.C - Đồng Nai/ 01255.761.884</t>
        </is>
      </c>
      <c r="D2900" s="397" t="inlineStr">
        <is>
          <t>01255.761.884</t>
        </is>
      </c>
      <c r="E2900" s="399" t="n"/>
      <c r="F2900" s="398" t="inlineStr">
        <is>
          <t>Long Thành - Đồng Nai</t>
        </is>
      </c>
      <c r="G2900" s="397" t="inlineStr">
        <is>
          <t>ÐNAI</t>
        </is>
      </c>
      <c r="H2900" s="399" t="n"/>
      <c r="J2900" s="392">
        <f>IFERROR(UPPER(TRIM(B2900))&amp;"|"&amp;UPPER(TRIM(C2900))&amp;"|"&amp;UPPER(TRIM(D2900)),"")</f>
        <v/>
      </c>
    </row>
    <row r="2901" ht="15.75" customHeight="1" s="217">
      <c r="A2901" s="400" t="n">
        <v>2899</v>
      </c>
      <c r="B2901" s="400" t="inlineStr">
        <is>
          <t>KH0853</t>
        </is>
      </c>
      <c r="C2901" s="401" t="inlineStr">
        <is>
          <t>Cửa Hàng CG Tân Phong - Bình Dương/ Anh Phúc - 0906.954.824</t>
        </is>
      </c>
      <c r="D2901" s="400" t="inlineStr">
        <is>
          <t>0906.954.824</t>
        </is>
      </c>
      <c r="E2901" s="402" t="n"/>
      <c r="F2901" s="401" t="inlineStr">
        <is>
          <t>Tân Vạn - Bình Dương</t>
        </is>
      </c>
      <c r="G2901" s="400" t="inlineStr">
        <is>
          <t>BDUONG</t>
        </is>
      </c>
      <c r="H2901" s="402" t="n"/>
      <c r="J2901" s="392">
        <f>IFERROR(UPPER(TRIM(B2901))&amp;"|"&amp;UPPER(TRIM(C2901))&amp;"|"&amp;UPPER(TRIM(D2901)),"")</f>
        <v/>
      </c>
    </row>
    <row r="2902" ht="15.75" customHeight="1" s="217">
      <c r="A2902" s="397" t="n">
        <v>2900</v>
      </c>
      <c r="B2902" s="397" t="inlineStr">
        <is>
          <t>KH0854</t>
        </is>
      </c>
      <c r="C2902" s="398" t="inlineStr">
        <is>
          <t>Anh Phú - Cam Lâm /0905.167.609</t>
        </is>
      </c>
      <c r="D2902" s="397" t="inlineStr">
        <is>
          <t>0905.167.609</t>
        </is>
      </c>
      <c r="E2902" s="399" t="n"/>
      <c r="F2902" s="398" t="inlineStr">
        <is>
          <t>Cam Lâm - Nha Trang</t>
        </is>
      </c>
      <c r="G2902" s="397" t="inlineStr">
        <is>
          <t>NTRANG</t>
        </is>
      </c>
      <c r="H2902" s="399" t="n"/>
      <c r="J2902" s="392">
        <f>IFERROR(UPPER(TRIM(B2902))&amp;"|"&amp;UPPER(TRIM(C2902))&amp;"|"&amp;UPPER(TRIM(D2902)),"")</f>
        <v/>
      </c>
    </row>
    <row r="2903" ht="15.75" customHeight="1" s="217">
      <c r="A2903" s="400" t="n">
        <v>2901</v>
      </c>
      <c r="B2903" s="400" t="inlineStr">
        <is>
          <t>KH0851</t>
        </is>
      </c>
      <c r="C2903" s="401" t="inlineStr">
        <is>
          <t>Cty Mai Tiến Thành . Anh Lâm - SG/0919.430.092</t>
        </is>
      </c>
      <c r="D2903" s="400" t="inlineStr">
        <is>
          <t>0919.430.092</t>
        </is>
      </c>
      <c r="E2903" s="402" t="n"/>
      <c r="F2903" s="401" t="inlineStr">
        <is>
          <t>Sài Gòn</t>
        </is>
      </c>
      <c r="G2903" s="400" t="inlineStr">
        <is>
          <t>SG/HCM</t>
        </is>
      </c>
      <c r="H2903" s="402" t="n"/>
      <c r="J2903" s="392">
        <f>IFERROR(UPPER(TRIM(B2903))&amp;"|"&amp;UPPER(TRIM(C2903))&amp;"|"&amp;UPPER(TRIM(D2903)),"")</f>
        <v/>
      </c>
    </row>
    <row r="2904" ht="15.75" customHeight="1" s="217">
      <c r="A2904" s="397" t="n">
        <v>2902</v>
      </c>
      <c r="B2904" s="397" t="inlineStr">
        <is>
          <t>KH0852</t>
        </is>
      </c>
      <c r="C2904" s="398" t="inlineStr">
        <is>
          <t>Anh Đạt - Cà Mau /0913.324.992</t>
        </is>
      </c>
      <c r="D2904" s="397" t="inlineStr">
        <is>
          <t>0913.324.992</t>
        </is>
      </c>
      <c r="E2904" s="399" t="n"/>
      <c r="F2904" s="398" t="inlineStr">
        <is>
          <t>Cà Mau</t>
        </is>
      </c>
      <c r="G2904" s="397" t="inlineStr">
        <is>
          <t>CMAU</t>
        </is>
      </c>
      <c r="H2904" s="399" t="n"/>
      <c r="J2904" s="392">
        <f>IFERROR(UPPER(TRIM(B2904))&amp;"|"&amp;UPPER(TRIM(C2904))&amp;"|"&amp;UPPER(TRIM(D2904)),"")</f>
        <v/>
      </c>
    </row>
    <row r="2905" ht="15.75" customHeight="1" s="217">
      <c r="A2905" s="400" t="n">
        <v>2903</v>
      </c>
      <c r="B2905" s="400" t="inlineStr">
        <is>
          <t>KH0850</t>
        </is>
      </c>
      <c r="C2905" s="401" t="inlineStr">
        <is>
          <t>Anh Duy Linh - Đồng Xoài/ 0985.002.841</t>
        </is>
      </c>
      <c r="D2905" s="400" t="inlineStr">
        <is>
          <t>0985.002.841</t>
        </is>
      </c>
      <c r="E2905" s="402" t="n"/>
      <c r="F2905" s="401" t="inlineStr">
        <is>
          <t>Đồng Xoài - Bình Phước</t>
        </is>
      </c>
      <c r="G2905" s="400" t="inlineStr">
        <is>
          <t>BP</t>
        </is>
      </c>
      <c r="H2905" s="402" t="n"/>
      <c r="J2905" s="392">
        <f>IFERROR(UPPER(TRIM(B2905))&amp;"|"&amp;UPPER(TRIM(C2905))&amp;"|"&amp;UPPER(TRIM(D2905)),"")</f>
        <v/>
      </c>
    </row>
    <row r="2906" ht="15.75" customHeight="1" s="217">
      <c r="A2906" s="397" t="n">
        <v>2904</v>
      </c>
      <c r="B2906" s="397" t="inlineStr">
        <is>
          <t>KH0848</t>
        </is>
      </c>
      <c r="C2906" s="398" t="inlineStr">
        <is>
          <t>Công ty TNHH Xây Dựng Doãn Ly - Bình Thuận / Anh Ly : 0913.681.059</t>
        </is>
      </c>
      <c r="D2906" s="397" t="inlineStr">
        <is>
          <t>0913.681.059</t>
        </is>
      </c>
      <c r="E2906" s="399" t="n"/>
      <c r="F2906" s="398" t="inlineStr">
        <is>
          <t>Hồng Sơn, Hàm Thuận Bắc, Bình Thuận</t>
        </is>
      </c>
      <c r="G2906" s="397" t="inlineStr">
        <is>
          <t>BTHUAN</t>
        </is>
      </c>
      <c r="H2906" s="399" t="n"/>
      <c r="J2906" s="392">
        <f>IFERROR(UPPER(TRIM(B2906))&amp;"|"&amp;UPPER(TRIM(C2906))&amp;"|"&amp;UPPER(TRIM(D2906)),"")</f>
        <v/>
      </c>
    </row>
    <row r="2907" ht="15.75" customHeight="1" s="217">
      <c r="A2907" s="400" t="n">
        <v>2905</v>
      </c>
      <c r="B2907" s="400" t="inlineStr">
        <is>
          <t>KH0849</t>
        </is>
      </c>
      <c r="C2907" s="401" t="inlineStr">
        <is>
          <t>Công Ty TNHH MTV Khánh Ly - Quảng Ngãi/ Anh Tiến: 01234.457.777</t>
        </is>
      </c>
      <c r="D2907" s="400" t="inlineStr">
        <is>
          <t>01234.457.777</t>
        </is>
      </c>
      <c r="E2907" s="402" t="n"/>
      <c r="F2907" s="401" t="inlineStr">
        <is>
          <t>Thôn Long Vĩnh, X.Bình Long, H.Bình Sơn, T.Quảng Ngãi</t>
        </is>
      </c>
      <c r="G2907" s="400" t="inlineStr">
        <is>
          <t>QUNGAI</t>
        </is>
      </c>
      <c r="H2907" s="402" t="n"/>
      <c r="J2907" s="392">
        <f>IFERROR(UPPER(TRIM(B2907))&amp;"|"&amp;UPPER(TRIM(C2907))&amp;"|"&amp;UPPER(TRIM(D2907)),"")</f>
        <v/>
      </c>
    </row>
    <row r="2908" ht="15.75" customHeight="1" s="217">
      <c r="A2908" s="397" t="n">
        <v>2906</v>
      </c>
      <c r="B2908" s="397" t="inlineStr">
        <is>
          <t>KH0845</t>
        </is>
      </c>
      <c r="C2908" s="398" t="inlineStr">
        <is>
          <t>Anh Tèo - Đồng Nai / 0938.442.252</t>
        </is>
      </c>
      <c r="D2908" s="397" t="inlineStr">
        <is>
          <t>0938.442.252</t>
        </is>
      </c>
      <c r="E2908" s="399" t="n"/>
      <c r="F2908" s="398" t="inlineStr">
        <is>
          <t>Đồng Nai</t>
        </is>
      </c>
      <c r="G2908" s="397" t="inlineStr">
        <is>
          <t>ÐNAI</t>
        </is>
      </c>
      <c r="H2908" s="399" t="n"/>
      <c r="J2908" s="392">
        <f>IFERROR(UPPER(TRIM(B2908))&amp;"|"&amp;UPPER(TRIM(C2908))&amp;"|"&amp;UPPER(TRIM(D2908)),"")</f>
        <v/>
      </c>
    </row>
    <row r="2909" ht="15.75" customHeight="1" s="217">
      <c r="A2909" s="400" t="n">
        <v>2907</v>
      </c>
      <c r="B2909" s="400" t="inlineStr">
        <is>
          <t>KH0846</t>
        </is>
      </c>
      <c r="C2909" s="401" t="inlineStr">
        <is>
          <t>Anh Phúc - Bình Dương (D)/ 0913.154.465</t>
        </is>
      </c>
      <c r="D2909" s="400" t="inlineStr">
        <is>
          <t>0913.154.465</t>
        </is>
      </c>
      <c r="E2909" s="402" t="n"/>
      <c r="F2909" s="401" t="inlineStr">
        <is>
          <t>Bình Dương</t>
        </is>
      </c>
      <c r="G2909" s="400" t="inlineStr">
        <is>
          <t>BDUONG</t>
        </is>
      </c>
      <c r="H2909" s="402" t="n"/>
      <c r="J2909" s="392">
        <f>IFERROR(UPPER(TRIM(B2909))&amp;"|"&amp;UPPER(TRIM(C2909))&amp;"|"&amp;UPPER(TRIM(D2909)),"")</f>
        <v/>
      </c>
    </row>
    <row r="2910" ht="15.75" customHeight="1" s="217">
      <c r="A2910" s="397" t="n">
        <v>2908</v>
      </c>
      <c r="B2910" s="397" t="inlineStr">
        <is>
          <t>KH0847</t>
        </is>
      </c>
      <c r="C2910" s="398" t="inlineStr">
        <is>
          <t>Anh Lợi - Vũng Tàu / 0988.460.036</t>
        </is>
      </c>
      <c r="D2910" s="397" t="inlineStr">
        <is>
          <t>0988.460.036</t>
        </is>
      </c>
      <c r="E2910" s="399" t="n"/>
      <c r="F2910" s="398" t="inlineStr">
        <is>
          <t>Vũng Tàu</t>
        </is>
      </c>
      <c r="G2910" s="397" t="inlineStr">
        <is>
          <t>BRVT</t>
        </is>
      </c>
      <c r="H2910" s="399" t="n"/>
      <c r="J2910" s="392">
        <f>IFERROR(UPPER(TRIM(B2910))&amp;"|"&amp;UPPER(TRIM(C2910))&amp;"|"&amp;UPPER(TRIM(D2910)),"")</f>
        <v/>
      </c>
    </row>
    <row r="2911" ht="15.75" customHeight="1" s="217">
      <c r="A2911" s="400" t="n">
        <v>2909</v>
      </c>
      <c r="B2911" s="400" t="inlineStr">
        <is>
          <t>KH0843</t>
        </is>
      </c>
      <c r="C2911" s="401" t="inlineStr">
        <is>
          <t>Cửa Hàng Anh Len - Bạc Liêu / 0982.528.545</t>
        </is>
      </c>
      <c r="D2911" s="400" t="inlineStr">
        <is>
          <t>0982.528.545</t>
        </is>
      </c>
      <c r="E2911" s="402" t="n"/>
      <c r="F2911" s="401" t="inlineStr">
        <is>
          <t>184 Võ Thị Sáu, Khóm 4, P.4, TP.Bạc Liêu</t>
        </is>
      </c>
      <c r="G2911" s="400" t="inlineStr">
        <is>
          <t>BLIEU</t>
        </is>
      </c>
      <c r="H2911" s="402" t="n"/>
      <c r="J2911" s="392">
        <f>IFERROR(UPPER(TRIM(B2911))&amp;"|"&amp;UPPER(TRIM(C2911))&amp;"|"&amp;UPPER(TRIM(D2911)),"")</f>
        <v/>
      </c>
    </row>
    <row r="2912" ht="15.75" customHeight="1" s="217">
      <c r="A2912" s="397" t="n">
        <v>2910</v>
      </c>
      <c r="B2912" s="397" t="inlineStr">
        <is>
          <t>KH0844</t>
        </is>
      </c>
      <c r="C2912" s="398" t="inlineStr">
        <is>
          <t>Anh Hoàng - Long An / 0906.796.905</t>
        </is>
      </c>
      <c r="D2912" s="397" t="inlineStr">
        <is>
          <t>0906.796.905</t>
        </is>
      </c>
      <c r="E2912" s="399" t="n"/>
      <c r="F2912" s="398" t="inlineStr">
        <is>
          <t>Cần Đước,Long An</t>
        </is>
      </c>
      <c r="G2912" s="397" t="inlineStr">
        <is>
          <t>LA</t>
        </is>
      </c>
      <c r="H2912" s="399" t="n"/>
      <c r="J2912" s="392">
        <f>IFERROR(UPPER(TRIM(B2912))&amp;"|"&amp;UPPER(TRIM(C2912))&amp;"|"&amp;UPPER(TRIM(D2912)),"")</f>
        <v/>
      </c>
    </row>
    <row r="2913" ht="15.75" customHeight="1" s="217">
      <c r="A2913" s="400" t="n">
        <v>2911</v>
      </c>
      <c r="B2913" s="400" t="inlineStr">
        <is>
          <t>KH0842</t>
        </is>
      </c>
      <c r="C2913" s="401" t="inlineStr">
        <is>
          <t>Xưởng Hoàng Hải - Ngã 4 BP/ 0906.433.432</t>
        </is>
      </c>
      <c r="D2913" s="400" t="inlineStr">
        <is>
          <t>0906.433.432</t>
        </is>
      </c>
      <c r="E2913" s="402" t="n"/>
      <c r="F2913" s="401" t="inlineStr">
        <is>
          <t>Ngã 4 BP, SG</t>
        </is>
      </c>
      <c r="G2913" s="400" t="inlineStr">
        <is>
          <t>SG/HCM</t>
        </is>
      </c>
      <c r="H2913" s="402" t="n"/>
      <c r="J2913" s="392">
        <f>IFERROR(UPPER(TRIM(B2913))&amp;"|"&amp;UPPER(TRIM(C2913))&amp;"|"&amp;UPPER(TRIM(D2913)),"")</f>
        <v/>
      </c>
    </row>
    <row r="2914" ht="15.75" customHeight="1" s="217">
      <c r="A2914" s="397" t="n">
        <v>2912</v>
      </c>
      <c r="B2914" s="397" t="inlineStr">
        <is>
          <t>KH0840</t>
        </is>
      </c>
      <c r="C2914" s="398" t="inlineStr">
        <is>
          <t>Anh Sảng - Đăk Nông / 0916.421.737</t>
        </is>
      </c>
      <c r="D2914" s="397" t="inlineStr">
        <is>
          <t>0916.421.737</t>
        </is>
      </c>
      <c r="E2914" s="399" t="n"/>
      <c r="F2914" s="398" t="inlineStr">
        <is>
          <t>Đăk Nông</t>
        </is>
      </c>
      <c r="G2914" s="397" t="inlineStr">
        <is>
          <t>DNONG</t>
        </is>
      </c>
      <c r="H2914" s="399" t="n"/>
      <c r="J2914" s="392">
        <f>IFERROR(UPPER(TRIM(B2914))&amp;"|"&amp;UPPER(TRIM(C2914))&amp;"|"&amp;UPPER(TRIM(D2914)),"")</f>
        <v/>
      </c>
    </row>
    <row r="2915" ht="15.75" customHeight="1" s="217">
      <c r="A2915" s="400" t="n">
        <v>2913</v>
      </c>
      <c r="B2915" s="400" t="inlineStr">
        <is>
          <t>KH0841</t>
        </is>
      </c>
      <c r="C2915" s="401" t="inlineStr">
        <is>
          <t>Anh Vinh - Đức Trọng / 0919.389.123</t>
        </is>
      </c>
      <c r="D2915" s="400" t="inlineStr">
        <is>
          <t>0919.389.123</t>
        </is>
      </c>
      <c r="E2915" s="402" t="n"/>
      <c r="F2915" s="401" t="inlineStr">
        <is>
          <t>Đức Trọng - Lâm Đồng</t>
        </is>
      </c>
      <c r="G2915" s="400" t="inlineStr">
        <is>
          <t>LDONG</t>
        </is>
      </c>
      <c r="H2915" s="402" t="n"/>
      <c r="J2915" s="392">
        <f>IFERROR(UPPER(TRIM(B2915))&amp;"|"&amp;UPPER(TRIM(C2915))&amp;"|"&amp;UPPER(TRIM(D2915)),"")</f>
        <v/>
      </c>
    </row>
    <row r="2916" ht="15.75" customHeight="1" s="217">
      <c r="A2916" s="397" t="n">
        <v>2914</v>
      </c>
      <c r="B2916" s="397" t="inlineStr">
        <is>
          <t>KH0837</t>
        </is>
      </c>
      <c r="C2916" s="398" t="inlineStr">
        <is>
          <t>anh Hoàng - Q.7/ 0925.569.559</t>
        </is>
      </c>
      <c r="D2916" s="397" t="inlineStr">
        <is>
          <t>0925.569.559</t>
        </is>
      </c>
      <c r="E2916" s="399" t="n"/>
      <c r="F2916" s="398" t="inlineStr">
        <is>
          <t>Q.7 - SG</t>
        </is>
      </c>
      <c r="G2916" s="397" t="inlineStr">
        <is>
          <t>SG/HCM</t>
        </is>
      </c>
      <c r="H2916" s="399" t="n"/>
      <c r="J2916" s="392">
        <f>IFERROR(UPPER(TRIM(B2916))&amp;"|"&amp;UPPER(TRIM(C2916))&amp;"|"&amp;UPPER(TRIM(D2916)),"")</f>
        <v/>
      </c>
    </row>
    <row r="2917" ht="15.75" customHeight="1" s="217">
      <c r="A2917" s="400" t="n">
        <v>2915</v>
      </c>
      <c r="B2917" s="400" t="inlineStr">
        <is>
          <t>KH0838</t>
        </is>
      </c>
      <c r="C2917" s="401" t="inlineStr">
        <is>
          <t>Anh Dự - Cty TNHH XD và TTNT Đại Hưng Phát / 0902.421.757</t>
        </is>
      </c>
      <c r="D2917" s="400" t="inlineStr">
        <is>
          <t>0902.421.757</t>
        </is>
      </c>
      <c r="E2917" s="402" t="n"/>
      <c r="F2917" s="401" t="inlineStr">
        <is>
          <t>235/1 đường trục P.03, Q.Bình Thạnh</t>
        </is>
      </c>
      <c r="G2917" s="400" t="inlineStr">
        <is>
          <t>SG/HCM</t>
        </is>
      </c>
      <c r="H2917" s="402" t="n"/>
      <c r="J2917" s="392">
        <f>IFERROR(UPPER(TRIM(B2917))&amp;"|"&amp;UPPER(TRIM(C2917))&amp;"|"&amp;UPPER(TRIM(D2917)),"")</f>
        <v/>
      </c>
    </row>
    <row r="2918" ht="15.75" customHeight="1" s="217">
      <c r="A2918" s="397" t="n">
        <v>2916</v>
      </c>
      <c r="B2918" s="397" t="inlineStr">
        <is>
          <t>KH0839</t>
        </is>
      </c>
      <c r="C2918" s="398" t="inlineStr">
        <is>
          <t>Anh Hải - Hàng Xanh / 0934.004.010</t>
        </is>
      </c>
      <c r="D2918" s="397" t="inlineStr">
        <is>
          <t>0934.004.010</t>
        </is>
      </c>
      <c r="E2918" s="399" t="n"/>
      <c r="F2918" s="398" t="inlineStr">
        <is>
          <t>Hàng Xanh, SG</t>
        </is>
      </c>
      <c r="G2918" s="397" t="inlineStr">
        <is>
          <t>SG/HCM</t>
        </is>
      </c>
      <c r="H2918" s="399" t="n"/>
      <c r="J2918" s="392">
        <f>IFERROR(UPPER(TRIM(B2918))&amp;"|"&amp;UPPER(TRIM(C2918))&amp;"|"&amp;UPPER(TRIM(D2918)),"")</f>
        <v/>
      </c>
    </row>
    <row r="2919" ht="15.75" customHeight="1" s="217">
      <c r="A2919" s="400" t="n">
        <v>2917</v>
      </c>
      <c r="B2919" s="400" t="inlineStr">
        <is>
          <t>KH0836</t>
        </is>
      </c>
      <c r="C2919" s="401" t="inlineStr">
        <is>
          <t>Anh Dương - Phước Bình/ 0972.243.040</t>
        </is>
      </c>
      <c r="D2919" s="400" t="inlineStr">
        <is>
          <t>0972.243.040</t>
        </is>
      </c>
      <c r="E2919" s="402" t="n"/>
      <c r="F2919" s="401" t="inlineStr">
        <is>
          <t>Phước Bình, Bình Phước</t>
        </is>
      </c>
      <c r="G2919" s="400" t="inlineStr">
        <is>
          <t>BP</t>
        </is>
      </c>
      <c r="H2919" s="402" t="n"/>
      <c r="J2919" s="392">
        <f>IFERROR(UPPER(TRIM(B2919))&amp;"|"&amp;UPPER(TRIM(C2919))&amp;"|"&amp;UPPER(TRIM(D2919)),"")</f>
        <v/>
      </c>
    </row>
    <row r="2920" ht="15.75" customHeight="1" s="217">
      <c r="A2920" s="397" t="n">
        <v>2918</v>
      </c>
      <c r="B2920" s="397" t="inlineStr">
        <is>
          <t>KH0834</t>
        </is>
      </c>
      <c r="C2920" s="398" t="inlineStr">
        <is>
          <t>Anh Lê - Long An / 01676.768.719</t>
        </is>
      </c>
      <c r="D2920" s="397" t="inlineStr">
        <is>
          <t>01676.768.719</t>
        </is>
      </c>
      <c r="E2920" s="399" t="n"/>
      <c r="F2920" s="398" t="inlineStr">
        <is>
          <t>Thành Phố Tân An, Long An</t>
        </is>
      </c>
      <c r="G2920" s="397" t="inlineStr">
        <is>
          <t>LA</t>
        </is>
      </c>
      <c r="H2920" s="399" t="n"/>
      <c r="J2920" s="392">
        <f>IFERROR(UPPER(TRIM(B2920))&amp;"|"&amp;UPPER(TRIM(C2920))&amp;"|"&amp;UPPER(TRIM(D2920)),"")</f>
        <v/>
      </c>
    </row>
    <row r="2921" ht="15.75" customHeight="1" s="217">
      <c r="A2921" s="400" t="n">
        <v>2919</v>
      </c>
      <c r="B2921" s="400" t="inlineStr">
        <is>
          <t>KH0835</t>
        </is>
      </c>
      <c r="C2921" s="401" t="inlineStr">
        <is>
          <t>Anh Phúc - Đức Trọng / 0967.019.369</t>
        </is>
      </c>
      <c r="D2921" s="400" t="inlineStr">
        <is>
          <t>0967.019.369</t>
        </is>
      </c>
      <c r="E2921" s="402" t="n"/>
      <c r="F2921" s="401" t="inlineStr">
        <is>
          <t>Đức Trọng - Lâm Đồng</t>
        </is>
      </c>
      <c r="G2921" s="400" t="inlineStr">
        <is>
          <t>LDONG</t>
        </is>
      </c>
      <c r="H2921" s="402" t="n"/>
      <c r="J2921" s="392">
        <f>IFERROR(UPPER(TRIM(B2921))&amp;"|"&amp;UPPER(TRIM(C2921))&amp;"|"&amp;UPPER(TRIM(D2921)),"")</f>
        <v/>
      </c>
    </row>
    <row r="2922" ht="15.75" customHeight="1" s="217">
      <c r="A2922" s="397" t="n">
        <v>2920</v>
      </c>
      <c r="B2922" s="397" t="inlineStr">
        <is>
          <t>KH0831</t>
        </is>
      </c>
      <c r="C2922" s="398" t="inlineStr">
        <is>
          <t>Bãi máy anh Kiệt - Bạc Liêu/ 0913.630.662</t>
        </is>
      </c>
      <c r="D2922" s="397" t="inlineStr">
        <is>
          <t>0913.630.662</t>
        </is>
      </c>
      <c r="E2922" s="399" t="n"/>
      <c r="F2922" s="398" t="inlineStr">
        <is>
          <t>Bạc Liêu</t>
        </is>
      </c>
      <c r="G2922" s="397" t="inlineStr">
        <is>
          <t>BLIEU</t>
        </is>
      </c>
      <c r="H2922" s="399" t="n"/>
      <c r="J2922" s="392">
        <f>IFERROR(UPPER(TRIM(B2922))&amp;"|"&amp;UPPER(TRIM(C2922))&amp;"|"&amp;UPPER(TRIM(D2922)),"")</f>
        <v/>
      </c>
    </row>
    <row r="2923" ht="15.75" customHeight="1" s="217">
      <c r="A2923" s="400" t="n">
        <v>2921</v>
      </c>
      <c r="B2923" s="400" t="inlineStr">
        <is>
          <t>KH0832</t>
        </is>
      </c>
      <c r="C2923" s="401" t="inlineStr">
        <is>
          <t>Anh Nam (Công ty TNHH Phúc Minh) - Đạ Tẻh/ 0907.888.988</t>
        </is>
      </c>
      <c r="D2923" s="400" t="inlineStr">
        <is>
          <t>0907.888.988</t>
        </is>
      </c>
      <c r="E2923" s="402" t="n"/>
      <c r="F2923" s="401" t="inlineStr">
        <is>
          <t>67A - Đường 30/4, Khu phố 1C, Thị trấn Đạ Tẻh, Huyện Đạ Tẻh, Lâm Đồng</t>
        </is>
      </c>
      <c r="G2923" s="400" t="inlineStr">
        <is>
          <t>LDONG</t>
        </is>
      </c>
      <c r="H2923" s="402" t="n"/>
      <c r="J2923" s="392">
        <f>IFERROR(UPPER(TRIM(B2923))&amp;"|"&amp;UPPER(TRIM(C2923))&amp;"|"&amp;UPPER(TRIM(D2923)),"")</f>
        <v/>
      </c>
    </row>
    <row r="2924" ht="15.75" customHeight="1" s="217">
      <c r="A2924" s="397" t="n">
        <v>2922</v>
      </c>
      <c r="B2924" s="397" t="inlineStr">
        <is>
          <t>KH0833</t>
        </is>
      </c>
      <c r="C2924" s="398" t="inlineStr">
        <is>
          <t>Anh Hảo - Quảng Ngãi/ 0906.484.151</t>
        </is>
      </c>
      <c r="D2924" s="397" t="inlineStr">
        <is>
          <t>0906.484.151</t>
        </is>
      </c>
      <c r="E2924" s="399" t="n"/>
      <c r="F2924" s="398" t="inlineStr">
        <is>
          <t>Quảng Ngãi</t>
        </is>
      </c>
      <c r="G2924" s="397" t="inlineStr">
        <is>
          <t>QUNGAI</t>
        </is>
      </c>
      <c r="H2924" s="399" t="n"/>
      <c r="J2924" s="392">
        <f>IFERROR(UPPER(TRIM(B2924))&amp;"|"&amp;UPPER(TRIM(C2924))&amp;"|"&amp;UPPER(TRIM(D2924)),"")</f>
        <v/>
      </c>
    </row>
    <row r="2925" ht="15.75" customHeight="1" s="217">
      <c r="A2925" s="400" t="n">
        <v>2923</v>
      </c>
      <c r="B2925" s="400" t="inlineStr">
        <is>
          <t>KH0828</t>
        </is>
      </c>
      <c r="C2925" s="401" t="inlineStr">
        <is>
          <t>Anh Tiến - Phan Thiết /01654.875.073</t>
        </is>
      </c>
      <c r="D2925" s="400" t="inlineStr">
        <is>
          <t>01654.875.073</t>
        </is>
      </c>
      <c r="E2925" s="402" t="n"/>
      <c r="F2925" s="401" t="inlineStr">
        <is>
          <t>Phan Thiết</t>
        </is>
      </c>
      <c r="G2925" s="400" t="inlineStr">
        <is>
          <t>BTHUAN</t>
        </is>
      </c>
      <c r="H2925" s="402" t="n"/>
      <c r="J2925" s="392">
        <f>IFERROR(UPPER(TRIM(B2925))&amp;"|"&amp;UPPER(TRIM(C2925))&amp;"|"&amp;UPPER(TRIM(D2925)),"")</f>
        <v/>
      </c>
    </row>
    <row r="2926" ht="15.75" customHeight="1" s="217">
      <c r="A2926" s="397" t="n">
        <v>2924</v>
      </c>
      <c r="B2926" s="397" t="inlineStr">
        <is>
          <t>KH0829</t>
        </is>
      </c>
      <c r="C2926" s="398" t="inlineStr">
        <is>
          <t>Anh Nam - Bạc Liêu/ 0913.990.299</t>
        </is>
      </c>
      <c r="D2926" s="397" t="inlineStr">
        <is>
          <t>0913.990.299</t>
        </is>
      </c>
      <c r="E2926" s="399" t="n"/>
      <c r="F2926" s="398" t="inlineStr">
        <is>
          <t>TP Bạc Liêu</t>
        </is>
      </c>
      <c r="G2926" s="397" t="inlineStr">
        <is>
          <t>BLIEU</t>
        </is>
      </c>
      <c r="H2926" s="399" t="n"/>
      <c r="J2926" s="392">
        <f>IFERROR(UPPER(TRIM(B2926))&amp;"|"&amp;UPPER(TRIM(C2926))&amp;"|"&amp;UPPER(TRIM(D2926)),"")</f>
        <v/>
      </c>
    </row>
    <row r="2927" ht="15.75" customHeight="1" s="217">
      <c r="A2927" s="400" t="n">
        <v>2925</v>
      </c>
      <c r="B2927" s="400" t="inlineStr">
        <is>
          <t>KH0830</t>
        </is>
      </c>
      <c r="C2927" s="401" t="inlineStr">
        <is>
          <t>Xưởng anh Tuấn - Hậu Giang/ 0943.372.134</t>
        </is>
      </c>
      <c r="D2927" s="400" t="inlineStr">
        <is>
          <t>0943.372.134</t>
        </is>
      </c>
      <c r="E2927" s="402" t="n"/>
      <c r="F2927" s="401" t="inlineStr">
        <is>
          <t>Vị Thanh - Hậu Giang</t>
        </is>
      </c>
      <c r="G2927" s="400" t="inlineStr">
        <is>
          <t>HG</t>
        </is>
      </c>
      <c r="H2927" s="402" t="n"/>
      <c r="J2927" s="392">
        <f>IFERROR(UPPER(TRIM(B2927))&amp;"|"&amp;UPPER(TRIM(C2927))&amp;"|"&amp;UPPER(TRIM(D2927)),"")</f>
        <v/>
      </c>
    </row>
    <row r="2928" ht="15.75" customHeight="1" s="217">
      <c r="A2928" s="397" t="n">
        <v>2926</v>
      </c>
      <c r="B2928" s="397" t="inlineStr">
        <is>
          <t>KH0826</t>
        </is>
      </c>
      <c r="C2928" s="398" t="inlineStr">
        <is>
          <t>Anh Vinh - Quảng Ngãi / 0905.819.345</t>
        </is>
      </c>
      <c r="D2928" s="397" t="inlineStr">
        <is>
          <t>0905.819.345</t>
        </is>
      </c>
      <c r="E2928" s="399" t="n"/>
      <c r="F2928" s="398" t="inlineStr">
        <is>
          <t>Quảng Ngãi</t>
        </is>
      </c>
      <c r="G2928" s="397" t="inlineStr">
        <is>
          <t>QUNGAI</t>
        </is>
      </c>
      <c r="H2928" s="399" t="n"/>
      <c r="J2928" s="392">
        <f>IFERROR(UPPER(TRIM(B2928))&amp;"|"&amp;UPPER(TRIM(C2928))&amp;"|"&amp;UPPER(TRIM(D2928)),"")</f>
        <v/>
      </c>
    </row>
    <row r="2929" ht="15.75" customHeight="1" s="217">
      <c r="A2929" s="400" t="n">
        <v>2927</v>
      </c>
      <c r="B2929" s="400" t="inlineStr">
        <is>
          <t>KH0827</t>
        </is>
      </c>
      <c r="C2929" s="401" t="inlineStr">
        <is>
          <t>Anh Mười Hoàng - Lâm Đồng / 0907.093.234</t>
        </is>
      </c>
      <c r="D2929" s="400" t="inlineStr">
        <is>
          <t>0907.093.234</t>
        </is>
      </c>
      <c r="E2929" s="402" t="n"/>
      <c r="F2929" s="401" t="inlineStr">
        <is>
          <t>Bảo Lộc, Lâm Đồng</t>
        </is>
      </c>
      <c r="G2929" s="400" t="inlineStr">
        <is>
          <t>LDONG</t>
        </is>
      </c>
      <c r="H2929" s="402" t="n"/>
      <c r="J2929" s="392">
        <f>IFERROR(UPPER(TRIM(B2929))&amp;"|"&amp;UPPER(TRIM(C2929))&amp;"|"&amp;UPPER(TRIM(D2929)),"")</f>
        <v/>
      </c>
    </row>
    <row r="2930" ht="15.75" customHeight="1" s="217">
      <c r="A2930" s="397" t="n">
        <v>2928</v>
      </c>
      <c r="B2930" s="397" t="inlineStr">
        <is>
          <t>KH0825</t>
        </is>
      </c>
      <c r="C2930" s="398" t="inlineStr">
        <is>
          <t>Xưởng anh Quốc - Tiền Giang / 0918.652.783</t>
        </is>
      </c>
      <c r="D2930" s="397" t="inlineStr">
        <is>
          <t>0918.652.783</t>
        </is>
      </c>
      <c r="E2930" s="399" t="n"/>
      <c r="F2930" s="398" t="inlineStr">
        <is>
          <t>Xưởng anh Quốc, ngã ba Trung Lương, Tiền Giang</t>
        </is>
      </c>
      <c r="G2930" s="397" t="inlineStr">
        <is>
          <t>TGIANG</t>
        </is>
      </c>
      <c r="H2930" s="399" t="n"/>
      <c r="J2930" s="392">
        <f>IFERROR(UPPER(TRIM(B2930))&amp;"|"&amp;UPPER(TRIM(C2930))&amp;"|"&amp;UPPER(TRIM(D2930)),"")</f>
        <v/>
      </c>
    </row>
    <row r="2931" ht="15.75" customHeight="1" s="217">
      <c r="A2931" s="400" t="n">
        <v>2929</v>
      </c>
      <c r="B2931" s="400" t="inlineStr">
        <is>
          <t>KH0822</t>
        </is>
      </c>
      <c r="C2931" s="401" t="inlineStr">
        <is>
          <t>Anh Minh - Tiền Giang / 01203.294.223</t>
        </is>
      </c>
      <c r="D2931" s="400" t="inlineStr">
        <is>
          <t>01203.294.223</t>
        </is>
      </c>
      <c r="E2931" s="402" t="n"/>
      <c r="F2931" s="401" t="inlineStr">
        <is>
          <t>Gò Công Đông, Tiền Giang</t>
        </is>
      </c>
      <c r="G2931" s="400" t="inlineStr">
        <is>
          <t>TGIANG</t>
        </is>
      </c>
      <c r="H2931" s="402" t="n"/>
      <c r="J2931" s="392">
        <f>IFERROR(UPPER(TRIM(B2931))&amp;"|"&amp;UPPER(TRIM(C2931))&amp;"|"&amp;UPPER(TRIM(D2931)),"")</f>
        <v/>
      </c>
    </row>
    <row r="2932" ht="15.75" customHeight="1" s="217">
      <c r="A2932" s="397" t="n">
        <v>2930</v>
      </c>
      <c r="B2932" s="397" t="inlineStr">
        <is>
          <t>KH0823</t>
        </is>
      </c>
      <c r="C2932" s="398" t="inlineStr">
        <is>
          <t>Anh Phúc - Q12 /  0964.446.418</t>
        </is>
      </c>
      <c r="D2932" s="397" t="inlineStr">
        <is>
          <t>0964.446.418</t>
        </is>
      </c>
      <c r="E2932" s="399" t="n"/>
      <c r="F2932" s="398" t="inlineStr">
        <is>
          <t>Q12, Sài Gòn</t>
        </is>
      </c>
      <c r="G2932" s="397" t="inlineStr">
        <is>
          <t>SG/HCM</t>
        </is>
      </c>
      <c r="H2932" s="399" t="n"/>
      <c r="J2932" s="392">
        <f>IFERROR(UPPER(TRIM(B2932))&amp;"|"&amp;UPPER(TRIM(C2932))&amp;"|"&amp;UPPER(TRIM(D2932)),"")</f>
        <v/>
      </c>
    </row>
    <row r="2933" ht="15.75" customHeight="1" s="217">
      <c r="A2933" s="400" t="n">
        <v>2931</v>
      </c>
      <c r="B2933" s="400" t="inlineStr">
        <is>
          <t>KH0824</t>
        </is>
      </c>
      <c r="C2933" s="401" t="inlineStr">
        <is>
          <t>Công ty Thành Phát Hưng/ 02838.770.164</t>
        </is>
      </c>
      <c r="D2933" s="400" t="inlineStr">
        <is>
          <t>02838.770.164</t>
        </is>
      </c>
      <c r="E2933" s="402" t="n"/>
      <c r="F2933" s="401" t="inlineStr">
        <is>
          <t>B3/10 QL1A, Xã Tân Kiên, Quận Bình Chánh, TPP. HCM</t>
        </is>
      </c>
      <c r="G2933" s="400" t="inlineStr">
        <is>
          <t>SG/HCM</t>
        </is>
      </c>
      <c r="H2933" s="400" t="inlineStr">
        <is>
          <t>Lý Thanh Hải, Số TK: 060309963000, SCB CN Chợ Lớn</t>
        </is>
      </c>
      <c r="J2933" s="392">
        <f>IFERROR(UPPER(TRIM(B2933))&amp;"|"&amp;UPPER(TRIM(C2933))&amp;"|"&amp;UPPER(TRIM(D2933)),"")</f>
        <v/>
      </c>
    </row>
    <row r="2934" ht="15.75" customHeight="1" s="217">
      <c r="A2934" s="397" t="n">
        <v>2932</v>
      </c>
      <c r="B2934" s="397" t="inlineStr">
        <is>
          <t>KH0819</t>
        </is>
      </c>
      <c r="C2934" s="398" t="inlineStr">
        <is>
          <t>Bãi máy Văn Tiền - SG / 0903.151.334</t>
        </is>
      </c>
      <c r="D2934" s="397" t="inlineStr">
        <is>
          <t>0903.151.334</t>
        </is>
      </c>
      <c r="E2934" s="399" t="n"/>
      <c r="F2934" s="398" t="inlineStr">
        <is>
          <t>Xa lộ Hà Nội, Suối Tiên, HCM</t>
        </is>
      </c>
      <c r="G2934" s="397" t="inlineStr">
        <is>
          <t>SG/HCM</t>
        </is>
      </c>
      <c r="H2934" s="399" t="n"/>
      <c r="J2934" s="392">
        <f>IFERROR(UPPER(TRIM(B2934))&amp;"|"&amp;UPPER(TRIM(C2934))&amp;"|"&amp;UPPER(TRIM(D2934)),"")</f>
        <v/>
      </c>
    </row>
    <row r="2935" ht="15.75" customHeight="1" s="217">
      <c r="A2935" s="400" t="n">
        <v>2933</v>
      </c>
      <c r="B2935" s="400" t="inlineStr">
        <is>
          <t>KH0820</t>
        </is>
      </c>
      <c r="C2935" s="401" t="inlineStr">
        <is>
          <t>Cửa hàng xe cơ giới Dương An - Bình Thuận / A.Tùng:0908870747- C.nợ: 0984.620.747</t>
        </is>
      </c>
      <c r="D2935" s="400" t="inlineStr">
        <is>
          <t>0908870747- / 0984.620.747</t>
        </is>
      </c>
      <c r="E2935" s="402" t="n"/>
      <c r="F2935" s="401" t="inlineStr">
        <is>
          <t>Tân Nghĩa - Hàm Tân - Bình Thuận</t>
        </is>
      </c>
      <c r="G2935" s="400" t="inlineStr">
        <is>
          <t>BTHUAN</t>
        </is>
      </c>
      <c r="H2935" s="402" t="n"/>
      <c r="J2935" s="392">
        <f>IFERROR(UPPER(TRIM(B2935))&amp;"|"&amp;UPPER(TRIM(C2935))&amp;"|"&amp;UPPER(TRIM(D2935)),"")</f>
        <v/>
      </c>
    </row>
    <row r="2936" ht="15.75" customHeight="1" s="217">
      <c r="A2936" s="397" t="n">
        <v>2934</v>
      </c>
      <c r="B2936" s="397" t="inlineStr">
        <is>
          <t>KH0821</t>
        </is>
      </c>
      <c r="C2936" s="398" t="inlineStr">
        <is>
          <t>Anh Thạch - Long An / 0909.386.054</t>
        </is>
      </c>
      <c r="D2936" s="397" t="inlineStr">
        <is>
          <t>0909.386.054</t>
        </is>
      </c>
      <c r="E2936" s="399" t="n"/>
      <c r="F2936" s="398" t="inlineStr">
        <is>
          <t>Long An</t>
        </is>
      </c>
      <c r="G2936" s="397" t="inlineStr">
        <is>
          <t>LA</t>
        </is>
      </c>
      <c r="H2936" s="399" t="n"/>
      <c r="J2936" s="392">
        <f>IFERROR(UPPER(TRIM(B2936))&amp;"|"&amp;UPPER(TRIM(C2936))&amp;"|"&amp;UPPER(TRIM(D2936)),"")</f>
        <v/>
      </c>
    </row>
    <row r="2937" ht="15.75" customHeight="1" s="217">
      <c r="A2937" s="400" t="n">
        <v>2935</v>
      </c>
      <c r="B2937" s="400" t="inlineStr">
        <is>
          <t>KH0818</t>
        </is>
      </c>
      <c r="C2937" s="401" t="inlineStr">
        <is>
          <t>Xưởng anh Phương - Bến Lức / 0919.735.625</t>
        </is>
      </c>
      <c r="D2937" s="400" t="inlineStr">
        <is>
          <t>0919.735.625</t>
        </is>
      </c>
      <c r="E2937" s="402" t="n"/>
      <c r="F2937" s="401" t="inlineStr">
        <is>
          <t>Gần cây xăng 1932, QL 1A, Bến Lức, Long An</t>
        </is>
      </c>
      <c r="G2937" s="400" t="inlineStr">
        <is>
          <t>LA</t>
        </is>
      </c>
      <c r="H2937" s="402" t="n"/>
      <c r="J2937" s="392">
        <f>IFERROR(UPPER(TRIM(B2937))&amp;"|"&amp;UPPER(TRIM(C2937))&amp;"|"&amp;UPPER(TRIM(D2937)),"")</f>
        <v/>
      </c>
    </row>
    <row r="2938" ht="15.75" customHeight="1" s="217">
      <c r="A2938" s="397" t="n">
        <v>2936</v>
      </c>
      <c r="B2938" s="397" t="inlineStr">
        <is>
          <t>KH0817</t>
        </is>
      </c>
      <c r="C2938" s="398" t="inlineStr">
        <is>
          <t>Bãi máy Mai Xuân Thu - Suối Tiên/ 0918.338.482</t>
        </is>
      </c>
      <c r="D2938" s="397" t="inlineStr">
        <is>
          <t>0918.338.482</t>
        </is>
      </c>
      <c r="E2938" s="399" t="n"/>
      <c r="F2938" s="398" t="inlineStr">
        <is>
          <t>Suối Tiên, SG</t>
        </is>
      </c>
      <c r="G2938" s="397" t="inlineStr">
        <is>
          <t>SG/HCM</t>
        </is>
      </c>
      <c r="H2938" s="399" t="n"/>
      <c r="J2938" s="392">
        <f>IFERROR(UPPER(TRIM(B2938))&amp;"|"&amp;UPPER(TRIM(C2938))&amp;"|"&amp;UPPER(TRIM(D2938)),"")</f>
        <v/>
      </c>
    </row>
    <row r="2939" ht="15.75" customHeight="1" s="217">
      <c r="A2939" s="400" t="n">
        <v>2937</v>
      </c>
      <c r="B2939" s="400" t="inlineStr">
        <is>
          <t>KH0814</t>
        </is>
      </c>
      <c r="C2939" s="401" t="inlineStr">
        <is>
          <t>Anh Toàn - Tiền Giang / 0918.293.449</t>
        </is>
      </c>
      <c r="D2939" s="400" t="inlineStr">
        <is>
          <t>0918.293.449</t>
        </is>
      </c>
      <c r="E2939" s="402" t="n"/>
      <c r="F2939" s="401" t="inlineStr">
        <is>
          <t>Tiền Giang</t>
        </is>
      </c>
      <c r="G2939" s="400" t="inlineStr">
        <is>
          <t>TGIANG</t>
        </is>
      </c>
      <c r="H2939" s="402" t="n"/>
      <c r="J2939" s="392">
        <f>IFERROR(UPPER(TRIM(B2939))&amp;"|"&amp;UPPER(TRIM(C2939))&amp;"|"&amp;UPPER(TRIM(D2939)),"")</f>
        <v/>
      </c>
    </row>
    <row r="2940" ht="15.75" customHeight="1" s="217">
      <c r="A2940" s="397" t="n">
        <v>2938</v>
      </c>
      <c r="B2940" s="397" t="inlineStr">
        <is>
          <t>KH0815</t>
        </is>
      </c>
      <c r="C2940" s="398" t="inlineStr">
        <is>
          <t>Anh Lý - Q12 / 0988.203.536</t>
        </is>
      </c>
      <c r="D2940" s="397" t="inlineStr">
        <is>
          <t>0988.203.536</t>
        </is>
      </c>
      <c r="E2940" s="399" t="n"/>
      <c r="F2940" s="398" t="inlineStr">
        <is>
          <t>Q12, Sài Gòn</t>
        </is>
      </c>
      <c r="G2940" s="397" t="inlineStr">
        <is>
          <t>SG/HCM</t>
        </is>
      </c>
      <c r="H2940" s="399" t="n"/>
      <c r="J2940" s="392">
        <f>IFERROR(UPPER(TRIM(B2940))&amp;"|"&amp;UPPER(TRIM(C2940))&amp;"|"&amp;UPPER(TRIM(D2940)),"")</f>
        <v/>
      </c>
    </row>
    <row r="2941" ht="15.75" customHeight="1" s="217">
      <c r="A2941" s="400" t="n">
        <v>2939</v>
      </c>
      <c r="B2941" s="400" t="inlineStr">
        <is>
          <t>KH0816</t>
        </is>
      </c>
      <c r="C2941" s="401" t="inlineStr">
        <is>
          <t>Cửa hàng Thành Nguyên - An Giang / 0914.036.271 - CĐ: 0763.667.228</t>
        </is>
      </c>
      <c r="D2941" s="400" t="inlineStr">
        <is>
          <t>0914.036.271 / 0763.667.228</t>
        </is>
      </c>
      <c r="E2941" s="402" t="n"/>
      <c r="F2941" s="401" t="inlineStr">
        <is>
          <t>Bình Hòa, Châu Thành, An Giang</t>
        </is>
      </c>
      <c r="G2941" s="400" t="inlineStr">
        <is>
          <t>ANGIANG</t>
        </is>
      </c>
      <c r="H2941" s="402" t="n"/>
      <c r="J2941" s="392">
        <f>IFERROR(UPPER(TRIM(B2941))&amp;"|"&amp;UPPER(TRIM(C2941))&amp;"|"&amp;UPPER(TRIM(D2941)),"")</f>
        <v/>
      </c>
    </row>
    <row r="2942" ht="15.75" customHeight="1" s="217">
      <c r="A2942" s="397" t="n">
        <v>2940</v>
      </c>
      <c r="B2942" s="397" t="inlineStr">
        <is>
          <t>KH0813</t>
        </is>
      </c>
      <c r="C2942" s="398" t="inlineStr">
        <is>
          <t>Cty Việt Dũng (công trình tại Long An) - / Anh Tự 0989.107.999</t>
        </is>
      </c>
      <c r="D2942" s="397" t="inlineStr">
        <is>
          <t>0989.107.999</t>
        </is>
      </c>
      <c r="E2942" s="399" t="n"/>
      <c r="F2942" s="398" t="inlineStr">
        <is>
          <t>Công trình tại Long An</t>
        </is>
      </c>
      <c r="G2942" s="397" t="inlineStr">
        <is>
          <t>HN</t>
        </is>
      </c>
      <c r="H2942" s="399" t="n"/>
      <c r="J2942" s="392">
        <f>IFERROR(UPPER(TRIM(B2942))&amp;"|"&amp;UPPER(TRIM(C2942))&amp;"|"&amp;UPPER(TRIM(D2942)),"")</f>
        <v/>
      </c>
    </row>
    <row r="2943" ht="15.75" customHeight="1" s="217">
      <c r="A2943" s="400" t="n">
        <v>2941</v>
      </c>
      <c r="B2943" s="400" t="inlineStr">
        <is>
          <t>KH0808</t>
        </is>
      </c>
      <c r="C2943" s="401" t="inlineStr">
        <is>
          <t>Xưởng Duy Thịnh - Vĩnh Long / 0908.372.190</t>
        </is>
      </c>
      <c r="D2943" s="400" t="inlineStr">
        <is>
          <t>0908.372.190</t>
        </is>
      </c>
      <c r="E2943" s="402" t="n"/>
      <c r="F2943" s="401" t="inlineStr">
        <is>
          <t>Vĩnh Long</t>
        </is>
      </c>
      <c r="G2943" s="400" t="inlineStr">
        <is>
          <t>VĨNH LONG</t>
        </is>
      </c>
      <c r="H2943" s="402" t="n"/>
      <c r="J2943" s="392">
        <f>IFERROR(UPPER(TRIM(B2943))&amp;"|"&amp;UPPER(TRIM(C2943))&amp;"|"&amp;UPPER(TRIM(D2943)),"")</f>
        <v/>
      </c>
    </row>
    <row r="2944" ht="15.75" customHeight="1" s="217">
      <c r="A2944" s="397" t="n">
        <v>2942</v>
      </c>
      <c r="B2944" s="397" t="inlineStr">
        <is>
          <t>KH0809</t>
        </is>
      </c>
      <c r="C2944" s="398" t="inlineStr">
        <is>
          <t>Anh Phương - Cần Thơ / 0907.380.988</t>
        </is>
      </c>
      <c r="D2944" s="397" t="inlineStr">
        <is>
          <t>0907.380.988</t>
        </is>
      </c>
      <c r="E2944" s="399" t="n"/>
      <c r="F2944" s="398" t="inlineStr">
        <is>
          <t>Cần Thơ</t>
        </is>
      </c>
      <c r="G2944" s="397" t="inlineStr">
        <is>
          <t>CTHO</t>
        </is>
      </c>
      <c r="H2944" s="399" t="n"/>
      <c r="J2944" s="392">
        <f>IFERROR(UPPER(TRIM(B2944))&amp;"|"&amp;UPPER(TRIM(C2944))&amp;"|"&amp;UPPER(TRIM(D2944)),"")</f>
        <v/>
      </c>
    </row>
    <row r="2945" ht="15.75" customHeight="1" s="217">
      <c r="A2945" s="400" t="n">
        <v>2943</v>
      </c>
      <c r="B2945" s="400" t="inlineStr">
        <is>
          <t>KH0810</t>
        </is>
      </c>
      <c r="C2945" s="401" t="inlineStr">
        <is>
          <t>Cửa Hàng Trí Vượt - Kiên Giang / 0919.823.671 - 01639.631.558</t>
        </is>
      </c>
      <c r="D2945" s="400" t="inlineStr">
        <is>
          <t>0919.823.671 / 01639.631.558</t>
        </is>
      </c>
      <c r="E2945" s="402" t="n"/>
      <c r="F2945" s="401" t="inlineStr">
        <is>
          <t>ấp 7 Xáng, Xã Đông Hòa, Huyện An Minh , Tỉnh Kiên Giang</t>
        </is>
      </c>
      <c r="G2945" s="400" t="inlineStr">
        <is>
          <t>KG</t>
        </is>
      </c>
      <c r="H2945" s="402" t="n"/>
      <c r="J2945" s="392">
        <f>IFERROR(UPPER(TRIM(B2945))&amp;"|"&amp;UPPER(TRIM(C2945))&amp;"|"&amp;UPPER(TRIM(D2945)),"")</f>
        <v/>
      </c>
    </row>
    <row r="2946" ht="15.75" customHeight="1" s="217">
      <c r="A2946" s="397" t="n">
        <v>2944</v>
      </c>
      <c r="B2946" s="397" t="inlineStr">
        <is>
          <t>KH0811</t>
        </is>
      </c>
      <c r="C2946" s="398" t="inlineStr">
        <is>
          <t>Anh Hiếu - Cần Đước, Long An / 0903.761.722</t>
        </is>
      </c>
      <c r="D2946" s="397" t="inlineStr">
        <is>
          <t>0903.761.722</t>
        </is>
      </c>
      <c r="E2946" s="399" t="n"/>
      <c r="F2946" s="398" t="inlineStr">
        <is>
          <t>Cần Đước, Long An</t>
        </is>
      </c>
      <c r="G2946" s="397" t="inlineStr">
        <is>
          <t>LA</t>
        </is>
      </c>
      <c r="H2946" s="399" t="n"/>
      <c r="J2946" s="392">
        <f>IFERROR(UPPER(TRIM(B2946))&amp;"|"&amp;UPPER(TRIM(C2946))&amp;"|"&amp;UPPER(TRIM(D2946)),"")</f>
        <v/>
      </c>
    </row>
    <row r="2947" ht="15.75" customHeight="1" s="217">
      <c r="A2947" s="400" t="n">
        <v>2945</v>
      </c>
      <c r="B2947" s="400" t="inlineStr">
        <is>
          <t>KH0812</t>
        </is>
      </c>
      <c r="C2947" s="401" t="inlineStr">
        <is>
          <t>Anh Tám - SG / 0908.667.856</t>
        </is>
      </c>
      <c r="D2947" s="400" t="inlineStr">
        <is>
          <t>0908.667.856</t>
        </is>
      </c>
      <c r="E2947" s="402" t="n"/>
      <c r="F2947" s="401" t="inlineStr">
        <is>
          <t>SG</t>
        </is>
      </c>
      <c r="G2947" s="400" t="inlineStr">
        <is>
          <t>SG/HCM</t>
        </is>
      </c>
      <c r="H2947" s="402" t="n"/>
      <c r="J2947" s="392">
        <f>IFERROR(UPPER(TRIM(B2947))&amp;"|"&amp;UPPER(TRIM(C2947))&amp;"|"&amp;UPPER(TRIM(D2947)),"")</f>
        <v/>
      </c>
    </row>
    <row r="2948" ht="15.75" customHeight="1" s="217">
      <c r="A2948" s="397" t="n">
        <v>2946</v>
      </c>
      <c r="B2948" s="397" t="inlineStr">
        <is>
          <t>KH0806</t>
        </is>
      </c>
      <c r="C2948" s="398" t="inlineStr">
        <is>
          <t>Anh Vinh - SG / 0913.915.759</t>
        </is>
      </c>
      <c r="D2948" s="397" t="inlineStr">
        <is>
          <t>0913.915.759</t>
        </is>
      </c>
      <c r="E2948" s="399" t="n"/>
      <c r="F2948" s="398" t="inlineStr">
        <is>
          <t>D3, Quận Bình Thạnh, SG</t>
        </is>
      </c>
      <c r="G2948" s="397" t="inlineStr">
        <is>
          <t>SG/HCM</t>
        </is>
      </c>
      <c r="H2948" s="399" t="n"/>
      <c r="J2948" s="392">
        <f>IFERROR(UPPER(TRIM(B2948))&amp;"|"&amp;UPPER(TRIM(C2948))&amp;"|"&amp;UPPER(TRIM(D2948)),"")</f>
        <v/>
      </c>
    </row>
    <row r="2949" ht="15.75" customHeight="1" s="217">
      <c r="A2949" s="400" t="n">
        <v>2947</v>
      </c>
      <c r="B2949" s="400" t="inlineStr">
        <is>
          <t>KH0807</t>
        </is>
      </c>
      <c r="C2949" s="401" t="inlineStr">
        <is>
          <t>Anh Quân - Long An / 01999.127.127</t>
        </is>
      </c>
      <c r="D2949" s="400" t="inlineStr">
        <is>
          <t>01999.127.127</t>
        </is>
      </c>
      <c r="E2949" s="402" t="n"/>
      <c r="F2949" s="401" t="inlineStr">
        <is>
          <t>Bến Lức, Long An</t>
        </is>
      </c>
      <c r="G2949" s="400" t="inlineStr">
        <is>
          <t>LA</t>
        </is>
      </c>
      <c r="H2949" s="402" t="n"/>
      <c r="J2949" s="392">
        <f>IFERROR(UPPER(TRIM(B2949))&amp;"|"&amp;UPPER(TRIM(C2949))&amp;"|"&amp;UPPER(TRIM(D2949)),"")</f>
        <v/>
      </c>
    </row>
    <row r="2950" ht="15.75" customHeight="1" s="217">
      <c r="A2950" s="397" t="n">
        <v>2948</v>
      </c>
      <c r="B2950" s="397" t="inlineStr">
        <is>
          <t>KH0805</t>
        </is>
      </c>
      <c r="C2950" s="398" t="inlineStr">
        <is>
          <t>Anh út, Tây Ninh / 0908.756.496</t>
        </is>
      </c>
      <c r="D2950" s="397" t="inlineStr">
        <is>
          <t>0908.756.496</t>
        </is>
      </c>
      <c r="E2950" s="399" t="n"/>
      <c r="F2950" s="398" t="inlineStr">
        <is>
          <t>Tây Ninh</t>
        </is>
      </c>
      <c r="G2950" s="397" t="inlineStr">
        <is>
          <t>TNINH</t>
        </is>
      </c>
      <c r="H2950" s="399" t="n"/>
      <c r="J2950" s="392">
        <f>IFERROR(UPPER(TRIM(B2950))&amp;"|"&amp;UPPER(TRIM(C2950))&amp;"|"&amp;UPPER(TRIM(D2950)),"")</f>
        <v/>
      </c>
    </row>
    <row r="2951" ht="15.75" customHeight="1" s="217">
      <c r="A2951" s="400" t="n">
        <v>2949</v>
      </c>
      <c r="B2951" s="400" t="inlineStr">
        <is>
          <t>KH0803</t>
        </is>
      </c>
      <c r="C2951" s="401" t="inlineStr">
        <is>
          <t>Anh Việt - Bảo Lộc / 0986.927.479</t>
        </is>
      </c>
      <c r="D2951" s="400" t="inlineStr">
        <is>
          <t>0986.927.479</t>
        </is>
      </c>
      <c r="E2951" s="402" t="n"/>
      <c r="F2951" s="401" t="inlineStr">
        <is>
          <t>Bảo Lộc, Lâm Đồng</t>
        </is>
      </c>
      <c r="G2951" s="400" t="inlineStr">
        <is>
          <t>LDONG</t>
        </is>
      </c>
      <c r="H2951" s="402" t="n"/>
      <c r="J2951" s="392">
        <f>IFERROR(UPPER(TRIM(B2951))&amp;"|"&amp;UPPER(TRIM(C2951))&amp;"|"&amp;UPPER(TRIM(D2951)),"")</f>
        <v/>
      </c>
    </row>
    <row r="2952" ht="15.75" customHeight="1" s="217">
      <c r="A2952" s="397" t="n">
        <v>2950</v>
      </c>
      <c r="B2952" s="397" t="inlineStr">
        <is>
          <t>KH0804</t>
        </is>
      </c>
      <c r="C2952" s="398" t="inlineStr">
        <is>
          <t>Anh Trì - Quảng Nam/ 0988.617.458</t>
        </is>
      </c>
      <c r="D2952" s="397" t="inlineStr">
        <is>
          <t>0988.617.458</t>
        </is>
      </c>
      <c r="E2952" s="399" t="n"/>
      <c r="F2952" s="398" t="inlineStr">
        <is>
          <t>Quảng Nam</t>
        </is>
      </c>
      <c r="G2952" s="397" t="inlineStr">
        <is>
          <t>QNAM</t>
        </is>
      </c>
      <c r="H2952" s="399" t="n"/>
      <c r="J2952" s="392">
        <f>IFERROR(UPPER(TRIM(B2952))&amp;"|"&amp;UPPER(TRIM(C2952))&amp;"|"&amp;UPPER(TRIM(D2952)),"")</f>
        <v/>
      </c>
    </row>
    <row r="2953" ht="15.75" customHeight="1" s="217">
      <c r="A2953" s="400" t="n">
        <v>2951</v>
      </c>
      <c r="B2953" s="400" t="inlineStr">
        <is>
          <t>KH0802</t>
        </is>
      </c>
      <c r="C2953" s="401" t="inlineStr">
        <is>
          <t>Cửa hàng Vĩnh Thành - Bình Thuận / 0939.288.688 - Fax : 0623.655.216</t>
        </is>
      </c>
      <c r="D2953" s="400" t="inlineStr">
        <is>
          <t>0623.655.216 / 0939.288.688</t>
        </is>
      </c>
      <c r="E2953" s="402" t="n"/>
      <c r="F2953" s="401" t="inlineStr">
        <is>
          <t>Bình Thuận</t>
        </is>
      </c>
      <c r="G2953" s="400" t="inlineStr">
        <is>
          <t>BTHUAN</t>
        </is>
      </c>
      <c r="H2953" s="402" t="n"/>
      <c r="J2953" s="392">
        <f>IFERROR(UPPER(TRIM(B2953))&amp;"|"&amp;UPPER(TRIM(C2953))&amp;"|"&amp;UPPER(TRIM(D2953)),"")</f>
        <v/>
      </c>
    </row>
    <row r="2954" ht="15.75" customHeight="1" s="217">
      <c r="A2954" s="397" t="n">
        <v>2952</v>
      </c>
      <c r="B2954" s="397" t="inlineStr">
        <is>
          <t>KH0800</t>
        </is>
      </c>
      <c r="C2954" s="398" t="inlineStr">
        <is>
          <t>Anh Long - Lâm Hà, Lâm Đồng / 0989.190.272</t>
        </is>
      </c>
      <c r="D2954" s="397" t="inlineStr">
        <is>
          <t>0989.190.272</t>
        </is>
      </c>
      <c r="E2954" s="399" t="n"/>
      <c r="F2954" s="398" t="inlineStr">
        <is>
          <t>Lâm Hà, Lâm Đồng</t>
        </is>
      </c>
      <c r="G2954" s="397" t="inlineStr">
        <is>
          <t>LDONG</t>
        </is>
      </c>
      <c r="H2954" s="399" t="n"/>
      <c r="J2954" s="392">
        <f>IFERROR(UPPER(TRIM(B2954))&amp;"|"&amp;UPPER(TRIM(C2954))&amp;"|"&amp;UPPER(TRIM(D2954)),"")</f>
        <v/>
      </c>
    </row>
    <row r="2955" ht="15.75" customHeight="1" s="217">
      <c r="A2955" s="400" t="n">
        <v>2953</v>
      </c>
      <c r="B2955" s="400" t="inlineStr">
        <is>
          <t>KH0801</t>
        </is>
      </c>
      <c r="C2955" s="401" t="inlineStr">
        <is>
          <t>Anh Phi - An Giang(T)/ 0913.847.308</t>
        </is>
      </c>
      <c r="D2955" s="400" t="inlineStr">
        <is>
          <t>0913.847.308</t>
        </is>
      </c>
      <c r="E2955" s="402" t="n"/>
      <c r="F2955" s="401" t="inlineStr">
        <is>
          <t>An Giang</t>
        </is>
      </c>
      <c r="G2955" s="400" t="inlineStr">
        <is>
          <t>ANGIANG</t>
        </is>
      </c>
      <c r="H2955" s="402" t="n"/>
      <c r="J2955" s="392">
        <f>IFERROR(UPPER(TRIM(B2955))&amp;"|"&amp;UPPER(TRIM(C2955))&amp;"|"&amp;UPPER(TRIM(D2955)),"")</f>
        <v/>
      </c>
    </row>
    <row r="2956" ht="15.75" customHeight="1" s="217">
      <c r="A2956" s="397" t="n">
        <v>2954</v>
      </c>
      <c r="B2956" s="397" t="inlineStr">
        <is>
          <t>KH0794</t>
        </is>
      </c>
      <c r="C2956" s="398" t="inlineStr">
        <is>
          <t>Bãi máy Lâm Chen - Bình Chánh/ 0913.729.919</t>
        </is>
      </c>
      <c r="D2956" s="397" t="inlineStr">
        <is>
          <t>0913.729.919</t>
        </is>
      </c>
      <c r="E2956" s="399" t="n"/>
      <c r="F2956" s="398" t="inlineStr">
        <is>
          <t>QL1A Bình Chánh (gần Chí Thông), SG</t>
        </is>
      </c>
      <c r="G2956" s="397" t="inlineStr">
        <is>
          <t>SG/HCM</t>
        </is>
      </c>
      <c r="H2956" s="399" t="n"/>
      <c r="J2956" s="392">
        <f>IFERROR(UPPER(TRIM(B2956))&amp;"|"&amp;UPPER(TRIM(C2956))&amp;"|"&amp;UPPER(TRIM(D2956)),"")</f>
        <v/>
      </c>
    </row>
    <row r="2957" ht="15.75" customHeight="1" s="217">
      <c r="A2957" s="400" t="n">
        <v>2955</v>
      </c>
      <c r="B2957" s="400" t="inlineStr">
        <is>
          <t>KH0795</t>
        </is>
      </c>
      <c r="C2957" s="401" t="inlineStr">
        <is>
          <t>Bãi máy Hưng Thọ - SG/ 0912.979.239</t>
        </is>
      </c>
      <c r="D2957" s="400" t="inlineStr">
        <is>
          <t>0912.979.239</t>
        </is>
      </c>
      <c r="E2957" s="402" t="n"/>
      <c r="F2957" s="401" t="inlineStr">
        <is>
          <t>SG</t>
        </is>
      </c>
      <c r="G2957" s="400" t="inlineStr">
        <is>
          <t>SG/HCM</t>
        </is>
      </c>
      <c r="H2957" s="402" t="n"/>
      <c r="J2957" s="392">
        <f>IFERROR(UPPER(TRIM(B2957))&amp;"|"&amp;UPPER(TRIM(C2957))&amp;"|"&amp;UPPER(TRIM(D2957)),"")</f>
        <v/>
      </c>
    </row>
    <row r="2958" ht="15.75" customHeight="1" s="217">
      <c r="A2958" s="397" t="n">
        <v>2956</v>
      </c>
      <c r="B2958" s="397" t="inlineStr">
        <is>
          <t>KH0796</t>
        </is>
      </c>
      <c r="C2958" s="398" t="inlineStr">
        <is>
          <t>Chú Tín - BRVT / 0913.949.399</t>
        </is>
      </c>
      <c r="D2958" s="397" t="inlineStr">
        <is>
          <t>0913.949.399</t>
        </is>
      </c>
      <c r="E2958" s="399" t="n"/>
      <c r="F2958" s="398" t="inlineStr">
        <is>
          <t>Bà Rịa Vũng Tàu</t>
        </is>
      </c>
      <c r="G2958" s="397" t="inlineStr">
        <is>
          <t>BRVT</t>
        </is>
      </c>
      <c r="H2958" s="399" t="n"/>
      <c r="J2958" s="392">
        <f>IFERROR(UPPER(TRIM(B2958))&amp;"|"&amp;UPPER(TRIM(C2958))&amp;"|"&amp;UPPER(TRIM(D2958)),"")</f>
        <v/>
      </c>
    </row>
    <row r="2959" ht="15.75" customHeight="1" s="217">
      <c r="A2959" s="400" t="n">
        <v>2957</v>
      </c>
      <c r="B2959" s="400" t="inlineStr">
        <is>
          <t>KH0797</t>
        </is>
      </c>
      <c r="C2959" s="401" t="inlineStr">
        <is>
          <t>Anh Hải - SG/ 0918.706.429</t>
        </is>
      </c>
      <c r="D2959" s="400" t="inlineStr">
        <is>
          <t>0918.706.429</t>
        </is>
      </c>
      <c r="E2959" s="402" t="n"/>
      <c r="F2959" s="401" t="inlineStr">
        <is>
          <t>Gần BM Châu Sáng, SG</t>
        </is>
      </c>
      <c r="G2959" s="400" t="inlineStr">
        <is>
          <t>SG/HCM</t>
        </is>
      </c>
      <c r="H2959" s="402" t="n"/>
      <c r="J2959" s="392">
        <f>IFERROR(UPPER(TRIM(B2959))&amp;"|"&amp;UPPER(TRIM(C2959))&amp;"|"&amp;UPPER(TRIM(D2959)),"")</f>
        <v/>
      </c>
    </row>
    <row r="2960" ht="15.75" customHeight="1" s="217">
      <c r="A2960" s="397" t="n">
        <v>2958</v>
      </c>
      <c r="B2960" s="397" t="inlineStr">
        <is>
          <t>KH0798</t>
        </is>
      </c>
      <c r="C2960" s="398" t="inlineStr">
        <is>
          <t>Anh Phát - Quảng Ngãi / 0918.486.995</t>
        </is>
      </c>
      <c r="D2960" s="397" t="inlineStr">
        <is>
          <t>0918.486.995</t>
        </is>
      </c>
      <c r="E2960" s="399" t="n"/>
      <c r="F2960" s="398" t="inlineStr">
        <is>
          <t>Quảng Ngãi</t>
        </is>
      </c>
      <c r="G2960" s="397" t="inlineStr">
        <is>
          <t>QUNGAI</t>
        </is>
      </c>
      <c r="H2960" s="399" t="n"/>
      <c r="J2960" s="392">
        <f>IFERROR(UPPER(TRIM(B2960))&amp;"|"&amp;UPPER(TRIM(C2960))&amp;"|"&amp;UPPER(TRIM(D2960)),"")</f>
        <v/>
      </c>
    </row>
    <row r="2961" ht="15.75" customHeight="1" s="217">
      <c r="A2961" s="400" t="n">
        <v>2959</v>
      </c>
      <c r="B2961" s="400" t="inlineStr">
        <is>
          <t>KH0799</t>
        </is>
      </c>
      <c r="C2961" s="401" t="inlineStr">
        <is>
          <t>Công ty CP ECON TECH/ A.Duy: 0988.744.816</t>
        </is>
      </c>
      <c r="D2961" s="400" t="inlineStr">
        <is>
          <t>0988.744.816</t>
        </is>
      </c>
      <c r="E2961" s="402" t="n"/>
      <c r="F2961" s="401" t="inlineStr">
        <is>
          <t>1206/27 Quang Trung, P14, Q.Gò Vấp, TPHCM</t>
        </is>
      </c>
      <c r="G2961" s="400" t="inlineStr">
        <is>
          <t>SG/HCM</t>
        </is>
      </c>
      <c r="H2961" s="402" t="n"/>
      <c r="J2961" s="392">
        <f>IFERROR(UPPER(TRIM(B2961))&amp;"|"&amp;UPPER(TRIM(C2961))&amp;"|"&amp;UPPER(TRIM(D2961)),"")</f>
        <v/>
      </c>
    </row>
    <row r="2962" ht="15.75" customHeight="1" s="217">
      <c r="A2962" s="397" t="n">
        <v>2960</v>
      </c>
      <c r="B2962" s="397" t="inlineStr">
        <is>
          <t>KH0791</t>
        </is>
      </c>
      <c r="C2962" s="398" t="inlineStr">
        <is>
          <t>Anh Bình - Long An / 0908.464.437</t>
        </is>
      </c>
      <c r="D2962" s="397" t="inlineStr">
        <is>
          <t>0908.464.437</t>
        </is>
      </c>
      <c r="E2962" s="399" t="n"/>
      <c r="F2962" s="398" t="inlineStr">
        <is>
          <t>Đức Hòa, Long An</t>
        </is>
      </c>
      <c r="G2962" s="397" t="inlineStr">
        <is>
          <t>LA</t>
        </is>
      </c>
      <c r="H2962" s="399" t="n"/>
      <c r="J2962" s="392">
        <f>IFERROR(UPPER(TRIM(B2962))&amp;"|"&amp;UPPER(TRIM(C2962))&amp;"|"&amp;UPPER(TRIM(D2962)),"")</f>
        <v/>
      </c>
    </row>
    <row r="2963" ht="15.75" customHeight="1" s="217">
      <c r="A2963" s="400" t="n">
        <v>2961</v>
      </c>
      <c r="B2963" s="400" t="inlineStr">
        <is>
          <t>KH0792</t>
        </is>
      </c>
      <c r="C2963" s="401" t="inlineStr">
        <is>
          <t>Anh Hưởng - Long An / 0919.222.633</t>
        </is>
      </c>
      <c r="D2963" s="400" t="inlineStr">
        <is>
          <t>0919.222.633</t>
        </is>
      </c>
      <c r="E2963" s="402" t="n"/>
      <c r="F2963" s="401" t="inlineStr">
        <is>
          <t>Long An</t>
        </is>
      </c>
      <c r="G2963" s="400" t="inlineStr">
        <is>
          <t>LA</t>
        </is>
      </c>
      <c r="H2963" s="402" t="n"/>
      <c r="J2963" s="392">
        <f>IFERROR(UPPER(TRIM(B2963))&amp;"|"&amp;UPPER(TRIM(C2963))&amp;"|"&amp;UPPER(TRIM(D2963)),"")</f>
        <v/>
      </c>
    </row>
    <row r="2964" ht="15.75" customHeight="1" s="217">
      <c r="A2964" s="397" t="n">
        <v>2962</v>
      </c>
      <c r="B2964" s="397" t="inlineStr">
        <is>
          <t>KH0793</t>
        </is>
      </c>
      <c r="C2964" s="398" t="inlineStr">
        <is>
          <t>Bãi Máy Dư Sen - Thủ Đức / 0919.225.744</t>
        </is>
      </c>
      <c r="D2964" s="397" t="inlineStr">
        <is>
          <t>0919.225.744</t>
        </is>
      </c>
      <c r="E2964" s="399" t="n"/>
      <c r="F2964" s="398" t="inlineStr">
        <is>
          <t>Quốc Lộ 1A, đối diện Sam Sung Thủ Đức</t>
        </is>
      </c>
      <c r="G2964" s="397" t="inlineStr">
        <is>
          <t>SG/HCM</t>
        </is>
      </c>
      <c r="H2964" s="399" t="n"/>
      <c r="J2964" s="392">
        <f>IFERROR(UPPER(TRIM(B2964))&amp;"|"&amp;UPPER(TRIM(C2964))&amp;"|"&amp;UPPER(TRIM(D2964)),"")</f>
        <v/>
      </c>
    </row>
    <row r="2965" ht="15.75" customHeight="1" s="217">
      <c r="A2965" s="400" t="n">
        <v>2963</v>
      </c>
      <c r="B2965" s="400" t="inlineStr">
        <is>
          <t>KH0790</t>
        </is>
      </c>
      <c r="C2965" s="401" t="inlineStr">
        <is>
          <t>Anh Lợi -  Bến Lức,Long An / 0983.182.456</t>
        </is>
      </c>
      <c r="D2965" s="400" t="inlineStr">
        <is>
          <t>0983.182.456</t>
        </is>
      </c>
      <c r="E2965" s="402" t="n"/>
      <c r="F2965" s="401" t="inlineStr">
        <is>
          <t>Bến Lức, Long An</t>
        </is>
      </c>
      <c r="G2965" s="400" t="inlineStr">
        <is>
          <t>LA</t>
        </is>
      </c>
      <c r="H2965" s="402" t="n"/>
      <c r="J2965" s="392">
        <f>IFERROR(UPPER(TRIM(B2965))&amp;"|"&amp;UPPER(TRIM(C2965))&amp;"|"&amp;UPPER(TRIM(D2965)),"")</f>
        <v/>
      </c>
    </row>
    <row r="2966" ht="15.75" customHeight="1" s="217">
      <c r="A2966" s="397" t="n">
        <v>2964</v>
      </c>
      <c r="B2966" s="397" t="inlineStr">
        <is>
          <t>KH0789</t>
        </is>
      </c>
      <c r="C2966" s="398" t="inlineStr">
        <is>
          <t>Anh Hải - Kiên Giang / 0946.849.000</t>
        </is>
      </c>
      <c r="D2966" s="397" t="inlineStr">
        <is>
          <t>0946.849.000</t>
        </is>
      </c>
      <c r="E2966" s="399" t="n"/>
      <c r="F2966" s="398" t="inlineStr">
        <is>
          <t>Hà Tiên, Kiên Giang</t>
        </is>
      </c>
      <c r="G2966" s="397" t="inlineStr">
        <is>
          <t>KG</t>
        </is>
      </c>
      <c r="H2966" s="399" t="n"/>
      <c r="J2966" s="392">
        <f>IFERROR(UPPER(TRIM(B2966))&amp;"|"&amp;UPPER(TRIM(C2966))&amp;"|"&amp;UPPER(TRIM(D2966)),"")</f>
        <v/>
      </c>
    </row>
    <row r="2967" ht="15.75" customHeight="1" s="217">
      <c r="A2967" s="400" t="n">
        <v>2965</v>
      </c>
      <c r="B2967" s="400" t="inlineStr">
        <is>
          <t>KH0788</t>
        </is>
      </c>
      <c r="C2967" s="401" t="inlineStr">
        <is>
          <t>Cửa hàng anh Huy - Phan Rang/ 0918.693.539</t>
        </is>
      </c>
      <c r="D2967" s="400" t="inlineStr">
        <is>
          <t>0918.693.539</t>
        </is>
      </c>
      <c r="E2967" s="402" t="n"/>
      <c r="F2967" s="401" t="inlineStr">
        <is>
          <t>QL1A Ngã 3 Tân Hội, xã Thành Hải, TP Phan Rang Tháp Chàm, Ninh Thuận</t>
        </is>
      </c>
      <c r="G2967" s="400" t="inlineStr">
        <is>
          <t>NTHUAN</t>
        </is>
      </c>
      <c r="H2967" s="402" t="n"/>
      <c r="J2967" s="392">
        <f>IFERROR(UPPER(TRIM(B2967))&amp;"|"&amp;UPPER(TRIM(C2967))&amp;"|"&amp;UPPER(TRIM(D2967)),"")</f>
        <v/>
      </c>
    </row>
    <row r="2968" ht="15.75" customHeight="1" s="217">
      <c r="A2968" s="397" t="n">
        <v>2966</v>
      </c>
      <c r="B2968" s="397" t="inlineStr">
        <is>
          <t>KH0787</t>
        </is>
      </c>
      <c r="C2968" s="398" t="inlineStr">
        <is>
          <t>Xưởng anh Tý Lớn - Long An / 0933.689.448</t>
        </is>
      </c>
      <c r="D2968" s="397" t="inlineStr">
        <is>
          <t>0933.689.448</t>
        </is>
      </c>
      <c r="E2968" s="399" t="n"/>
      <c r="F2968" s="398" t="inlineStr">
        <is>
          <t>Cầu Bến Lức, QL1A, Thị Trấn Bến Lức, Long An</t>
        </is>
      </c>
      <c r="G2968" s="397" t="inlineStr">
        <is>
          <t>LA</t>
        </is>
      </c>
      <c r="H2968" s="399" t="n"/>
      <c r="J2968" s="392">
        <f>IFERROR(UPPER(TRIM(B2968))&amp;"|"&amp;UPPER(TRIM(C2968))&amp;"|"&amp;UPPER(TRIM(D2968)),"")</f>
        <v/>
      </c>
    </row>
    <row r="2969" ht="15.75" customHeight="1" s="217">
      <c r="A2969" s="400" t="n">
        <v>2967</v>
      </c>
      <c r="B2969" s="400" t="inlineStr">
        <is>
          <t>KH0786</t>
        </is>
      </c>
      <c r="C2969" s="401" t="inlineStr">
        <is>
          <t>Anh Cừ - Sài Gòn / 0908.990.856</t>
        </is>
      </c>
      <c r="D2969" s="400" t="inlineStr">
        <is>
          <t>0908.990.856</t>
        </is>
      </c>
      <c r="E2969" s="402" t="n"/>
      <c r="F2969" s="401" t="inlineStr">
        <is>
          <t>Sài Gòn</t>
        </is>
      </c>
      <c r="G2969" s="400" t="inlineStr">
        <is>
          <t>SG/HCM</t>
        </is>
      </c>
      <c r="H2969" s="402" t="n"/>
      <c r="J2969" s="392">
        <f>IFERROR(UPPER(TRIM(B2969))&amp;"|"&amp;UPPER(TRIM(C2969))&amp;"|"&amp;UPPER(TRIM(D2969)),"")</f>
        <v/>
      </c>
    </row>
    <row r="2970" ht="15.75" customHeight="1" s="217">
      <c r="A2970" s="397" t="n">
        <v>2968</v>
      </c>
      <c r="B2970" s="397" t="inlineStr">
        <is>
          <t>KH0785</t>
        </is>
      </c>
      <c r="C2970" s="398" t="inlineStr">
        <is>
          <t>Chú Linh (Cty TNHH TMXD Cầu Đường Linh Thuận) - Bình Phước / 0913.778.411 - CĐ: 065.136.661</t>
        </is>
      </c>
      <c r="D2970" s="397" t="inlineStr">
        <is>
          <t>065.136.661 / 0913.778.411</t>
        </is>
      </c>
      <c r="E2970" s="399" t="n"/>
      <c r="F2970" s="398" t="inlineStr">
        <is>
          <t>390 Đường Nguyễn Huệ, KP Phú Xuân, P.Phú Thịnh, TX Bình Long, Tỉnh Bình Phước</t>
        </is>
      </c>
      <c r="G2970" s="397" t="inlineStr">
        <is>
          <t>BP</t>
        </is>
      </c>
      <c r="H2970" s="399" t="n"/>
      <c r="J2970" s="392">
        <f>IFERROR(UPPER(TRIM(B2970))&amp;"|"&amp;UPPER(TRIM(C2970))&amp;"|"&amp;UPPER(TRIM(D2970)),"")</f>
        <v/>
      </c>
    </row>
    <row r="2971" ht="15.75" customHeight="1" s="217">
      <c r="A2971" s="400" t="n">
        <v>2969</v>
      </c>
      <c r="B2971" s="400" t="inlineStr">
        <is>
          <t>KH0780</t>
        </is>
      </c>
      <c r="C2971" s="401" t="inlineStr">
        <is>
          <t>Xưởng Hữu Minh Hòa - Dầu Tiếng / Anh Hữu - 01636.676.646</t>
        </is>
      </c>
      <c r="D2971" s="400" t="inlineStr">
        <is>
          <t>01636.676.646</t>
        </is>
      </c>
      <c r="E2971" s="402" t="n"/>
      <c r="F2971" s="401" t="inlineStr">
        <is>
          <t>Dầu Tiếng</t>
        </is>
      </c>
      <c r="G2971" s="400" t="inlineStr">
        <is>
          <t>BDUONG</t>
        </is>
      </c>
      <c r="H2971" s="402" t="n"/>
      <c r="J2971" s="392">
        <f>IFERROR(UPPER(TRIM(B2971))&amp;"|"&amp;UPPER(TRIM(C2971))&amp;"|"&amp;UPPER(TRIM(D2971)),"")</f>
        <v/>
      </c>
    </row>
    <row r="2972" ht="15.75" customHeight="1" s="217">
      <c r="A2972" s="397" t="n">
        <v>2970</v>
      </c>
      <c r="B2972" s="397" t="inlineStr">
        <is>
          <t>KH0781</t>
        </is>
      </c>
      <c r="C2972" s="398" t="inlineStr">
        <is>
          <t>Anh Khôi (Công ty TNHH Đầu tư Xây dựng Đức Độ) - SG/ 0913.772.869</t>
        </is>
      </c>
      <c r="D2972" s="397" t="inlineStr">
        <is>
          <t>0913.772.869</t>
        </is>
      </c>
      <c r="E2972" s="399" t="n"/>
      <c r="F2972" s="398" t="inlineStr">
        <is>
          <t>39 Giải Phóng, P4, Q.Tân Bình, TPHCM</t>
        </is>
      </c>
      <c r="G2972" s="397" t="inlineStr">
        <is>
          <t>SG/HCM</t>
        </is>
      </c>
      <c r="H2972" s="399" t="n"/>
      <c r="J2972" s="392">
        <f>IFERROR(UPPER(TRIM(B2972))&amp;"|"&amp;UPPER(TRIM(C2972))&amp;"|"&amp;UPPER(TRIM(D2972)),"")</f>
        <v/>
      </c>
    </row>
    <row r="2973" ht="15.75" customHeight="1" s="217">
      <c r="A2973" s="400" t="n">
        <v>2971</v>
      </c>
      <c r="B2973" s="400" t="inlineStr">
        <is>
          <t>KH0782</t>
        </is>
      </c>
      <c r="C2973" s="401" t="inlineStr">
        <is>
          <t>Anh Hoàng - Long Hải/ 0909.330.431</t>
        </is>
      </c>
      <c r="D2973" s="400" t="inlineStr">
        <is>
          <t>0909.330.431</t>
        </is>
      </c>
      <c r="E2973" s="402" t="n"/>
      <c r="F2973" s="401" t="inlineStr">
        <is>
          <t>Long Hải, Vũng Tàu</t>
        </is>
      </c>
      <c r="G2973" s="400" t="inlineStr">
        <is>
          <t>BRVT</t>
        </is>
      </c>
      <c r="H2973" s="402" t="n"/>
      <c r="J2973" s="392">
        <f>IFERROR(UPPER(TRIM(B2973))&amp;"|"&amp;UPPER(TRIM(C2973))&amp;"|"&amp;UPPER(TRIM(D2973)),"")</f>
        <v/>
      </c>
    </row>
    <row r="2974" ht="15.75" customHeight="1" s="217">
      <c r="A2974" s="397" t="n">
        <v>2972</v>
      </c>
      <c r="B2974" s="397" t="inlineStr">
        <is>
          <t>KH0783</t>
        </is>
      </c>
      <c r="C2974" s="398" t="inlineStr">
        <is>
          <t>Gara Hai Tồn - Đức Trọng / 0968.247.378</t>
        </is>
      </c>
      <c r="D2974" s="397" t="inlineStr">
        <is>
          <t>0968.247.378</t>
        </is>
      </c>
      <c r="E2974" s="399" t="n"/>
      <c r="F2974" s="398" t="inlineStr">
        <is>
          <t>Đức Trọng, Lâm Đồng</t>
        </is>
      </c>
      <c r="G2974" s="397" t="inlineStr">
        <is>
          <t>LDONG</t>
        </is>
      </c>
      <c r="H2974" s="399" t="n"/>
      <c r="J2974" s="392">
        <f>IFERROR(UPPER(TRIM(B2974))&amp;"|"&amp;UPPER(TRIM(C2974))&amp;"|"&amp;UPPER(TRIM(D2974)),"")</f>
        <v/>
      </c>
    </row>
    <row r="2975" ht="15.75" customHeight="1" s="217">
      <c r="A2975" s="400" t="n">
        <v>2973</v>
      </c>
      <c r="B2975" s="400" t="inlineStr">
        <is>
          <t>KH0784</t>
        </is>
      </c>
      <c r="C2975" s="401" t="inlineStr">
        <is>
          <t>Anh Duy - Đồng Tháp/ 0914.895.332 - 0984.628.730</t>
        </is>
      </c>
      <c r="D2975" s="400" t="inlineStr">
        <is>
          <t>0914.895.332 / 0984.628.730</t>
        </is>
      </c>
      <c r="E2975" s="402" t="n"/>
      <c r="F2975" s="401" t="inlineStr">
        <is>
          <t>Cao Lãnh, Đồng Tháp</t>
        </is>
      </c>
      <c r="G2975" s="400" t="inlineStr">
        <is>
          <t>DTHAP</t>
        </is>
      </c>
      <c r="H2975" s="402" t="n"/>
      <c r="J2975" s="392">
        <f>IFERROR(UPPER(TRIM(B2975))&amp;"|"&amp;UPPER(TRIM(C2975))&amp;"|"&amp;UPPER(TRIM(D2975)),"")</f>
        <v/>
      </c>
    </row>
    <row r="2976" ht="15.75" customHeight="1" s="217">
      <c r="A2976" s="397" t="n">
        <v>2974</v>
      </c>
      <c r="B2976" s="397" t="inlineStr">
        <is>
          <t>KH0778</t>
        </is>
      </c>
      <c r="C2976" s="398" t="inlineStr">
        <is>
          <t>Cửa Hàng Ngân Hải - Bình Chánh / 09603.929.410</t>
        </is>
      </c>
      <c r="D2976" s="397" t="inlineStr">
        <is>
          <t>09603.929.410</t>
        </is>
      </c>
      <c r="E2976" s="399" t="n"/>
      <c r="F2976" s="398" t="inlineStr">
        <is>
          <t>Gần Chợ Bình Chánh, QL1A, Hồ Chí Minh</t>
        </is>
      </c>
      <c r="G2976" s="397" t="inlineStr">
        <is>
          <t>SG/HCM</t>
        </is>
      </c>
      <c r="H2976" s="399" t="n"/>
      <c r="J2976" s="392">
        <f>IFERROR(UPPER(TRIM(B2976))&amp;"|"&amp;UPPER(TRIM(C2976))&amp;"|"&amp;UPPER(TRIM(D2976)),"")</f>
        <v/>
      </c>
    </row>
    <row r="2977" ht="15.75" customHeight="1" s="217">
      <c r="A2977" s="400" t="n">
        <v>2975</v>
      </c>
      <c r="B2977" s="400" t="inlineStr">
        <is>
          <t>KH0779</t>
        </is>
      </c>
      <c r="C2977" s="401" t="inlineStr">
        <is>
          <t>Anh Tuấn - Nha Trang/ 0913.454.782</t>
        </is>
      </c>
      <c r="D2977" s="400" t="inlineStr">
        <is>
          <t>0913.454.782</t>
        </is>
      </c>
      <c r="E2977" s="402" t="n"/>
      <c r="F2977" s="401" t="inlineStr">
        <is>
          <t>Nha Trang</t>
        </is>
      </c>
      <c r="G2977" s="400" t="inlineStr">
        <is>
          <t>NTRANG</t>
        </is>
      </c>
      <c r="H2977" s="402" t="n"/>
      <c r="J2977" s="392">
        <f>IFERROR(UPPER(TRIM(B2977))&amp;"|"&amp;UPPER(TRIM(C2977))&amp;"|"&amp;UPPER(TRIM(D2977)),"")</f>
        <v/>
      </c>
    </row>
    <row r="2978" ht="15.75" customHeight="1" s="217">
      <c r="A2978" s="397" t="n">
        <v>2976</v>
      </c>
      <c r="B2978" s="397" t="inlineStr">
        <is>
          <t>KH0776</t>
        </is>
      </c>
      <c r="C2978" s="398" t="inlineStr">
        <is>
          <t>Cửa hàng Đồng Phát - Đà Lạt / 0948.216.217</t>
        </is>
      </c>
      <c r="D2978" s="397" t="inlineStr">
        <is>
          <t>0948.216.217</t>
        </is>
      </c>
      <c r="E2978" s="399" t="n"/>
      <c r="F2978" s="398" t="inlineStr">
        <is>
          <t>96 Nguyễn Chí Thanh, Phường 1, Đà Lạt</t>
        </is>
      </c>
      <c r="G2978" s="397" t="inlineStr">
        <is>
          <t>LDONG</t>
        </is>
      </c>
      <c r="H2978" s="399" t="n"/>
      <c r="J2978" s="392">
        <f>IFERROR(UPPER(TRIM(B2978))&amp;"|"&amp;UPPER(TRIM(C2978))&amp;"|"&amp;UPPER(TRIM(D2978)),"")</f>
        <v/>
      </c>
    </row>
    <row r="2979" ht="15.75" customHeight="1" s="217">
      <c r="A2979" s="400" t="n">
        <v>2977</v>
      </c>
      <c r="B2979" s="400" t="inlineStr">
        <is>
          <t>KH0777</t>
        </is>
      </c>
      <c r="C2979" s="401" t="inlineStr">
        <is>
          <t>Anh Bình - Phan Thiết / 0982.442.121</t>
        </is>
      </c>
      <c r="D2979" s="400" t="inlineStr">
        <is>
          <t>0982.442.121</t>
        </is>
      </c>
      <c r="E2979" s="402" t="n"/>
      <c r="F2979" s="403" t="n"/>
      <c r="G2979" s="400" t="inlineStr">
        <is>
          <t>BTHUAN</t>
        </is>
      </c>
      <c r="H2979" s="402" t="n"/>
      <c r="J2979" s="392">
        <f>IFERROR(UPPER(TRIM(B2979))&amp;"|"&amp;UPPER(TRIM(C2979))&amp;"|"&amp;UPPER(TRIM(D2979)),"")</f>
        <v/>
      </c>
    </row>
    <row r="2980" ht="15.75" customHeight="1" s="217">
      <c r="A2980" s="397" t="n">
        <v>2978</v>
      </c>
      <c r="B2980" s="397" t="inlineStr">
        <is>
          <t>KH0775</t>
        </is>
      </c>
      <c r="C2980" s="398" t="inlineStr">
        <is>
          <t>Anh Lộc - Bình Tân / 0979.378.223</t>
        </is>
      </c>
      <c r="D2980" s="397" t="inlineStr">
        <is>
          <t>0979.378.223</t>
        </is>
      </c>
      <c r="E2980" s="399" t="n"/>
      <c r="F2980" s="398" t="inlineStr">
        <is>
          <t>Xa Lộ Đại Hàn, Q Bình Tân</t>
        </is>
      </c>
      <c r="G2980" s="397" t="inlineStr">
        <is>
          <t>SG/HCM</t>
        </is>
      </c>
      <c r="H2980" s="399" t="n"/>
      <c r="J2980" s="392">
        <f>IFERROR(UPPER(TRIM(B2980))&amp;"|"&amp;UPPER(TRIM(C2980))&amp;"|"&amp;UPPER(TRIM(D2980)),"")</f>
        <v/>
      </c>
    </row>
    <row r="2981" ht="15.75" customHeight="1" s="217">
      <c r="A2981" s="400" t="n">
        <v>2979</v>
      </c>
      <c r="B2981" s="400" t="inlineStr">
        <is>
          <t>KH0771</t>
        </is>
      </c>
      <c r="C2981" s="401" t="inlineStr">
        <is>
          <t>Bãi Máy Hữu Chơn - Long An / 0937.525.577</t>
        </is>
      </c>
      <c r="D2981" s="400" t="inlineStr">
        <is>
          <t>0937.525.577</t>
        </is>
      </c>
      <c r="E2981" s="402" t="n"/>
      <c r="F2981" s="401" t="inlineStr">
        <is>
          <t>289 QL1A, ấp Lá Voi, TT Bến Lức, Long An</t>
        </is>
      </c>
      <c r="G2981" s="400" t="inlineStr">
        <is>
          <t>LA</t>
        </is>
      </c>
      <c r="H2981" s="402" t="n"/>
      <c r="J2981" s="392">
        <f>IFERROR(UPPER(TRIM(B2981))&amp;"|"&amp;UPPER(TRIM(C2981))&amp;"|"&amp;UPPER(TRIM(D2981)),"")</f>
        <v/>
      </c>
    </row>
    <row r="2982" ht="15.75" customHeight="1" s="217">
      <c r="A2982" s="397" t="n">
        <v>2980</v>
      </c>
      <c r="B2982" s="397" t="inlineStr">
        <is>
          <t>KH0772</t>
        </is>
      </c>
      <c r="C2982" s="398" t="inlineStr">
        <is>
          <t>BM anh Phương - Bình Thạnh / 0928.788.688</t>
        </is>
      </c>
      <c r="D2982" s="397" t="inlineStr">
        <is>
          <t>0928.788.688</t>
        </is>
      </c>
      <c r="E2982" s="399" t="n"/>
      <c r="F2982" s="398" t="inlineStr">
        <is>
          <t>211 Nguyễn Xí, Bình Thạnh, SG</t>
        </is>
      </c>
      <c r="G2982" s="397" t="inlineStr">
        <is>
          <t>SG/HCM</t>
        </is>
      </c>
      <c r="H2982" s="399" t="n"/>
      <c r="J2982" s="392">
        <f>IFERROR(UPPER(TRIM(B2982))&amp;"|"&amp;UPPER(TRIM(C2982))&amp;"|"&amp;UPPER(TRIM(D2982)),"")</f>
        <v/>
      </c>
    </row>
    <row r="2983" ht="15.75" customHeight="1" s="217">
      <c r="A2983" s="400" t="n">
        <v>2981</v>
      </c>
      <c r="B2983" s="400" t="inlineStr">
        <is>
          <t>KH0773</t>
        </is>
      </c>
      <c r="C2983" s="401" t="inlineStr">
        <is>
          <t>Anh Phương - Long An/ 0937.707.843</t>
        </is>
      </c>
      <c r="D2983" s="400" t="inlineStr">
        <is>
          <t>0937.707.843</t>
        </is>
      </c>
      <c r="E2983" s="402" t="n"/>
      <c r="F2983" s="401" t="inlineStr">
        <is>
          <t>Cần Giuộc, Long An</t>
        </is>
      </c>
      <c r="G2983" s="400" t="inlineStr">
        <is>
          <t>LA</t>
        </is>
      </c>
      <c r="H2983" s="402" t="n"/>
      <c r="J2983" s="392">
        <f>IFERROR(UPPER(TRIM(B2983))&amp;"|"&amp;UPPER(TRIM(C2983))&amp;"|"&amp;UPPER(TRIM(D2983)),"")</f>
        <v/>
      </c>
    </row>
    <row r="2984" ht="15.75" customHeight="1" s="217">
      <c r="A2984" s="397" t="n">
        <v>2982</v>
      </c>
      <c r="B2984" s="397" t="inlineStr">
        <is>
          <t>KH0774</t>
        </is>
      </c>
      <c r="C2984" s="398" t="inlineStr">
        <is>
          <t>Anh Hùng (CN công ty CP Phú Tài) - Đắk nông/ 0988.159.711</t>
        </is>
      </c>
      <c r="D2984" s="397" t="inlineStr">
        <is>
          <t>0988.159.711</t>
        </is>
      </c>
      <c r="E2984" s="399" t="n"/>
      <c r="F2984" s="398" t="inlineStr">
        <is>
          <t>Đắk nông</t>
        </is>
      </c>
      <c r="G2984" s="397" t="inlineStr">
        <is>
          <t>DNONG</t>
        </is>
      </c>
      <c r="H2984" s="399" t="n"/>
      <c r="J2984" s="392">
        <f>IFERROR(UPPER(TRIM(B2984))&amp;"|"&amp;UPPER(TRIM(C2984))&amp;"|"&amp;UPPER(TRIM(D2984)),"")</f>
        <v/>
      </c>
    </row>
    <row r="2985" ht="15.75" customHeight="1" s="217">
      <c r="A2985" s="400" t="n">
        <v>2983</v>
      </c>
      <c r="B2985" s="400" t="inlineStr">
        <is>
          <t>KH0770</t>
        </is>
      </c>
      <c r="C2985" s="401" t="inlineStr">
        <is>
          <t>Anh Hiếu(T)- Công Ty Tấn Phúc, Bến Tre /0977.590.955</t>
        </is>
      </c>
      <c r="D2985" s="400" t="inlineStr">
        <is>
          <t>0977.590.955</t>
        </is>
      </c>
      <c r="E2985" s="402" t="n"/>
      <c r="F2985" s="401" t="inlineStr">
        <is>
          <t>116A, Đ.Trương Định, KP.Bình Khởi, P.6 TP.Bến Tre</t>
        </is>
      </c>
      <c r="G2985" s="400" t="inlineStr">
        <is>
          <t>BTRE</t>
        </is>
      </c>
      <c r="H2985" s="402" t="n"/>
      <c r="J2985" s="392">
        <f>IFERROR(UPPER(TRIM(B2985))&amp;"|"&amp;UPPER(TRIM(C2985))&amp;"|"&amp;UPPER(TRIM(D2985)),"")</f>
        <v/>
      </c>
    </row>
    <row r="2986" ht="15.75" customHeight="1" s="217">
      <c r="A2986" s="397" t="n">
        <v>2984</v>
      </c>
      <c r="B2986" s="397" t="inlineStr">
        <is>
          <t>KH0767</t>
        </is>
      </c>
      <c r="C2986" s="398" t="inlineStr">
        <is>
          <t>Anh Hiếu - Q9 / 0906.229.628</t>
        </is>
      </c>
      <c r="D2986" s="397" t="inlineStr">
        <is>
          <t>0906.229.628</t>
        </is>
      </c>
      <c r="E2986" s="399" t="n"/>
      <c r="F2986" s="398" t="inlineStr">
        <is>
          <t>Đỗ Xuân Hợp, Q9</t>
        </is>
      </c>
      <c r="G2986" s="397" t="inlineStr">
        <is>
          <t>SG/HCM</t>
        </is>
      </c>
      <c r="H2986" s="399" t="n"/>
      <c r="J2986" s="392">
        <f>IFERROR(UPPER(TRIM(B2986))&amp;"|"&amp;UPPER(TRIM(C2986))&amp;"|"&amp;UPPER(TRIM(D2986)),"")</f>
        <v/>
      </c>
    </row>
    <row r="2987" ht="15.75" customHeight="1" s="217">
      <c r="A2987" s="400" t="n">
        <v>2985</v>
      </c>
      <c r="B2987" s="400" t="inlineStr">
        <is>
          <t>KH0768</t>
        </is>
      </c>
      <c r="C2987" s="401" t="inlineStr">
        <is>
          <t>Anh Nam - Đồng Xoài / 0983.748.284</t>
        </is>
      </c>
      <c r="D2987" s="400" t="inlineStr">
        <is>
          <t>0983.748.284</t>
        </is>
      </c>
      <c r="E2987" s="402" t="n"/>
      <c r="F2987" s="401" t="inlineStr">
        <is>
          <t>Đỗng Xoài, Bình Phước</t>
        </is>
      </c>
      <c r="G2987" s="400" t="inlineStr">
        <is>
          <t>BP</t>
        </is>
      </c>
      <c r="H2987" s="402" t="n"/>
      <c r="J2987" s="392">
        <f>IFERROR(UPPER(TRIM(B2987))&amp;"|"&amp;UPPER(TRIM(C2987))&amp;"|"&amp;UPPER(TRIM(D2987)),"")</f>
        <v/>
      </c>
    </row>
    <row r="2988" ht="15.75" customHeight="1" s="217">
      <c r="A2988" s="397" t="n">
        <v>2986</v>
      </c>
      <c r="B2988" s="397" t="inlineStr">
        <is>
          <t>KH0769</t>
        </is>
      </c>
      <c r="C2988" s="398" t="inlineStr">
        <is>
          <t>Anh Cường - Long An / 0985.969.779 - 0911.613.434</t>
        </is>
      </c>
      <c r="D2988" s="397" t="inlineStr">
        <is>
          <t>0985.969.779 / 0911.613.434</t>
        </is>
      </c>
      <c r="E2988" s="399" t="n"/>
      <c r="F2988" s="398" t="inlineStr">
        <is>
          <t>Bến Lức, Long An</t>
        </is>
      </c>
      <c r="G2988" s="397" t="inlineStr">
        <is>
          <t>LA</t>
        </is>
      </c>
      <c r="H2988" s="399" t="n"/>
      <c r="J2988" s="392">
        <f>IFERROR(UPPER(TRIM(B2988))&amp;"|"&amp;UPPER(TRIM(C2988))&amp;"|"&amp;UPPER(TRIM(D2988)),"")</f>
        <v/>
      </c>
    </row>
    <row r="2989" ht="15.75" customHeight="1" s="217">
      <c r="A2989" s="400" t="n">
        <v>2987</v>
      </c>
      <c r="B2989" s="400" t="inlineStr">
        <is>
          <t>KH0765</t>
        </is>
      </c>
      <c r="C2989" s="401" t="inlineStr">
        <is>
          <t>Anh Phước - Bình Chánh/ 0903.168.564</t>
        </is>
      </c>
      <c r="D2989" s="400" t="inlineStr">
        <is>
          <t>0903.168.564</t>
        </is>
      </c>
      <c r="E2989" s="402" t="n"/>
      <c r="F2989" s="401" t="inlineStr">
        <is>
          <t>Bình Chánh, SG</t>
        </is>
      </c>
      <c r="G2989" s="400" t="inlineStr">
        <is>
          <t>SG/HCM</t>
        </is>
      </c>
      <c r="H2989" s="402" t="n"/>
      <c r="J2989" s="392">
        <f>IFERROR(UPPER(TRIM(B2989))&amp;"|"&amp;UPPER(TRIM(C2989))&amp;"|"&amp;UPPER(TRIM(D2989)),"")</f>
        <v/>
      </c>
    </row>
    <row r="2990" ht="15.75" customHeight="1" s="217">
      <c r="A2990" s="397" t="n">
        <v>2988</v>
      </c>
      <c r="B2990" s="397" t="inlineStr">
        <is>
          <t>KH0766</t>
        </is>
      </c>
      <c r="C2990" s="398" t="inlineStr">
        <is>
          <t>Anh Thoàn - Long An/ 0917.778.432</t>
        </is>
      </c>
      <c r="D2990" s="397" t="inlineStr">
        <is>
          <t>0917.778.432</t>
        </is>
      </c>
      <c r="E2990" s="399" t="n"/>
      <c r="F2990" s="398" t="inlineStr">
        <is>
          <t>Đức Hòa, Long An</t>
        </is>
      </c>
      <c r="G2990" s="397" t="inlineStr">
        <is>
          <t>LA</t>
        </is>
      </c>
      <c r="H2990" s="399" t="n"/>
      <c r="J2990" s="392">
        <f>IFERROR(UPPER(TRIM(B2990))&amp;"|"&amp;UPPER(TRIM(C2990))&amp;"|"&amp;UPPER(TRIM(D2990)),"")</f>
        <v/>
      </c>
    </row>
    <row r="2991" ht="15.75" customHeight="1" s="217">
      <c r="A2991" s="400" t="n">
        <v>2989</v>
      </c>
      <c r="B2991" s="400" t="inlineStr">
        <is>
          <t>KH0763</t>
        </is>
      </c>
      <c r="C2991" s="401" t="inlineStr">
        <is>
          <t>Xưởng anh Dự - SG/ 0918.458.267</t>
        </is>
      </c>
      <c r="D2991" s="400" t="inlineStr">
        <is>
          <t>0918.458.267</t>
        </is>
      </c>
      <c r="E2991" s="402" t="n"/>
      <c r="F2991" s="401" t="inlineStr">
        <is>
          <t>Ngã 4 BP, SG</t>
        </is>
      </c>
      <c r="G2991" s="400" t="inlineStr">
        <is>
          <t>SG/HCM</t>
        </is>
      </c>
      <c r="H2991" s="402" t="n"/>
      <c r="J2991" s="392">
        <f>IFERROR(UPPER(TRIM(B2991))&amp;"|"&amp;UPPER(TRIM(C2991))&amp;"|"&amp;UPPER(TRIM(D2991)),"")</f>
        <v/>
      </c>
    </row>
    <row r="2992" ht="15.75" customHeight="1" s="217">
      <c r="A2992" s="397" t="n">
        <v>2990</v>
      </c>
      <c r="B2992" s="397" t="inlineStr">
        <is>
          <t>KH0764</t>
        </is>
      </c>
      <c r="C2992" s="398" t="inlineStr">
        <is>
          <t>Anh Toại - SG/ 0987.447.458</t>
        </is>
      </c>
      <c r="D2992" s="397" t="inlineStr">
        <is>
          <t>0987.447.458</t>
        </is>
      </c>
      <c r="E2992" s="399" t="n"/>
      <c r="F2992" s="398" t="inlineStr">
        <is>
          <t>SG</t>
        </is>
      </c>
      <c r="G2992" s="397" t="inlineStr">
        <is>
          <t>SG/HCM</t>
        </is>
      </c>
      <c r="H2992" s="399" t="n"/>
      <c r="J2992" s="392">
        <f>IFERROR(UPPER(TRIM(B2992))&amp;"|"&amp;UPPER(TRIM(C2992))&amp;"|"&amp;UPPER(TRIM(D2992)),"")</f>
        <v/>
      </c>
    </row>
    <row r="2993" ht="15.75" customHeight="1" s="217">
      <c r="A2993" s="400" t="n">
        <v>2991</v>
      </c>
      <c r="B2993" s="400" t="inlineStr">
        <is>
          <t>MN32</t>
        </is>
      </c>
      <c r="C2993" s="401" t="inlineStr">
        <is>
          <t>Bạch Thái Nguyên</t>
        </is>
      </c>
      <c r="D2993" s="402" t="n"/>
      <c r="E2993" s="402" t="n"/>
      <c r="F2993" s="401" t="inlineStr">
        <is>
          <t>CTCP thiết Bị Cơ Giới Miền Nam</t>
        </is>
      </c>
      <c r="G2993" s="402" t="n"/>
      <c r="H2993" s="402" t="n"/>
      <c r="J2993" s="392">
        <f>IFERROR(UPPER(TRIM(B2993))&amp;"|"&amp;UPPER(TRIM(C2993))&amp;"|"&amp;UPPER(TRIM(D2993)),"")</f>
        <v/>
      </c>
    </row>
    <row r="2994" ht="15.75" customHeight="1" s="217">
      <c r="A2994" s="397" t="n">
        <v>2992</v>
      </c>
      <c r="B2994" s="397" t="inlineStr">
        <is>
          <t>KH0760</t>
        </is>
      </c>
      <c r="C2994" s="398" t="inlineStr">
        <is>
          <t>Xưởng Anh Trường - Earka Đăk Lăk / 01653.468.979</t>
        </is>
      </c>
      <c r="D2994" s="397" t="inlineStr">
        <is>
          <t>01653.468.979</t>
        </is>
      </c>
      <c r="E2994" s="399" t="n"/>
      <c r="F2994" s="398" t="inlineStr">
        <is>
          <t>Earka, Đăk Lăk</t>
        </is>
      </c>
      <c r="G2994" s="397" t="inlineStr">
        <is>
          <t>ÐL</t>
        </is>
      </c>
      <c r="H2994" s="399" t="n"/>
      <c r="J2994" s="392">
        <f>IFERROR(UPPER(TRIM(B2994))&amp;"|"&amp;UPPER(TRIM(C2994))&amp;"|"&amp;UPPER(TRIM(D2994)),"")</f>
        <v/>
      </c>
    </row>
    <row r="2995" ht="15.75" customHeight="1" s="217">
      <c r="A2995" s="400" t="n">
        <v>2993</v>
      </c>
      <c r="B2995" s="400" t="inlineStr">
        <is>
          <t>KH0761</t>
        </is>
      </c>
      <c r="C2995" s="401" t="inlineStr">
        <is>
          <t>Xưởng Trung Tiến - Kontum/ Anh Du - 0905.127.101</t>
        </is>
      </c>
      <c r="D2995" s="400" t="inlineStr">
        <is>
          <t>0905.127.101</t>
        </is>
      </c>
      <c r="E2995" s="402" t="n"/>
      <c r="F2995" s="401" t="inlineStr">
        <is>
          <t>Kontum</t>
        </is>
      </c>
      <c r="G2995" s="400" t="inlineStr">
        <is>
          <t>KTUM</t>
        </is>
      </c>
      <c r="H2995" s="402" t="n"/>
      <c r="J2995" s="392">
        <f>IFERROR(UPPER(TRIM(B2995))&amp;"|"&amp;UPPER(TRIM(C2995))&amp;"|"&amp;UPPER(TRIM(D2995)),"")</f>
        <v/>
      </c>
    </row>
    <row r="2996" ht="15.75" customHeight="1" s="217">
      <c r="A2996" s="397" t="n">
        <v>2994</v>
      </c>
      <c r="B2996" s="397" t="inlineStr">
        <is>
          <t>KH0762</t>
        </is>
      </c>
      <c r="C2996" s="398" t="inlineStr">
        <is>
          <t>Anh Bằng - Diên Khánh/ 0905.156.847</t>
        </is>
      </c>
      <c r="D2996" s="397" t="inlineStr">
        <is>
          <t>0905.156.847</t>
        </is>
      </c>
      <c r="E2996" s="399" t="n"/>
      <c r="F2996" s="398" t="inlineStr">
        <is>
          <t>Diên Khánh, Khánh Hòa</t>
        </is>
      </c>
      <c r="G2996" s="397" t="inlineStr">
        <is>
          <t>NTRANG</t>
        </is>
      </c>
      <c r="H2996" s="399" t="n"/>
      <c r="J2996" s="392">
        <f>IFERROR(UPPER(TRIM(B2996))&amp;"|"&amp;UPPER(TRIM(C2996))&amp;"|"&amp;UPPER(TRIM(D2996)),"")</f>
        <v/>
      </c>
    </row>
    <row r="2997" ht="15.75" customHeight="1" s="217">
      <c r="A2997" s="400" t="n">
        <v>2995</v>
      </c>
      <c r="B2997" s="400" t="inlineStr">
        <is>
          <t>KH0757</t>
        </is>
      </c>
      <c r="C2997" s="401" t="inlineStr">
        <is>
          <t>Anh Đông - Cty CP XD Một Năm Chín / 0938.082.494</t>
        </is>
      </c>
      <c r="D2997" s="400" t="inlineStr">
        <is>
          <t>0938.082.494</t>
        </is>
      </c>
      <c r="E2997" s="402" t="n"/>
      <c r="F2997" s="401" t="inlineStr">
        <is>
          <t>168/19 đường D2, P25, Q.Bình Thạnh, HCM</t>
        </is>
      </c>
      <c r="G2997" s="400" t="inlineStr">
        <is>
          <t>SG/HCM</t>
        </is>
      </c>
      <c r="H2997" s="402" t="n"/>
      <c r="J2997" s="392">
        <f>IFERROR(UPPER(TRIM(B2997))&amp;"|"&amp;UPPER(TRIM(C2997))&amp;"|"&amp;UPPER(TRIM(D2997)),"")</f>
        <v/>
      </c>
    </row>
    <row r="2998" ht="15.75" customHeight="1" s="217">
      <c r="A2998" s="397" t="n">
        <v>2996</v>
      </c>
      <c r="B2998" s="397" t="inlineStr">
        <is>
          <t>KH0758</t>
        </is>
      </c>
      <c r="C2998" s="398" t="inlineStr">
        <is>
          <t>Anh Vương - Long An/ 0918.700.508</t>
        </is>
      </c>
      <c r="D2998" s="397" t="inlineStr">
        <is>
          <t>0918.700.508</t>
        </is>
      </c>
      <c r="E2998" s="399" t="n"/>
      <c r="F2998" s="398" t="inlineStr">
        <is>
          <t>Long An</t>
        </is>
      </c>
      <c r="G2998" s="397" t="inlineStr">
        <is>
          <t>LA</t>
        </is>
      </c>
      <c r="H2998" s="399" t="n"/>
      <c r="J2998" s="392">
        <f>IFERROR(UPPER(TRIM(B2998))&amp;"|"&amp;UPPER(TRIM(C2998))&amp;"|"&amp;UPPER(TRIM(D2998)),"")</f>
        <v/>
      </c>
    </row>
    <row r="2999" ht="15.75" customHeight="1" s="217">
      <c r="A2999" s="400" t="n">
        <v>2997</v>
      </c>
      <c r="B2999" s="400" t="inlineStr">
        <is>
          <t>KH0759</t>
        </is>
      </c>
      <c r="C2999" s="401" t="inlineStr">
        <is>
          <t>Chú Tư - Long An/ 0917.113.766</t>
        </is>
      </c>
      <c r="D2999" s="400" t="inlineStr">
        <is>
          <t>0917.113.766</t>
        </is>
      </c>
      <c r="E2999" s="402" t="n"/>
      <c r="F2999" s="401" t="inlineStr">
        <is>
          <t>Đức Hòa, Đức Huệ, Long An</t>
        </is>
      </c>
      <c r="G2999" s="400" t="inlineStr">
        <is>
          <t>LA</t>
        </is>
      </c>
      <c r="H2999" s="402" t="n"/>
      <c r="J2999" s="392">
        <f>IFERROR(UPPER(TRIM(B2999))&amp;"|"&amp;UPPER(TRIM(C2999))&amp;"|"&amp;UPPER(TRIM(D2999)),"")</f>
        <v/>
      </c>
    </row>
    <row r="3000" ht="15.75" customHeight="1" s="217">
      <c r="A3000" s="397" t="n">
        <v>2998</v>
      </c>
      <c r="B3000" s="397" t="inlineStr">
        <is>
          <t>KH0755</t>
        </is>
      </c>
      <c r="C3000" s="398" t="inlineStr">
        <is>
          <t>Anh Tài - Vũng Tàu / 0982.860.199</t>
        </is>
      </c>
      <c r="D3000" s="397" t="inlineStr">
        <is>
          <t>0982.860.199</t>
        </is>
      </c>
      <c r="E3000" s="399" t="n"/>
      <c r="F3000" s="398" t="inlineStr">
        <is>
          <t>Vũng Tàu</t>
        </is>
      </c>
      <c r="G3000" s="397" t="inlineStr">
        <is>
          <t>BRVT</t>
        </is>
      </c>
      <c r="H3000" s="399" t="n"/>
      <c r="J3000" s="392">
        <f>IFERROR(UPPER(TRIM(B3000))&amp;"|"&amp;UPPER(TRIM(C3000))&amp;"|"&amp;UPPER(TRIM(D3000)),"")</f>
        <v/>
      </c>
    </row>
    <row r="3001" ht="15.75" customHeight="1" s="217">
      <c r="A3001" s="400" t="n">
        <v>2999</v>
      </c>
      <c r="B3001" s="400" t="inlineStr">
        <is>
          <t>KH0756</t>
        </is>
      </c>
      <c r="C3001" s="401" t="inlineStr">
        <is>
          <t>Anh Bé Năm - Vĩnh Long/ 0918.513.526</t>
        </is>
      </c>
      <c r="D3001" s="400" t="inlineStr">
        <is>
          <t>0918.513.526</t>
        </is>
      </c>
      <c r="E3001" s="402" t="n"/>
      <c r="F3001" s="401" t="inlineStr">
        <is>
          <t>Vĩnh Long</t>
        </is>
      </c>
      <c r="G3001" s="400" t="inlineStr">
        <is>
          <t>VĨNH LONG</t>
        </is>
      </c>
      <c r="H3001" s="402" t="n"/>
      <c r="J3001" s="392">
        <f>IFERROR(UPPER(TRIM(B3001))&amp;"|"&amp;UPPER(TRIM(C3001))&amp;"|"&amp;UPPER(TRIM(D3001)),"")</f>
        <v/>
      </c>
    </row>
    <row r="3002" ht="15.75" customHeight="1" s="217">
      <c r="A3002" s="397" t="n">
        <v>3000</v>
      </c>
      <c r="B3002" s="397" t="inlineStr">
        <is>
          <t>KH0754</t>
        </is>
      </c>
      <c r="C3002" s="398" t="inlineStr">
        <is>
          <t>Cửa hàng Thành Công - Rạch Sỏi/ Chú Chọn: 0918.565.626</t>
        </is>
      </c>
      <c r="D3002" s="397" t="inlineStr">
        <is>
          <t>0918.565.626</t>
        </is>
      </c>
      <c r="E3002" s="399" t="n"/>
      <c r="F3002" s="398" t="inlineStr">
        <is>
          <t>Số 549 QL61 ấp Vĩnh Thành B, Vĩnh Hòa HIệp, Châu Thành, Kiên Giang</t>
        </is>
      </c>
      <c r="G3002" s="397" t="inlineStr">
        <is>
          <t>KG</t>
        </is>
      </c>
      <c r="H3002" s="399" t="n"/>
      <c r="J3002" s="392">
        <f>IFERROR(UPPER(TRIM(B3002))&amp;"|"&amp;UPPER(TRIM(C3002))&amp;"|"&amp;UPPER(TRIM(D3002)),"")</f>
        <v/>
      </c>
    </row>
    <row r="3003" ht="15.75" customHeight="1" s="217">
      <c r="A3003" s="400" t="n">
        <v>3001</v>
      </c>
      <c r="B3003" s="400" t="inlineStr">
        <is>
          <t>KH0752</t>
        </is>
      </c>
      <c r="C3003" s="401" t="inlineStr">
        <is>
          <t>Anh Lúa - Nha Trang/ 0905.111.597 - 0935.553.259</t>
        </is>
      </c>
      <c r="D3003" s="400" t="inlineStr">
        <is>
          <t>0905.111.597 / 0935.553.259</t>
        </is>
      </c>
      <c r="E3003" s="402" t="n"/>
      <c r="F3003" s="401" t="inlineStr">
        <is>
          <t>Nha Trang</t>
        </is>
      </c>
      <c r="G3003" s="400" t="inlineStr">
        <is>
          <t>NTRANG</t>
        </is>
      </c>
      <c r="H3003" s="402" t="n"/>
      <c r="J3003" s="392">
        <f>IFERROR(UPPER(TRIM(B3003))&amp;"|"&amp;UPPER(TRIM(C3003))&amp;"|"&amp;UPPER(TRIM(D3003)),"")</f>
        <v/>
      </c>
    </row>
    <row r="3004" ht="15.75" customHeight="1" s="217">
      <c r="A3004" s="397" t="n">
        <v>3002</v>
      </c>
      <c r="B3004" s="397" t="inlineStr">
        <is>
          <t>KH0753</t>
        </is>
      </c>
      <c r="C3004" s="398" t="inlineStr">
        <is>
          <t>Xưởng anh Đông - ĐắkLắk/ 0982.217.779</t>
        </is>
      </c>
      <c r="D3004" s="397" t="inlineStr">
        <is>
          <t>0982.217.779</t>
        </is>
      </c>
      <c r="E3004" s="399" t="n"/>
      <c r="F3004" s="398" t="inlineStr">
        <is>
          <t>Đắk Lắk</t>
        </is>
      </c>
      <c r="G3004" s="397" t="inlineStr">
        <is>
          <t>ÐL</t>
        </is>
      </c>
      <c r="H3004" s="399" t="n"/>
      <c r="J3004" s="392">
        <f>IFERROR(UPPER(TRIM(B3004))&amp;"|"&amp;UPPER(TRIM(C3004))&amp;"|"&amp;UPPER(TRIM(D3004)),"")</f>
        <v/>
      </c>
    </row>
    <row r="3005" ht="15.75" customHeight="1" s="217">
      <c r="A3005" s="400" t="n">
        <v>3003</v>
      </c>
      <c r="B3005" s="400" t="inlineStr">
        <is>
          <t>KH0751</t>
        </is>
      </c>
      <c r="C3005" s="401" t="inlineStr">
        <is>
          <t>Anh Mười - Đà Nẵng / 0984.628.730</t>
        </is>
      </c>
      <c r="D3005" s="400" t="inlineStr">
        <is>
          <t>0984.628.730</t>
        </is>
      </c>
      <c r="E3005" s="402" t="n"/>
      <c r="F3005" s="401" t="inlineStr">
        <is>
          <t>Đà Nẵng</t>
        </is>
      </c>
      <c r="G3005" s="400" t="inlineStr">
        <is>
          <t>DNANG</t>
        </is>
      </c>
      <c r="H3005" s="402" t="n"/>
      <c r="J3005" s="392">
        <f>IFERROR(UPPER(TRIM(B3005))&amp;"|"&amp;UPPER(TRIM(C3005))&amp;"|"&amp;UPPER(TRIM(D3005)),"")</f>
        <v/>
      </c>
    </row>
    <row r="3006" ht="15.75" customHeight="1" s="217">
      <c r="A3006" s="397" t="n">
        <v>3004</v>
      </c>
      <c r="B3006" s="397" t="inlineStr">
        <is>
          <t>KH0749</t>
        </is>
      </c>
      <c r="C3006" s="398" t="inlineStr">
        <is>
          <t>Bãi Máy Việt Thắng - Chú Thắng Bình Chánh / 0938.111.999</t>
        </is>
      </c>
      <c r="D3006" s="397" t="inlineStr">
        <is>
          <t>0938.111.999</t>
        </is>
      </c>
      <c r="E3006" s="399" t="n"/>
      <c r="F3006" s="398" t="inlineStr">
        <is>
          <t>Bình Chánh, Sài Gòn</t>
        </is>
      </c>
      <c r="G3006" s="397" t="inlineStr">
        <is>
          <t>SG/HCM</t>
        </is>
      </c>
      <c r="H3006" s="399" t="n"/>
      <c r="J3006" s="392">
        <f>IFERROR(UPPER(TRIM(B3006))&amp;"|"&amp;UPPER(TRIM(C3006))&amp;"|"&amp;UPPER(TRIM(D3006)),"")</f>
        <v/>
      </c>
    </row>
    <row r="3007" ht="15.75" customHeight="1" s="217">
      <c r="A3007" s="400" t="n">
        <v>3005</v>
      </c>
      <c r="B3007" s="400" t="inlineStr">
        <is>
          <t>KH0750</t>
        </is>
      </c>
      <c r="C3007" s="401" t="inlineStr">
        <is>
          <t>Anh Quang - Thủ Đức/ 0907.427.539</t>
        </is>
      </c>
      <c r="D3007" s="400" t="inlineStr">
        <is>
          <t>0907.427.539</t>
        </is>
      </c>
      <c r="E3007" s="402" t="n"/>
      <c r="F3007" s="401" t="inlineStr">
        <is>
          <t>Thủ Đức - TP HCM</t>
        </is>
      </c>
      <c r="G3007" s="400" t="inlineStr">
        <is>
          <t>SG/HCM</t>
        </is>
      </c>
      <c r="H3007" s="402" t="n"/>
      <c r="J3007" s="392">
        <f>IFERROR(UPPER(TRIM(B3007))&amp;"|"&amp;UPPER(TRIM(C3007))&amp;"|"&amp;UPPER(TRIM(D3007)),"")</f>
        <v/>
      </c>
    </row>
    <row r="3008" ht="15.75" customHeight="1" s="217">
      <c r="A3008" s="397" t="n">
        <v>3006</v>
      </c>
      <c r="B3008" s="397" t="inlineStr">
        <is>
          <t>KH0747</t>
        </is>
      </c>
      <c r="C3008" s="398" t="inlineStr">
        <is>
          <t>Chú Linh - Dầu Tiếng / 0918.605.971</t>
        </is>
      </c>
      <c r="D3008" s="397" t="inlineStr">
        <is>
          <t>0918.605.971</t>
        </is>
      </c>
      <c r="E3008" s="399" t="n"/>
      <c r="F3008" s="398" t="inlineStr">
        <is>
          <t>Dầu Tiếng, Bình Phước</t>
        </is>
      </c>
      <c r="G3008" s="397" t="inlineStr">
        <is>
          <t>BP</t>
        </is>
      </c>
      <c r="H3008" s="399" t="n"/>
      <c r="J3008" s="392">
        <f>IFERROR(UPPER(TRIM(B3008))&amp;"|"&amp;UPPER(TRIM(C3008))&amp;"|"&amp;UPPER(TRIM(D3008)),"")</f>
        <v/>
      </c>
    </row>
    <row r="3009" ht="15.75" customHeight="1" s="217">
      <c r="A3009" s="400" t="n">
        <v>3007</v>
      </c>
      <c r="B3009" s="400" t="inlineStr">
        <is>
          <t>KH0748</t>
        </is>
      </c>
      <c r="C3009" s="401" t="inlineStr">
        <is>
          <t>Công ty TNHH Xây dựng Quang Tiền/ Anh Ghel: 0972.351.581</t>
        </is>
      </c>
      <c r="D3009" s="400" t="inlineStr">
        <is>
          <t>0972.351.581</t>
        </is>
      </c>
      <c r="E3009" s="402" t="n"/>
      <c r="F3009" s="401" t="inlineStr">
        <is>
          <t>138 Nguyễn Tất Thành, P8, TP Cà Mau</t>
        </is>
      </c>
      <c r="G3009" s="400" t="inlineStr">
        <is>
          <t>CMAU</t>
        </is>
      </c>
      <c r="H3009" s="402" t="n"/>
      <c r="J3009" s="392">
        <f>IFERROR(UPPER(TRIM(B3009))&amp;"|"&amp;UPPER(TRIM(C3009))&amp;"|"&amp;UPPER(TRIM(D3009)),"")</f>
        <v/>
      </c>
    </row>
    <row r="3010" ht="15.75" customHeight="1" s="217">
      <c r="A3010" s="397" t="n">
        <v>3008</v>
      </c>
      <c r="B3010" s="397" t="inlineStr">
        <is>
          <t>KH0745</t>
        </is>
      </c>
      <c r="C3010" s="398" t="inlineStr">
        <is>
          <t>Anh Nhơn - Bến Tre / 0913.786.072</t>
        </is>
      </c>
      <c r="D3010" s="397" t="inlineStr">
        <is>
          <t>0913.786.072</t>
        </is>
      </c>
      <c r="E3010" s="399" t="n"/>
      <c r="F3010" s="398" t="inlineStr">
        <is>
          <t>Ba Tri, Bến Tre</t>
        </is>
      </c>
      <c r="G3010" s="397" t="inlineStr">
        <is>
          <t>BTRE</t>
        </is>
      </c>
      <c r="H3010" s="399" t="n"/>
      <c r="J3010" s="392">
        <f>IFERROR(UPPER(TRIM(B3010))&amp;"|"&amp;UPPER(TRIM(C3010))&amp;"|"&amp;UPPER(TRIM(D3010)),"")</f>
        <v/>
      </c>
    </row>
    <row r="3011" ht="15.75" customHeight="1" s="217">
      <c r="A3011" s="400" t="n">
        <v>3009</v>
      </c>
      <c r="B3011" s="400" t="inlineStr">
        <is>
          <t>KH0746</t>
        </is>
      </c>
      <c r="C3011" s="401" t="inlineStr">
        <is>
          <t>Anh Tuấn  -  Bình Phước / 01235.068.168</t>
        </is>
      </c>
      <c r="D3011" s="400" t="inlineStr">
        <is>
          <t>01235.068.168</t>
        </is>
      </c>
      <c r="E3011" s="402" t="n"/>
      <c r="F3011" s="401" t="inlineStr">
        <is>
          <t>Lộc Ninh, Bình Phước</t>
        </is>
      </c>
      <c r="G3011" s="400" t="inlineStr">
        <is>
          <t>BP</t>
        </is>
      </c>
      <c r="H3011" s="402" t="n"/>
      <c r="J3011" s="392">
        <f>IFERROR(UPPER(TRIM(B3011))&amp;"|"&amp;UPPER(TRIM(C3011))&amp;"|"&amp;UPPER(TRIM(D3011)),"")</f>
        <v/>
      </c>
    </row>
    <row r="3012" ht="15.75" customHeight="1" s="217">
      <c r="A3012" s="397" t="n">
        <v>3010</v>
      </c>
      <c r="B3012" s="397" t="inlineStr">
        <is>
          <t>KH0742</t>
        </is>
      </c>
      <c r="C3012" s="398" t="inlineStr">
        <is>
          <t>Anh Phương - Sài Gòn / 01264.881.415</t>
        </is>
      </c>
      <c r="D3012" s="397" t="inlineStr">
        <is>
          <t>01264.881.415</t>
        </is>
      </c>
      <c r="E3012" s="399" t="n"/>
      <c r="F3012" s="398" t="inlineStr">
        <is>
          <t>Sài Gòn</t>
        </is>
      </c>
      <c r="G3012" s="397" t="inlineStr">
        <is>
          <t>SG/HCM</t>
        </is>
      </c>
      <c r="H3012" s="399" t="n"/>
      <c r="J3012" s="392">
        <f>IFERROR(UPPER(TRIM(B3012))&amp;"|"&amp;UPPER(TRIM(C3012))&amp;"|"&amp;UPPER(TRIM(D3012)),"")</f>
        <v/>
      </c>
    </row>
    <row r="3013" ht="15.75" customHeight="1" s="217">
      <c r="A3013" s="400" t="n">
        <v>3011</v>
      </c>
      <c r="B3013" s="400" t="inlineStr">
        <is>
          <t>KH0743</t>
        </is>
      </c>
      <c r="C3013" s="401" t="inlineStr">
        <is>
          <t>Anh Tính - Bến Lức / 0949.275.775</t>
        </is>
      </c>
      <c r="D3013" s="400" t="inlineStr">
        <is>
          <t>0949.275.775</t>
        </is>
      </c>
      <c r="E3013" s="402" t="n"/>
      <c r="F3013" s="401" t="inlineStr">
        <is>
          <t>Bến Lức, Long An</t>
        </is>
      </c>
      <c r="G3013" s="400" t="inlineStr">
        <is>
          <t>LA</t>
        </is>
      </c>
      <c r="H3013" s="402" t="n"/>
      <c r="J3013" s="392">
        <f>IFERROR(UPPER(TRIM(B3013))&amp;"|"&amp;UPPER(TRIM(C3013))&amp;"|"&amp;UPPER(TRIM(D3013)),"")</f>
        <v/>
      </c>
    </row>
    <row r="3014" ht="15.75" customHeight="1" s="217">
      <c r="A3014" s="397" t="n">
        <v>3012</v>
      </c>
      <c r="B3014" s="397" t="inlineStr">
        <is>
          <t>KH0741</t>
        </is>
      </c>
      <c r="C3014" s="398" t="inlineStr">
        <is>
          <t>Chú Nghĩa - Tiền Giang / 0913.013.468</t>
        </is>
      </c>
      <c r="D3014" s="397" t="inlineStr">
        <is>
          <t>0913.013.468</t>
        </is>
      </c>
      <c r="E3014" s="399" t="n"/>
      <c r="F3014" s="398" t="inlineStr">
        <is>
          <t>Tiền Giang</t>
        </is>
      </c>
      <c r="G3014" s="397" t="inlineStr">
        <is>
          <t>TGIANG</t>
        </is>
      </c>
      <c r="H3014" s="399" t="n"/>
      <c r="J3014" s="392">
        <f>IFERROR(UPPER(TRIM(B3014))&amp;"|"&amp;UPPER(TRIM(C3014))&amp;"|"&amp;UPPER(TRIM(D3014)),"")</f>
        <v/>
      </c>
    </row>
    <row r="3015" ht="15.75" customHeight="1" s="217">
      <c r="A3015" s="400" t="n">
        <v>3013</v>
      </c>
      <c r="B3015" s="400" t="inlineStr">
        <is>
          <t>KH0740</t>
        </is>
      </c>
      <c r="C3015" s="401" t="inlineStr">
        <is>
          <t>Anh Bắc - Q12/ 0903.765.726</t>
        </is>
      </c>
      <c r="D3015" s="400" t="inlineStr">
        <is>
          <t>0903.765.726</t>
        </is>
      </c>
      <c r="E3015" s="402" t="n"/>
      <c r="F3015" s="401" t="inlineStr">
        <is>
          <t>Tân Thới Hiệp, Q12</t>
        </is>
      </c>
      <c r="G3015" s="400" t="inlineStr">
        <is>
          <t>SG/HCM</t>
        </is>
      </c>
      <c r="H3015" s="402" t="n"/>
      <c r="J3015" s="392">
        <f>IFERROR(UPPER(TRIM(B3015))&amp;"|"&amp;UPPER(TRIM(C3015))&amp;"|"&amp;UPPER(TRIM(D3015)),"")</f>
        <v/>
      </c>
    </row>
    <row r="3016" ht="15.75" customHeight="1" s="217">
      <c r="A3016" s="397" t="n">
        <v>3014</v>
      </c>
      <c r="B3016" s="397" t="inlineStr">
        <is>
          <t>KH0735</t>
        </is>
      </c>
      <c r="C3016" s="398" t="inlineStr">
        <is>
          <t>Anh Chánh - Bến Lức / 0949.700.300</t>
        </is>
      </c>
      <c r="D3016" s="397" t="inlineStr">
        <is>
          <t>0949.700.300</t>
        </is>
      </c>
      <c r="E3016" s="399" t="n"/>
      <c r="F3016" s="398" t="inlineStr">
        <is>
          <t>Bến Lức, Long An</t>
        </is>
      </c>
      <c r="G3016" s="397" t="inlineStr">
        <is>
          <t>LA</t>
        </is>
      </c>
      <c r="H3016" s="399" t="n"/>
      <c r="J3016" s="392">
        <f>IFERROR(UPPER(TRIM(B3016))&amp;"|"&amp;UPPER(TRIM(C3016))&amp;"|"&amp;UPPER(TRIM(D3016)),"")</f>
        <v/>
      </c>
    </row>
    <row r="3017" ht="15.75" customHeight="1" s="217">
      <c r="A3017" s="400" t="n">
        <v>3015</v>
      </c>
      <c r="B3017" s="400" t="inlineStr">
        <is>
          <t>KH0736</t>
        </is>
      </c>
      <c r="C3017" s="401" t="inlineStr">
        <is>
          <t>Anh Đại - Q7 / 0908.646.383</t>
        </is>
      </c>
      <c r="D3017" s="400" t="inlineStr">
        <is>
          <t>0908.646.383</t>
        </is>
      </c>
      <c r="E3017" s="402" t="n"/>
      <c r="F3017" s="401" t="inlineStr">
        <is>
          <t>Q7, Sài Gòn</t>
        </is>
      </c>
      <c r="G3017" s="400" t="inlineStr">
        <is>
          <t>SG/HCM</t>
        </is>
      </c>
      <c r="H3017" s="402" t="n"/>
      <c r="J3017" s="392">
        <f>IFERROR(UPPER(TRIM(B3017))&amp;"|"&amp;UPPER(TRIM(C3017))&amp;"|"&amp;UPPER(TRIM(D3017)),"")</f>
        <v/>
      </c>
    </row>
    <row r="3018" ht="15.75" customHeight="1" s="217">
      <c r="A3018" s="397" t="n">
        <v>3016</v>
      </c>
      <c r="B3018" s="397" t="inlineStr">
        <is>
          <t>KH0737</t>
        </is>
      </c>
      <c r="C3018" s="398" t="inlineStr">
        <is>
          <t>Anh Duy - Bình Dương/ 0949.298.861</t>
        </is>
      </c>
      <c r="D3018" s="397" t="inlineStr">
        <is>
          <t>0949.298.861</t>
        </is>
      </c>
      <c r="E3018" s="399" t="n"/>
      <c r="F3018" s="398" t="inlineStr">
        <is>
          <t>Bình Dương</t>
        </is>
      </c>
      <c r="G3018" s="397" t="inlineStr">
        <is>
          <t>BDUONG</t>
        </is>
      </c>
      <c r="H3018" s="399" t="n"/>
      <c r="J3018" s="392">
        <f>IFERROR(UPPER(TRIM(B3018))&amp;"|"&amp;UPPER(TRIM(C3018))&amp;"|"&amp;UPPER(TRIM(D3018)),"")</f>
        <v/>
      </c>
    </row>
    <row r="3019" ht="15.75" customHeight="1" s="217">
      <c r="A3019" s="400" t="n">
        <v>3017</v>
      </c>
      <c r="B3019" s="400" t="inlineStr">
        <is>
          <t>KH0738</t>
        </is>
      </c>
      <c r="C3019" s="401" t="inlineStr">
        <is>
          <t>Anh Hà - Q12/ 0914.675.494</t>
        </is>
      </c>
      <c r="D3019" s="400" t="inlineStr">
        <is>
          <t>0914.675.494</t>
        </is>
      </c>
      <c r="E3019" s="402" t="n"/>
      <c r="F3019" s="401" t="inlineStr">
        <is>
          <t>Ngã tư ga, Q12</t>
        </is>
      </c>
      <c r="G3019" s="400" t="inlineStr">
        <is>
          <t>SG/HCM</t>
        </is>
      </c>
      <c r="H3019" s="402" t="n"/>
      <c r="J3019" s="392">
        <f>IFERROR(UPPER(TRIM(B3019))&amp;"|"&amp;UPPER(TRIM(C3019))&amp;"|"&amp;UPPER(TRIM(D3019)),"")</f>
        <v/>
      </c>
    </row>
    <row r="3020" ht="15.75" customHeight="1" s="217">
      <c r="A3020" s="397" t="n">
        <v>3018</v>
      </c>
      <c r="B3020" s="397" t="inlineStr">
        <is>
          <t>KH0739</t>
        </is>
      </c>
      <c r="C3020" s="398" t="inlineStr">
        <is>
          <t>Anh Chuyên - SG / 0987.475.318</t>
        </is>
      </c>
      <c r="D3020" s="397" t="inlineStr">
        <is>
          <t>0987.475.318</t>
        </is>
      </c>
      <c r="E3020" s="399" t="n"/>
      <c r="F3020" s="398" t="inlineStr">
        <is>
          <t>Sài Gòn</t>
        </is>
      </c>
      <c r="G3020" s="397" t="inlineStr">
        <is>
          <t>SG/HCM</t>
        </is>
      </c>
      <c r="H3020" s="399" t="n"/>
      <c r="J3020" s="392">
        <f>IFERROR(UPPER(TRIM(B3020))&amp;"|"&amp;UPPER(TRIM(C3020))&amp;"|"&amp;UPPER(TRIM(D3020)),"")</f>
        <v/>
      </c>
    </row>
    <row r="3021" ht="15.75" customHeight="1" s="217">
      <c r="A3021" s="400" t="n">
        <v>3019</v>
      </c>
      <c r="B3021" s="400" t="inlineStr">
        <is>
          <t>KH0734</t>
        </is>
      </c>
      <c r="C3021" s="401" t="inlineStr">
        <is>
          <t>Anh Phúc - Cần Thơ/ 0949.573.940</t>
        </is>
      </c>
      <c r="D3021" s="400" t="inlineStr">
        <is>
          <t>0949.573.940</t>
        </is>
      </c>
      <c r="E3021" s="402" t="n"/>
      <c r="F3021" s="401" t="inlineStr">
        <is>
          <t>Cần Thơ</t>
        </is>
      </c>
      <c r="G3021" s="400" t="inlineStr">
        <is>
          <t>CTHO</t>
        </is>
      </c>
      <c r="H3021" s="402" t="n"/>
      <c r="J3021" s="392">
        <f>IFERROR(UPPER(TRIM(B3021))&amp;"|"&amp;UPPER(TRIM(C3021))&amp;"|"&amp;UPPER(TRIM(D3021)),"")</f>
        <v/>
      </c>
    </row>
    <row r="3022" ht="15.75" customHeight="1" s="217">
      <c r="A3022" s="397" t="n">
        <v>3020</v>
      </c>
      <c r="B3022" s="397" t="inlineStr">
        <is>
          <t>KH0733</t>
        </is>
      </c>
      <c r="C3022" s="398" t="inlineStr">
        <is>
          <t>Công ty TNHH Xây Dựng Ngân Hùng - Cần Thơ/ A.Huy 0939.585.345</t>
        </is>
      </c>
      <c r="D3022" s="397" t="inlineStr">
        <is>
          <t>0939.585.345</t>
        </is>
      </c>
      <c r="E3022" s="399" t="n"/>
      <c r="F3022" s="398" t="inlineStr">
        <is>
          <t>Số 6 Nguyễn Văn Cừ nối dài Khu Vực 3 Cồn Khương, P.Cái Khế, Q.Ninh Kiều, TP.Cần Thơ</t>
        </is>
      </c>
      <c r="G3022" s="397" t="inlineStr">
        <is>
          <t>CTHO</t>
        </is>
      </c>
      <c r="H3022" s="399" t="n"/>
      <c r="J3022" s="392">
        <f>IFERROR(UPPER(TRIM(B3022))&amp;"|"&amp;UPPER(TRIM(C3022))&amp;"|"&amp;UPPER(TRIM(D3022)),"")</f>
        <v/>
      </c>
    </row>
    <row r="3023" ht="15.75" customHeight="1" s="217">
      <c r="A3023" s="400" t="n">
        <v>3021</v>
      </c>
      <c r="B3023" s="400" t="inlineStr">
        <is>
          <t>KH0731</t>
        </is>
      </c>
      <c r="C3023" s="401" t="inlineStr">
        <is>
          <t>Anh Minh - SG/ 0982.778.559</t>
        </is>
      </c>
      <c r="D3023" s="400" t="inlineStr">
        <is>
          <t>0982.778.559</t>
        </is>
      </c>
      <c r="E3023" s="402" t="n"/>
      <c r="F3023" s="401" t="inlineStr">
        <is>
          <t>Ngã 4 Bình Phước, SG</t>
        </is>
      </c>
      <c r="G3023" s="400" t="inlineStr">
        <is>
          <t>SG/HCM</t>
        </is>
      </c>
      <c r="H3023" s="402" t="n"/>
      <c r="J3023" s="392">
        <f>IFERROR(UPPER(TRIM(B3023))&amp;"|"&amp;UPPER(TRIM(C3023))&amp;"|"&amp;UPPER(TRIM(D3023)),"")</f>
        <v/>
      </c>
    </row>
    <row r="3024" ht="15.75" customHeight="1" s="217">
      <c r="A3024" s="397" t="n">
        <v>3022</v>
      </c>
      <c r="B3024" s="397" t="inlineStr">
        <is>
          <t>KH0732</t>
        </is>
      </c>
      <c r="C3024" s="398" t="inlineStr">
        <is>
          <t>Anh Dũng - Cần Thơ/ 0975.917.121</t>
        </is>
      </c>
      <c r="D3024" s="397" t="inlineStr">
        <is>
          <t>0975.917.121</t>
        </is>
      </c>
      <c r="E3024" s="399" t="n"/>
      <c r="F3024" s="398" t="inlineStr">
        <is>
          <t>Cần Thơ</t>
        </is>
      </c>
      <c r="G3024" s="397" t="inlineStr">
        <is>
          <t>CTHO</t>
        </is>
      </c>
      <c r="H3024" s="399" t="n"/>
      <c r="J3024" s="392">
        <f>IFERROR(UPPER(TRIM(B3024))&amp;"|"&amp;UPPER(TRIM(C3024))&amp;"|"&amp;UPPER(TRIM(D3024)),"")</f>
        <v/>
      </c>
    </row>
    <row r="3025" ht="15.75" customHeight="1" s="217">
      <c r="A3025" s="400" t="n">
        <v>3023</v>
      </c>
      <c r="B3025" s="400" t="inlineStr">
        <is>
          <t>MN31</t>
        </is>
      </c>
      <c r="C3025" s="401" t="inlineStr">
        <is>
          <t>Anh Tuấn - Lái xe</t>
        </is>
      </c>
      <c r="D3025" s="402" t="n"/>
      <c r="E3025" s="402" t="n"/>
      <c r="F3025" s="401" t="inlineStr">
        <is>
          <t>CTCP Thiết bị Cơ giới Miền Nam</t>
        </is>
      </c>
      <c r="G3025" s="402" t="n"/>
      <c r="H3025" s="402" t="n"/>
      <c r="J3025" s="392">
        <f>IFERROR(UPPER(TRIM(B3025))&amp;"|"&amp;UPPER(TRIM(C3025))&amp;"|"&amp;UPPER(TRIM(D3025)),"")</f>
        <v/>
      </c>
    </row>
    <row r="3026" ht="15.75" customHeight="1" s="217">
      <c r="A3026" s="397" t="n">
        <v>3024</v>
      </c>
      <c r="B3026" s="397" t="inlineStr">
        <is>
          <t>KH0728</t>
        </is>
      </c>
      <c r="C3026" s="398" t="inlineStr">
        <is>
          <t>Cửa Hàng Tài Phát - Bến Tre / 0918.267.507 - 0753.870.806</t>
        </is>
      </c>
      <c r="D3026" s="397" t="inlineStr">
        <is>
          <t>0918.267.507 / 0753.870.806</t>
        </is>
      </c>
      <c r="E3026" s="399" t="n"/>
      <c r="F3026" s="398" t="inlineStr">
        <is>
          <t>Thị Trấn Thạnh Phú, Thạnh Phú, Bến Tre</t>
        </is>
      </c>
      <c r="G3026" s="397" t="inlineStr">
        <is>
          <t>BTRE</t>
        </is>
      </c>
      <c r="H3026" s="399" t="n"/>
      <c r="J3026" s="392">
        <f>IFERROR(UPPER(TRIM(B3026))&amp;"|"&amp;UPPER(TRIM(C3026))&amp;"|"&amp;UPPER(TRIM(D3026)),"")</f>
        <v/>
      </c>
    </row>
    <row r="3027" ht="15.75" customHeight="1" s="217">
      <c r="A3027" s="400" t="n">
        <v>3025</v>
      </c>
      <c r="B3027" s="400" t="inlineStr">
        <is>
          <t>KH0729</t>
        </is>
      </c>
      <c r="C3027" s="401" t="inlineStr">
        <is>
          <t>Anh Trắng - Duyên Hải/ 0913.753.409</t>
        </is>
      </c>
      <c r="D3027" s="400" t="inlineStr">
        <is>
          <t>0913.753.409</t>
        </is>
      </c>
      <c r="E3027" s="402" t="n"/>
      <c r="F3027" s="401" t="inlineStr">
        <is>
          <t>Duyên Hải, Trà Vinh</t>
        </is>
      </c>
      <c r="G3027" s="400" t="inlineStr">
        <is>
          <t>TV</t>
        </is>
      </c>
      <c r="H3027" s="402" t="n"/>
      <c r="J3027" s="392">
        <f>IFERROR(UPPER(TRIM(B3027))&amp;"|"&amp;UPPER(TRIM(C3027))&amp;"|"&amp;UPPER(TRIM(D3027)),"")</f>
        <v/>
      </c>
    </row>
    <row r="3028" ht="15.75" customHeight="1" s="217">
      <c r="A3028" s="397" t="n">
        <v>3026</v>
      </c>
      <c r="B3028" s="397" t="inlineStr">
        <is>
          <t>KH0730</t>
        </is>
      </c>
      <c r="C3028" s="398" t="inlineStr">
        <is>
          <t>Anh Thông - Earka / 0968.004.739 / 0977.664.767</t>
        </is>
      </c>
      <c r="D3028" s="397" t="inlineStr">
        <is>
          <t>0968.004.739 / 0977.664.767</t>
        </is>
      </c>
      <c r="E3028" s="399" t="n"/>
      <c r="F3028" s="398" t="inlineStr">
        <is>
          <t>Km 68, Earka, Đăk Lăk</t>
        </is>
      </c>
      <c r="G3028" s="397" t="inlineStr">
        <is>
          <t>ÐL</t>
        </is>
      </c>
      <c r="H3028" s="399" t="n"/>
      <c r="J3028" s="392">
        <f>IFERROR(UPPER(TRIM(B3028))&amp;"|"&amp;UPPER(TRIM(C3028))&amp;"|"&amp;UPPER(TRIM(D3028)),"")</f>
        <v/>
      </c>
    </row>
    <row r="3029" ht="15.75" customHeight="1" s="217">
      <c r="A3029" s="400" t="n">
        <v>3027</v>
      </c>
      <c r="B3029" s="400" t="inlineStr">
        <is>
          <t>KH0725</t>
        </is>
      </c>
      <c r="C3029" s="401" t="inlineStr">
        <is>
          <t>Anh Hiếu - Vĩnh Long/ 0919.620.159</t>
        </is>
      </c>
      <c r="D3029" s="400" t="inlineStr">
        <is>
          <t>0919.620.159</t>
        </is>
      </c>
      <c r="E3029" s="402" t="n"/>
      <c r="F3029" s="401" t="inlineStr">
        <is>
          <t>Vĩnh Long</t>
        </is>
      </c>
      <c r="G3029" s="400" t="inlineStr">
        <is>
          <t>VĨNH LONG</t>
        </is>
      </c>
      <c r="H3029" s="402" t="n"/>
      <c r="J3029" s="392">
        <f>IFERROR(UPPER(TRIM(B3029))&amp;"|"&amp;UPPER(TRIM(C3029))&amp;"|"&amp;UPPER(TRIM(D3029)),"")</f>
        <v/>
      </c>
    </row>
    <row r="3030" ht="15.75" customHeight="1" s="217">
      <c r="A3030" s="397" t="n">
        <v>3028</v>
      </c>
      <c r="B3030" s="397" t="inlineStr">
        <is>
          <t>KH0726</t>
        </is>
      </c>
      <c r="C3030" s="398" t="inlineStr">
        <is>
          <t>Anh Thọ - Cần Thơ / 0979.314.999</t>
        </is>
      </c>
      <c r="D3030" s="397" t="inlineStr">
        <is>
          <t>0979.314.999</t>
        </is>
      </c>
      <c r="E3030" s="399" t="n"/>
      <c r="F3030" s="398" t="inlineStr">
        <is>
          <t>Cần Thơ</t>
        </is>
      </c>
      <c r="G3030" s="397" t="inlineStr">
        <is>
          <t>CTHO</t>
        </is>
      </c>
      <c r="H3030" s="399" t="n"/>
      <c r="J3030" s="392">
        <f>IFERROR(UPPER(TRIM(B3030))&amp;"|"&amp;UPPER(TRIM(C3030))&amp;"|"&amp;UPPER(TRIM(D3030)),"")</f>
        <v/>
      </c>
    </row>
    <row r="3031" ht="15.75" customHeight="1" s="217">
      <c r="A3031" s="400" t="n">
        <v>3029</v>
      </c>
      <c r="B3031" s="400" t="inlineStr">
        <is>
          <t>KH0727</t>
        </is>
      </c>
      <c r="C3031" s="401" t="inlineStr">
        <is>
          <t>Anh Dũng - Bạc Liêu (T)/ 0916.654.769</t>
        </is>
      </c>
      <c r="D3031" s="400" t="inlineStr">
        <is>
          <t>0916.654.769</t>
        </is>
      </c>
      <c r="E3031" s="402" t="n"/>
      <c r="F3031" s="401" t="inlineStr">
        <is>
          <t>Bạc Liêu</t>
        </is>
      </c>
      <c r="G3031" s="400" t="inlineStr">
        <is>
          <t>BLIEU</t>
        </is>
      </c>
      <c r="H3031" s="402" t="n"/>
      <c r="J3031" s="392">
        <f>IFERROR(UPPER(TRIM(B3031))&amp;"|"&amp;UPPER(TRIM(C3031))&amp;"|"&amp;UPPER(TRIM(D3031)),"")</f>
        <v/>
      </c>
    </row>
    <row r="3032" ht="15.75" customHeight="1" s="217">
      <c r="A3032" s="397" t="n">
        <v>3030</v>
      </c>
      <c r="B3032" s="397" t="inlineStr">
        <is>
          <t>KH0723</t>
        </is>
      </c>
      <c r="C3032" s="398" t="inlineStr">
        <is>
          <t>Cửa Hàng Vương Châu - Kiên Giang / 0919.113.343</t>
        </is>
      </c>
      <c r="D3032" s="397" t="inlineStr">
        <is>
          <t>0919.113.343</t>
        </is>
      </c>
      <c r="E3032" s="399" t="n"/>
      <c r="F3032" s="398" t="inlineStr">
        <is>
          <t>Vình Thuận, Kiên Giang</t>
        </is>
      </c>
      <c r="G3032" s="397" t="inlineStr">
        <is>
          <t>KG</t>
        </is>
      </c>
      <c r="H3032" s="399" t="n"/>
      <c r="J3032" s="392">
        <f>IFERROR(UPPER(TRIM(B3032))&amp;"|"&amp;UPPER(TRIM(C3032))&amp;"|"&amp;UPPER(TRIM(D3032)),"")</f>
        <v/>
      </c>
    </row>
    <row r="3033" ht="15.75" customHeight="1" s="217">
      <c r="A3033" s="400" t="n">
        <v>3031</v>
      </c>
      <c r="B3033" s="400" t="inlineStr">
        <is>
          <t>KH0724</t>
        </is>
      </c>
      <c r="C3033" s="401" t="inlineStr">
        <is>
          <t>Anh Hùng - Đăk Nông (T)/ 0969.279.455</t>
        </is>
      </c>
      <c r="D3033" s="400" t="inlineStr">
        <is>
          <t>0969.279.455</t>
        </is>
      </c>
      <c r="E3033" s="402" t="n"/>
      <c r="F3033" s="401" t="inlineStr">
        <is>
          <t>Đăk Nông</t>
        </is>
      </c>
      <c r="G3033" s="400" t="inlineStr">
        <is>
          <t>DNONG</t>
        </is>
      </c>
      <c r="H3033" s="402" t="n"/>
      <c r="J3033" s="392">
        <f>IFERROR(UPPER(TRIM(B3033))&amp;"|"&amp;UPPER(TRIM(C3033))&amp;"|"&amp;UPPER(TRIM(D3033)),"")</f>
        <v/>
      </c>
    </row>
    <row r="3034" ht="15.75" customHeight="1" s="217">
      <c r="A3034" s="397" t="n">
        <v>3032</v>
      </c>
      <c r="B3034" s="397" t="inlineStr">
        <is>
          <t>KH0722</t>
        </is>
      </c>
      <c r="C3034" s="398" t="inlineStr">
        <is>
          <t>Anh Huỳnh Tư - Đồng Tháp / 0913.100.082</t>
        </is>
      </c>
      <c r="D3034" s="397" t="inlineStr">
        <is>
          <t>0913.100.082</t>
        </is>
      </c>
      <c r="E3034" s="399" t="n"/>
      <c r="F3034" s="398" t="inlineStr">
        <is>
          <t>Đồng Tháp</t>
        </is>
      </c>
      <c r="G3034" s="397" t="inlineStr">
        <is>
          <t>DTHAP</t>
        </is>
      </c>
      <c r="H3034" s="399" t="n"/>
      <c r="J3034" s="392">
        <f>IFERROR(UPPER(TRIM(B3034))&amp;"|"&amp;UPPER(TRIM(C3034))&amp;"|"&amp;UPPER(TRIM(D3034)),"")</f>
        <v/>
      </c>
    </row>
    <row r="3035" ht="15.75" customHeight="1" s="217">
      <c r="A3035" s="400" t="n">
        <v>3033</v>
      </c>
      <c r="B3035" s="400" t="inlineStr">
        <is>
          <t>KH0721</t>
        </is>
      </c>
      <c r="C3035" s="401" t="inlineStr">
        <is>
          <t>Anh Vũ - Bình Chánh / 0985.487.587</t>
        </is>
      </c>
      <c r="D3035" s="400" t="inlineStr">
        <is>
          <t>0985.487.587</t>
        </is>
      </c>
      <c r="E3035" s="402" t="n"/>
      <c r="F3035" s="401" t="inlineStr">
        <is>
          <t>Bình Chánh</t>
        </is>
      </c>
      <c r="G3035" s="400" t="inlineStr">
        <is>
          <t>SG/HCM</t>
        </is>
      </c>
      <c r="H3035" s="402" t="n"/>
      <c r="J3035" s="392">
        <f>IFERROR(UPPER(TRIM(B3035))&amp;"|"&amp;UPPER(TRIM(C3035))&amp;"|"&amp;UPPER(TRIM(D3035)),"")</f>
        <v/>
      </c>
    </row>
    <row r="3036" ht="15.75" customHeight="1" s="217">
      <c r="A3036" s="397" t="n">
        <v>3034</v>
      </c>
      <c r="B3036" s="397" t="inlineStr">
        <is>
          <t>KH0714</t>
        </is>
      </c>
      <c r="C3036" s="398" t="inlineStr">
        <is>
          <t>Xưởng Anh Điền - Hóc Môn/ 0938.893.381</t>
        </is>
      </c>
      <c r="D3036" s="397" t="inlineStr">
        <is>
          <t>0938.893.381</t>
        </is>
      </c>
      <c r="E3036" s="399" t="n"/>
      <c r="F3036" s="398" t="inlineStr">
        <is>
          <t>Hóc Môn, TP HCM</t>
        </is>
      </c>
      <c r="G3036" s="397" t="inlineStr">
        <is>
          <t>SG/HCM</t>
        </is>
      </c>
      <c r="H3036" s="399" t="n"/>
      <c r="J3036" s="392">
        <f>IFERROR(UPPER(TRIM(B3036))&amp;"|"&amp;UPPER(TRIM(C3036))&amp;"|"&amp;UPPER(TRIM(D3036)),"")</f>
        <v/>
      </c>
    </row>
    <row r="3037" ht="15.75" customHeight="1" s="217">
      <c r="A3037" s="400" t="n">
        <v>3035</v>
      </c>
      <c r="B3037" s="400" t="inlineStr">
        <is>
          <t>KH0715</t>
        </is>
      </c>
      <c r="C3037" s="401" t="inlineStr">
        <is>
          <t>Anh Phát - Bình Dương/ 0947.994.429</t>
        </is>
      </c>
      <c r="D3037" s="400" t="inlineStr">
        <is>
          <t>0947.994.429</t>
        </is>
      </c>
      <c r="E3037" s="402" t="n"/>
      <c r="F3037" s="401" t="inlineStr">
        <is>
          <t>Gần Khu Du Lịch Đại Nam</t>
        </is>
      </c>
      <c r="G3037" s="400" t="inlineStr">
        <is>
          <t>BDUONG</t>
        </is>
      </c>
      <c r="H3037" s="402" t="n"/>
      <c r="J3037" s="392">
        <f>IFERROR(UPPER(TRIM(B3037))&amp;"|"&amp;UPPER(TRIM(C3037))&amp;"|"&amp;UPPER(TRIM(D3037)),"")</f>
        <v/>
      </c>
    </row>
    <row r="3038" ht="15.75" customHeight="1" s="217">
      <c r="A3038" s="397" t="n">
        <v>3036</v>
      </c>
      <c r="B3038" s="397" t="inlineStr">
        <is>
          <t>KH0716</t>
        </is>
      </c>
      <c r="C3038" s="398" t="inlineStr">
        <is>
          <t>Anh Khánh - Bình Thuận / 0982.577.154</t>
        </is>
      </c>
      <c r="D3038" s="397" t="inlineStr">
        <is>
          <t>0982.577.154</t>
        </is>
      </c>
      <c r="E3038" s="399" t="n"/>
      <c r="F3038" s="398" t="inlineStr">
        <is>
          <t>Bình Thuận</t>
        </is>
      </c>
      <c r="G3038" s="397" t="inlineStr">
        <is>
          <t>BTHUAN</t>
        </is>
      </c>
      <c r="H3038" s="399" t="n"/>
      <c r="J3038" s="392">
        <f>IFERROR(UPPER(TRIM(B3038))&amp;"|"&amp;UPPER(TRIM(C3038))&amp;"|"&amp;UPPER(TRIM(D3038)),"")</f>
        <v/>
      </c>
    </row>
    <row r="3039" ht="15.75" customHeight="1" s="217">
      <c r="A3039" s="400" t="n">
        <v>3037</v>
      </c>
      <c r="B3039" s="400" t="inlineStr">
        <is>
          <t>KH0717</t>
        </is>
      </c>
      <c r="C3039" s="401" t="inlineStr">
        <is>
          <t>Anh Tài - Vĩnh long / 0939.333.151</t>
        </is>
      </c>
      <c r="D3039" s="400" t="inlineStr">
        <is>
          <t>0939.333.151</t>
        </is>
      </c>
      <c r="E3039" s="402" t="n"/>
      <c r="F3039" s="401" t="inlineStr">
        <is>
          <t>Vĩnh Long</t>
        </is>
      </c>
      <c r="G3039" s="400" t="inlineStr">
        <is>
          <t>VĨNH LONG</t>
        </is>
      </c>
      <c r="H3039" s="402" t="n"/>
      <c r="J3039" s="392">
        <f>IFERROR(UPPER(TRIM(B3039))&amp;"|"&amp;UPPER(TRIM(C3039))&amp;"|"&amp;UPPER(TRIM(D3039)),"")</f>
        <v/>
      </c>
    </row>
    <row r="3040" ht="15.75" customHeight="1" s="217">
      <c r="A3040" s="397" t="n">
        <v>3038</v>
      </c>
      <c r="B3040" s="397" t="inlineStr">
        <is>
          <t>KH0718</t>
        </is>
      </c>
      <c r="C3040" s="398" t="inlineStr">
        <is>
          <t>Anh Lợi - Sóc Trăng / 0918.973.413</t>
        </is>
      </c>
      <c r="D3040" s="397" t="inlineStr">
        <is>
          <t>0918.973.413</t>
        </is>
      </c>
      <c r="E3040" s="399" t="n"/>
      <c r="F3040" s="398" t="inlineStr">
        <is>
          <t>Sóc Trăng</t>
        </is>
      </c>
      <c r="G3040" s="397" t="inlineStr">
        <is>
          <t>STRANG</t>
        </is>
      </c>
      <c r="H3040" s="399" t="n"/>
      <c r="J3040" s="392">
        <f>IFERROR(UPPER(TRIM(B3040))&amp;"|"&amp;UPPER(TRIM(C3040))&amp;"|"&amp;UPPER(TRIM(D3040)),"")</f>
        <v/>
      </c>
    </row>
    <row r="3041" ht="15.75" customHeight="1" s="217">
      <c r="A3041" s="400" t="n">
        <v>3039</v>
      </c>
      <c r="B3041" s="400" t="inlineStr">
        <is>
          <t>KH0719</t>
        </is>
      </c>
      <c r="C3041" s="401" t="inlineStr">
        <is>
          <t>Chú Ngãi - Quận 9/ 0908.208.006</t>
        </is>
      </c>
      <c r="D3041" s="400" t="inlineStr">
        <is>
          <t>0908.208.006</t>
        </is>
      </c>
      <c r="E3041" s="402" t="n"/>
      <c r="F3041" s="401" t="inlineStr">
        <is>
          <t>Quận 9, TP HCM</t>
        </is>
      </c>
      <c r="G3041" s="400" t="inlineStr">
        <is>
          <t>SG/HCM</t>
        </is>
      </c>
      <c r="H3041" s="402" t="n"/>
      <c r="J3041" s="392">
        <f>IFERROR(UPPER(TRIM(B3041))&amp;"|"&amp;UPPER(TRIM(C3041))&amp;"|"&amp;UPPER(TRIM(D3041)),"")</f>
        <v/>
      </c>
    </row>
    <row r="3042" ht="15.75" customHeight="1" s="217">
      <c r="A3042" s="397" t="n">
        <v>3040</v>
      </c>
      <c r="B3042" s="397" t="inlineStr">
        <is>
          <t>KH0720</t>
        </is>
      </c>
      <c r="C3042" s="398" t="inlineStr">
        <is>
          <t>Anh Tân - Trà Vinh/ 0987.454.440</t>
        </is>
      </c>
      <c r="D3042" s="397" t="inlineStr">
        <is>
          <t>0987.454.440</t>
        </is>
      </c>
      <c r="E3042" s="399" t="n"/>
      <c r="F3042" s="398" t="inlineStr">
        <is>
          <t>Bến xe Càng Long - Trà Vinh</t>
        </is>
      </c>
      <c r="G3042" s="397" t="inlineStr">
        <is>
          <t>TV</t>
        </is>
      </c>
      <c r="H3042" s="399" t="n"/>
      <c r="J3042" s="392">
        <f>IFERROR(UPPER(TRIM(B3042))&amp;"|"&amp;UPPER(TRIM(C3042))&amp;"|"&amp;UPPER(TRIM(D3042)),"")</f>
        <v/>
      </c>
    </row>
    <row r="3043" ht="15.75" customHeight="1" s="217">
      <c r="A3043" s="400" t="n">
        <v>3041</v>
      </c>
      <c r="B3043" s="400" t="inlineStr">
        <is>
          <t>KH0707</t>
        </is>
      </c>
      <c r="C3043" s="401" t="inlineStr">
        <is>
          <t>Anh Hải - Bình Long/ 0933.832.492</t>
        </is>
      </c>
      <c r="D3043" s="400" t="inlineStr">
        <is>
          <t>0933.832.492</t>
        </is>
      </c>
      <c r="E3043" s="402" t="n"/>
      <c r="F3043" s="401" t="inlineStr">
        <is>
          <t>Bình Long, Bình Phước</t>
        </is>
      </c>
      <c r="G3043" s="400" t="inlineStr">
        <is>
          <t>BP</t>
        </is>
      </c>
      <c r="H3043" s="402" t="n"/>
      <c r="J3043" s="392">
        <f>IFERROR(UPPER(TRIM(B3043))&amp;"|"&amp;UPPER(TRIM(C3043))&amp;"|"&amp;UPPER(TRIM(D3043)),"")</f>
        <v/>
      </c>
    </row>
    <row r="3044" ht="15.75" customHeight="1" s="217">
      <c r="A3044" s="397" t="n">
        <v>3042</v>
      </c>
      <c r="B3044" s="397" t="inlineStr">
        <is>
          <t>KH0708</t>
        </is>
      </c>
      <c r="C3044" s="398" t="inlineStr">
        <is>
          <t>Anh Lân - Quận 12/ 0912.017.667</t>
        </is>
      </c>
      <c r="D3044" s="397" t="inlineStr">
        <is>
          <t>0912.017.667</t>
        </is>
      </c>
      <c r="E3044" s="399" t="n"/>
      <c r="F3044" s="398" t="inlineStr">
        <is>
          <t>Hà Quý Cáp, Quận 12, TP HCM</t>
        </is>
      </c>
      <c r="G3044" s="397" t="inlineStr">
        <is>
          <t>SG/HCM</t>
        </is>
      </c>
      <c r="H3044" s="399" t="n"/>
      <c r="J3044" s="392">
        <f>IFERROR(UPPER(TRIM(B3044))&amp;"|"&amp;UPPER(TRIM(C3044))&amp;"|"&amp;UPPER(TRIM(D3044)),"")</f>
        <v/>
      </c>
    </row>
    <row r="3045" ht="15.75" customHeight="1" s="217">
      <c r="A3045" s="400" t="n">
        <v>3043</v>
      </c>
      <c r="B3045" s="400" t="inlineStr">
        <is>
          <t>KH0709</t>
        </is>
      </c>
      <c r="C3045" s="401" t="inlineStr">
        <is>
          <t>Anh Thanh - Q7 / 0909.744.667</t>
        </is>
      </c>
      <c r="D3045" s="400" t="inlineStr">
        <is>
          <t>0909.744.667</t>
        </is>
      </c>
      <c r="E3045" s="402" t="n"/>
      <c r="F3045" s="401" t="inlineStr">
        <is>
          <t>Đường Phạm Hữu Lầu, Q7, TP.HCM</t>
        </is>
      </c>
      <c r="G3045" s="400" t="inlineStr">
        <is>
          <t>SG/HCM</t>
        </is>
      </c>
      <c r="H3045" s="402" t="n"/>
      <c r="J3045" s="392">
        <f>IFERROR(UPPER(TRIM(B3045))&amp;"|"&amp;UPPER(TRIM(C3045))&amp;"|"&amp;UPPER(TRIM(D3045)),"")</f>
        <v/>
      </c>
    </row>
    <row r="3046" ht="15.75" customHeight="1" s="217">
      <c r="A3046" s="397" t="n">
        <v>3044</v>
      </c>
      <c r="B3046" s="397" t="inlineStr">
        <is>
          <t>KH0710</t>
        </is>
      </c>
      <c r="C3046" s="398" t="inlineStr">
        <is>
          <t>Anh Chung - Vĩnh Long / 0943.454.686</t>
        </is>
      </c>
      <c r="D3046" s="397" t="inlineStr">
        <is>
          <t>0943.454.686</t>
        </is>
      </c>
      <c r="E3046" s="399" t="n"/>
      <c r="F3046" s="398" t="inlineStr">
        <is>
          <t>Vĩnh Long</t>
        </is>
      </c>
      <c r="G3046" s="397" t="inlineStr">
        <is>
          <t>VĨNH LONG</t>
        </is>
      </c>
      <c r="H3046" s="399" t="n"/>
      <c r="J3046" s="392">
        <f>IFERROR(UPPER(TRIM(B3046))&amp;"|"&amp;UPPER(TRIM(C3046))&amp;"|"&amp;UPPER(TRIM(D3046)),"")</f>
        <v/>
      </c>
    </row>
    <row r="3047" ht="15.75" customHeight="1" s="217">
      <c r="A3047" s="400" t="n">
        <v>3045</v>
      </c>
      <c r="B3047" s="400" t="inlineStr">
        <is>
          <t>KH0711</t>
        </is>
      </c>
      <c r="C3047" s="401" t="inlineStr">
        <is>
          <t>Anh Đạt - Bến Tre/ 0983.849.778</t>
        </is>
      </c>
      <c r="D3047" s="400" t="inlineStr">
        <is>
          <t>0983.849.778</t>
        </is>
      </c>
      <c r="E3047" s="402" t="n"/>
      <c r="F3047" s="401" t="inlineStr">
        <is>
          <t>Bến Tre</t>
        </is>
      </c>
      <c r="G3047" s="400" t="inlineStr">
        <is>
          <t>BTRE</t>
        </is>
      </c>
      <c r="H3047" s="402" t="n"/>
      <c r="J3047" s="392">
        <f>IFERROR(UPPER(TRIM(B3047))&amp;"|"&amp;UPPER(TRIM(C3047))&amp;"|"&amp;UPPER(TRIM(D3047)),"")</f>
        <v/>
      </c>
    </row>
    <row r="3048" ht="15.75" customHeight="1" s="217">
      <c r="A3048" s="397" t="n">
        <v>3046</v>
      </c>
      <c r="B3048" s="397" t="inlineStr">
        <is>
          <t>KH0712</t>
        </is>
      </c>
      <c r="C3048" s="398" t="inlineStr">
        <is>
          <t>Anh Minh - Công ty TNHH MTV Minh Thư / 0913.951.091</t>
        </is>
      </c>
      <c r="D3048" s="397" t="inlineStr">
        <is>
          <t>0913.951.091</t>
        </is>
      </c>
      <c r="E3048" s="399" t="n"/>
      <c r="F3048" s="398" t="inlineStr">
        <is>
          <t>Khu CN Nam Tân Uyên, Bình Dương</t>
        </is>
      </c>
      <c r="G3048" s="397" t="inlineStr">
        <is>
          <t>BDUONG</t>
        </is>
      </c>
      <c r="H3048" s="399" t="n"/>
      <c r="J3048" s="392">
        <f>IFERROR(UPPER(TRIM(B3048))&amp;"|"&amp;UPPER(TRIM(C3048))&amp;"|"&amp;UPPER(TRIM(D3048)),"")</f>
        <v/>
      </c>
    </row>
    <row r="3049" ht="15.75" customHeight="1" s="217">
      <c r="A3049" s="400" t="n">
        <v>3047</v>
      </c>
      <c r="B3049" s="400" t="inlineStr">
        <is>
          <t>KH0713</t>
        </is>
      </c>
      <c r="C3049" s="401" t="inlineStr">
        <is>
          <t>Anh Hạnh - Q12 / 0988.503.468</t>
        </is>
      </c>
      <c r="D3049" s="400" t="inlineStr">
        <is>
          <t>0988.503.468</t>
        </is>
      </c>
      <c r="E3049" s="402" t="n"/>
      <c r="F3049" s="401" t="inlineStr">
        <is>
          <t>SG</t>
        </is>
      </c>
      <c r="G3049" s="400" t="inlineStr">
        <is>
          <t>SG/HCM</t>
        </is>
      </c>
      <c r="H3049" s="402" t="n"/>
      <c r="J3049" s="392">
        <f>IFERROR(UPPER(TRIM(B3049))&amp;"|"&amp;UPPER(TRIM(C3049))&amp;"|"&amp;UPPER(TRIM(D3049)),"")</f>
        <v/>
      </c>
    </row>
    <row r="3050" ht="15.75" customHeight="1" s="217">
      <c r="A3050" s="397" t="n">
        <v>3048</v>
      </c>
      <c r="B3050" s="397" t="inlineStr">
        <is>
          <t>KH0705</t>
        </is>
      </c>
      <c r="C3050" s="398" t="inlineStr">
        <is>
          <t>Xưởng Minh Tâm - Bình Chánh/ 0918.235.553 - 0913.722.514</t>
        </is>
      </c>
      <c r="D3050" s="397" t="inlineStr">
        <is>
          <t>0918.235.553 / 0913.722.514</t>
        </is>
      </c>
      <c r="E3050" s="399" t="n"/>
      <c r="F3050" s="398" t="inlineStr">
        <is>
          <t>Bình Chánh</t>
        </is>
      </c>
      <c r="G3050" s="397" t="inlineStr">
        <is>
          <t>SG/HCM</t>
        </is>
      </c>
      <c r="H3050" s="399" t="n"/>
      <c r="J3050" s="392">
        <f>IFERROR(UPPER(TRIM(B3050))&amp;"|"&amp;UPPER(TRIM(C3050))&amp;"|"&amp;UPPER(TRIM(D3050)),"")</f>
        <v/>
      </c>
    </row>
    <row r="3051" ht="15.75" customHeight="1" s="217">
      <c r="A3051" s="400" t="n">
        <v>3049</v>
      </c>
      <c r="B3051" s="400" t="inlineStr">
        <is>
          <t>KH0706</t>
        </is>
      </c>
      <c r="C3051" s="401" t="inlineStr">
        <is>
          <t>Anh Hiệp - Gia Lai (D)/ 0915.676.648</t>
        </is>
      </c>
      <c r="D3051" s="400" t="inlineStr">
        <is>
          <t>0915.676.648</t>
        </is>
      </c>
      <c r="E3051" s="402" t="n"/>
      <c r="F3051" s="401" t="inlineStr">
        <is>
          <t>Gia Lai</t>
        </is>
      </c>
      <c r="G3051" s="400" t="inlineStr">
        <is>
          <t>GLAI</t>
        </is>
      </c>
      <c r="H3051" s="402" t="n"/>
      <c r="J3051" s="392">
        <f>IFERROR(UPPER(TRIM(B3051))&amp;"|"&amp;UPPER(TRIM(C3051))&amp;"|"&amp;UPPER(TRIM(D3051)),"")</f>
        <v/>
      </c>
    </row>
    <row r="3052" ht="15.75" customHeight="1" s="217">
      <c r="A3052" s="397" t="n">
        <v>3050</v>
      </c>
      <c r="B3052" s="397" t="inlineStr">
        <is>
          <t>KH0700</t>
        </is>
      </c>
      <c r="C3052" s="398" t="inlineStr">
        <is>
          <t>Anh Hoàng - Ninh Hòa/ 0935.552.076</t>
        </is>
      </c>
      <c r="D3052" s="397" t="inlineStr">
        <is>
          <t>0935.552.076</t>
        </is>
      </c>
      <c r="E3052" s="399" t="n"/>
      <c r="F3052" s="398" t="inlineStr">
        <is>
          <t>Ninh Hòa, Khánh Hòa</t>
        </is>
      </c>
      <c r="G3052" s="397" t="inlineStr">
        <is>
          <t>NTRANG</t>
        </is>
      </c>
      <c r="H3052" s="399" t="n"/>
      <c r="J3052" s="392">
        <f>IFERROR(UPPER(TRIM(B3052))&amp;"|"&amp;UPPER(TRIM(C3052))&amp;"|"&amp;UPPER(TRIM(D3052)),"")</f>
        <v/>
      </c>
    </row>
    <row r="3053" ht="15.75" customHeight="1" s="217">
      <c r="A3053" s="400" t="n">
        <v>3051</v>
      </c>
      <c r="B3053" s="400" t="inlineStr">
        <is>
          <t>KH0701</t>
        </is>
      </c>
      <c r="C3053" s="401" t="inlineStr">
        <is>
          <t>Anh Vương - Gia Lai/ 0968.490.767</t>
        </is>
      </c>
      <c r="D3053" s="400" t="inlineStr">
        <is>
          <t>0968.490.767</t>
        </is>
      </c>
      <c r="E3053" s="402" t="n"/>
      <c r="F3053" s="401" t="inlineStr">
        <is>
          <t>Gia Lai</t>
        </is>
      </c>
      <c r="G3053" s="400" t="inlineStr">
        <is>
          <t>GLAI</t>
        </is>
      </c>
      <c r="H3053" s="402" t="n"/>
      <c r="J3053" s="392">
        <f>IFERROR(UPPER(TRIM(B3053))&amp;"|"&amp;UPPER(TRIM(C3053))&amp;"|"&amp;UPPER(TRIM(D3053)),"")</f>
        <v/>
      </c>
    </row>
    <row r="3054" ht="15.75" customHeight="1" s="217">
      <c r="A3054" s="397" t="n">
        <v>3052</v>
      </c>
      <c r="B3054" s="397" t="inlineStr">
        <is>
          <t>KH0702</t>
        </is>
      </c>
      <c r="C3054" s="398" t="inlineStr">
        <is>
          <t>Anh Tân - Cà Mau/ 0913.138.845</t>
        </is>
      </c>
      <c r="D3054" s="397" t="inlineStr">
        <is>
          <t>0913.138.845</t>
        </is>
      </c>
      <c r="E3054" s="399" t="n"/>
      <c r="F3054" s="398" t="inlineStr">
        <is>
          <t>Cà Mau</t>
        </is>
      </c>
      <c r="G3054" s="397" t="inlineStr">
        <is>
          <t>CMAU</t>
        </is>
      </c>
      <c r="H3054" s="399" t="n"/>
      <c r="J3054" s="392">
        <f>IFERROR(UPPER(TRIM(B3054))&amp;"|"&amp;UPPER(TRIM(C3054))&amp;"|"&amp;UPPER(TRIM(D3054)),"")</f>
        <v/>
      </c>
    </row>
    <row r="3055" ht="15.75" customHeight="1" s="217">
      <c r="A3055" s="400" t="n">
        <v>3053</v>
      </c>
      <c r="B3055" s="400" t="inlineStr">
        <is>
          <t>KH0703</t>
        </is>
      </c>
      <c r="C3055" s="401" t="inlineStr">
        <is>
          <t>Anh Phúc - Vĩnh Long / 0939.999.487</t>
        </is>
      </c>
      <c r="D3055" s="400" t="inlineStr">
        <is>
          <t>0939.999.487</t>
        </is>
      </c>
      <c r="E3055" s="402" t="n"/>
      <c r="F3055" s="401" t="inlineStr">
        <is>
          <t>Vĩnh Long</t>
        </is>
      </c>
      <c r="G3055" s="400" t="inlineStr">
        <is>
          <t>VĨNH LONG</t>
        </is>
      </c>
      <c r="H3055" s="402" t="n"/>
      <c r="J3055" s="392">
        <f>IFERROR(UPPER(TRIM(B3055))&amp;"|"&amp;UPPER(TRIM(C3055))&amp;"|"&amp;UPPER(TRIM(D3055)),"")</f>
        <v/>
      </c>
    </row>
    <row r="3056" ht="15.75" customHeight="1" s="217">
      <c r="A3056" s="397" t="n">
        <v>3054</v>
      </c>
      <c r="B3056" s="397" t="inlineStr">
        <is>
          <t>KH0704</t>
        </is>
      </c>
      <c r="C3056" s="398" t="inlineStr">
        <is>
          <t>Anh Đạt - Bình Chánh/ 0918.098.242</t>
        </is>
      </c>
      <c r="D3056" s="397" t="inlineStr">
        <is>
          <t>0918.098.242</t>
        </is>
      </c>
      <c r="E3056" s="399" t="n"/>
      <c r="F3056" s="398" t="inlineStr">
        <is>
          <t>Bình Chánh - TP HCM</t>
        </is>
      </c>
      <c r="G3056" s="397" t="inlineStr">
        <is>
          <t>SG/HCM</t>
        </is>
      </c>
      <c r="H3056" s="399" t="n"/>
      <c r="J3056" s="392">
        <f>IFERROR(UPPER(TRIM(B3056))&amp;"|"&amp;UPPER(TRIM(C3056))&amp;"|"&amp;UPPER(TRIM(D3056)),"")</f>
        <v/>
      </c>
    </row>
    <row r="3057" ht="15.75" customHeight="1" s="217">
      <c r="A3057" s="400" t="n">
        <v>3055</v>
      </c>
      <c r="B3057" s="400" t="inlineStr">
        <is>
          <t>KH0688</t>
        </is>
      </c>
      <c r="C3057" s="401" t="inlineStr">
        <is>
          <t>Anh Vũ - Long An/ 0918.439.733</t>
        </is>
      </c>
      <c r="D3057" s="400" t="inlineStr">
        <is>
          <t>0918.439.733</t>
        </is>
      </c>
      <c r="E3057" s="402" t="n"/>
      <c r="F3057" s="401" t="inlineStr">
        <is>
          <t>Vĩnh Hưng - Long An</t>
        </is>
      </c>
      <c r="G3057" s="400" t="inlineStr">
        <is>
          <t>LA</t>
        </is>
      </c>
      <c r="H3057" s="402" t="n"/>
      <c r="J3057" s="392">
        <f>IFERROR(UPPER(TRIM(B3057))&amp;"|"&amp;UPPER(TRIM(C3057))&amp;"|"&amp;UPPER(TRIM(D3057)),"")</f>
        <v/>
      </c>
    </row>
    <row r="3058" ht="15.75" customHeight="1" s="217">
      <c r="A3058" s="397" t="n">
        <v>3056</v>
      </c>
      <c r="B3058" s="397" t="inlineStr">
        <is>
          <t>KH0698</t>
        </is>
      </c>
      <c r="C3058" s="398" t="inlineStr">
        <is>
          <t>Cửa hàng Quang ớt - Sóc Trăng/0918.777.171</t>
        </is>
      </c>
      <c r="D3058" s="397" t="inlineStr">
        <is>
          <t>0918.777.171</t>
        </is>
      </c>
      <c r="E3058" s="399" t="n"/>
      <c r="F3058" s="398" t="inlineStr">
        <is>
          <t>Sóc Trăng</t>
        </is>
      </c>
      <c r="G3058" s="397" t="inlineStr">
        <is>
          <t>STRANG</t>
        </is>
      </c>
      <c r="H3058" s="399" t="n"/>
      <c r="J3058" s="392">
        <f>IFERROR(UPPER(TRIM(B3058))&amp;"|"&amp;UPPER(TRIM(C3058))&amp;"|"&amp;UPPER(TRIM(D3058)),"")</f>
        <v/>
      </c>
    </row>
    <row r="3059" ht="15.75" customHeight="1" s="217">
      <c r="A3059" s="400" t="n">
        <v>3057</v>
      </c>
      <c r="B3059" s="400" t="inlineStr">
        <is>
          <t>KH0699</t>
        </is>
      </c>
      <c r="C3059" s="401" t="inlineStr">
        <is>
          <t>Bãi Máy Ngọc Của - Anh Bình/ 0908.155.944</t>
        </is>
      </c>
      <c r="D3059" s="400" t="inlineStr">
        <is>
          <t>0908.155.944</t>
        </is>
      </c>
      <c r="E3059" s="402" t="n"/>
      <c r="F3059" s="401" t="inlineStr">
        <is>
          <t>Đối diện Đền Hùng, Xa lộ Hà Nội, Suối Tiên</t>
        </is>
      </c>
      <c r="G3059" s="400" t="inlineStr">
        <is>
          <t>SG/HCM</t>
        </is>
      </c>
      <c r="H3059" s="402" t="n"/>
      <c r="J3059" s="392">
        <f>IFERROR(UPPER(TRIM(B3059))&amp;"|"&amp;UPPER(TRIM(C3059))&amp;"|"&amp;UPPER(TRIM(D3059)),"")</f>
        <v/>
      </c>
    </row>
    <row r="3060" ht="15.75" customHeight="1" s="217">
      <c r="A3060" s="397" t="n">
        <v>3058</v>
      </c>
      <c r="B3060" s="397" t="inlineStr">
        <is>
          <t>KH0697</t>
        </is>
      </c>
      <c r="C3060" s="398" t="inlineStr">
        <is>
          <t>Anh Cảnh - Quận 5/ 0979.787.693</t>
        </is>
      </c>
      <c r="D3060" s="397" t="inlineStr">
        <is>
          <t>0979.787.693</t>
        </is>
      </c>
      <c r="E3060" s="399" t="n"/>
      <c r="F3060" s="398" t="inlineStr">
        <is>
          <t>Quận 5, TP HCM</t>
        </is>
      </c>
      <c r="G3060" s="397" t="inlineStr">
        <is>
          <t>SG/HCM</t>
        </is>
      </c>
      <c r="H3060" s="399" t="n"/>
      <c r="J3060" s="392">
        <f>IFERROR(UPPER(TRIM(B3060))&amp;"|"&amp;UPPER(TRIM(C3060))&amp;"|"&amp;UPPER(TRIM(D3060)),"")</f>
        <v/>
      </c>
    </row>
    <row r="3061" ht="15.75" customHeight="1" s="217">
      <c r="A3061" s="400" t="n">
        <v>3059</v>
      </c>
      <c r="B3061" s="400" t="inlineStr">
        <is>
          <t>KH0691</t>
        </is>
      </c>
      <c r="C3061" s="401" t="inlineStr">
        <is>
          <t>Anh Điệp - Quy Nhơn/ 0908.074.025</t>
        </is>
      </c>
      <c r="D3061" s="400" t="inlineStr">
        <is>
          <t>0908.074.025</t>
        </is>
      </c>
      <c r="E3061" s="402" t="n"/>
      <c r="F3061" s="401" t="inlineStr">
        <is>
          <t>Quy Nhơn, Bình Định</t>
        </is>
      </c>
      <c r="G3061" s="400" t="inlineStr">
        <is>
          <t>BDINH</t>
        </is>
      </c>
      <c r="H3061" s="402" t="n"/>
      <c r="J3061" s="392">
        <f>IFERROR(UPPER(TRIM(B3061))&amp;"|"&amp;UPPER(TRIM(C3061))&amp;"|"&amp;UPPER(TRIM(D3061)),"")</f>
        <v/>
      </c>
    </row>
    <row r="3062" ht="15.75" customHeight="1" s="217">
      <c r="A3062" s="397" t="n">
        <v>3060</v>
      </c>
      <c r="B3062" s="397" t="inlineStr">
        <is>
          <t>KH0692</t>
        </is>
      </c>
      <c r="C3062" s="398" t="inlineStr">
        <is>
          <t>Anh Tuấn - Lâm Đồng / 0982.786.507</t>
        </is>
      </c>
      <c r="D3062" s="397" t="inlineStr">
        <is>
          <t>0982.786.507</t>
        </is>
      </c>
      <c r="E3062" s="399" t="n"/>
      <c r="F3062" s="398" t="inlineStr">
        <is>
          <t>Lâm Đồng</t>
        </is>
      </c>
      <c r="G3062" s="397" t="inlineStr">
        <is>
          <t>LDONG</t>
        </is>
      </c>
      <c r="H3062" s="399" t="n"/>
      <c r="J3062" s="392">
        <f>IFERROR(UPPER(TRIM(B3062))&amp;"|"&amp;UPPER(TRIM(C3062))&amp;"|"&amp;UPPER(TRIM(D3062)),"")</f>
        <v/>
      </c>
    </row>
    <row r="3063" ht="15.75" customHeight="1" s="217">
      <c r="A3063" s="400" t="n">
        <v>3061</v>
      </c>
      <c r="B3063" s="400" t="inlineStr">
        <is>
          <t>KH0693</t>
        </is>
      </c>
      <c r="C3063" s="401" t="inlineStr">
        <is>
          <t>Anh Hò - Cửa hàng Thọ Trương/ 0902.728.571, KT C Hiền 0378.027.384</t>
        </is>
      </c>
      <c r="D3063" s="400" t="inlineStr">
        <is>
          <t>0902.728.571 / 0378.027.384</t>
        </is>
      </c>
      <c r="E3063" s="402" t="n"/>
      <c r="F3063" s="401" t="inlineStr">
        <is>
          <t>(Cầu Đồng Nai) Số 231, Xa lộ HN, KP Quyết Thắng, Bình Thắng, Dĩ An, Bình Dương</t>
        </is>
      </c>
      <c r="G3063" s="400" t="inlineStr">
        <is>
          <t>SG/HCM</t>
        </is>
      </c>
      <c r="H3063" s="402" t="n"/>
      <c r="J3063" s="392">
        <f>IFERROR(UPPER(TRIM(B3063))&amp;"|"&amp;UPPER(TRIM(C3063))&amp;"|"&amp;UPPER(TRIM(D3063)),"")</f>
        <v/>
      </c>
    </row>
    <row r="3064" ht="15.75" customHeight="1" s="217">
      <c r="A3064" s="397" t="n">
        <v>3062</v>
      </c>
      <c r="B3064" s="397" t="inlineStr">
        <is>
          <t>KH0694</t>
        </is>
      </c>
      <c r="C3064" s="398" t="inlineStr">
        <is>
          <t>Xưởng anh Hạnh - Tân Vạn/ 0913.742.042</t>
        </is>
      </c>
      <c r="D3064" s="397" t="inlineStr">
        <is>
          <t>0913.742.042</t>
        </is>
      </c>
      <c r="E3064" s="399" t="n"/>
      <c r="F3064" s="398" t="inlineStr">
        <is>
          <t>Tân Vạn, Đồng Nai</t>
        </is>
      </c>
      <c r="G3064" s="397" t="inlineStr">
        <is>
          <t>SG/HCM</t>
        </is>
      </c>
      <c r="H3064" s="399" t="n"/>
      <c r="J3064" s="392">
        <f>IFERROR(UPPER(TRIM(B3064))&amp;"|"&amp;UPPER(TRIM(C3064))&amp;"|"&amp;UPPER(TRIM(D3064)),"")</f>
        <v/>
      </c>
    </row>
    <row r="3065" ht="15.75" customHeight="1" s="217">
      <c r="A3065" s="400" t="n">
        <v>3063</v>
      </c>
      <c r="B3065" s="400" t="inlineStr">
        <is>
          <t>KH0695</t>
        </is>
      </c>
      <c r="C3065" s="401" t="inlineStr">
        <is>
          <t>Anh Quân - Cửa hàng Thọ Trương/ 0918.841.483 -  KT C Thảo 0397.333.759</t>
        </is>
      </c>
      <c r="D3065" s="400" t="inlineStr">
        <is>
          <t>0918.841.483 / 0397.333.759</t>
        </is>
      </c>
      <c r="E3065" s="402" t="n"/>
      <c r="F3065" s="401" t="inlineStr">
        <is>
          <t>(Trạm thu phí Cầu Đồng Nai) số 1132B, Xa lộ HN, KP10, An Bình, Biên Hòa, Đồng Nai</t>
        </is>
      </c>
      <c r="G3065" s="400" t="inlineStr">
        <is>
          <t>SG/HCM</t>
        </is>
      </c>
      <c r="H3065" s="402" t="n"/>
      <c r="J3065" s="392">
        <f>IFERROR(UPPER(TRIM(B3065))&amp;"|"&amp;UPPER(TRIM(C3065))&amp;"|"&amp;UPPER(TRIM(D3065)),"")</f>
        <v/>
      </c>
    </row>
    <row r="3066" ht="15.75" customHeight="1" s="217">
      <c r="A3066" s="397" t="n">
        <v>3064</v>
      </c>
      <c r="B3066" s="397" t="inlineStr">
        <is>
          <t>KH0696</t>
        </is>
      </c>
      <c r="C3066" s="398" t="inlineStr">
        <is>
          <t>Anh Tịnh - Thủ Đức / 0963.262.292</t>
        </is>
      </c>
      <c r="D3066" s="397" t="inlineStr">
        <is>
          <t>0963.262.292</t>
        </is>
      </c>
      <c r="E3066" s="399" t="n"/>
      <c r="F3066" s="398" t="inlineStr">
        <is>
          <t>81 Dương Văn Cam, Linh Tây, Thủ Đức</t>
        </is>
      </c>
      <c r="G3066" s="397" t="inlineStr">
        <is>
          <t>SG/HCM</t>
        </is>
      </c>
      <c r="H3066" s="399" t="n"/>
      <c r="J3066" s="392">
        <f>IFERROR(UPPER(TRIM(B3066))&amp;"|"&amp;UPPER(TRIM(C3066))&amp;"|"&amp;UPPER(TRIM(D3066)),"")</f>
        <v/>
      </c>
    </row>
    <row r="3067" ht="15.75" customHeight="1" s="217">
      <c r="A3067" s="400" t="n">
        <v>3065</v>
      </c>
      <c r="B3067" s="400" t="inlineStr">
        <is>
          <t>KH0689</t>
        </is>
      </c>
      <c r="C3067" s="401" t="inlineStr">
        <is>
          <t>Anh Liêm - Tam Bình/ 0908.850.015</t>
        </is>
      </c>
      <c r="D3067" s="400" t="inlineStr">
        <is>
          <t>0908.850.015</t>
        </is>
      </c>
      <c r="E3067" s="402" t="n"/>
      <c r="F3067" s="401" t="inlineStr">
        <is>
          <t>Tam Bình - Thủ Đức</t>
        </is>
      </c>
      <c r="G3067" s="400" t="inlineStr">
        <is>
          <t>SG/HCM</t>
        </is>
      </c>
      <c r="H3067" s="402" t="n"/>
      <c r="J3067" s="392">
        <f>IFERROR(UPPER(TRIM(B3067))&amp;"|"&amp;UPPER(TRIM(C3067))&amp;"|"&amp;UPPER(TRIM(D3067)),"")</f>
        <v/>
      </c>
    </row>
    <row r="3068" ht="15.75" customHeight="1" s="217">
      <c r="A3068" s="397" t="n">
        <v>3066</v>
      </c>
      <c r="B3068" s="397" t="inlineStr">
        <is>
          <t>KH0690</t>
        </is>
      </c>
      <c r="C3068" s="398" t="inlineStr">
        <is>
          <t>Chú Tánh - Phú Nhuận / 0933.839.226</t>
        </is>
      </c>
      <c r="D3068" s="397" t="inlineStr">
        <is>
          <t>0933.839.226</t>
        </is>
      </c>
      <c r="E3068" s="399" t="n"/>
      <c r="F3068" s="398" t="inlineStr">
        <is>
          <t>12/10 Hoàng Diệu, Quận Phú Nhuận, Tp.HCM</t>
        </is>
      </c>
      <c r="G3068" s="397" t="inlineStr">
        <is>
          <t>SG/HCM</t>
        </is>
      </c>
      <c r="H3068" s="399" t="n"/>
      <c r="J3068" s="392">
        <f>IFERROR(UPPER(TRIM(B3068))&amp;"|"&amp;UPPER(TRIM(C3068))&amp;"|"&amp;UPPER(TRIM(D3068)),"")</f>
        <v/>
      </c>
    </row>
    <row r="3069" ht="15.75" customHeight="1" s="217">
      <c r="A3069" s="400" t="n">
        <v>3067</v>
      </c>
      <c r="B3069" s="400" t="inlineStr">
        <is>
          <t>KH0687</t>
        </is>
      </c>
      <c r="C3069" s="401" t="inlineStr">
        <is>
          <t>Cửa hàng Anh Tuấn - Phan Thiết / 0982.884.808</t>
        </is>
      </c>
      <c r="D3069" s="400" t="inlineStr">
        <is>
          <t>0982.884.808</t>
        </is>
      </c>
      <c r="E3069" s="402" t="n"/>
      <c r="F3069" s="401" t="inlineStr">
        <is>
          <t>Phan Thiết</t>
        </is>
      </c>
      <c r="G3069" s="400" t="inlineStr">
        <is>
          <t>BTHUAN</t>
        </is>
      </c>
      <c r="H3069" s="402" t="n"/>
      <c r="J3069" s="392">
        <f>IFERROR(UPPER(TRIM(B3069))&amp;"|"&amp;UPPER(TRIM(C3069))&amp;"|"&amp;UPPER(TRIM(D3069)),"")</f>
        <v/>
      </c>
    </row>
    <row r="3070" ht="15.75" customHeight="1" s="217">
      <c r="A3070" s="397" t="n">
        <v>3068</v>
      </c>
      <c r="B3070" s="397" t="inlineStr">
        <is>
          <t>KH0684</t>
        </is>
      </c>
      <c r="C3070" s="398" t="inlineStr">
        <is>
          <t>Xưởng Hợp Lực - Bình Dương/ anh Nghĩa -  0918.076.090</t>
        </is>
      </c>
      <c r="D3070" s="397" t="inlineStr">
        <is>
          <t>0918.076.090</t>
        </is>
      </c>
      <c r="E3070" s="399" t="n"/>
      <c r="F3070" s="398" t="inlineStr">
        <is>
          <t>Bình Dương</t>
        </is>
      </c>
      <c r="G3070" s="397" t="inlineStr">
        <is>
          <t>BDUONG</t>
        </is>
      </c>
      <c r="H3070" s="399" t="n"/>
      <c r="J3070" s="392">
        <f>IFERROR(UPPER(TRIM(B3070))&amp;"|"&amp;UPPER(TRIM(C3070))&amp;"|"&amp;UPPER(TRIM(D3070)),"")</f>
        <v/>
      </c>
    </row>
    <row r="3071" ht="15.75" customHeight="1" s="217">
      <c r="A3071" s="400" t="n">
        <v>3069</v>
      </c>
      <c r="B3071" s="400" t="inlineStr">
        <is>
          <t>KH0685</t>
        </is>
      </c>
      <c r="C3071" s="401" t="inlineStr">
        <is>
          <t>DNTN Hữu Hùng - A Bảy / 0909.113.538</t>
        </is>
      </c>
      <c r="D3071" s="400" t="inlineStr">
        <is>
          <t>0909.113.538</t>
        </is>
      </c>
      <c r="E3071" s="402" t="n"/>
      <c r="F3071" s="401" t="inlineStr">
        <is>
          <t>ấp Thạnh Hòa, X An Thạnh Thủy, H.Chợ Gạo, T.Tiền Giang</t>
        </is>
      </c>
      <c r="G3071" s="400" t="inlineStr">
        <is>
          <t>TGIANG</t>
        </is>
      </c>
      <c r="H3071" s="402" t="n"/>
      <c r="J3071" s="392">
        <f>IFERROR(UPPER(TRIM(B3071))&amp;"|"&amp;UPPER(TRIM(C3071))&amp;"|"&amp;UPPER(TRIM(D3071)),"")</f>
        <v/>
      </c>
    </row>
    <row r="3072" ht="15.75" customHeight="1" s="217">
      <c r="A3072" s="397" t="n">
        <v>3070</v>
      </c>
      <c r="B3072" s="397" t="inlineStr">
        <is>
          <t>KH0686</t>
        </is>
      </c>
      <c r="C3072" s="398" t="inlineStr">
        <is>
          <t>Anh Tâm - Đăk Lăk / 0975.657.979</t>
        </is>
      </c>
      <c r="D3072" s="397" t="inlineStr">
        <is>
          <t>0975.657.979</t>
        </is>
      </c>
      <c r="E3072" s="399" t="n"/>
      <c r="F3072" s="398" t="inlineStr">
        <is>
          <t>Đăk Lăk</t>
        </is>
      </c>
      <c r="G3072" s="397" t="inlineStr">
        <is>
          <t>ÐL</t>
        </is>
      </c>
      <c r="H3072" s="399" t="n"/>
      <c r="J3072" s="392">
        <f>IFERROR(UPPER(TRIM(B3072))&amp;"|"&amp;UPPER(TRIM(C3072))&amp;"|"&amp;UPPER(TRIM(D3072)),"")</f>
        <v/>
      </c>
    </row>
    <row r="3073" ht="15.75" customHeight="1" s="217">
      <c r="A3073" s="400" t="n">
        <v>3071</v>
      </c>
      <c r="B3073" s="400" t="inlineStr">
        <is>
          <t>KH0680</t>
        </is>
      </c>
      <c r="C3073" s="401" t="inlineStr">
        <is>
          <t>Anh Nam - Bảo Lộc / 0974.192.748</t>
        </is>
      </c>
      <c r="D3073" s="400" t="inlineStr">
        <is>
          <t>0974.192.748</t>
        </is>
      </c>
      <c r="E3073" s="402" t="n"/>
      <c r="F3073" s="403" t="n"/>
      <c r="G3073" s="400" t="inlineStr">
        <is>
          <t>LDONG</t>
        </is>
      </c>
      <c r="H3073" s="402" t="n"/>
      <c r="J3073" s="392">
        <f>IFERROR(UPPER(TRIM(B3073))&amp;"|"&amp;UPPER(TRIM(C3073))&amp;"|"&amp;UPPER(TRIM(D3073)),"")</f>
        <v/>
      </c>
    </row>
    <row r="3074" ht="15.75" customHeight="1" s="217">
      <c r="A3074" s="397" t="n">
        <v>3072</v>
      </c>
      <c r="B3074" s="397" t="inlineStr">
        <is>
          <t>KH0681</t>
        </is>
      </c>
      <c r="C3074" s="398" t="inlineStr">
        <is>
          <t>Chị Phương - Gia Nghĩa / 01646.880.818</t>
        </is>
      </c>
      <c r="D3074" s="397" t="inlineStr">
        <is>
          <t>01646.880.818</t>
        </is>
      </c>
      <c r="E3074" s="399" t="n"/>
      <c r="F3074" s="398" t="inlineStr">
        <is>
          <t>Gia Nghĩa, Đăk Nông</t>
        </is>
      </c>
      <c r="G3074" s="397" t="inlineStr">
        <is>
          <t>DNONG</t>
        </is>
      </c>
      <c r="H3074" s="399" t="n"/>
      <c r="J3074" s="392">
        <f>IFERROR(UPPER(TRIM(B3074))&amp;"|"&amp;UPPER(TRIM(C3074))&amp;"|"&amp;UPPER(TRIM(D3074)),"")</f>
        <v/>
      </c>
    </row>
    <row r="3075" ht="15.75" customHeight="1" s="217">
      <c r="A3075" s="400" t="n">
        <v>3073</v>
      </c>
      <c r="B3075" s="400" t="inlineStr">
        <is>
          <t>KH0682</t>
        </is>
      </c>
      <c r="C3075" s="401" t="inlineStr">
        <is>
          <t>Chú Chung - DNTN Xây Dựng Nguyên Minh / 0925.946.242</t>
        </is>
      </c>
      <c r="D3075" s="400" t="inlineStr">
        <is>
          <t>0925.946.242</t>
        </is>
      </c>
      <c r="E3075" s="402" t="n"/>
      <c r="F3075" s="401" t="inlineStr">
        <is>
          <t>444 Thống Nhất, TX Lagi, Tỉnh Bình Thuận</t>
        </is>
      </c>
      <c r="G3075" s="400" t="inlineStr">
        <is>
          <t>BTHUAN</t>
        </is>
      </c>
      <c r="H3075" s="402" t="n"/>
      <c r="J3075" s="392">
        <f>IFERROR(UPPER(TRIM(B3075))&amp;"|"&amp;UPPER(TRIM(C3075))&amp;"|"&amp;UPPER(TRIM(D3075)),"")</f>
        <v/>
      </c>
    </row>
    <row r="3076" ht="15.75" customHeight="1" s="217">
      <c r="A3076" s="397" t="n">
        <v>3074</v>
      </c>
      <c r="B3076" s="397" t="inlineStr">
        <is>
          <t>KH0683</t>
        </is>
      </c>
      <c r="C3076" s="398" t="inlineStr">
        <is>
          <t>Anh Lâm - Bình Dương / 0907.223.339</t>
        </is>
      </c>
      <c r="D3076" s="397" t="inlineStr">
        <is>
          <t>0907.223.339</t>
        </is>
      </c>
      <c r="E3076" s="399" t="n"/>
      <c r="F3076" s="398" t="inlineStr">
        <is>
          <t>Bình Dương</t>
        </is>
      </c>
      <c r="G3076" s="397" t="inlineStr">
        <is>
          <t>BDUONG</t>
        </is>
      </c>
      <c r="H3076" s="399" t="n"/>
      <c r="J3076" s="392">
        <f>IFERROR(UPPER(TRIM(B3076))&amp;"|"&amp;UPPER(TRIM(C3076))&amp;"|"&amp;UPPER(TRIM(D3076)),"")</f>
        <v/>
      </c>
    </row>
    <row r="3077" ht="15.75" customHeight="1" s="217">
      <c r="A3077" s="400" t="n">
        <v>3075</v>
      </c>
      <c r="B3077" s="400" t="inlineStr">
        <is>
          <t>MN30</t>
        </is>
      </c>
      <c r="C3077" s="401" t="inlineStr">
        <is>
          <t>Nguyễn Văn Vững</t>
        </is>
      </c>
      <c r="D3077" s="402" t="n"/>
      <c r="E3077" s="402" t="n"/>
      <c r="F3077" s="401" t="inlineStr">
        <is>
          <t>CTCP Thiết Bị Cơ Giới Miền Nam</t>
        </is>
      </c>
      <c r="G3077" s="402" t="n"/>
      <c r="H3077" s="402" t="n"/>
      <c r="J3077" s="392">
        <f>IFERROR(UPPER(TRIM(B3077))&amp;"|"&amp;UPPER(TRIM(C3077))&amp;"|"&amp;UPPER(TRIM(D3077)),"")</f>
        <v/>
      </c>
    </row>
    <row r="3078" ht="15.75" customHeight="1" s="217">
      <c r="A3078" s="397" t="n">
        <v>3076</v>
      </c>
      <c r="B3078" s="397" t="inlineStr">
        <is>
          <t>KH0678</t>
        </is>
      </c>
      <c r="C3078" s="398" t="inlineStr">
        <is>
          <t>Anh Tuấn - Bạc Liêu / 0919.464.652</t>
        </is>
      </c>
      <c r="D3078" s="397" t="inlineStr">
        <is>
          <t>0919.464.652</t>
        </is>
      </c>
      <c r="E3078" s="399" t="n"/>
      <c r="F3078" s="398" t="inlineStr">
        <is>
          <t>Bạc Liêu</t>
        </is>
      </c>
      <c r="G3078" s="397" t="inlineStr">
        <is>
          <t>BLIEU</t>
        </is>
      </c>
      <c r="H3078" s="399" t="n"/>
      <c r="J3078" s="392">
        <f>IFERROR(UPPER(TRIM(B3078))&amp;"|"&amp;UPPER(TRIM(C3078))&amp;"|"&amp;UPPER(TRIM(D3078)),"")</f>
        <v/>
      </c>
    </row>
    <row r="3079" ht="15.75" customHeight="1" s="217">
      <c r="A3079" s="400" t="n">
        <v>3077</v>
      </c>
      <c r="B3079" s="400" t="inlineStr">
        <is>
          <t>KH0679</t>
        </is>
      </c>
      <c r="C3079" s="401" t="inlineStr">
        <is>
          <t>Anh Tú - Bình Phước / 0988.127.057</t>
        </is>
      </c>
      <c r="D3079" s="400" t="inlineStr">
        <is>
          <t>0988.127.057</t>
        </is>
      </c>
      <c r="E3079" s="402" t="n"/>
      <c r="F3079" s="401" t="inlineStr">
        <is>
          <t>Bình Minh, Bù Đăng, Bình Phước</t>
        </is>
      </c>
      <c r="G3079" s="400" t="inlineStr">
        <is>
          <t>BP</t>
        </is>
      </c>
      <c r="H3079" s="402" t="n"/>
      <c r="J3079" s="392">
        <f>IFERROR(UPPER(TRIM(B3079))&amp;"|"&amp;UPPER(TRIM(C3079))&amp;"|"&amp;UPPER(TRIM(D3079)),"")</f>
        <v/>
      </c>
    </row>
    <row r="3080" ht="15.75" customHeight="1" s="217">
      <c r="A3080" s="397" t="n">
        <v>3078</v>
      </c>
      <c r="B3080" s="397" t="inlineStr">
        <is>
          <t>KH0675</t>
        </is>
      </c>
      <c r="C3080" s="398" t="inlineStr">
        <is>
          <t>Chú Dương - Bình Dương / 0978.087.408</t>
        </is>
      </c>
      <c r="D3080" s="397" t="inlineStr">
        <is>
          <t>0978.087.408</t>
        </is>
      </c>
      <c r="E3080" s="399" t="n"/>
      <c r="F3080" s="398" t="inlineStr">
        <is>
          <t>Dĩ An, Bình Dương</t>
        </is>
      </c>
      <c r="G3080" s="397" t="inlineStr">
        <is>
          <t>SG/HCM</t>
        </is>
      </c>
      <c r="H3080" s="399" t="n"/>
      <c r="J3080" s="392">
        <f>IFERROR(UPPER(TRIM(B3080))&amp;"|"&amp;UPPER(TRIM(C3080))&amp;"|"&amp;UPPER(TRIM(D3080)),"")</f>
        <v/>
      </c>
    </row>
    <row r="3081" ht="15.75" customHeight="1" s="217">
      <c r="A3081" s="400" t="n">
        <v>3079</v>
      </c>
      <c r="B3081" s="400" t="inlineStr">
        <is>
          <t>KH0676</t>
        </is>
      </c>
      <c r="C3081" s="401" t="inlineStr">
        <is>
          <t>Xưởng Anh Tùng - Lâm Đồng / 0968.247.478</t>
        </is>
      </c>
      <c r="D3081" s="400" t="inlineStr">
        <is>
          <t>0968.247.478</t>
        </is>
      </c>
      <c r="E3081" s="402" t="n"/>
      <c r="F3081" s="401" t="inlineStr">
        <is>
          <t>Lâm Đồng</t>
        </is>
      </c>
      <c r="G3081" s="400" t="inlineStr">
        <is>
          <t>LDONG</t>
        </is>
      </c>
      <c r="H3081" s="402" t="n"/>
      <c r="J3081" s="392">
        <f>IFERROR(UPPER(TRIM(B3081))&amp;"|"&amp;UPPER(TRIM(C3081))&amp;"|"&amp;UPPER(TRIM(D3081)),"")</f>
        <v/>
      </c>
    </row>
    <row r="3082" ht="15.75" customHeight="1" s="217">
      <c r="A3082" s="397" t="n">
        <v>3080</v>
      </c>
      <c r="B3082" s="397" t="inlineStr">
        <is>
          <t>KH0677</t>
        </is>
      </c>
      <c r="C3082" s="398" t="inlineStr">
        <is>
          <t>Anh Hưởng - Lâm Đồng / 0982.046.333</t>
        </is>
      </c>
      <c r="D3082" s="397" t="inlineStr">
        <is>
          <t>0982.046.333</t>
        </is>
      </c>
      <c r="E3082" s="399" t="n"/>
      <c r="F3082" s="398" t="inlineStr">
        <is>
          <t>Tân Hà - Lâm Đồng</t>
        </is>
      </c>
      <c r="G3082" s="397" t="inlineStr">
        <is>
          <t>LDONG</t>
        </is>
      </c>
      <c r="H3082" s="399" t="n"/>
      <c r="J3082" s="392">
        <f>IFERROR(UPPER(TRIM(B3082))&amp;"|"&amp;UPPER(TRIM(C3082))&amp;"|"&amp;UPPER(TRIM(D3082)),"")</f>
        <v/>
      </c>
    </row>
    <row r="3083" ht="15.75" customHeight="1" s="217">
      <c r="A3083" s="400" t="n">
        <v>3081</v>
      </c>
      <c r="B3083" s="400" t="inlineStr">
        <is>
          <t>KH0673</t>
        </is>
      </c>
      <c r="C3083" s="401" t="inlineStr">
        <is>
          <t>DNTN Dịch Vụ Vận Tải Tiến Dũng - Phú Yên/ anh Dũng: 0968.742.777</t>
        </is>
      </c>
      <c r="D3083" s="400" t="inlineStr">
        <is>
          <t>0968.742.777</t>
        </is>
      </c>
      <c r="E3083" s="402" t="n"/>
      <c r="F3083" s="401" t="inlineStr">
        <is>
          <t>D42, Phú Hưng, Phường 5, TP Tuy Hòa, Phú Yên</t>
        </is>
      </c>
      <c r="G3083" s="400" t="inlineStr">
        <is>
          <t>PYEN</t>
        </is>
      </c>
      <c r="H3083" s="402" t="n"/>
      <c r="J3083" s="392">
        <f>IFERROR(UPPER(TRIM(B3083))&amp;"|"&amp;UPPER(TRIM(C3083))&amp;"|"&amp;UPPER(TRIM(D3083)),"")</f>
        <v/>
      </c>
    </row>
    <row r="3084" ht="15.75" customHeight="1" s="217">
      <c r="A3084" s="397" t="n">
        <v>3082</v>
      </c>
      <c r="B3084" s="397" t="inlineStr">
        <is>
          <t>KH0674</t>
        </is>
      </c>
      <c r="C3084" s="398" t="inlineStr">
        <is>
          <t>Bãi Máy Thanh Truyền - Suối Tiên / 0913.929.212</t>
        </is>
      </c>
      <c r="D3084" s="397" t="inlineStr">
        <is>
          <t>0913.929.212</t>
        </is>
      </c>
      <c r="E3084" s="399" t="n"/>
      <c r="F3084" s="398" t="inlineStr">
        <is>
          <t>Xa Lộ HN, Suối Tiên, SG</t>
        </is>
      </c>
      <c r="G3084" s="397" t="inlineStr">
        <is>
          <t>SG/HCM</t>
        </is>
      </c>
      <c r="H3084" s="399" t="n"/>
      <c r="J3084" s="392">
        <f>IFERROR(UPPER(TRIM(B3084))&amp;"|"&amp;UPPER(TRIM(C3084))&amp;"|"&amp;UPPER(TRIM(D3084)),"")</f>
        <v/>
      </c>
    </row>
    <row r="3085" ht="15.75" customHeight="1" s="217">
      <c r="A3085" s="400" t="n">
        <v>3083</v>
      </c>
      <c r="B3085" s="400" t="inlineStr">
        <is>
          <t>KH0671</t>
        </is>
      </c>
      <c r="C3085" s="401" t="inlineStr">
        <is>
          <t>Bãi Máy Anh Tuấn - Thủ Đức / 0903.661.970</t>
        </is>
      </c>
      <c r="D3085" s="400" t="inlineStr">
        <is>
          <t>0903.661.970</t>
        </is>
      </c>
      <c r="E3085" s="402" t="n"/>
      <c r="F3085" s="401" t="inlineStr">
        <is>
          <t>Linh Xuân, Thủ Đức</t>
        </is>
      </c>
      <c r="G3085" s="400" t="inlineStr">
        <is>
          <t>SG/HCM</t>
        </is>
      </c>
      <c r="H3085" s="402" t="n"/>
      <c r="J3085" s="392">
        <f>IFERROR(UPPER(TRIM(B3085))&amp;"|"&amp;UPPER(TRIM(C3085))&amp;"|"&amp;UPPER(TRIM(D3085)),"")</f>
        <v/>
      </c>
    </row>
    <row r="3086" ht="15.75" customHeight="1" s="217">
      <c r="A3086" s="397" t="n">
        <v>3084</v>
      </c>
      <c r="B3086" s="397" t="inlineStr">
        <is>
          <t>KH0672</t>
        </is>
      </c>
      <c r="C3086" s="398" t="inlineStr">
        <is>
          <t>Anh Nhân -Long An / 0918.538.628</t>
        </is>
      </c>
      <c r="D3086" s="397" t="inlineStr">
        <is>
          <t>0918.538.628</t>
        </is>
      </c>
      <c r="E3086" s="399" t="n"/>
      <c r="F3086" s="398" t="inlineStr">
        <is>
          <t>Cần Giuộc, Long An</t>
        </is>
      </c>
      <c r="G3086" s="397" t="inlineStr">
        <is>
          <t>LA</t>
        </is>
      </c>
      <c r="H3086" s="399" t="n"/>
      <c r="J3086" s="392">
        <f>IFERROR(UPPER(TRIM(B3086))&amp;"|"&amp;UPPER(TRIM(C3086))&amp;"|"&amp;UPPER(TRIM(D3086)),"")</f>
        <v/>
      </c>
    </row>
    <row r="3087" ht="15.75" customHeight="1" s="217">
      <c r="A3087" s="400" t="n">
        <v>3085</v>
      </c>
      <c r="B3087" s="400" t="inlineStr">
        <is>
          <t>KH0668</t>
        </is>
      </c>
      <c r="C3087" s="401" t="inlineStr">
        <is>
          <t>Xưởng Chín Bi - Tân Thạnh/ 0918.210.054</t>
        </is>
      </c>
      <c r="D3087" s="400" t="inlineStr">
        <is>
          <t>0918.210.054</t>
        </is>
      </c>
      <c r="E3087" s="402" t="n"/>
      <c r="F3087" s="401" t="inlineStr">
        <is>
          <t>Tân Thạnh, Đồng Tháp</t>
        </is>
      </c>
      <c r="G3087" s="400" t="inlineStr">
        <is>
          <t>DTHAP</t>
        </is>
      </c>
      <c r="H3087" s="402" t="n"/>
      <c r="J3087" s="392">
        <f>IFERROR(UPPER(TRIM(B3087))&amp;"|"&amp;UPPER(TRIM(C3087))&amp;"|"&amp;UPPER(TRIM(D3087)),"")</f>
        <v/>
      </c>
    </row>
    <row r="3088" ht="15.75" customHeight="1" s="217">
      <c r="A3088" s="397" t="n">
        <v>3086</v>
      </c>
      <c r="B3088" s="397" t="inlineStr">
        <is>
          <t>KH0669</t>
        </is>
      </c>
      <c r="C3088" s="398" t="inlineStr">
        <is>
          <t>Xưởng anh Tý - Cần Giuộc/ 0902.805.615</t>
        </is>
      </c>
      <c r="D3088" s="397" t="inlineStr">
        <is>
          <t>0902.805.615</t>
        </is>
      </c>
      <c r="E3088" s="399" t="n"/>
      <c r="F3088" s="398" t="inlineStr">
        <is>
          <t>Cần Giuộc, Long An</t>
        </is>
      </c>
      <c r="G3088" s="397" t="inlineStr">
        <is>
          <t>LA</t>
        </is>
      </c>
      <c r="H3088" s="399" t="n"/>
      <c r="J3088" s="392">
        <f>IFERROR(UPPER(TRIM(B3088))&amp;"|"&amp;UPPER(TRIM(C3088))&amp;"|"&amp;UPPER(TRIM(D3088)),"")</f>
        <v/>
      </c>
    </row>
    <row r="3089" ht="15.75" customHeight="1" s="217">
      <c r="A3089" s="400" t="n">
        <v>3087</v>
      </c>
      <c r="B3089" s="400" t="inlineStr">
        <is>
          <t>KH0670</t>
        </is>
      </c>
      <c r="C3089" s="401" t="inlineStr">
        <is>
          <t>Anh Sự - SG/ 0909.679.519</t>
        </is>
      </c>
      <c r="D3089" s="400" t="inlineStr">
        <is>
          <t>0909.679.519</t>
        </is>
      </c>
      <c r="E3089" s="402" t="n"/>
      <c r="F3089" s="401" t="inlineStr">
        <is>
          <t>Sài Gòn</t>
        </is>
      </c>
      <c r="G3089" s="400" t="inlineStr">
        <is>
          <t>SG/HCM</t>
        </is>
      </c>
      <c r="H3089" s="402" t="n"/>
      <c r="J3089" s="392">
        <f>IFERROR(UPPER(TRIM(B3089))&amp;"|"&amp;UPPER(TRIM(C3089))&amp;"|"&amp;UPPER(TRIM(D3089)),"")</f>
        <v/>
      </c>
    </row>
    <row r="3090" ht="15.75" customHeight="1" s="217">
      <c r="A3090" s="397" t="n">
        <v>3088</v>
      </c>
      <c r="B3090" s="397" t="inlineStr">
        <is>
          <t>KH0666</t>
        </is>
      </c>
      <c r="C3090" s="398" t="inlineStr">
        <is>
          <t>Xưởng anh Chín/ anh Bảy - Tân Vạn/ 0918.620.490 -0962.617.370</t>
        </is>
      </c>
      <c r="D3090" s="397" t="inlineStr">
        <is>
          <t>0918.620.490 / 0962.617.370</t>
        </is>
      </c>
      <c r="E3090" s="399" t="n"/>
      <c r="F3090" s="398" t="inlineStr">
        <is>
          <t>Tân Vạn, Bình Dương</t>
        </is>
      </c>
      <c r="G3090" s="397" t="inlineStr">
        <is>
          <t>BDUONG</t>
        </is>
      </c>
      <c r="H3090" s="399" t="n"/>
      <c r="J3090" s="392">
        <f>IFERROR(UPPER(TRIM(B3090))&amp;"|"&amp;UPPER(TRIM(C3090))&amp;"|"&amp;UPPER(TRIM(D3090)),"")</f>
        <v/>
      </c>
    </row>
    <row r="3091" ht="15.75" customHeight="1" s="217">
      <c r="A3091" s="400" t="n">
        <v>3089</v>
      </c>
      <c r="B3091" s="400" t="inlineStr">
        <is>
          <t>KH0667</t>
        </is>
      </c>
      <c r="C3091" s="401" t="inlineStr">
        <is>
          <t>X Anh Trường - Ninh Hòa / 01647.329.232</t>
        </is>
      </c>
      <c r="D3091" s="400" t="inlineStr">
        <is>
          <t>01647.329.232</t>
        </is>
      </c>
      <c r="E3091" s="402" t="n"/>
      <c r="F3091" s="401" t="inlineStr">
        <is>
          <t>Ninh Hòa - Nha Trang</t>
        </is>
      </c>
      <c r="G3091" s="400" t="inlineStr">
        <is>
          <t>NTRANG</t>
        </is>
      </c>
      <c r="H3091" s="402" t="n"/>
      <c r="J3091" s="392">
        <f>IFERROR(UPPER(TRIM(B3091))&amp;"|"&amp;UPPER(TRIM(C3091))&amp;"|"&amp;UPPER(TRIM(D3091)),"")</f>
        <v/>
      </c>
    </row>
    <row r="3092" ht="15.75" customHeight="1" s="217">
      <c r="A3092" s="397" t="n">
        <v>3090</v>
      </c>
      <c r="B3092" s="397" t="inlineStr">
        <is>
          <t>KH0665</t>
        </is>
      </c>
      <c r="C3092" s="398" t="inlineStr">
        <is>
          <t>Anh Lưỡng - Đồng Tháp / 0909.200.161</t>
        </is>
      </c>
      <c r="D3092" s="397" t="inlineStr">
        <is>
          <t>0909.200.161</t>
        </is>
      </c>
      <c r="E3092" s="399" t="n"/>
      <c r="F3092" s="398" t="inlineStr">
        <is>
          <t>Đường Chi Lăng, P3, Cao Lãnh, Đồng Tháp</t>
        </is>
      </c>
      <c r="G3092" s="397" t="inlineStr">
        <is>
          <t>DTHAP</t>
        </is>
      </c>
      <c r="H3092" s="399" t="n"/>
      <c r="J3092" s="392">
        <f>IFERROR(UPPER(TRIM(B3092))&amp;"|"&amp;UPPER(TRIM(C3092))&amp;"|"&amp;UPPER(TRIM(D3092)),"")</f>
        <v/>
      </c>
    </row>
    <row r="3093" ht="15.75" customHeight="1" s="217">
      <c r="A3093" s="400" t="n">
        <v>3091</v>
      </c>
      <c r="B3093" s="400" t="inlineStr">
        <is>
          <t>KH0664</t>
        </is>
      </c>
      <c r="C3093" s="401" t="inlineStr">
        <is>
          <t>Xưởng Anh Lộc - Vĩnh Long / 0988.232.329</t>
        </is>
      </c>
      <c r="D3093" s="400" t="inlineStr">
        <is>
          <t>0988.232.329</t>
        </is>
      </c>
      <c r="E3093" s="402" t="n"/>
      <c r="F3093" s="401" t="inlineStr">
        <is>
          <t>TP Vĩnh Long</t>
        </is>
      </c>
      <c r="G3093" s="400" t="inlineStr">
        <is>
          <t>VĨNH LONG</t>
        </is>
      </c>
      <c r="H3093" s="402" t="n"/>
      <c r="J3093" s="392">
        <f>IFERROR(UPPER(TRIM(B3093))&amp;"|"&amp;UPPER(TRIM(C3093))&amp;"|"&amp;UPPER(TRIM(D3093)),"")</f>
        <v/>
      </c>
    </row>
    <row r="3094" ht="15.75" customHeight="1" s="217">
      <c r="A3094" s="397" t="n">
        <v>3092</v>
      </c>
      <c r="B3094" s="397" t="inlineStr">
        <is>
          <t>KH0661</t>
        </is>
      </c>
      <c r="C3094" s="398" t="inlineStr">
        <is>
          <t>Chú Bảy Hoàng - Bạc Liêu / 0913.678.282</t>
        </is>
      </c>
      <c r="D3094" s="397" t="inlineStr">
        <is>
          <t>0913.678.282</t>
        </is>
      </c>
      <c r="E3094" s="399" t="n"/>
      <c r="F3094" s="398" t="inlineStr">
        <is>
          <t>Bạc Liêu</t>
        </is>
      </c>
      <c r="G3094" s="397" t="inlineStr">
        <is>
          <t>BLIEU</t>
        </is>
      </c>
      <c r="H3094" s="399" t="n"/>
      <c r="J3094" s="392">
        <f>IFERROR(UPPER(TRIM(B3094))&amp;"|"&amp;UPPER(TRIM(C3094))&amp;"|"&amp;UPPER(TRIM(D3094)),"")</f>
        <v/>
      </c>
    </row>
    <row r="3095" ht="15.75" customHeight="1" s="217">
      <c r="A3095" s="400" t="n">
        <v>3093</v>
      </c>
      <c r="B3095" s="400" t="inlineStr">
        <is>
          <t>KH0662</t>
        </is>
      </c>
      <c r="C3095" s="401" t="inlineStr">
        <is>
          <t>Anh Phong - Bạc Liêu/ 0949.551.233</t>
        </is>
      </c>
      <c r="D3095" s="400" t="inlineStr">
        <is>
          <t>0949.551.233</t>
        </is>
      </c>
      <c r="E3095" s="402" t="n"/>
      <c r="F3095" s="401" t="inlineStr">
        <is>
          <t>Bạc Liêu</t>
        </is>
      </c>
      <c r="G3095" s="400" t="inlineStr">
        <is>
          <t>BLIEU</t>
        </is>
      </c>
      <c r="H3095" s="402" t="n"/>
      <c r="J3095" s="392">
        <f>IFERROR(UPPER(TRIM(B3095))&amp;"|"&amp;UPPER(TRIM(C3095))&amp;"|"&amp;UPPER(TRIM(D3095)),"")</f>
        <v/>
      </c>
    </row>
    <row r="3096" ht="15.75" customHeight="1" s="217">
      <c r="A3096" s="397" t="n">
        <v>3094</v>
      </c>
      <c r="B3096" s="397" t="inlineStr">
        <is>
          <t>KH0663</t>
        </is>
      </c>
      <c r="C3096" s="398" t="inlineStr">
        <is>
          <t>Xưởng anh Quyến - Bến Tre/ 0943.909.947</t>
        </is>
      </c>
      <c r="D3096" s="397" t="inlineStr">
        <is>
          <t>0943.909.947</t>
        </is>
      </c>
      <c r="E3096" s="399" t="n"/>
      <c r="F3096" s="398" t="inlineStr">
        <is>
          <t>Bình Đại, Bến Tre</t>
        </is>
      </c>
      <c r="G3096" s="397" t="inlineStr">
        <is>
          <t>BTRE</t>
        </is>
      </c>
      <c r="H3096" s="399" t="n"/>
      <c r="J3096" s="392">
        <f>IFERROR(UPPER(TRIM(B3096))&amp;"|"&amp;UPPER(TRIM(C3096))&amp;"|"&amp;UPPER(TRIM(D3096)),"")</f>
        <v/>
      </c>
    </row>
    <row r="3097" ht="15.75" customHeight="1" s="217">
      <c r="A3097" s="400" t="n">
        <v>3095</v>
      </c>
      <c r="B3097" s="400" t="inlineStr">
        <is>
          <t>KH0659</t>
        </is>
      </c>
      <c r="C3097" s="401" t="inlineStr">
        <is>
          <t>Xưởng anh Xuân - Long An/ 0918.895.621</t>
        </is>
      </c>
      <c r="D3097" s="400" t="inlineStr">
        <is>
          <t>0918.895.621</t>
        </is>
      </c>
      <c r="E3097" s="402" t="n"/>
      <c r="F3097" s="401" t="inlineStr">
        <is>
          <t>Long An</t>
        </is>
      </c>
      <c r="G3097" s="400" t="inlineStr">
        <is>
          <t>LA</t>
        </is>
      </c>
      <c r="H3097" s="402" t="n"/>
      <c r="J3097" s="392">
        <f>IFERROR(UPPER(TRIM(B3097))&amp;"|"&amp;UPPER(TRIM(C3097))&amp;"|"&amp;UPPER(TRIM(D3097)),"")</f>
        <v/>
      </c>
    </row>
    <row r="3098" ht="15.75" customHeight="1" s="217">
      <c r="A3098" s="397" t="n">
        <v>3096</v>
      </c>
      <c r="B3098" s="397" t="inlineStr">
        <is>
          <t>KH0660</t>
        </is>
      </c>
      <c r="C3098" s="398" t="inlineStr">
        <is>
          <t>Xưởng Lâm Phong - Bạc Liêu/ 0974.990.099</t>
        </is>
      </c>
      <c r="D3098" s="397" t="inlineStr">
        <is>
          <t>0974.990.099</t>
        </is>
      </c>
      <c r="E3098" s="399" t="n"/>
      <c r="F3098" s="398" t="inlineStr">
        <is>
          <t>Cầu Cái Dầy, Bạc Liêu</t>
        </is>
      </c>
      <c r="G3098" s="397" t="inlineStr">
        <is>
          <t>BLIEU</t>
        </is>
      </c>
      <c r="H3098" s="399" t="n"/>
      <c r="J3098" s="392">
        <f>IFERROR(UPPER(TRIM(B3098))&amp;"|"&amp;UPPER(TRIM(C3098))&amp;"|"&amp;UPPER(TRIM(D3098)),"")</f>
        <v/>
      </c>
    </row>
    <row r="3099" ht="15.75" customHeight="1" s="217">
      <c r="A3099" s="400" t="n">
        <v>3097</v>
      </c>
      <c r="B3099" s="400" t="inlineStr">
        <is>
          <t>KH0658</t>
        </is>
      </c>
      <c r="C3099" s="401" t="inlineStr">
        <is>
          <t>Chị Thùy  - Hộ Phòng, Bạc Liêu / 0916.603.330</t>
        </is>
      </c>
      <c r="D3099" s="400" t="inlineStr">
        <is>
          <t>0916.603.330</t>
        </is>
      </c>
      <c r="E3099" s="402" t="n"/>
      <c r="F3099" s="401" t="inlineStr">
        <is>
          <t>Bạc Liêu</t>
        </is>
      </c>
      <c r="G3099" s="400" t="inlineStr">
        <is>
          <t>BLIEU</t>
        </is>
      </c>
      <c r="H3099" s="402" t="n"/>
      <c r="J3099" s="392">
        <f>IFERROR(UPPER(TRIM(B3099))&amp;"|"&amp;UPPER(TRIM(C3099))&amp;"|"&amp;UPPER(TRIM(D3099)),"")</f>
        <v/>
      </c>
    </row>
    <row r="3100" ht="15.75" customHeight="1" s="217">
      <c r="A3100" s="397" t="n">
        <v>3098</v>
      </c>
      <c r="B3100" s="397" t="inlineStr">
        <is>
          <t>KH0655</t>
        </is>
      </c>
      <c r="C3100" s="398" t="inlineStr">
        <is>
          <t>Bãi máy anh Nam - Trà Vinh/ 0945.042.500</t>
        </is>
      </c>
      <c r="D3100" s="397" t="inlineStr">
        <is>
          <t>0945.042.500</t>
        </is>
      </c>
      <c r="E3100" s="399" t="n"/>
      <c r="F3100" s="398" t="inlineStr">
        <is>
          <t>TP Trà Vinh, tỉnh Trà Vinh</t>
        </is>
      </c>
      <c r="G3100" s="397" t="inlineStr">
        <is>
          <t>TV</t>
        </is>
      </c>
      <c r="H3100" s="399" t="n"/>
      <c r="J3100" s="392">
        <f>IFERROR(UPPER(TRIM(B3100))&amp;"|"&amp;UPPER(TRIM(C3100))&amp;"|"&amp;UPPER(TRIM(D3100)),"")</f>
        <v/>
      </c>
    </row>
    <row r="3101" ht="15.75" customHeight="1" s="217">
      <c r="A3101" s="400" t="n">
        <v>3099</v>
      </c>
      <c r="B3101" s="400" t="inlineStr">
        <is>
          <t>KH0656</t>
        </is>
      </c>
      <c r="C3101" s="401" t="inlineStr">
        <is>
          <t>Bãi Máy Ba Bền - Q8 / 0913.786.308</t>
        </is>
      </c>
      <c r="D3101" s="400" t="inlineStr">
        <is>
          <t>0913.786.308</t>
        </is>
      </c>
      <c r="E3101" s="402" t="n"/>
      <c r="F3101" s="401" t="inlineStr">
        <is>
          <t>Nguyễn Văn Linh, Q8</t>
        </is>
      </c>
      <c r="G3101" s="400" t="inlineStr">
        <is>
          <t>SG/HCM</t>
        </is>
      </c>
      <c r="H3101" s="402" t="n"/>
      <c r="J3101" s="392">
        <f>IFERROR(UPPER(TRIM(B3101))&amp;"|"&amp;UPPER(TRIM(C3101))&amp;"|"&amp;UPPER(TRIM(D3101)),"")</f>
        <v/>
      </c>
    </row>
    <row r="3102" ht="15.75" customHeight="1" s="217">
      <c r="A3102" s="397" t="n">
        <v>3100</v>
      </c>
      <c r="B3102" s="397" t="inlineStr">
        <is>
          <t>KH0657</t>
        </is>
      </c>
      <c r="C3102" s="398" t="inlineStr">
        <is>
          <t>Gara Anh Kiệt - Bình Dương / 0909.447.729</t>
        </is>
      </c>
      <c r="D3102" s="397" t="inlineStr">
        <is>
          <t>0909.447.729</t>
        </is>
      </c>
      <c r="E3102" s="399" t="n"/>
      <c r="F3102" s="398" t="inlineStr">
        <is>
          <t>Bình Dương</t>
        </is>
      </c>
      <c r="G3102" s="397" t="inlineStr">
        <is>
          <t>BDUONG</t>
        </is>
      </c>
      <c r="H3102" s="399" t="n"/>
      <c r="J3102" s="392">
        <f>IFERROR(UPPER(TRIM(B3102))&amp;"|"&amp;UPPER(TRIM(C3102))&amp;"|"&amp;UPPER(TRIM(D3102)),"")</f>
        <v/>
      </c>
    </row>
    <row r="3103" ht="15.75" customHeight="1" s="217">
      <c r="A3103" s="400" t="n">
        <v>3101</v>
      </c>
      <c r="B3103" s="400" t="inlineStr">
        <is>
          <t>KH0654</t>
        </is>
      </c>
      <c r="C3103" s="401" t="inlineStr">
        <is>
          <t>Xưởng Anh An - Bình Chánh / 0989.181.872</t>
        </is>
      </c>
      <c r="D3103" s="400" t="inlineStr">
        <is>
          <t>0989.181.872</t>
        </is>
      </c>
      <c r="E3103" s="402" t="n"/>
      <c r="F3103" s="401" t="inlineStr">
        <is>
          <t>Bình Chánh - SG</t>
        </is>
      </c>
      <c r="G3103" s="400" t="inlineStr">
        <is>
          <t>SG/HCM</t>
        </is>
      </c>
      <c r="H3103" s="402" t="n"/>
      <c r="J3103" s="392">
        <f>IFERROR(UPPER(TRIM(B3103))&amp;"|"&amp;UPPER(TRIM(C3103))&amp;"|"&amp;UPPER(TRIM(D3103)),"")</f>
        <v/>
      </c>
    </row>
    <row r="3104" ht="15.75" customHeight="1" s="217">
      <c r="A3104" s="397" t="n">
        <v>3102</v>
      </c>
      <c r="B3104" s="397" t="inlineStr">
        <is>
          <t>KH0652</t>
        </is>
      </c>
      <c r="C3104" s="398" t="inlineStr">
        <is>
          <t>Gara Thông - Phan Thiết / Anh Thông 0908.022.567</t>
        </is>
      </c>
      <c r="D3104" s="397" t="inlineStr">
        <is>
          <t>0908.022.567</t>
        </is>
      </c>
      <c r="E3104" s="399" t="n"/>
      <c r="F3104" s="398" t="inlineStr">
        <is>
          <t>Phan Thiết</t>
        </is>
      </c>
      <c r="G3104" s="397" t="inlineStr">
        <is>
          <t>BTHUAN</t>
        </is>
      </c>
      <c r="H3104" s="399" t="n"/>
      <c r="J3104" s="392">
        <f>IFERROR(UPPER(TRIM(B3104))&amp;"|"&amp;UPPER(TRIM(C3104))&amp;"|"&amp;UPPER(TRIM(D3104)),"")</f>
        <v/>
      </c>
    </row>
    <row r="3105" ht="15.75" customHeight="1" s="217">
      <c r="A3105" s="400" t="n">
        <v>3103</v>
      </c>
      <c r="B3105" s="400" t="inlineStr">
        <is>
          <t>KH0653</t>
        </is>
      </c>
      <c r="C3105" s="401" t="inlineStr">
        <is>
          <t>Bãi Máy Minh Hùng - Anh Kiệt / 0913.745.709</t>
        </is>
      </c>
      <c r="D3105" s="400" t="inlineStr">
        <is>
          <t>0913.745.709</t>
        </is>
      </c>
      <c r="E3105" s="402" t="n"/>
      <c r="F3105" s="401" t="inlineStr">
        <is>
          <t>XL HN, Suối Tiên, HCM</t>
        </is>
      </c>
      <c r="G3105" s="400" t="inlineStr">
        <is>
          <t>SG/HCM</t>
        </is>
      </c>
      <c r="H3105" s="402" t="n"/>
      <c r="J3105" s="392">
        <f>IFERROR(UPPER(TRIM(B3105))&amp;"|"&amp;UPPER(TRIM(C3105))&amp;"|"&amp;UPPER(TRIM(D3105)),"")</f>
        <v/>
      </c>
    </row>
    <row r="3106" ht="15.75" customHeight="1" s="217">
      <c r="A3106" s="397" t="n">
        <v>3104</v>
      </c>
      <c r="B3106" s="397" t="inlineStr">
        <is>
          <t>LT</t>
        </is>
      </c>
      <c r="C3106" s="398" t="inlineStr">
        <is>
          <t>Suzhou Longwear Tiger Construction Construction Machinery Co., Ltd.</t>
        </is>
      </c>
      <c r="D3106" s="399" t="n"/>
      <c r="E3106" s="399" t="n"/>
      <c r="F3106" s="398" t="inlineStr">
        <is>
          <t>No 241, Jinshang Road, Jinxi Town, Kunshan City, Jiangsu Province, China</t>
        </is>
      </c>
      <c r="G3106" s="399" t="n"/>
      <c r="H3106" s="399" t="n"/>
      <c r="J3106" s="392">
        <f>IFERROR(UPPER(TRIM(B3106))&amp;"|"&amp;UPPER(TRIM(C3106))&amp;"|"&amp;UPPER(TRIM(D3106)),"")</f>
        <v/>
      </c>
    </row>
    <row r="3107" ht="15.75" customHeight="1" s="217">
      <c r="A3107" s="400" t="n">
        <v>3105</v>
      </c>
      <c r="B3107" s="400" t="inlineStr">
        <is>
          <t>KH0651</t>
        </is>
      </c>
      <c r="C3107" s="401" t="inlineStr">
        <is>
          <t>Chị Kim - An Giang / 01272.444.007</t>
        </is>
      </c>
      <c r="D3107" s="400" t="inlineStr">
        <is>
          <t>01272.444.007</t>
        </is>
      </c>
      <c r="E3107" s="402" t="n"/>
      <c r="F3107" s="401" t="inlineStr">
        <is>
          <t>An Giang</t>
        </is>
      </c>
      <c r="G3107" s="400" t="inlineStr">
        <is>
          <t>ANGIANG</t>
        </is>
      </c>
      <c r="H3107" s="402" t="n"/>
      <c r="J3107" s="392">
        <f>IFERROR(UPPER(TRIM(B3107))&amp;"|"&amp;UPPER(TRIM(C3107))&amp;"|"&amp;UPPER(TRIM(D3107)),"")</f>
        <v/>
      </c>
    </row>
    <row r="3108" ht="15.75" customHeight="1" s="217">
      <c r="A3108" s="397" t="n">
        <v>3106</v>
      </c>
      <c r="B3108" s="397" t="inlineStr">
        <is>
          <t>KH0650</t>
        </is>
      </c>
      <c r="C3108" s="398" t="inlineStr">
        <is>
          <t>Anh Chí -XLHN/ 0983.496.392</t>
        </is>
      </c>
      <c r="D3108" s="397" t="inlineStr">
        <is>
          <t>0983.496.392</t>
        </is>
      </c>
      <c r="E3108" s="399" t="n"/>
      <c r="F3108" s="398" t="inlineStr">
        <is>
          <t>Xa Lộ Hà Nội, SG</t>
        </is>
      </c>
      <c r="G3108" s="397" t="inlineStr">
        <is>
          <t>SG/HCM</t>
        </is>
      </c>
      <c r="H3108" s="399" t="n"/>
      <c r="J3108" s="392">
        <f>IFERROR(UPPER(TRIM(B3108))&amp;"|"&amp;UPPER(TRIM(C3108))&amp;"|"&amp;UPPER(TRIM(D3108)),"")</f>
        <v/>
      </c>
    </row>
    <row r="3109" ht="15.75" customHeight="1" s="217">
      <c r="A3109" s="400" t="n">
        <v>3107</v>
      </c>
      <c r="B3109" s="400" t="inlineStr">
        <is>
          <t>MN29</t>
        </is>
      </c>
      <c r="C3109" s="401" t="inlineStr">
        <is>
          <t>Nguyễn Hữu Trí</t>
        </is>
      </c>
      <c r="D3109" s="402" t="n"/>
      <c r="E3109" s="402" t="n"/>
      <c r="F3109" s="401" t="inlineStr">
        <is>
          <t>Công ty CP Thiết Bị Cơ Giới Miền Nam</t>
        </is>
      </c>
      <c r="G3109" s="402" t="n"/>
      <c r="H3109" s="402" t="n"/>
      <c r="J3109" s="392">
        <f>IFERROR(UPPER(TRIM(B3109))&amp;"|"&amp;UPPER(TRIM(C3109))&amp;"|"&amp;UPPER(TRIM(D3109)),"")</f>
        <v/>
      </c>
    </row>
    <row r="3110" ht="15.75" customHeight="1" s="217">
      <c r="A3110" s="397" t="n">
        <v>3108</v>
      </c>
      <c r="B3110" s="397" t="inlineStr">
        <is>
          <t>KH0649</t>
        </is>
      </c>
      <c r="C3110" s="398" t="inlineStr">
        <is>
          <t>Cửa Hàng anh Phi - Gia Lai. / 0971.543.030</t>
        </is>
      </c>
      <c r="D3110" s="397" t="inlineStr">
        <is>
          <t>0971.543.030</t>
        </is>
      </c>
      <c r="E3110" s="399" t="n"/>
      <c r="F3110" s="398" t="inlineStr">
        <is>
          <t>Gia Lai</t>
        </is>
      </c>
      <c r="G3110" s="397" t="inlineStr">
        <is>
          <t>GLAI</t>
        </is>
      </c>
      <c r="H3110" s="399" t="n"/>
      <c r="J3110" s="392">
        <f>IFERROR(UPPER(TRIM(B3110))&amp;"|"&amp;UPPER(TRIM(C3110))&amp;"|"&amp;UPPER(TRIM(D3110)),"")</f>
        <v/>
      </c>
    </row>
    <row r="3111" ht="15.75" customHeight="1" s="217">
      <c r="A3111" s="400" t="n">
        <v>3109</v>
      </c>
      <c r="B3111" s="400" t="inlineStr">
        <is>
          <t>KH0646</t>
        </is>
      </c>
      <c r="C3111" s="401" t="inlineStr">
        <is>
          <t>Anh út - Tiền Giang / 0917.193.938</t>
        </is>
      </c>
      <c r="D3111" s="400" t="inlineStr">
        <is>
          <t>0917.193.938</t>
        </is>
      </c>
      <c r="E3111" s="402" t="n"/>
      <c r="F3111" s="401" t="inlineStr">
        <is>
          <t>Tiền Giang</t>
        </is>
      </c>
      <c r="G3111" s="400" t="inlineStr">
        <is>
          <t>TGIANG</t>
        </is>
      </c>
      <c r="H3111" s="402" t="n"/>
      <c r="J3111" s="392">
        <f>IFERROR(UPPER(TRIM(B3111))&amp;"|"&amp;UPPER(TRIM(C3111))&amp;"|"&amp;UPPER(TRIM(D3111)),"")</f>
        <v/>
      </c>
    </row>
    <row r="3112" ht="15.75" customHeight="1" s="217">
      <c r="A3112" s="397" t="n">
        <v>3110</v>
      </c>
      <c r="B3112" s="397" t="inlineStr">
        <is>
          <t>KH0647</t>
        </is>
      </c>
      <c r="C3112" s="398" t="inlineStr">
        <is>
          <t>Anh Hiệu - Bình Dương / 0985.855.582</t>
        </is>
      </c>
      <c r="D3112" s="397" t="inlineStr">
        <is>
          <t>0985.855.582</t>
        </is>
      </c>
      <c r="E3112" s="399" t="n"/>
      <c r="F3112" s="398" t="inlineStr">
        <is>
          <t>Dĩ An, Bình Dương</t>
        </is>
      </c>
      <c r="G3112" s="397" t="inlineStr">
        <is>
          <t>BDUONG</t>
        </is>
      </c>
      <c r="H3112" s="399" t="n"/>
      <c r="J3112" s="392">
        <f>IFERROR(UPPER(TRIM(B3112))&amp;"|"&amp;UPPER(TRIM(C3112))&amp;"|"&amp;UPPER(TRIM(D3112)),"")</f>
        <v/>
      </c>
    </row>
    <row r="3113" ht="15.75" customHeight="1" s="217">
      <c r="A3113" s="400" t="n">
        <v>3111</v>
      </c>
      <c r="B3113" s="400" t="inlineStr">
        <is>
          <t>KH0648</t>
        </is>
      </c>
      <c r="C3113" s="401" t="inlineStr">
        <is>
          <t>Anh Thủy - Đắk Min/ 0989.360.370</t>
        </is>
      </c>
      <c r="D3113" s="400" t="inlineStr">
        <is>
          <t>0989.360.370</t>
        </is>
      </c>
      <c r="E3113" s="402" t="n"/>
      <c r="F3113" s="401" t="inlineStr">
        <is>
          <t>Đắk Min, Đắk Nông</t>
        </is>
      </c>
      <c r="G3113" s="400" t="inlineStr">
        <is>
          <t>DNONG</t>
        </is>
      </c>
      <c r="H3113" s="402" t="n"/>
      <c r="J3113" s="392">
        <f>IFERROR(UPPER(TRIM(B3113))&amp;"|"&amp;UPPER(TRIM(C3113))&amp;"|"&amp;UPPER(TRIM(D3113)),"")</f>
        <v/>
      </c>
    </row>
    <row r="3114" ht="15.75" customHeight="1" s="217">
      <c r="A3114" s="397" t="n">
        <v>3112</v>
      </c>
      <c r="B3114" s="397" t="inlineStr">
        <is>
          <t>KH0642</t>
        </is>
      </c>
      <c r="C3114" s="398" t="inlineStr">
        <is>
          <t>Cửa Hàng Anh Tuấn - Đà Lạt / 0962.273.679</t>
        </is>
      </c>
      <c r="D3114" s="397" t="inlineStr">
        <is>
          <t>0962.273.679</t>
        </is>
      </c>
      <c r="E3114" s="399" t="n"/>
      <c r="F3114" s="398" t="inlineStr">
        <is>
          <t>Số 8, Nguyễn Đình Quân, P5, Đà Lạt</t>
        </is>
      </c>
      <c r="G3114" s="397" t="inlineStr">
        <is>
          <t>LDONG</t>
        </is>
      </c>
      <c r="H3114" s="399" t="n"/>
      <c r="J3114" s="392">
        <f>IFERROR(UPPER(TRIM(B3114))&amp;"|"&amp;UPPER(TRIM(C3114))&amp;"|"&amp;UPPER(TRIM(D3114)),"")</f>
        <v/>
      </c>
    </row>
    <row r="3115" ht="15.75" customHeight="1" s="217">
      <c r="A3115" s="400" t="n">
        <v>3113</v>
      </c>
      <c r="B3115" s="400" t="inlineStr">
        <is>
          <t>KH0643</t>
        </is>
      </c>
      <c r="C3115" s="401" t="inlineStr">
        <is>
          <t>Bãi máy Thanh Hoàng - DHNL/ 0982.164.291</t>
        </is>
      </c>
      <c r="D3115" s="400" t="inlineStr">
        <is>
          <t>0982.164.291</t>
        </is>
      </c>
      <c r="E3115" s="402" t="n"/>
      <c r="F3115" s="401" t="inlineStr">
        <is>
          <t>Đại Học Nông Lâm</t>
        </is>
      </c>
      <c r="G3115" s="400" t="inlineStr">
        <is>
          <t>SG/HCM</t>
        </is>
      </c>
      <c r="H3115" s="402" t="n"/>
      <c r="J3115" s="392">
        <f>IFERROR(UPPER(TRIM(B3115))&amp;"|"&amp;UPPER(TRIM(C3115))&amp;"|"&amp;UPPER(TRIM(D3115)),"")</f>
        <v/>
      </c>
    </row>
    <row r="3116" ht="15.75" customHeight="1" s="217">
      <c r="A3116" s="397" t="n">
        <v>3114</v>
      </c>
      <c r="B3116" s="397" t="inlineStr">
        <is>
          <t>KH0644</t>
        </is>
      </c>
      <c r="C3116" s="398" t="inlineStr">
        <is>
          <t>Anh Thi - Thủ Đức / 0903.703.180</t>
        </is>
      </c>
      <c r="D3116" s="397" t="inlineStr">
        <is>
          <t>0903.703.180</t>
        </is>
      </c>
      <c r="E3116" s="399" t="n"/>
      <c r="F3116" s="398" t="inlineStr">
        <is>
          <t>Thủ Đức</t>
        </is>
      </c>
      <c r="G3116" s="397" t="inlineStr">
        <is>
          <t>SG/HCM</t>
        </is>
      </c>
      <c r="H3116" s="399" t="n"/>
      <c r="J3116" s="392">
        <f>IFERROR(UPPER(TRIM(B3116))&amp;"|"&amp;UPPER(TRIM(C3116))&amp;"|"&amp;UPPER(TRIM(D3116)),"")</f>
        <v/>
      </c>
    </row>
    <row r="3117" ht="15.75" customHeight="1" s="217">
      <c r="A3117" s="400" t="n">
        <v>3115</v>
      </c>
      <c r="B3117" s="400" t="inlineStr">
        <is>
          <t>KH0645</t>
        </is>
      </c>
      <c r="C3117" s="401" t="inlineStr">
        <is>
          <t>Xưởng Anh Phong - Dầu Tiếng / 0918.229.041</t>
        </is>
      </c>
      <c r="D3117" s="400" t="inlineStr">
        <is>
          <t>0918.229.041</t>
        </is>
      </c>
      <c r="E3117" s="402" t="n"/>
      <c r="F3117" s="401" t="inlineStr">
        <is>
          <t>Dầu Tiếng - Bình Dương</t>
        </is>
      </c>
      <c r="G3117" s="400" t="inlineStr">
        <is>
          <t>BDUONG</t>
        </is>
      </c>
      <c r="H3117" s="402" t="n"/>
      <c r="J3117" s="392">
        <f>IFERROR(UPPER(TRIM(B3117))&amp;"|"&amp;UPPER(TRIM(C3117))&amp;"|"&amp;UPPER(TRIM(D3117)),"")</f>
        <v/>
      </c>
    </row>
    <row r="3118" ht="15.75" customHeight="1" s="217">
      <c r="A3118" s="397" t="n">
        <v>3116</v>
      </c>
      <c r="B3118" s="397" t="inlineStr">
        <is>
          <t>KH0641</t>
        </is>
      </c>
      <c r="C3118" s="398" t="inlineStr">
        <is>
          <t>Chú Vân - Bình Định / 01699.018.335</t>
        </is>
      </c>
      <c r="D3118" s="397" t="inlineStr">
        <is>
          <t>01699.018.335</t>
        </is>
      </c>
      <c r="E3118" s="399" t="n"/>
      <c r="F3118" s="398" t="inlineStr">
        <is>
          <t>Xã Nhơn Hòa, TX.An Nhơn, Bình Định</t>
        </is>
      </c>
      <c r="G3118" s="397" t="inlineStr">
        <is>
          <t>BDINH</t>
        </is>
      </c>
      <c r="H3118" s="399" t="n"/>
      <c r="J3118" s="392">
        <f>IFERROR(UPPER(TRIM(B3118))&amp;"|"&amp;UPPER(TRIM(C3118))&amp;"|"&amp;UPPER(TRIM(D3118)),"")</f>
        <v/>
      </c>
    </row>
    <row r="3119" ht="15.75" customHeight="1" s="217">
      <c r="A3119" s="400" t="n">
        <v>3117</v>
      </c>
      <c r="B3119" s="400" t="inlineStr">
        <is>
          <t>KH0638</t>
        </is>
      </c>
      <c r="C3119" s="401" t="inlineStr">
        <is>
          <t>Xưởng Anh Chiến - SG / 0908.279.154</t>
        </is>
      </c>
      <c r="D3119" s="400" t="inlineStr">
        <is>
          <t>0908.279.154</t>
        </is>
      </c>
      <c r="E3119" s="402" t="n"/>
      <c r="F3119" s="401" t="inlineStr">
        <is>
          <t>Nguyễn Văn Linh, Bình Chánh, HCM</t>
        </is>
      </c>
      <c r="G3119" s="400" t="inlineStr">
        <is>
          <t>SG/HCM</t>
        </is>
      </c>
      <c r="H3119" s="402" t="n"/>
      <c r="J3119" s="392">
        <f>IFERROR(UPPER(TRIM(B3119))&amp;"|"&amp;UPPER(TRIM(C3119))&amp;"|"&amp;UPPER(TRIM(D3119)),"")</f>
        <v/>
      </c>
    </row>
    <row r="3120" ht="15.75" customHeight="1" s="217">
      <c r="A3120" s="397" t="n">
        <v>3118</v>
      </c>
      <c r="B3120" s="397" t="inlineStr">
        <is>
          <t>KH0639</t>
        </is>
      </c>
      <c r="C3120" s="398" t="inlineStr">
        <is>
          <t>Anh Thanh - Suối Tiên / 0903.163.590</t>
        </is>
      </c>
      <c r="D3120" s="397" t="inlineStr">
        <is>
          <t>0903.163.590</t>
        </is>
      </c>
      <c r="E3120" s="399" t="n"/>
      <c r="F3120" s="398" t="inlineStr">
        <is>
          <t>Suối Tiên, Sài Gòn</t>
        </is>
      </c>
      <c r="G3120" s="397" t="inlineStr">
        <is>
          <t>SG/HCM</t>
        </is>
      </c>
      <c r="H3120" s="399" t="n"/>
      <c r="J3120" s="392">
        <f>IFERROR(UPPER(TRIM(B3120))&amp;"|"&amp;UPPER(TRIM(C3120))&amp;"|"&amp;UPPER(TRIM(D3120)),"")</f>
        <v/>
      </c>
    </row>
    <row r="3121" ht="15.75" customHeight="1" s="217">
      <c r="A3121" s="400" t="n">
        <v>3119</v>
      </c>
      <c r="B3121" s="400" t="inlineStr">
        <is>
          <t>KH0640</t>
        </is>
      </c>
      <c r="C3121" s="401" t="inlineStr">
        <is>
          <t>Anh Xuyên - Sài Gòn / 01207.004.949</t>
        </is>
      </c>
      <c r="D3121" s="400" t="inlineStr">
        <is>
          <t>01207.004.949</t>
        </is>
      </c>
      <c r="E3121" s="402" t="n"/>
      <c r="F3121" s="401" t="inlineStr">
        <is>
          <t>Sài Gòn</t>
        </is>
      </c>
      <c r="G3121" s="400" t="inlineStr">
        <is>
          <t>SG/HCM</t>
        </is>
      </c>
      <c r="H3121" s="402" t="n"/>
      <c r="J3121" s="392">
        <f>IFERROR(UPPER(TRIM(B3121))&amp;"|"&amp;UPPER(TRIM(C3121))&amp;"|"&amp;UPPER(TRIM(D3121)),"")</f>
        <v/>
      </c>
    </row>
    <row r="3122" ht="15.75" customHeight="1" s="217">
      <c r="A3122" s="397" t="n">
        <v>3120</v>
      </c>
      <c r="B3122" s="397" t="inlineStr">
        <is>
          <t>KH0636</t>
        </is>
      </c>
      <c r="C3122" s="398" t="inlineStr">
        <is>
          <t>Xưởng anh Tuấn - Q12 / 0906.624.678</t>
        </is>
      </c>
      <c r="D3122" s="397" t="inlineStr">
        <is>
          <t>0906.624.678</t>
        </is>
      </c>
      <c r="E3122" s="399" t="n"/>
      <c r="F3122" s="398" t="inlineStr">
        <is>
          <t>Sài Gòn</t>
        </is>
      </c>
      <c r="G3122" s="397" t="inlineStr">
        <is>
          <t>SG/HCM</t>
        </is>
      </c>
      <c r="H3122" s="399" t="n"/>
      <c r="J3122" s="392">
        <f>IFERROR(UPPER(TRIM(B3122))&amp;"|"&amp;UPPER(TRIM(C3122))&amp;"|"&amp;UPPER(TRIM(D3122)),"")</f>
        <v/>
      </c>
    </row>
    <row r="3123" ht="15.75" customHeight="1" s="217">
      <c r="A3123" s="400" t="n">
        <v>3121</v>
      </c>
      <c r="B3123" s="400" t="inlineStr">
        <is>
          <t>KH0637</t>
        </is>
      </c>
      <c r="C3123" s="401" t="inlineStr">
        <is>
          <t>Xưởng anh Sang - SG / 0932.694.579</t>
        </is>
      </c>
      <c r="D3123" s="400" t="inlineStr">
        <is>
          <t>0932.694.579</t>
        </is>
      </c>
      <c r="E3123" s="402" t="n"/>
      <c r="F3123" s="401" t="inlineStr">
        <is>
          <t>Sài Gòn</t>
        </is>
      </c>
      <c r="G3123" s="400" t="inlineStr">
        <is>
          <t>SG/HCM</t>
        </is>
      </c>
      <c r="H3123" s="402" t="n"/>
      <c r="J3123" s="392">
        <f>IFERROR(UPPER(TRIM(B3123))&amp;"|"&amp;UPPER(TRIM(C3123))&amp;"|"&amp;UPPER(TRIM(D3123)),"")</f>
        <v/>
      </c>
    </row>
    <row r="3124" ht="15.75" customHeight="1" s="217">
      <c r="A3124" s="397" t="n">
        <v>3122</v>
      </c>
      <c r="B3124" s="397" t="inlineStr">
        <is>
          <t>KH0635</t>
        </is>
      </c>
      <c r="C3124" s="398" t="inlineStr">
        <is>
          <t>Cửa hàng Mạnh Nhâm - ĐắkLắk/ Cno: 0968.087.155 - 0983.134.731 - Fax: 05003.556.557</t>
        </is>
      </c>
      <c r="D3124" s="397" t="inlineStr">
        <is>
          <t>0968.087.155 / 0983.134.731 / 05003.556.557</t>
        </is>
      </c>
      <c r="E3124" s="399" t="n"/>
      <c r="F3124" s="398" t="inlineStr">
        <is>
          <t>Buôn Ma Thuột, Đắk Lắk</t>
        </is>
      </c>
      <c r="G3124" s="397" t="inlineStr">
        <is>
          <t>ÐL</t>
        </is>
      </c>
      <c r="H3124" s="399" t="n"/>
      <c r="J3124" s="392">
        <f>IFERROR(UPPER(TRIM(B3124))&amp;"|"&amp;UPPER(TRIM(C3124))&amp;"|"&amp;UPPER(TRIM(D3124)),"")</f>
        <v/>
      </c>
    </row>
    <row r="3125" ht="15.75" customHeight="1" s="217">
      <c r="A3125" s="400" t="n">
        <v>3123</v>
      </c>
      <c r="B3125" s="400" t="inlineStr">
        <is>
          <t>KH0630</t>
        </is>
      </c>
      <c r="C3125" s="401" t="inlineStr">
        <is>
          <t>Xưởng anh Bảo - Đắk Lắk/ 0914.053.399</t>
        </is>
      </c>
      <c r="D3125" s="400" t="inlineStr">
        <is>
          <t>0914.053.399</t>
        </is>
      </c>
      <c r="E3125" s="402" t="n"/>
      <c r="F3125" s="401" t="inlineStr">
        <is>
          <t>Buôn Ma Thuột, Đắk Lắk</t>
        </is>
      </c>
      <c r="G3125" s="400" t="inlineStr">
        <is>
          <t>ÐL</t>
        </is>
      </c>
      <c r="H3125" s="402" t="n"/>
      <c r="J3125" s="392">
        <f>IFERROR(UPPER(TRIM(B3125))&amp;"|"&amp;UPPER(TRIM(C3125))&amp;"|"&amp;UPPER(TRIM(D3125)),"")</f>
        <v/>
      </c>
    </row>
    <row r="3126" ht="15.75" customHeight="1" s="217">
      <c r="A3126" s="397" t="n">
        <v>3124</v>
      </c>
      <c r="B3126" s="397" t="inlineStr">
        <is>
          <t>KH0631</t>
        </is>
      </c>
      <c r="C3126" s="398" t="inlineStr">
        <is>
          <t>Xưởng Anh Tấn - Đồng Nai / 0908.344.639</t>
        </is>
      </c>
      <c r="D3126" s="397" t="inlineStr">
        <is>
          <t>0908.344.639</t>
        </is>
      </c>
      <c r="E3126" s="399" t="n"/>
      <c r="F3126" s="398" t="inlineStr">
        <is>
          <t>Trạm Thu Phí QL 1K</t>
        </is>
      </c>
      <c r="G3126" s="397" t="inlineStr">
        <is>
          <t>ÐNAI</t>
        </is>
      </c>
      <c r="H3126" s="399" t="n"/>
      <c r="J3126" s="392">
        <f>IFERROR(UPPER(TRIM(B3126))&amp;"|"&amp;UPPER(TRIM(C3126))&amp;"|"&amp;UPPER(TRIM(D3126)),"")</f>
        <v/>
      </c>
    </row>
    <row r="3127" ht="15.75" customHeight="1" s="217">
      <c r="A3127" s="400" t="n">
        <v>3125</v>
      </c>
      <c r="B3127" s="400" t="inlineStr">
        <is>
          <t>KH0632</t>
        </is>
      </c>
      <c r="C3127" s="401" t="inlineStr">
        <is>
          <t>Chú Tân -Bảo Lộc\0984.038.699</t>
        </is>
      </c>
      <c r="D3127" s="400" t="inlineStr">
        <is>
          <t>0984.038.699</t>
        </is>
      </c>
      <c r="E3127" s="402" t="n"/>
      <c r="F3127" s="401" t="inlineStr">
        <is>
          <t>312 Quốc lộ 20, Bảo Lộc</t>
        </is>
      </c>
      <c r="G3127" s="400" t="inlineStr">
        <is>
          <t>LDONG</t>
        </is>
      </c>
      <c r="H3127" s="402" t="n"/>
      <c r="J3127" s="392">
        <f>IFERROR(UPPER(TRIM(B3127))&amp;"|"&amp;UPPER(TRIM(C3127))&amp;"|"&amp;UPPER(TRIM(D3127)),"")</f>
        <v/>
      </c>
    </row>
    <row r="3128" ht="15.75" customHeight="1" s="217">
      <c r="A3128" s="397" t="n">
        <v>3126</v>
      </c>
      <c r="B3128" s="397" t="inlineStr">
        <is>
          <t>KH0633</t>
        </is>
      </c>
      <c r="C3128" s="398" t="inlineStr">
        <is>
          <t>Xưởng Anh Thành - Vũng Tàu / 0985.521.963</t>
        </is>
      </c>
      <c r="D3128" s="397" t="inlineStr">
        <is>
          <t>0985.521.963</t>
        </is>
      </c>
      <c r="E3128" s="399" t="n"/>
      <c r="F3128" s="398" t="inlineStr">
        <is>
          <t>Vũng Tàu</t>
        </is>
      </c>
      <c r="G3128" s="397" t="inlineStr">
        <is>
          <t>BRVT</t>
        </is>
      </c>
      <c r="H3128" s="399" t="n"/>
      <c r="J3128" s="392">
        <f>IFERROR(UPPER(TRIM(B3128))&amp;"|"&amp;UPPER(TRIM(C3128))&amp;"|"&amp;UPPER(TRIM(D3128)),"")</f>
        <v/>
      </c>
    </row>
    <row r="3129" ht="15.75" customHeight="1" s="217">
      <c r="A3129" s="400" t="n">
        <v>3127</v>
      </c>
      <c r="B3129" s="400" t="inlineStr">
        <is>
          <t>KH0634</t>
        </is>
      </c>
      <c r="C3129" s="401" t="inlineStr">
        <is>
          <t>Xưởng Anh Nhí - Sóc Trăng / 0907.939.152</t>
        </is>
      </c>
      <c r="D3129" s="400" t="inlineStr">
        <is>
          <t>0907.939.152</t>
        </is>
      </c>
      <c r="E3129" s="402" t="n"/>
      <c r="F3129" s="401" t="inlineStr">
        <is>
          <t>792 QL1A, Khóm 1, P.1, TP Sóc Trăng</t>
        </is>
      </c>
      <c r="G3129" s="400" t="inlineStr">
        <is>
          <t>STRANG</t>
        </is>
      </c>
      <c r="H3129" s="402" t="n"/>
      <c r="J3129" s="392">
        <f>IFERROR(UPPER(TRIM(B3129))&amp;"|"&amp;UPPER(TRIM(C3129))&amp;"|"&amp;UPPER(TRIM(D3129)),"")</f>
        <v/>
      </c>
    </row>
    <row r="3130" ht="15.75" customHeight="1" s="217">
      <c r="A3130" s="397" t="n">
        <v>3128</v>
      </c>
      <c r="B3130" s="397" t="inlineStr">
        <is>
          <t>KH0629</t>
        </is>
      </c>
      <c r="C3130" s="398" t="inlineStr">
        <is>
          <t>Anh Phúc - Bình Dương / 01692.186.038</t>
        </is>
      </c>
      <c r="D3130" s="397" t="inlineStr">
        <is>
          <t>01692.186.038</t>
        </is>
      </c>
      <c r="E3130" s="399" t="n"/>
      <c r="F3130" s="398" t="inlineStr">
        <is>
          <t>Bình Dương</t>
        </is>
      </c>
      <c r="G3130" s="397" t="inlineStr">
        <is>
          <t>BDUONG</t>
        </is>
      </c>
      <c r="H3130" s="399" t="n"/>
      <c r="J3130" s="392">
        <f>IFERROR(UPPER(TRIM(B3130))&amp;"|"&amp;UPPER(TRIM(C3130))&amp;"|"&amp;UPPER(TRIM(D3130)),"")</f>
        <v/>
      </c>
    </row>
    <row r="3131" ht="15.75" customHeight="1" s="217">
      <c r="A3131" s="400" t="n">
        <v>3129</v>
      </c>
      <c r="B3131" s="400" t="inlineStr">
        <is>
          <t>KH0626</t>
        </is>
      </c>
      <c r="C3131" s="401" t="inlineStr">
        <is>
          <t>Anh Thân - Long An / 0983.469.112</t>
        </is>
      </c>
      <c r="D3131" s="400" t="inlineStr">
        <is>
          <t>0983.469.112</t>
        </is>
      </c>
      <c r="E3131" s="402" t="n"/>
      <c r="F3131" s="401" t="inlineStr">
        <is>
          <t>Long An</t>
        </is>
      </c>
      <c r="G3131" s="400" t="inlineStr">
        <is>
          <t>LA</t>
        </is>
      </c>
      <c r="H3131" s="402" t="n"/>
      <c r="J3131" s="392">
        <f>IFERROR(UPPER(TRIM(B3131))&amp;"|"&amp;UPPER(TRIM(C3131))&amp;"|"&amp;UPPER(TRIM(D3131)),"")</f>
        <v/>
      </c>
    </row>
    <row r="3132" ht="15.75" customHeight="1" s="217">
      <c r="A3132" s="397" t="n">
        <v>3130</v>
      </c>
      <c r="B3132" s="397" t="inlineStr">
        <is>
          <t>KH0627</t>
        </is>
      </c>
      <c r="C3132" s="398" t="inlineStr">
        <is>
          <t>Xưởng anh Dũng - Long An/ 01235.599.447</t>
        </is>
      </c>
      <c r="D3132" s="397" t="inlineStr">
        <is>
          <t>01235.599.447</t>
        </is>
      </c>
      <c r="E3132" s="399" t="n"/>
      <c r="F3132" s="398" t="inlineStr">
        <is>
          <t>Long An</t>
        </is>
      </c>
      <c r="G3132" s="397" t="inlineStr">
        <is>
          <t>LA</t>
        </is>
      </c>
      <c r="H3132" s="399" t="n"/>
      <c r="J3132" s="392">
        <f>IFERROR(UPPER(TRIM(B3132))&amp;"|"&amp;UPPER(TRIM(C3132))&amp;"|"&amp;UPPER(TRIM(D3132)),"")</f>
        <v/>
      </c>
    </row>
    <row r="3133" ht="15.75" customHeight="1" s="217">
      <c r="A3133" s="400" t="n">
        <v>3131</v>
      </c>
      <c r="B3133" s="400" t="inlineStr">
        <is>
          <t>KH0628</t>
        </is>
      </c>
      <c r="C3133" s="401" t="inlineStr">
        <is>
          <t>Bãi máy Nam Đệ - XLHN/ 0913.814.601</t>
        </is>
      </c>
      <c r="D3133" s="400" t="inlineStr">
        <is>
          <t>0913.814.601</t>
        </is>
      </c>
      <c r="E3133" s="402" t="n"/>
      <c r="F3133" s="401" t="inlineStr">
        <is>
          <t>Xa Lộ Hà Nội, Suối Tiên, HCM\</t>
        </is>
      </c>
      <c r="G3133" s="400" t="inlineStr">
        <is>
          <t>SG/HCM</t>
        </is>
      </c>
      <c r="H3133" s="402" t="n"/>
      <c r="J3133" s="392">
        <f>IFERROR(UPPER(TRIM(B3133))&amp;"|"&amp;UPPER(TRIM(C3133))&amp;"|"&amp;UPPER(TRIM(D3133)),"")</f>
        <v/>
      </c>
    </row>
    <row r="3134" ht="15.75" customHeight="1" s="217">
      <c r="A3134" s="397" t="n">
        <v>3132</v>
      </c>
      <c r="B3134" s="397" t="inlineStr">
        <is>
          <t>KH0623</t>
        </is>
      </c>
      <c r="C3134" s="398" t="inlineStr">
        <is>
          <t>Cửa Hàng Anh Hải - Cà Mau / 0918.500.100</t>
        </is>
      </c>
      <c r="D3134" s="397" t="inlineStr">
        <is>
          <t>0918.500.100</t>
        </is>
      </c>
      <c r="E3134" s="399" t="n"/>
      <c r="F3134" s="398" t="inlineStr">
        <is>
          <t>Cà Mau</t>
        </is>
      </c>
      <c r="G3134" s="397" t="inlineStr">
        <is>
          <t>CMAU</t>
        </is>
      </c>
      <c r="H3134" s="399" t="n"/>
      <c r="J3134" s="392">
        <f>IFERROR(UPPER(TRIM(B3134))&amp;"|"&amp;UPPER(TRIM(C3134))&amp;"|"&amp;UPPER(TRIM(D3134)),"")</f>
        <v/>
      </c>
    </row>
    <row r="3135" ht="15.75" customHeight="1" s="217">
      <c r="A3135" s="400" t="n">
        <v>3133</v>
      </c>
      <c r="B3135" s="400" t="inlineStr">
        <is>
          <t>KH0624</t>
        </is>
      </c>
      <c r="C3135" s="401" t="inlineStr">
        <is>
          <t>Cửa Hàng Minh Trí -Bạc Liêu / 0837.777.757- c.nợ: 0917.494.244</t>
        </is>
      </c>
      <c r="D3135" s="400" t="inlineStr">
        <is>
          <t>0837.777.757- / 0917.494.244</t>
        </is>
      </c>
      <c r="E3135" s="402" t="n"/>
      <c r="F3135" s="401" t="inlineStr">
        <is>
          <t>540 Trần Phú, TP Bạc Liêu</t>
        </is>
      </c>
      <c r="G3135" s="400" t="inlineStr">
        <is>
          <t>BLIEU</t>
        </is>
      </c>
      <c r="H3135" s="402" t="n"/>
      <c r="J3135" s="392">
        <f>IFERROR(UPPER(TRIM(B3135))&amp;"|"&amp;UPPER(TRIM(C3135))&amp;"|"&amp;UPPER(TRIM(D3135)),"")</f>
        <v/>
      </c>
    </row>
    <row r="3136" ht="15.75" customHeight="1" s="217">
      <c r="A3136" s="397" t="n">
        <v>3134</v>
      </c>
      <c r="B3136" s="397" t="inlineStr">
        <is>
          <t>KH0625</t>
        </is>
      </c>
      <c r="C3136" s="398" t="inlineStr">
        <is>
          <t>Anh Phương - Đăk Lăk / 0977.442.632</t>
        </is>
      </c>
      <c r="D3136" s="397" t="inlineStr">
        <is>
          <t>0977.442.632</t>
        </is>
      </c>
      <c r="E3136" s="399" t="n"/>
      <c r="F3136" s="398" t="inlineStr">
        <is>
          <t>Đăk Lăk</t>
        </is>
      </c>
      <c r="G3136" s="397" t="inlineStr">
        <is>
          <t>ÐL</t>
        </is>
      </c>
      <c r="H3136" s="399" t="n"/>
      <c r="J3136" s="392">
        <f>IFERROR(UPPER(TRIM(B3136))&amp;"|"&amp;UPPER(TRIM(C3136))&amp;"|"&amp;UPPER(TRIM(D3136)),"")</f>
        <v/>
      </c>
    </row>
    <row r="3137" ht="15.75" customHeight="1" s="217">
      <c r="A3137" s="400" t="n">
        <v>3135</v>
      </c>
      <c r="B3137" s="400" t="inlineStr">
        <is>
          <t>KH0620</t>
        </is>
      </c>
      <c r="C3137" s="401" t="inlineStr">
        <is>
          <t>Anh Chánh - Gia Lai / 0975.945.237</t>
        </is>
      </c>
      <c r="D3137" s="400" t="inlineStr">
        <is>
          <t>0975.945.237</t>
        </is>
      </c>
      <c r="E3137" s="402" t="n"/>
      <c r="F3137" s="401" t="inlineStr">
        <is>
          <t>Gia Lai</t>
        </is>
      </c>
      <c r="G3137" s="400" t="inlineStr">
        <is>
          <t>GLAI</t>
        </is>
      </c>
      <c r="H3137" s="402" t="n"/>
      <c r="J3137" s="392">
        <f>IFERROR(UPPER(TRIM(B3137))&amp;"|"&amp;UPPER(TRIM(C3137))&amp;"|"&amp;UPPER(TRIM(D3137)),"")</f>
        <v/>
      </c>
    </row>
    <row r="3138" ht="15.75" customHeight="1" s="217">
      <c r="A3138" s="397" t="n">
        <v>3136</v>
      </c>
      <c r="B3138" s="397" t="inlineStr">
        <is>
          <t>KH0621</t>
        </is>
      </c>
      <c r="C3138" s="398" t="inlineStr">
        <is>
          <t>Anh Cường - Gò Dưa / 0939.579.419</t>
        </is>
      </c>
      <c r="D3138" s="397" t="inlineStr">
        <is>
          <t>0939.579.419</t>
        </is>
      </c>
      <c r="E3138" s="399" t="n"/>
      <c r="F3138" s="398" t="inlineStr">
        <is>
          <t>Gò Dưa, SG</t>
        </is>
      </c>
      <c r="G3138" s="397" t="inlineStr">
        <is>
          <t>SG/HCM</t>
        </is>
      </c>
      <c r="H3138" s="399" t="n"/>
      <c r="J3138" s="392">
        <f>IFERROR(UPPER(TRIM(B3138))&amp;"|"&amp;UPPER(TRIM(C3138))&amp;"|"&amp;UPPER(TRIM(D3138)),"")</f>
        <v/>
      </c>
    </row>
    <row r="3139" ht="15.75" customHeight="1" s="217">
      <c r="A3139" s="400" t="n">
        <v>3137</v>
      </c>
      <c r="B3139" s="400" t="inlineStr">
        <is>
          <t>KH0622</t>
        </is>
      </c>
      <c r="C3139" s="401" t="inlineStr">
        <is>
          <t>Anh Dũng - Lâm Hà/ 0974.244.116</t>
        </is>
      </c>
      <c r="D3139" s="400" t="inlineStr">
        <is>
          <t>0974.244.116</t>
        </is>
      </c>
      <c r="E3139" s="402" t="n"/>
      <c r="F3139" s="401" t="inlineStr">
        <is>
          <t>Lâm Hà - Lâm Đồng</t>
        </is>
      </c>
      <c r="G3139" s="400" t="inlineStr">
        <is>
          <t>LDONG</t>
        </is>
      </c>
      <c r="H3139" s="402" t="n"/>
      <c r="J3139" s="392">
        <f>IFERROR(UPPER(TRIM(B3139))&amp;"|"&amp;UPPER(TRIM(C3139))&amp;"|"&amp;UPPER(TRIM(D3139)),"")</f>
        <v/>
      </c>
    </row>
    <row r="3140" ht="15.75" customHeight="1" s="217">
      <c r="A3140" s="397" t="n">
        <v>3138</v>
      </c>
      <c r="B3140" s="397" t="inlineStr">
        <is>
          <t>KH0619</t>
        </is>
      </c>
      <c r="C3140" s="398" t="inlineStr">
        <is>
          <t>Anh Ngoan - Đồng Tháp/ 0918.468.445</t>
        </is>
      </c>
      <c r="D3140" s="397" t="inlineStr">
        <is>
          <t>0918.468.445</t>
        </is>
      </c>
      <c r="E3140" s="399" t="n"/>
      <c r="F3140" s="398" t="inlineStr">
        <is>
          <t>Đồng Tháp</t>
        </is>
      </c>
      <c r="G3140" s="397" t="inlineStr">
        <is>
          <t>DTHAP</t>
        </is>
      </c>
      <c r="H3140" s="399" t="n"/>
      <c r="J3140" s="392">
        <f>IFERROR(UPPER(TRIM(B3140))&amp;"|"&amp;UPPER(TRIM(C3140))&amp;"|"&amp;UPPER(TRIM(D3140)),"")</f>
        <v/>
      </c>
    </row>
    <row r="3141" ht="15.75" customHeight="1" s="217">
      <c r="A3141" s="400" t="n">
        <v>3139</v>
      </c>
      <c r="B3141" s="400" t="inlineStr">
        <is>
          <t>KH0617</t>
        </is>
      </c>
      <c r="C3141" s="401" t="inlineStr">
        <is>
          <t>Anh Quý - Đăk Nông / 0987.127.809</t>
        </is>
      </c>
      <c r="D3141" s="400" t="inlineStr">
        <is>
          <t>0987.127.809</t>
        </is>
      </c>
      <c r="E3141" s="402" t="n"/>
      <c r="F3141" s="401" t="inlineStr">
        <is>
          <t>Đăk Nông</t>
        </is>
      </c>
      <c r="G3141" s="400" t="inlineStr">
        <is>
          <t>DNONG</t>
        </is>
      </c>
      <c r="H3141" s="402" t="n"/>
      <c r="J3141" s="392">
        <f>IFERROR(UPPER(TRIM(B3141))&amp;"|"&amp;UPPER(TRIM(C3141))&amp;"|"&amp;UPPER(TRIM(D3141)),"")</f>
        <v/>
      </c>
    </row>
    <row r="3142" ht="15.75" customHeight="1" s="217">
      <c r="A3142" s="397" t="n">
        <v>3140</v>
      </c>
      <c r="B3142" s="397" t="inlineStr">
        <is>
          <t>KH0618</t>
        </is>
      </c>
      <c r="C3142" s="398" t="inlineStr">
        <is>
          <t>YCH (CHHAYHUA) - CPC/ chhayhua@yndcombodia.com</t>
        </is>
      </c>
      <c r="D3142" s="399" t="n"/>
      <c r="E3142" s="399" t="n"/>
      <c r="F3142" s="398" t="inlineStr">
        <is>
          <t>Cambodia</t>
        </is>
      </c>
      <c r="G3142" s="397" t="inlineStr">
        <is>
          <t>CPC</t>
        </is>
      </c>
      <c r="H3142" s="399" t="n"/>
      <c r="J3142" s="392">
        <f>IFERROR(UPPER(TRIM(B3142))&amp;"|"&amp;UPPER(TRIM(C3142))&amp;"|"&amp;UPPER(TRIM(D3142)),"")</f>
        <v/>
      </c>
    </row>
    <row r="3143" ht="15.75" customHeight="1" s="217">
      <c r="A3143" s="400" t="n">
        <v>3141</v>
      </c>
      <c r="B3143" s="400" t="inlineStr">
        <is>
          <t>KH0615</t>
        </is>
      </c>
      <c r="C3143" s="401" t="inlineStr">
        <is>
          <t>Xưởng anh Long - Đồng Xoài/ 0908.474.954</t>
        </is>
      </c>
      <c r="D3143" s="400" t="inlineStr">
        <is>
          <t>0908.474.954</t>
        </is>
      </c>
      <c r="E3143" s="402" t="n"/>
      <c r="F3143" s="401" t="inlineStr">
        <is>
          <t>Đồng Xoài, Bình Phước</t>
        </is>
      </c>
      <c r="G3143" s="400" t="inlineStr">
        <is>
          <t>BP</t>
        </is>
      </c>
      <c r="H3143" s="402" t="n"/>
      <c r="J3143" s="392">
        <f>IFERROR(UPPER(TRIM(B3143))&amp;"|"&amp;UPPER(TRIM(C3143))&amp;"|"&amp;UPPER(TRIM(D3143)),"")</f>
        <v/>
      </c>
    </row>
    <row r="3144" ht="15.75" customHeight="1" s="217">
      <c r="A3144" s="397" t="n">
        <v>3142</v>
      </c>
      <c r="B3144" s="397" t="inlineStr">
        <is>
          <t>KH0616</t>
        </is>
      </c>
      <c r="C3144" s="398" t="inlineStr">
        <is>
          <t>Anh Chín - Ngã 4 Bình Phước / 0918.880.568</t>
        </is>
      </c>
      <c r="D3144" s="397" t="inlineStr">
        <is>
          <t>0918.880.568</t>
        </is>
      </c>
      <c r="E3144" s="399" t="n"/>
      <c r="F3144" s="398" t="inlineStr">
        <is>
          <t>HCM</t>
        </is>
      </c>
      <c r="G3144" s="397" t="inlineStr">
        <is>
          <t>SG/HCM</t>
        </is>
      </c>
      <c r="H3144" s="399" t="n"/>
      <c r="J3144" s="392">
        <f>IFERROR(UPPER(TRIM(B3144))&amp;"|"&amp;UPPER(TRIM(C3144))&amp;"|"&amp;UPPER(TRIM(D3144)),"")</f>
        <v/>
      </c>
    </row>
    <row r="3145" ht="15.75" customHeight="1" s="217">
      <c r="A3145" s="400" t="n">
        <v>3143</v>
      </c>
      <c r="B3145" s="400" t="inlineStr">
        <is>
          <t>KH0614</t>
        </is>
      </c>
      <c r="C3145" s="401" t="inlineStr">
        <is>
          <t>Bãi Máy Nhuận Thướt - Q9 / 0995. 015.979</t>
        </is>
      </c>
      <c r="D3145" s="402" t="n"/>
      <c r="E3145" s="402" t="n"/>
      <c r="F3145" s="401" t="inlineStr">
        <is>
          <t>Xa Lộ Hà Nội, Q9, TP.Hồ Chí Minh</t>
        </is>
      </c>
      <c r="G3145" s="400" t="inlineStr">
        <is>
          <t>SG/HCM</t>
        </is>
      </c>
      <c r="H3145" s="402" t="n"/>
      <c r="J3145" s="392">
        <f>IFERROR(UPPER(TRIM(B3145))&amp;"|"&amp;UPPER(TRIM(C3145))&amp;"|"&amp;UPPER(TRIM(D3145)),"")</f>
        <v/>
      </c>
    </row>
    <row r="3146" ht="15.75" customHeight="1" s="217">
      <c r="A3146" s="397" t="n">
        <v>3144</v>
      </c>
      <c r="B3146" s="397" t="inlineStr">
        <is>
          <t>KH0613</t>
        </is>
      </c>
      <c r="C3146" s="398" t="inlineStr">
        <is>
          <t>Xưởng Anh Tâm - Lâm Đồng /  0908.620.426</t>
        </is>
      </c>
      <c r="D3146" s="397" t="inlineStr">
        <is>
          <t>0908.620.426</t>
        </is>
      </c>
      <c r="E3146" s="399" t="n"/>
      <c r="F3146" s="398" t="inlineStr">
        <is>
          <t>Đức Trọng - Lâm Đồng</t>
        </is>
      </c>
      <c r="G3146" s="397" t="inlineStr">
        <is>
          <t>LDONG</t>
        </is>
      </c>
      <c r="H3146" s="399" t="n"/>
      <c r="J3146" s="392">
        <f>IFERROR(UPPER(TRIM(B3146))&amp;"|"&amp;UPPER(TRIM(C3146))&amp;"|"&amp;UPPER(TRIM(D3146)),"")</f>
        <v/>
      </c>
    </row>
    <row r="3147" ht="15.75" customHeight="1" s="217">
      <c r="A3147" s="400" t="n">
        <v>3145</v>
      </c>
      <c r="B3147" s="400" t="inlineStr">
        <is>
          <t>KH0610</t>
        </is>
      </c>
      <c r="C3147" s="401" t="inlineStr">
        <is>
          <t>Xưởng anh Việt - Tiền Giang/ 01697.322.529</t>
        </is>
      </c>
      <c r="D3147" s="400" t="inlineStr">
        <is>
          <t>01697.322.529</t>
        </is>
      </c>
      <c r="E3147" s="402" t="n"/>
      <c r="F3147" s="401" t="inlineStr">
        <is>
          <t>QL6, Tiền Giang</t>
        </is>
      </c>
      <c r="G3147" s="400" t="inlineStr">
        <is>
          <t>TGIANG</t>
        </is>
      </c>
      <c r="H3147" s="402" t="n"/>
      <c r="J3147" s="392">
        <f>IFERROR(UPPER(TRIM(B3147))&amp;"|"&amp;UPPER(TRIM(C3147))&amp;"|"&amp;UPPER(TRIM(D3147)),"")</f>
        <v/>
      </c>
    </row>
    <row r="3148" ht="15.75" customHeight="1" s="217">
      <c r="A3148" s="397" t="n">
        <v>3146</v>
      </c>
      <c r="B3148" s="397" t="inlineStr">
        <is>
          <t>KH0611</t>
        </is>
      </c>
      <c r="C3148" s="398" t="inlineStr">
        <is>
          <t>Anh Chí - Bạc Liêu / 0919.111.772</t>
        </is>
      </c>
      <c r="D3148" s="397" t="inlineStr">
        <is>
          <t>0919.111.772</t>
        </is>
      </c>
      <c r="E3148" s="399" t="n"/>
      <c r="F3148" s="398" t="inlineStr">
        <is>
          <t>Bạc Liêu</t>
        </is>
      </c>
      <c r="G3148" s="397" t="inlineStr">
        <is>
          <t>BLIEU</t>
        </is>
      </c>
      <c r="H3148" s="399" t="n"/>
      <c r="J3148" s="392">
        <f>IFERROR(UPPER(TRIM(B3148))&amp;"|"&amp;UPPER(TRIM(C3148))&amp;"|"&amp;UPPER(TRIM(D3148)),"")</f>
        <v/>
      </c>
    </row>
    <row r="3149" ht="15.75" customHeight="1" s="217">
      <c r="A3149" s="400" t="n">
        <v>3147</v>
      </c>
      <c r="B3149" s="400" t="inlineStr">
        <is>
          <t>KH0607</t>
        </is>
      </c>
      <c r="C3149" s="401" t="inlineStr">
        <is>
          <t>Xưởng anh Thật - Cà Mau/ 0946.465.006</t>
        </is>
      </c>
      <c r="D3149" s="400" t="inlineStr">
        <is>
          <t>0946.465.006</t>
        </is>
      </c>
      <c r="E3149" s="402" t="n"/>
      <c r="F3149" s="401" t="inlineStr">
        <is>
          <t>Cà Mau</t>
        </is>
      </c>
      <c r="G3149" s="400" t="inlineStr">
        <is>
          <t>CMAU</t>
        </is>
      </c>
      <c r="H3149" s="402" t="n"/>
      <c r="J3149" s="392">
        <f>IFERROR(UPPER(TRIM(B3149))&amp;"|"&amp;UPPER(TRIM(C3149))&amp;"|"&amp;UPPER(TRIM(D3149)),"")</f>
        <v/>
      </c>
    </row>
    <row r="3150" ht="15.75" customHeight="1" s="217">
      <c r="A3150" s="397" t="n">
        <v>3148</v>
      </c>
      <c r="B3150" s="397" t="inlineStr">
        <is>
          <t>KH0608</t>
        </is>
      </c>
      <c r="C3150" s="398" t="inlineStr">
        <is>
          <t>Xưởng anh Hưng - Cà Mau/ 0919.948.184</t>
        </is>
      </c>
      <c r="D3150" s="397" t="inlineStr">
        <is>
          <t>0919.948.184</t>
        </is>
      </c>
      <c r="E3150" s="399" t="n"/>
      <c r="F3150" s="398" t="inlineStr">
        <is>
          <t>155 Lý Thường Kiệt, TP Cà Mau</t>
        </is>
      </c>
      <c r="G3150" s="397" t="inlineStr">
        <is>
          <t>CMAU</t>
        </is>
      </c>
      <c r="H3150" s="399" t="n"/>
      <c r="J3150" s="392">
        <f>IFERROR(UPPER(TRIM(B3150))&amp;"|"&amp;UPPER(TRIM(C3150))&amp;"|"&amp;UPPER(TRIM(D3150)),"")</f>
        <v/>
      </c>
    </row>
    <row r="3151" ht="15.75" customHeight="1" s="217">
      <c r="A3151" s="400" t="n">
        <v>3149</v>
      </c>
      <c r="B3151" s="400" t="inlineStr">
        <is>
          <t>KH0609</t>
        </is>
      </c>
      <c r="C3151" s="401" t="inlineStr">
        <is>
          <t>Cửa hàng Mai Phước - Diên Khánh/ 0905.116.622 - Fax: 0583.851.912</t>
        </is>
      </c>
      <c r="D3151" s="400" t="inlineStr">
        <is>
          <t>0905.116.622 / 0583.851.912</t>
        </is>
      </c>
      <c r="E3151" s="402" t="n"/>
      <c r="F3151" s="401" t="inlineStr">
        <is>
          <t>Ngã ba Thành, 234 Diên Khánh, Khánh Hòa</t>
        </is>
      </c>
      <c r="G3151" s="400" t="inlineStr">
        <is>
          <t>NTRANG</t>
        </is>
      </c>
      <c r="H3151" s="402" t="n"/>
      <c r="J3151" s="392">
        <f>IFERROR(UPPER(TRIM(B3151))&amp;"|"&amp;UPPER(TRIM(C3151))&amp;"|"&amp;UPPER(TRIM(D3151)),"")</f>
        <v/>
      </c>
    </row>
    <row r="3152" ht="15.75" customHeight="1" s="217">
      <c r="A3152" s="397" t="n">
        <v>3150</v>
      </c>
      <c r="B3152" s="397" t="inlineStr">
        <is>
          <t>KH0605</t>
        </is>
      </c>
      <c r="C3152" s="398" t="inlineStr">
        <is>
          <t>Anh Tiến - Sóc Trăng / 0938.337.599</t>
        </is>
      </c>
      <c r="D3152" s="397" t="inlineStr">
        <is>
          <t>0938.337.599</t>
        </is>
      </c>
      <c r="E3152" s="399" t="n"/>
      <c r="F3152" s="398" t="inlineStr">
        <is>
          <t>Sóc Trăng</t>
        </is>
      </c>
      <c r="G3152" s="397" t="inlineStr">
        <is>
          <t>STRANG</t>
        </is>
      </c>
      <c r="H3152" s="399" t="n"/>
      <c r="J3152" s="392">
        <f>IFERROR(UPPER(TRIM(B3152))&amp;"|"&amp;UPPER(TRIM(C3152))&amp;"|"&amp;UPPER(TRIM(D3152)),"")</f>
        <v/>
      </c>
    </row>
    <row r="3153" ht="15.75" customHeight="1" s="217">
      <c r="A3153" s="400" t="n">
        <v>3151</v>
      </c>
      <c r="B3153" s="400" t="inlineStr">
        <is>
          <t>KH0606</t>
        </is>
      </c>
      <c r="C3153" s="401" t="inlineStr">
        <is>
          <t>Anh Hiền - Ngã 4 BP/ 0943.383.491</t>
        </is>
      </c>
      <c r="D3153" s="400" t="inlineStr">
        <is>
          <t>0943.383.491</t>
        </is>
      </c>
      <c r="E3153" s="402" t="n"/>
      <c r="F3153" s="401" t="inlineStr">
        <is>
          <t>Ngã 4 Bình Phước, SG</t>
        </is>
      </c>
      <c r="G3153" s="400" t="inlineStr">
        <is>
          <t>SG/HCM</t>
        </is>
      </c>
      <c r="H3153" s="402" t="n"/>
      <c r="J3153" s="392">
        <f>IFERROR(UPPER(TRIM(B3153))&amp;"|"&amp;UPPER(TRIM(C3153))&amp;"|"&amp;UPPER(TRIM(D3153)),"")</f>
        <v/>
      </c>
    </row>
    <row r="3154" ht="15.75" customHeight="1" s="217">
      <c r="A3154" s="397" t="n">
        <v>3152</v>
      </c>
      <c r="B3154" s="397" t="inlineStr">
        <is>
          <t>KH0603</t>
        </is>
      </c>
      <c r="C3154" s="398" t="inlineStr">
        <is>
          <t>Anh Chánh - Sài Gòn / 0165 8.520.171</t>
        </is>
      </c>
      <c r="D3154" s="399" t="n"/>
      <c r="E3154" s="399" t="n"/>
      <c r="F3154" s="398" t="inlineStr">
        <is>
          <t>Sài Gòn</t>
        </is>
      </c>
      <c r="G3154" s="397" t="inlineStr">
        <is>
          <t>SG/HCM</t>
        </is>
      </c>
      <c r="H3154" s="399" t="n"/>
      <c r="J3154" s="392">
        <f>IFERROR(UPPER(TRIM(B3154))&amp;"|"&amp;UPPER(TRIM(C3154))&amp;"|"&amp;UPPER(TRIM(D3154)),"")</f>
        <v/>
      </c>
    </row>
    <row r="3155" ht="15.75" customHeight="1" s="217">
      <c r="A3155" s="400" t="n">
        <v>3153</v>
      </c>
      <c r="B3155" s="400" t="inlineStr">
        <is>
          <t>KH0604</t>
        </is>
      </c>
      <c r="C3155" s="401" t="inlineStr">
        <is>
          <t>Cửa Hàng Trường Hải - Hàng Xanh / 0838.982.851</t>
        </is>
      </c>
      <c r="D3155" s="400" t="inlineStr">
        <is>
          <t>0838.982.851</t>
        </is>
      </c>
      <c r="E3155" s="402" t="n"/>
      <c r="F3155" s="401" t="inlineStr">
        <is>
          <t>TP Hồ Chí Minh</t>
        </is>
      </c>
      <c r="G3155" s="400" t="inlineStr">
        <is>
          <t>SG/HCM</t>
        </is>
      </c>
      <c r="H3155" s="402" t="n"/>
      <c r="J3155" s="392">
        <f>IFERROR(UPPER(TRIM(B3155))&amp;"|"&amp;UPPER(TRIM(C3155))&amp;"|"&amp;UPPER(TRIM(D3155)),"")</f>
        <v/>
      </c>
    </row>
    <row r="3156" ht="15.75" customHeight="1" s="217">
      <c r="A3156" s="397" t="n">
        <v>3154</v>
      </c>
      <c r="B3156" s="397" t="inlineStr">
        <is>
          <t>KH0602</t>
        </is>
      </c>
      <c r="C3156" s="398" t="inlineStr">
        <is>
          <t>DNTN Ngô Thị Lan - Sóc Trăng/ A.Giảng: 0918.067.234</t>
        </is>
      </c>
      <c r="D3156" s="397" t="inlineStr">
        <is>
          <t>0918.067.234</t>
        </is>
      </c>
      <c r="E3156" s="399" t="n"/>
      <c r="F3156" s="398" t="inlineStr">
        <is>
          <t>Đường 30/4, TX Vĩnh Châu, Sóc Trăng</t>
        </is>
      </c>
      <c r="G3156" s="397" t="inlineStr">
        <is>
          <t>STRANG</t>
        </is>
      </c>
      <c r="H3156" s="399" t="n"/>
      <c r="J3156" s="392">
        <f>IFERROR(UPPER(TRIM(B3156))&amp;"|"&amp;UPPER(TRIM(C3156))&amp;"|"&amp;UPPER(TRIM(D3156)),"")</f>
        <v/>
      </c>
    </row>
    <row r="3157" ht="15.75" customHeight="1" s="217">
      <c r="A3157" s="400" t="n">
        <v>3155</v>
      </c>
      <c r="B3157" s="400" t="inlineStr">
        <is>
          <t>KH0599</t>
        </is>
      </c>
      <c r="C3157" s="401" t="inlineStr">
        <is>
          <t>Bãi Máy Dũng Hưng - Thủ Đức / 0989.849.456</t>
        </is>
      </c>
      <c r="D3157" s="400" t="inlineStr">
        <is>
          <t>0989.849.456</t>
        </is>
      </c>
      <c r="E3157" s="402" t="n"/>
      <c r="F3157" s="401" t="inlineStr">
        <is>
          <t>Đối Diện SamSung, QL1A, Thủ Đức</t>
        </is>
      </c>
      <c r="G3157" s="400" t="inlineStr">
        <is>
          <t>BDUONG</t>
        </is>
      </c>
      <c r="H3157" s="402" t="n"/>
      <c r="J3157" s="392">
        <f>IFERROR(UPPER(TRIM(B3157))&amp;"|"&amp;UPPER(TRIM(C3157))&amp;"|"&amp;UPPER(TRIM(D3157)),"")</f>
        <v/>
      </c>
    </row>
    <row r="3158" ht="15.75" customHeight="1" s="217">
      <c r="A3158" s="397" t="n">
        <v>3156</v>
      </c>
      <c r="B3158" s="397" t="inlineStr">
        <is>
          <t>KH0600</t>
        </is>
      </c>
      <c r="C3158" s="398" t="inlineStr">
        <is>
          <t>Cửa hàng anh Vân - Cam Ranh/ 0913.471.444 - Fax: 0583.973.787</t>
        </is>
      </c>
      <c r="D3158" s="397" t="inlineStr">
        <is>
          <t>0913.471.444 / 0583.973.787</t>
        </is>
      </c>
      <c r="E3158" s="399" t="n"/>
      <c r="F3158" s="398" t="inlineStr">
        <is>
          <t>188 Đại lộ Hùng Vương, P.Mỹ Ca, Cam Ranh</t>
        </is>
      </c>
      <c r="G3158" s="397" t="inlineStr">
        <is>
          <t>NTRANG</t>
        </is>
      </c>
      <c r="H3158" s="399" t="n"/>
      <c r="J3158" s="392">
        <f>IFERROR(UPPER(TRIM(B3158))&amp;"|"&amp;UPPER(TRIM(C3158))&amp;"|"&amp;UPPER(TRIM(D3158)),"")</f>
        <v/>
      </c>
    </row>
    <row r="3159" ht="15.75" customHeight="1" s="217">
      <c r="A3159" s="400" t="n">
        <v>3157</v>
      </c>
      <c r="B3159" s="400" t="inlineStr">
        <is>
          <t>KH0601</t>
        </is>
      </c>
      <c r="C3159" s="401" t="inlineStr">
        <is>
          <t>Công ty TNHH Vĩnh Hưng - Bến Tre/ A.Bình 0964.178.179</t>
        </is>
      </c>
      <c r="D3159" s="400" t="inlineStr">
        <is>
          <t>0964.178.179</t>
        </is>
      </c>
      <c r="E3159" s="402" t="n"/>
      <c r="F3159" s="401" t="inlineStr">
        <is>
          <t>609B11 Nguyễn Thị Định, Phường Phú Khương, TP Bến Tre</t>
        </is>
      </c>
      <c r="G3159" s="400" t="inlineStr">
        <is>
          <t>BTRE</t>
        </is>
      </c>
      <c r="H3159" s="402" t="n"/>
      <c r="J3159" s="392">
        <f>IFERROR(UPPER(TRIM(B3159))&amp;"|"&amp;UPPER(TRIM(C3159))&amp;"|"&amp;UPPER(TRIM(D3159)),"")</f>
        <v/>
      </c>
    </row>
    <row r="3160" ht="15.75" customHeight="1" s="217">
      <c r="A3160" s="397" t="n">
        <v>3158</v>
      </c>
      <c r="B3160" s="397" t="inlineStr">
        <is>
          <t>KH0598</t>
        </is>
      </c>
      <c r="C3160" s="398" t="inlineStr">
        <is>
          <t>Anh Quang - Long An / 0908.327.599</t>
        </is>
      </c>
      <c r="D3160" s="397" t="inlineStr">
        <is>
          <t>0908.327.599</t>
        </is>
      </c>
      <c r="E3160" s="399" t="n"/>
      <c r="F3160" s="398" t="inlineStr">
        <is>
          <t>Cần Đước - Long An</t>
        </is>
      </c>
      <c r="G3160" s="397" t="inlineStr">
        <is>
          <t>LA</t>
        </is>
      </c>
      <c r="H3160" s="399" t="n"/>
      <c r="J3160" s="392">
        <f>IFERROR(UPPER(TRIM(B3160))&amp;"|"&amp;UPPER(TRIM(C3160))&amp;"|"&amp;UPPER(TRIM(D3160)),"")</f>
        <v/>
      </c>
    </row>
    <row r="3161" ht="15.75" customHeight="1" s="217">
      <c r="A3161" s="400" t="n">
        <v>3159</v>
      </c>
      <c r="B3161" s="400" t="inlineStr">
        <is>
          <t>KH0593</t>
        </is>
      </c>
      <c r="C3161" s="401" t="inlineStr">
        <is>
          <t>Công ty TNHH Việt Phương II/ Thùy KT: 0984.361.861</t>
        </is>
      </c>
      <c r="D3161" s="400" t="inlineStr">
        <is>
          <t>0984.361.861</t>
        </is>
      </c>
      <c r="E3161" s="402" t="n"/>
      <c r="F3161" s="401" t="inlineStr">
        <is>
          <t>ấp Cần Dực, X. Lộc Thành, H. Lộc Ninh, Tỉnh Bình Phước</t>
        </is>
      </c>
      <c r="G3161" s="400" t="inlineStr">
        <is>
          <t>BP</t>
        </is>
      </c>
      <c r="H3161" s="402" t="n"/>
      <c r="J3161" s="392">
        <f>IFERROR(UPPER(TRIM(B3161))&amp;"|"&amp;UPPER(TRIM(C3161))&amp;"|"&amp;UPPER(TRIM(D3161)),"")</f>
        <v/>
      </c>
    </row>
    <row r="3162" ht="15.75" customHeight="1" s="217">
      <c r="A3162" s="397" t="n">
        <v>3160</v>
      </c>
      <c r="B3162" s="397" t="inlineStr">
        <is>
          <t>KH0594</t>
        </is>
      </c>
      <c r="C3162" s="398" t="inlineStr">
        <is>
          <t>Xưởng Hoàng Thuận - Bình Chánh / 0903.355.360</t>
        </is>
      </c>
      <c r="D3162" s="397" t="inlineStr">
        <is>
          <t>0903.355.360</t>
        </is>
      </c>
      <c r="E3162" s="399" t="n"/>
      <c r="F3162" s="398" t="inlineStr">
        <is>
          <t>Nguyễn Văn Linh, Bình Chánh, TP.HCM</t>
        </is>
      </c>
      <c r="G3162" s="397" t="inlineStr">
        <is>
          <t>SG/HCM</t>
        </is>
      </c>
      <c r="H3162" s="399" t="n"/>
      <c r="J3162" s="392">
        <f>IFERROR(UPPER(TRIM(B3162))&amp;"|"&amp;UPPER(TRIM(C3162))&amp;"|"&amp;UPPER(TRIM(D3162)),"")</f>
        <v/>
      </c>
    </row>
    <row r="3163" ht="15.75" customHeight="1" s="217">
      <c r="A3163" s="400" t="n">
        <v>3161</v>
      </c>
      <c r="B3163" s="400" t="inlineStr">
        <is>
          <t>KH0595</t>
        </is>
      </c>
      <c r="C3163" s="401" t="inlineStr">
        <is>
          <t>Công ty TNHH TM-DV-XD Huy Hiệu - Q12/ A.Huân: 0903.864.436</t>
        </is>
      </c>
      <c r="D3163" s="400" t="inlineStr">
        <is>
          <t>0903.864.436</t>
        </is>
      </c>
      <c r="E3163" s="402" t="n"/>
      <c r="F3163" s="401" t="inlineStr">
        <is>
          <t>117/6C Đường 34, P.Tân Chánh Hiệu, Q12, TPHCM</t>
        </is>
      </c>
      <c r="G3163" s="400" t="inlineStr">
        <is>
          <t>SG/HCM</t>
        </is>
      </c>
      <c r="H3163" s="402" t="n"/>
      <c r="J3163" s="392">
        <f>IFERROR(UPPER(TRIM(B3163))&amp;"|"&amp;UPPER(TRIM(C3163))&amp;"|"&amp;UPPER(TRIM(D3163)),"")</f>
        <v/>
      </c>
    </row>
    <row r="3164" ht="15.75" customHeight="1" s="217">
      <c r="A3164" s="397" t="n">
        <v>3162</v>
      </c>
      <c r="B3164" s="397" t="inlineStr">
        <is>
          <t>KH0596</t>
        </is>
      </c>
      <c r="C3164" s="398" t="inlineStr">
        <is>
          <t>Cửa hàng Văn Khánh - Sóc Trăng/ Anh Khoa 0966.888.875 - 0984.932.082</t>
        </is>
      </c>
      <c r="D3164" s="397" t="inlineStr">
        <is>
          <t>0966.888.875 / 0984.932.082</t>
        </is>
      </c>
      <c r="E3164" s="399" t="n"/>
      <c r="F3164" s="398" t="inlineStr">
        <is>
          <t>TX Vĩnh Châu - Sóc Trăng</t>
        </is>
      </c>
      <c r="G3164" s="397" t="inlineStr">
        <is>
          <t>STRANG</t>
        </is>
      </c>
      <c r="H3164" s="399" t="n"/>
      <c r="J3164" s="392">
        <f>IFERROR(UPPER(TRIM(B3164))&amp;"|"&amp;UPPER(TRIM(C3164))&amp;"|"&amp;UPPER(TRIM(D3164)),"")</f>
        <v/>
      </c>
    </row>
    <row r="3165" ht="15.75" customHeight="1" s="217">
      <c r="A3165" s="400" t="n">
        <v>3163</v>
      </c>
      <c r="B3165" s="400" t="inlineStr">
        <is>
          <t>KH0597</t>
        </is>
      </c>
      <c r="C3165" s="401" t="inlineStr">
        <is>
          <t>Anh Phương (Công ty XD Công Trình Giao Thông 6) - SG/ 0909.540.208</t>
        </is>
      </c>
      <c r="D3165" s="400" t="inlineStr">
        <is>
          <t>0909.540.208</t>
        </is>
      </c>
      <c r="E3165" s="402" t="n"/>
      <c r="F3165" s="401" t="inlineStr">
        <is>
          <t>Tầng Trệt, Tòa nhà Babylon - Newcity, 17 Mai Chí Thọ, P. An Khánh , HCM</t>
        </is>
      </c>
      <c r="G3165" s="400" t="inlineStr">
        <is>
          <t>SG/HCM</t>
        </is>
      </c>
      <c r="H3165" s="402" t="n"/>
      <c r="J3165" s="392">
        <f>IFERROR(UPPER(TRIM(B3165))&amp;"|"&amp;UPPER(TRIM(C3165))&amp;"|"&amp;UPPER(TRIM(D3165)),"")</f>
        <v/>
      </c>
    </row>
    <row r="3166" ht="15.75" customHeight="1" s="217">
      <c r="A3166" s="397" t="n">
        <v>3164</v>
      </c>
      <c r="B3166" s="397" t="inlineStr">
        <is>
          <t>KH0592</t>
        </is>
      </c>
      <c r="C3166" s="398" t="inlineStr">
        <is>
          <t>Xưởng Chị Tâm - Q7/0903.989.771</t>
        </is>
      </c>
      <c r="D3166" s="397" t="inlineStr">
        <is>
          <t>0903.989.771</t>
        </is>
      </c>
      <c r="E3166" s="399" t="n"/>
      <c r="F3166" s="398" t="inlineStr">
        <is>
          <t>Sài Gòn</t>
        </is>
      </c>
      <c r="G3166" s="397" t="inlineStr">
        <is>
          <t>SG/HCM</t>
        </is>
      </c>
      <c r="H3166" s="399" t="n"/>
      <c r="J3166" s="392">
        <f>IFERROR(UPPER(TRIM(B3166))&amp;"|"&amp;UPPER(TRIM(C3166))&amp;"|"&amp;UPPER(TRIM(D3166)),"")</f>
        <v/>
      </c>
    </row>
    <row r="3167" ht="15.75" customHeight="1" s="217">
      <c r="A3167" s="400" t="n">
        <v>3165</v>
      </c>
      <c r="B3167" s="400" t="inlineStr">
        <is>
          <t>KH0589</t>
        </is>
      </c>
      <c r="C3167" s="401" t="inlineStr">
        <is>
          <t>Xưởng anh Việt - Suối Tiên/ 0932.778.823</t>
        </is>
      </c>
      <c r="D3167" s="400" t="inlineStr">
        <is>
          <t>0932.778.823</t>
        </is>
      </c>
      <c r="E3167" s="402" t="n"/>
      <c r="F3167" s="401" t="inlineStr">
        <is>
          <t>Suối Tiên, SG</t>
        </is>
      </c>
      <c r="G3167" s="400" t="inlineStr">
        <is>
          <t>SG/HCM</t>
        </is>
      </c>
      <c r="H3167" s="402" t="n"/>
      <c r="J3167" s="392">
        <f>IFERROR(UPPER(TRIM(B3167))&amp;"|"&amp;UPPER(TRIM(C3167))&amp;"|"&amp;UPPER(TRIM(D3167)),"")</f>
        <v/>
      </c>
    </row>
    <row r="3168" ht="15.75" customHeight="1" s="217">
      <c r="A3168" s="397" t="n">
        <v>3166</v>
      </c>
      <c r="B3168" s="397" t="inlineStr">
        <is>
          <t>KH0590</t>
        </is>
      </c>
      <c r="C3168" s="398" t="inlineStr">
        <is>
          <t>Xưởng Anh Thắng - Suối Tiên / 0937.706.633</t>
        </is>
      </c>
      <c r="D3168" s="397" t="inlineStr">
        <is>
          <t>0937.706.633</t>
        </is>
      </c>
      <c r="E3168" s="399" t="n"/>
      <c r="F3168" s="398" t="inlineStr">
        <is>
          <t>Suối Tiên</t>
        </is>
      </c>
      <c r="G3168" s="397" t="inlineStr">
        <is>
          <t>SG/HCM</t>
        </is>
      </c>
      <c r="H3168" s="399" t="n"/>
      <c r="J3168" s="392">
        <f>IFERROR(UPPER(TRIM(B3168))&amp;"|"&amp;UPPER(TRIM(C3168))&amp;"|"&amp;UPPER(TRIM(D3168)),"")</f>
        <v/>
      </c>
    </row>
    <row r="3169" ht="15.75" customHeight="1" s="217">
      <c r="A3169" s="400" t="n">
        <v>3167</v>
      </c>
      <c r="B3169" s="400" t="inlineStr">
        <is>
          <t>KH0591</t>
        </is>
      </c>
      <c r="C3169" s="401" t="inlineStr">
        <is>
          <t>ANN GOV - Campuchia/ 0972.266.972</t>
        </is>
      </c>
      <c r="D3169" s="400" t="inlineStr">
        <is>
          <t>0972.266.972</t>
        </is>
      </c>
      <c r="E3169" s="402" t="n"/>
      <c r="F3169" s="401" t="inlineStr">
        <is>
          <t>Campuchia</t>
        </is>
      </c>
      <c r="G3169" s="400" t="inlineStr">
        <is>
          <t>CPC</t>
        </is>
      </c>
      <c r="H3169" s="402" t="n"/>
      <c r="J3169" s="392">
        <f>IFERROR(UPPER(TRIM(B3169))&amp;"|"&amp;UPPER(TRIM(C3169))&amp;"|"&amp;UPPER(TRIM(D3169)),"")</f>
        <v/>
      </c>
    </row>
    <row r="3170" ht="15.75" customHeight="1" s="217">
      <c r="A3170" s="397" t="n">
        <v>3168</v>
      </c>
      <c r="B3170" s="397" t="inlineStr">
        <is>
          <t>KH0584</t>
        </is>
      </c>
      <c r="C3170" s="398" t="inlineStr">
        <is>
          <t>Anh Chương - Đắk Nông/ 0973.673.338</t>
        </is>
      </c>
      <c r="D3170" s="397" t="inlineStr">
        <is>
          <t>0973.673.338</t>
        </is>
      </c>
      <c r="E3170" s="399" t="n"/>
      <c r="F3170" s="398" t="inlineStr">
        <is>
          <t>Đắk Nông</t>
        </is>
      </c>
      <c r="G3170" s="397" t="inlineStr">
        <is>
          <t>DNONG</t>
        </is>
      </c>
      <c r="H3170" s="399" t="n"/>
      <c r="J3170" s="392">
        <f>IFERROR(UPPER(TRIM(B3170))&amp;"|"&amp;UPPER(TRIM(C3170))&amp;"|"&amp;UPPER(TRIM(D3170)),"")</f>
        <v/>
      </c>
    </row>
    <row r="3171" ht="15.75" customHeight="1" s="217">
      <c r="A3171" s="400" t="n">
        <v>3169</v>
      </c>
      <c r="B3171" s="400" t="inlineStr">
        <is>
          <t>KH0585</t>
        </is>
      </c>
      <c r="C3171" s="401" t="inlineStr">
        <is>
          <t>Anh Nguyên - Lộc Ninh/ 0909.929.343</t>
        </is>
      </c>
      <c r="D3171" s="400" t="inlineStr">
        <is>
          <t>0909.929.343</t>
        </is>
      </c>
      <c r="E3171" s="402" t="n"/>
      <c r="F3171" s="401" t="inlineStr">
        <is>
          <t>Lộc Ninh</t>
        </is>
      </c>
      <c r="G3171" s="402" t="n"/>
      <c r="H3171" s="402" t="n"/>
      <c r="J3171" s="392">
        <f>IFERROR(UPPER(TRIM(B3171))&amp;"|"&amp;UPPER(TRIM(C3171))&amp;"|"&amp;UPPER(TRIM(D3171)),"")</f>
        <v/>
      </c>
    </row>
    <row r="3172" ht="15.75" customHeight="1" s="217">
      <c r="A3172" s="397" t="n">
        <v>3170</v>
      </c>
      <c r="B3172" s="397" t="inlineStr">
        <is>
          <t>KH0586</t>
        </is>
      </c>
      <c r="C3172" s="398" t="inlineStr">
        <is>
          <t>Cửa hàng Thu Thuấn - Lâm Hà/ 0986.655.400</t>
        </is>
      </c>
      <c r="D3172" s="397" t="inlineStr">
        <is>
          <t>0986.655.400</t>
        </is>
      </c>
      <c r="E3172" s="399" t="n"/>
      <c r="F3172" s="398" t="inlineStr">
        <is>
          <t>Tân Hà, Lâm Hà, Lâm Đồng</t>
        </is>
      </c>
      <c r="G3172" s="397" t="inlineStr">
        <is>
          <t>LDONG</t>
        </is>
      </c>
      <c r="H3172" s="399" t="n"/>
      <c r="J3172" s="392">
        <f>IFERROR(UPPER(TRIM(B3172))&amp;"|"&amp;UPPER(TRIM(C3172))&amp;"|"&amp;UPPER(TRIM(D3172)),"")</f>
        <v/>
      </c>
    </row>
    <row r="3173" ht="15.75" customHeight="1" s="217">
      <c r="A3173" s="400" t="n">
        <v>3171</v>
      </c>
      <c r="B3173" s="400" t="inlineStr">
        <is>
          <t>KH0587</t>
        </is>
      </c>
      <c r="C3173" s="401" t="inlineStr">
        <is>
          <t>Công ty TNHH MTV Xây Dựng Tây Đô - Trà Vinh/ 0743.862.080</t>
        </is>
      </c>
      <c r="D3173" s="400" t="inlineStr">
        <is>
          <t>0743.862.080</t>
        </is>
      </c>
      <c r="E3173" s="402" t="n"/>
      <c r="F3173" s="401" t="inlineStr">
        <is>
          <t>272 Kiên Thị Nhẫn, TP Trà Vinh</t>
        </is>
      </c>
      <c r="G3173" s="400" t="inlineStr">
        <is>
          <t>TV</t>
        </is>
      </c>
      <c r="H3173" s="402" t="n"/>
      <c r="J3173" s="392">
        <f>IFERROR(UPPER(TRIM(B3173))&amp;"|"&amp;UPPER(TRIM(C3173))&amp;"|"&amp;UPPER(TRIM(D3173)),"")</f>
        <v/>
      </c>
    </row>
    <row r="3174" ht="15.75" customHeight="1" s="217">
      <c r="A3174" s="397" t="n">
        <v>3172</v>
      </c>
      <c r="B3174" s="397" t="inlineStr">
        <is>
          <t>KH0588</t>
        </is>
      </c>
      <c r="C3174" s="398" t="inlineStr">
        <is>
          <t>Anh Bảo - CPC</t>
        </is>
      </c>
      <c r="D3174" s="399" t="n"/>
      <c r="E3174" s="399" t="n"/>
      <c r="F3174" s="398" t="inlineStr">
        <is>
          <t>Campuchia</t>
        </is>
      </c>
      <c r="G3174" s="399" t="n"/>
      <c r="H3174" s="399" t="n"/>
      <c r="J3174" s="392">
        <f>IFERROR(UPPER(TRIM(B3174))&amp;"|"&amp;UPPER(TRIM(C3174))&amp;"|"&amp;UPPER(TRIM(D3174)),"")</f>
        <v/>
      </c>
    </row>
    <row r="3175" ht="15.75" customHeight="1" s="217">
      <c r="A3175" s="400" t="n">
        <v>3173</v>
      </c>
      <c r="B3175" s="400" t="inlineStr">
        <is>
          <t>KH0582</t>
        </is>
      </c>
      <c r="C3175" s="401" t="inlineStr">
        <is>
          <t>Anh Thành - Bình Phước/ 0983.554.754</t>
        </is>
      </c>
      <c r="D3175" s="400" t="inlineStr">
        <is>
          <t>0983.554.754</t>
        </is>
      </c>
      <c r="E3175" s="402" t="n"/>
      <c r="F3175" s="401" t="inlineStr">
        <is>
          <t>Lộc An, Bình Phước</t>
        </is>
      </c>
      <c r="G3175" s="400" t="inlineStr">
        <is>
          <t>BP</t>
        </is>
      </c>
      <c r="H3175" s="402" t="n"/>
      <c r="J3175" s="392">
        <f>IFERROR(UPPER(TRIM(B3175))&amp;"|"&amp;UPPER(TRIM(C3175))&amp;"|"&amp;UPPER(TRIM(D3175)),"")</f>
        <v/>
      </c>
    </row>
    <row r="3176" ht="15.75" customHeight="1" s="217">
      <c r="A3176" s="397" t="n">
        <v>3174</v>
      </c>
      <c r="B3176" s="397" t="inlineStr">
        <is>
          <t>KH0583</t>
        </is>
      </c>
      <c r="C3176" s="398" t="inlineStr">
        <is>
          <t>Xưởng Toàn Phúc - Cần Thơ/ 01657.132.021</t>
        </is>
      </c>
      <c r="D3176" s="397" t="inlineStr">
        <is>
          <t>01657.132.021</t>
        </is>
      </c>
      <c r="E3176" s="399" t="n"/>
      <c r="F3176" s="398" t="inlineStr">
        <is>
          <t>Cần Thơ</t>
        </is>
      </c>
      <c r="G3176" s="397" t="inlineStr">
        <is>
          <t>CTHO</t>
        </is>
      </c>
      <c r="H3176" s="399" t="n"/>
      <c r="J3176" s="392">
        <f>IFERROR(UPPER(TRIM(B3176))&amp;"|"&amp;UPPER(TRIM(C3176))&amp;"|"&amp;UPPER(TRIM(D3176)),"")</f>
        <v/>
      </c>
    </row>
    <row r="3177" ht="15.75" customHeight="1" s="217">
      <c r="A3177" s="400" t="n">
        <v>3175</v>
      </c>
      <c r="B3177" s="400" t="inlineStr">
        <is>
          <t>KH0581</t>
        </is>
      </c>
      <c r="C3177" s="401" t="inlineStr">
        <is>
          <t>Xưởng anh Thịnh - Sài Gòn (D)/ 0983.064.732</t>
        </is>
      </c>
      <c r="D3177" s="400" t="inlineStr">
        <is>
          <t>0983.064.732</t>
        </is>
      </c>
      <c r="E3177" s="402" t="n"/>
      <c r="F3177" s="401" t="inlineStr">
        <is>
          <t>Sài Gòn</t>
        </is>
      </c>
      <c r="G3177" s="400" t="inlineStr">
        <is>
          <t>SG/HCM</t>
        </is>
      </c>
      <c r="H3177" s="402" t="n"/>
      <c r="J3177" s="392">
        <f>IFERROR(UPPER(TRIM(B3177))&amp;"|"&amp;UPPER(TRIM(C3177))&amp;"|"&amp;UPPER(TRIM(D3177)),"")</f>
        <v/>
      </c>
    </row>
    <row r="3178" ht="15.75" customHeight="1" s="217">
      <c r="A3178" s="397" t="n">
        <v>3176</v>
      </c>
      <c r="B3178" s="397" t="inlineStr">
        <is>
          <t>KH0580</t>
        </is>
      </c>
      <c r="C3178" s="398" t="inlineStr">
        <is>
          <t>Chị Trần Thị Hiền - Cty Trần Hùng Thanh Hóa/ 0969.249.435</t>
        </is>
      </c>
      <c r="D3178" s="397" t="inlineStr">
        <is>
          <t>0969.249.435</t>
        </is>
      </c>
      <c r="E3178" s="399" t="n"/>
      <c r="F3178" s="398" t="inlineStr">
        <is>
          <t>Thôn 5, Tân Trường, Tĩnh Gia, Thanh Hóa</t>
        </is>
      </c>
      <c r="G3178" s="399" t="n"/>
      <c r="H3178" s="399" t="n"/>
      <c r="J3178" s="392">
        <f>IFERROR(UPPER(TRIM(B3178))&amp;"|"&amp;UPPER(TRIM(C3178))&amp;"|"&amp;UPPER(TRIM(D3178)),"")</f>
        <v/>
      </c>
    </row>
    <row r="3179" ht="15.75" customHeight="1" s="217">
      <c r="A3179" s="400" t="n">
        <v>3177</v>
      </c>
      <c r="B3179" s="400" t="inlineStr">
        <is>
          <t>KH0578</t>
        </is>
      </c>
      <c r="C3179" s="401" t="inlineStr">
        <is>
          <t>Anh Hòa - Long An/ 0983.266.688</t>
        </is>
      </c>
      <c r="D3179" s="400" t="inlineStr">
        <is>
          <t>0983.266.688</t>
        </is>
      </c>
      <c r="E3179" s="402" t="n"/>
      <c r="F3179" s="401" t="inlineStr">
        <is>
          <t>Long An</t>
        </is>
      </c>
      <c r="G3179" s="400" t="inlineStr">
        <is>
          <t>LA</t>
        </is>
      </c>
      <c r="H3179" s="402" t="n"/>
      <c r="J3179" s="392">
        <f>IFERROR(UPPER(TRIM(B3179))&amp;"|"&amp;UPPER(TRIM(C3179))&amp;"|"&amp;UPPER(TRIM(D3179)),"")</f>
        <v/>
      </c>
    </row>
    <row r="3180" ht="15.75" customHeight="1" s="217">
      <c r="A3180" s="397" t="n">
        <v>3178</v>
      </c>
      <c r="B3180" s="397" t="inlineStr">
        <is>
          <t>KH0579</t>
        </is>
      </c>
      <c r="C3180" s="398" t="inlineStr">
        <is>
          <t>Anh Bé- SG/ 0913.846.610</t>
        </is>
      </c>
      <c r="D3180" s="397" t="inlineStr">
        <is>
          <t>0913.846.610</t>
        </is>
      </c>
      <c r="E3180" s="399" t="n"/>
      <c r="F3180" s="398" t="inlineStr">
        <is>
          <t>371, Trần Bình Trọng,P1, Quận 10, SG</t>
        </is>
      </c>
      <c r="G3180" s="397" t="inlineStr">
        <is>
          <t>SG/HCM</t>
        </is>
      </c>
      <c r="H3180" s="399" t="n"/>
      <c r="J3180" s="392">
        <f>IFERROR(UPPER(TRIM(B3180))&amp;"|"&amp;UPPER(TRIM(C3180))&amp;"|"&amp;UPPER(TRIM(D3180)),"")</f>
        <v/>
      </c>
    </row>
    <row r="3181" ht="15.75" customHeight="1" s="217">
      <c r="A3181" s="400" t="n">
        <v>3179</v>
      </c>
      <c r="B3181" s="400" t="inlineStr">
        <is>
          <t>KH0574</t>
        </is>
      </c>
      <c r="C3181" s="401" t="inlineStr">
        <is>
          <t>Anh Hiến - Đắk Nông/ 0973.646.279</t>
        </is>
      </c>
      <c r="D3181" s="400" t="inlineStr">
        <is>
          <t>0973.646.279</t>
        </is>
      </c>
      <c r="E3181" s="402" t="n"/>
      <c r="F3181" s="401" t="inlineStr">
        <is>
          <t>Đắk Nông</t>
        </is>
      </c>
      <c r="G3181" s="400" t="inlineStr">
        <is>
          <t>DNONG</t>
        </is>
      </c>
      <c r="H3181" s="402" t="n"/>
      <c r="J3181" s="392">
        <f>IFERROR(UPPER(TRIM(B3181))&amp;"|"&amp;UPPER(TRIM(C3181))&amp;"|"&amp;UPPER(TRIM(D3181)),"")</f>
        <v/>
      </c>
    </row>
    <row r="3182" ht="15.75" customHeight="1" s="217">
      <c r="A3182" s="397" t="n">
        <v>3180</v>
      </c>
      <c r="B3182" s="397" t="inlineStr">
        <is>
          <t>KH0575</t>
        </is>
      </c>
      <c r="C3182" s="398" t="inlineStr">
        <is>
          <t>Anh Cường - Di Linh/ 0983.854.319</t>
        </is>
      </c>
      <c r="D3182" s="397" t="inlineStr">
        <is>
          <t>0983.854.319</t>
        </is>
      </c>
      <c r="E3182" s="399" t="n"/>
      <c r="F3182" s="398" t="inlineStr">
        <is>
          <t>Di Linh, Lâm Đồng</t>
        </is>
      </c>
      <c r="G3182" s="397" t="inlineStr">
        <is>
          <t>LDONG</t>
        </is>
      </c>
      <c r="H3182" s="399" t="n"/>
      <c r="J3182" s="392">
        <f>IFERROR(UPPER(TRIM(B3182))&amp;"|"&amp;UPPER(TRIM(C3182))&amp;"|"&amp;UPPER(TRIM(D3182)),"")</f>
        <v/>
      </c>
    </row>
    <row r="3183" ht="15.75" customHeight="1" s="217">
      <c r="A3183" s="400" t="n">
        <v>3181</v>
      </c>
      <c r="B3183" s="400" t="inlineStr">
        <is>
          <t>KH0576</t>
        </is>
      </c>
      <c r="C3183" s="401" t="inlineStr">
        <is>
          <t>Anh Việt - Gia Lai/0989.739.186</t>
        </is>
      </c>
      <c r="D3183" s="400" t="inlineStr">
        <is>
          <t>0989.739.186</t>
        </is>
      </c>
      <c r="E3183" s="402" t="n"/>
      <c r="F3183" s="401" t="inlineStr">
        <is>
          <t>Gia Lai</t>
        </is>
      </c>
      <c r="G3183" s="400" t="inlineStr">
        <is>
          <t>GLAI</t>
        </is>
      </c>
      <c r="H3183" s="402" t="n"/>
      <c r="J3183" s="392">
        <f>IFERROR(UPPER(TRIM(B3183))&amp;"|"&amp;UPPER(TRIM(C3183))&amp;"|"&amp;UPPER(TRIM(D3183)),"")</f>
        <v/>
      </c>
    </row>
    <row r="3184" ht="15.75" customHeight="1" s="217">
      <c r="A3184" s="397" t="n">
        <v>3182</v>
      </c>
      <c r="B3184" s="397" t="inlineStr">
        <is>
          <t>KH0577</t>
        </is>
      </c>
      <c r="C3184" s="398" t="inlineStr">
        <is>
          <t>Xưởng anh Long - Bạc Liêu/ 0915.886.869 - Cno: A.Chung 0948.787.535</t>
        </is>
      </c>
      <c r="D3184" s="397" t="inlineStr">
        <is>
          <t>0915.886.869 / 0948.787.535</t>
        </is>
      </c>
      <c r="E3184" s="399" t="n"/>
      <c r="F3184" s="398" t="inlineStr">
        <is>
          <t>558 Trần Phú, TP Bạc Liêu</t>
        </is>
      </c>
      <c r="G3184" s="397" t="inlineStr">
        <is>
          <t>BLIEU</t>
        </is>
      </c>
      <c r="H3184" s="399" t="n"/>
      <c r="J3184" s="392">
        <f>IFERROR(UPPER(TRIM(B3184))&amp;"|"&amp;UPPER(TRIM(C3184))&amp;"|"&amp;UPPER(TRIM(D3184)),"")</f>
        <v/>
      </c>
    </row>
    <row r="3185" ht="15.75" customHeight="1" s="217">
      <c r="A3185" s="400" t="n">
        <v>3183</v>
      </c>
      <c r="B3185" s="400" t="inlineStr">
        <is>
          <t>KH0572</t>
        </is>
      </c>
      <c r="C3185" s="401" t="inlineStr">
        <is>
          <t>Xưởng Chỉ Cư - Bình Phước/ 0918.444.134</t>
        </is>
      </c>
      <c r="D3185" s="400" t="inlineStr">
        <is>
          <t>0918.444.134</t>
        </is>
      </c>
      <c r="E3185" s="402" t="n"/>
      <c r="F3185" s="401" t="inlineStr">
        <is>
          <t>Phước Long, Bình Phước</t>
        </is>
      </c>
      <c r="G3185" s="400" t="inlineStr">
        <is>
          <t>BP</t>
        </is>
      </c>
      <c r="H3185" s="402" t="n"/>
      <c r="J3185" s="392">
        <f>IFERROR(UPPER(TRIM(B3185))&amp;"|"&amp;UPPER(TRIM(C3185))&amp;"|"&amp;UPPER(TRIM(D3185)),"")</f>
        <v/>
      </c>
    </row>
    <row r="3186" ht="15.75" customHeight="1" s="217">
      <c r="A3186" s="397" t="n">
        <v>3184</v>
      </c>
      <c r="B3186" s="397" t="inlineStr">
        <is>
          <t>KH0573</t>
        </is>
      </c>
      <c r="C3186" s="398" t="inlineStr">
        <is>
          <t>Xưởng Anh Tân - Gia Lai/ 0914.138.417</t>
        </is>
      </c>
      <c r="D3186" s="397" t="inlineStr">
        <is>
          <t>0914.138.417</t>
        </is>
      </c>
      <c r="E3186" s="399" t="n"/>
      <c r="F3186" s="398" t="inlineStr">
        <is>
          <t>Gia Lai</t>
        </is>
      </c>
      <c r="G3186" s="397" t="inlineStr">
        <is>
          <t>GLAI</t>
        </is>
      </c>
      <c r="H3186" s="399" t="n"/>
      <c r="J3186" s="392">
        <f>IFERROR(UPPER(TRIM(B3186))&amp;"|"&amp;UPPER(TRIM(C3186))&amp;"|"&amp;UPPER(TRIM(D3186)),"")</f>
        <v/>
      </c>
    </row>
    <row r="3187" ht="15.75" customHeight="1" s="217">
      <c r="A3187" s="400" t="n">
        <v>3185</v>
      </c>
      <c r="B3187" s="400" t="inlineStr">
        <is>
          <t>KH0571</t>
        </is>
      </c>
      <c r="C3187" s="401" t="inlineStr">
        <is>
          <t>Anh Lộc - Phú Yên/ 0985.552.858</t>
        </is>
      </c>
      <c r="D3187" s="400" t="inlineStr">
        <is>
          <t>0985.552.858</t>
        </is>
      </c>
      <c r="E3187" s="402" t="n"/>
      <c r="F3187" s="401" t="inlineStr">
        <is>
          <t>Phú Yên</t>
        </is>
      </c>
      <c r="G3187" s="400" t="inlineStr">
        <is>
          <t>PYEN</t>
        </is>
      </c>
      <c r="H3187" s="402" t="n"/>
      <c r="J3187" s="392">
        <f>IFERROR(UPPER(TRIM(B3187))&amp;"|"&amp;UPPER(TRIM(C3187))&amp;"|"&amp;UPPER(TRIM(D3187)),"")</f>
        <v/>
      </c>
    </row>
    <row r="3188" ht="15.75" customHeight="1" s="217">
      <c r="A3188" s="397" t="n">
        <v>3186</v>
      </c>
      <c r="B3188" s="397" t="inlineStr">
        <is>
          <t>MN28</t>
        </is>
      </c>
      <c r="C3188" s="398" t="inlineStr">
        <is>
          <t>Tân</t>
        </is>
      </c>
      <c r="D3188" s="399" t="n"/>
      <c r="E3188" s="399" t="n"/>
      <c r="F3188" s="398" t="inlineStr">
        <is>
          <t>Công ty Cổ phần Thiết bị cơ giới Miền Nam</t>
        </is>
      </c>
      <c r="G3188" s="399" t="n"/>
      <c r="H3188" s="399" t="n"/>
      <c r="J3188" s="392">
        <f>IFERROR(UPPER(TRIM(B3188))&amp;"|"&amp;UPPER(TRIM(C3188))&amp;"|"&amp;UPPER(TRIM(D3188)),"")</f>
        <v/>
      </c>
    </row>
    <row r="3189" ht="15.75" customHeight="1" s="217">
      <c r="A3189" s="400" t="n">
        <v>3187</v>
      </c>
      <c r="B3189" s="400" t="inlineStr">
        <is>
          <t>KH0568</t>
        </is>
      </c>
      <c r="C3189" s="401" t="inlineStr">
        <is>
          <t>Cửa hàng Hoàng Mai - Sóc Trăng/ 0918.062.470</t>
        </is>
      </c>
      <c r="D3189" s="400" t="inlineStr">
        <is>
          <t>0918.062.470</t>
        </is>
      </c>
      <c r="E3189" s="402" t="n"/>
      <c r="F3189" s="401" t="inlineStr">
        <is>
          <t>Sóc Trăng</t>
        </is>
      </c>
      <c r="G3189" s="400" t="inlineStr">
        <is>
          <t>STRANG</t>
        </is>
      </c>
      <c r="H3189" s="402" t="n"/>
      <c r="J3189" s="392">
        <f>IFERROR(UPPER(TRIM(B3189))&amp;"|"&amp;UPPER(TRIM(C3189))&amp;"|"&amp;UPPER(TRIM(D3189)),"")</f>
        <v/>
      </c>
    </row>
    <row r="3190" ht="15.75" customHeight="1" s="217">
      <c r="A3190" s="397" t="n">
        <v>3188</v>
      </c>
      <c r="B3190" s="397" t="inlineStr">
        <is>
          <t>KH0569</t>
        </is>
      </c>
      <c r="C3190" s="398" t="inlineStr">
        <is>
          <t>Anh Trứ - Đức Hoà - Long An / 0907.714.851</t>
        </is>
      </c>
      <c r="D3190" s="397" t="inlineStr">
        <is>
          <t>0907.714.851</t>
        </is>
      </c>
      <c r="E3190" s="399" t="n"/>
      <c r="F3190" s="398" t="inlineStr">
        <is>
          <t>Đức Hoà - Long An</t>
        </is>
      </c>
      <c r="G3190" s="397" t="inlineStr">
        <is>
          <t>LA</t>
        </is>
      </c>
      <c r="H3190" s="399" t="n"/>
      <c r="J3190" s="392">
        <f>IFERROR(UPPER(TRIM(B3190))&amp;"|"&amp;UPPER(TRIM(C3190))&amp;"|"&amp;UPPER(TRIM(D3190)),"")</f>
        <v/>
      </c>
    </row>
    <row r="3191" ht="15.75" customHeight="1" s="217">
      <c r="A3191" s="400" t="n">
        <v>3189</v>
      </c>
      <c r="B3191" s="400" t="inlineStr">
        <is>
          <t>KH0570</t>
        </is>
      </c>
      <c r="C3191" s="401" t="inlineStr">
        <is>
          <t>HAK (Sreang Kimhak) - Campuchia/ 012.855.755</t>
        </is>
      </c>
      <c r="D3191" s="400" t="inlineStr">
        <is>
          <t>012.855.755</t>
        </is>
      </c>
      <c r="E3191" s="402" t="n"/>
      <c r="F3191" s="401" t="inlineStr">
        <is>
          <t>Campuchia</t>
        </is>
      </c>
      <c r="G3191" s="400" t="inlineStr">
        <is>
          <t>CPC</t>
        </is>
      </c>
      <c r="H3191" s="402" t="n"/>
      <c r="J3191" s="392">
        <f>IFERROR(UPPER(TRIM(B3191))&amp;"|"&amp;UPPER(TRIM(C3191))&amp;"|"&amp;UPPER(TRIM(D3191)),"")</f>
        <v/>
      </c>
    </row>
    <row r="3192" ht="15.75" customHeight="1" s="217">
      <c r="A3192" s="397" t="n">
        <v>3190</v>
      </c>
      <c r="B3192" s="397" t="inlineStr">
        <is>
          <t>KH0567</t>
        </is>
      </c>
      <c r="C3192" s="398" t="inlineStr">
        <is>
          <t>SODARA - Campuchia/ 077.722.121</t>
        </is>
      </c>
      <c r="D3192" s="397" t="inlineStr">
        <is>
          <t>077.722.121</t>
        </is>
      </c>
      <c r="E3192" s="399" t="n"/>
      <c r="F3192" s="398" t="inlineStr">
        <is>
          <t>Campuchia</t>
        </is>
      </c>
      <c r="G3192" s="397" t="inlineStr">
        <is>
          <t>CPC</t>
        </is>
      </c>
      <c r="H3192" s="397" t="inlineStr">
        <is>
          <t>Gửi hàng Chành Phương Heng -  Số 1, Đường Bắc Hải, Q10, TPHCM. Người nhận hàng: A.Tuấn: 0913.623.613</t>
        </is>
      </c>
      <c r="J3192" s="392">
        <f>IFERROR(UPPER(TRIM(B3192))&amp;"|"&amp;UPPER(TRIM(C3192))&amp;"|"&amp;UPPER(TRIM(D3192)),"")</f>
        <v/>
      </c>
    </row>
    <row r="3193" ht="15.75" customHeight="1" s="217">
      <c r="A3193" s="400" t="n">
        <v>3191</v>
      </c>
      <c r="B3193" s="400" t="inlineStr">
        <is>
          <t>MN27</t>
        </is>
      </c>
      <c r="C3193" s="401" t="inlineStr">
        <is>
          <t>Bửu</t>
        </is>
      </c>
      <c r="D3193" s="402" t="n"/>
      <c r="E3193" s="402" t="n"/>
      <c r="F3193" s="401" t="inlineStr">
        <is>
          <t>Công ty CP Thiết bị Cơ giới Miền Nam</t>
        </is>
      </c>
      <c r="G3193" s="402" t="n"/>
      <c r="H3193" s="402" t="n"/>
      <c r="J3193" s="392">
        <f>IFERROR(UPPER(TRIM(B3193))&amp;"|"&amp;UPPER(TRIM(C3193))&amp;"|"&amp;UPPER(TRIM(D3193)),"")</f>
        <v/>
      </c>
    </row>
    <row r="3194" ht="15.75" customHeight="1" s="217">
      <c r="A3194" s="397" t="n">
        <v>3192</v>
      </c>
      <c r="B3194" s="397" t="inlineStr">
        <is>
          <t>KH0566</t>
        </is>
      </c>
      <c r="C3194" s="398" t="inlineStr">
        <is>
          <t>Xưởng Phú Gia Tiến - Phan Rang/ anh Hải: 0938.442.170</t>
        </is>
      </c>
      <c r="D3194" s="397" t="inlineStr">
        <is>
          <t>0938.442.170</t>
        </is>
      </c>
      <c r="E3194" s="399" t="n"/>
      <c r="F3194" s="398" t="inlineStr">
        <is>
          <t>KP1, Phường Bảo An, TP Phan Rang Tháp Chàm, Ninh Thuận</t>
        </is>
      </c>
      <c r="G3194" s="397" t="inlineStr">
        <is>
          <t>NTHUAN</t>
        </is>
      </c>
      <c r="H3194" s="399" t="n"/>
      <c r="J3194" s="392">
        <f>IFERROR(UPPER(TRIM(B3194))&amp;"|"&amp;UPPER(TRIM(C3194))&amp;"|"&amp;UPPER(TRIM(D3194)),"")</f>
        <v/>
      </c>
    </row>
    <row r="3195" ht="15.75" customHeight="1" s="217">
      <c r="A3195" s="400" t="n">
        <v>3193</v>
      </c>
      <c r="B3195" s="400" t="inlineStr">
        <is>
          <t>KH0564</t>
        </is>
      </c>
      <c r="C3195" s="401" t="inlineStr">
        <is>
          <t>Anh Thịnh - Vĩnh Long/ 01266.853.839</t>
        </is>
      </c>
      <c r="D3195" s="400" t="inlineStr">
        <is>
          <t>01266.853.839</t>
        </is>
      </c>
      <c r="E3195" s="402" t="n"/>
      <c r="F3195" s="401" t="inlineStr">
        <is>
          <t>TP Vĩnh Long</t>
        </is>
      </c>
      <c r="G3195" s="400" t="inlineStr">
        <is>
          <t>VĨNH LONG</t>
        </is>
      </c>
      <c r="H3195" s="402" t="n"/>
      <c r="J3195" s="392">
        <f>IFERROR(UPPER(TRIM(B3195))&amp;"|"&amp;UPPER(TRIM(C3195))&amp;"|"&amp;UPPER(TRIM(D3195)),"")</f>
        <v/>
      </c>
    </row>
    <row r="3196" ht="15.75" customHeight="1" s="217">
      <c r="A3196" s="397" t="n">
        <v>3194</v>
      </c>
      <c r="B3196" s="397" t="inlineStr">
        <is>
          <t>KH0565</t>
        </is>
      </c>
      <c r="C3196" s="398" t="inlineStr">
        <is>
          <t>Công ty CP ĐTXD Vận Tải Thương Mại Cường Thịnh - Quận 12/ anh Tin: 0908.245.909 , Chị Thủy : 0908.762.688</t>
        </is>
      </c>
      <c r="D3196" s="397" t="inlineStr">
        <is>
          <t>0908.245.909 / 0908.762.688</t>
        </is>
      </c>
      <c r="E3196" s="399" t="n"/>
      <c r="F3196" s="398" t="inlineStr">
        <is>
          <t>628/27 Hà Huy Giáp, Phường Thanh Lộc, Quận 12, TP HCM</t>
        </is>
      </c>
      <c r="G3196" s="397" t="inlineStr">
        <is>
          <t>SG/HCM</t>
        </is>
      </c>
      <c r="H3196" s="399" t="n"/>
      <c r="J3196" s="392">
        <f>IFERROR(UPPER(TRIM(B3196))&amp;"|"&amp;UPPER(TRIM(C3196))&amp;"|"&amp;UPPER(TRIM(D3196)),"")</f>
        <v/>
      </c>
    </row>
    <row r="3197" ht="15.75" customHeight="1" s="217">
      <c r="A3197" s="400" t="n">
        <v>3195</v>
      </c>
      <c r="B3197" s="400" t="inlineStr">
        <is>
          <t>KH0563</t>
        </is>
      </c>
      <c r="C3197" s="401" t="inlineStr">
        <is>
          <t>Bãi máy Lập Dũng - SG/ ANh Dũng - 0913.982.539</t>
        </is>
      </c>
      <c r="D3197" s="400" t="inlineStr">
        <is>
          <t>0913.982.539</t>
        </is>
      </c>
      <c r="E3197" s="402" t="n"/>
      <c r="F3197" s="401" t="inlineStr">
        <is>
          <t>QL1A, Thủ Đức, TP HCM</t>
        </is>
      </c>
      <c r="G3197" s="400" t="inlineStr">
        <is>
          <t>SG/HCM</t>
        </is>
      </c>
      <c r="H3197" s="402" t="n"/>
      <c r="J3197" s="392">
        <f>IFERROR(UPPER(TRIM(B3197))&amp;"|"&amp;UPPER(TRIM(C3197))&amp;"|"&amp;UPPER(TRIM(D3197)),"")</f>
        <v/>
      </c>
    </row>
    <row r="3198" ht="15.75" customHeight="1" s="217">
      <c r="A3198" s="397" t="n">
        <v>3196</v>
      </c>
      <c r="B3198" s="397" t="inlineStr">
        <is>
          <t>KH0562</t>
        </is>
      </c>
      <c r="C3198" s="398" t="inlineStr">
        <is>
          <t>Xưởng anh Trọng - Kontum/ 0985.125.488</t>
        </is>
      </c>
      <c r="D3198" s="397" t="inlineStr">
        <is>
          <t>0985.125.488</t>
        </is>
      </c>
      <c r="E3198" s="399" t="n"/>
      <c r="F3198" s="398" t="inlineStr">
        <is>
          <t>TP Kontum</t>
        </is>
      </c>
      <c r="G3198" s="397" t="inlineStr">
        <is>
          <t>KTUM</t>
        </is>
      </c>
      <c r="H3198" s="399" t="n"/>
      <c r="J3198" s="392">
        <f>IFERROR(UPPER(TRIM(B3198))&amp;"|"&amp;UPPER(TRIM(C3198))&amp;"|"&amp;UPPER(TRIM(D3198)),"")</f>
        <v/>
      </c>
    </row>
    <row r="3199" ht="15.75" customHeight="1" s="217">
      <c r="A3199" s="400" t="n">
        <v>3197</v>
      </c>
      <c r="B3199" s="400" t="inlineStr">
        <is>
          <t>KH0561</t>
        </is>
      </c>
      <c r="C3199" s="401" t="inlineStr">
        <is>
          <t>Bãi máy anh Tám - Bình Chánh/ 0903.182.444</t>
        </is>
      </c>
      <c r="D3199" s="400" t="inlineStr">
        <is>
          <t>0903.182.444</t>
        </is>
      </c>
      <c r="E3199" s="402" t="n"/>
      <c r="F3199" s="401" t="inlineStr">
        <is>
          <t>Nguyễn Văn Linh, Bình Chánh, SG</t>
        </is>
      </c>
      <c r="G3199" s="400" t="inlineStr">
        <is>
          <t>SG/HCM</t>
        </is>
      </c>
      <c r="H3199" s="402" t="n"/>
      <c r="J3199" s="392">
        <f>IFERROR(UPPER(TRIM(B3199))&amp;"|"&amp;UPPER(TRIM(C3199))&amp;"|"&amp;UPPER(TRIM(D3199)),"")</f>
        <v/>
      </c>
    </row>
    <row r="3200" ht="15.75" customHeight="1" s="217">
      <c r="A3200" s="397" t="n">
        <v>3198</v>
      </c>
      <c r="B3200" s="397" t="inlineStr">
        <is>
          <t>KH0559</t>
        </is>
      </c>
      <c r="C3200" s="398" t="inlineStr">
        <is>
          <t>Bãi máy Công Minh Thành - SG/ A.Sinh: 0982.271.108</t>
        </is>
      </c>
      <c r="D3200" s="397" t="inlineStr">
        <is>
          <t>0982.271.108</t>
        </is>
      </c>
      <c r="E3200" s="399" t="n"/>
      <c r="F3200" s="398" t="inlineStr">
        <is>
          <t>Xa Lộ HN, Q9, Sài Gòn</t>
        </is>
      </c>
      <c r="G3200" s="397" t="inlineStr">
        <is>
          <t>SG/HCM</t>
        </is>
      </c>
      <c r="H3200" s="399" t="n"/>
      <c r="J3200" s="392">
        <f>IFERROR(UPPER(TRIM(B3200))&amp;"|"&amp;UPPER(TRIM(C3200))&amp;"|"&amp;UPPER(TRIM(D3200)),"")</f>
        <v/>
      </c>
    </row>
    <row r="3201" ht="15.75" customHeight="1" s="217">
      <c r="A3201" s="400" t="n">
        <v>3199</v>
      </c>
      <c r="B3201" s="400" t="inlineStr">
        <is>
          <t>KH0560</t>
        </is>
      </c>
      <c r="C3201" s="401" t="inlineStr">
        <is>
          <t>DNTN Hoàng Ngân - Long An/ Chú Du: 0918.589.581</t>
        </is>
      </c>
      <c r="D3201" s="400" t="inlineStr">
        <is>
          <t>0918.589.581</t>
        </is>
      </c>
      <c r="E3201" s="402" t="n"/>
      <c r="F3201" s="401" t="inlineStr">
        <is>
          <t>Số 30, ấp 1. Xã Thạnh Đức, Huyện Bến Lức, Long An</t>
        </is>
      </c>
      <c r="G3201" s="400" t="inlineStr">
        <is>
          <t>LA</t>
        </is>
      </c>
      <c r="H3201" s="402" t="n"/>
      <c r="J3201" s="392">
        <f>IFERROR(UPPER(TRIM(B3201))&amp;"|"&amp;UPPER(TRIM(C3201))&amp;"|"&amp;UPPER(TRIM(D3201)),"")</f>
        <v/>
      </c>
    </row>
    <row r="3202" ht="15.75" customHeight="1" s="217">
      <c r="A3202" s="397" t="n">
        <v>3200</v>
      </c>
      <c r="B3202" s="397" t="inlineStr">
        <is>
          <t>KH0556</t>
        </is>
      </c>
      <c r="C3202" s="398" t="inlineStr">
        <is>
          <t>Xưởng anh Liêm - Vĩnh Long/ 0939.799.471</t>
        </is>
      </c>
      <c r="D3202" s="397" t="inlineStr">
        <is>
          <t>0939.799.471</t>
        </is>
      </c>
      <c r="E3202" s="399" t="n"/>
      <c r="F3202" s="398" t="inlineStr">
        <is>
          <t>QL53 Vũng Liêm, Vĩnh Long</t>
        </is>
      </c>
      <c r="G3202" s="397" t="inlineStr">
        <is>
          <t>TV</t>
        </is>
      </c>
      <c r="H3202" s="399" t="n"/>
      <c r="J3202" s="392">
        <f>IFERROR(UPPER(TRIM(B3202))&amp;"|"&amp;UPPER(TRIM(C3202))&amp;"|"&amp;UPPER(TRIM(D3202)),"")</f>
        <v/>
      </c>
    </row>
    <row r="3203" ht="15.75" customHeight="1" s="217">
      <c r="A3203" s="400" t="n">
        <v>3201</v>
      </c>
      <c r="B3203" s="400" t="inlineStr">
        <is>
          <t>KH0557</t>
        </is>
      </c>
      <c r="C3203" s="401" t="inlineStr">
        <is>
          <t>Bãi máy Cát Miên - Dĩ An/ C.Lan Anh: 0933.422.158</t>
        </is>
      </c>
      <c r="D3203" s="400" t="inlineStr">
        <is>
          <t>0933.422.158</t>
        </is>
      </c>
      <c r="E3203" s="402" t="n"/>
      <c r="F3203" s="401" t="inlineStr">
        <is>
          <t>Xa lộ Hà Nội, Bình Thắng, Dĩ An, Bình Dương</t>
        </is>
      </c>
      <c r="G3203" s="400" t="inlineStr">
        <is>
          <t>SG/HCM</t>
        </is>
      </c>
      <c r="H3203" s="402" t="n"/>
      <c r="J3203" s="392">
        <f>IFERROR(UPPER(TRIM(B3203))&amp;"|"&amp;UPPER(TRIM(C3203))&amp;"|"&amp;UPPER(TRIM(D3203)),"")</f>
        <v/>
      </c>
    </row>
    <row r="3204" ht="15.75" customHeight="1" s="217">
      <c r="A3204" s="397" t="n">
        <v>3202</v>
      </c>
      <c r="B3204" s="397" t="inlineStr">
        <is>
          <t>KH0558</t>
        </is>
      </c>
      <c r="C3204" s="398" t="inlineStr">
        <is>
          <t>Chú Keo - Tân Uyên/ 0918.016.580</t>
        </is>
      </c>
      <c r="D3204" s="397" t="inlineStr">
        <is>
          <t>0918.016.580</t>
        </is>
      </c>
      <c r="E3204" s="399" t="n"/>
      <c r="F3204" s="398" t="inlineStr">
        <is>
          <t>Tân Uyên, Bình Dương</t>
        </is>
      </c>
      <c r="G3204" s="397" t="inlineStr">
        <is>
          <t>BDUONG</t>
        </is>
      </c>
      <c r="H3204" s="399" t="n"/>
      <c r="J3204" s="392">
        <f>IFERROR(UPPER(TRIM(B3204))&amp;"|"&amp;UPPER(TRIM(C3204))&amp;"|"&amp;UPPER(TRIM(D3204)),"")</f>
        <v/>
      </c>
    </row>
    <row r="3205" ht="15.75" customHeight="1" s="217">
      <c r="A3205" s="400" t="n">
        <v>3203</v>
      </c>
      <c r="B3205" s="400" t="inlineStr">
        <is>
          <t>KH0554</t>
        </is>
      </c>
      <c r="C3205" s="401" t="inlineStr">
        <is>
          <t>Xưởng Phú Hưng - SG/ 0903.682.788</t>
        </is>
      </c>
      <c r="D3205" s="400" t="inlineStr">
        <is>
          <t>0903.682.788</t>
        </is>
      </c>
      <c r="E3205" s="402" t="n"/>
      <c r="F3205" s="401" t="inlineStr">
        <is>
          <t>Đường vào làng đại học, Thủ Đức, TPHCM</t>
        </is>
      </c>
      <c r="G3205" s="400" t="inlineStr">
        <is>
          <t>SG/HCM</t>
        </is>
      </c>
      <c r="H3205" s="402" t="n"/>
      <c r="J3205" s="392">
        <f>IFERROR(UPPER(TRIM(B3205))&amp;"|"&amp;UPPER(TRIM(C3205))&amp;"|"&amp;UPPER(TRIM(D3205)),"")</f>
        <v/>
      </c>
    </row>
    <row r="3206" ht="15.75" customHeight="1" s="217">
      <c r="A3206" s="397" t="n">
        <v>3204</v>
      </c>
      <c r="B3206" s="397" t="inlineStr">
        <is>
          <t>KH0555</t>
        </is>
      </c>
      <c r="C3206" s="398" t="inlineStr">
        <is>
          <t>Chị Hướng- Công ty Trường Thành (Hà Nội)/ 0902.182.196</t>
        </is>
      </c>
      <c r="D3206" s="397" t="inlineStr">
        <is>
          <t>0902.182.196</t>
        </is>
      </c>
      <c r="E3206" s="399" t="n"/>
      <c r="F3206" s="398" t="inlineStr">
        <is>
          <t>Hà Nội</t>
        </is>
      </c>
      <c r="G3206" s="399" t="n"/>
      <c r="H3206" s="399" t="n"/>
      <c r="J3206" s="392">
        <f>IFERROR(UPPER(TRIM(B3206))&amp;"|"&amp;UPPER(TRIM(C3206))&amp;"|"&amp;UPPER(TRIM(D3206)),"")</f>
        <v/>
      </c>
    </row>
    <row r="3207" ht="15.75" customHeight="1" s="217">
      <c r="A3207" s="400" t="n">
        <v>3205</v>
      </c>
      <c r="B3207" s="400" t="inlineStr">
        <is>
          <t>KH0550</t>
        </is>
      </c>
      <c r="C3207" s="401" t="inlineStr">
        <is>
          <t>Bãi Máy Triệu Long - XLHN/  anh Tuyên: 0932.617.181</t>
        </is>
      </c>
      <c r="D3207" s="400" t="inlineStr">
        <is>
          <t>0932.617.181</t>
        </is>
      </c>
      <c r="E3207" s="402" t="n"/>
      <c r="F3207" s="401" t="inlineStr">
        <is>
          <t>XLHN, Bình Thắng - Dĩ An - Bình Dương</t>
        </is>
      </c>
      <c r="G3207" s="400" t="inlineStr">
        <is>
          <t>BDUONG</t>
        </is>
      </c>
      <c r="H3207" s="402" t="n"/>
      <c r="J3207" s="392">
        <f>IFERROR(UPPER(TRIM(B3207))&amp;"|"&amp;UPPER(TRIM(C3207))&amp;"|"&amp;UPPER(TRIM(D3207)),"")</f>
        <v/>
      </c>
    </row>
    <row r="3208" ht="15.75" customHeight="1" s="217">
      <c r="A3208" s="397" t="n">
        <v>3206</v>
      </c>
      <c r="B3208" s="397" t="inlineStr">
        <is>
          <t>KH0551</t>
        </is>
      </c>
      <c r="C3208" s="398" t="inlineStr">
        <is>
          <t>Anh Bốn - Quảng Ngãi/ 0982.052.229</t>
        </is>
      </c>
      <c r="D3208" s="397" t="inlineStr">
        <is>
          <t>0982.052.229</t>
        </is>
      </c>
      <c r="E3208" s="399" t="n"/>
      <c r="F3208" s="398" t="inlineStr">
        <is>
          <t>Bình Sơn, Quảng Ngãi</t>
        </is>
      </c>
      <c r="G3208" s="397" t="inlineStr">
        <is>
          <t>QUNGAI</t>
        </is>
      </c>
      <c r="H3208" s="399" t="n"/>
      <c r="J3208" s="392">
        <f>IFERROR(UPPER(TRIM(B3208))&amp;"|"&amp;UPPER(TRIM(C3208))&amp;"|"&amp;UPPER(TRIM(D3208)),"")</f>
        <v/>
      </c>
    </row>
    <row r="3209" ht="15.75" customHeight="1" s="217">
      <c r="A3209" s="400" t="n">
        <v>3207</v>
      </c>
      <c r="B3209" s="400" t="inlineStr">
        <is>
          <t>KH0552</t>
        </is>
      </c>
      <c r="C3209" s="401" t="inlineStr">
        <is>
          <t>Xưởng anh Dũng - Bạc Liêu (L)/ 0919.316.387</t>
        </is>
      </c>
      <c r="D3209" s="400" t="inlineStr">
        <is>
          <t>0919.316.387</t>
        </is>
      </c>
      <c r="E3209" s="402" t="n"/>
      <c r="F3209" s="401" t="inlineStr">
        <is>
          <t>QL1A, ấp Cái Tràm, Long Thạnh, TP Bạc Liêu</t>
        </is>
      </c>
      <c r="G3209" s="400" t="inlineStr">
        <is>
          <t>BLIEU</t>
        </is>
      </c>
      <c r="H3209" s="402" t="n"/>
      <c r="J3209" s="392">
        <f>IFERROR(UPPER(TRIM(B3209))&amp;"|"&amp;UPPER(TRIM(C3209))&amp;"|"&amp;UPPER(TRIM(D3209)),"")</f>
        <v/>
      </c>
    </row>
    <row r="3210" ht="15.75" customHeight="1" s="217">
      <c r="A3210" s="397" t="n">
        <v>3208</v>
      </c>
      <c r="B3210" s="397" t="inlineStr">
        <is>
          <t>KH0553</t>
        </is>
      </c>
      <c r="C3210" s="398" t="inlineStr">
        <is>
          <t>Xưởng Anh Huy - Nha Trang/ 0903.529.899</t>
        </is>
      </c>
      <c r="D3210" s="397" t="inlineStr">
        <is>
          <t>0903.529.899</t>
        </is>
      </c>
      <c r="E3210" s="399" t="n"/>
      <c r="F3210" s="398" t="inlineStr">
        <is>
          <t>Nha Trang</t>
        </is>
      </c>
      <c r="G3210" s="397" t="inlineStr">
        <is>
          <t>NTRANG</t>
        </is>
      </c>
      <c r="H3210" s="399" t="n"/>
      <c r="J3210" s="392">
        <f>IFERROR(UPPER(TRIM(B3210))&amp;"|"&amp;UPPER(TRIM(C3210))&amp;"|"&amp;UPPER(TRIM(D3210)),"")</f>
        <v/>
      </c>
    </row>
    <row r="3211" ht="15.75" customHeight="1" s="217">
      <c r="A3211" s="400" t="n">
        <v>3209</v>
      </c>
      <c r="B3211" s="400" t="inlineStr">
        <is>
          <t>KH0548</t>
        </is>
      </c>
      <c r="C3211" s="401" t="inlineStr">
        <is>
          <t>Bãi máy Thuận Phát - Chú Tư: 0903.663.661</t>
        </is>
      </c>
      <c r="D3211" s="400" t="inlineStr">
        <is>
          <t>0903.663.661</t>
        </is>
      </c>
      <c r="E3211" s="402" t="n"/>
      <c r="F3211" s="401" t="inlineStr">
        <is>
          <t>Gần Xưởng Chí Thông</t>
        </is>
      </c>
      <c r="G3211" s="400" t="inlineStr">
        <is>
          <t>SG/HCM</t>
        </is>
      </c>
      <c r="H3211" s="402" t="n"/>
      <c r="J3211" s="392">
        <f>IFERROR(UPPER(TRIM(B3211))&amp;"|"&amp;UPPER(TRIM(C3211))&amp;"|"&amp;UPPER(TRIM(D3211)),"")</f>
        <v/>
      </c>
    </row>
    <row r="3212" ht="15.75" customHeight="1" s="217">
      <c r="A3212" s="397" t="n">
        <v>3210</v>
      </c>
      <c r="B3212" s="397" t="inlineStr">
        <is>
          <t>KH0549</t>
        </is>
      </c>
      <c r="C3212" s="398" t="inlineStr">
        <is>
          <t>Công ty TNHH SXKD Hai Thành/ anh Khánh: 0905.047.303</t>
        </is>
      </c>
      <c r="D3212" s="397" t="inlineStr">
        <is>
          <t>0905.047.303</t>
        </is>
      </c>
      <c r="E3212" s="399" t="n"/>
      <c r="F3212" s="398" t="inlineStr">
        <is>
          <t>1185 QL1A, KP5, P Bình Trị Đông, Q. Bình Tân, TPHCM</t>
        </is>
      </c>
      <c r="G3212" s="397" t="inlineStr">
        <is>
          <t>SG/HCM</t>
        </is>
      </c>
      <c r="H3212" s="399" t="n"/>
      <c r="J3212" s="392">
        <f>IFERROR(UPPER(TRIM(B3212))&amp;"|"&amp;UPPER(TRIM(C3212))&amp;"|"&amp;UPPER(TRIM(D3212)),"")</f>
        <v/>
      </c>
    </row>
    <row r="3213" ht="15.75" customHeight="1" s="217">
      <c r="A3213" s="400" t="n">
        <v>3211</v>
      </c>
      <c r="B3213" s="400" t="inlineStr">
        <is>
          <t>KH0547</t>
        </is>
      </c>
      <c r="C3213" s="401" t="inlineStr">
        <is>
          <t>Anh Phú - Bạc Liêu/ 0907.821.273</t>
        </is>
      </c>
      <c r="D3213" s="400" t="inlineStr">
        <is>
          <t>0907.821.273</t>
        </is>
      </c>
      <c r="E3213" s="402" t="n"/>
      <c r="F3213" s="401" t="inlineStr">
        <is>
          <t>Hộ Phòng, Bạc Liêu</t>
        </is>
      </c>
      <c r="G3213" s="400" t="inlineStr">
        <is>
          <t>BLIEU</t>
        </is>
      </c>
      <c r="H3213" s="402" t="n"/>
      <c r="J3213" s="392">
        <f>IFERROR(UPPER(TRIM(B3213))&amp;"|"&amp;UPPER(TRIM(C3213))&amp;"|"&amp;UPPER(TRIM(D3213)),"")</f>
        <v/>
      </c>
    </row>
    <row r="3214" ht="15.75" customHeight="1" s="217">
      <c r="A3214" s="397" t="n">
        <v>3212</v>
      </c>
      <c r="B3214" s="397" t="inlineStr">
        <is>
          <t>KH0545</t>
        </is>
      </c>
      <c r="C3214" s="398" t="inlineStr">
        <is>
          <t>DNTN Tấn Trường Phát - Long An</t>
        </is>
      </c>
      <c r="D3214" s="399" t="n"/>
      <c r="E3214" s="399" t="n"/>
      <c r="F3214" s="398" t="inlineStr">
        <is>
          <t>122 Lê Hồng Phong, KP8, TT Cần Đước, Long An</t>
        </is>
      </c>
      <c r="G3214" s="397" t="inlineStr">
        <is>
          <t>LA</t>
        </is>
      </c>
      <c r="H3214" s="399" t="n"/>
      <c r="J3214" s="392">
        <f>IFERROR(UPPER(TRIM(B3214))&amp;"|"&amp;UPPER(TRIM(C3214))&amp;"|"&amp;UPPER(TRIM(D3214)),"")</f>
        <v/>
      </c>
    </row>
    <row r="3215" ht="15.75" customHeight="1" s="217">
      <c r="A3215" s="400" t="n">
        <v>3213</v>
      </c>
      <c r="B3215" s="400" t="inlineStr">
        <is>
          <t>KH0546</t>
        </is>
      </c>
      <c r="C3215" s="401" t="inlineStr">
        <is>
          <t>Anh Trang - Tam Bình/ 0908.664.715</t>
        </is>
      </c>
      <c r="D3215" s="400" t="inlineStr">
        <is>
          <t>0908.664.715</t>
        </is>
      </c>
      <c r="E3215" s="402" t="n"/>
      <c r="F3215" s="401" t="inlineStr">
        <is>
          <t>Tam Bình, Thủ Đức, TPHCM</t>
        </is>
      </c>
      <c r="G3215" s="400" t="inlineStr">
        <is>
          <t>SG/HCM</t>
        </is>
      </c>
      <c r="H3215" s="402" t="n"/>
      <c r="J3215" s="392">
        <f>IFERROR(UPPER(TRIM(B3215))&amp;"|"&amp;UPPER(TRIM(C3215))&amp;"|"&amp;UPPER(TRIM(D3215)),"")</f>
        <v/>
      </c>
    </row>
    <row r="3216" ht="15.75" customHeight="1" s="217">
      <c r="A3216" s="397" t="n">
        <v>3214</v>
      </c>
      <c r="B3216" s="397" t="inlineStr">
        <is>
          <t>KH0544</t>
        </is>
      </c>
      <c r="C3216" s="398" t="inlineStr">
        <is>
          <t>Bãi máy Vĩnh Phát - SG/ anh Đức: 0903.360.666/ K. toán c Tuyết 0903.023.279</t>
        </is>
      </c>
      <c r="D3216" s="397" t="inlineStr">
        <is>
          <t>0903.360.666 / 0903.023.279</t>
        </is>
      </c>
      <c r="E3216" s="399" t="n"/>
      <c r="F3216" s="398" t="inlineStr">
        <is>
          <t>Đối diện CH Trường Thọ</t>
        </is>
      </c>
      <c r="G3216" s="397" t="inlineStr">
        <is>
          <t>SG/HCM</t>
        </is>
      </c>
      <c r="H3216" s="399" t="n"/>
      <c r="J3216" s="392">
        <f>IFERROR(UPPER(TRIM(B3216))&amp;"|"&amp;UPPER(TRIM(C3216))&amp;"|"&amp;UPPER(TRIM(D3216)),"")</f>
        <v/>
      </c>
    </row>
    <row r="3217" ht="15.75" customHeight="1" s="217">
      <c r="A3217" s="400" t="n">
        <v>3215</v>
      </c>
      <c r="B3217" s="400" t="inlineStr">
        <is>
          <t>KH0543</t>
        </is>
      </c>
      <c r="C3217" s="401" t="inlineStr">
        <is>
          <t>Anh Cường - Đồng Tháp/ 0918.700.619</t>
        </is>
      </c>
      <c r="D3217" s="400" t="inlineStr">
        <is>
          <t>0918.700.619</t>
        </is>
      </c>
      <c r="E3217" s="402" t="n"/>
      <c r="F3217" s="401" t="inlineStr">
        <is>
          <t>Đồng Tháp</t>
        </is>
      </c>
      <c r="G3217" s="400" t="inlineStr">
        <is>
          <t>DTHAP</t>
        </is>
      </c>
      <c r="H3217" s="402" t="n"/>
      <c r="J3217" s="392">
        <f>IFERROR(UPPER(TRIM(B3217))&amp;"|"&amp;UPPER(TRIM(C3217))&amp;"|"&amp;UPPER(TRIM(D3217)),"")</f>
        <v/>
      </c>
    </row>
    <row r="3218" ht="15.75" customHeight="1" s="217">
      <c r="A3218" s="397" t="n">
        <v>3216</v>
      </c>
      <c r="B3218" s="397" t="inlineStr">
        <is>
          <t>KH0542</t>
        </is>
      </c>
      <c r="C3218" s="398" t="inlineStr">
        <is>
          <t>Anh Thanh - Kiên Lương/ 0913.872.664</t>
        </is>
      </c>
      <c r="D3218" s="397" t="inlineStr">
        <is>
          <t>0913.872.664</t>
        </is>
      </c>
      <c r="E3218" s="399" t="n"/>
      <c r="F3218" s="398" t="inlineStr">
        <is>
          <t>Kiên Lương, Kiên Giang</t>
        </is>
      </c>
      <c r="G3218" s="397" t="inlineStr">
        <is>
          <t>KG</t>
        </is>
      </c>
      <c r="H3218" s="399" t="n"/>
      <c r="J3218" s="392">
        <f>IFERROR(UPPER(TRIM(B3218))&amp;"|"&amp;UPPER(TRIM(C3218))&amp;"|"&amp;UPPER(TRIM(D3218)),"")</f>
        <v/>
      </c>
    </row>
    <row r="3219" ht="15.75" customHeight="1" s="217">
      <c r="A3219" s="400" t="n">
        <v>3217</v>
      </c>
      <c r="B3219" s="400" t="inlineStr">
        <is>
          <t>KH0540</t>
        </is>
      </c>
      <c r="C3219" s="401" t="inlineStr">
        <is>
          <t>Công ty TNHH TMDV XNK Thiên Nhật/ anh Thiên: 0903.384.949</t>
        </is>
      </c>
      <c r="D3219" s="400" t="inlineStr">
        <is>
          <t>0903.384.949</t>
        </is>
      </c>
      <c r="E3219" s="402" t="n"/>
      <c r="F3219" s="401" t="inlineStr">
        <is>
          <t>16/6 ấp Đồng nai, xã Hóa An, TP Biên Hòa, Đồng Nai</t>
        </is>
      </c>
      <c r="G3219" s="400" t="inlineStr">
        <is>
          <t>ÐNAI</t>
        </is>
      </c>
      <c r="H3219" s="402" t="n"/>
      <c r="J3219" s="392">
        <f>IFERROR(UPPER(TRIM(B3219))&amp;"|"&amp;UPPER(TRIM(C3219))&amp;"|"&amp;UPPER(TRIM(D3219)),"")</f>
        <v/>
      </c>
    </row>
    <row r="3220" ht="15.75" customHeight="1" s="217">
      <c r="A3220" s="397" t="n">
        <v>3218</v>
      </c>
      <c r="B3220" s="397" t="inlineStr">
        <is>
          <t>KH0541</t>
        </is>
      </c>
      <c r="C3220" s="398" t="inlineStr">
        <is>
          <t>Xưởng anh Trung - Cần Thơ/ 0907.384.635</t>
        </is>
      </c>
      <c r="D3220" s="397" t="inlineStr">
        <is>
          <t>0907.384.635</t>
        </is>
      </c>
      <c r="E3220" s="399" t="n"/>
      <c r="F3220" s="398" t="inlineStr">
        <is>
          <t>Tổ 1, KP1, Quang Trung, TP Cần Thơ</t>
        </is>
      </c>
      <c r="G3220" s="397" t="inlineStr">
        <is>
          <t>CTHO</t>
        </is>
      </c>
      <c r="H3220" s="399" t="n"/>
      <c r="J3220" s="392">
        <f>IFERROR(UPPER(TRIM(B3220))&amp;"|"&amp;UPPER(TRIM(C3220))&amp;"|"&amp;UPPER(TRIM(D3220)),"")</f>
        <v/>
      </c>
    </row>
    <row r="3221" ht="15.75" customHeight="1" s="217">
      <c r="A3221" s="400" t="n">
        <v>3219</v>
      </c>
      <c r="B3221" s="400" t="inlineStr">
        <is>
          <t>KH0539</t>
        </is>
      </c>
      <c r="C3221" s="401" t="inlineStr">
        <is>
          <t>CH Chí Tâm - Dầu Tiếng/ 0923.094.646</t>
        </is>
      </c>
      <c r="D3221" s="400" t="inlineStr">
        <is>
          <t>0923.094.646</t>
        </is>
      </c>
      <c r="E3221" s="402" t="n"/>
      <c r="F3221" s="401" t="inlineStr">
        <is>
          <t>Dầu Tiếng - Bình Dương</t>
        </is>
      </c>
      <c r="G3221" s="400" t="inlineStr">
        <is>
          <t>BDUONG</t>
        </is>
      </c>
      <c r="H3221" s="402" t="n"/>
      <c r="J3221" s="392">
        <f>IFERROR(UPPER(TRIM(B3221))&amp;"|"&amp;UPPER(TRIM(C3221))&amp;"|"&amp;UPPER(TRIM(D3221)),"")</f>
        <v/>
      </c>
    </row>
    <row r="3222" ht="15.75" customHeight="1" s="217">
      <c r="A3222" s="397" t="n">
        <v>3220</v>
      </c>
      <c r="B3222" s="397" t="inlineStr">
        <is>
          <t>KH0538</t>
        </is>
      </c>
      <c r="C3222" s="398" t="inlineStr">
        <is>
          <t>Công ty TNHH Thép An Hưng Tường - Bình Dương/ A.Hưng: 01692.009.587</t>
        </is>
      </c>
      <c r="D3222" s="397" t="inlineStr">
        <is>
          <t>01692.009.587</t>
        </is>
      </c>
      <c r="E3222" s="399" t="n"/>
      <c r="F3222" s="398" t="inlineStr">
        <is>
          <t>KP3, Phường Tân Định, Bến Cát, Bình Dương</t>
        </is>
      </c>
      <c r="G3222" s="397" t="inlineStr">
        <is>
          <t>BDUONG</t>
        </is>
      </c>
      <c r="H3222" s="399" t="n"/>
      <c r="J3222" s="392">
        <f>IFERROR(UPPER(TRIM(B3222))&amp;"|"&amp;UPPER(TRIM(C3222))&amp;"|"&amp;UPPER(TRIM(D3222)),"")</f>
        <v/>
      </c>
    </row>
    <row r="3223" ht="15.75" customHeight="1" s="217">
      <c r="A3223" s="400" t="n">
        <v>3221</v>
      </c>
      <c r="B3223" s="400" t="inlineStr">
        <is>
          <t>KH0537</t>
        </is>
      </c>
      <c r="C3223" s="401" t="inlineStr">
        <is>
          <t>Xưởng anh Phong - Thạnh Hóa/ 0949.393.971</t>
        </is>
      </c>
      <c r="D3223" s="400" t="inlineStr">
        <is>
          <t>0949.393.971</t>
        </is>
      </c>
      <c r="E3223" s="402" t="n"/>
      <c r="F3223" s="401" t="inlineStr">
        <is>
          <t>Thạnh Hóa - Long An</t>
        </is>
      </c>
      <c r="G3223" s="400" t="inlineStr">
        <is>
          <t>LA</t>
        </is>
      </c>
      <c r="H3223" s="402" t="n"/>
      <c r="J3223" s="392">
        <f>IFERROR(UPPER(TRIM(B3223))&amp;"|"&amp;UPPER(TRIM(C3223))&amp;"|"&amp;UPPER(TRIM(D3223)),"")</f>
        <v/>
      </c>
    </row>
    <row r="3224" ht="15.75" customHeight="1" s="217">
      <c r="A3224" s="397" t="n">
        <v>3222</v>
      </c>
      <c r="B3224" s="397" t="inlineStr">
        <is>
          <t>KH0536</t>
        </is>
      </c>
      <c r="C3224" s="398" t="inlineStr">
        <is>
          <t>Anh Tùng - Long An/ 0918.219.121</t>
        </is>
      </c>
      <c r="D3224" s="397" t="inlineStr">
        <is>
          <t>0918.219.121</t>
        </is>
      </c>
      <c r="E3224" s="399" t="n"/>
      <c r="F3224" s="398" t="inlineStr">
        <is>
          <t>Long An</t>
        </is>
      </c>
      <c r="G3224" s="397" t="inlineStr">
        <is>
          <t>LA</t>
        </is>
      </c>
      <c r="H3224" s="399" t="n"/>
      <c r="J3224" s="392">
        <f>IFERROR(UPPER(TRIM(B3224))&amp;"|"&amp;UPPER(TRIM(C3224))&amp;"|"&amp;UPPER(TRIM(D3224)),"")</f>
        <v/>
      </c>
    </row>
    <row r="3225" ht="15.75" customHeight="1" s="217">
      <c r="A3225" s="400" t="n">
        <v>3223</v>
      </c>
      <c r="B3225" s="400" t="inlineStr">
        <is>
          <t>KH0533</t>
        </is>
      </c>
      <c r="C3225" s="401" t="inlineStr">
        <is>
          <t>Xưởng anh Thông - PY/ 0905.112.264</t>
        </is>
      </c>
      <c r="D3225" s="400" t="inlineStr">
        <is>
          <t>0905.112.264</t>
        </is>
      </c>
      <c r="E3225" s="402" t="n"/>
      <c r="F3225" s="401" t="inlineStr">
        <is>
          <t>Phú Yên</t>
        </is>
      </c>
      <c r="G3225" s="400" t="inlineStr">
        <is>
          <t>PYEN</t>
        </is>
      </c>
      <c r="H3225" s="402" t="n"/>
      <c r="J3225" s="392">
        <f>IFERROR(UPPER(TRIM(B3225))&amp;"|"&amp;UPPER(TRIM(C3225))&amp;"|"&amp;UPPER(TRIM(D3225)),"")</f>
        <v/>
      </c>
    </row>
    <row r="3226" ht="15.75" customHeight="1" s="217">
      <c r="A3226" s="397" t="n">
        <v>3224</v>
      </c>
      <c r="B3226" s="397" t="inlineStr">
        <is>
          <t>KH0534</t>
        </is>
      </c>
      <c r="C3226" s="398" t="inlineStr">
        <is>
          <t>CH Khoa Tư Đàn - Đồng Tháp/ 0975.403.173</t>
        </is>
      </c>
      <c r="D3226" s="397" t="inlineStr">
        <is>
          <t>0975.403.173</t>
        </is>
      </c>
      <c r="E3226" s="399" t="n"/>
      <c r="F3226" s="398" t="inlineStr">
        <is>
          <t>Đồng Tháp</t>
        </is>
      </c>
      <c r="G3226" s="397" t="inlineStr">
        <is>
          <t>DTHAP</t>
        </is>
      </c>
      <c r="H3226" s="399" t="n"/>
      <c r="J3226" s="392">
        <f>IFERROR(UPPER(TRIM(B3226))&amp;"|"&amp;UPPER(TRIM(C3226))&amp;"|"&amp;UPPER(TRIM(D3226)),"")</f>
        <v/>
      </c>
    </row>
    <row r="3227" ht="15.75" customHeight="1" s="217">
      <c r="A3227" s="400" t="n">
        <v>3225</v>
      </c>
      <c r="B3227" s="400" t="inlineStr">
        <is>
          <t>KH0535</t>
        </is>
      </c>
      <c r="C3227" s="401" t="inlineStr">
        <is>
          <t>Anh Nhã - Sài Gòn/ 0907.339.822</t>
        </is>
      </c>
      <c r="D3227" s="400" t="inlineStr">
        <is>
          <t>0907.339.822</t>
        </is>
      </c>
      <c r="E3227" s="402" t="n"/>
      <c r="F3227" s="401" t="inlineStr">
        <is>
          <t>Sài Gòn</t>
        </is>
      </c>
      <c r="G3227" s="400" t="inlineStr">
        <is>
          <t>SG/HCM</t>
        </is>
      </c>
      <c r="H3227" s="402" t="n"/>
      <c r="J3227" s="392">
        <f>IFERROR(UPPER(TRIM(B3227))&amp;"|"&amp;UPPER(TRIM(C3227))&amp;"|"&amp;UPPER(TRIM(D3227)),"")</f>
        <v/>
      </c>
    </row>
    <row r="3228" ht="15.75" customHeight="1" s="217">
      <c r="A3228" s="397" t="n">
        <v>3226</v>
      </c>
      <c r="B3228" s="397" t="inlineStr">
        <is>
          <t>KH0531</t>
        </is>
      </c>
      <c r="C3228" s="398" t="inlineStr">
        <is>
          <t>Anh Điệp - Gia Lai/ 0983.813.294</t>
        </is>
      </c>
      <c r="D3228" s="397" t="inlineStr">
        <is>
          <t>0983.813.294</t>
        </is>
      </c>
      <c r="E3228" s="399" t="n"/>
      <c r="F3228" s="398" t="inlineStr">
        <is>
          <t>Gia Lai</t>
        </is>
      </c>
      <c r="G3228" s="397" t="inlineStr">
        <is>
          <t>GLAI</t>
        </is>
      </c>
      <c r="H3228" s="399" t="n"/>
      <c r="J3228" s="392">
        <f>IFERROR(UPPER(TRIM(B3228))&amp;"|"&amp;UPPER(TRIM(C3228))&amp;"|"&amp;UPPER(TRIM(D3228)),"")</f>
        <v/>
      </c>
    </row>
    <row r="3229" ht="15.75" customHeight="1" s="217">
      <c r="A3229" s="400" t="n">
        <v>3227</v>
      </c>
      <c r="B3229" s="400" t="inlineStr">
        <is>
          <t>KH0532</t>
        </is>
      </c>
      <c r="C3229" s="401" t="inlineStr">
        <is>
          <t>Anh Vũ - Cà Mau/ 0913.796.713</t>
        </is>
      </c>
      <c r="D3229" s="400" t="inlineStr">
        <is>
          <t>0913.796.713</t>
        </is>
      </c>
      <c r="E3229" s="402" t="n"/>
      <c r="F3229" s="401" t="inlineStr">
        <is>
          <t>Cà mau</t>
        </is>
      </c>
      <c r="G3229" s="400" t="inlineStr">
        <is>
          <t>CMAU</t>
        </is>
      </c>
      <c r="H3229" s="402" t="n"/>
      <c r="J3229" s="392">
        <f>IFERROR(UPPER(TRIM(B3229))&amp;"|"&amp;UPPER(TRIM(C3229))&amp;"|"&amp;UPPER(TRIM(D3229)),"")</f>
        <v/>
      </c>
    </row>
    <row r="3230" ht="15.75" customHeight="1" s="217">
      <c r="A3230" s="397" t="n">
        <v>3228</v>
      </c>
      <c r="B3230" s="397" t="inlineStr">
        <is>
          <t>KH0528</t>
        </is>
      </c>
      <c r="C3230" s="398" t="inlineStr">
        <is>
          <t>Bãi Máy anh Khang - Sài Gòn/ 0988.650.556</t>
        </is>
      </c>
      <c r="D3230" s="397" t="inlineStr">
        <is>
          <t>0988.650.556</t>
        </is>
      </c>
      <c r="E3230" s="399" t="n"/>
      <c r="F3230" s="398" t="inlineStr">
        <is>
          <t>Đối diện Suối Tiên</t>
        </is>
      </c>
      <c r="G3230" s="397" t="inlineStr">
        <is>
          <t>SG/HCM</t>
        </is>
      </c>
      <c r="H3230" s="399" t="n"/>
      <c r="J3230" s="392">
        <f>IFERROR(UPPER(TRIM(B3230))&amp;"|"&amp;UPPER(TRIM(C3230))&amp;"|"&amp;UPPER(TRIM(D3230)),"")</f>
        <v/>
      </c>
    </row>
    <row r="3231" ht="15.75" customHeight="1" s="217">
      <c r="A3231" s="400" t="n">
        <v>3229</v>
      </c>
      <c r="B3231" s="400" t="inlineStr">
        <is>
          <t>KH0529</t>
        </is>
      </c>
      <c r="C3231" s="401" t="inlineStr">
        <is>
          <t>Anh Dũng - Tây Ninh/ 0946.499.174</t>
        </is>
      </c>
      <c r="D3231" s="400" t="inlineStr">
        <is>
          <t>0946.499.174</t>
        </is>
      </c>
      <c r="E3231" s="402" t="n"/>
      <c r="F3231" s="401" t="inlineStr">
        <is>
          <t>Tây Ninh</t>
        </is>
      </c>
      <c r="G3231" s="400" t="inlineStr">
        <is>
          <t>TNINH</t>
        </is>
      </c>
      <c r="H3231" s="402" t="n"/>
      <c r="J3231" s="392">
        <f>IFERROR(UPPER(TRIM(B3231))&amp;"|"&amp;UPPER(TRIM(C3231))&amp;"|"&amp;UPPER(TRIM(D3231)),"")</f>
        <v/>
      </c>
    </row>
    <row r="3232" ht="15.75" customHeight="1" s="217">
      <c r="A3232" s="397" t="n">
        <v>3230</v>
      </c>
      <c r="B3232" s="397" t="inlineStr">
        <is>
          <t>KH0530</t>
        </is>
      </c>
      <c r="C3232" s="398" t="inlineStr">
        <is>
          <t>Anh Nhân - K'bang/ 0914.730.183</t>
        </is>
      </c>
      <c r="D3232" s="397" t="inlineStr">
        <is>
          <t>0914.730.183</t>
        </is>
      </c>
      <c r="E3232" s="399" t="n"/>
      <c r="F3232" s="398" t="inlineStr">
        <is>
          <t>K'bang, Gia Lai</t>
        </is>
      </c>
      <c r="G3232" s="397" t="inlineStr">
        <is>
          <t>GLAI</t>
        </is>
      </c>
      <c r="H3232" s="399" t="n"/>
      <c r="J3232" s="392">
        <f>IFERROR(UPPER(TRIM(B3232))&amp;"|"&amp;UPPER(TRIM(C3232))&amp;"|"&amp;UPPER(TRIM(D3232)),"")</f>
        <v/>
      </c>
    </row>
    <row r="3233" ht="15.75" customHeight="1" s="217">
      <c r="A3233" s="400" t="n">
        <v>3231</v>
      </c>
      <c r="B3233" s="400" t="inlineStr">
        <is>
          <t>KH0526</t>
        </is>
      </c>
      <c r="C3233" s="401" t="inlineStr">
        <is>
          <t>Xưởng anh Chánh - Bạc Liêu/ 0913.945.464</t>
        </is>
      </c>
      <c r="D3233" s="400" t="inlineStr">
        <is>
          <t>0913.945.464</t>
        </is>
      </c>
      <c r="E3233" s="402" t="n"/>
      <c r="F3233" s="401" t="inlineStr">
        <is>
          <t>QL1A, Tân Phong, Giá Rai, Bạc Liêu</t>
        </is>
      </c>
      <c r="G3233" s="400" t="inlineStr">
        <is>
          <t>BLIEU</t>
        </is>
      </c>
      <c r="H3233" s="402" t="n"/>
      <c r="J3233" s="392">
        <f>IFERROR(UPPER(TRIM(B3233))&amp;"|"&amp;UPPER(TRIM(C3233))&amp;"|"&amp;UPPER(TRIM(D3233)),"")</f>
        <v/>
      </c>
    </row>
    <row r="3234" ht="15.75" customHeight="1" s="217">
      <c r="A3234" s="397" t="n">
        <v>3232</v>
      </c>
      <c r="B3234" s="397" t="inlineStr">
        <is>
          <t>KH0527</t>
        </is>
      </c>
      <c r="C3234" s="398" t="inlineStr">
        <is>
          <t>Chú Thạnh - Long An/ 0914.426.854</t>
        </is>
      </c>
      <c r="D3234" s="397" t="inlineStr">
        <is>
          <t>0914.426.854</t>
        </is>
      </c>
      <c r="E3234" s="399" t="n"/>
      <c r="F3234" s="398" t="inlineStr">
        <is>
          <t>TP Tân An, Long An</t>
        </is>
      </c>
      <c r="G3234" s="397" t="inlineStr">
        <is>
          <t>LA</t>
        </is>
      </c>
      <c r="H3234" s="399" t="n"/>
      <c r="J3234" s="392">
        <f>IFERROR(UPPER(TRIM(B3234))&amp;"|"&amp;UPPER(TRIM(C3234))&amp;"|"&amp;UPPER(TRIM(D3234)),"")</f>
        <v/>
      </c>
    </row>
    <row r="3235" ht="15.75" customHeight="1" s="217">
      <c r="A3235" s="400" t="n">
        <v>3233</v>
      </c>
      <c r="B3235" s="400" t="inlineStr">
        <is>
          <t>KH0523</t>
        </is>
      </c>
      <c r="C3235" s="401" t="inlineStr">
        <is>
          <t>Bãi máy Khải Khôi - SG/ 0986.953.126</t>
        </is>
      </c>
      <c r="D3235" s="400" t="inlineStr">
        <is>
          <t>0986.953.126</t>
        </is>
      </c>
      <c r="E3235" s="402" t="n"/>
      <c r="F3235" s="401" t="inlineStr">
        <is>
          <t>Sài Gòn</t>
        </is>
      </c>
      <c r="G3235" s="400" t="inlineStr">
        <is>
          <t>SG/HCM</t>
        </is>
      </c>
      <c r="H3235" s="402" t="n"/>
      <c r="J3235" s="392">
        <f>IFERROR(UPPER(TRIM(B3235))&amp;"|"&amp;UPPER(TRIM(C3235))&amp;"|"&amp;UPPER(TRIM(D3235)),"")</f>
        <v/>
      </c>
    </row>
    <row r="3236" ht="15.75" customHeight="1" s="217">
      <c r="A3236" s="397" t="n">
        <v>3234</v>
      </c>
      <c r="B3236" s="397" t="inlineStr">
        <is>
          <t>KH0524</t>
        </is>
      </c>
      <c r="C3236" s="398" t="inlineStr">
        <is>
          <t>Xưởng anh Khánh - ĐắkLắk/ 0983.597.597</t>
        </is>
      </c>
      <c r="D3236" s="397" t="inlineStr">
        <is>
          <t>0983.597.597</t>
        </is>
      </c>
      <c r="E3236" s="399" t="n"/>
      <c r="F3236" s="398" t="inlineStr">
        <is>
          <t>ĐắkLắk</t>
        </is>
      </c>
      <c r="G3236" s="397" t="inlineStr">
        <is>
          <t>ÐL</t>
        </is>
      </c>
      <c r="H3236" s="399" t="n"/>
      <c r="J3236" s="392">
        <f>IFERROR(UPPER(TRIM(B3236))&amp;"|"&amp;UPPER(TRIM(C3236))&amp;"|"&amp;UPPER(TRIM(D3236)),"")</f>
        <v/>
      </c>
    </row>
    <row r="3237" ht="15.75" customHeight="1" s="217">
      <c r="A3237" s="400" t="n">
        <v>3235</v>
      </c>
      <c r="B3237" s="400" t="inlineStr">
        <is>
          <t>KH0525</t>
        </is>
      </c>
      <c r="C3237" s="401" t="inlineStr">
        <is>
          <t>Xưởng chú Tài - Tri Tôn/ 0976.292.500</t>
        </is>
      </c>
      <c r="D3237" s="400" t="inlineStr">
        <is>
          <t>0976.292.500</t>
        </is>
      </c>
      <c r="E3237" s="402" t="n"/>
      <c r="F3237" s="401" t="inlineStr">
        <is>
          <t>Thị Trấn Tri Tôn, An Giang</t>
        </is>
      </c>
      <c r="G3237" s="400" t="inlineStr">
        <is>
          <t>ANGIANG</t>
        </is>
      </c>
      <c r="H3237" s="402" t="n"/>
      <c r="J3237" s="392">
        <f>IFERROR(UPPER(TRIM(B3237))&amp;"|"&amp;UPPER(TRIM(C3237))&amp;"|"&amp;UPPER(TRIM(D3237)),"")</f>
        <v/>
      </c>
    </row>
    <row r="3238" ht="15.75" customHeight="1" s="217">
      <c r="A3238" s="397" t="n">
        <v>3236</v>
      </c>
      <c r="B3238" s="397" t="inlineStr">
        <is>
          <t>KH0522</t>
        </is>
      </c>
      <c r="C3238" s="398" t="inlineStr">
        <is>
          <t>Chị Nga - Trà Vinh/ 0919.065.563</t>
        </is>
      </c>
      <c r="D3238" s="397" t="inlineStr">
        <is>
          <t>0919.065.563</t>
        </is>
      </c>
      <c r="E3238" s="399" t="n"/>
      <c r="F3238" s="398" t="inlineStr">
        <is>
          <t>Trà Vinh</t>
        </is>
      </c>
      <c r="G3238" s="397" t="inlineStr">
        <is>
          <t>TV</t>
        </is>
      </c>
      <c r="H3238" s="399" t="n"/>
      <c r="J3238" s="392">
        <f>IFERROR(UPPER(TRIM(B3238))&amp;"|"&amp;UPPER(TRIM(C3238))&amp;"|"&amp;UPPER(TRIM(D3238)),"")</f>
        <v/>
      </c>
    </row>
    <row r="3239" ht="15.75" customHeight="1" s="217">
      <c r="A3239" s="400" t="n">
        <v>3237</v>
      </c>
      <c r="B3239" s="400" t="inlineStr">
        <is>
          <t>KH0521</t>
        </is>
      </c>
      <c r="C3239" s="401" t="inlineStr">
        <is>
          <t>Anh Tính - Bình Dương/ 01217.482.228</t>
        </is>
      </c>
      <c r="D3239" s="400" t="inlineStr">
        <is>
          <t>01217.482.228</t>
        </is>
      </c>
      <c r="E3239" s="402" t="n"/>
      <c r="F3239" s="401" t="inlineStr">
        <is>
          <t>Bình Dương</t>
        </is>
      </c>
      <c r="G3239" s="400" t="inlineStr">
        <is>
          <t>BDUONG</t>
        </is>
      </c>
      <c r="H3239" s="402" t="n"/>
      <c r="J3239" s="392">
        <f>IFERROR(UPPER(TRIM(B3239))&amp;"|"&amp;UPPER(TRIM(C3239))&amp;"|"&amp;UPPER(TRIM(D3239)),"")</f>
        <v/>
      </c>
    </row>
    <row r="3240" ht="15.75" customHeight="1" s="217">
      <c r="A3240" s="397" t="n">
        <v>3238</v>
      </c>
      <c r="B3240" s="397" t="inlineStr">
        <is>
          <t>KH0520</t>
        </is>
      </c>
      <c r="C3240" s="398" t="inlineStr">
        <is>
          <t>Anh Đỏ - Bình Phước/ 0919.930.799</t>
        </is>
      </c>
      <c r="D3240" s="397" t="inlineStr">
        <is>
          <t>0919.930.799</t>
        </is>
      </c>
      <c r="E3240" s="399" t="n"/>
      <c r="F3240" s="398" t="inlineStr">
        <is>
          <t>Bình Phước</t>
        </is>
      </c>
      <c r="G3240" s="397" t="inlineStr">
        <is>
          <t>BP</t>
        </is>
      </c>
      <c r="H3240" s="399" t="n"/>
      <c r="J3240" s="392">
        <f>IFERROR(UPPER(TRIM(B3240))&amp;"|"&amp;UPPER(TRIM(C3240))&amp;"|"&amp;UPPER(TRIM(D3240)),"")</f>
        <v/>
      </c>
    </row>
    <row r="3241" ht="15.75" customHeight="1" s="217">
      <c r="A3241" s="400" t="n">
        <v>3239</v>
      </c>
      <c r="B3241" s="400" t="inlineStr">
        <is>
          <t>KH0519</t>
        </is>
      </c>
      <c r="C3241" s="401" t="inlineStr">
        <is>
          <t>Anh Hân - Đồng Tháp/ 0913.705.025</t>
        </is>
      </c>
      <c r="D3241" s="400" t="inlineStr">
        <is>
          <t>0913.705.025</t>
        </is>
      </c>
      <c r="E3241" s="402" t="n"/>
      <c r="F3241" s="401" t="inlineStr">
        <is>
          <t>Hồng Ngự - Đồng Tháp</t>
        </is>
      </c>
      <c r="G3241" s="400" t="inlineStr">
        <is>
          <t>DTHAP</t>
        </is>
      </c>
      <c r="H3241" s="402" t="n"/>
      <c r="J3241" s="392">
        <f>IFERROR(UPPER(TRIM(B3241))&amp;"|"&amp;UPPER(TRIM(C3241))&amp;"|"&amp;UPPER(TRIM(D3241)),"")</f>
        <v/>
      </c>
    </row>
    <row r="3242" ht="15.75" customHeight="1" s="217">
      <c r="A3242" s="397" t="n">
        <v>3240</v>
      </c>
      <c r="B3242" s="397" t="inlineStr">
        <is>
          <t>KH0518</t>
        </is>
      </c>
      <c r="C3242" s="398" t="inlineStr">
        <is>
          <t>Xưởng anh Công - Kiên Giang/ 0915.759.545</t>
        </is>
      </c>
      <c r="D3242" s="397" t="inlineStr">
        <is>
          <t>0915.759.545</t>
        </is>
      </c>
      <c r="E3242" s="399" t="n"/>
      <c r="F3242" s="398" t="inlineStr">
        <is>
          <t>Tổ 8, ấp Xóm Tre, xã Kiên Bình, huyện Kiên Lương, Kiên Giang</t>
        </is>
      </c>
      <c r="G3242" s="397" t="inlineStr">
        <is>
          <t>KG</t>
        </is>
      </c>
      <c r="H3242" s="399" t="n"/>
      <c r="J3242" s="392">
        <f>IFERROR(UPPER(TRIM(B3242))&amp;"|"&amp;UPPER(TRIM(C3242))&amp;"|"&amp;UPPER(TRIM(D3242)),"")</f>
        <v/>
      </c>
    </row>
    <row r="3243" ht="15.75" customHeight="1" s="217">
      <c r="A3243" s="400" t="n">
        <v>3241</v>
      </c>
      <c r="B3243" s="400" t="inlineStr">
        <is>
          <t>MN26</t>
        </is>
      </c>
      <c r="C3243" s="401" t="inlineStr">
        <is>
          <t>Ngô Tuấn Anh</t>
        </is>
      </c>
      <c r="D3243" s="402" t="n"/>
      <c r="E3243" s="402" t="n"/>
      <c r="F3243" s="401" t="inlineStr">
        <is>
          <t>CTCP Thiết bị Cơ Giới Miền Nam</t>
        </is>
      </c>
      <c r="G3243" s="402" t="n"/>
      <c r="H3243" s="402" t="n"/>
      <c r="J3243" s="392">
        <f>IFERROR(UPPER(TRIM(B3243))&amp;"|"&amp;UPPER(TRIM(C3243))&amp;"|"&amp;UPPER(TRIM(D3243)),"")</f>
        <v/>
      </c>
    </row>
    <row r="3244" ht="15.75" customHeight="1" s="217">
      <c r="A3244" s="397" t="n">
        <v>3242</v>
      </c>
      <c r="B3244" s="397" t="inlineStr">
        <is>
          <t>KH0517</t>
        </is>
      </c>
      <c r="C3244" s="398" t="inlineStr">
        <is>
          <t>Anh Hạnh - BRVT/ 0984.067.757</t>
        </is>
      </c>
      <c r="D3244" s="397" t="inlineStr">
        <is>
          <t>0984.067.757</t>
        </is>
      </c>
      <c r="E3244" s="399" t="n"/>
      <c r="F3244" s="398" t="inlineStr">
        <is>
          <t>Xuyên Mộc, Vũng Tàu</t>
        </is>
      </c>
      <c r="G3244" s="397" t="inlineStr">
        <is>
          <t>BRVT</t>
        </is>
      </c>
      <c r="H3244" s="399" t="n"/>
      <c r="J3244" s="392">
        <f>IFERROR(UPPER(TRIM(B3244))&amp;"|"&amp;UPPER(TRIM(C3244))&amp;"|"&amp;UPPER(TRIM(D3244)),"")</f>
        <v/>
      </c>
    </row>
    <row r="3245" ht="15.75" customHeight="1" s="217">
      <c r="A3245" s="400" t="n">
        <v>3243</v>
      </c>
      <c r="B3245" s="400" t="inlineStr">
        <is>
          <t>KH0515</t>
        </is>
      </c>
      <c r="C3245" s="401" t="inlineStr">
        <is>
          <t>Anh Huệ - Gia Nghĩa/ 0989.349.850</t>
        </is>
      </c>
      <c r="D3245" s="400" t="inlineStr">
        <is>
          <t>0989.349.850</t>
        </is>
      </c>
      <c r="E3245" s="402" t="n"/>
      <c r="F3245" s="401" t="inlineStr">
        <is>
          <t>Gia Nghĩa, Đắknông</t>
        </is>
      </c>
      <c r="G3245" s="400" t="inlineStr">
        <is>
          <t>DNONG</t>
        </is>
      </c>
      <c r="H3245" s="402" t="n"/>
      <c r="J3245" s="392">
        <f>IFERROR(UPPER(TRIM(B3245))&amp;"|"&amp;UPPER(TRIM(C3245))&amp;"|"&amp;UPPER(TRIM(D3245)),"")</f>
        <v/>
      </c>
    </row>
    <row r="3246" ht="15.75" customHeight="1" s="217">
      <c r="A3246" s="397" t="n">
        <v>3244</v>
      </c>
      <c r="B3246" s="397" t="inlineStr">
        <is>
          <t>KH0516</t>
        </is>
      </c>
      <c r="C3246" s="398" t="inlineStr">
        <is>
          <t>Công ty TNHH Khánh Cường - Cần Thơ/ anh Tú: 0915.609.639</t>
        </is>
      </c>
      <c r="D3246" s="397" t="inlineStr">
        <is>
          <t>0915.609.639</t>
        </is>
      </c>
      <c r="E3246" s="399" t="n"/>
      <c r="F3246" s="398" t="inlineStr">
        <is>
          <t>166 Trần Ngọc Quế, Quận Ninh Kiều, TP Cần Thơ</t>
        </is>
      </c>
      <c r="G3246" s="397" t="inlineStr">
        <is>
          <t>CTHO</t>
        </is>
      </c>
      <c r="H3246" s="399" t="n"/>
      <c r="J3246" s="392">
        <f>IFERROR(UPPER(TRIM(B3246))&amp;"|"&amp;UPPER(TRIM(C3246))&amp;"|"&amp;UPPER(TRIM(D3246)),"")</f>
        <v/>
      </c>
    </row>
    <row r="3247" ht="15.75" customHeight="1" s="217">
      <c r="A3247" s="400" t="n">
        <v>3245</v>
      </c>
      <c r="B3247" s="400" t="inlineStr">
        <is>
          <t>KH0514</t>
        </is>
      </c>
      <c r="C3247" s="401" t="inlineStr">
        <is>
          <t>anh Phi - Gia Lai/ 0977.335.497</t>
        </is>
      </c>
      <c r="D3247" s="400" t="inlineStr">
        <is>
          <t>0977.335.497</t>
        </is>
      </c>
      <c r="E3247" s="402" t="n"/>
      <c r="F3247" s="401" t="inlineStr">
        <is>
          <t>Gia Lai</t>
        </is>
      </c>
      <c r="G3247" s="400" t="inlineStr">
        <is>
          <t>GLAI</t>
        </is>
      </c>
      <c r="H3247" s="402" t="n"/>
      <c r="J3247" s="392">
        <f>IFERROR(UPPER(TRIM(B3247))&amp;"|"&amp;UPPER(TRIM(C3247))&amp;"|"&amp;UPPER(TRIM(D3247)),"")</f>
        <v/>
      </c>
    </row>
    <row r="3248" ht="15.75" customHeight="1" s="217">
      <c r="A3248" s="397" t="n">
        <v>3246</v>
      </c>
      <c r="B3248" s="397" t="inlineStr">
        <is>
          <t>KH0513</t>
        </is>
      </c>
      <c r="C3248" s="398" t="inlineStr">
        <is>
          <t>Anh Hiền - Di Linh/ 0914.642.278</t>
        </is>
      </c>
      <c r="D3248" s="397" t="inlineStr">
        <is>
          <t>0914.642.278</t>
        </is>
      </c>
      <c r="E3248" s="399" t="n"/>
      <c r="F3248" s="398" t="inlineStr">
        <is>
          <t>Di Linh, Lâm Đồng</t>
        </is>
      </c>
      <c r="G3248" s="397" t="inlineStr">
        <is>
          <t>LDONG</t>
        </is>
      </c>
      <c r="H3248" s="399" t="n"/>
      <c r="J3248" s="392">
        <f>IFERROR(UPPER(TRIM(B3248))&amp;"|"&amp;UPPER(TRIM(C3248))&amp;"|"&amp;UPPER(TRIM(D3248)),"")</f>
        <v/>
      </c>
    </row>
    <row r="3249" ht="15.75" customHeight="1" s="217">
      <c r="A3249" s="400" t="n">
        <v>3247</v>
      </c>
      <c r="B3249" s="400" t="inlineStr">
        <is>
          <t>KH0512</t>
        </is>
      </c>
      <c r="C3249" s="401" t="inlineStr">
        <is>
          <t>Anh Điệp - Gia Lai/ 0982.600.009</t>
        </is>
      </c>
      <c r="D3249" s="400" t="inlineStr">
        <is>
          <t>0982.600.009</t>
        </is>
      </c>
      <c r="E3249" s="402" t="n"/>
      <c r="F3249" s="401" t="inlineStr">
        <is>
          <t>Pleiku, Gia Lai</t>
        </is>
      </c>
      <c r="G3249" s="400" t="inlineStr">
        <is>
          <t>GLAI</t>
        </is>
      </c>
      <c r="H3249" s="402" t="n"/>
      <c r="J3249" s="392">
        <f>IFERROR(UPPER(TRIM(B3249))&amp;"|"&amp;UPPER(TRIM(C3249))&amp;"|"&amp;UPPER(TRIM(D3249)),"")</f>
        <v/>
      </c>
    </row>
    <row r="3250" ht="15.75" customHeight="1" s="217">
      <c r="A3250" s="397" t="n">
        <v>3248</v>
      </c>
      <c r="B3250" s="397" t="inlineStr">
        <is>
          <t>KH0510</t>
        </is>
      </c>
      <c r="C3250" s="398" t="inlineStr">
        <is>
          <t>Anh Tài (DNTN Tài Nhị) - Vĩnh Long/ 0918.284.999</t>
        </is>
      </c>
      <c r="D3250" s="397" t="inlineStr">
        <is>
          <t>0918.284.999</t>
        </is>
      </c>
      <c r="E3250" s="399" t="n"/>
      <c r="F3250" s="398" t="inlineStr">
        <is>
          <t>Số 6, Tổ 2, Đường 30/4, TT Cái Nhum, Huyện Ma Thít, Vĩnh Long</t>
        </is>
      </c>
      <c r="G3250" s="397" t="inlineStr">
        <is>
          <t>VĨNH LONG</t>
        </is>
      </c>
      <c r="H3250" s="399" t="n"/>
      <c r="J3250" s="392">
        <f>IFERROR(UPPER(TRIM(B3250))&amp;"|"&amp;UPPER(TRIM(C3250))&amp;"|"&amp;UPPER(TRIM(D3250)),"")</f>
        <v/>
      </c>
    </row>
    <row r="3251" ht="15.75" customHeight="1" s="217">
      <c r="A3251" s="400" t="n">
        <v>3249</v>
      </c>
      <c r="B3251" s="400" t="inlineStr">
        <is>
          <t>KH0511</t>
        </is>
      </c>
      <c r="C3251" s="401" t="inlineStr">
        <is>
          <t>Anh út - Quận 5/ 0903.300.227</t>
        </is>
      </c>
      <c r="D3251" s="400" t="inlineStr">
        <is>
          <t>0903.300.227</t>
        </is>
      </c>
      <c r="E3251" s="402" t="n"/>
      <c r="F3251" s="401" t="inlineStr">
        <is>
          <t>Quận 5 , Sài Gòn</t>
        </is>
      </c>
      <c r="G3251" s="400" t="inlineStr">
        <is>
          <t>SG/HCM</t>
        </is>
      </c>
      <c r="H3251" s="402" t="n"/>
      <c r="J3251" s="392">
        <f>IFERROR(UPPER(TRIM(B3251))&amp;"|"&amp;UPPER(TRIM(C3251))&amp;"|"&amp;UPPER(TRIM(D3251)),"")</f>
        <v/>
      </c>
    </row>
    <row r="3252" ht="15.75" customHeight="1" s="217">
      <c r="A3252" s="397" t="n">
        <v>3250</v>
      </c>
      <c r="B3252" s="397" t="inlineStr">
        <is>
          <t>KH0509</t>
        </is>
      </c>
      <c r="C3252" s="398" t="inlineStr">
        <is>
          <t>Cửa hàng Nghĩa Thành - Sóc Trăng/ Chú Hải: 0906.828.918</t>
        </is>
      </c>
      <c r="D3252" s="397" t="inlineStr">
        <is>
          <t>0906.828.918</t>
        </is>
      </c>
      <c r="E3252" s="399" t="n"/>
      <c r="F3252" s="398" t="inlineStr">
        <is>
          <t>Số 55 Ngô Gia Tự, Khóm 3, Phường 6, TP Sóc Trăng</t>
        </is>
      </c>
      <c r="G3252" s="397" t="inlineStr">
        <is>
          <t>STRANG</t>
        </is>
      </c>
      <c r="H3252" s="399" t="n"/>
      <c r="J3252" s="392">
        <f>IFERROR(UPPER(TRIM(B3252))&amp;"|"&amp;UPPER(TRIM(C3252))&amp;"|"&amp;UPPER(TRIM(D3252)),"")</f>
        <v/>
      </c>
    </row>
    <row r="3253" ht="15.75" customHeight="1" s="217">
      <c r="A3253" s="400" t="n">
        <v>3251</v>
      </c>
      <c r="B3253" s="400" t="inlineStr">
        <is>
          <t>KH0508</t>
        </is>
      </c>
      <c r="C3253" s="401" t="inlineStr">
        <is>
          <t>Anh Chiến - Công ty TNHH Hưng Nguyên (Đà Lạt)/ 0983.934.078 - Phương (KT): 0633.824.063</t>
        </is>
      </c>
      <c r="D3253" s="400" t="inlineStr">
        <is>
          <t>0633.824.063 / 0983.934.078</t>
        </is>
      </c>
      <c r="E3253" s="402" t="n"/>
      <c r="F3253" s="401" t="inlineStr">
        <is>
          <t>5/E21 Nguyễn Đình Chiểu, Phường 9, TP Đà Lạt, Lâm Đồng</t>
        </is>
      </c>
      <c r="G3253" s="400" t="inlineStr">
        <is>
          <t>LDONG</t>
        </is>
      </c>
      <c r="H3253" s="402" t="n"/>
      <c r="J3253" s="392">
        <f>IFERROR(UPPER(TRIM(B3253))&amp;"|"&amp;UPPER(TRIM(C3253))&amp;"|"&amp;UPPER(TRIM(D3253)),"")</f>
        <v/>
      </c>
    </row>
    <row r="3254" ht="15.75" customHeight="1" s="217">
      <c r="A3254" s="397" t="n">
        <v>3252</v>
      </c>
      <c r="B3254" s="397" t="inlineStr">
        <is>
          <t>KH0507</t>
        </is>
      </c>
      <c r="C3254" s="398" t="inlineStr">
        <is>
          <t>Xưởng anh út - Tam Nông / 0939.373.640</t>
        </is>
      </c>
      <c r="D3254" s="397" t="inlineStr">
        <is>
          <t>0939.373.640</t>
        </is>
      </c>
      <c r="E3254" s="399" t="n"/>
      <c r="F3254" s="398" t="inlineStr">
        <is>
          <t>Tam Nông, Đồng Tháp</t>
        </is>
      </c>
      <c r="G3254" s="397" t="inlineStr">
        <is>
          <t>DTHAP</t>
        </is>
      </c>
      <c r="H3254" s="399" t="n"/>
      <c r="J3254" s="392">
        <f>IFERROR(UPPER(TRIM(B3254))&amp;"|"&amp;UPPER(TRIM(C3254))&amp;"|"&amp;UPPER(TRIM(D3254)),"")</f>
        <v/>
      </c>
    </row>
    <row r="3255" ht="15.75" customHeight="1" s="217">
      <c r="A3255" s="400" t="n">
        <v>3253</v>
      </c>
      <c r="B3255" s="400" t="inlineStr">
        <is>
          <t>FY</t>
        </is>
      </c>
      <c r="C3255" s="401" t="inlineStr">
        <is>
          <t>GLOBAL HOLDING GROUP CO.,LTD.</t>
        </is>
      </c>
      <c r="D3255" s="402" t="n"/>
      <c r="E3255" s="402" t="n"/>
      <c r="F3255" s="401" t="inlineStr">
        <is>
          <t>5F,BUILDING A,EXHIBITION ROAD,INTERNATIONAL EXHIBITION CENTER, JIANGDONG AREA,NINGBO</t>
        </is>
      </c>
      <c r="G3255" s="402" t="n"/>
      <c r="H3255" s="402" t="n"/>
      <c r="J3255" s="392">
        <f>IFERROR(UPPER(TRIM(B3255))&amp;"|"&amp;UPPER(TRIM(C3255))&amp;"|"&amp;UPPER(TRIM(D3255)),"")</f>
        <v/>
      </c>
    </row>
    <row r="3256" ht="15.75" customHeight="1" s="217">
      <c r="A3256" s="397" t="n">
        <v>3254</v>
      </c>
      <c r="B3256" s="397" t="inlineStr">
        <is>
          <t>KH0504</t>
        </is>
      </c>
      <c r="C3256" s="398" t="inlineStr">
        <is>
          <t>Công ty TNHH XDTM Khải Thành - anh Khoa: 0936.111.070</t>
        </is>
      </c>
      <c r="D3256" s="397" t="inlineStr">
        <is>
          <t>0936.111.070</t>
        </is>
      </c>
      <c r="E3256" s="399" t="n"/>
      <c r="F3256" s="398" t="inlineStr">
        <is>
          <t>NL37 Ngân Long, Nguyễn Hữu Thọ, X. Phước Kiển, H. Nhà Bè</t>
        </is>
      </c>
      <c r="G3256" s="397" t="inlineStr">
        <is>
          <t>SG/HCM</t>
        </is>
      </c>
      <c r="H3256" s="399" t="n"/>
      <c r="J3256" s="392">
        <f>IFERROR(UPPER(TRIM(B3256))&amp;"|"&amp;UPPER(TRIM(C3256))&amp;"|"&amp;UPPER(TRIM(D3256)),"")</f>
        <v/>
      </c>
    </row>
    <row r="3257" ht="15.75" customHeight="1" s="217">
      <c r="A3257" s="400" t="n">
        <v>3255</v>
      </c>
      <c r="B3257" s="400" t="inlineStr">
        <is>
          <t>KH0505</t>
        </is>
      </c>
      <c r="C3257" s="401" t="inlineStr">
        <is>
          <t>Anh Hưng - Gia Lai/ 0913.945.269</t>
        </is>
      </c>
      <c r="D3257" s="400" t="inlineStr">
        <is>
          <t>0913.945.269</t>
        </is>
      </c>
      <c r="E3257" s="402" t="n"/>
      <c r="F3257" s="401" t="inlineStr">
        <is>
          <t>Gia Lai</t>
        </is>
      </c>
      <c r="G3257" s="400" t="inlineStr">
        <is>
          <t>GLAI</t>
        </is>
      </c>
      <c r="H3257" s="402" t="n"/>
      <c r="J3257" s="392">
        <f>IFERROR(UPPER(TRIM(B3257))&amp;"|"&amp;UPPER(TRIM(C3257))&amp;"|"&amp;UPPER(TRIM(D3257)),"")</f>
        <v/>
      </c>
    </row>
    <row r="3258" ht="15.75" customHeight="1" s="217">
      <c r="A3258" s="397" t="n">
        <v>3256</v>
      </c>
      <c r="B3258" s="397" t="inlineStr">
        <is>
          <t>KH0506</t>
        </is>
      </c>
      <c r="C3258" s="398" t="inlineStr">
        <is>
          <t>Xưởng anh Vinh - Sóc Trăng/ 0918.160.122</t>
        </is>
      </c>
      <c r="D3258" s="397" t="inlineStr">
        <is>
          <t>0918.160.122</t>
        </is>
      </c>
      <c r="E3258" s="399" t="n"/>
      <c r="F3258" s="398" t="inlineStr">
        <is>
          <t>TX Vĩnh Châu, Sóc Trăng</t>
        </is>
      </c>
      <c r="G3258" s="397" t="inlineStr">
        <is>
          <t>STRANG</t>
        </is>
      </c>
      <c r="H3258" s="399" t="n"/>
      <c r="J3258" s="392">
        <f>IFERROR(UPPER(TRIM(B3258))&amp;"|"&amp;UPPER(TRIM(C3258))&amp;"|"&amp;UPPER(TRIM(D3258)),"")</f>
        <v/>
      </c>
    </row>
    <row r="3259" ht="15.75" customHeight="1" s="217">
      <c r="A3259" s="400" t="n">
        <v>3257</v>
      </c>
      <c r="B3259" s="400" t="inlineStr">
        <is>
          <t>KH0502</t>
        </is>
      </c>
      <c r="C3259" s="401" t="inlineStr">
        <is>
          <t>Cửa hàng Tư Tùng - Long An/ 0919.771.219</t>
        </is>
      </c>
      <c r="D3259" s="400" t="inlineStr">
        <is>
          <t>0919.771.219</t>
        </is>
      </c>
      <c r="E3259" s="402" t="n"/>
      <c r="F3259" s="401" t="inlineStr">
        <is>
          <t>Thạnh Hóa, Long An</t>
        </is>
      </c>
      <c r="G3259" s="400" t="inlineStr">
        <is>
          <t>LA</t>
        </is>
      </c>
      <c r="H3259" s="402" t="n"/>
      <c r="J3259" s="392">
        <f>IFERROR(UPPER(TRIM(B3259))&amp;"|"&amp;UPPER(TRIM(C3259))&amp;"|"&amp;UPPER(TRIM(D3259)),"")</f>
        <v/>
      </c>
    </row>
    <row r="3260" ht="15.75" customHeight="1" s="217">
      <c r="A3260" s="397" t="n">
        <v>3258</v>
      </c>
      <c r="B3260" s="397" t="inlineStr">
        <is>
          <t>KH0503</t>
        </is>
      </c>
      <c r="C3260" s="398" t="inlineStr">
        <is>
          <t>Chị Thủy - Gia Lai/ 01694.424.116</t>
        </is>
      </c>
      <c r="D3260" s="397" t="inlineStr">
        <is>
          <t>01694.424.116</t>
        </is>
      </c>
      <c r="E3260" s="399" t="n"/>
      <c r="F3260" s="398" t="inlineStr">
        <is>
          <t>Gia Lai</t>
        </is>
      </c>
      <c r="G3260" s="397" t="inlineStr">
        <is>
          <t>GLAI</t>
        </is>
      </c>
      <c r="H3260" s="399" t="n"/>
      <c r="J3260" s="392">
        <f>IFERROR(UPPER(TRIM(B3260))&amp;"|"&amp;UPPER(TRIM(C3260))&amp;"|"&amp;UPPER(TRIM(D3260)),"")</f>
        <v/>
      </c>
    </row>
    <row r="3261" ht="15.75" customHeight="1" s="217">
      <c r="A3261" s="400" t="n">
        <v>3259</v>
      </c>
      <c r="B3261" s="400" t="inlineStr">
        <is>
          <t>KH0501</t>
        </is>
      </c>
      <c r="C3261" s="401" t="inlineStr">
        <is>
          <t>Cửa hàng Hoàng Triệu - Hậu Giang/ anh Thiện: 0988.232.182</t>
        </is>
      </c>
      <c r="D3261" s="400" t="inlineStr">
        <is>
          <t>0988.232.182</t>
        </is>
      </c>
      <c r="E3261" s="402" t="n"/>
      <c r="F3261" s="401" t="inlineStr">
        <is>
          <t>2075 Đường Hùng Vương, Phường Ngã 7, TX Ngã 7, Tỉnh Hậu Giang</t>
        </is>
      </c>
      <c r="G3261" s="400" t="inlineStr">
        <is>
          <t>HG</t>
        </is>
      </c>
      <c r="H3261" s="402" t="n"/>
      <c r="J3261" s="392">
        <f>IFERROR(UPPER(TRIM(B3261))&amp;"|"&amp;UPPER(TRIM(C3261))&amp;"|"&amp;UPPER(TRIM(D3261)),"")</f>
        <v/>
      </c>
    </row>
    <row r="3262" ht="15.75" customHeight="1" s="217">
      <c r="A3262" s="397" t="n">
        <v>3260</v>
      </c>
      <c r="B3262" s="397" t="inlineStr">
        <is>
          <t>KH0499</t>
        </is>
      </c>
      <c r="C3262" s="398" t="inlineStr">
        <is>
          <t>Anh Ngạch - SG/ 0903.743.173</t>
        </is>
      </c>
      <c r="D3262" s="397" t="inlineStr">
        <is>
          <t>0903.743.173</t>
        </is>
      </c>
      <c r="E3262" s="399" t="n"/>
      <c r="F3262" s="398" t="inlineStr">
        <is>
          <t>Sài Gòn</t>
        </is>
      </c>
      <c r="G3262" s="397" t="inlineStr">
        <is>
          <t>SG/HCM</t>
        </is>
      </c>
      <c r="H3262" s="399" t="n"/>
      <c r="J3262" s="392">
        <f>IFERROR(UPPER(TRIM(B3262))&amp;"|"&amp;UPPER(TRIM(C3262))&amp;"|"&amp;UPPER(TRIM(D3262)),"")</f>
        <v/>
      </c>
    </row>
    <row r="3263" ht="15.75" customHeight="1" s="217">
      <c r="A3263" s="400" t="n">
        <v>3261</v>
      </c>
      <c r="B3263" s="400" t="inlineStr">
        <is>
          <t>KH0500</t>
        </is>
      </c>
      <c r="C3263" s="401" t="inlineStr">
        <is>
          <t>Anh Thành - Lâm Đồng/ 0988.126.222</t>
        </is>
      </c>
      <c r="D3263" s="400" t="inlineStr">
        <is>
          <t>0988.126.222</t>
        </is>
      </c>
      <c r="E3263" s="402" t="n"/>
      <c r="F3263" s="401" t="inlineStr">
        <is>
          <t>Đức Trọng - Lâm Đồng</t>
        </is>
      </c>
      <c r="G3263" s="400" t="inlineStr">
        <is>
          <t>LDONG</t>
        </is>
      </c>
      <c r="H3263" s="402" t="n"/>
      <c r="J3263" s="392">
        <f>IFERROR(UPPER(TRIM(B3263))&amp;"|"&amp;UPPER(TRIM(C3263))&amp;"|"&amp;UPPER(TRIM(D3263)),"")</f>
        <v/>
      </c>
    </row>
    <row r="3264" ht="15.75" customHeight="1" s="217">
      <c r="A3264" s="397" t="n">
        <v>3262</v>
      </c>
      <c r="B3264" s="397" t="inlineStr">
        <is>
          <t>MN25</t>
        </is>
      </c>
      <c r="C3264" s="398" t="inlineStr">
        <is>
          <t>Duy</t>
        </is>
      </c>
      <c r="D3264" s="399" t="n"/>
      <c r="E3264" s="399" t="n"/>
      <c r="F3264" s="398" t="inlineStr">
        <is>
          <t>Công ty CP Thiết Bị Cơ Giới Miền Nam</t>
        </is>
      </c>
      <c r="G3264" s="399" t="n"/>
      <c r="H3264" s="399" t="n"/>
      <c r="J3264" s="392">
        <f>IFERROR(UPPER(TRIM(B3264))&amp;"|"&amp;UPPER(TRIM(C3264))&amp;"|"&amp;UPPER(TRIM(D3264)),"")</f>
        <v/>
      </c>
    </row>
    <row r="3265" ht="15.75" customHeight="1" s="217">
      <c r="A3265" s="400" t="n">
        <v>3263</v>
      </c>
      <c r="B3265" s="400" t="inlineStr">
        <is>
          <t>KH0496</t>
        </is>
      </c>
      <c r="C3265" s="401" t="inlineStr">
        <is>
          <t>Xưởng Ba Điệp - Sài Gòn/ 0977.022.009</t>
        </is>
      </c>
      <c r="D3265" s="400" t="inlineStr">
        <is>
          <t>0977.022.009</t>
        </is>
      </c>
      <c r="E3265" s="402" t="n"/>
      <c r="F3265" s="401" t="inlineStr">
        <is>
          <t>Gần Đại Học Nông Lâm, Thủ Đức</t>
        </is>
      </c>
      <c r="G3265" s="400" t="inlineStr">
        <is>
          <t>SG/HCM</t>
        </is>
      </c>
      <c r="H3265" s="402" t="n"/>
      <c r="J3265" s="392">
        <f>IFERROR(UPPER(TRIM(B3265))&amp;"|"&amp;UPPER(TRIM(C3265))&amp;"|"&amp;UPPER(TRIM(D3265)),"")</f>
        <v/>
      </c>
    </row>
    <row r="3266" ht="15.75" customHeight="1" s="217">
      <c r="A3266" s="397" t="n">
        <v>3264</v>
      </c>
      <c r="B3266" s="397" t="inlineStr">
        <is>
          <t>KH0497</t>
        </is>
      </c>
      <c r="C3266" s="398" t="inlineStr">
        <is>
          <t>Xưởng Anh Linh - Vĩnh Long/ 01686.548.458</t>
        </is>
      </c>
      <c r="D3266" s="397" t="inlineStr">
        <is>
          <t>01686.548.458</t>
        </is>
      </c>
      <c r="E3266" s="399" t="n"/>
      <c r="F3266" s="398" t="inlineStr">
        <is>
          <t>Vĩnh Long</t>
        </is>
      </c>
      <c r="G3266" s="397" t="inlineStr">
        <is>
          <t>VĨNH LONG</t>
        </is>
      </c>
      <c r="H3266" s="397" t="inlineStr">
        <is>
          <t>Gửi chành 59B Phan Văn Khỏe, Q5: 0918.065.344</t>
        </is>
      </c>
      <c r="J3266" s="392">
        <f>IFERROR(UPPER(TRIM(B3266))&amp;"|"&amp;UPPER(TRIM(C3266))&amp;"|"&amp;UPPER(TRIM(D3266)),"")</f>
        <v/>
      </c>
    </row>
    <row r="3267" ht="15.75" customHeight="1" s="217">
      <c r="A3267" s="400" t="n">
        <v>3265</v>
      </c>
      <c r="B3267" s="400" t="inlineStr">
        <is>
          <t>KH0498</t>
        </is>
      </c>
      <c r="C3267" s="401" t="inlineStr">
        <is>
          <t>Anh Hiệp - Công ty Mặt Trời Mọc/ 0963.553.558</t>
        </is>
      </c>
      <c r="D3267" s="400" t="inlineStr">
        <is>
          <t>0963.553.558</t>
        </is>
      </c>
      <c r="E3267" s="402" t="n"/>
      <c r="F3267" s="401" t="inlineStr">
        <is>
          <t>127 Nguyễn Du , Phường Bến Thành - Quận 1, TP HCM</t>
        </is>
      </c>
      <c r="G3267" s="400" t="inlineStr">
        <is>
          <t>SG/HCM</t>
        </is>
      </c>
      <c r="H3267" s="402" t="n"/>
      <c r="J3267" s="392">
        <f>IFERROR(UPPER(TRIM(B3267))&amp;"|"&amp;UPPER(TRIM(C3267))&amp;"|"&amp;UPPER(TRIM(D3267)),"")</f>
        <v/>
      </c>
    </row>
    <row r="3268" ht="15.75" customHeight="1" s="217">
      <c r="A3268" s="397" t="n">
        <v>3266</v>
      </c>
      <c r="B3268" s="397" t="inlineStr">
        <is>
          <t>KH0495</t>
        </is>
      </c>
      <c r="C3268" s="398" t="inlineStr">
        <is>
          <t>Anh Quyền (Công ty TNHH Kim Tài Ngân) - Long An/ 0916.890.138</t>
        </is>
      </c>
      <c r="D3268" s="397" t="inlineStr">
        <is>
          <t>0916.890.138</t>
        </is>
      </c>
      <c r="E3268" s="399" t="n"/>
      <c r="F3268" s="398" t="inlineStr">
        <is>
          <t>ấp Lộc Hòa, xã Lộc Giang, Đức Hòa, Long An</t>
        </is>
      </c>
      <c r="G3268" s="397" t="inlineStr">
        <is>
          <t>LA</t>
        </is>
      </c>
      <c r="H3268" s="399" t="n"/>
      <c r="J3268" s="392">
        <f>IFERROR(UPPER(TRIM(B3268))&amp;"|"&amp;UPPER(TRIM(C3268))&amp;"|"&amp;UPPER(TRIM(D3268)),"")</f>
        <v/>
      </c>
    </row>
    <row r="3269" ht="15.75" customHeight="1" s="217">
      <c r="A3269" s="400" t="n">
        <v>3267</v>
      </c>
      <c r="B3269" s="400" t="inlineStr">
        <is>
          <t>KH0494</t>
        </is>
      </c>
      <c r="C3269" s="401" t="inlineStr">
        <is>
          <t>Anh Dũng (Công ty CP Xây Dựng 304) - Cần Thơ/ 0913.870.306</t>
        </is>
      </c>
      <c r="D3269" s="400" t="inlineStr">
        <is>
          <t>0913.870.306</t>
        </is>
      </c>
      <c r="E3269" s="402" t="n"/>
      <c r="F3269" s="401" t="inlineStr">
        <is>
          <t>83 Xô Viết Nghệ Tĩnh, Q. Ninh Kiều, TP Cần Thơ</t>
        </is>
      </c>
      <c r="G3269" s="400" t="inlineStr">
        <is>
          <t>CTHO</t>
        </is>
      </c>
      <c r="H3269" s="402" t="n"/>
      <c r="J3269" s="392">
        <f>IFERROR(UPPER(TRIM(B3269))&amp;"|"&amp;UPPER(TRIM(C3269))&amp;"|"&amp;UPPER(TRIM(D3269)),"")</f>
        <v/>
      </c>
    </row>
    <row r="3270" ht="15.75" customHeight="1" s="217">
      <c r="A3270" s="397" t="n">
        <v>3268</v>
      </c>
      <c r="B3270" s="397" t="inlineStr">
        <is>
          <t>KH0491</t>
        </is>
      </c>
      <c r="C3270" s="398" t="inlineStr">
        <is>
          <t>anh Tiến - Lâm Đồng/ 0919.032.041</t>
        </is>
      </c>
      <c r="D3270" s="397" t="inlineStr">
        <is>
          <t>0919.032.041</t>
        </is>
      </c>
      <c r="E3270" s="399" t="n"/>
      <c r="F3270" s="398" t="inlineStr">
        <is>
          <t>TT Thành Mỹ, Đơn Dương, Lâm Đồng</t>
        </is>
      </c>
      <c r="G3270" s="397" t="inlineStr">
        <is>
          <t>LDONG</t>
        </is>
      </c>
      <c r="H3270" s="399" t="n"/>
      <c r="J3270" s="392">
        <f>IFERROR(UPPER(TRIM(B3270))&amp;"|"&amp;UPPER(TRIM(C3270))&amp;"|"&amp;UPPER(TRIM(D3270)),"")</f>
        <v/>
      </c>
    </row>
    <row r="3271" ht="15.75" customHeight="1" s="217">
      <c r="A3271" s="400" t="n">
        <v>3269</v>
      </c>
      <c r="B3271" s="400" t="inlineStr">
        <is>
          <t>KH0492</t>
        </is>
      </c>
      <c r="C3271" s="401" t="inlineStr">
        <is>
          <t>Anh Dự - Gia Lai/ 0905.684.151</t>
        </is>
      </c>
      <c r="D3271" s="400" t="inlineStr">
        <is>
          <t>0905.684.151</t>
        </is>
      </c>
      <c r="E3271" s="402" t="n"/>
      <c r="F3271" s="401" t="inlineStr">
        <is>
          <t>Chư Sê - Gia Lai</t>
        </is>
      </c>
      <c r="G3271" s="400" t="inlineStr">
        <is>
          <t>GLAI</t>
        </is>
      </c>
      <c r="H3271" s="402" t="n"/>
      <c r="J3271" s="392">
        <f>IFERROR(UPPER(TRIM(B3271))&amp;"|"&amp;UPPER(TRIM(C3271))&amp;"|"&amp;UPPER(TRIM(D3271)),"")</f>
        <v/>
      </c>
    </row>
    <row r="3272" ht="15.75" customHeight="1" s="217">
      <c r="A3272" s="397" t="n">
        <v>3270</v>
      </c>
      <c r="B3272" s="397" t="inlineStr">
        <is>
          <t>KH0493</t>
        </is>
      </c>
      <c r="C3272" s="398" t="inlineStr">
        <is>
          <t>Anh Hợi (Công ty TNHH Đại Hùng) - Bình Định/ 0984.982.868</t>
        </is>
      </c>
      <c r="D3272" s="397" t="inlineStr">
        <is>
          <t>0984.982.868</t>
        </is>
      </c>
      <c r="E3272" s="399" t="n"/>
      <c r="F3272" s="398" t="inlineStr">
        <is>
          <t>Lô B4+B5, KCN Phú Tài, Bình Định</t>
        </is>
      </c>
      <c r="G3272" s="397" t="inlineStr">
        <is>
          <t>BDINH</t>
        </is>
      </c>
      <c r="H3272" s="399" t="n"/>
      <c r="J3272" s="392">
        <f>IFERROR(UPPER(TRIM(B3272))&amp;"|"&amp;UPPER(TRIM(C3272))&amp;"|"&amp;UPPER(TRIM(D3272)),"")</f>
        <v/>
      </c>
    </row>
    <row r="3273" ht="15.75" customHeight="1" s="217">
      <c r="A3273" s="400" t="n">
        <v>3271</v>
      </c>
      <c r="B3273" s="400" t="inlineStr">
        <is>
          <t>KH0490</t>
        </is>
      </c>
      <c r="C3273" s="401" t="inlineStr">
        <is>
          <t>Cửa hàng anh Châu - Sóc Trăng/ 0918.995.322</t>
        </is>
      </c>
      <c r="D3273" s="400" t="inlineStr">
        <is>
          <t>0918.995.322</t>
        </is>
      </c>
      <c r="E3273" s="402" t="n"/>
      <c r="F3273" s="401" t="inlineStr">
        <is>
          <t>161 Mạc Đĩnh Chi, Khóm 2, P.4, TP Sóc Trăng</t>
        </is>
      </c>
      <c r="G3273" s="400" t="inlineStr">
        <is>
          <t>STRANG</t>
        </is>
      </c>
      <c r="H3273" s="402" t="n"/>
      <c r="J3273" s="392">
        <f>IFERROR(UPPER(TRIM(B3273))&amp;"|"&amp;UPPER(TRIM(C3273))&amp;"|"&amp;UPPER(TRIM(D3273)),"")</f>
        <v/>
      </c>
    </row>
    <row r="3274" ht="15.75" customHeight="1" s="217">
      <c r="A3274" s="397" t="n">
        <v>3272</v>
      </c>
      <c r="B3274" s="397" t="inlineStr">
        <is>
          <t>KH0488</t>
        </is>
      </c>
      <c r="C3274" s="398" t="inlineStr">
        <is>
          <t>Xưởng anh Lâm - Tam Nông/ 0916.185.878</t>
        </is>
      </c>
      <c r="D3274" s="397" t="inlineStr">
        <is>
          <t>0916.185.878</t>
        </is>
      </c>
      <c r="E3274" s="399" t="n"/>
      <c r="F3274" s="398" t="inlineStr">
        <is>
          <t>TT Chành Chim, Tam Nông, Đồng Tháp</t>
        </is>
      </c>
      <c r="G3274" s="397" t="inlineStr">
        <is>
          <t>DTHAP</t>
        </is>
      </c>
      <c r="H3274" s="399" t="n"/>
      <c r="J3274" s="392">
        <f>IFERROR(UPPER(TRIM(B3274))&amp;"|"&amp;UPPER(TRIM(C3274))&amp;"|"&amp;UPPER(TRIM(D3274)),"")</f>
        <v/>
      </c>
    </row>
    <row r="3275" ht="15.75" customHeight="1" s="217">
      <c r="A3275" s="400" t="n">
        <v>3273</v>
      </c>
      <c r="B3275" s="400" t="inlineStr">
        <is>
          <t>KH0489</t>
        </is>
      </c>
      <c r="C3275" s="401" t="inlineStr">
        <is>
          <t>Xưởng anh Hiển - Hà Tiên/ 0989.234.016</t>
        </is>
      </c>
      <c r="D3275" s="400" t="inlineStr">
        <is>
          <t>0989.234.016</t>
        </is>
      </c>
      <c r="E3275" s="402" t="n"/>
      <c r="F3275" s="401" t="inlineStr">
        <is>
          <t>TX Hà Tiên, Kiên Giang</t>
        </is>
      </c>
      <c r="G3275" s="400" t="inlineStr">
        <is>
          <t>KG</t>
        </is>
      </c>
      <c r="H3275" s="402" t="n"/>
      <c r="J3275" s="392">
        <f>IFERROR(UPPER(TRIM(B3275))&amp;"|"&amp;UPPER(TRIM(C3275))&amp;"|"&amp;UPPER(TRIM(D3275)),"")</f>
        <v/>
      </c>
    </row>
    <row r="3276" ht="15.75" customHeight="1" s="217">
      <c r="A3276" s="397" t="n">
        <v>3274</v>
      </c>
      <c r="B3276" s="397" t="inlineStr">
        <is>
          <t>KH0486</t>
        </is>
      </c>
      <c r="C3276" s="398" t="inlineStr">
        <is>
          <t>Xưởng anh Tý - Bến Lức/ 0945.299.955</t>
        </is>
      </c>
      <c r="D3276" s="397" t="inlineStr">
        <is>
          <t>0945.299.955</t>
        </is>
      </c>
      <c r="E3276" s="399" t="n"/>
      <c r="F3276" s="398" t="inlineStr">
        <is>
          <t>1932 QL1A, TT Bến Lức, Long An</t>
        </is>
      </c>
      <c r="G3276" s="397" t="inlineStr">
        <is>
          <t>SG/HCM</t>
        </is>
      </c>
      <c r="H3276" s="399" t="n"/>
      <c r="J3276" s="392">
        <f>IFERROR(UPPER(TRIM(B3276))&amp;"|"&amp;UPPER(TRIM(C3276))&amp;"|"&amp;UPPER(TRIM(D3276)),"")</f>
        <v/>
      </c>
    </row>
    <row r="3277" ht="15.75" customHeight="1" s="217">
      <c r="A3277" s="400" t="n">
        <v>3275</v>
      </c>
      <c r="B3277" s="400" t="inlineStr">
        <is>
          <t>KH0487</t>
        </is>
      </c>
      <c r="C3277" s="401" t="inlineStr">
        <is>
          <t>Công ty CP Kiến Trúc Đồng Nhân - Bình Thạnh/ chị Thảo: 0908.164.453</t>
        </is>
      </c>
      <c r="D3277" s="400" t="inlineStr">
        <is>
          <t>0908.164.453</t>
        </is>
      </c>
      <c r="E3277" s="402" t="n"/>
      <c r="F3277" s="401" t="inlineStr">
        <is>
          <t>85 Điện Biên Phủ, Phường 15, Quận Bình Thạnh, TP HCM</t>
        </is>
      </c>
      <c r="G3277" s="400" t="inlineStr">
        <is>
          <t>SG/HCM</t>
        </is>
      </c>
      <c r="H3277" s="402" t="n"/>
      <c r="J3277" s="392">
        <f>IFERROR(UPPER(TRIM(B3277))&amp;"|"&amp;UPPER(TRIM(C3277))&amp;"|"&amp;UPPER(TRIM(D3277)),"")</f>
        <v/>
      </c>
    </row>
    <row r="3278" ht="15.75" customHeight="1" s="217">
      <c r="A3278" s="397" t="n">
        <v>3276</v>
      </c>
      <c r="B3278" s="397" t="inlineStr">
        <is>
          <t>KH0485</t>
        </is>
      </c>
      <c r="C3278" s="398" t="inlineStr">
        <is>
          <t>Anh Khải - Quận 7/ 0908.189.828</t>
        </is>
      </c>
      <c r="D3278" s="397" t="inlineStr">
        <is>
          <t>0908.189.828</t>
        </is>
      </c>
      <c r="E3278" s="399" t="n"/>
      <c r="F3278" s="398" t="inlineStr">
        <is>
          <t>Huỳnh Tấn Phát - Quận 7</t>
        </is>
      </c>
      <c r="G3278" s="397" t="inlineStr">
        <is>
          <t>SG/HCM</t>
        </is>
      </c>
      <c r="H3278" s="399" t="n"/>
      <c r="J3278" s="392">
        <f>IFERROR(UPPER(TRIM(B3278))&amp;"|"&amp;UPPER(TRIM(C3278))&amp;"|"&amp;UPPER(TRIM(D3278)),"")</f>
        <v/>
      </c>
    </row>
    <row r="3279" ht="15.75" customHeight="1" s="217">
      <c r="A3279" s="400" t="n">
        <v>3277</v>
      </c>
      <c r="B3279" s="400" t="inlineStr">
        <is>
          <t>LLA</t>
        </is>
      </c>
      <c r="C3279" s="401" t="inlineStr">
        <is>
          <t>Liaoning Liaoan Construction Machinery Co., LTD.</t>
        </is>
      </c>
      <c r="D3279" s="402" t="n"/>
      <c r="E3279" s="402" t="n"/>
      <c r="F3279" s="401" t="inlineStr">
        <is>
          <t>99 Liaoan Road,LiaoYang County, Liaoning, China</t>
        </is>
      </c>
      <c r="G3279" s="402" t="n"/>
      <c r="H3279" s="402" t="n"/>
      <c r="J3279" s="392">
        <f>IFERROR(UPPER(TRIM(B3279))&amp;"|"&amp;UPPER(TRIM(C3279))&amp;"|"&amp;UPPER(TRIM(D3279)),"")</f>
        <v/>
      </c>
    </row>
    <row r="3280" ht="15.75" customHeight="1" s="217">
      <c r="A3280" s="397" t="n">
        <v>3278</v>
      </c>
      <c r="B3280" s="397" t="inlineStr">
        <is>
          <t>KH0483</t>
        </is>
      </c>
      <c r="C3280" s="398" t="inlineStr">
        <is>
          <t>Chị Linh - Chợ Lầu/ 0913.679.000</t>
        </is>
      </c>
      <c r="D3280" s="397" t="inlineStr">
        <is>
          <t>0913.679.000</t>
        </is>
      </c>
      <c r="E3280" s="399" t="n"/>
      <c r="F3280" s="398" t="inlineStr">
        <is>
          <t>Chợ Lầu, Bình Thuận</t>
        </is>
      </c>
      <c r="G3280" s="397" t="inlineStr">
        <is>
          <t>BTHUAN</t>
        </is>
      </c>
      <c r="H3280" s="399" t="n"/>
      <c r="J3280" s="392">
        <f>IFERROR(UPPER(TRIM(B3280))&amp;"|"&amp;UPPER(TRIM(C3280))&amp;"|"&amp;UPPER(TRIM(D3280)),"")</f>
        <v/>
      </c>
    </row>
    <row r="3281" ht="15.75" customHeight="1" s="217">
      <c r="A3281" s="400" t="n">
        <v>3279</v>
      </c>
      <c r="B3281" s="400" t="inlineStr">
        <is>
          <t>KH0484</t>
        </is>
      </c>
      <c r="C3281" s="401" t="inlineStr">
        <is>
          <t>DNTN Thiên Tường - Vĩnh Long/ anh Hiếu: 0939.123.873</t>
        </is>
      </c>
      <c r="D3281" s="400" t="inlineStr">
        <is>
          <t>0939.123.873</t>
        </is>
      </c>
      <c r="E3281" s="402" t="n"/>
      <c r="F3281" s="401" t="inlineStr">
        <is>
          <t>Đường Đinh Tiên Hoàng, ấp Tân Bình, Tân Hạnh, Long Hồ, Vĩnh Long</t>
        </is>
      </c>
      <c r="G3281" s="400" t="inlineStr">
        <is>
          <t>VĨNH LONG</t>
        </is>
      </c>
      <c r="H3281" s="402" t="n"/>
      <c r="J3281" s="392">
        <f>IFERROR(UPPER(TRIM(B3281))&amp;"|"&amp;UPPER(TRIM(C3281))&amp;"|"&amp;UPPER(TRIM(D3281)),"")</f>
        <v/>
      </c>
    </row>
    <row r="3282" ht="15.75" customHeight="1" s="217">
      <c r="A3282" s="397" t="n">
        <v>3280</v>
      </c>
      <c r="B3282" s="397" t="inlineStr">
        <is>
          <t>KH0480</t>
        </is>
      </c>
      <c r="C3282" s="398" t="inlineStr">
        <is>
          <t>Xưởng anh Phát - Đồng Tháp/ 0966.879.673</t>
        </is>
      </c>
      <c r="D3282" s="397" t="inlineStr">
        <is>
          <t>0966.879.673</t>
        </is>
      </c>
      <c r="E3282" s="399" t="n"/>
      <c r="F3282" s="398" t="inlineStr">
        <is>
          <t>Đồng Tháp</t>
        </is>
      </c>
      <c r="G3282" s="397" t="inlineStr">
        <is>
          <t>DTHAP</t>
        </is>
      </c>
      <c r="H3282" s="399" t="n"/>
      <c r="J3282" s="392">
        <f>IFERROR(UPPER(TRIM(B3282))&amp;"|"&amp;UPPER(TRIM(C3282))&amp;"|"&amp;UPPER(TRIM(D3282)),"")</f>
        <v/>
      </c>
    </row>
    <row r="3283" ht="15.75" customHeight="1" s="217">
      <c r="A3283" s="400" t="n">
        <v>3281</v>
      </c>
      <c r="B3283" s="400" t="inlineStr">
        <is>
          <t>KH0481</t>
        </is>
      </c>
      <c r="C3283" s="401" t="inlineStr">
        <is>
          <t>Anh Thái - Phan Rang/ 0919.198.008</t>
        </is>
      </c>
      <c r="D3283" s="400" t="inlineStr">
        <is>
          <t>0919.198.008</t>
        </is>
      </c>
      <c r="E3283" s="402" t="n"/>
      <c r="F3283" s="401" t="inlineStr">
        <is>
          <t>Phan Rang Tháp Chàm, Ninh Thuận</t>
        </is>
      </c>
      <c r="G3283" s="400" t="inlineStr">
        <is>
          <t>NTHUAN</t>
        </is>
      </c>
      <c r="H3283" s="402" t="n"/>
      <c r="J3283" s="392">
        <f>IFERROR(UPPER(TRIM(B3283))&amp;"|"&amp;UPPER(TRIM(C3283))&amp;"|"&amp;UPPER(TRIM(D3283)),"")</f>
        <v/>
      </c>
    </row>
    <row r="3284" ht="15.75" customHeight="1" s="217">
      <c r="A3284" s="397" t="n">
        <v>3282</v>
      </c>
      <c r="B3284" s="397" t="inlineStr">
        <is>
          <t>KH0482</t>
        </is>
      </c>
      <c r="C3284" s="398" t="inlineStr">
        <is>
          <t>Anh Ngân - Bình Dương/ 0918.010.680</t>
        </is>
      </c>
      <c r="D3284" s="397" t="inlineStr">
        <is>
          <t>0918.010.680</t>
        </is>
      </c>
      <c r="E3284" s="399" t="n"/>
      <c r="F3284" s="398" t="inlineStr">
        <is>
          <t>KDC Chánh Hưng, TX Thủ Dầu Một, Bình Dương</t>
        </is>
      </c>
      <c r="G3284" s="397" t="inlineStr">
        <is>
          <t>BDUONG</t>
        </is>
      </c>
      <c r="H3284" s="399" t="n"/>
      <c r="J3284" s="392">
        <f>IFERROR(UPPER(TRIM(B3284))&amp;"|"&amp;UPPER(TRIM(C3284))&amp;"|"&amp;UPPER(TRIM(D3284)),"")</f>
        <v/>
      </c>
    </row>
    <row r="3285" ht="15.75" customHeight="1" s="217">
      <c r="A3285" s="400" t="n">
        <v>3283</v>
      </c>
      <c r="B3285" s="400" t="inlineStr">
        <is>
          <t>KH0478</t>
        </is>
      </c>
      <c r="C3285" s="401" t="inlineStr">
        <is>
          <t>Công ty CP Tư Vấn Đầu Tư Và Kỹ Nghệ Xây Dựng Quốc Tế - anh Đủ: 0907.609.988</t>
        </is>
      </c>
      <c r="D3285" s="400" t="inlineStr">
        <is>
          <t>0907.609.988</t>
        </is>
      </c>
      <c r="E3285" s="402" t="n"/>
      <c r="F3285" s="401" t="inlineStr">
        <is>
          <t>60/44 QL13, P.26, Q. Bình Thạnh, TPHCM</t>
        </is>
      </c>
      <c r="G3285" s="400" t="inlineStr">
        <is>
          <t>SG/HCM</t>
        </is>
      </c>
      <c r="H3285" s="402" t="n"/>
      <c r="J3285" s="392">
        <f>IFERROR(UPPER(TRIM(B3285))&amp;"|"&amp;UPPER(TRIM(C3285))&amp;"|"&amp;UPPER(TRIM(D3285)),"")</f>
        <v/>
      </c>
    </row>
    <row r="3286" ht="15.75" customHeight="1" s="217">
      <c r="A3286" s="397" t="n">
        <v>3284</v>
      </c>
      <c r="B3286" s="397" t="inlineStr">
        <is>
          <t>KH0479</t>
        </is>
      </c>
      <c r="C3286" s="398" t="inlineStr">
        <is>
          <t>Công ty TNHH MTV Lê Trình - Trà Vinh/ anh Độ: 0918.971.945</t>
        </is>
      </c>
      <c r="D3286" s="397" t="inlineStr">
        <is>
          <t>0918.971.945</t>
        </is>
      </c>
      <c r="E3286" s="399" t="n"/>
      <c r="F3286" s="398" t="inlineStr">
        <is>
          <t>Khóm 5, TT Càng Long, Càng Long, Trà Vinh</t>
        </is>
      </c>
      <c r="G3286" s="397" t="inlineStr">
        <is>
          <t>TV</t>
        </is>
      </c>
      <c r="H3286" s="399" t="n"/>
      <c r="J3286" s="392">
        <f>IFERROR(UPPER(TRIM(B3286))&amp;"|"&amp;UPPER(TRIM(C3286))&amp;"|"&amp;UPPER(TRIM(D3286)),"")</f>
        <v/>
      </c>
    </row>
    <row r="3287" ht="15.75" customHeight="1" s="217">
      <c r="A3287" s="400" t="n">
        <v>3285</v>
      </c>
      <c r="B3287" s="400" t="inlineStr">
        <is>
          <t>KH0476</t>
        </is>
      </c>
      <c r="C3287" s="401" t="inlineStr">
        <is>
          <t>anh Ngân - SG/ 0906.368.939</t>
        </is>
      </c>
      <c r="D3287" s="400" t="inlineStr">
        <is>
          <t>0906.368.939</t>
        </is>
      </c>
      <c r="E3287" s="402" t="n"/>
      <c r="F3287" s="401" t="inlineStr">
        <is>
          <t>Hà Tôn Quyền, TPHCM</t>
        </is>
      </c>
      <c r="G3287" s="400" t="inlineStr">
        <is>
          <t>SG/HCM</t>
        </is>
      </c>
      <c r="H3287" s="402" t="n"/>
      <c r="J3287" s="392">
        <f>IFERROR(UPPER(TRIM(B3287))&amp;"|"&amp;UPPER(TRIM(C3287))&amp;"|"&amp;UPPER(TRIM(D3287)),"")</f>
        <v/>
      </c>
    </row>
    <row r="3288" ht="15.75" customHeight="1" s="217">
      <c r="A3288" s="397" t="n">
        <v>3286</v>
      </c>
      <c r="B3288" s="397" t="inlineStr">
        <is>
          <t>KH0477</t>
        </is>
      </c>
      <c r="C3288" s="398" t="inlineStr">
        <is>
          <t>Anh Minh - Cà Mau/ 0913.106.505</t>
        </is>
      </c>
      <c r="D3288" s="397" t="inlineStr">
        <is>
          <t>0913.106.505</t>
        </is>
      </c>
      <c r="E3288" s="399" t="n"/>
      <c r="F3288" s="398" t="inlineStr">
        <is>
          <t>Cà mau</t>
        </is>
      </c>
      <c r="G3288" s="397" t="inlineStr">
        <is>
          <t>CMAU</t>
        </is>
      </c>
      <c r="H3288" s="399" t="n"/>
      <c r="J3288" s="392">
        <f>IFERROR(UPPER(TRIM(B3288))&amp;"|"&amp;UPPER(TRIM(C3288))&amp;"|"&amp;UPPER(TRIM(D3288)),"")</f>
        <v/>
      </c>
    </row>
    <row r="3289" ht="15.75" customHeight="1" s="217">
      <c r="A3289" s="400" t="n">
        <v>3287</v>
      </c>
      <c r="B3289" s="400" t="inlineStr">
        <is>
          <t>KH0473</t>
        </is>
      </c>
      <c r="C3289" s="401" t="inlineStr">
        <is>
          <t>Cửa hàng Quang Tươi - Bạc Liêu/ 0918.251.838 - C.Nợ 0918.153.855</t>
        </is>
      </c>
      <c r="D3289" s="400" t="inlineStr">
        <is>
          <t>0918.251.838 / 0918.153.855</t>
        </is>
      </c>
      <c r="E3289" s="402" t="n"/>
      <c r="F3289" s="401" t="inlineStr">
        <is>
          <t>44 QL1A, ấp Thị Trấn Hòa Bình, TT Hòa Bình, Huyện Hòa Bình, Bạc Liêu</t>
        </is>
      </c>
      <c r="G3289" s="400" t="inlineStr">
        <is>
          <t>BLIEU</t>
        </is>
      </c>
      <c r="H3289" s="402" t="n"/>
      <c r="J3289" s="392">
        <f>IFERROR(UPPER(TRIM(B3289))&amp;"|"&amp;UPPER(TRIM(C3289))&amp;"|"&amp;UPPER(TRIM(D3289)),"")</f>
        <v/>
      </c>
    </row>
    <row r="3290" ht="15.75" customHeight="1" s="217">
      <c r="A3290" s="397" t="n">
        <v>3288</v>
      </c>
      <c r="B3290" s="397" t="inlineStr">
        <is>
          <t>KH0474</t>
        </is>
      </c>
      <c r="C3290" s="398" t="inlineStr">
        <is>
          <t>Anh Phước - Đồng Tháp</t>
        </is>
      </c>
      <c r="D3290" s="399" t="n"/>
      <c r="E3290" s="399" t="n"/>
      <c r="F3290" s="398" t="inlineStr">
        <is>
          <t>Đồng Tháp</t>
        </is>
      </c>
      <c r="G3290" s="397" t="inlineStr">
        <is>
          <t>DTHAP</t>
        </is>
      </c>
      <c r="H3290" s="399" t="n"/>
      <c r="J3290" s="392">
        <f>IFERROR(UPPER(TRIM(B3290))&amp;"|"&amp;UPPER(TRIM(C3290))&amp;"|"&amp;UPPER(TRIM(D3290)),"")</f>
        <v/>
      </c>
    </row>
    <row r="3291" ht="15.75" customHeight="1" s="217">
      <c r="A3291" s="400" t="n">
        <v>3289</v>
      </c>
      <c r="B3291" s="400" t="inlineStr">
        <is>
          <t>KH0475</t>
        </is>
      </c>
      <c r="C3291" s="401" t="inlineStr">
        <is>
          <t>Anh Nhã - Cà Mau/ 0918.782.748</t>
        </is>
      </c>
      <c r="D3291" s="400" t="inlineStr">
        <is>
          <t>0918.782.748</t>
        </is>
      </c>
      <c r="E3291" s="402" t="n"/>
      <c r="F3291" s="401" t="inlineStr">
        <is>
          <t>Cà Mau</t>
        </is>
      </c>
      <c r="G3291" s="400" t="inlineStr">
        <is>
          <t>CMAU</t>
        </is>
      </c>
      <c r="H3291" s="402" t="n"/>
      <c r="J3291" s="392">
        <f>IFERROR(UPPER(TRIM(B3291))&amp;"|"&amp;UPPER(TRIM(C3291))&amp;"|"&amp;UPPER(TRIM(D3291)),"")</f>
        <v/>
      </c>
    </row>
    <row r="3292" ht="15.75" customHeight="1" s="217">
      <c r="A3292" s="397" t="n">
        <v>3290</v>
      </c>
      <c r="B3292" s="397" t="inlineStr">
        <is>
          <t>KH0472</t>
        </is>
      </c>
      <c r="C3292" s="398" t="inlineStr">
        <is>
          <t>Anh Khánh - KonTum/ 0935.768.889</t>
        </is>
      </c>
      <c r="D3292" s="397" t="inlineStr">
        <is>
          <t>0935.768.889</t>
        </is>
      </c>
      <c r="E3292" s="399" t="n"/>
      <c r="F3292" s="398" t="inlineStr">
        <is>
          <t>KonTum</t>
        </is>
      </c>
      <c r="G3292" s="397" t="inlineStr">
        <is>
          <t>KTUM</t>
        </is>
      </c>
      <c r="H3292" s="399" t="n"/>
      <c r="J3292" s="392">
        <f>IFERROR(UPPER(TRIM(B3292))&amp;"|"&amp;UPPER(TRIM(C3292))&amp;"|"&amp;UPPER(TRIM(D3292)),"")</f>
        <v/>
      </c>
    </row>
    <row r="3293" ht="15.75" customHeight="1" s="217">
      <c r="A3293" s="400" t="n">
        <v>3291</v>
      </c>
      <c r="B3293" s="400" t="inlineStr">
        <is>
          <t>KH0470</t>
        </is>
      </c>
      <c r="C3293" s="401" t="inlineStr">
        <is>
          <t>Anh Phú - Gia Lai/ 0966.918.991</t>
        </is>
      </c>
      <c r="D3293" s="400" t="inlineStr">
        <is>
          <t>0966.918.991</t>
        </is>
      </c>
      <c r="E3293" s="402" t="n"/>
      <c r="F3293" s="401" t="inlineStr">
        <is>
          <t>Pleiku, Gia Lai</t>
        </is>
      </c>
      <c r="G3293" s="400" t="inlineStr">
        <is>
          <t>GLAI</t>
        </is>
      </c>
      <c r="H3293" s="402" t="n"/>
      <c r="J3293" s="392">
        <f>IFERROR(UPPER(TRIM(B3293))&amp;"|"&amp;UPPER(TRIM(C3293))&amp;"|"&amp;UPPER(TRIM(D3293)),"")</f>
        <v/>
      </c>
    </row>
    <row r="3294" ht="15.75" customHeight="1" s="217">
      <c r="A3294" s="397" t="n">
        <v>3292</v>
      </c>
      <c r="B3294" s="397" t="inlineStr">
        <is>
          <t>KH0471</t>
        </is>
      </c>
      <c r="C3294" s="398" t="inlineStr">
        <is>
          <t>Anh Hoàng - Sài Gòn/ 0972.539.407</t>
        </is>
      </c>
      <c r="D3294" s="397" t="inlineStr">
        <is>
          <t>0972.539.407</t>
        </is>
      </c>
      <c r="E3294" s="399" t="n"/>
      <c r="F3294" s="398" t="inlineStr">
        <is>
          <t>Sài Gòn</t>
        </is>
      </c>
      <c r="G3294" s="397" t="inlineStr">
        <is>
          <t>SG/HCM</t>
        </is>
      </c>
      <c r="H3294" s="399" t="n"/>
      <c r="J3294" s="392">
        <f>IFERROR(UPPER(TRIM(B3294))&amp;"|"&amp;UPPER(TRIM(C3294))&amp;"|"&amp;UPPER(TRIM(D3294)),"")</f>
        <v/>
      </c>
    </row>
    <row r="3295" ht="15.75" customHeight="1" s="217">
      <c r="A3295" s="400" t="n">
        <v>3293</v>
      </c>
      <c r="B3295" s="400" t="inlineStr">
        <is>
          <t>KH0466</t>
        </is>
      </c>
      <c r="C3295" s="401" t="inlineStr">
        <is>
          <t>Xưởng anh Thuần - Vĩnh Long/ 0907.476.828</t>
        </is>
      </c>
      <c r="D3295" s="400" t="inlineStr">
        <is>
          <t>0907.476.828</t>
        </is>
      </c>
      <c r="E3295" s="402" t="n"/>
      <c r="F3295" s="401" t="inlineStr">
        <is>
          <t>Vĩnh Long</t>
        </is>
      </c>
      <c r="G3295" s="400" t="inlineStr">
        <is>
          <t>VĨNH LONG</t>
        </is>
      </c>
      <c r="H3295" s="402" t="n"/>
      <c r="J3295" s="392">
        <f>IFERROR(UPPER(TRIM(B3295))&amp;"|"&amp;UPPER(TRIM(C3295))&amp;"|"&amp;UPPER(TRIM(D3295)),"")</f>
        <v/>
      </c>
    </row>
    <row r="3296" ht="15.75" customHeight="1" s="217">
      <c r="A3296" s="397" t="n">
        <v>3294</v>
      </c>
      <c r="B3296" s="397" t="inlineStr">
        <is>
          <t>KH0467</t>
        </is>
      </c>
      <c r="C3296" s="398" t="inlineStr">
        <is>
          <t>Chú Hoàng(Công ty TNHH Hòa Lợi) - Vĩnh Long/ 0948.268.612</t>
        </is>
      </c>
      <c r="D3296" s="397" t="inlineStr">
        <is>
          <t>0948.268.612</t>
        </is>
      </c>
      <c r="E3296" s="399" t="n"/>
      <c r="F3296" s="398" t="inlineStr">
        <is>
          <t>F330 Phạm Hùng, P. 9, TP Vĩnh Long</t>
        </is>
      </c>
      <c r="G3296" s="397" t="inlineStr">
        <is>
          <t>VĨNH LONG</t>
        </is>
      </c>
      <c r="H3296" s="399" t="n"/>
      <c r="J3296" s="392">
        <f>IFERROR(UPPER(TRIM(B3296))&amp;"|"&amp;UPPER(TRIM(C3296))&amp;"|"&amp;UPPER(TRIM(D3296)),"")</f>
        <v/>
      </c>
    </row>
    <row r="3297" ht="15.75" customHeight="1" s="217">
      <c r="A3297" s="400" t="n">
        <v>3295</v>
      </c>
      <c r="B3297" s="400" t="inlineStr">
        <is>
          <t>KH0468</t>
        </is>
      </c>
      <c r="C3297" s="401" t="inlineStr">
        <is>
          <t>anh Giang - Bạc Liêu/ 0968.179.952</t>
        </is>
      </c>
      <c r="D3297" s="400" t="inlineStr">
        <is>
          <t>0968.179.952</t>
        </is>
      </c>
      <c r="E3297" s="402" t="n"/>
      <c r="F3297" s="401" t="inlineStr">
        <is>
          <t>Bạc Liêu</t>
        </is>
      </c>
      <c r="G3297" s="400" t="inlineStr">
        <is>
          <t>BLIEU</t>
        </is>
      </c>
      <c r="H3297" s="402" t="n"/>
      <c r="J3297" s="392">
        <f>IFERROR(UPPER(TRIM(B3297))&amp;"|"&amp;UPPER(TRIM(C3297))&amp;"|"&amp;UPPER(TRIM(D3297)),"")</f>
        <v/>
      </c>
    </row>
    <row r="3298" ht="15.75" customHeight="1" s="217">
      <c r="A3298" s="397" t="n">
        <v>3296</v>
      </c>
      <c r="B3298" s="397" t="inlineStr">
        <is>
          <t>KH0469</t>
        </is>
      </c>
      <c r="C3298" s="398" t="inlineStr">
        <is>
          <t>Xưởng anh Bình - Cần Thơ/ 0939.586.869</t>
        </is>
      </c>
      <c r="D3298" s="397" t="inlineStr">
        <is>
          <t>0939.586.869</t>
        </is>
      </c>
      <c r="E3298" s="399" t="n"/>
      <c r="F3298" s="398" t="inlineStr">
        <is>
          <t>Nguyễn Văn Cừ, TP Cần Thơ</t>
        </is>
      </c>
      <c r="G3298" s="397" t="inlineStr">
        <is>
          <t>CTHO</t>
        </is>
      </c>
      <c r="H3298" s="399" t="n"/>
      <c r="J3298" s="392">
        <f>IFERROR(UPPER(TRIM(B3298))&amp;"|"&amp;UPPER(TRIM(C3298))&amp;"|"&amp;UPPER(TRIM(D3298)),"")</f>
        <v/>
      </c>
    </row>
    <row r="3299" ht="15.75" customHeight="1" s="217">
      <c r="A3299" s="400" t="n">
        <v>3297</v>
      </c>
      <c r="B3299" s="400" t="inlineStr">
        <is>
          <t>KH0465</t>
        </is>
      </c>
      <c r="C3299" s="401" t="inlineStr">
        <is>
          <t>Bãi Máy Thảo Duyên - Tân Vạn/ 0985.286.279</t>
        </is>
      </c>
      <c r="D3299" s="400" t="inlineStr">
        <is>
          <t>0985.286.279</t>
        </is>
      </c>
      <c r="E3299" s="402" t="n"/>
      <c r="F3299" s="401" t="inlineStr">
        <is>
          <t>Suối Tiên, Sài Gòn</t>
        </is>
      </c>
      <c r="G3299" s="400" t="inlineStr">
        <is>
          <t>SG/HCM</t>
        </is>
      </c>
      <c r="H3299" s="402" t="n"/>
      <c r="J3299" s="392">
        <f>IFERROR(UPPER(TRIM(B3299))&amp;"|"&amp;UPPER(TRIM(C3299))&amp;"|"&amp;UPPER(TRIM(D3299)),"")</f>
        <v/>
      </c>
    </row>
    <row r="3300" ht="15.75" customHeight="1" s="217">
      <c r="A3300" s="397" t="n">
        <v>3298</v>
      </c>
      <c r="B3300" s="397" t="inlineStr">
        <is>
          <t>KH0463</t>
        </is>
      </c>
      <c r="C3300" s="398" t="inlineStr">
        <is>
          <t>Bãi máy 45C - Cây Xăng Bình An/ anh Toàn: 0982.544.118</t>
        </is>
      </c>
      <c r="D3300" s="397" t="inlineStr">
        <is>
          <t>0982.544.118</t>
        </is>
      </c>
      <c r="E3300" s="399" t="n"/>
      <c r="F3300" s="398" t="inlineStr">
        <is>
          <t>Đối Diện Cây Xăng Bình An</t>
        </is>
      </c>
      <c r="G3300" s="397" t="inlineStr">
        <is>
          <t>SG/HCM</t>
        </is>
      </c>
      <c r="H3300" s="399" t="n"/>
      <c r="J3300" s="392">
        <f>IFERROR(UPPER(TRIM(B3300))&amp;"|"&amp;UPPER(TRIM(C3300))&amp;"|"&amp;UPPER(TRIM(D3300)),"")</f>
        <v/>
      </c>
    </row>
    <row r="3301" ht="15.75" customHeight="1" s="217">
      <c r="A3301" s="400" t="n">
        <v>3299</v>
      </c>
      <c r="B3301" s="400" t="inlineStr">
        <is>
          <t>KH0464</t>
        </is>
      </c>
      <c r="C3301" s="401" t="inlineStr">
        <is>
          <t>Công ty TNHH Toàn Khang - TPHCM/ ĐT: 08 3862 5217 - Fax: 08 6264 7412</t>
        </is>
      </c>
      <c r="D3301" s="400" t="inlineStr">
        <is>
          <t>08 3862 5217 / 08 6264 7412</t>
        </is>
      </c>
      <c r="E3301" s="402" t="n"/>
      <c r="F3301" s="401" t="inlineStr">
        <is>
          <t>Số 1 Hồ Bá Kiện, P.15, Q.10, TPHCM</t>
        </is>
      </c>
      <c r="G3301" s="400" t="inlineStr">
        <is>
          <t>SG/HCM</t>
        </is>
      </c>
      <c r="H3301" s="402" t="n"/>
      <c r="J3301" s="392">
        <f>IFERROR(UPPER(TRIM(B3301))&amp;"|"&amp;UPPER(TRIM(C3301))&amp;"|"&amp;UPPER(TRIM(D3301)),"")</f>
        <v/>
      </c>
    </row>
    <row r="3302" ht="15.75" customHeight="1" s="217">
      <c r="A3302" s="397" t="n">
        <v>3300</v>
      </c>
      <c r="B3302" s="397" t="inlineStr">
        <is>
          <t>KH0460</t>
        </is>
      </c>
      <c r="C3302" s="398" t="inlineStr">
        <is>
          <t>Công ty Đá Phước Hòa - Bà Rịa Vũng Tàu/ Cô Lê: 0978.744.024</t>
        </is>
      </c>
      <c r="D3302" s="397" t="inlineStr">
        <is>
          <t>0978.744.024</t>
        </is>
      </c>
      <c r="E3302" s="399" t="n"/>
      <c r="F3302" s="398" t="inlineStr">
        <is>
          <t>Km50, QL51, Tân Thành, BRVT</t>
        </is>
      </c>
      <c r="G3302" s="397" t="inlineStr">
        <is>
          <t>BRVT</t>
        </is>
      </c>
      <c r="H3302" s="399" t="n"/>
      <c r="J3302" s="392">
        <f>IFERROR(UPPER(TRIM(B3302))&amp;"|"&amp;UPPER(TRIM(C3302))&amp;"|"&amp;UPPER(TRIM(D3302)),"")</f>
        <v/>
      </c>
    </row>
    <row r="3303" ht="15.75" customHeight="1" s="217">
      <c r="A3303" s="400" t="n">
        <v>3301</v>
      </c>
      <c r="B3303" s="400" t="inlineStr">
        <is>
          <t>KH0461</t>
        </is>
      </c>
      <c r="C3303" s="401" t="inlineStr">
        <is>
          <t>Công ty CP XD Tổng Hợp Khai Nguyên - Bình Thạnh: 08.5445.2310 - 0903.841.420</t>
        </is>
      </c>
      <c r="D3303" s="400" t="inlineStr">
        <is>
          <t>08.5445.2310 / 0903.841.420</t>
        </is>
      </c>
      <c r="E3303" s="402" t="n"/>
      <c r="F3303" s="401" t="inlineStr">
        <is>
          <t>351/31 Nơ Trang Long, Phường 13, Quận Bình Thạnh, TP HCM</t>
        </is>
      </c>
      <c r="G3303" s="400" t="inlineStr">
        <is>
          <t>SG/HCM</t>
        </is>
      </c>
      <c r="H3303" s="402" t="n"/>
      <c r="J3303" s="392">
        <f>IFERROR(UPPER(TRIM(B3303))&amp;"|"&amp;UPPER(TRIM(C3303))&amp;"|"&amp;UPPER(TRIM(D3303)),"")</f>
        <v/>
      </c>
    </row>
    <row r="3304" ht="15.75" customHeight="1" s="217">
      <c r="A3304" s="397" t="n">
        <v>3302</v>
      </c>
      <c r="B3304" s="397" t="inlineStr">
        <is>
          <t>KH0462</t>
        </is>
      </c>
      <c r="C3304" s="398" t="inlineStr">
        <is>
          <t>(không sd mã này)Xưởng anh Huy - Nha Trang/ 0935.810.551</t>
        </is>
      </c>
      <c r="D3304" s="397" t="inlineStr">
        <is>
          <t>0935.810.551</t>
        </is>
      </c>
      <c r="E3304" s="399" t="n"/>
      <c r="F3304" s="398" t="inlineStr">
        <is>
          <t>Nha Trang</t>
        </is>
      </c>
      <c r="G3304" s="397" t="inlineStr">
        <is>
          <t>NTRANG</t>
        </is>
      </c>
      <c r="H3304" s="399" t="n"/>
      <c r="J3304" s="392">
        <f>IFERROR(UPPER(TRIM(B3304))&amp;"|"&amp;UPPER(TRIM(C3304))&amp;"|"&amp;UPPER(TRIM(D3304)),"")</f>
        <v/>
      </c>
    </row>
    <row r="3305" ht="15.75" customHeight="1" s="217">
      <c r="A3305" s="400" t="n">
        <v>3303</v>
      </c>
      <c r="B3305" s="400" t="inlineStr">
        <is>
          <t>KH0459</t>
        </is>
      </c>
      <c r="C3305" s="401" t="inlineStr">
        <is>
          <t>Anh Hùng (Công ty TNHH  Sơn Hùng - Bình Thạnh/ Anh Khanh - 01688.099.979</t>
        </is>
      </c>
      <c r="D3305" s="400" t="inlineStr">
        <is>
          <t>01688.099.979</t>
        </is>
      </c>
      <c r="E3305" s="402" t="n"/>
      <c r="F3305" s="401" t="inlineStr">
        <is>
          <t>213/12 Nguyễn Xí, Phường 13, Quận Bình Thạnh, TPHCM</t>
        </is>
      </c>
      <c r="G3305" s="400" t="inlineStr">
        <is>
          <t>SG/HCM</t>
        </is>
      </c>
      <c r="H3305" s="402" t="n"/>
      <c r="J3305" s="392">
        <f>IFERROR(UPPER(TRIM(B3305))&amp;"|"&amp;UPPER(TRIM(C3305))&amp;"|"&amp;UPPER(TRIM(D3305)),"")</f>
        <v/>
      </c>
    </row>
    <row r="3306" ht="15.75" customHeight="1" s="217">
      <c r="A3306" s="397" t="n">
        <v>3304</v>
      </c>
      <c r="B3306" s="397" t="inlineStr">
        <is>
          <t>KH0456</t>
        </is>
      </c>
      <c r="C3306" s="398" t="inlineStr">
        <is>
          <t>Xưởng anh Thiện - Vĩnh Long/ 0918.866.091</t>
        </is>
      </c>
      <c r="D3306" s="397" t="inlineStr">
        <is>
          <t>0918.866.091</t>
        </is>
      </c>
      <c r="E3306" s="399" t="n"/>
      <c r="F3306" s="398" t="inlineStr">
        <is>
          <t>4/6 QL1A, Tân Hưng, Tân Hạnh, Long Hồ, Vĩnh Long</t>
        </is>
      </c>
      <c r="G3306" s="397" t="inlineStr">
        <is>
          <t>VĨNH LONG</t>
        </is>
      </c>
      <c r="H3306" s="399" t="n"/>
      <c r="J3306" s="392">
        <f>IFERROR(UPPER(TRIM(B3306))&amp;"|"&amp;UPPER(TRIM(C3306))&amp;"|"&amp;UPPER(TRIM(D3306)),"")</f>
        <v/>
      </c>
    </row>
    <row r="3307" ht="15.75" customHeight="1" s="217">
      <c r="A3307" s="400" t="n">
        <v>3305</v>
      </c>
      <c r="B3307" s="400" t="inlineStr">
        <is>
          <t>KH0457</t>
        </is>
      </c>
      <c r="C3307" s="401" t="inlineStr">
        <is>
          <t>Cửa hàng Chín Nhàn - Trà Vinh/ a.Thức: 0918.085.129, C.Hường: 02943.856.149</t>
        </is>
      </c>
      <c r="D3307" s="400" t="inlineStr">
        <is>
          <t>0918.085.129 / 02943.856.149</t>
        </is>
      </c>
      <c r="E3307" s="402" t="n"/>
      <c r="F3307" s="401" t="inlineStr">
        <is>
          <t>132 Lý Thường Kiệt, Khóm 3, P. 3, TP Trà Vinh</t>
        </is>
      </c>
      <c r="G3307" s="400" t="inlineStr">
        <is>
          <t>TV</t>
        </is>
      </c>
      <c r="H3307" s="402" t="n"/>
      <c r="J3307" s="392">
        <f>IFERROR(UPPER(TRIM(B3307))&amp;"|"&amp;UPPER(TRIM(C3307))&amp;"|"&amp;UPPER(TRIM(D3307)),"")</f>
        <v/>
      </c>
    </row>
    <row r="3308" ht="15.75" customHeight="1" s="217">
      <c r="A3308" s="397" t="n">
        <v>3306</v>
      </c>
      <c r="B3308" s="397" t="inlineStr">
        <is>
          <t>KH0458</t>
        </is>
      </c>
      <c r="C3308" s="398" t="inlineStr">
        <is>
          <t>Cửa hàng Trung Dũng - Gò Công/ 0903.060.470</t>
        </is>
      </c>
      <c r="D3308" s="397" t="inlineStr">
        <is>
          <t>0903.060.470</t>
        </is>
      </c>
      <c r="E3308" s="399" t="n"/>
      <c r="F3308" s="398" t="inlineStr">
        <is>
          <t>QL 50, Ngã ba về Cầu Nổi, Gò Công</t>
        </is>
      </c>
      <c r="G3308" s="397" t="inlineStr">
        <is>
          <t>TGIANG</t>
        </is>
      </c>
      <c r="H3308" s="399" t="n"/>
      <c r="J3308" s="392">
        <f>IFERROR(UPPER(TRIM(B3308))&amp;"|"&amp;UPPER(TRIM(C3308))&amp;"|"&amp;UPPER(TRIM(D3308)),"")</f>
        <v/>
      </c>
    </row>
    <row r="3309" ht="15.75" customHeight="1" s="217">
      <c r="A3309" s="400" t="n">
        <v>3307</v>
      </c>
      <c r="B3309" s="400" t="inlineStr">
        <is>
          <t>KH0452</t>
        </is>
      </c>
      <c r="C3309" s="401" t="inlineStr">
        <is>
          <t>Anh Tuấn - Quận 7/ 0933.658.117</t>
        </is>
      </c>
      <c r="D3309" s="400" t="inlineStr">
        <is>
          <t>0933.658.117</t>
        </is>
      </c>
      <c r="E3309" s="402" t="n"/>
      <c r="F3309" s="401" t="inlineStr">
        <is>
          <t>Quận 7, TP HCM</t>
        </is>
      </c>
      <c r="G3309" s="400" t="inlineStr">
        <is>
          <t>SG/HCM</t>
        </is>
      </c>
      <c r="H3309" s="402" t="n"/>
      <c r="J3309" s="392">
        <f>IFERROR(UPPER(TRIM(B3309))&amp;"|"&amp;UPPER(TRIM(C3309))&amp;"|"&amp;UPPER(TRIM(D3309)),"")</f>
        <v/>
      </c>
    </row>
    <row r="3310" ht="15.75" customHeight="1" s="217">
      <c r="A3310" s="397" t="n">
        <v>3308</v>
      </c>
      <c r="B3310" s="397" t="inlineStr">
        <is>
          <t>KH0453</t>
        </is>
      </c>
      <c r="C3310" s="398" t="inlineStr">
        <is>
          <t>Anh Hòa (Công ty CP XD&amp; PTNT 2) - Hà Nội/ 0913.645.566</t>
        </is>
      </c>
      <c r="D3310" s="397" t="inlineStr">
        <is>
          <t>0913.645.566</t>
        </is>
      </c>
      <c r="E3310" s="399" t="n"/>
      <c r="F3310" s="398" t="inlineStr">
        <is>
          <t>44/120 Trường Chinh, Đống Đa, Hà Nội</t>
        </is>
      </c>
      <c r="G3310" s="399" t="n"/>
      <c r="H3310" s="399" t="n"/>
      <c r="J3310" s="392">
        <f>IFERROR(UPPER(TRIM(B3310))&amp;"|"&amp;UPPER(TRIM(C3310))&amp;"|"&amp;UPPER(TRIM(D3310)),"")</f>
        <v/>
      </c>
    </row>
    <row r="3311" ht="15.75" customHeight="1" s="217">
      <c r="A3311" s="400" t="n">
        <v>3309</v>
      </c>
      <c r="B3311" s="400" t="inlineStr">
        <is>
          <t>KH0454</t>
        </is>
      </c>
      <c r="C3311" s="401" t="inlineStr">
        <is>
          <t>Cửa hàng Hoàng Trang - Gò Công/ 0916.754.197</t>
        </is>
      </c>
      <c r="D3311" s="400" t="inlineStr">
        <is>
          <t>0916.754.197</t>
        </is>
      </c>
      <c r="E3311" s="402" t="n"/>
      <c r="F3311" s="401" t="inlineStr">
        <is>
          <t>Gò Công, Tiền Giang</t>
        </is>
      </c>
      <c r="G3311" s="400" t="inlineStr">
        <is>
          <t>TGIANG</t>
        </is>
      </c>
      <c r="H3311" s="402" t="n"/>
      <c r="J3311" s="392">
        <f>IFERROR(UPPER(TRIM(B3311))&amp;"|"&amp;UPPER(TRIM(C3311))&amp;"|"&amp;UPPER(TRIM(D3311)),"")</f>
        <v/>
      </c>
    </row>
    <row r="3312" ht="15.75" customHeight="1" s="217">
      <c r="A3312" s="397" t="n">
        <v>3310</v>
      </c>
      <c r="B3312" s="397" t="inlineStr">
        <is>
          <t>KH0455</t>
        </is>
      </c>
      <c r="C3312" s="398" t="inlineStr">
        <is>
          <t>Anh Quân (Công ty TNHH Tấn Phát) - Quy Nhơn/ 0978.682.046</t>
        </is>
      </c>
      <c r="D3312" s="397" t="inlineStr">
        <is>
          <t>0978.682.046</t>
        </is>
      </c>
      <c r="E3312" s="399" t="n"/>
      <c r="F3312" s="398" t="inlineStr">
        <is>
          <t>07 Trần Anh Tông, Quy Nhơn, Bình Định</t>
        </is>
      </c>
      <c r="G3312" s="397" t="inlineStr">
        <is>
          <t>BDINH</t>
        </is>
      </c>
      <c r="H3312" s="399" t="n"/>
      <c r="J3312" s="392">
        <f>IFERROR(UPPER(TRIM(B3312))&amp;"|"&amp;UPPER(TRIM(C3312))&amp;"|"&amp;UPPER(TRIM(D3312)),"")</f>
        <v/>
      </c>
    </row>
    <row r="3313" ht="15.75" customHeight="1" s="217">
      <c r="A3313" s="400" t="n">
        <v>3311</v>
      </c>
      <c r="B3313" s="400" t="inlineStr">
        <is>
          <t>KH0451</t>
        </is>
      </c>
      <c r="C3313" s="401" t="inlineStr">
        <is>
          <t>Anh Quốc - Bảo Lộc/ 0963.799.565</t>
        </is>
      </c>
      <c r="D3313" s="400" t="inlineStr">
        <is>
          <t>0963.799.565</t>
        </is>
      </c>
      <c r="E3313" s="402" t="n"/>
      <c r="F3313" s="401" t="inlineStr">
        <is>
          <t>Bảo Lộc, Lâm Đồng</t>
        </is>
      </c>
      <c r="G3313" s="400" t="inlineStr">
        <is>
          <t>LDONG</t>
        </is>
      </c>
      <c r="H3313" s="402" t="n"/>
      <c r="J3313" s="392">
        <f>IFERROR(UPPER(TRIM(B3313))&amp;"|"&amp;UPPER(TRIM(C3313))&amp;"|"&amp;UPPER(TRIM(D3313)),"")</f>
        <v/>
      </c>
    </row>
    <row r="3314" ht="15.75" customHeight="1" s="217">
      <c r="A3314" s="397" t="n">
        <v>3312</v>
      </c>
      <c r="B3314" s="397" t="inlineStr">
        <is>
          <t>KH0449</t>
        </is>
      </c>
      <c r="C3314" s="398" t="inlineStr">
        <is>
          <t>Anh Bảy - Sài Gòn/ 0913.854.749</t>
        </is>
      </c>
      <c r="D3314" s="397" t="inlineStr">
        <is>
          <t>0913.854.749</t>
        </is>
      </c>
      <c r="E3314" s="399" t="n"/>
      <c r="F3314" s="398" t="inlineStr">
        <is>
          <t>Sài Gòn</t>
        </is>
      </c>
      <c r="G3314" s="397" t="inlineStr">
        <is>
          <t>SG/HCM</t>
        </is>
      </c>
      <c r="H3314" s="399" t="n"/>
      <c r="J3314" s="392">
        <f>IFERROR(UPPER(TRIM(B3314))&amp;"|"&amp;UPPER(TRIM(C3314))&amp;"|"&amp;UPPER(TRIM(D3314)),"")</f>
        <v/>
      </c>
    </row>
    <row r="3315" ht="15.75" customHeight="1" s="217">
      <c r="A3315" s="400" t="n">
        <v>3313</v>
      </c>
      <c r="B3315" s="400" t="inlineStr">
        <is>
          <t>KH0450</t>
        </is>
      </c>
      <c r="C3315" s="401" t="inlineStr">
        <is>
          <t>Anh Lộc - Lộc Ninh/ 0985.463.846</t>
        </is>
      </c>
      <c r="D3315" s="400" t="inlineStr">
        <is>
          <t>0985.463.846</t>
        </is>
      </c>
      <c r="E3315" s="402" t="n"/>
      <c r="F3315" s="401" t="inlineStr">
        <is>
          <t>Lộc Ninh, Bình Phước</t>
        </is>
      </c>
      <c r="G3315" s="400" t="inlineStr">
        <is>
          <t>BP</t>
        </is>
      </c>
      <c r="H3315" s="402" t="n"/>
      <c r="J3315" s="392">
        <f>IFERROR(UPPER(TRIM(B3315))&amp;"|"&amp;UPPER(TRIM(C3315))&amp;"|"&amp;UPPER(TRIM(D3315)),"")</f>
        <v/>
      </c>
    </row>
    <row r="3316" ht="15.75" customHeight="1" s="217">
      <c r="A3316" s="397" t="n">
        <v>3314</v>
      </c>
      <c r="B3316" s="397" t="inlineStr">
        <is>
          <t>KH0447</t>
        </is>
      </c>
      <c r="C3316" s="398" t="inlineStr">
        <is>
          <t>Công ty TNHH TM Công Nghệ Mới - SG/ A.Quý: 0902.518.528</t>
        </is>
      </c>
      <c r="D3316" s="397" t="inlineStr">
        <is>
          <t>0902.518.528</t>
        </is>
      </c>
      <c r="E3316" s="399" t="n"/>
      <c r="F3316" s="398" t="inlineStr">
        <is>
          <t>136/9 Tân Thới Nhất, P.Tân Thới Nhất, Q12, TPHCM</t>
        </is>
      </c>
      <c r="G3316" s="397" t="inlineStr">
        <is>
          <t>SG/HCM</t>
        </is>
      </c>
      <c r="H3316" s="399" t="n"/>
      <c r="J3316" s="392">
        <f>IFERROR(UPPER(TRIM(B3316))&amp;"|"&amp;UPPER(TRIM(C3316))&amp;"|"&amp;UPPER(TRIM(D3316)),"")</f>
        <v/>
      </c>
    </row>
    <row r="3317" ht="15.75" customHeight="1" s="217">
      <c r="A3317" s="400" t="n">
        <v>3315</v>
      </c>
      <c r="B3317" s="400" t="inlineStr">
        <is>
          <t>KH0448</t>
        </is>
      </c>
      <c r="C3317" s="401" t="inlineStr">
        <is>
          <t>Anh Tám - Đà Lạt/ 0968.288.858</t>
        </is>
      </c>
      <c r="D3317" s="400" t="inlineStr">
        <is>
          <t>0968.288.858</t>
        </is>
      </c>
      <c r="E3317" s="402" t="n"/>
      <c r="F3317" s="401" t="inlineStr">
        <is>
          <t>Đà Lạt, Lâm Đồng</t>
        </is>
      </c>
      <c r="G3317" s="400" t="inlineStr">
        <is>
          <t>LDONG</t>
        </is>
      </c>
      <c r="H3317" s="402" t="n"/>
      <c r="J3317" s="392">
        <f>IFERROR(UPPER(TRIM(B3317))&amp;"|"&amp;UPPER(TRIM(C3317))&amp;"|"&amp;UPPER(TRIM(D3317)),"")</f>
        <v/>
      </c>
    </row>
    <row r="3318" ht="15.75" customHeight="1" s="217">
      <c r="A3318" s="397" t="n">
        <v>3316</v>
      </c>
      <c r="B3318" s="397" t="inlineStr">
        <is>
          <t>KH0444</t>
        </is>
      </c>
      <c r="C3318" s="398" t="inlineStr">
        <is>
          <t>Anh Tuấn - Đắk Lắk/0983.644.079</t>
        </is>
      </c>
      <c r="D3318" s="397" t="inlineStr">
        <is>
          <t>0983.644.079</t>
        </is>
      </c>
      <c r="E3318" s="399" t="n"/>
      <c r="F3318" s="398" t="inlineStr">
        <is>
          <t>Đắk Lắk</t>
        </is>
      </c>
      <c r="G3318" s="397" t="inlineStr">
        <is>
          <t>ÐL</t>
        </is>
      </c>
      <c r="H3318" s="399" t="n"/>
      <c r="J3318" s="392">
        <f>IFERROR(UPPER(TRIM(B3318))&amp;"|"&amp;UPPER(TRIM(C3318))&amp;"|"&amp;UPPER(TRIM(D3318)),"")</f>
        <v/>
      </c>
    </row>
    <row r="3319" ht="15.75" customHeight="1" s="217">
      <c r="A3319" s="400" t="n">
        <v>3317</v>
      </c>
      <c r="B3319" s="400" t="inlineStr">
        <is>
          <t>KH0445</t>
        </is>
      </c>
      <c r="C3319" s="401" t="inlineStr">
        <is>
          <t>anh Trung - SG/0907.610.797</t>
        </is>
      </c>
      <c r="D3319" s="400" t="inlineStr">
        <is>
          <t>0907.610.797</t>
        </is>
      </c>
      <c r="E3319" s="402" t="n"/>
      <c r="F3319" s="401" t="inlineStr">
        <is>
          <t>Sài Gòn</t>
        </is>
      </c>
      <c r="G3319" s="400" t="inlineStr">
        <is>
          <t>SG/HCM</t>
        </is>
      </c>
      <c r="H3319" s="402" t="n"/>
      <c r="J3319" s="392">
        <f>IFERROR(UPPER(TRIM(B3319))&amp;"|"&amp;UPPER(TRIM(C3319))&amp;"|"&amp;UPPER(TRIM(D3319)),"")</f>
        <v/>
      </c>
    </row>
    <row r="3320" ht="15.75" customHeight="1" s="217">
      <c r="A3320" s="397" t="n">
        <v>3318</v>
      </c>
      <c r="B3320" s="397" t="inlineStr">
        <is>
          <t>KH0446</t>
        </is>
      </c>
      <c r="C3320" s="398" t="inlineStr">
        <is>
          <t>Anh Tấn - SG/ 0903.966.608</t>
        </is>
      </c>
      <c r="D3320" s="397" t="inlineStr">
        <is>
          <t>0903.966.608</t>
        </is>
      </c>
      <c r="E3320" s="399" t="n"/>
      <c r="F3320" s="398" t="inlineStr">
        <is>
          <t>Sài Gòn</t>
        </is>
      </c>
      <c r="G3320" s="397" t="inlineStr">
        <is>
          <t>SG/HCM</t>
        </is>
      </c>
      <c r="H3320" s="399" t="n"/>
      <c r="J3320" s="392">
        <f>IFERROR(UPPER(TRIM(B3320))&amp;"|"&amp;UPPER(TRIM(C3320))&amp;"|"&amp;UPPER(TRIM(D3320)),"")</f>
        <v/>
      </c>
    </row>
    <row r="3321" ht="15.75" customHeight="1" s="217">
      <c r="A3321" s="400" t="n">
        <v>3319</v>
      </c>
      <c r="B3321" s="400" t="inlineStr">
        <is>
          <t>KH0443</t>
        </is>
      </c>
      <c r="C3321" s="401" t="inlineStr">
        <is>
          <t>Anh Nam - Công ty TNHH XD Hòa Thắng/ 0966.335.959</t>
        </is>
      </c>
      <c r="D3321" s="400" t="inlineStr">
        <is>
          <t>0966.335.959</t>
        </is>
      </c>
      <c r="E3321" s="402" t="n"/>
      <c r="F3321" s="401" t="inlineStr">
        <is>
          <t>79/18A Phó Cơ Điều, P3, TP Vĩnh Long</t>
        </is>
      </c>
      <c r="G3321" s="402" t="n"/>
      <c r="H3321" s="402" t="n"/>
      <c r="J3321" s="392">
        <f>IFERROR(UPPER(TRIM(B3321))&amp;"|"&amp;UPPER(TRIM(C3321))&amp;"|"&amp;UPPER(TRIM(D3321)),"")</f>
        <v/>
      </c>
    </row>
    <row r="3322" ht="15.75" customHeight="1" s="217">
      <c r="A3322" s="397" t="n">
        <v>3320</v>
      </c>
      <c r="B3322" s="397" t="inlineStr">
        <is>
          <t>KH0442</t>
        </is>
      </c>
      <c r="C3322" s="398" t="inlineStr">
        <is>
          <t>anh Tuấn - Đồng Tháp/ 0914.804.113</t>
        </is>
      </c>
      <c r="D3322" s="397" t="inlineStr">
        <is>
          <t>0914.804.113</t>
        </is>
      </c>
      <c r="E3322" s="399" t="n"/>
      <c r="F3322" s="398" t="inlineStr">
        <is>
          <t>Thị xã Hồng Ngự, Đồng Tháp</t>
        </is>
      </c>
      <c r="G3322" s="397" t="inlineStr">
        <is>
          <t>DTHAP</t>
        </is>
      </c>
      <c r="H3322" s="399" t="n"/>
      <c r="J3322" s="392">
        <f>IFERROR(UPPER(TRIM(B3322))&amp;"|"&amp;UPPER(TRIM(C3322))&amp;"|"&amp;UPPER(TRIM(D3322)),"")</f>
        <v/>
      </c>
    </row>
    <row r="3323" ht="15.75" customHeight="1" s="217">
      <c r="A3323" s="400" t="n">
        <v>3321</v>
      </c>
      <c r="B3323" s="400" t="inlineStr">
        <is>
          <t>KH0441</t>
        </is>
      </c>
      <c r="C3323" s="401" t="inlineStr">
        <is>
          <t>anh Bằng (Công ty TNHH Hùng Cường) - Đắk Lắk/ 01227.077.025</t>
        </is>
      </c>
      <c r="D3323" s="400" t="inlineStr">
        <is>
          <t>01227.077.025</t>
        </is>
      </c>
      <c r="E3323" s="402" t="n"/>
      <c r="F3323" s="401" t="inlineStr">
        <is>
          <t>83 Phan Chu Trinh, TP Buôn Mê Thuột, Đắk Lắk</t>
        </is>
      </c>
      <c r="G3323" s="400" t="inlineStr">
        <is>
          <t>ÐL</t>
        </is>
      </c>
      <c r="H3323" s="402" t="n"/>
      <c r="J3323" s="392">
        <f>IFERROR(UPPER(TRIM(B3323))&amp;"|"&amp;UPPER(TRIM(C3323))&amp;"|"&amp;UPPER(TRIM(D3323)),"")</f>
        <v/>
      </c>
    </row>
    <row r="3324" ht="15.75" customHeight="1" s="217">
      <c r="A3324" s="397" t="n">
        <v>3322</v>
      </c>
      <c r="B3324" s="397" t="inlineStr">
        <is>
          <t>KH0439</t>
        </is>
      </c>
      <c r="C3324" s="398" t="inlineStr">
        <is>
          <t>Công ty TNHH TM-XD Đa Lộc - Nhà máy xử lý rác Tân Phú/ anh Hiếu: 0909.972.694</t>
        </is>
      </c>
      <c r="D3324" s="397" t="inlineStr">
        <is>
          <t>0909.972.694</t>
        </is>
      </c>
      <c r="E3324" s="399" t="n"/>
      <c r="F3324" s="398" t="inlineStr">
        <is>
          <t>ấp Bàu Mây, Xã Phú Thanh, Huyện Tân Phú, Đồng Nai</t>
        </is>
      </c>
      <c r="G3324" s="397" t="inlineStr">
        <is>
          <t>ÐNAI</t>
        </is>
      </c>
      <c r="H3324" s="399" t="n"/>
      <c r="J3324" s="392">
        <f>IFERROR(UPPER(TRIM(B3324))&amp;"|"&amp;UPPER(TRIM(C3324))&amp;"|"&amp;UPPER(TRIM(D3324)),"")</f>
        <v/>
      </c>
    </row>
    <row r="3325" ht="15.75" customHeight="1" s="217">
      <c r="A3325" s="400" t="n">
        <v>3323</v>
      </c>
      <c r="B3325" s="400" t="inlineStr">
        <is>
          <t>KH0440</t>
        </is>
      </c>
      <c r="C3325" s="401" t="inlineStr">
        <is>
          <t>DNTN Lan Bình - Bình Dương/ A.Duy: 0913.009.559</t>
        </is>
      </c>
      <c r="D3325" s="400" t="inlineStr">
        <is>
          <t>0913.009.559</t>
        </is>
      </c>
      <c r="E3325" s="402" t="n"/>
      <c r="F3325" s="401" t="inlineStr">
        <is>
          <t>ấp Hòa Thành, Minh Hòa, Dầu Tiếng, Bình Dương</t>
        </is>
      </c>
      <c r="G3325" s="400" t="inlineStr">
        <is>
          <t>BDUONG</t>
        </is>
      </c>
      <c r="H3325" s="402" t="n"/>
      <c r="J3325" s="392">
        <f>IFERROR(UPPER(TRIM(B3325))&amp;"|"&amp;UPPER(TRIM(C3325))&amp;"|"&amp;UPPER(TRIM(D3325)),"")</f>
        <v/>
      </c>
    </row>
    <row r="3326" ht="15.75" customHeight="1" s="217">
      <c r="A3326" s="397" t="n">
        <v>3324</v>
      </c>
      <c r="B3326" s="397" t="inlineStr">
        <is>
          <t>KH0438</t>
        </is>
      </c>
      <c r="C3326" s="398" t="inlineStr">
        <is>
          <t>Chú Thanh - SG/ 0913.923.609</t>
        </is>
      </c>
      <c r="D3326" s="397" t="inlineStr">
        <is>
          <t>0913.923.609</t>
        </is>
      </c>
      <c r="E3326" s="399" t="n"/>
      <c r="F3326" s="398" t="inlineStr">
        <is>
          <t>Cầu Đỏ, SG</t>
        </is>
      </c>
      <c r="G3326" s="397" t="inlineStr">
        <is>
          <t>SG/HCM</t>
        </is>
      </c>
      <c r="H3326" s="399" t="n"/>
      <c r="J3326" s="392">
        <f>IFERROR(UPPER(TRIM(B3326))&amp;"|"&amp;UPPER(TRIM(C3326))&amp;"|"&amp;UPPER(TRIM(D3326)),"")</f>
        <v/>
      </c>
    </row>
    <row r="3327" ht="15.75" customHeight="1" s="217">
      <c r="A3327" s="400" t="n">
        <v>3325</v>
      </c>
      <c r="B3327" s="400" t="inlineStr">
        <is>
          <t>KH0437</t>
        </is>
      </c>
      <c r="C3327" s="401" t="inlineStr">
        <is>
          <t>Công ty CPXD Công Trình Thủy Lợi Lâm Đồng/ anh Ngọc: 0979.231.390</t>
        </is>
      </c>
      <c r="D3327" s="400" t="inlineStr">
        <is>
          <t>0979.231.390</t>
        </is>
      </c>
      <c r="E3327" s="402" t="n"/>
      <c r="F3327" s="401" t="inlineStr">
        <is>
          <t>799 QL20 Liên Nghĩa, Đức Trọng, Lâm Đồng</t>
        </is>
      </c>
      <c r="G3327" s="400" t="inlineStr">
        <is>
          <t>LDONG</t>
        </is>
      </c>
      <c r="H3327" s="402" t="n"/>
      <c r="J3327" s="392">
        <f>IFERROR(UPPER(TRIM(B3327))&amp;"|"&amp;UPPER(TRIM(C3327))&amp;"|"&amp;UPPER(TRIM(D3327)),"")</f>
        <v/>
      </c>
    </row>
    <row r="3328" ht="15.75" customHeight="1" s="217">
      <c r="A3328" s="397" t="n">
        <v>3326</v>
      </c>
      <c r="B3328" s="397" t="inlineStr">
        <is>
          <t>KH0436</t>
        </is>
      </c>
      <c r="C3328" s="398" t="inlineStr">
        <is>
          <t>Cửa hàng Bá Hải - Bình Tân/ 0949.755.317</t>
        </is>
      </c>
      <c r="D3328" s="397" t="inlineStr">
        <is>
          <t>0949.755.317</t>
        </is>
      </c>
      <c r="E3328" s="399" t="n"/>
      <c r="F3328" s="398" t="inlineStr">
        <is>
          <t>835 Kinh Dương Vương, P. An Lạc, Q. Bình Tân</t>
        </is>
      </c>
      <c r="G3328" s="397" t="inlineStr">
        <is>
          <t>SG/HCM</t>
        </is>
      </c>
      <c r="H3328" s="399" t="n"/>
      <c r="J3328" s="392">
        <f>IFERROR(UPPER(TRIM(B3328))&amp;"|"&amp;UPPER(TRIM(C3328))&amp;"|"&amp;UPPER(TRIM(D3328)),"")</f>
        <v/>
      </c>
    </row>
    <row r="3329" ht="15.75" customHeight="1" s="217">
      <c r="A3329" s="400" t="n">
        <v>3327</v>
      </c>
      <c r="B3329" s="400" t="inlineStr">
        <is>
          <t>KH0435</t>
        </is>
      </c>
      <c r="C3329" s="401" t="inlineStr">
        <is>
          <t>anh Thiện (công ty Liên Hợp XD Vạn Cường) - Hà Nội/ 0947.141.527</t>
        </is>
      </c>
      <c r="D3329" s="400" t="inlineStr">
        <is>
          <t>0947.141.527</t>
        </is>
      </c>
      <c r="E3329" s="402" t="n"/>
      <c r="F3329" s="401" t="inlineStr">
        <is>
          <t>33 Phan Chu Trinh, Hoàn Kiếm, HN</t>
        </is>
      </c>
      <c r="G3329" s="402" t="n"/>
      <c r="H3329" s="402" t="n"/>
      <c r="J3329" s="392">
        <f>IFERROR(UPPER(TRIM(B3329))&amp;"|"&amp;UPPER(TRIM(C3329))&amp;"|"&amp;UPPER(TRIM(D3329)),"")</f>
        <v/>
      </c>
    </row>
    <row r="3330" ht="15.75" customHeight="1" s="217">
      <c r="A3330" s="397" t="n">
        <v>3328</v>
      </c>
      <c r="B3330" s="397" t="inlineStr">
        <is>
          <t>KH0432</t>
        </is>
      </c>
      <c r="C3330" s="398" t="inlineStr">
        <is>
          <t>Xưởng Tiến Hiền - Đối Diện Sam Sung/ 0909.396.419</t>
        </is>
      </c>
      <c r="D3330" s="397" t="inlineStr">
        <is>
          <t>0909.396.419</t>
        </is>
      </c>
      <c r="E3330" s="399" t="n"/>
      <c r="F3330" s="398" t="inlineStr">
        <is>
          <t>Thủ Đức, TP HCM</t>
        </is>
      </c>
      <c r="G3330" s="397" t="inlineStr">
        <is>
          <t>SG/HCM</t>
        </is>
      </c>
      <c r="H3330" s="399" t="n"/>
      <c r="J3330" s="392">
        <f>IFERROR(UPPER(TRIM(B3330))&amp;"|"&amp;UPPER(TRIM(C3330))&amp;"|"&amp;UPPER(TRIM(D3330)),"")</f>
        <v/>
      </c>
    </row>
    <row r="3331" ht="15.75" customHeight="1" s="217">
      <c r="A3331" s="400" t="n">
        <v>3329</v>
      </c>
      <c r="B3331" s="400" t="inlineStr">
        <is>
          <t>KH0433</t>
        </is>
      </c>
      <c r="C3331" s="401" t="inlineStr">
        <is>
          <t>Công ty Nhật Nguyên Phúc - Bình Thuận/ anh Bình: 0986.511.943</t>
        </is>
      </c>
      <c r="D3331" s="400" t="inlineStr">
        <is>
          <t>0986.511.943</t>
        </is>
      </c>
      <c r="E3331" s="402" t="n"/>
      <c r="F3331" s="401" t="inlineStr">
        <is>
          <t>Bình Thuận</t>
        </is>
      </c>
      <c r="G3331" s="400" t="inlineStr">
        <is>
          <t>BTHUAN</t>
        </is>
      </c>
      <c r="H3331" s="402" t="n"/>
      <c r="J3331" s="392">
        <f>IFERROR(UPPER(TRIM(B3331))&amp;"|"&amp;UPPER(TRIM(C3331))&amp;"|"&amp;UPPER(TRIM(D3331)),"")</f>
        <v/>
      </c>
    </row>
    <row r="3332" ht="15.75" customHeight="1" s="217">
      <c r="A3332" s="397" t="n">
        <v>3330</v>
      </c>
      <c r="B3332" s="397" t="inlineStr">
        <is>
          <t>KH0434</t>
        </is>
      </c>
      <c r="C3332" s="398" t="inlineStr">
        <is>
          <t>Anh Dũng - Tân Biên/ 0987.008.338</t>
        </is>
      </c>
      <c r="D3332" s="397" t="inlineStr">
        <is>
          <t>0987.008.338</t>
        </is>
      </c>
      <c r="E3332" s="399" t="n"/>
      <c r="F3332" s="398" t="inlineStr">
        <is>
          <t>Tân Biên, Tây Ninh</t>
        </is>
      </c>
      <c r="G3332" s="397" t="inlineStr">
        <is>
          <t>TNINH</t>
        </is>
      </c>
      <c r="H3332" s="399" t="n"/>
      <c r="J3332" s="392">
        <f>IFERROR(UPPER(TRIM(B3332))&amp;"|"&amp;UPPER(TRIM(C3332))&amp;"|"&amp;UPPER(TRIM(D3332)),"")</f>
        <v/>
      </c>
    </row>
    <row r="3333" ht="15.75" customHeight="1" s="217">
      <c r="A3333" s="400" t="n">
        <v>3331</v>
      </c>
      <c r="B3333" s="400" t="inlineStr">
        <is>
          <t>KH0430</t>
        </is>
      </c>
      <c r="C3333" s="401" t="inlineStr">
        <is>
          <t>Xưởng anh Tâm - Long Xuyên/ 0918.155.704</t>
        </is>
      </c>
      <c r="D3333" s="400" t="inlineStr">
        <is>
          <t>0918.155.704</t>
        </is>
      </c>
      <c r="E3333" s="402" t="n"/>
      <c r="F3333" s="401" t="inlineStr">
        <is>
          <t>Long Xuyên - An Giang</t>
        </is>
      </c>
      <c r="G3333" s="400" t="inlineStr">
        <is>
          <t>ANGIANG</t>
        </is>
      </c>
      <c r="H3333" s="402" t="n"/>
      <c r="J3333" s="392">
        <f>IFERROR(UPPER(TRIM(B3333))&amp;"|"&amp;UPPER(TRIM(C3333))&amp;"|"&amp;UPPER(TRIM(D3333)),"")</f>
        <v/>
      </c>
    </row>
    <row r="3334" ht="15.75" customHeight="1" s="217">
      <c r="A3334" s="397" t="n">
        <v>3332</v>
      </c>
      <c r="B3334" s="397" t="inlineStr">
        <is>
          <t>KH0431</t>
        </is>
      </c>
      <c r="C3334" s="398" t="inlineStr">
        <is>
          <t>Anh Lực - Long An/ 0907.176.186</t>
        </is>
      </c>
      <c r="D3334" s="397" t="inlineStr">
        <is>
          <t>0907.176.186</t>
        </is>
      </c>
      <c r="E3334" s="399" t="n"/>
      <c r="F3334" s="398" t="inlineStr">
        <is>
          <t>Long An</t>
        </is>
      </c>
      <c r="G3334" s="397" t="inlineStr">
        <is>
          <t>LA</t>
        </is>
      </c>
      <c r="H3334" s="399" t="n"/>
      <c r="J3334" s="392">
        <f>IFERROR(UPPER(TRIM(B3334))&amp;"|"&amp;UPPER(TRIM(C3334))&amp;"|"&amp;UPPER(TRIM(D3334)),"")</f>
        <v/>
      </c>
    </row>
    <row r="3335" ht="15.75" customHeight="1" s="217">
      <c r="A3335" s="400" t="n">
        <v>3333</v>
      </c>
      <c r="B3335" s="400" t="inlineStr">
        <is>
          <t>KH0429</t>
        </is>
      </c>
      <c r="C3335" s="401" t="inlineStr">
        <is>
          <t>anh Mai - Long An/ 0938.235.624</t>
        </is>
      </c>
      <c r="D3335" s="400" t="inlineStr">
        <is>
          <t>0938.235.624</t>
        </is>
      </c>
      <c r="E3335" s="402" t="n"/>
      <c r="F3335" s="401" t="inlineStr">
        <is>
          <t>Long An</t>
        </is>
      </c>
      <c r="G3335" s="400" t="inlineStr">
        <is>
          <t>LA</t>
        </is>
      </c>
      <c r="H3335" s="402" t="n"/>
      <c r="J3335" s="392">
        <f>IFERROR(UPPER(TRIM(B3335))&amp;"|"&amp;UPPER(TRIM(C3335))&amp;"|"&amp;UPPER(TRIM(D3335)),"")</f>
        <v/>
      </c>
    </row>
    <row r="3336" ht="15.75" customHeight="1" s="217">
      <c r="A3336" s="397" t="n">
        <v>3334</v>
      </c>
      <c r="B3336" s="397" t="inlineStr">
        <is>
          <t>KH0428</t>
        </is>
      </c>
      <c r="C3336" s="398" t="inlineStr">
        <is>
          <t>Chú Kế - Thủ Đức/ 0978.238.146</t>
        </is>
      </c>
      <c r="D3336" s="397" t="inlineStr">
        <is>
          <t>0978.238.146</t>
        </is>
      </c>
      <c r="E3336" s="399" t="n"/>
      <c r="F3336" s="398" t="inlineStr">
        <is>
          <t>Ngã tư Bình Triệu, Thủ Đức</t>
        </is>
      </c>
      <c r="G3336" s="397" t="inlineStr">
        <is>
          <t>SG/HCM</t>
        </is>
      </c>
      <c r="H3336" s="399" t="n"/>
      <c r="J3336" s="392">
        <f>IFERROR(UPPER(TRIM(B3336))&amp;"|"&amp;UPPER(TRIM(C3336))&amp;"|"&amp;UPPER(TRIM(D3336)),"")</f>
        <v/>
      </c>
    </row>
    <row r="3337" ht="15.75" customHeight="1" s="217">
      <c r="A3337" s="400" t="n">
        <v>3335</v>
      </c>
      <c r="B3337" s="400" t="inlineStr">
        <is>
          <t>KH0426</t>
        </is>
      </c>
      <c r="C3337" s="401" t="inlineStr">
        <is>
          <t>anh Tâm - Long An/ 0982.157.833 - 0943.731.787</t>
        </is>
      </c>
      <c r="D3337" s="400" t="inlineStr">
        <is>
          <t>0982.157.833 / 0943.731.787</t>
        </is>
      </c>
      <c r="E3337" s="402" t="n"/>
      <c r="F3337" s="401" t="inlineStr">
        <is>
          <t>Vĩnh Hưng - Long An</t>
        </is>
      </c>
      <c r="G3337" s="400" t="inlineStr">
        <is>
          <t>LA</t>
        </is>
      </c>
      <c r="H3337" s="402" t="n"/>
      <c r="J3337" s="392">
        <f>IFERROR(UPPER(TRIM(B3337))&amp;"|"&amp;UPPER(TRIM(C3337))&amp;"|"&amp;UPPER(TRIM(D3337)),"")</f>
        <v/>
      </c>
    </row>
    <row r="3338" ht="15.75" customHeight="1" s="217">
      <c r="A3338" s="397" t="n">
        <v>3336</v>
      </c>
      <c r="B3338" s="397" t="inlineStr">
        <is>
          <t>KH0427</t>
        </is>
      </c>
      <c r="C3338" s="398" t="inlineStr">
        <is>
          <t>Xưởng anh Hiệp - Gia Lai/ 0945.252.998</t>
        </is>
      </c>
      <c r="D3338" s="397" t="inlineStr">
        <is>
          <t>0945.252.998</t>
        </is>
      </c>
      <c r="E3338" s="399" t="n"/>
      <c r="F3338" s="398" t="inlineStr">
        <is>
          <t>MangYang, Gia Lai</t>
        </is>
      </c>
      <c r="G3338" s="397" t="inlineStr">
        <is>
          <t>GLAI</t>
        </is>
      </c>
      <c r="H3338" s="399" t="n"/>
      <c r="J3338" s="392">
        <f>IFERROR(UPPER(TRIM(B3338))&amp;"|"&amp;UPPER(TRIM(C3338))&amp;"|"&amp;UPPER(TRIM(D3338)),"")</f>
        <v/>
      </c>
    </row>
    <row r="3339" ht="15.75" customHeight="1" s="217">
      <c r="A3339" s="400" t="n">
        <v>3337</v>
      </c>
      <c r="B3339" s="400" t="inlineStr">
        <is>
          <t>KH0424</t>
        </is>
      </c>
      <c r="C3339" s="401" t="inlineStr">
        <is>
          <t>Anh Phen - Nha Trang/ 0905.038.552</t>
        </is>
      </c>
      <c r="D3339" s="400" t="inlineStr">
        <is>
          <t>0905.038.552</t>
        </is>
      </c>
      <c r="E3339" s="402" t="n"/>
      <c r="F3339" s="401" t="inlineStr">
        <is>
          <t>Nha Trang, Khánh Hòa</t>
        </is>
      </c>
      <c r="G3339" s="400" t="inlineStr">
        <is>
          <t>NTRANG</t>
        </is>
      </c>
      <c r="H3339" s="402" t="n"/>
      <c r="J3339" s="392">
        <f>IFERROR(UPPER(TRIM(B3339))&amp;"|"&amp;UPPER(TRIM(C3339))&amp;"|"&amp;UPPER(TRIM(D3339)),"")</f>
        <v/>
      </c>
    </row>
    <row r="3340" ht="15.75" customHeight="1" s="217">
      <c r="A3340" s="397" t="n">
        <v>3338</v>
      </c>
      <c r="B3340" s="397" t="inlineStr">
        <is>
          <t>KH0425</t>
        </is>
      </c>
      <c r="C3340" s="398" t="inlineStr">
        <is>
          <t>Cửa hàng Thiện Thuật - Bình Phước/ 0913.841.921</t>
        </is>
      </c>
      <c r="D3340" s="397" t="inlineStr">
        <is>
          <t>0913.841.921</t>
        </is>
      </c>
      <c r="E3340" s="399" t="n"/>
      <c r="F3340" s="398" t="inlineStr">
        <is>
          <t>Hồ Xuân Hương, KP Phú Xuân, Bình Long, Bình Phước</t>
        </is>
      </c>
      <c r="G3340" s="397" t="inlineStr">
        <is>
          <t>BP</t>
        </is>
      </c>
      <c r="H3340" s="399" t="n"/>
      <c r="J3340" s="392">
        <f>IFERROR(UPPER(TRIM(B3340))&amp;"|"&amp;UPPER(TRIM(C3340))&amp;"|"&amp;UPPER(TRIM(D3340)),"")</f>
        <v/>
      </c>
    </row>
    <row r="3341" ht="15.75" customHeight="1" s="217">
      <c r="A3341" s="400" t="n">
        <v>3339</v>
      </c>
      <c r="B3341" s="400" t="inlineStr">
        <is>
          <t>KH0422</t>
        </is>
      </c>
      <c r="C3341" s="401" t="inlineStr">
        <is>
          <t>Nông Cơ Bình Phước - Thủ Đức/ anh Hiệp: 0906.705.871</t>
        </is>
      </c>
      <c r="D3341" s="400" t="inlineStr">
        <is>
          <t>0906.705.871</t>
        </is>
      </c>
      <c r="E3341" s="402" t="n"/>
      <c r="F3341" s="401" t="inlineStr">
        <is>
          <t>Cây xăng 47, QL13, Thủ Đức, TPHCM</t>
        </is>
      </c>
      <c r="G3341" s="400" t="inlineStr">
        <is>
          <t>SG/HCM</t>
        </is>
      </c>
      <c r="H3341" s="402" t="n"/>
      <c r="J3341" s="392">
        <f>IFERROR(UPPER(TRIM(B3341))&amp;"|"&amp;UPPER(TRIM(C3341))&amp;"|"&amp;UPPER(TRIM(D3341)),"")</f>
        <v/>
      </c>
    </row>
    <row r="3342" ht="15.75" customHeight="1" s="217">
      <c r="A3342" s="397" t="n">
        <v>3340</v>
      </c>
      <c r="B3342" s="397" t="inlineStr">
        <is>
          <t>KH0423</t>
        </is>
      </c>
      <c r="C3342" s="398" t="inlineStr">
        <is>
          <t>anh Hùng - Biên Hòa/ 0917.175.856</t>
        </is>
      </c>
      <c r="D3342" s="397" t="inlineStr">
        <is>
          <t>0917.175.856</t>
        </is>
      </c>
      <c r="E3342" s="399" t="n"/>
      <c r="F3342" s="398" t="inlineStr">
        <is>
          <t>Biên Hòa, Đồng Nai</t>
        </is>
      </c>
      <c r="G3342" s="397" t="inlineStr">
        <is>
          <t>ÐNAI</t>
        </is>
      </c>
      <c r="H3342" s="399" t="n"/>
      <c r="J3342" s="392">
        <f>IFERROR(UPPER(TRIM(B3342))&amp;"|"&amp;UPPER(TRIM(C3342))&amp;"|"&amp;UPPER(TRIM(D3342)),"")</f>
        <v/>
      </c>
    </row>
    <row r="3343" ht="15.75" customHeight="1" s="217">
      <c r="A3343" s="400" t="n">
        <v>3341</v>
      </c>
      <c r="B3343" s="400" t="inlineStr">
        <is>
          <t>KH0415</t>
        </is>
      </c>
      <c r="C3343" s="401" t="inlineStr">
        <is>
          <t>Anh Cần - Thạnh Hóa/ 0918.599.735</t>
        </is>
      </c>
      <c r="D3343" s="400" t="inlineStr">
        <is>
          <t>0918.599.735</t>
        </is>
      </c>
      <c r="E3343" s="402" t="n"/>
      <c r="F3343" s="401" t="inlineStr">
        <is>
          <t>Thạnh Hóa, Long An</t>
        </is>
      </c>
      <c r="G3343" s="400" t="inlineStr">
        <is>
          <t>LA</t>
        </is>
      </c>
      <c r="H3343" s="402" t="n"/>
      <c r="J3343" s="392">
        <f>IFERROR(UPPER(TRIM(B3343))&amp;"|"&amp;UPPER(TRIM(C3343))&amp;"|"&amp;UPPER(TRIM(D3343)),"")</f>
        <v/>
      </c>
    </row>
    <row r="3344" ht="15.75" customHeight="1" s="217">
      <c r="A3344" s="397" t="n">
        <v>3342</v>
      </c>
      <c r="B3344" s="397" t="inlineStr">
        <is>
          <t>KH0416</t>
        </is>
      </c>
      <c r="C3344" s="398" t="inlineStr">
        <is>
          <t>Công ty TNHH XD Đạt Long Phú - anh Khánh/ 0976.188.178</t>
        </is>
      </c>
      <c r="D3344" s="397" t="inlineStr">
        <is>
          <t>0976.188.178</t>
        </is>
      </c>
      <c r="E3344" s="399" t="n"/>
      <c r="F3344" s="398" t="inlineStr">
        <is>
          <t>137 Đường 12, Phường Phước Bình, Quận 9, TP HCM</t>
        </is>
      </c>
      <c r="G3344" s="397" t="inlineStr">
        <is>
          <t>SG/HCM</t>
        </is>
      </c>
      <c r="H3344" s="399" t="n"/>
      <c r="J3344" s="392">
        <f>IFERROR(UPPER(TRIM(B3344))&amp;"|"&amp;UPPER(TRIM(C3344))&amp;"|"&amp;UPPER(TRIM(D3344)),"")</f>
        <v/>
      </c>
    </row>
    <row r="3345" ht="15.75" customHeight="1" s="217">
      <c r="A3345" s="400" t="n">
        <v>3343</v>
      </c>
      <c r="B3345" s="400" t="inlineStr">
        <is>
          <t>KH0417</t>
        </is>
      </c>
      <c r="C3345" s="401" t="inlineStr">
        <is>
          <t>anh Tuấn - Long An/ 0919.639.727</t>
        </is>
      </c>
      <c r="D3345" s="400" t="inlineStr">
        <is>
          <t>0919.639.727</t>
        </is>
      </c>
      <c r="E3345" s="402" t="n"/>
      <c r="F3345" s="401" t="inlineStr">
        <is>
          <t>Mỹ Lạc, Thủ Thừa, Long An</t>
        </is>
      </c>
      <c r="G3345" s="400" t="inlineStr">
        <is>
          <t>LA</t>
        </is>
      </c>
      <c r="H3345" s="402" t="n"/>
      <c r="J3345" s="392">
        <f>IFERROR(UPPER(TRIM(B3345))&amp;"|"&amp;UPPER(TRIM(C3345))&amp;"|"&amp;UPPER(TRIM(D3345)),"")</f>
        <v/>
      </c>
    </row>
    <row r="3346" ht="15.75" customHeight="1" s="217">
      <c r="A3346" s="397" t="n">
        <v>3344</v>
      </c>
      <c r="B3346" s="397" t="inlineStr">
        <is>
          <t>KH0418</t>
        </is>
      </c>
      <c r="C3346" s="398" t="inlineStr">
        <is>
          <t>Xưởng Nam Đài - Thủ Đức/ anh Tùng: 0903.331.422</t>
        </is>
      </c>
      <c r="D3346" s="397" t="inlineStr">
        <is>
          <t>0903.331.422</t>
        </is>
      </c>
      <c r="E3346" s="399" t="n"/>
      <c r="F3346" s="398" t="inlineStr">
        <is>
          <t>Ngã 4 Bình Triệu, Thủ Đức, TPHCM</t>
        </is>
      </c>
      <c r="G3346" s="397" t="inlineStr">
        <is>
          <t>SG/HCM</t>
        </is>
      </c>
      <c r="H3346" s="399" t="n"/>
      <c r="J3346" s="392">
        <f>IFERROR(UPPER(TRIM(B3346))&amp;"|"&amp;UPPER(TRIM(C3346))&amp;"|"&amp;UPPER(TRIM(D3346)),"")</f>
        <v/>
      </c>
    </row>
    <row r="3347" ht="15.75" customHeight="1" s="217">
      <c r="A3347" s="400" t="n">
        <v>3345</v>
      </c>
      <c r="B3347" s="400" t="inlineStr">
        <is>
          <t>KH0419</t>
        </is>
      </c>
      <c r="C3347" s="401" t="inlineStr">
        <is>
          <t>Công ty CP Xây Dựng Thành Đạt - anh Cường/ 0933.043.626</t>
        </is>
      </c>
      <c r="D3347" s="400" t="inlineStr">
        <is>
          <t>0933.043.626</t>
        </is>
      </c>
      <c r="E3347" s="402" t="n"/>
      <c r="F3347" s="401" t="inlineStr">
        <is>
          <t>84 Đường số 11, Khu phố 5, Phường Linh Xuân, Quận Thủ Đức, TPHCM</t>
        </is>
      </c>
      <c r="G3347" s="400" t="inlineStr">
        <is>
          <t>SG/HCM</t>
        </is>
      </c>
      <c r="H3347" s="402" t="n"/>
      <c r="J3347" s="392">
        <f>IFERROR(UPPER(TRIM(B3347))&amp;"|"&amp;UPPER(TRIM(C3347))&amp;"|"&amp;UPPER(TRIM(D3347)),"")</f>
        <v/>
      </c>
    </row>
    <row r="3348" ht="15.75" customHeight="1" s="217">
      <c r="A3348" s="397" t="n">
        <v>3346</v>
      </c>
      <c r="B3348" s="397" t="inlineStr">
        <is>
          <t>KH0420</t>
        </is>
      </c>
      <c r="C3348" s="398" t="inlineStr">
        <is>
          <t>Xưởng anh Chung - Hóc Môn/ 0932.362.096</t>
        </is>
      </c>
      <c r="D3348" s="397" t="inlineStr">
        <is>
          <t>0932.362.096</t>
        </is>
      </c>
      <c r="E3348" s="399" t="n"/>
      <c r="F3348" s="398" t="inlineStr">
        <is>
          <t>Hóc Môn, TP HCM</t>
        </is>
      </c>
      <c r="G3348" s="397" t="inlineStr">
        <is>
          <t>SG/HCM</t>
        </is>
      </c>
      <c r="H3348" s="399" t="n"/>
      <c r="J3348" s="392">
        <f>IFERROR(UPPER(TRIM(B3348))&amp;"|"&amp;UPPER(TRIM(C3348))&amp;"|"&amp;UPPER(TRIM(D3348)),"")</f>
        <v/>
      </c>
    </row>
    <row r="3349" ht="15.75" customHeight="1" s="217">
      <c r="A3349" s="400" t="n">
        <v>3347</v>
      </c>
      <c r="B3349" s="400" t="inlineStr">
        <is>
          <t>KH0421</t>
        </is>
      </c>
      <c r="C3349" s="401" t="inlineStr">
        <is>
          <t>Công ty CP Đầu Tư Thương Mại &amp; XD Giao Thông I/anh Việt:0964.752.737</t>
        </is>
      </c>
      <c r="D3349" s="400" t="inlineStr">
        <is>
          <t>0964.752.737</t>
        </is>
      </c>
      <c r="E3349" s="402" t="n"/>
      <c r="F3349" s="401" t="inlineStr">
        <is>
          <t>548 Nguyễn Văn Cừ, Long Biên, Hà Nội</t>
        </is>
      </c>
      <c r="G3349" s="400" t="inlineStr">
        <is>
          <t>SG/HCM</t>
        </is>
      </c>
      <c r="H3349" s="402" t="n"/>
      <c r="J3349" s="392">
        <f>IFERROR(UPPER(TRIM(B3349))&amp;"|"&amp;UPPER(TRIM(C3349))&amp;"|"&amp;UPPER(TRIM(D3349)),"")</f>
        <v/>
      </c>
    </row>
    <row r="3350" ht="15.75" customHeight="1" s="217">
      <c r="A3350" s="397" t="n">
        <v>3348</v>
      </c>
      <c r="B3350" s="397" t="inlineStr">
        <is>
          <t>KH0413</t>
        </is>
      </c>
      <c r="C3350" s="398" t="inlineStr">
        <is>
          <t>Anh Kiên - Quận 7/ 0913.846.154</t>
        </is>
      </c>
      <c r="D3350" s="397" t="inlineStr">
        <is>
          <t>0913.846.154</t>
        </is>
      </c>
      <c r="E3350" s="399" t="n"/>
      <c r="F3350" s="398" t="inlineStr">
        <is>
          <t>Quận 7, TP HCM</t>
        </is>
      </c>
      <c r="G3350" s="397" t="inlineStr">
        <is>
          <t>SG/HCM</t>
        </is>
      </c>
      <c r="H3350" s="399" t="n"/>
      <c r="J3350" s="392">
        <f>IFERROR(UPPER(TRIM(B3350))&amp;"|"&amp;UPPER(TRIM(C3350))&amp;"|"&amp;UPPER(TRIM(D3350)),"")</f>
        <v/>
      </c>
    </row>
    <row r="3351" ht="15.75" customHeight="1" s="217">
      <c r="A3351" s="400" t="n">
        <v>3349</v>
      </c>
      <c r="B3351" s="400" t="inlineStr">
        <is>
          <t>KH0414</t>
        </is>
      </c>
      <c r="C3351" s="401" t="inlineStr">
        <is>
          <t>Anh Sỹ - SG/ 0938.800.372</t>
        </is>
      </c>
      <c r="D3351" s="400" t="inlineStr">
        <is>
          <t>0938.800.372</t>
        </is>
      </c>
      <c r="E3351" s="402" t="n"/>
      <c r="F3351" s="401" t="inlineStr">
        <is>
          <t>Sài Gòn</t>
        </is>
      </c>
      <c r="G3351" s="400" t="inlineStr">
        <is>
          <t>SG/HCM</t>
        </is>
      </c>
      <c r="H3351" s="402" t="n"/>
      <c r="J3351" s="392">
        <f>IFERROR(UPPER(TRIM(B3351))&amp;"|"&amp;UPPER(TRIM(C3351))&amp;"|"&amp;UPPER(TRIM(D3351)),"")</f>
        <v/>
      </c>
    </row>
    <row r="3352" ht="15.75" customHeight="1" s="217">
      <c r="A3352" s="397" t="n">
        <v>3350</v>
      </c>
      <c r="B3352" s="397" t="inlineStr">
        <is>
          <t>KH0411</t>
        </is>
      </c>
      <c r="C3352" s="398" t="inlineStr">
        <is>
          <t>Anh Sơn (Công ty Sơn Phạm) - Gò Vấp/ 0903.682.610</t>
        </is>
      </c>
      <c r="D3352" s="397" t="inlineStr">
        <is>
          <t>0903.682.610</t>
        </is>
      </c>
      <c r="E3352" s="399" t="n"/>
      <c r="F3352" s="398" t="inlineStr">
        <is>
          <t>39/10 Đường 20, P.6, Gò Vấp, TP HCM</t>
        </is>
      </c>
      <c r="G3352" s="397" t="inlineStr">
        <is>
          <t>SG/HCM</t>
        </is>
      </c>
      <c r="H3352" s="399" t="n"/>
      <c r="J3352" s="392">
        <f>IFERROR(UPPER(TRIM(B3352))&amp;"|"&amp;UPPER(TRIM(C3352))&amp;"|"&amp;UPPER(TRIM(D3352)),"")</f>
        <v/>
      </c>
    </row>
    <row r="3353" ht="15.75" customHeight="1" s="217">
      <c r="A3353" s="400" t="n">
        <v>3351</v>
      </c>
      <c r="B3353" s="400" t="inlineStr">
        <is>
          <t>KH0412</t>
        </is>
      </c>
      <c r="C3353" s="401" t="inlineStr">
        <is>
          <t>Xưởng Mỹ Thọ - Thủ Đức/ anh Tý: 0913.335.231</t>
        </is>
      </c>
      <c r="D3353" s="400" t="inlineStr">
        <is>
          <t>0913.335.231</t>
        </is>
      </c>
      <c r="E3353" s="402" t="n"/>
      <c r="F3353" s="401" t="inlineStr">
        <is>
          <t>QL13, P. Hiệp Bình Phước, Q. Thủ Đức, TP HCM</t>
        </is>
      </c>
      <c r="G3353" s="400" t="inlineStr">
        <is>
          <t>SG/HCM</t>
        </is>
      </c>
      <c r="H3353" s="402" t="n"/>
      <c r="J3353" s="392">
        <f>IFERROR(UPPER(TRIM(B3353))&amp;"|"&amp;UPPER(TRIM(C3353))&amp;"|"&amp;UPPER(TRIM(D3353)),"")</f>
        <v/>
      </c>
    </row>
    <row r="3354" ht="15.75" customHeight="1" s="217">
      <c r="A3354" s="397" t="n">
        <v>3352</v>
      </c>
      <c r="B3354" s="397" t="inlineStr">
        <is>
          <t>KH0410</t>
        </is>
      </c>
      <c r="C3354" s="398" t="inlineStr">
        <is>
          <t>Anh Hùng - Hàm Tân/ 0983.090.898</t>
        </is>
      </c>
      <c r="D3354" s="397" t="inlineStr">
        <is>
          <t>0983.090.898</t>
        </is>
      </c>
      <c r="E3354" s="399" t="n"/>
      <c r="F3354" s="398" t="inlineStr">
        <is>
          <t>Hàm Tân - Bình Thuận</t>
        </is>
      </c>
      <c r="G3354" s="397" t="inlineStr">
        <is>
          <t>BTHUAN</t>
        </is>
      </c>
      <c r="H3354" s="399" t="n"/>
      <c r="J3354" s="392">
        <f>IFERROR(UPPER(TRIM(B3354))&amp;"|"&amp;UPPER(TRIM(C3354))&amp;"|"&amp;UPPER(TRIM(D3354)),"")</f>
        <v/>
      </c>
    </row>
    <row r="3355" ht="15.75" customHeight="1" s="217">
      <c r="A3355" s="400" t="n">
        <v>3353</v>
      </c>
      <c r="B3355" s="400" t="inlineStr">
        <is>
          <t>KH0409</t>
        </is>
      </c>
      <c r="C3355" s="401" t="inlineStr">
        <is>
          <t>Bãi máy Hoàng Gia - XLHN/ 0918.320.807</t>
        </is>
      </c>
      <c r="D3355" s="400" t="inlineStr">
        <is>
          <t>0918.320.807</t>
        </is>
      </c>
      <c r="E3355" s="402" t="n"/>
      <c r="F3355" s="401" t="inlineStr">
        <is>
          <t>458A, Xa lộ Hà Nội, Q9, TP HCM</t>
        </is>
      </c>
      <c r="G3355" s="400" t="inlineStr">
        <is>
          <t>SG/HCM</t>
        </is>
      </c>
      <c r="H3355" s="402" t="n"/>
      <c r="J3355" s="392">
        <f>IFERROR(UPPER(TRIM(B3355))&amp;"|"&amp;UPPER(TRIM(C3355))&amp;"|"&amp;UPPER(TRIM(D3355)),"")</f>
        <v/>
      </c>
    </row>
    <row r="3356" ht="15.75" customHeight="1" s="217">
      <c r="A3356" s="397" t="n">
        <v>3354</v>
      </c>
      <c r="B3356" s="397" t="inlineStr">
        <is>
          <t>KH0406</t>
        </is>
      </c>
      <c r="C3356" s="398" t="inlineStr">
        <is>
          <t>Anh Đại - Phan Thiết/ 0974.997.070</t>
        </is>
      </c>
      <c r="D3356" s="397" t="inlineStr">
        <is>
          <t>0974.997.070</t>
        </is>
      </c>
      <c r="E3356" s="399" t="n"/>
      <c r="F3356" s="398" t="inlineStr">
        <is>
          <t>291 Bùi Thị Xuân, TP Phan Thiết</t>
        </is>
      </c>
      <c r="G3356" s="397" t="inlineStr">
        <is>
          <t>BTHUAN</t>
        </is>
      </c>
      <c r="H3356" s="399" t="n"/>
      <c r="J3356" s="392">
        <f>IFERROR(UPPER(TRIM(B3356))&amp;"|"&amp;UPPER(TRIM(C3356))&amp;"|"&amp;UPPER(TRIM(D3356)),"")</f>
        <v/>
      </c>
    </row>
    <row r="3357" ht="15.75" customHeight="1" s="217">
      <c r="A3357" s="400" t="n">
        <v>3355</v>
      </c>
      <c r="B3357" s="400" t="inlineStr">
        <is>
          <t>KH0407</t>
        </is>
      </c>
      <c r="C3357" s="401" t="inlineStr">
        <is>
          <t>anh Thanh - Quận 5/ 0993.065.733</t>
        </is>
      </c>
      <c r="D3357" s="400" t="inlineStr">
        <is>
          <t>0993.065.733</t>
        </is>
      </c>
      <c r="E3357" s="402" t="n"/>
      <c r="F3357" s="401" t="inlineStr">
        <is>
          <t>Quận 5, TP HCM</t>
        </is>
      </c>
      <c r="G3357" s="400" t="inlineStr">
        <is>
          <t>SG/HCM</t>
        </is>
      </c>
      <c r="H3357" s="402" t="n"/>
      <c r="J3357" s="392">
        <f>IFERROR(UPPER(TRIM(B3357))&amp;"|"&amp;UPPER(TRIM(C3357))&amp;"|"&amp;UPPER(TRIM(D3357)),"")</f>
        <v/>
      </c>
    </row>
    <row r="3358" ht="15.75" customHeight="1" s="217">
      <c r="A3358" s="397" t="n">
        <v>3356</v>
      </c>
      <c r="B3358" s="397" t="inlineStr">
        <is>
          <t>KH0408</t>
        </is>
      </c>
      <c r="C3358" s="398" t="inlineStr">
        <is>
          <t>Anh Hiệp - Khánh Hòa/ 01263.512.437</t>
        </is>
      </c>
      <c r="D3358" s="397" t="inlineStr">
        <is>
          <t>01263.512.437</t>
        </is>
      </c>
      <c r="E3358" s="399" t="n"/>
      <c r="F3358" s="398" t="inlineStr">
        <is>
          <t>TX Ninh Hòa, Khánh Hòa</t>
        </is>
      </c>
      <c r="G3358" s="397" t="inlineStr">
        <is>
          <t>NTRANG</t>
        </is>
      </c>
      <c r="H3358" s="399" t="n"/>
      <c r="J3358" s="392">
        <f>IFERROR(UPPER(TRIM(B3358))&amp;"|"&amp;UPPER(TRIM(C3358))&amp;"|"&amp;UPPER(TRIM(D3358)),"")</f>
        <v/>
      </c>
    </row>
    <row r="3359" ht="15.75" customHeight="1" s="217">
      <c r="A3359" s="400" t="n">
        <v>3357</v>
      </c>
      <c r="B3359" s="400" t="inlineStr">
        <is>
          <t>KH0404</t>
        </is>
      </c>
      <c r="C3359" s="401" t="inlineStr">
        <is>
          <t>Cửa hàng Ngọc Lợi - Tây Ninh/ 0988.873.309</t>
        </is>
      </c>
      <c r="D3359" s="400" t="inlineStr">
        <is>
          <t>0988.873.309</t>
        </is>
      </c>
      <c r="E3359" s="402" t="n"/>
      <c r="F3359" s="401" t="inlineStr">
        <is>
          <t>ấp Thanh Trung, Xã Thanh Tuyền, huyện Châu Thành, Tỉnh Tây Ninh</t>
        </is>
      </c>
      <c r="G3359" s="400" t="inlineStr">
        <is>
          <t>TNINH</t>
        </is>
      </c>
      <c r="H3359" s="402" t="n"/>
      <c r="J3359" s="392">
        <f>IFERROR(UPPER(TRIM(B3359))&amp;"|"&amp;UPPER(TRIM(C3359))&amp;"|"&amp;UPPER(TRIM(D3359)),"")</f>
        <v/>
      </c>
    </row>
    <row r="3360" ht="15.75" customHeight="1" s="217">
      <c r="A3360" s="397" t="n">
        <v>3358</v>
      </c>
      <c r="B3360" s="397" t="inlineStr">
        <is>
          <t>KH0405</t>
        </is>
      </c>
      <c r="C3360" s="398" t="inlineStr">
        <is>
          <t>Anh Hưng - SG/ 0985.070.758</t>
        </is>
      </c>
      <c r="D3360" s="397" t="inlineStr">
        <is>
          <t>0985.070.758</t>
        </is>
      </c>
      <c r="E3360" s="399" t="n"/>
      <c r="F3360" s="398" t="inlineStr">
        <is>
          <t>Ngã tư Bình Phước, Sài Gòn</t>
        </is>
      </c>
      <c r="G3360" s="397" t="inlineStr">
        <is>
          <t>SG/HCM</t>
        </is>
      </c>
      <c r="H3360" s="399" t="n"/>
      <c r="J3360" s="392">
        <f>IFERROR(UPPER(TRIM(B3360))&amp;"|"&amp;UPPER(TRIM(C3360))&amp;"|"&amp;UPPER(TRIM(D3360)),"")</f>
        <v/>
      </c>
    </row>
    <row r="3361" ht="15.75" customHeight="1" s="217">
      <c r="A3361" s="400" t="n">
        <v>3359</v>
      </c>
      <c r="B3361" s="400" t="inlineStr">
        <is>
          <t>KH0403</t>
        </is>
      </c>
      <c r="C3361" s="401" t="inlineStr">
        <is>
          <t>Xưởng anh Chín - Diên Khánh/ 0976.278.777</t>
        </is>
      </c>
      <c r="D3361" s="400" t="inlineStr">
        <is>
          <t>0976.278.777</t>
        </is>
      </c>
      <c r="E3361" s="402" t="n"/>
      <c r="F3361" s="401" t="inlineStr">
        <is>
          <t>Ngã 3 Thành, Diên Khánh, Khánh Hòa</t>
        </is>
      </c>
      <c r="G3361" s="400" t="inlineStr">
        <is>
          <t>NTRANG</t>
        </is>
      </c>
      <c r="H3361" s="402" t="n"/>
      <c r="J3361" s="392">
        <f>IFERROR(UPPER(TRIM(B3361))&amp;"|"&amp;UPPER(TRIM(C3361))&amp;"|"&amp;UPPER(TRIM(D3361)),"")</f>
        <v/>
      </c>
    </row>
    <row r="3362" ht="15.75" customHeight="1" s="217">
      <c r="A3362" s="397" t="n">
        <v>3360</v>
      </c>
      <c r="B3362" s="397" t="inlineStr">
        <is>
          <t>KH0402</t>
        </is>
      </c>
      <c r="C3362" s="398" t="inlineStr">
        <is>
          <t>Bãi máy Thành Nguyên Phát - Bình Dương/ Anh Cơ: 0908.928.998</t>
        </is>
      </c>
      <c r="D3362" s="397" t="inlineStr">
        <is>
          <t>0908.928.998</t>
        </is>
      </c>
      <c r="E3362" s="399" t="n"/>
      <c r="F3362" s="398" t="inlineStr">
        <is>
          <t>Gần Tân Hiệp Phát, Bình Dương</t>
        </is>
      </c>
      <c r="G3362" s="397" t="inlineStr">
        <is>
          <t>BDUONG</t>
        </is>
      </c>
      <c r="H3362" s="399" t="n"/>
      <c r="J3362" s="392">
        <f>IFERROR(UPPER(TRIM(B3362))&amp;"|"&amp;UPPER(TRIM(C3362))&amp;"|"&amp;UPPER(TRIM(D3362)),"")</f>
        <v/>
      </c>
    </row>
    <row r="3363" ht="15.75" customHeight="1" s="217">
      <c r="A3363" s="400" t="n">
        <v>3361</v>
      </c>
      <c r="B3363" s="400" t="inlineStr">
        <is>
          <t>KH0401</t>
        </is>
      </c>
      <c r="C3363" s="401" t="inlineStr">
        <is>
          <t>Anh Lan - Quận 12/ 0903.637.618</t>
        </is>
      </c>
      <c r="D3363" s="400" t="inlineStr">
        <is>
          <t>0903.637.618</t>
        </is>
      </c>
      <c r="E3363" s="402" t="n"/>
      <c r="F3363" s="401" t="inlineStr">
        <is>
          <t>An Phú Đông, Quận 12, TPHCM</t>
        </is>
      </c>
      <c r="G3363" s="400" t="inlineStr">
        <is>
          <t>SG/HCM</t>
        </is>
      </c>
      <c r="H3363" s="402" t="n"/>
      <c r="J3363" s="392">
        <f>IFERROR(UPPER(TRIM(B3363))&amp;"|"&amp;UPPER(TRIM(C3363))&amp;"|"&amp;UPPER(TRIM(D3363)),"")</f>
        <v/>
      </c>
    </row>
    <row r="3364" ht="15.75" customHeight="1" s="217">
      <c r="A3364" s="397" t="n">
        <v>3362</v>
      </c>
      <c r="B3364" s="397" t="inlineStr">
        <is>
          <t>KH0400</t>
        </is>
      </c>
      <c r="C3364" s="398" t="inlineStr">
        <is>
          <t>Xưởng anh Đặng - BMT/ 0983.330.989</t>
        </is>
      </c>
      <c r="D3364" s="397" t="inlineStr">
        <is>
          <t>0983.330.989</t>
        </is>
      </c>
      <c r="E3364" s="399" t="n"/>
      <c r="F3364" s="398" t="inlineStr">
        <is>
          <t>Buôn Ma Thuột, Đắk Lắk</t>
        </is>
      </c>
      <c r="G3364" s="397" t="inlineStr">
        <is>
          <t>ÐL</t>
        </is>
      </c>
      <c r="H3364" s="399" t="n"/>
      <c r="J3364" s="392">
        <f>IFERROR(UPPER(TRIM(B3364))&amp;"|"&amp;UPPER(TRIM(C3364))&amp;"|"&amp;UPPER(TRIM(D3364)),"")</f>
        <v/>
      </c>
    </row>
    <row r="3365" ht="15.75" customHeight="1" s="217">
      <c r="A3365" s="400" t="n">
        <v>3363</v>
      </c>
      <c r="B3365" s="400" t="inlineStr">
        <is>
          <t>KH0399</t>
        </is>
      </c>
      <c r="C3365" s="401" t="inlineStr">
        <is>
          <t>Công ty XD XNK Tín Thành - Quận 8/ anh Hậu: 0938.496.694</t>
        </is>
      </c>
      <c r="D3365" s="400" t="inlineStr">
        <is>
          <t>0938.496.694</t>
        </is>
      </c>
      <c r="E3365" s="402" t="n"/>
      <c r="F3365" s="401" t="inlineStr">
        <is>
          <t>41/2 Bùi Minh Trực, P.5, Q.8</t>
        </is>
      </c>
      <c r="G3365" s="400" t="inlineStr">
        <is>
          <t>SG/HCM</t>
        </is>
      </c>
      <c r="H3365" s="402" t="n"/>
      <c r="J3365" s="392">
        <f>IFERROR(UPPER(TRIM(B3365))&amp;"|"&amp;UPPER(TRIM(C3365))&amp;"|"&amp;UPPER(TRIM(D3365)),"")</f>
        <v/>
      </c>
    </row>
    <row r="3366" ht="15.75" customHeight="1" s="217">
      <c r="A3366" s="397" t="n">
        <v>3364</v>
      </c>
      <c r="B3366" s="397" t="inlineStr">
        <is>
          <t>KH0397</t>
        </is>
      </c>
      <c r="C3366" s="398" t="inlineStr">
        <is>
          <t>Cửa hàng Tiến Thịnh - Long An/ 0984.443.402 - Fax: 0723.858.100, Vợ: 0825.429.215</t>
        </is>
      </c>
      <c r="D3366" s="397" t="inlineStr">
        <is>
          <t>0984.443.402 / 0723.858.100 / 0825.429.215</t>
        </is>
      </c>
      <c r="E3366" s="399" t="n"/>
      <c r="F3366" s="398" t="inlineStr">
        <is>
          <t>KP.3 - TT. Thạnh Hóa - Long An</t>
        </is>
      </c>
      <c r="G3366" s="397" t="inlineStr">
        <is>
          <t>LA</t>
        </is>
      </c>
      <c r="H3366" s="399" t="n"/>
      <c r="J3366" s="392">
        <f>IFERROR(UPPER(TRIM(B3366))&amp;"|"&amp;UPPER(TRIM(C3366))&amp;"|"&amp;UPPER(TRIM(D3366)),"")</f>
        <v/>
      </c>
    </row>
    <row r="3367" ht="15.75" customHeight="1" s="217">
      <c r="A3367" s="400" t="n">
        <v>3365</v>
      </c>
      <c r="B3367" s="400" t="inlineStr">
        <is>
          <t>KH0396</t>
        </is>
      </c>
      <c r="C3367" s="401" t="inlineStr">
        <is>
          <t>Anh Hùng / Lộc - Đức Trọng/ 0913.189.452</t>
        </is>
      </c>
      <c r="D3367" s="400" t="inlineStr">
        <is>
          <t>0913.189.452</t>
        </is>
      </c>
      <c r="E3367" s="402" t="n"/>
      <c r="F3367" s="401" t="inlineStr">
        <is>
          <t>Đức Trọng, Lâm Đồng</t>
        </is>
      </c>
      <c r="G3367" s="400" t="inlineStr">
        <is>
          <t>LDONG</t>
        </is>
      </c>
      <c r="H3367" s="402" t="n"/>
      <c r="J3367" s="392">
        <f>IFERROR(UPPER(TRIM(B3367))&amp;"|"&amp;UPPER(TRIM(C3367))&amp;"|"&amp;UPPER(TRIM(D3367)),"")</f>
        <v/>
      </c>
    </row>
    <row r="3368" ht="15.75" customHeight="1" s="217">
      <c r="A3368" s="397" t="n">
        <v>3366</v>
      </c>
      <c r="B3368" s="397" t="inlineStr">
        <is>
          <t>KH0393</t>
        </is>
      </c>
      <c r="C3368" s="398" t="inlineStr">
        <is>
          <t>Anh Lộc - Quận 7/ 0938.580.788</t>
        </is>
      </c>
      <c r="D3368" s="397" t="inlineStr">
        <is>
          <t>0938.580.788</t>
        </is>
      </c>
      <c r="E3368" s="399" t="n"/>
      <c r="F3368" s="398" t="inlineStr">
        <is>
          <t>Quận 7, TP HCM</t>
        </is>
      </c>
      <c r="G3368" s="397" t="inlineStr">
        <is>
          <t>SG/HCM</t>
        </is>
      </c>
      <c r="H3368" s="399" t="n"/>
      <c r="J3368" s="392">
        <f>IFERROR(UPPER(TRIM(B3368))&amp;"|"&amp;UPPER(TRIM(C3368))&amp;"|"&amp;UPPER(TRIM(D3368)),"")</f>
        <v/>
      </c>
    </row>
    <row r="3369" ht="15.75" customHeight="1" s="217">
      <c r="A3369" s="400" t="n">
        <v>3367</v>
      </c>
      <c r="B3369" s="400" t="inlineStr">
        <is>
          <t>KH0394</t>
        </is>
      </c>
      <c r="C3369" s="401" t="inlineStr">
        <is>
          <t>Cửa hàng Thái Dương - Quảng Trị/ 0914.702.333</t>
        </is>
      </c>
      <c r="D3369" s="400" t="inlineStr">
        <is>
          <t>0914.702.333</t>
        </is>
      </c>
      <c r="E3369" s="402" t="n"/>
      <c r="F3369" s="401" t="inlineStr">
        <is>
          <t>Vĩnh Linh, Quảng Trị</t>
        </is>
      </c>
      <c r="G3369" s="402" t="n"/>
      <c r="H3369" s="402" t="n"/>
      <c r="J3369" s="392">
        <f>IFERROR(UPPER(TRIM(B3369))&amp;"|"&amp;UPPER(TRIM(C3369))&amp;"|"&amp;UPPER(TRIM(D3369)),"")</f>
        <v/>
      </c>
    </row>
    <row r="3370" ht="15.75" customHeight="1" s="217">
      <c r="A3370" s="397" t="n">
        <v>3368</v>
      </c>
      <c r="B3370" s="397" t="inlineStr">
        <is>
          <t>KH0395</t>
        </is>
      </c>
      <c r="C3370" s="398" t="inlineStr">
        <is>
          <t>Anh Khoa - Nha Trang/ 0975.850.875</t>
        </is>
      </c>
      <c r="D3370" s="397" t="inlineStr">
        <is>
          <t>0975.850.875</t>
        </is>
      </c>
      <c r="E3370" s="399" t="n"/>
      <c r="F3370" s="398" t="inlineStr">
        <is>
          <t>Nha Trang</t>
        </is>
      </c>
      <c r="G3370" s="397" t="inlineStr">
        <is>
          <t>NTRANG</t>
        </is>
      </c>
      <c r="H3370" s="399" t="n"/>
      <c r="J3370" s="392">
        <f>IFERROR(UPPER(TRIM(B3370))&amp;"|"&amp;UPPER(TRIM(C3370))&amp;"|"&amp;UPPER(TRIM(D3370)),"")</f>
        <v/>
      </c>
    </row>
    <row r="3371" ht="15.75" customHeight="1" s="217">
      <c r="A3371" s="400" t="n">
        <v>3369</v>
      </c>
      <c r="B3371" s="400" t="inlineStr">
        <is>
          <t>KH0392</t>
        </is>
      </c>
      <c r="C3371" s="401" t="inlineStr">
        <is>
          <t>Anh Thanh - Vĩnh Hưng/ 0983.469.112)</t>
        </is>
      </c>
      <c r="D3371" s="400" t="inlineStr">
        <is>
          <t>0983.469.112</t>
        </is>
      </c>
      <c r="E3371" s="402" t="n"/>
      <c r="F3371" s="401" t="inlineStr">
        <is>
          <t>Vĩnh Hưng - Long An</t>
        </is>
      </c>
      <c r="G3371" s="400" t="inlineStr">
        <is>
          <t>LA</t>
        </is>
      </c>
      <c r="H3371" s="402" t="n"/>
      <c r="J3371" s="392">
        <f>IFERROR(UPPER(TRIM(B3371))&amp;"|"&amp;UPPER(TRIM(C3371))&amp;"|"&amp;UPPER(TRIM(D3371)),"")</f>
        <v/>
      </c>
    </row>
    <row r="3372" ht="15.75" customHeight="1" s="217">
      <c r="A3372" s="397" t="n">
        <v>3370</v>
      </c>
      <c r="B3372" s="397" t="inlineStr">
        <is>
          <t>KH0391</t>
        </is>
      </c>
      <c r="C3372" s="398" t="inlineStr">
        <is>
          <t>Công ty TNHH Việt Nam Gạch Men Thạch Anh - Bình Dương/ A.Dũng 0989.333.431</t>
        </is>
      </c>
      <c r="D3372" s="397" t="inlineStr">
        <is>
          <t>0989.333.431</t>
        </is>
      </c>
      <c r="E3372" s="399" t="n"/>
      <c r="F3372" s="398" t="inlineStr">
        <is>
          <t>ấp An Hòa, Xã Hòa Lợi, Huyện Bến Cát, Tỉnh Bình Dương</t>
        </is>
      </c>
      <c r="G3372" s="397" t="inlineStr">
        <is>
          <t>BDUONG</t>
        </is>
      </c>
      <c r="H3372" s="399" t="n"/>
      <c r="J3372" s="392">
        <f>IFERROR(UPPER(TRIM(B3372))&amp;"|"&amp;UPPER(TRIM(C3372))&amp;"|"&amp;UPPER(TRIM(D3372)),"")</f>
        <v/>
      </c>
    </row>
    <row r="3373" ht="15.75" customHeight="1" s="217">
      <c r="A3373" s="400" t="n">
        <v>3371</v>
      </c>
      <c r="B3373" s="400" t="inlineStr">
        <is>
          <t>KH0390</t>
        </is>
      </c>
      <c r="C3373" s="401" t="inlineStr">
        <is>
          <t>CH Phúc Anh - Đồng Nai/ 0914.494.249</t>
        </is>
      </c>
      <c r="D3373" s="400" t="inlineStr">
        <is>
          <t>0914.494.249</t>
        </is>
      </c>
      <c r="E3373" s="402" t="n"/>
      <c r="F3373" s="401" t="inlineStr">
        <is>
          <t>K5 05+06 KP1, P. Long Bình Tân, TP Biên Hòa, Đồng Nai</t>
        </is>
      </c>
      <c r="G3373" s="400" t="inlineStr">
        <is>
          <t>ÐNAI</t>
        </is>
      </c>
      <c r="H3373" s="402" t="n"/>
      <c r="J3373" s="392">
        <f>IFERROR(UPPER(TRIM(B3373))&amp;"|"&amp;UPPER(TRIM(C3373))&amp;"|"&amp;UPPER(TRIM(D3373)),"")</f>
        <v/>
      </c>
    </row>
    <row r="3374" ht="15.75" customHeight="1" s="217">
      <c r="A3374" s="397" t="n">
        <v>3372</v>
      </c>
      <c r="B3374" s="397" t="inlineStr">
        <is>
          <t>KH0389</t>
        </is>
      </c>
      <c r="C3374" s="398" t="inlineStr">
        <is>
          <t>anh Điền - Long Xuyên/ 0949.424.798</t>
        </is>
      </c>
      <c r="D3374" s="397" t="inlineStr">
        <is>
          <t>0949.424.798</t>
        </is>
      </c>
      <c r="E3374" s="399" t="n"/>
      <c r="F3374" s="398" t="inlineStr">
        <is>
          <t>Long Xuyên, An Giang</t>
        </is>
      </c>
      <c r="G3374" s="397" t="inlineStr">
        <is>
          <t>ANGIANG</t>
        </is>
      </c>
      <c r="H3374" s="399" t="n"/>
      <c r="J3374" s="392">
        <f>IFERROR(UPPER(TRIM(B3374))&amp;"|"&amp;UPPER(TRIM(C3374))&amp;"|"&amp;UPPER(TRIM(D3374)),"")</f>
        <v/>
      </c>
    </row>
    <row r="3375" ht="15.75" customHeight="1" s="217">
      <c r="A3375" s="400" t="n">
        <v>3373</v>
      </c>
      <c r="B3375" s="400" t="inlineStr">
        <is>
          <t>KH0388</t>
        </is>
      </c>
      <c r="C3375" s="401" t="inlineStr">
        <is>
          <t>anh Tuấn - Mộc Hóa/ 0918.527.101</t>
        </is>
      </c>
      <c r="D3375" s="400" t="inlineStr">
        <is>
          <t>0918.527.101</t>
        </is>
      </c>
      <c r="E3375" s="402" t="n"/>
      <c r="F3375" s="401" t="inlineStr">
        <is>
          <t>Mộc Hóa, Long An</t>
        </is>
      </c>
      <c r="G3375" s="400" t="inlineStr">
        <is>
          <t>LA</t>
        </is>
      </c>
      <c r="H3375" s="402" t="n"/>
      <c r="J3375" s="392">
        <f>IFERROR(UPPER(TRIM(B3375))&amp;"|"&amp;UPPER(TRIM(C3375))&amp;"|"&amp;UPPER(TRIM(D3375)),"")</f>
        <v/>
      </c>
    </row>
    <row r="3376" ht="15.75" customHeight="1" s="217">
      <c r="A3376" s="397" t="n">
        <v>3374</v>
      </c>
      <c r="B3376" s="397" t="inlineStr">
        <is>
          <t>KH0387</t>
        </is>
      </c>
      <c r="C3376" s="398" t="inlineStr">
        <is>
          <t>Anh Thanh -  Quận 9/ 0973.807.939 - 0918.800.500</t>
        </is>
      </c>
      <c r="D3376" s="397" t="inlineStr">
        <is>
          <t>0973.807.939 / 0918.800.500</t>
        </is>
      </c>
      <c r="E3376" s="399" t="n"/>
      <c r="F3376" s="398" t="inlineStr">
        <is>
          <t>Khu Công Nghệ Cao, Quận 9</t>
        </is>
      </c>
      <c r="G3376" s="397" t="inlineStr">
        <is>
          <t>SG/HCM</t>
        </is>
      </c>
      <c r="H3376" s="399" t="n"/>
      <c r="J3376" s="392">
        <f>IFERROR(UPPER(TRIM(B3376))&amp;"|"&amp;UPPER(TRIM(C3376))&amp;"|"&amp;UPPER(TRIM(D3376)),"")</f>
        <v/>
      </c>
    </row>
    <row r="3377" ht="15.75" customHeight="1" s="217">
      <c r="A3377" s="400" t="n">
        <v>3375</v>
      </c>
      <c r="B3377" s="400" t="inlineStr">
        <is>
          <t>KH0385</t>
        </is>
      </c>
      <c r="C3377" s="401" t="inlineStr">
        <is>
          <t>Xưởng Thành Sơn - Bình Chánh/ 0908.833.700</t>
        </is>
      </c>
      <c r="D3377" s="400" t="inlineStr">
        <is>
          <t>0908.833.700</t>
        </is>
      </c>
      <c r="E3377" s="402" t="n"/>
      <c r="F3377" s="401" t="inlineStr">
        <is>
          <t>11/7 Bình Chánh, TP HCM</t>
        </is>
      </c>
      <c r="G3377" s="400" t="inlineStr">
        <is>
          <t>SG/HCM</t>
        </is>
      </c>
      <c r="H3377" s="402" t="n"/>
      <c r="J3377" s="392">
        <f>IFERROR(UPPER(TRIM(B3377))&amp;"|"&amp;UPPER(TRIM(C3377))&amp;"|"&amp;UPPER(TRIM(D3377)),"")</f>
        <v/>
      </c>
    </row>
    <row r="3378" ht="15.75" customHeight="1" s="217">
      <c r="A3378" s="397" t="n">
        <v>3376</v>
      </c>
      <c r="B3378" s="397" t="inlineStr">
        <is>
          <t>KH0386</t>
        </is>
      </c>
      <c r="C3378" s="398" t="inlineStr">
        <is>
          <t>Anh Sỹ - Gia Nghĩa/ 0973.015.777</t>
        </is>
      </c>
      <c r="D3378" s="397" t="inlineStr">
        <is>
          <t>0973.015.777</t>
        </is>
      </c>
      <c r="E3378" s="399" t="n"/>
      <c r="F3378" s="398" t="inlineStr">
        <is>
          <t>Gia Nghĩa, Đắk nông</t>
        </is>
      </c>
      <c r="G3378" s="397" t="inlineStr">
        <is>
          <t>DNONG</t>
        </is>
      </c>
      <c r="H3378" s="399" t="n"/>
      <c r="J3378" s="392">
        <f>IFERROR(UPPER(TRIM(B3378))&amp;"|"&amp;UPPER(TRIM(C3378))&amp;"|"&amp;UPPER(TRIM(D3378)),"")</f>
        <v/>
      </c>
    </row>
    <row r="3379" ht="15.75" customHeight="1" s="217">
      <c r="A3379" s="400" t="n">
        <v>3377</v>
      </c>
      <c r="B3379" s="400" t="inlineStr">
        <is>
          <t>KH0384</t>
        </is>
      </c>
      <c r="C3379" s="401" t="inlineStr">
        <is>
          <t>Anh Hùng - Đắknông/ 0932.609.609-0941.609.609</t>
        </is>
      </c>
      <c r="D3379" s="400" t="inlineStr">
        <is>
          <t>0932.609.609-0941</t>
        </is>
      </c>
      <c r="E3379" s="402" t="n"/>
      <c r="F3379" s="401" t="inlineStr">
        <is>
          <t>Đắknông</t>
        </is>
      </c>
      <c r="G3379" s="400" t="inlineStr">
        <is>
          <t>DNONG</t>
        </is>
      </c>
      <c r="H3379" s="402" t="n"/>
      <c r="J3379" s="392">
        <f>IFERROR(UPPER(TRIM(B3379))&amp;"|"&amp;UPPER(TRIM(C3379))&amp;"|"&amp;UPPER(TRIM(D3379)),"")</f>
        <v/>
      </c>
    </row>
    <row r="3380" ht="15.75" customHeight="1" s="217">
      <c r="A3380" s="397" t="n">
        <v>3378</v>
      </c>
      <c r="B3380" s="397" t="inlineStr">
        <is>
          <t>KH0383</t>
        </is>
      </c>
      <c r="C3380" s="398" t="inlineStr">
        <is>
          <t>Công ty TNHH Thái Bảo - Bình Thuận/ Anh Gia: 0935.599.227</t>
        </is>
      </c>
      <c r="D3380" s="397" t="inlineStr">
        <is>
          <t>0935.599.227</t>
        </is>
      </c>
      <c r="E3380" s="399" t="n"/>
      <c r="F3380" s="398" t="inlineStr">
        <is>
          <t>Cụm công nghiệp, Tiểu thủ công nghiệp, Thôn 2, xã Sùng Nhơn, Đức Linh, Bình Thuận</t>
        </is>
      </c>
      <c r="G3380" s="397" t="inlineStr">
        <is>
          <t>BTHUAN</t>
        </is>
      </c>
      <c r="H3380" s="399" t="n"/>
      <c r="J3380" s="392">
        <f>IFERROR(UPPER(TRIM(B3380))&amp;"|"&amp;UPPER(TRIM(C3380))&amp;"|"&amp;UPPER(TRIM(D3380)),"")</f>
        <v/>
      </c>
    </row>
    <row r="3381" ht="15.75" customHeight="1" s="217">
      <c r="A3381" s="400" t="n">
        <v>3379</v>
      </c>
      <c r="B3381" s="400" t="inlineStr">
        <is>
          <t>KH0382</t>
        </is>
      </c>
      <c r="C3381" s="401" t="inlineStr">
        <is>
          <t>Anh Lợi - Lâm Đồng/ 0983.862.545</t>
        </is>
      </c>
      <c r="D3381" s="400" t="inlineStr">
        <is>
          <t>0983.862.545</t>
        </is>
      </c>
      <c r="E3381" s="402" t="n"/>
      <c r="F3381" s="401" t="inlineStr">
        <is>
          <t>Bảo Lộc, Lâm Đồng</t>
        </is>
      </c>
      <c r="G3381" s="400" t="inlineStr">
        <is>
          <t>LDONG</t>
        </is>
      </c>
      <c r="H3381" s="402" t="n"/>
      <c r="J3381" s="392">
        <f>IFERROR(UPPER(TRIM(B3381))&amp;"|"&amp;UPPER(TRIM(C3381))&amp;"|"&amp;UPPER(TRIM(D3381)),"")</f>
        <v/>
      </c>
    </row>
    <row r="3382" ht="15.75" customHeight="1" s="217">
      <c r="A3382" s="397" t="n">
        <v>3380</v>
      </c>
      <c r="B3382" s="397" t="inlineStr">
        <is>
          <t>KH0380</t>
        </is>
      </c>
      <c r="C3382" s="398" t="inlineStr">
        <is>
          <t>Bãi máy Liên Phương - Tân Vạn/ 0918.860.168</t>
        </is>
      </c>
      <c r="D3382" s="397" t="inlineStr">
        <is>
          <t>0918.860.168</t>
        </is>
      </c>
      <c r="E3382" s="399" t="n"/>
      <c r="F3382" s="398" t="inlineStr">
        <is>
          <t>Tân Vạn, TP HCM</t>
        </is>
      </c>
      <c r="G3382" s="397" t="inlineStr">
        <is>
          <t>SG/HCM</t>
        </is>
      </c>
      <c r="H3382" s="399" t="n"/>
      <c r="J3382" s="392">
        <f>IFERROR(UPPER(TRIM(B3382))&amp;"|"&amp;UPPER(TRIM(C3382))&amp;"|"&amp;UPPER(TRIM(D3382)),"")</f>
        <v/>
      </c>
    </row>
    <row r="3383" ht="15.75" customHeight="1" s="217">
      <c r="A3383" s="400" t="n">
        <v>3381</v>
      </c>
      <c r="B3383" s="400" t="inlineStr">
        <is>
          <t>KH0381</t>
        </is>
      </c>
      <c r="C3383" s="401" t="inlineStr">
        <is>
          <t>Mr Sone Sey - Cambodia/ 0946.124.073</t>
        </is>
      </c>
      <c r="D3383" s="400" t="inlineStr">
        <is>
          <t>0946.124.073</t>
        </is>
      </c>
      <c r="E3383" s="402" t="n"/>
      <c r="F3383" s="401" t="inlineStr">
        <is>
          <t>Cambodia</t>
        </is>
      </c>
      <c r="G3383" s="400" t="inlineStr">
        <is>
          <t>CPC</t>
        </is>
      </c>
      <c r="H3383" s="402" t="n"/>
      <c r="J3383" s="392">
        <f>IFERROR(UPPER(TRIM(B3383))&amp;"|"&amp;UPPER(TRIM(C3383))&amp;"|"&amp;UPPER(TRIM(D3383)),"")</f>
        <v/>
      </c>
    </row>
    <row r="3384" ht="15.75" customHeight="1" s="217">
      <c r="A3384" s="397" t="n">
        <v>3382</v>
      </c>
      <c r="B3384" s="397" t="inlineStr">
        <is>
          <t>KH0378</t>
        </is>
      </c>
      <c r="C3384" s="398" t="inlineStr">
        <is>
          <t>Xưởng anh Hùng - Đức Trọng/ 0905.081.777</t>
        </is>
      </c>
      <c r="D3384" s="397" t="inlineStr">
        <is>
          <t>0905.081.777</t>
        </is>
      </c>
      <c r="E3384" s="399" t="n"/>
      <c r="F3384" s="398" t="inlineStr">
        <is>
          <t>Đức Trọng, Lâm Đồng</t>
        </is>
      </c>
      <c r="G3384" s="397" t="inlineStr">
        <is>
          <t>LDONG</t>
        </is>
      </c>
      <c r="H3384" s="399" t="n"/>
      <c r="J3384" s="392">
        <f>IFERROR(UPPER(TRIM(B3384))&amp;"|"&amp;UPPER(TRIM(C3384))&amp;"|"&amp;UPPER(TRIM(D3384)),"")</f>
        <v/>
      </c>
    </row>
    <row r="3385" ht="15.75" customHeight="1" s="217">
      <c r="A3385" s="400" t="n">
        <v>3383</v>
      </c>
      <c r="B3385" s="400" t="inlineStr">
        <is>
          <t>KH0379</t>
        </is>
      </c>
      <c r="C3385" s="401" t="inlineStr">
        <is>
          <t>Anh Độ - Bưu Điện Càng Long/ 0981.909.734-0898.816.592</t>
        </is>
      </c>
      <c r="D3385" s="400" t="inlineStr">
        <is>
          <t>0981.909.734-0898</t>
        </is>
      </c>
      <c r="E3385" s="402" t="n"/>
      <c r="F3385" s="401" t="inlineStr">
        <is>
          <t>Bưu Điện Càng Long, Trà Vinh</t>
        </is>
      </c>
      <c r="G3385" s="400" t="inlineStr">
        <is>
          <t>VĨNH LONG</t>
        </is>
      </c>
      <c r="H3385" s="402" t="n"/>
      <c r="J3385" s="392">
        <f>IFERROR(UPPER(TRIM(B3385))&amp;"|"&amp;UPPER(TRIM(C3385))&amp;"|"&amp;UPPER(TRIM(D3385)),"")</f>
        <v/>
      </c>
    </row>
    <row r="3386" ht="15.75" customHeight="1" s="217">
      <c r="A3386" s="397" t="n">
        <v>3384</v>
      </c>
      <c r="B3386" s="397" t="inlineStr">
        <is>
          <t>KH0377</t>
        </is>
      </c>
      <c r="C3386" s="398" t="inlineStr">
        <is>
          <t>Anh Dương (Công ty TNHH MTV Xây Dựng Khánh Dương)- Nha Trang/ 0903.529.130</t>
        </is>
      </c>
      <c r="D3386" s="397" t="inlineStr">
        <is>
          <t>0903.529.130</t>
        </is>
      </c>
      <c r="E3386" s="399" t="n"/>
      <c r="F3386" s="398" t="inlineStr">
        <is>
          <t>Tổ 7, Thị Trấn Khánh Vĩnh, khánh Vĩnh, Khánh Hòa</t>
        </is>
      </c>
      <c r="G3386" s="397" t="inlineStr">
        <is>
          <t>NTRANG</t>
        </is>
      </c>
      <c r="H3386" s="399" t="n"/>
      <c r="J3386" s="392">
        <f>IFERROR(UPPER(TRIM(B3386))&amp;"|"&amp;UPPER(TRIM(C3386))&amp;"|"&amp;UPPER(TRIM(D3386)),"")</f>
        <v/>
      </c>
    </row>
    <row r="3387" ht="15.75" customHeight="1" s="217">
      <c r="A3387" s="400" t="n">
        <v>3385</v>
      </c>
      <c r="B3387" s="400" t="inlineStr">
        <is>
          <t>KH0376</t>
        </is>
      </c>
      <c r="C3387" s="401" t="inlineStr">
        <is>
          <t>Xưởng Long Xích - Long Xuyên/ 0919.736.113</t>
        </is>
      </c>
      <c r="D3387" s="400" t="inlineStr">
        <is>
          <t>0919.736.113</t>
        </is>
      </c>
      <c r="E3387" s="402" t="n"/>
      <c r="F3387" s="401" t="inlineStr">
        <is>
          <t>TP Long Xuyên, An Giang</t>
        </is>
      </c>
      <c r="G3387" s="400" t="inlineStr">
        <is>
          <t>ANGIANG</t>
        </is>
      </c>
      <c r="H3387" s="402" t="n"/>
      <c r="J3387" s="392">
        <f>IFERROR(UPPER(TRIM(B3387))&amp;"|"&amp;UPPER(TRIM(C3387))&amp;"|"&amp;UPPER(TRIM(D3387)),"")</f>
        <v/>
      </c>
    </row>
    <row r="3388" ht="15.75" customHeight="1" s="217">
      <c r="A3388" s="397" t="n">
        <v>3386</v>
      </c>
      <c r="B3388" s="397" t="inlineStr">
        <is>
          <t>KH0375</t>
        </is>
      </c>
      <c r="C3388" s="398" t="inlineStr">
        <is>
          <t>anh Tính - Bình Chánh/ 0988.997.491</t>
        </is>
      </c>
      <c r="D3388" s="397" t="inlineStr">
        <is>
          <t>0988.997.491</t>
        </is>
      </c>
      <c r="E3388" s="399" t="n"/>
      <c r="F3388" s="398" t="inlineStr">
        <is>
          <t>Bình Chánh - TP.HCM</t>
        </is>
      </c>
      <c r="G3388" s="397" t="inlineStr">
        <is>
          <t>SG/HCM</t>
        </is>
      </c>
      <c r="H3388" s="399" t="n"/>
      <c r="J3388" s="392">
        <f>IFERROR(UPPER(TRIM(B3388))&amp;"|"&amp;UPPER(TRIM(C3388))&amp;"|"&amp;UPPER(TRIM(D3388)),"")</f>
        <v/>
      </c>
    </row>
    <row r="3389" ht="15.75" customHeight="1" s="217">
      <c r="A3389" s="400" t="n">
        <v>3387</v>
      </c>
      <c r="B3389" s="400" t="inlineStr">
        <is>
          <t>KH0374</t>
        </is>
      </c>
      <c r="C3389" s="401" t="inlineStr">
        <is>
          <t>Xưởng anh Năng - Đắk Nông/ 0988.161.138</t>
        </is>
      </c>
      <c r="D3389" s="400" t="inlineStr">
        <is>
          <t>0988.161.138</t>
        </is>
      </c>
      <c r="E3389" s="402" t="n"/>
      <c r="F3389" s="401" t="inlineStr">
        <is>
          <t>Đắk Nông</t>
        </is>
      </c>
      <c r="G3389" s="400" t="inlineStr">
        <is>
          <t>DNONG</t>
        </is>
      </c>
      <c r="H3389" s="402" t="n"/>
      <c r="J3389" s="392">
        <f>IFERROR(UPPER(TRIM(B3389))&amp;"|"&amp;UPPER(TRIM(C3389))&amp;"|"&amp;UPPER(TRIM(D3389)),"")</f>
        <v/>
      </c>
    </row>
    <row r="3390" ht="15.75" customHeight="1" s="217">
      <c r="A3390" s="397" t="n">
        <v>3388</v>
      </c>
      <c r="B3390" s="397" t="inlineStr">
        <is>
          <t>KH0372</t>
        </is>
      </c>
      <c r="C3390" s="398" t="inlineStr">
        <is>
          <t>Anh Phú - Q9/ 0938.227.554</t>
        </is>
      </c>
      <c r="D3390" s="397" t="inlineStr">
        <is>
          <t>0938.227.554</t>
        </is>
      </c>
      <c r="E3390" s="399" t="n"/>
      <c r="F3390" s="398" t="inlineStr">
        <is>
          <t>Quận 9, TPHCM</t>
        </is>
      </c>
      <c r="G3390" s="397" t="inlineStr">
        <is>
          <t>SG/HCM</t>
        </is>
      </c>
      <c r="H3390" s="399" t="n"/>
      <c r="J3390" s="392">
        <f>IFERROR(UPPER(TRIM(B3390))&amp;"|"&amp;UPPER(TRIM(C3390))&amp;"|"&amp;UPPER(TRIM(D3390)),"")</f>
        <v/>
      </c>
    </row>
    <row r="3391" ht="15.75" customHeight="1" s="217">
      <c r="A3391" s="400" t="n">
        <v>3389</v>
      </c>
      <c r="B3391" s="400" t="inlineStr">
        <is>
          <t>KH0373</t>
        </is>
      </c>
      <c r="C3391" s="401" t="inlineStr">
        <is>
          <t>Anh Tiến - Nha Trang/ 0989.837.361</t>
        </is>
      </c>
      <c r="D3391" s="400" t="inlineStr">
        <is>
          <t>0989.837.361</t>
        </is>
      </c>
      <c r="E3391" s="402" t="n"/>
      <c r="F3391" s="401" t="inlineStr">
        <is>
          <t>Nha Trang</t>
        </is>
      </c>
      <c r="G3391" s="400" t="inlineStr">
        <is>
          <t>NTRANG</t>
        </is>
      </c>
      <c r="H3391" s="402" t="n"/>
      <c r="J3391" s="392">
        <f>IFERROR(UPPER(TRIM(B3391))&amp;"|"&amp;UPPER(TRIM(C3391))&amp;"|"&amp;UPPER(TRIM(D3391)),"")</f>
        <v/>
      </c>
    </row>
    <row r="3392" ht="15.75" customHeight="1" s="217">
      <c r="A3392" s="397" t="n">
        <v>3390</v>
      </c>
      <c r="B3392" s="397" t="inlineStr">
        <is>
          <t>KH0371</t>
        </is>
      </c>
      <c r="C3392" s="398" t="inlineStr">
        <is>
          <t>anh Vân - Vĩnh Long/ 0989.474.529</t>
        </is>
      </c>
      <c r="D3392" s="397" t="inlineStr">
        <is>
          <t>0989.474.529</t>
        </is>
      </c>
      <c r="E3392" s="399" t="n"/>
      <c r="F3392" s="398" t="inlineStr">
        <is>
          <t>Vĩnh Long</t>
        </is>
      </c>
      <c r="G3392" s="399" t="n"/>
      <c r="H3392" s="399" t="n"/>
      <c r="J3392" s="392">
        <f>IFERROR(UPPER(TRIM(B3392))&amp;"|"&amp;UPPER(TRIM(C3392))&amp;"|"&amp;UPPER(TRIM(D3392)),"")</f>
        <v/>
      </c>
    </row>
    <row r="3393" ht="15.75" customHeight="1" s="217">
      <c r="A3393" s="400" t="n">
        <v>3391</v>
      </c>
      <c r="B3393" s="400" t="inlineStr">
        <is>
          <t>KH0369</t>
        </is>
      </c>
      <c r="C3393" s="401" t="inlineStr">
        <is>
          <t>anh Hòa - Bà Rịa Vũng Tàu/ 01627.117.338</t>
        </is>
      </c>
      <c r="D3393" s="400" t="inlineStr">
        <is>
          <t>01627.117.338</t>
        </is>
      </c>
      <c r="E3393" s="402" t="n"/>
      <c r="F3393" s="401" t="inlineStr">
        <is>
          <t>Vũng Tàu</t>
        </is>
      </c>
      <c r="G3393" s="400" t="inlineStr">
        <is>
          <t>BRVT</t>
        </is>
      </c>
      <c r="H3393" s="402" t="n"/>
      <c r="J3393" s="392">
        <f>IFERROR(UPPER(TRIM(B3393))&amp;"|"&amp;UPPER(TRIM(C3393))&amp;"|"&amp;UPPER(TRIM(D3393)),"")</f>
        <v/>
      </c>
    </row>
    <row r="3394" ht="15.75" customHeight="1" s="217">
      <c r="A3394" s="397" t="n">
        <v>3392</v>
      </c>
      <c r="B3394" s="397" t="inlineStr">
        <is>
          <t>KH0370</t>
        </is>
      </c>
      <c r="C3394" s="398" t="inlineStr">
        <is>
          <t>anh Thanh - Đồng Nai/ 01695.055.521</t>
        </is>
      </c>
      <c r="D3394" s="397" t="inlineStr">
        <is>
          <t>01695.055.521</t>
        </is>
      </c>
      <c r="E3394" s="399" t="n"/>
      <c r="F3394" s="398" t="inlineStr">
        <is>
          <t>Đồng Nai</t>
        </is>
      </c>
      <c r="G3394" s="397" t="inlineStr">
        <is>
          <t>ÐNAI</t>
        </is>
      </c>
      <c r="H3394" s="399" t="n"/>
      <c r="J3394" s="392">
        <f>IFERROR(UPPER(TRIM(B3394))&amp;"|"&amp;UPPER(TRIM(C3394))&amp;"|"&amp;UPPER(TRIM(D3394)),"")</f>
        <v/>
      </c>
    </row>
    <row r="3395" ht="15.75" customHeight="1" s="217">
      <c r="A3395" s="400" t="n">
        <v>3393</v>
      </c>
      <c r="B3395" s="400" t="inlineStr">
        <is>
          <t>KH0368</t>
        </is>
      </c>
      <c r="C3395" s="401" t="inlineStr">
        <is>
          <t>Anh Tài (Công ty Khai Thác Khoáng Sản Tân Mỹ) - Bình Dương/ 0918.158.046</t>
        </is>
      </c>
      <c r="D3395" s="400" t="inlineStr">
        <is>
          <t>0918.158.046</t>
        </is>
      </c>
      <c r="E3395" s="402" t="n"/>
      <c r="F3395" s="401" t="inlineStr">
        <is>
          <t>ấp 3, Tân Mỹ, Tân Uyên, Bình Dương</t>
        </is>
      </c>
      <c r="G3395" s="400" t="inlineStr">
        <is>
          <t>BDUONG</t>
        </is>
      </c>
      <c r="H3395" s="402" t="n"/>
      <c r="J3395" s="392">
        <f>IFERROR(UPPER(TRIM(B3395))&amp;"|"&amp;UPPER(TRIM(C3395))&amp;"|"&amp;UPPER(TRIM(D3395)),"")</f>
        <v/>
      </c>
    </row>
    <row r="3396" ht="15.75" customHeight="1" s="217">
      <c r="A3396" s="397" t="n">
        <v>3394</v>
      </c>
      <c r="B3396" s="397" t="inlineStr">
        <is>
          <t>KH0367</t>
        </is>
      </c>
      <c r="C3396" s="398" t="inlineStr">
        <is>
          <t>Công ty Cổ phần 482 - ĐT: 0383.853.200 Fax: 0383.854.701</t>
        </is>
      </c>
      <c r="D3396" s="397" t="inlineStr">
        <is>
          <t>0383.853.200 / 0383.854.701</t>
        </is>
      </c>
      <c r="E3396" s="399" t="n"/>
      <c r="F3396" s="398" t="inlineStr">
        <is>
          <t>Số 155 Đường Trường Trinh, TP Vinh, Tỉnh Nghệ An</t>
        </is>
      </c>
      <c r="G3396" s="399" t="n"/>
      <c r="H3396" s="399" t="n"/>
      <c r="J3396" s="392">
        <f>IFERROR(UPPER(TRIM(B3396))&amp;"|"&amp;UPPER(TRIM(C3396))&amp;"|"&amp;UPPER(TRIM(D3396)),"")</f>
        <v/>
      </c>
    </row>
    <row r="3397" ht="15.75" customHeight="1" s="217">
      <c r="A3397" s="400" t="n">
        <v>3395</v>
      </c>
      <c r="B3397" s="400" t="inlineStr">
        <is>
          <t>KH0366</t>
        </is>
      </c>
      <c r="C3397" s="401" t="inlineStr">
        <is>
          <t>Garage Thành Thơ - Lâm Đồng/ 0984.862.528</t>
        </is>
      </c>
      <c r="D3397" s="400" t="inlineStr">
        <is>
          <t>0984.862.528</t>
        </is>
      </c>
      <c r="E3397" s="402" t="n"/>
      <c r="F3397" s="401" t="inlineStr">
        <is>
          <t>Lâm Đồng</t>
        </is>
      </c>
      <c r="G3397" s="400" t="inlineStr">
        <is>
          <t>LDONG</t>
        </is>
      </c>
      <c r="H3397" s="402" t="n"/>
      <c r="J3397" s="392">
        <f>IFERROR(UPPER(TRIM(B3397))&amp;"|"&amp;UPPER(TRIM(C3397))&amp;"|"&amp;UPPER(TRIM(D3397)),"")</f>
        <v/>
      </c>
    </row>
    <row r="3398" ht="15.75" customHeight="1" s="217">
      <c r="A3398" s="397" t="n">
        <v>3396</v>
      </c>
      <c r="B3398" s="397" t="inlineStr">
        <is>
          <t>KH0362</t>
        </is>
      </c>
      <c r="C3398" s="398" t="inlineStr">
        <is>
          <t>Công ty CP Đầu Tư Xây Dựng Việt Phúc / 0908.286.587</t>
        </is>
      </c>
      <c r="D3398" s="397" t="inlineStr">
        <is>
          <t>0908.286.587</t>
        </is>
      </c>
      <c r="E3398" s="399" t="n"/>
      <c r="F3398" s="398" t="inlineStr">
        <is>
          <t>Số 17, Ngõ 167, Đường Giải Phóng, Quận Hai Bà Trưng, Hà Nội</t>
        </is>
      </c>
      <c r="G3398" s="399" t="n"/>
      <c r="H3398" s="399" t="n"/>
      <c r="J3398" s="392">
        <f>IFERROR(UPPER(TRIM(B3398))&amp;"|"&amp;UPPER(TRIM(C3398))&amp;"|"&amp;UPPER(TRIM(D3398)),"")</f>
        <v/>
      </c>
    </row>
    <row r="3399" ht="15.75" customHeight="1" s="217">
      <c r="A3399" s="400" t="n">
        <v>3397</v>
      </c>
      <c r="B3399" s="400" t="inlineStr">
        <is>
          <t>KH0363</t>
        </is>
      </c>
      <c r="C3399" s="401" t="inlineStr">
        <is>
          <t>Xưởng anh Phương Lớn - Tây Ninh/ 0908.700.278</t>
        </is>
      </c>
      <c r="D3399" s="400" t="inlineStr">
        <is>
          <t>0908.700.278</t>
        </is>
      </c>
      <c r="E3399" s="402" t="n"/>
      <c r="F3399" s="401" t="inlineStr">
        <is>
          <t>Tây Ninh</t>
        </is>
      </c>
      <c r="G3399" s="400" t="inlineStr">
        <is>
          <t>TNINH</t>
        </is>
      </c>
      <c r="H3399" s="402" t="n"/>
      <c r="J3399" s="392">
        <f>IFERROR(UPPER(TRIM(B3399))&amp;"|"&amp;UPPER(TRIM(C3399))&amp;"|"&amp;UPPER(TRIM(D3399)),"")</f>
        <v/>
      </c>
    </row>
    <row r="3400" ht="15.75" customHeight="1" s="217">
      <c r="A3400" s="397" t="n">
        <v>3398</v>
      </c>
      <c r="B3400" s="397" t="inlineStr">
        <is>
          <t>KH0364</t>
        </is>
      </c>
      <c r="C3400" s="398" t="inlineStr">
        <is>
          <t>DNTN Hà An Khánh - Diên Khánh/ anh Tuấn: 0905.500.656</t>
        </is>
      </c>
      <c r="D3400" s="397" t="inlineStr">
        <is>
          <t>0905.500.656</t>
        </is>
      </c>
      <c r="E3400" s="399" t="n"/>
      <c r="F3400" s="398" t="inlineStr">
        <is>
          <t>Thôn Trung 1, Diên Điền, Diên Khánh, Khánh Hòa</t>
        </is>
      </c>
      <c r="G3400" s="397" t="inlineStr">
        <is>
          <t>NTRANG</t>
        </is>
      </c>
      <c r="H3400" s="399" t="n"/>
      <c r="J3400" s="392">
        <f>IFERROR(UPPER(TRIM(B3400))&amp;"|"&amp;UPPER(TRIM(C3400))&amp;"|"&amp;UPPER(TRIM(D3400)),"")</f>
        <v/>
      </c>
    </row>
    <row r="3401" ht="15.75" customHeight="1" s="217">
      <c r="A3401" s="400" t="n">
        <v>3399</v>
      </c>
      <c r="B3401" s="400" t="inlineStr">
        <is>
          <t>KH0365</t>
        </is>
      </c>
      <c r="C3401" s="401" t="inlineStr">
        <is>
          <t>Cửa hàng Lê Thân - Buôn Ma Thuột/ 0945.683.068 - 05003.853.899</t>
        </is>
      </c>
      <c r="D3401" s="400" t="inlineStr">
        <is>
          <t>0945.683.068 / 05003.853.899</t>
        </is>
      </c>
      <c r="E3401" s="402" t="n"/>
      <c r="F3401" s="401" t="inlineStr">
        <is>
          <t>321 Lê Hồng Phong, TP Buôn Ma Thuột, Đắk Lắk</t>
        </is>
      </c>
      <c r="G3401" s="400" t="inlineStr">
        <is>
          <t>ÐL</t>
        </is>
      </c>
      <c r="H3401" s="402" t="n"/>
      <c r="J3401" s="392">
        <f>IFERROR(UPPER(TRIM(B3401))&amp;"|"&amp;UPPER(TRIM(C3401))&amp;"|"&amp;UPPER(TRIM(D3401)),"")</f>
        <v/>
      </c>
    </row>
    <row r="3402" ht="15.75" customHeight="1" s="217">
      <c r="A3402" s="397" t="n">
        <v>3400</v>
      </c>
      <c r="B3402" s="397" t="inlineStr">
        <is>
          <t>KH0359</t>
        </is>
      </c>
      <c r="C3402" s="398" t="inlineStr">
        <is>
          <t>Công ty TNHH Xây Lắp Số 1- Nha Trang: anh Hiếu: 0913.462.088</t>
        </is>
      </c>
      <c r="D3402" s="397" t="inlineStr">
        <is>
          <t>0913.462.088</t>
        </is>
      </c>
      <c r="E3402" s="399" t="n"/>
      <c r="F3402" s="398" t="inlineStr">
        <is>
          <t>39 Mê Linh, P. Tân Lập, TP Nha Trang</t>
        </is>
      </c>
      <c r="G3402" s="397" t="inlineStr">
        <is>
          <t>NTRANG</t>
        </is>
      </c>
      <c r="H3402" s="399" t="n"/>
      <c r="J3402" s="392">
        <f>IFERROR(UPPER(TRIM(B3402))&amp;"|"&amp;UPPER(TRIM(C3402))&amp;"|"&amp;UPPER(TRIM(D3402)),"")</f>
        <v/>
      </c>
    </row>
    <row r="3403" ht="15.75" customHeight="1" s="217">
      <c r="A3403" s="400" t="n">
        <v>3401</v>
      </c>
      <c r="B3403" s="400" t="inlineStr">
        <is>
          <t>KH0360</t>
        </is>
      </c>
      <c r="C3403" s="401" t="inlineStr">
        <is>
          <t>anh Mốt - Long An/ 0989.702.331</t>
        </is>
      </c>
      <c r="D3403" s="400" t="inlineStr">
        <is>
          <t>0989.702.331</t>
        </is>
      </c>
      <c r="E3403" s="402" t="n"/>
      <c r="F3403" s="401" t="inlineStr">
        <is>
          <t>Long An</t>
        </is>
      </c>
      <c r="G3403" s="400" t="inlineStr">
        <is>
          <t>LA</t>
        </is>
      </c>
      <c r="H3403" s="402" t="n"/>
      <c r="J3403" s="392">
        <f>IFERROR(UPPER(TRIM(B3403))&amp;"|"&amp;UPPER(TRIM(C3403))&amp;"|"&amp;UPPER(TRIM(D3403)),"")</f>
        <v/>
      </c>
    </row>
    <row r="3404" ht="15.75" customHeight="1" s="217">
      <c r="A3404" s="397" t="n">
        <v>3402</v>
      </c>
      <c r="B3404" s="397" t="inlineStr">
        <is>
          <t>KH0361</t>
        </is>
      </c>
      <c r="C3404" s="398" t="inlineStr">
        <is>
          <t>Anh Hinh - Sài Gòn/ 0908.975.708</t>
        </is>
      </c>
      <c r="D3404" s="397" t="inlineStr">
        <is>
          <t>0908.975.708</t>
        </is>
      </c>
      <c r="E3404" s="399" t="n"/>
      <c r="F3404" s="398" t="inlineStr">
        <is>
          <t>Sài Gòn</t>
        </is>
      </c>
      <c r="G3404" s="397" t="inlineStr">
        <is>
          <t>SG/HCM</t>
        </is>
      </c>
      <c r="H3404" s="399" t="n"/>
      <c r="J3404" s="392">
        <f>IFERROR(UPPER(TRIM(B3404))&amp;"|"&amp;UPPER(TRIM(C3404))&amp;"|"&amp;UPPER(TRIM(D3404)),"")</f>
        <v/>
      </c>
    </row>
    <row r="3405" ht="15.75" customHeight="1" s="217">
      <c r="A3405" s="400" t="n">
        <v>3403</v>
      </c>
      <c r="B3405" s="400" t="inlineStr">
        <is>
          <t>KH0356</t>
        </is>
      </c>
      <c r="C3405" s="401" t="inlineStr">
        <is>
          <t>anh Giỏi - Sài Gòn/ 0902.557.939</t>
        </is>
      </c>
      <c r="D3405" s="400" t="inlineStr">
        <is>
          <t>0902.557.939</t>
        </is>
      </c>
      <c r="E3405" s="402" t="n"/>
      <c r="F3405" s="401" t="inlineStr">
        <is>
          <t>Sài Gòn</t>
        </is>
      </c>
      <c r="G3405" s="400" t="inlineStr">
        <is>
          <t>SG/HCM</t>
        </is>
      </c>
      <c r="H3405" s="402" t="n"/>
      <c r="J3405" s="392">
        <f>IFERROR(UPPER(TRIM(B3405))&amp;"|"&amp;UPPER(TRIM(C3405))&amp;"|"&amp;UPPER(TRIM(D3405)),"")</f>
        <v/>
      </c>
    </row>
    <row r="3406" ht="15.75" customHeight="1" s="217">
      <c r="A3406" s="397" t="n">
        <v>3404</v>
      </c>
      <c r="B3406" s="397" t="inlineStr">
        <is>
          <t>KH0357</t>
        </is>
      </c>
      <c r="C3406" s="398" t="inlineStr">
        <is>
          <t>Công ty Cổ phần Quản lý và XD đường bộ Lâm Đồng/ 0989.268.113</t>
        </is>
      </c>
      <c r="D3406" s="397" t="inlineStr">
        <is>
          <t>0989.268.113</t>
        </is>
      </c>
      <c r="E3406" s="399" t="n"/>
      <c r="F3406" s="398" t="inlineStr">
        <is>
          <t>Số 03 đường Lữ Gia, TP Đà Lạt, Lâm Đồng</t>
        </is>
      </c>
      <c r="G3406" s="397" t="inlineStr">
        <is>
          <t>LDONG</t>
        </is>
      </c>
      <c r="H3406" s="399" t="n"/>
      <c r="J3406" s="392">
        <f>IFERROR(UPPER(TRIM(B3406))&amp;"|"&amp;UPPER(TRIM(C3406))&amp;"|"&amp;UPPER(TRIM(D3406)),"")</f>
        <v/>
      </c>
    </row>
    <row r="3407" ht="15.75" customHeight="1" s="217">
      <c r="A3407" s="400" t="n">
        <v>3405</v>
      </c>
      <c r="B3407" s="400" t="inlineStr">
        <is>
          <t>KH0358</t>
        </is>
      </c>
      <c r="C3407" s="401" t="inlineStr">
        <is>
          <t>Bãi Máy Mai Dũng - Bình Chánh/ 0974.131.390</t>
        </is>
      </c>
      <c r="D3407" s="400" t="inlineStr">
        <is>
          <t>0974.131.390</t>
        </is>
      </c>
      <c r="E3407" s="402" t="n"/>
      <c r="F3407" s="401" t="inlineStr">
        <is>
          <t>Bình Chánh, TP HCM</t>
        </is>
      </c>
      <c r="G3407" s="400" t="inlineStr">
        <is>
          <t>SG/HCM</t>
        </is>
      </c>
      <c r="H3407" s="402" t="n"/>
      <c r="J3407" s="392">
        <f>IFERROR(UPPER(TRIM(B3407))&amp;"|"&amp;UPPER(TRIM(C3407))&amp;"|"&amp;UPPER(TRIM(D3407)),"")</f>
        <v/>
      </c>
    </row>
    <row r="3408" ht="15.75" customHeight="1" s="217">
      <c r="A3408" s="397" t="n">
        <v>3406</v>
      </c>
      <c r="B3408" s="397" t="inlineStr">
        <is>
          <t>SUAKHO</t>
        </is>
      </c>
      <c r="C3408" s="398" t="inlineStr">
        <is>
          <t>Công ty TNHH TM-DV-CK Xây dựng Vương Phát</t>
        </is>
      </c>
      <c r="D3408" s="399" t="n"/>
      <c r="E3408" s="399" t="n"/>
      <c r="F3408" s="398" t="inlineStr">
        <is>
          <t>47/10/10 Ao Đôi, KP10, P.Bình Trị Đông B, Quận Bình Tân, TPHCM</t>
        </is>
      </c>
      <c r="G3408" s="399" t="n"/>
      <c r="H3408" s="399" t="n"/>
      <c r="J3408" s="392">
        <f>IFERROR(UPPER(TRIM(B3408))&amp;"|"&amp;UPPER(TRIM(C3408))&amp;"|"&amp;UPPER(TRIM(D3408)),"")</f>
        <v/>
      </c>
    </row>
    <row r="3409" ht="15.75" customHeight="1" s="217">
      <c r="A3409" s="400" t="n">
        <v>3407</v>
      </c>
      <c r="B3409" s="400" t="inlineStr">
        <is>
          <t>KH0355</t>
        </is>
      </c>
      <c r="C3409" s="401" t="inlineStr">
        <is>
          <t>Xưởng Thế Vinh - Gia Lai/ 0918.831.569</t>
        </is>
      </c>
      <c r="D3409" s="400" t="inlineStr">
        <is>
          <t>0918.831.569</t>
        </is>
      </c>
      <c r="E3409" s="402" t="n"/>
      <c r="F3409" s="401" t="inlineStr">
        <is>
          <t>419 Lê Thánh Tông, TP Pleiku, Gia Lai</t>
        </is>
      </c>
      <c r="G3409" s="400" t="inlineStr">
        <is>
          <t>GLAI</t>
        </is>
      </c>
      <c r="H3409" s="402" t="n"/>
      <c r="J3409" s="392">
        <f>IFERROR(UPPER(TRIM(B3409))&amp;"|"&amp;UPPER(TRIM(C3409))&amp;"|"&amp;UPPER(TRIM(D3409)),"")</f>
        <v/>
      </c>
    </row>
    <row r="3410" ht="15.75" customHeight="1" s="217">
      <c r="A3410" s="397" t="n">
        <v>3408</v>
      </c>
      <c r="B3410" s="397" t="inlineStr">
        <is>
          <t>KH0354</t>
        </is>
      </c>
      <c r="C3410" s="398" t="inlineStr">
        <is>
          <t>anh Quý (công ty TNHH TM Long Hà) - Bình Phước/ 0964.295.555</t>
        </is>
      </c>
      <c r="D3410" s="397" t="inlineStr">
        <is>
          <t>0964.295.555</t>
        </is>
      </c>
      <c r="E3410" s="399" t="n"/>
      <c r="F3410" s="398" t="inlineStr">
        <is>
          <t>Thôn 11, xã Long Hòa, huyện Bù Gia Mập, Tỉnh Bình Phước</t>
        </is>
      </c>
      <c r="G3410" s="397" t="inlineStr">
        <is>
          <t>BP</t>
        </is>
      </c>
      <c r="H3410" s="399" t="n"/>
      <c r="J3410" s="392">
        <f>IFERROR(UPPER(TRIM(B3410))&amp;"|"&amp;UPPER(TRIM(C3410))&amp;"|"&amp;UPPER(TRIM(D3410)),"")</f>
        <v/>
      </c>
    </row>
    <row r="3411" ht="15.75" customHeight="1" s="217">
      <c r="A3411" s="400" t="n">
        <v>3409</v>
      </c>
      <c r="B3411" s="400" t="inlineStr">
        <is>
          <t>KH0350</t>
        </is>
      </c>
      <c r="C3411" s="401" t="inlineStr">
        <is>
          <t>anh Khuyên - Bến Tre/ 0982.397.707</t>
        </is>
      </c>
      <c r="D3411" s="400" t="inlineStr">
        <is>
          <t>0982.397.707</t>
        </is>
      </c>
      <c r="E3411" s="402" t="n"/>
      <c r="F3411" s="401" t="inlineStr">
        <is>
          <t>Bình Đại - Bến Tre</t>
        </is>
      </c>
      <c r="G3411" s="400" t="inlineStr">
        <is>
          <t>BTRE</t>
        </is>
      </c>
      <c r="H3411" s="402" t="n"/>
      <c r="J3411" s="392">
        <f>IFERROR(UPPER(TRIM(B3411))&amp;"|"&amp;UPPER(TRIM(C3411))&amp;"|"&amp;UPPER(TRIM(D3411)),"")</f>
        <v/>
      </c>
    </row>
    <row r="3412" ht="15.75" customHeight="1" s="217">
      <c r="A3412" s="397" t="n">
        <v>3410</v>
      </c>
      <c r="B3412" s="397" t="inlineStr">
        <is>
          <t>KH0351</t>
        </is>
      </c>
      <c r="C3412" s="398" t="inlineStr">
        <is>
          <t>Xưởng anh Việt - Phan Thiết/ 0935.237.429</t>
        </is>
      </c>
      <c r="D3412" s="397" t="inlineStr">
        <is>
          <t>0935.237.429</t>
        </is>
      </c>
      <c r="E3412" s="399" t="n"/>
      <c r="F3412" s="398" t="inlineStr">
        <is>
          <t>Quốc lộ 1A, TP Phan Thiết, Bình Thuận</t>
        </is>
      </c>
      <c r="G3412" s="397" t="inlineStr">
        <is>
          <t>BTHUAN</t>
        </is>
      </c>
      <c r="H3412" s="399" t="n"/>
      <c r="J3412" s="392">
        <f>IFERROR(UPPER(TRIM(B3412))&amp;"|"&amp;UPPER(TRIM(C3412))&amp;"|"&amp;UPPER(TRIM(D3412)),"")</f>
        <v/>
      </c>
    </row>
    <row r="3413" ht="15.75" customHeight="1" s="217">
      <c r="A3413" s="400" t="n">
        <v>3411</v>
      </c>
      <c r="B3413" s="400" t="inlineStr">
        <is>
          <t>KH0352</t>
        </is>
      </c>
      <c r="C3413" s="401" t="inlineStr">
        <is>
          <t>anh Khoa - Bình Thuận/ 0903.615.282</t>
        </is>
      </c>
      <c r="D3413" s="400" t="inlineStr">
        <is>
          <t>0903.615.282</t>
        </is>
      </c>
      <c r="E3413" s="402" t="n"/>
      <c r="F3413" s="401" t="inlineStr">
        <is>
          <t>Bình Thuận</t>
        </is>
      </c>
      <c r="G3413" s="400" t="inlineStr">
        <is>
          <t>BTHUAN</t>
        </is>
      </c>
      <c r="H3413" s="402" t="n"/>
      <c r="J3413" s="392">
        <f>IFERROR(UPPER(TRIM(B3413))&amp;"|"&amp;UPPER(TRIM(C3413))&amp;"|"&amp;UPPER(TRIM(D3413)),"")</f>
        <v/>
      </c>
    </row>
    <row r="3414" ht="15.75" customHeight="1" s="217">
      <c r="A3414" s="397" t="n">
        <v>3412</v>
      </c>
      <c r="B3414" s="397" t="inlineStr">
        <is>
          <t>KH0353</t>
        </is>
      </c>
      <c r="C3414" s="398" t="inlineStr">
        <is>
          <t>Anh Khương - Gia Lai/ 0947.868.029</t>
        </is>
      </c>
      <c r="D3414" s="397" t="inlineStr">
        <is>
          <t>0947.868.029</t>
        </is>
      </c>
      <c r="E3414" s="399" t="n"/>
      <c r="F3414" s="398" t="inlineStr">
        <is>
          <t>Gia Lai</t>
        </is>
      </c>
      <c r="G3414" s="397" t="inlineStr">
        <is>
          <t>GLAI</t>
        </is>
      </c>
      <c r="H3414" s="399" t="n"/>
      <c r="J3414" s="392">
        <f>IFERROR(UPPER(TRIM(B3414))&amp;"|"&amp;UPPER(TRIM(C3414))&amp;"|"&amp;UPPER(TRIM(D3414)),"")</f>
        <v/>
      </c>
    </row>
    <row r="3415" ht="15.75" customHeight="1" s="217">
      <c r="A3415" s="400" t="n">
        <v>3413</v>
      </c>
      <c r="B3415" s="400" t="inlineStr">
        <is>
          <t>KH0348</t>
        </is>
      </c>
      <c r="C3415" s="401" t="inlineStr">
        <is>
          <t>anh Mến - Quận 8/ 0933.337.588</t>
        </is>
      </c>
      <c r="D3415" s="400" t="inlineStr">
        <is>
          <t>0933.337.588</t>
        </is>
      </c>
      <c r="E3415" s="402" t="n"/>
      <c r="F3415" s="401" t="inlineStr">
        <is>
          <t>450B/4 Dương Bá Trạch, Phường 1, Quận 8</t>
        </is>
      </c>
      <c r="G3415" s="400" t="inlineStr">
        <is>
          <t>SG/HCM</t>
        </is>
      </c>
      <c r="H3415" s="402" t="n"/>
      <c r="J3415" s="392">
        <f>IFERROR(UPPER(TRIM(B3415))&amp;"|"&amp;UPPER(TRIM(C3415))&amp;"|"&amp;UPPER(TRIM(D3415)),"")</f>
        <v/>
      </c>
    </row>
    <row r="3416" ht="15.75" customHeight="1" s="217">
      <c r="A3416" s="397" t="n">
        <v>3414</v>
      </c>
      <c r="B3416" s="397" t="inlineStr">
        <is>
          <t>KH0349</t>
        </is>
      </c>
      <c r="C3416" s="398" t="inlineStr">
        <is>
          <t>anh Phúc - Nha Trang/ 0935.554.304</t>
        </is>
      </c>
      <c r="D3416" s="397" t="inlineStr">
        <is>
          <t>0935.554.304</t>
        </is>
      </c>
      <c r="E3416" s="399" t="n"/>
      <c r="F3416" s="398" t="inlineStr">
        <is>
          <t>Nha Trang</t>
        </is>
      </c>
      <c r="G3416" s="397" t="inlineStr">
        <is>
          <t>NTRANG</t>
        </is>
      </c>
      <c r="H3416" s="399" t="n"/>
      <c r="J3416" s="392">
        <f>IFERROR(UPPER(TRIM(B3416))&amp;"|"&amp;UPPER(TRIM(C3416))&amp;"|"&amp;UPPER(TRIM(D3416)),"")</f>
        <v/>
      </c>
    </row>
    <row r="3417" ht="15.75" customHeight="1" s="217">
      <c r="A3417" s="400" t="n">
        <v>3415</v>
      </c>
      <c r="B3417" s="400" t="inlineStr">
        <is>
          <t>KH0346</t>
        </is>
      </c>
      <c r="C3417" s="401" t="inlineStr">
        <is>
          <t>anh Phong - Long An/ 0918.434.342</t>
        </is>
      </c>
      <c r="D3417" s="400" t="inlineStr">
        <is>
          <t>0918.434.342</t>
        </is>
      </c>
      <c r="E3417" s="402" t="n"/>
      <c r="F3417" s="401" t="inlineStr">
        <is>
          <t>Long An</t>
        </is>
      </c>
      <c r="G3417" s="400" t="inlineStr">
        <is>
          <t>LA</t>
        </is>
      </c>
      <c r="H3417" s="402" t="n"/>
      <c r="J3417" s="392">
        <f>IFERROR(UPPER(TRIM(B3417))&amp;"|"&amp;UPPER(TRIM(C3417))&amp;"|"&amp;UPPER(TRIM(D3417)),"")</f>
        <v/>
      </c>
    </row>
    <row r="3418" ht="15.75" customHeight="1" s="217">
      <c r="A3418" s="397" t="n">
        <v>3416</v>
      </c>
      <c r="B3418" s="397" t="inlineStr">
        <is>
          <t>KH0347</t>
        </is>
      </c>
      <c r="C3418" s="398" t="inlineStr">
        <is>
          <t>anh Linh - Đắk Nông/ 0978.983.878</t>
        </is>
      </c>
      <c r="D3418" s="397" t="inlineStr">
        <is>
          <t>0978.983.878</t>
        </is>
      </c>
      <c r="E3418" s="399" t="n"/>
      <c r="F3418" s="398" t="inlineStr">
        <is>
          <t>Đắk Nông</t>
        </is>
      </c>
      <c r="G3418" s="397" t="inlineStr">
        <is>
          <t>DNONG</t>
        </is>
      </c>
      <c r="H3418" s="399" t="n"/>
      <c r="J3418" s="392">
        <f>IFERROR(UPPER(TRIM(B3418))&amp;"|"&amp;UPPER(TRIM(C3418))&amp;"|"&amp;UPPER(TRIM(D3418)),"")</f>
        <v/>
      </c>
    </row>
    <row r="3419" ht="15.75" customHeight="1" s="217">
      <c r="A3419" s="400" t="n">
        <v>3417</v>
      </c>
      <c r="B3419" s="400" t="inlineStr">
        <is>
          <t>KH0344</t>
        </is>
      </c>
      <c r="C3419" s="401" t="inlineStr">
        <is>
          <t>Anh Sang - Bạc Liêu/ 0919.072.081</t>
        </is>
      </c>
      <c r="D3419" s="400" t="inlineStr">
        <is>
          <t>0919.072.081</t>
        </is>
      </c>
      <c r="E3419" s="402" t="n"/>
      <c r="F3419" s="401" t="inlineStr">
        <is>
          <t>Bạc Liêu</t>
        </is>
      </c>
      <c r="G3419" s="400" t="inlineStr">
        <is>
          <t>BLIEU</t>
        </is>
      </c>
      <c r="H3419" s="402" t="n"/>
      <c r="J3419" s="392">
        <f>IFERROR(UPPER(TRIM(B3419))&amp;"|"&amp;UPPER(TRIM(C3419))&amp;"|"&amp;UPPER(TRIM(D3419)),"")</f>
        <v/>
      </c>
    </row>
    <row r="3420" ht="15.75" customHeight="1" s="217">
      <c r="A3420" s="397" t="n">
        <v>3418</v>
      </c>
      <c r="B3420" s="397" t="inlineStr">
        <is>
          <t>KH0345</t>
        </is>
      </c>
      <c r="C3420" s="398" t="inlineStr">
        <is>
          <t>Anh Phùng (Công ty TNHH XD Mai Hà) - Bình Thuận: 0913.932.445</t>
        </is>
      </c>
      <c r="D3420" s="397" t="inlineStr">
        <is>
          <t>0913.932.445</t>
        </is>
      </c>
      <c r="E3420" s="399" t="n"/>
      <c r="F3420" s="398" t="inlineStr">
        <is>
          <t>164 Bùi Thị Xuân, Phường Xuân An, TP Phan Thiết, Bình Thuận</t>
        </is>
      </c>
      <c r="G3420" s="397" t="inlineStr">
        <is>
          <t>BTHUAN</t>
        </is>
      </c>
      <c r="H3420" s="399" t="n"/>
      <c r="J3420" s="392">
        <f>IFERROR(UPPER(TRIM(B3420))&amp;"|"&amp;UPPER(TRIM(C3420))&amp;"|"&amp;UPPER(TRIM(D3420)),"")</f>
        <v/>
      </c>
    </row>
    <row r="3421" ht="15.75" customHeight="1" s="217">
      <c r="A3421" s="400" t="n">
        <v>3419</v>
      </c>
      <c r="B3421" s="400" t="inlineStr">
        <is>
          <t>KH0341</t>
        </is>
      </c>
      <c r="C3421" s="401" t="inlineStr">
        <is>
          <t>Anh Tân(Công ty TNHH Xây Dựng Tân Bình) - Trà Vinh/ 0949.062.222</t>
        </is>
      </c>
      <c r="D3421" s="400" t="inlineStr">
        <is>
          <t>0949.062.222</t>
        </is>
      </c>
      <c r="E3421" s="402" t="n"/>
      <c r="F3421" s="401" t="inlineStr">
        <is>
          <t>312A, Lê Lợi, Phường 1, TP Trà Vinh</t>
        </is>
      </c>
      <c r="G3421" s="402" t="n"/>
      <c r="H3421" s="402" t="n"/>
      <c r="J3421" s="392">
        <f>IFERROR(UPPER(TRIM(B3421))&amp;"|"&amp;UPPER(TRIM(C3421))&amp;"|"&amp;UPPER(TRIM(D3421)),"")</f>
        <v/>
      </c>
    </row>
    <row r="3422" ht="15.75" customHeight="1" s="217">
      <c r="A3422" s="397" t="n">
        <v>3420</v>
      </c>
      <c r="B3422" s="397" t="inlineStr">
        <is>
          <t>KH0342</t>
        </is>
      </c>
      <c r="C3422" s="398" t="inlineStr">
        <is>
          <t>anh Vũ - An Giang/ 01684.044.093</t>
        </is>
      </c>
      <c r="D3422" s="397" t="inlineStr">
        <is>
          <t>01684.044.093</t>
        </is>
      </c>
      <c r="E3422" s="399" t="n"/>
      <c r="F3422" s="398" t="inlineStr">
        <is>
          <t>An Giang</t>
        </is>
      </c>
      <c r="G3422" s="397" t="inlineStr">
        <is>
          <t>ANGIANG</t>
        </is>
      </c>
      <c r="H3422" s="399" t="n"/>
      <c r="J3422" s="392">
        <f>IFERROR(UPPER(TRIM(B3422))&amp;"|"&amp;UPPER(TRIM(C3422))&amp;"|"&amp;UPPER(TRIM(D3422)),"")</f>
        <v/>
      </c>
    </row>
    <row r="3423" ht="15.75" customHeight="1" s="217">
      <c r="A3423" s="400" t="n">
        <v>3421</v>
      </c>
      <c r="B3423" s="400" t="inlineStr">
        <is>
          <t>KH0343</t>
        </is>
      </c>
      <c r="C3423" s="401" t="inlineStr">
        <is>
          <t>Anh Hồng - Sài Gòn/ 0977.993.099</t>
        </is>
      </c>
      <c r="D3423" s="400" t="inlineStr">
        <is>
          <t>0977.993.099</t>
        </is>
      </c>
      <c r="E3423" s="402" t="n"/>
      <c r="F3423" s="401" t="inlineStr">
        <is>
          <t>Sài Gòn</t>
        </is>
      </c>
      <c r="G3423" s="400" t="inlineStr">
        <is>
          <t>SG/HCM</t>
        </is>
      </c>
      <c r="H3423" s="402" t="n"/>
      <c r="J3423" s="392">
        <f>IFERROR(UPPER(TRIM(B3423))&amp;"|"&amp;UPPER(TRIM(C3423))&amp;"|"&amp;UPPER(TRIM(D3423)),"")</f>
        <v/>
      </c>
    </row>
    <row r="3424" ht="15.75" customHeight="1" s="217">
      <c r="A3424" s="397" t="n">
        <v>3422</v>
      </c>
      <c r="B3424" s="397" t="inlineStr">
        <is>
          <t>KH0340</t>
        </is>
      </c>
      <c r="C3424" s="398" t="inlineStr">
        <is>
          <t>Anh Linh - Cà Mau/ 0913.880.930 - 0918.053.361</t>
        </is>
      </c>
      <c r="D3424" s="397" t="inlineStr">
        <is>
          <t>0913.880.930 / 0918.053.361</t>
        </is>
      </c>
      <c r="E3424" s="399" t="n"/>
      <c r="F3424" s="398" t="inlineStr">
        <is>
          <t>Cà Mau</t>
        </is>
      </c>
      <c r="G3424" s="397" t="inlineStr">
        <is>
          <t>CMAU</t>
        </is>
      </c>
      <c r="H3424" s="399" t="n"/>
      <c r="J3424" s="392">
        <f>IFERROR(UPPER(TRIM(B3424))&amp;"|"&amp;UPPER(TRIM(C3424))&amp;"|"&amp;UPPER(TRIM(D3424)),"")</f>
        <v/>
      </c>
    </row>
    <row r="3425" ht="15.75" customHeight="1" s="217">
      <c r="A3425" s="400" t="n">
        <v>3423</v>
      </c>
      <c r="B3425" s="400" t="inlineStr">
        <is>
          <t>KH0339</t>
        </is>
      </c>
      <c r="C3425" s="401" t="inlineStr">
        <is>
          <t>Anh Phước - Cà Mau/ 0913.106.505</t>
        </is>
      </c>
      <c r="D3425" s="400" t="inlineStr">
        <is>
          <t>0913.106.505</t>
        </is>
      </c>
      <c r="E3425" s="402" t="n"/>
      <c r="F3425" s="401" t="inlineStr">
        <is>
          <t>Cà Mau</t>
        </is>
      </c>
      <c r="G3425" s="400" t="inlineStr">
        <is>
          <t>CMAU</t>
        </is>
      </c>
      <c r="H3425" s="402" t="n"/>
      <c r="J3425" s="392">
        <f>IFERROR(UPPER(TRIM(B3425))&amp;"|"&amp;UPPER(TRIM(C3425))&amp;"|"&amp;UPPER(TRIM(D3425)),"")</f>
        <v/>
      </c>
    </row>
    <row r="3426" ht="15.75" customHeight="1" s="217">
      <c r="A3426" s="397" t="n">
        <v>3424</v>
      </c>
      <c r="B3426" s="397" t="inlineStr">
        <is>
          <t>KH0338</t>
        </is>
      </c>
      <c r="C3426" s="398" t="inlineStr">
        <is>
          <t>anh Thao - Chợ Lầu/ 0945.820.065</t>
        </is>
      </c>
      <c r="D3426" s="397" t="inlineStr">
        <is>
          <t>0945.820.065</t>
        </is>
      </c>
      <c r="E3426" s="399" t="n"/>
      <c r="F3426" s="398" t="inlineStr">
        <is>
          <t>Chợ Lầu, Bình Thuận</t>
        </is>
      </c>
      <c r="G3426" s="397" t="inlineStr">
        <is>
          <t>BTHUAN</t>
        </is>
      </c>
      <c r="H3426" s="399" t="n"/>
      <c r="J3426" s="392">
        <f>IFERROR(UPPER(TRIM(B3426))&amp;"|"&amp;UPPER(TRIM(C3426))&amp;"|"&amp;UPPER(TRIM(D3426)),"")</f>
        <v/>
      </c>
    </row>
    <row r="3427" ht="15.75" customHeight="1" s="217">
      <c r="A3427" s="400" t="n">
        <v>3425</v>
      </c>
      <c r="B3427" s="400" t="inlineStr">
        <is>
          <t>KH0337</t>
        </is>
      </c>
      <c r="C3427" s="401" t="inlineStr">
        <is>
          <t>Chú Công - Xe Vũ Duy</t>
        </is>
      </c>
      <c r="D3427" s="402" t="n"/>
      <c r="E3427" s="402" t="n"/>
      <c r="F3427" s="401" t="inlineStr">
        <is>
          <t>Xe Vũ Duy - Đà Lạt</t>
        </is>
      </c>
      <c r="G3427" s="400" t="inlineStr">
        <is>
          <t>LDONG</t>
        </is>
      </c>
      <c r="H3427" s="402" t="n"/>
      <c r="J3427" s="392">
        <f>IFERROR(UPPER(TRIM(B3427))&amp;"|"&amp;UPPER(TRIM(C3427))&amp;"|"&amp;UPPER(TRIM(D3427)),"")</f>
        <v/>
      </c>
    </row>
    <row r="3428" ht="15.75" customHeight="1" s="217">
      <c r="A3428" s="397" t="n">
        <v>3426</v>
      </c>
      <c r="B3428" s="397" t="inlineStr">
        <is>
          <t>KH0335</t>
        </is>
      </c>
      <c r="C3428" s="398" t="inlineStr">
        <is>
          <t>Phạm Anh Tuấn - Khánh Hòa/ 01689.203.939</t>
        </is>
      </c>
      <c r="D3428" s="397" t="inlineStr">
        <is>
          <t>01689.203.939</t>
        </is>
      </c>
      <c r="E3428" s="399" t="n"/>
      <c r="F3428" s="398" t="inlineStr">
        <is>
          <t>Diên Điền - Diên Khánh - Khánh Hòa</t>
        </is>
      </c>
      <c r="G3428" s="397" t="inlineStr">
        <is>
          <t>NTRANG</t>
        </is>
      </c>
      <c r="H3428" s="399" t="n"/>
      <c r="J3428" s="392">
        <f>IFERROR(UPPER(TRIM(B3428))&amp;"|"&amp;UPPER(TRIM(C3428))&amp;"|"&amp;UPPER(TRIM(D3428)),"")</f>
        <v/>
      </c>
    </row>
    <row r="3429" ht="15.75" customHeight="1" s="217">
      <c r="A3429" s="400" t="n">
        <v>3427</v>
      </c>
      <c r="B3429" s="400" t="inlineStr">
        <is>
          <t>KH0336</t>
        </is>
      </c>
      <c r="C3429" s="401" t="inlineStr">
        <is>
          <t>Anh Cường - Tân Vạn/ 0919.064.068</t>
        </is>
      </c>
      <c r="D3429" s="400" t="inlineStr">
        <is>
          <t>0919.064.068</t>
        </is>
      </c>
      <c r="E3429" s="402" t="n"/>
      <c r="F3429" s="401" t="inlineStr">
        <is>
          <t>Tân Vạn, Đồng Nai</t>
        </is>
      </c>
      <c r="G3429" s="400" t="inlineStr">
        <is>
          <t>ÐNAI</t>
        </is>
      </c>
      <c r="H3429" s="402" t="n"/>
      <c r="J3429" s="392">
        <f>IFERROR(UPPER(TRIM(B3429))&amp;"|"&amp;UPPER(TRIM(C3429))&amp;"|"&amp;UPPER(TRIM(D3429)),"")</f>
        <v/>
      </c>
    </row>
    <row r="3430" ht="15.75" customHeight="1" s="217">
      <c r="A3430" s="397" t="n">
        <v>3428</v>
      </c>
      <c r="B3430" s="397" t="inlineStr">
        <is>
          <t>KH0334</t>
        </is>
      </c>
      <c r="C3430" s="398" t="inlineStr">
        <is>
          <t>Cửa hàng phụ tùng cơ giới Khánh Duy - KonTum/ 0976.248.697 Fax: 0603.885.599</t>
        </is>
      </c>
      <c r="D3430" s="397" t="inlineStr">
        <is>
          <t>0603.885.599 / 0976.248.697</t>
        </is>
      </c>
      <c r="E3430" s="399" t="n"/>
      <c r="F3430" s="398" t="inlineStr">
        <is>
          <t>Thôn 5, Đắk Mốt, Ngọc Hồi, Kon Tum</t>
        </is>
      </c>
      <c r="G3430" s="397" t="inlineStr">
        <is>
          <t>KTUM</t>
        </is>
      </c>
      <c r="H3430" s="399" t="n"/>
      <c r="J3430" s="392">
        <f>IFERROR(UPPER(TRIM(B3430))&amp;"|"&amp;UPPER(TRIM(C3430))&amp;"|"&amp;UPPER(TRIM(D3430)),"")</f>
        <v/>
      </c>
    </row>
    <row r="3431" ht="15.75" customHeight="1" s="217">
      <c r="A3431" s="400" t="n">
        <v>3429</v>
      </c>
      <c r="B3431" s="400" t="inlineStr">
        <is>
          <t>KH0333</t>
        </is>
      </c>
      <c r="C3431" s="401" t="inlineStr">
        <is>
          <t>Anh Minh - Gia Lai/ 0976.408.153</t>
        </is>
      </c>
      <c r="D3431" s="400" t="inlineStr">
        <is>
          <t>0976.408.153</t>
        </is>
      </c>
      <c r="E3431" s="402" t="n"/>
      <c r="F3431" s="401" t="inlineStr">
        <is>
          <t>158 Hai Bà Trưng, Pleiku, Gia Lai</t>
        </is>
      </c>
      <c r="G3431" s="400" t="inlineStr">
        <is>
          <t>GLAI</t>
        </is>
      </c>
      <c r="H3431" s="402" t="n"/>
      <c r="J3431" s="392">
        <f>IFERROR(UPPER(TRIM(B3431))&amp;"|"&amp;UPPER(TRIM(C3431))&amp;"|"&amp;UPPER(TRIM(D3431)),"")</f>
        <v/>
      </c>
    </row>
    <row r="3432" ht="15.75" customHeight="1" s="217">
      <c r="A3432" s="397" t="n">
        <v>3430</v>
      </c>
      <c r="B3432" s="397" t="inlineStr">
        <is>
          <t>KH0332</t>
        </is>
      </c>
      <c r="C3432" s="398" t="inlineStr">
        <is>
          <t>Xưởng Anh Ngân - KonTum/ 0961.148.779</t>
        </is>
      </c>
      <c r="D3432" s="397" t="inlineStr">
        <is>
          <t>0961.148.779</t>
        </is>
      </c>
      <c r="E3432" s="399" t="n"/>
      <c r="F3432" s="398" t="inlineStr">
        <is>
          <t>194 Phan Đình Phùng, TP KonTum, KonTum</t>
        </is>
      </c>
      <c r="G3432" s="397" t="inlineStr">
        <is>
          <t>KTUM</t>
        </is>
      </c>
      <c r="H3432" s="399" t="n"/>
      <c r="J3432" s="392">
        <f>IFERROR(UPPER(TRIM(B3432))&amp;"|"&amp;UPPER(TRIM(C3432))&amp;"|"&amp;UPPER(TRIM(D3432)),"")</f>
        <v/>
      </c>
    </row>
    <row r="3433" ht="15.75" customHeight="1" s="217">
      <c r="A3433" s="400" t="n">
        <v>3431</v>
      </c>
      <c r="B3433" s="400" t="inlineStr">
        <is>
          <t>KH0331</t>
        </is>
      </c>
      <c r="C3433" s="401" t="inlineStr">
        <is>
          <t>Xưởng anh Tân - An Giang/ 0937.204.452</t>
        </is>
      </c>
      <c r="D3433" s="400" t="inlineStr">
        <is>
          <t>0937.204.452</t>
        </is>
      </c>
      <c r="E3433" s="402" t="n"/>
      <c r="F3433" s="401" t="inlineStr">
        <is>
          <t>Long Xuyên, An Giang</t>
        </is>
      </c>
      <c r="G3433" s="400" t="inlineStr">
        <is>
          <t>ANGIANG</t>
        </is>
      </c>
      <c r="H3433" s="402" t="n"/>
      <c r="J3433" s="392">
        <f>IFERROR(UPPER(TRIM(B3433))&amp;"|"&amp;UPPER(TRIM(C3433))&amp;"|"&amp;UPPER(TRIM(D3433)),"")</f>
        <v/>
      </c>
    </row>
    <row r="3434" ht="15.75" customHeight="1" s="217">
      <c r="A3434" s="397" t="n">
        <v>3432</v>
      </c>
      <c r="B3434" s="397" t="inlineStr">
        <is>
          <t>KH0329</t>
        </is>
      </c>
      <c r="C3434" s="398" t="inlineStr">
        <is>
          <t>Anh Hiếu - Chợ Lầu/ 0946.957.950</t>
        </is>
      </c>
      <c r="D3434" s="397" t="inlineStr">
        <is>
          <t>0946.957.950</t>
        </is>
      </c>
      <c r="E3434" s="399" t="n"/>
      <c r="F3434" s="398" t="inlineStr">
        <is>
          <t>Chợ Lầu, Bình Thuận</t>
        </is>
      </c>
      <c r="G3434" s="397" t="inlineStr">
        <is>
          <t>BTHUAN</t>
        </is>
      </c>
      <c r="H3434" s="399" t="n"/>
      <c r="J3434" s="392">
        <f>IFERROR(UPPER(TRIM(B3434))&amp;"|"&amp;UPPER(TRIM(C3434))&amp;"|"&amp;UPPER(TRIM(D3434)),"")</f>
        <v/>
      </c>
    </row>
    <row r="3435" ht="15.75" customHeight="1" s="217">
      <c r="A3435" s="400" t="n">
        <v>3433</v>
      </c>
      <c r="B3435" s="400" t="inlineStr">
        <is>
          <t>KH0330</t>
        </is>
      </c>
      <c r="C3435" s="401" t="inlineStr">
        <is>
          <t>Bãi máy chú Kiệt - SG/ 0913.745.709</t>
        </is>
      </c>
      <c r="D3435" s="400" t="inlineStr">
        <is>
          <t>0913.745.709</t>
        </is>
      </c>
      <c r="E3435" s="402" t="n"/>
      <c r="F3435" s="401" t="inlineStr">
        <is>
          <t>Gần Tân Vạn, SG</t>
        </is>
      </c>
      <c r="G3435" s="400" t="inlineStr">
        <is>
          <t>SG/HCM</t>
        </is>
      </c>
      <c r="H3435" s="402" t="n"/>
      <c r="J3435" s="392">
        <f>IFERROR(UPPER(TRIM(B3435))&amp;"|"&amp;UPPER(TRIM(C3435))&amp;"|"&amp;UPPER(TRIM(D3435)),"")</f>
        <v/>
      </c>
    </row>
    <row r="3436" ht="15.75" customHeight="1" s="217">
      <c r="A3436" s="397" t="n">
        <v>3434</v>
      </c>
      <c r="B3436" s="397" t="inlineStr">
        <is>
          <t>KH0327</t>
        </is>
      </c>
      <c r="C3436" s="398" t="inlineStr">
        <is>
          <t>Xưởng Bảy Lợi - Đồng Nai/0903.906.671</t>
        </is>
      </c>
      <c r="D3436" s="397" t="inlineStr">
        <is>
          <t>0903.906.671</t>
        </is>
      </c>
      <c r="E3436" s="399" t="n"/>
      <c r="F3436" s="398" t="inlineStr">
        <is>
          <t>Đồng Nai</t>
        </is>
      </c>
      <c r="G3436" s="397" t="inlineStr">
        <is>
          <t>ÐNAI</t>
        </is>
      </c>
      <c r="H3436" s="399" t="n"/>
      <c r="J3436" s="392">
        <f>IFERROR(UPPER(TRIM(B3436))&amp;"|"&amp;UPPER(TRIM(C3436))&amp;"|"&amp;UPPER(TRIM(D3436)),"")</f>
        <v/>
      </c>
    </row>
    <row r="3437" ht="15.75" customHeight="1" s="217">
      <c r="A3437" s="400" t="n">
        <v>3435</v>
      </c>
      <c r="B3437" s="400" t="inlineStr">
        <is>
          <t>KH0328</t>
        </is>
      </c>
      <c r="C3437" s="401" t="inlineStr">
        <is>
          <t>Cửa hàng Anh Thành - Long An/ 0913.834.368</t>
        </is>
      </c>
      <c r="D3437" s="400" t="inlineStr">
        <is>
          <t>0913.834.368</t>
        </is>
      </c>
      <c r="E3437" s="402" t="n"/>
      <c r="F3437" s="401" t="inlineStr">
        <is>
          <t>Số 23, Hùng Vương, TP Tân An, Long An</t>
        </is>
      </c>
      <c r="G3437" s="400" t="inlineStr">
        <is>
          <t>LA</t>
        </is>
      </c>
      <c r="H3437" s="402" t="n"/>
      <c r="J3437" s="392">
        <f>IFERROR(UPPER(TRIM(B3437))&amp;"|"&amp;UPPER(TRIM(C3437))&amp;"|"&amp;UPPER(TRIM(D3437)),"")</f>
        <v/>
      </c>
    </row>
    <row r="3438" ht="15.75" customHeight="1" s="217">
      <c r="A3438" s="397" t="n">
        <v>3436</v>
      </c>
      <c r="B3438" s="397" t="inlineStr">
        <is>
          <t>KH0325</t>
        </is>
      </c>
      <c r="C3438" s="398" t="inlineStr">
        <is>
          <t>Anh Hậu - Long An/ 0983.297.151</t>
        </is>
      </c>
      <c r="D3438" s="397" t="inlineStr">
        <is>
          <t>0983.297.151</t>
        </is>
      </c>
      <c r="E3438" s="399" t="n"/>
      <c r="F3438" s="398" t="inlineStr">
        <is>
          <t>Long An</t>
        </is>
      </c>
      <c r="G3438" s="397" t="inlineStr">
        <is>
          <t>LA</t>
        </is>
      </c>
      <c r="H3438" s="399" t="n"/>
      <c r="J3438" s="392">
        <f>IFERROR(UPPER(TRIM(B3438))&amp;"|"&amp;UPPER(TRIM(C3438))&amp;"|"&amp;UPPER(TRIM(D3438)),"")</f>
        <v/>
      </c>
    </row>
    <row r="3439" ht="15.75" customHeight="1" s="217">
      <c r="A3439" s="400" t="n">
        <v>3437</v>
      </c>
      <c r="B3439" s="400" t="inlineStr">
        <is>
          <t>KH0326</t>
        </is>
      </c>
      <c r="C3439" s="401" t="inlineStr">
        <is>
          <t>Anh Hưng - Campuchia/ 00855973289457</t>
        </is>
      </c>
      <c r="D3439" s="400" t="inlineStr">
        <is>
          <t>08559732894 / 85597328945 / 00855973289</t>
        </is>
      </c>
      <c r="E3439" s="402" t="n"/>
      <c r="F3439" s="401" t="inlineStr">
        <is>
          <t>Campuchia</t>
        </is>
      </c>
      <c r="G3439" s="400" t="inlineStr">
        <is>
          <t>CPC</t>
        </is>
      </c>
      <c r="H3439" s="402" t="n"/>
      <c r="J3439" s="392">
        <f>IFERROR(UPPER(TRIM(B3439))&amp;"|"&amp;UPPER(TRIM(C3439))&amp;"|"&amp;UPPER(TRIM(D3439)),"")</f>
        <v/>
      </c>
    </row>
    <row r="3440" ht="15.75" customHeight="1" s="217">
      <c r="A3440" s="397" t="n">
        <v>3438</v>
      </c>
      <c r="B3440" s="397" t="inlineStr">
        <is>
          <t>KH0324</t>
        </is>
      </c>
      <c r="C3440" s="398" t="inlineStr">
        <is>
          <t>Xưởng anh Dương - Bình Phước/ 0909.878.757</t>
        </is>
      </c>
      <c r="D3440" s="397" t="inlineStr">
        <is>
          <t>0909.878.757</t>
        </is>
      </c>
      <c r="E3440" s="399" t="n"/>
      <c r="F3440" s="398" t="inlineStr">
        <is>
          <t>Tổ 5, ấp 2, Tân Khai, Hớn Quản, Bình Phước</t>
        </is>
      </c>
      <c r="G3440" s="397" t="inlineStr">
        <is>
          <t>BP</t>
        </is>
      </c>
      <c r="H3440" s="399" t="n"/>
      <c r="J3440" s="392">
        <f>IFERROR(UPPER(TRIM(B3440))&amp;"|"&amp;UPPER(TRIM(C3440))&amp;"|"&amp;UPPER(TRIM(D3440)),"")</f>
        <v/>
      </c>
    </row>
    <row r="3441" ht="15.75" customHeight="1" s="217">
      <c r="A3441" s="400" t="n">
        <v>3439</v>
      </c>
      <c r="B3441" s="400" t="inlineStr">
        <is>
          <t>KH0323</t>
        </is>
      </c>
      <c r="C3441" s="401" t="inlineStr">
        <is>
          <t>Anh Thuận - Bình Thuận/ 01629.560.196</t>
        </is>
      </c>
      <c r="D3441" s="400" t="inlineStr">
        <is>
          <t>01629.560.196</t>
        </is>
      </c>
      <c r="E3441" s="402" t="n"/>
      <c r="F3441" s="401" t="inlineStr">
        <is>
          <t>Chợ Lầu, Bình Thuận</t>
        </is>
      </c>
      <c r="G3441" s="400" t="inlineStr">
        <is>
          <t>BTHUAN</t>
        </is>
      </c>
      <c r="H3441" s="402" t="n"/>
      <c r="J3441" s="392">
        <f>IFERROR(UPPER(TRIM(B3441))&amp;"|"&amp;UPPER(TRIM(C3441))&amp;"|"&amp;UPPER(TRIM(D3441)),"")</f>
        <v/>
      </c>
    </row>
    <row r="3442" ht="15.75" customHeight="1" s="217">
      <c r="A3442" s="397" t="n">
        <v>3440</v>
      </c>
      <c r="B3442" s="397" t="inlineStr">
        <is>
          <t>KH0322</t>
        </is>
      </c>
      <c r="C3442" s="398" t="inlineStr">
        <is>
          <t>Xưởng anh Trung - Gia Lai/ 0968.124.011</t>
        </is>
      </c>
      <c r="D3442" s="397" t="inlineStr">
        <is>
          <t>0968.124.011</t>
        </is>
      </c>
      <c r="E3442" s="399" t="n"/>
      <c r="F3442" s="398" t="inlineStr">
        <is>
          <t>395 Lê Thánh Tôn, Pleiku, Gia Lai</t>
        </is>
      </c>
      <c r="G3442" s="397" t="inlineStr">
        <is>
          <t>GLAI</t>
        </is>
      </c>
      <c r="H3442" s="399" t="n"/>
      <c r="J3442" s="392">
        <f>IFERROR(UPPER(TRIM(B3442))&amp;"|"&amp;UPPER(TRIM(C3442))&amp;"|"&amp;UPPER(TRIM(D3442)),"")</f>
        <v/>
      </c>
    </row>
    <row r="3443" ht="15.75" customHeight="1" s="217">
      <c r="A3443" s="400" t="n">
        <v>3441</v>
      </c>
      <c r="B3443" s="400" t="inlineStr">
        <is>
          <t>MN24</t>
        </is>
      </c>
      <c r="C3443" s="401" t="inlineStr">
        <is>
          <t>Anh Thắng - Lái xe</t>
        </is>
      </c>
      <c r="D3443" s="402" t="n"/>
      <c r="E3443" s="402" t="n"/>
      <c r="F3443" s="401" t="inlineStr">
        <is>
          <t>CTCP Thiết bị Cơ giới Miền Nam</t>
        </is>
      </c>
      <c r="G3443" s="402" t="n"/>
      <c r="H3443" s="402" t="n"/>
      <c r="J3443" s="392">
        <f>IFERROR(UPPER(TRIM(B3443))&amp;"|"&amp;UPPER(TRIM(C3443))&amp;"|"&amp;UPPER(TRIM(D3443)),"")</f>
        <v/>
      </c>
    </row>
    <row r="3444" ht="15.75" customHeight="1" s="217">
      <c r="A3444" s="397" t="n">
        <v>3442</v>
      </c>
      <c r="B3444" s="397" t="inlineStr">
        <is>
          <t>KH0321</t>
        </is>
      </c>
      <c r="C3444" s="398" t="inlineStr">
        <is>
          <t>Anh Kỳ - Gia Lai/ 01692.923.606</t>
        </is>
      </c>
      <c r="D3444" s="397" t="inlineStr">
        <is>
          <t>01692.923.606</t>
        </is>
      </c>
      <c r="E3444" s="399" t="n"/>
      <c r="F3444" s="398" t="inlineStr">
        <is>
          <t>Pleiku, Gia Lai</t>
        </is>
      </c>
      <c r="G3444" s="397" t="inlineStr">
        <is>
          <t>GLAI</t>
        </is>
      </c>
      <c r="H3444" s="399" t="n"/>
      <c r="J3444" s="392">
        <f>IFERROR(UPPER(TRIM(B3444))&amp;"|"&amp;UPPER(TRIM(C3444))&amp;"|"&amp;UPPER(TRIM(D3444)),"")</f>
        <v/>
      </c>
    </row>
    <row r="3445" ht="15.75" customHeight="1" s="217">
      <c r="A3445" s="400" t="n">
        <v>3443</v>
      </c>
      <c r="B3445" s="400" t="inlineStr">
        <is>
          <t>KH0319</t>
        </is>
      </c>
      <c r="C3445" s="401" t="inlineStr">
        <is>
          <t>Bãi máy Trung Hiếu - Suối Tiên/ 0977.175.467</t>
        </is>
      </c>
      <c r="D3445" s="400" t="inlineStr">
        <is>
          <t>0977.175.467</t>
        </is>
      </c>
      <c r="E3445" s="402" t="n"/>
      <c r="F3445" s="401" t="inlineStr">
        <is>
          <t>Suối Tiên, SG</t>
        </is>
      </c>
      <c r="G3445" s="400" t="inlineStr">
        <is>
          <t>SG/HCM</t>
        </is>
      </c>
      <c r="H3445" s="402" t="n"/>
      <c r="J3445" s="392">
        <f>IFERROR(UPPER(TRIM(B3445))&amp;"|"&amp;UPPER(TRIM(C3445))&amp;"|"&amp;UPPER(TRIM(D3445)),"")</f>
        <v/>
      </c>
    </row>
    <row r="3446" ht="15.75" customHeight="1" s="217">
      <c r="A3446" s="397" t="n">
        <v>3444</v>
      </c>
      <c r="B3446" s="397" t="inlineStr">
        <is>
          <t>KH0320</t>
        </is>
      </c>
      <c r="C3446" s="398" t="inlineStr">
        <is>
          <t>Anh Trường - Đắk Nông/ 01689.299.456</t>
        </is>
      </c>
      <c r="D3446" s="397" t="inlineStr">
        <is>
          <t>01689.299.456</t>
        </is>
      </c>
      <c r="E3446" s="399" t="n"/>
      <c r="F3446" s="398" t="inlineStr">
        <is>
          <t>Đắk Nông</t>
        </is>
      </c>
      <c r="G3446" s="397" t="inlineStr">
        <is>
          <t>DNONG</t>
        </is>
      </c>
      <c r="H3446" s="399" t="n"/>
      <c r="J3446" s="392">
        <f>IFERROR(UPPER(TRIM(B3446))&amp;"|"&amp;UPPER(TRIM(C3446))&amp;"|"&amp;UPPER(TRIM(D3446)),"")</f>
        <v/>
      </c>
    </row>
    <row r="3447" ht="15.75" customHeight="1" s="217">
      <c r="A3447" s="400" t="n">
        <v>3445</v>
      </c>
      <c r="B3447" s="400" t="inlineStr">
        <is>
          <t>KH0317</t>
        </is>
      </c>
      <c r="C3447" s="401" t="inlineStr">
        <is>
          <t>Anh Hiếu - Bình Chánh/ 0903.778.634</t>
        </is>
      </c>
      <c r="D3447" s="400" t="inlineStr">
        <is>
          <t>0903.778.634</t>
        </is>
      </c>
      <c r="E3447" s="402" t="n"/>
      <c r="F3447" s="401" t="inlineStr">
        <is>
          <t>Bình Chánh, TP HCM</t>
        </is>
      </c>
      <c r="G3447" s="400" t="inlineStr">
        <is>
          <t>SG/HCM</t>
        </is>
      </c>
      <c r="H3447" s="402" t="n"/>
      <c r="J3447" s="392">
        <f>IFERROR(UPPER(TRIM(B3447))&amp;"|"&amp;UPPER(TRIM(C3447))&amp;"|"&amp;UPPER(TRIM(D3447)),"")</f>
        <v/>
      </c>
    </row>
    <row r="3448" ht="15.75" customHeight="1" s="217">
      <c r="A3448" s="397" t="n">
        <v>3446</v>
      </c>
      <c r="B3448" s="397" t="inlineStr">
        <is>
          <t>KH0318</t>
        </is>
      </c>
      <c r="C3448" s="398" t="inlineStr">
        <is>
          <t>Anh Ry - Đắk Nông/ 0944.397.070</t>
        </is>
      </c>
      <c r="D3448" s="397" t="inlineStr">
        <is>
          <t>0944.397.070</t>
        </is>
      </c>
      <c r="E3448" s="399" t="n"/>
      <c r="F3448" s="398" t="inlineStr">
        <is>
          <t>Đăk Nông</t>
        </is>
      </c>
      <c r="G3448" s="397" t="inlineStr">
        <is>
          <t>DNONG</t>
        </is>
      </c>
      <c r="H3448" s="399" t="n"/>
      <c r="J3448" s="392">
        <f>IFERROR(UPPER(TRIM(B3448))&amp;"|"&amp;UPPER(TRIM(C3448))&amp;"|"&amp;UPPER(TRIM(D3448)),"")</f>
        <v/>
      </c>
    </row>
    <row r="3449" ht="15.75" customHeight="1" s="217">
      <c r="A3449" s="400" t="n">
        <v>3447</v>
      </c>
      <c r="B3449" s="400" t="inlineStr">
        <is>
          <t>HN</t>
        </is>
      </c>
      <c r="C3449" s="401" t="inlineStr">
        <is>
          <t>Cửa hàng Hải Nghĩa - Hàng Xanh/ A Giang: 0909.296.700</t>
        </is>
      </c>
      <c r="D3449" s="400" t="inlineStr">
        <is>
          <t>0909.296.700</t>
        </is>
      </c>
      <c r="E3449" s="402" t="n"/>
      <c r="F3449" s="401" t="inlineStr">
        <is>
          <t>Số 431 Điện Biên Phủ, P25, Q.Bình Thạnh, TPHCM</t>
        </is>
      </c>
      <c r="G3449" s="400" t="inlineStr">
        <is>
          <t>SG/HCM</t>
        </is>
      </c>
      <c r="H3449" s="402" t="n"/>
      <c r="J3449" s="392">
        <f>IFERROR(UPPER(TRIM(B3449))&amp;"|"&amp;UPPER(TRIM(C3449))&amp;"|"&amp;UPPER(TRIM(D3449)),"")</f>
        <v/>
      </c>
    </row>
    <row r="3450" ht="15.75" customHeight="1" s="217">
      <c r="A3450" s="397" t="n">
        <v>3448</v>
      </c>
      <c r="B3450" s="397" t="inlineStr">
        <is>
          <t>KH0315</t>
        </is>
      </c>
      <c r="C3450" s="398" t="inlineStr">
        <is>
          <t>Công ty CP Thi Công Cơ Giới Nhật Bản - Bình Thạnh/ Anh Kha: 0903.774.022</t>
        </is>
      </c>
      <c r="D3450" s="397" t="inlineStr">
        <is>
          <t>0903.774.022</t>
        </is>
      </c>
      <c r="E3450" s="399" t="n"/>
      <c r="F3450" s="398" t="inlineStr">
        <is>
          <t>8B Đường D2, Khu Văn Thánh Bắc, Phường 25, Quận Bình Thạnh, TP HCM</t>
        </is>
      </c>
      <c r="G3450" s="397" t="inlineStr">
        <is>
          <t>SG/HCM</t>
        </is>
      </c>
      <c r="H3450" s="399" t="n"/>
      <c r="J3450" s="392">
        <f>IFERROR(UPPER(TRIM(B3450))&amp;"|"&amp;UPPER(TRIM(C3450))&amp;"|"&amp;UPPER(TRIM(D3450)),"")</f>
        <v/>
      </c>
    </row>
    <row r="3451" ht="15.75" customHeight="1" s="217">
      <c r="A3451" s="400" t="n">
        <v>3449</v>
      </c>
      <c r="B3451" s="400" t="inlineStr">
        <is>
          <t>KH0316</t>
        </is>
      </c>
      <c r="C3451" s="401" t="inlineStr">
        <is>
          <t>Công ty TNHH Thương Mại Dịch Vụ Xây Dựng Phước Hùng - Tiền Giang/0986.265.642</t>
        </is>
      </c>
      <c r="D3451" s="400" t="inlineStr">
        <is>
          <t>0986.265.642</t>
        </is>
      </c>
      <c r="E3451" s="402" t="n"/>
      <c r="F3451" s="401" t="inlineStr">
        <is>
          <t>ấp Thạch Thới, Xã Đồng Sơn, Huyện Gò Công Tây, Tỉnh Tiền Giang</t>
        </is>
      </c>
      <c r="G3451" s="400" t="inlineStr">
        <is>
          <t>TGIANG</t>
        </is>
      </c>
      <c r="H3451" s="402" t="n"/>
      <c r="J3451" s="392">
        <f>IFERROR(UPPER(TRIM(B3451))&amp;"|"&amp;UPPER(TRIM(C3451))&amp;"|"&amp;UPPER(TRIM(D3451)),"")</f>
        <v/>
      </c>
    </row>
    <row r="3452" ht="15.75" customHeight="1" s="217">
      <c r="A3452" s="397" t="n">
        <v>3450</v>
      </c>
      <c r="B3452" s="397" t="inlineStr">
        <is>
          <t>KH0314</t>
        </is>
      </c>
      <c r="C3452" s="398" t="inlineStr">
        <is>
          <t>Xưởng chú Sơn - BMT/ 0906.519.558</t>
        </is>
      </c>
      <c r="D3452" s="397" t="inlineStr">
        <is>
          <t>0906.519.558</t>
        </is>
      </c>
      <c r="E3452" s="399" t="n"/>
      <c r="F3452" s="398" t="inlineStr">
        <is>
          <t>TP Buôn Mê Thuột, Đắk Lắk</t>
        </is>
      </c>
      <c r="G3452" s="397" t="inlineStr">
        <is>
          <t>ÐL</t>
        </is>
      </c>
      <c r="H3452" s="399" t="n"/>
      <c r="J3452" s="392">
        <f>IFERROR(UPPER(TRIM(B3452))&amp;"|"&amp;UPPER(TRIM(C3452))&amp;"|"&amp;UPPER(TRIM(D3452)),"")</f>
        <v/>
      </c>
    </row>
    <row r="3453" ht="15.75" customHeight="1" s="217">
      <c r="A3453" s="400" t="n">
        <v>3451</v>
      </c>
      <c r="B3453" s="400" t="inlineStr">
        <is>
          <t>KH0312</t>
        </is>
      </c>
      <c r="C3453" s="401" t="inlineStr">
        <is>
          <t>Anh Hải (Công ty TNHH Quý Thịnh)  - Quận 8/ 0983.055.060</t>
        </is>
      </c>
      <c r="D3453" s="400" t="inlineStr">
        <is>
          <t>0983.055.060</t>
        </is>
      </c>
      <c r="E3453" s="402" t="n"/>
      <c r="F3453" s="401" t="inlineStr">
        <is>
          <t>3 Lô G, Cư Xá Bình Đông, Phường 15, Quận 8, TP HCM</t>
        </is>
      </c>
      <c r="G3453" s="400" t="inlineStr">
        <is>
          <t>SG/HCM</t>
        </is>
      </c>
      <c r="H3453" s="402" t="n"/>
      <c r="J3453" s="392">
        <f>IFERROR(UPPER(TRIM(B3453))&amp;"|"&amp;UPPER(TRIM(C3453))&amp;"|"&amp;UPPER(TRIM(D3453)),"")</f>
        <v/>
      </c>
    </row>
    <row r="3454" ht="15.75" customHeight="1" s="217">
      <c r="A3454" s="397" t="n">
        <v>3452</v>
      </c>
      <c r="B3454" s="397" t="inlineStr">
        <is>
          <t>KH0313</t>
        </is>
      </c>
      <c r="C3454" s="398" t="inlineStr">
        <is>
          <t>Anh Đức (Công ty Hòa Phát ) - Bình Thuận/ 0916.421.453</t>
        </is>
      </c>
      <c r="D3454" s="397" t="inlineStr">
        <is>
          <t>0916.421.453</t>
        </is>
      </c>
      <c r="E3454" s="399" t="n"/>
      <c r="F3454" s="398" t="inlineStr">
        <is>
          <t>Quốc lộ 1A, TP Phan Thiết, Bình Thuận</t>
        </is>
      </c>
      <c r="G3454" s="397" t="inlineStr">
        <is>
          <t>BTHUAN</t>
        </is>
      </c>
      <c r="H3454" s="399" t="n"/>
      <c r="J3454" s="392">
        <f>IFERROR(UPPER(TRIM(B3454))&amp;"|"&amp;UPPER(TRIM(C3454))&amp;"|"&amp;UPPER(TRIM(D3454)),"")</f>
        <v/>
      </c>
    </row>
    <row r="3455" ht="15.75" customHeight="1" s="217">
      <c r="A3455" s="400" t="n">
        <v>3453</v>
      </c>
      <c r="B3455" s="400" t="inlineStr">
        <is>
          <t>KH0308</t>
        </is>
      </c>
      <c r="C3455" s="401" t="inlineStr">
        <is>
          <t>Xưởng anh Hòa - Bình Thuận/ 0918.298.794</t>
        </is>
      </c>
      <c r="D3455" s="400" t="inlineStr">
        <is>
          <t>0918.298.794</t>
        </is>
      </c>
      <c r="E3455" s="402" t="n"/>
      <c r="F3455" s="401" t="inlineStr">
        <is>
          <t>Phan Thiết - Bình Thuận</t>
        </is>
      </c>
      <c r="G3455" s="400" t="inlineStr">
        <is>
          <t>BTHUAN</t>
        </is>
      </c>
      <c r="H3455" s="402" t="n"/>
      <c r="J3455" s="392">
        <f>IFERROR(UPPER(TRIM(B3455))&amp;"|"&amp;UPPER(TRIM(C3455))&amp;"|"&amp;UPPER(TRIM(D3455)),"")</f>
        <v/>
      </c>
    </row>
    <row r="3456" ht="15.75" customHeight="1" s="217">
      <c r="A3456" s="397" t="n">
        <v>3454</v>
      </c>
      <c r="B3456" s="397" t="inlineStr">
        <is>
          <t>KH0309</t>
        </is>
      </c>
      <c r="C3456" s="398" t="inlineStr">
        <is>
          <t>Anh Minh - Chợ Lầu / 0989.202.301 - 0918.202.301</t>
        </is>
      </c>
      <c r="D3456" s="397" t="inlineStr">
        <is>
          <t>0989.202.301 / 0918.202.301</t>
        </is>
      </c>
      <c r="E3456" s="399" t="n"/>
      <c r="F3456" s="398" t="inlineStr">
        <is>
          <t>Chợ Lầu, Phan Thiết, Bình Thuận</t>
        </is>
      </c>
      <c r="G3456" s="397" t="inlineStr">
        <is>
          <t>BTHUAN</t>
        </is>
      </c>
      <c r="H3456" s="399" t="n"/>
      <c r="J3456" s="392">
        <f>IFERROR(UPPER(TRIM(B3456))&amp;"|"&amp;UPPER(TRIM(C3456))&amp;"|"&amp;UPPER(TRIM(D3456)),"")</f>
        <v/>
      </c>
    </row>
    <row r="3457" ht="15.75" customHeight="1" s="217">
      <c r="A3457" s="400" t="n">
        <v>3455</v>
      </c>
      <c r="B3457" s="400" t="inlineStr">
        <is>
          <t>KH0310</t>
        </is>
      </c>
      <c r="C3457" s="401" t="inlineStr">
        <is>
          <t>Xưởng Anh Hưng - Bà Rịa/ Anh Hưng 0937.630.023</t>
        </is>
      </c>
      <c r="D3457" s="400" t="inlineStr">
        <is>
          <t>0937.630.023</t>
        </is>
      </c>
      <c r="E3457" s="402" t="n"/>
      <c r="F3457" s="401" t="inlineStr">
        <is>
          <t>Xuyên Mộc, Bà Rịa Vũng Tàu</t>
        </is>
      </c>
      <c r="G3457" s="400" t="inlineStr">
        <is>
          <t>BRVT</t>
        </is>
      </c>
      <c r="H3457" s="402" t="n"/>
      <c r="J3457" s="392">
        <f>IFERROR(UPPER(TRIM(B3457))&amp;"|"&amp;UPPER(TRIM(C3457))&amp;"|"&amp;UPPER(TRIM(D3457)),"")</f>
        <v/>
      </c>
    </row>
    <row r="3458" ht="15.75" customHeight="1" s="217">
      <c r="A3458" s="397" t="n">
        <v>3456</v>
      </c>
      <c r="B3458" s="397" t="inlineStr">
        <is>
          <t>KH0311</t>
        </is>
      </c>
      <c r="C3458" s="398" t="inlineStr">
        <is>
          <t>Anh Lực - Sài Gòn/ 0915.393.377</t>
        </is>
      </c>
      <c r="D3458" s="397" t="inlineStr">
        <is>
          <t>0915.393.377</t>
        </is>
      </c>
      <c r="E3458" s="399" t="n"/>
      <c r="F3458" s="398" t="inlineStr">
        <is>
          <t>Tam Bình, Sài Gòn</t>
        </is>
      </c>
      <c r="G3458" s="397" t="inlineStr">
        <is>
          <t>SG/HCM</t>
        </is>
      </c>
      <c r="H3458" s="399" t="n"/>
      <c r="J3458" s="392">
        <f>IFERROR(UPPER(TRIM(B3458))&amp;"|"&amp;UPPER(TRIM(C3458))&amp;"|"&amp;UPPER(TRIM(D3458)),"")</f>
        <v/>
      </c>
    </row>
    <row r="3459" ht="15.75" customHeight="1" s="217">
      <c r="A3459" s="400" t="n">
        <v>3457</v>
      </c>
      <c r="B3459" s="400" t="inlineStr">
        <is>
          <t>KH0304</t>
        </is>
      </c>
      <c r="C3459" s="401" t="inlineStr">
        <is>
          <t>Anh Thuận - Thủ Đức/ 0966.106.106</t>
        </is>
      </c>
      <c r="D3459" s="400" t="inlineStr">
        <is>
          <t>0966.106.106</t>
        </is>
      </c>
      <c r="E3459" s="402" t="n"/>
      <c r="F3459" s="401" t="inlineStr">
        <is>
          <t>Linh Xuân, Thủ Đức</t>
        </is>
      </c>
      <c r="G3459" s="400" t="inlineStr">
        <is>
          <t>SG/HCM</t>
        </is>
      </c>
      <c r="H3459" s="402" t="n"/>
      <c r="J3459" s="392">
        <f>IFERROR(UPPER(TRIM(B3459))&amp;"|"&amp;UPPER(TRIM(C3459))&amp;"|"&amp;UPPER(TRIM(D3459)),"")</f>
        <v/>
      </c>
    </row>
    <row r="3460" ht="15.75" customHeight="1" s="217">
      <c r="A3460" s="397" t="n">
        <v>3458</v>
      </c>
      <c r="B3460" s="397" t="inlineStr">
        <is>
          <t>KH0305</t>
        </is>
      </c>
      <c r="C3460" s="398" t="inlineStr">
        <is>
          <t>anh Huỳnh - Sài Gòn/ 0916.181.709</t>
        </is>
      </c>
      <c r="D3460" s="397" t="inlineStr">
        <is>
          <t>0916.181.709</t>
        </is>
      </c>
      <c r="E3460" s="399" t="n"/>
      <c r="F3460" s="398" t="inlineStr">
        <is>
          <t>Sài Gòn</t>
        </is>
      </c>
      <c r="G3460" s="397" t="inlineStr">
        <is>
          <t>SG/HCM</t>
        </is>
      </c>
      <c r="H3460" s="399" t="n"/>
      <c r="J3460" s="392">
        <f>IFERROR(UPPER(TRIM(B3460))&amp;"|"&amp;UPPER(TRIM(C3460))&amp;"|"&amp;UPPER(TRIM(D3460)),"")</f>
        <v/>
      </c>
    </row>
    <row r="3461" ht="15.75" customHeight="1" s="217">
      <c r="A3461" s="400" t="n">
        <v>3459</v>
      </c>
      <c r="B3461" s="400" t="inlineStr">
        <is>
          <t>KH0306</t>
        </is>
      </c>
      <c r="C3461" s="401" t="inlineStr">
        <is>
          <t>Xưởng anh Vũ - Tam Nông/ 01224.699.687</t>
        </is>
      </c>
      <c r="D3461" s="400" t="inlineStr">
        <is>
          <t>01224.699.687</t>
        </is>
      </c>
      <c r="E3461" s="402" t="n"/>
      <c r="F3461" s="401" t="inlineStr">
        <is>
          <t>Tam Nông, Đồng Tháp</t>
        </is>
      </c>
      <c r="G3461" s="400" t="inlineStr">
        <is>
          <t>DTHAP</t>
        </is>
      </c>
      <c r="H3461" s="402" t="n"/>
      <c r="J3461" s="392">
        <f>IFERROR(UPPER(TRIM(B3461))&amp;"|"&amp;UPPER(TRIM(C3461))&amp;"|"&amp;UPPER(TRIM(D3461)),"")</f>
        <v/>
      </c>
    </row>
    <row r="3462" ht="15.75" customHeight="1" s="217">
      <c r="A3462" s="397" t="n">
        <v>3460</v>
      </c>
      <c r="B3462" s="397" t="inlineStr">
        <is>
          <t>KH0307</t>
        </is>
      </c>
      <c r="C3462" s="398" t="inlineStr">
        <is>
          <t>Anh Sáu - Bình Phước/ 0985.580.400</t>
        </is>
      </c>
      <c r="D3462" s="397" t="inlineStr">
        <is>
          <t>0985.580.400</t>
        </is>
      </c>
      <c r="E3462" s="399" t="n"/>
      <c r="F3462" s="398" t="inlineStr">
        <is>
          <t>Lộc Ninh - Bình Phước</t>
        </is>
      </c>
      <c r="G3462" s="397" t="inlineStr">
        <is>
          <t>BP</t>
        </is>
      </c>
      <c r="H3462" s="399" t="n"/>
      <c r="J3462" s="392">
        <f>IFERROR(UPPER(TRIM(B3462))&amp;"|"&amp;UPPER(TRIM(C3462))&amp;"|"&amp;UPPER(TRIM(D3462)),"")</f>
        <v/>
      </c>
    </row>
    <row r="3463" ht="15.75" customHeight="1" s="217">
      <c r="A3463" s="400" t="n">
        <v>3461</v>
      </c>
      <c r="B3463" s="400" t="inlineStr">
        <is>
          <t>KH0302</t>
        </is>
      </c>
      <c r="C3463" s="401" t="inlineStr">
        <is>
          <t>Anh Minh - Bình Dương/ 0978.368.399</t>
        </is>
      </c>
      <c r="D3463" s="400" t="inlineStr">
        <is>
          <t>0978.368.399</t>
        </is>
      </c>
      <c r="E3463" s="402" t="n"/>
      <c r="F3463" s="401" t="inlineStr">
        <is>
          <t>Miếu Ông Cù, Bình Dương</t>
        </is>
      </c>
      <c r="G3463" s="400" t="inlineStr">
        <is>
          <t>BDUONG</t>
        </is>
      </c>
      <c r="H3463" s="402" t="n"/>
      <c r="J3463" s="392">
        <f>IFERROR(UPPER(TRIM(B3463))&amp;"|"&amp;UPPER(TRIM(C3463))&amp;"|"&amp;UPPER(TRIM(D3463)),"")</f>
        <v/>
      </c>
    </row>
    <row r="3464" ht="15.75" customHeight="1" s="217">
      <c r="A3464" s="397" t="n">
        <v>3462</v>
      </c>
      <c r="B3464" s="397" t="inlineStr">
        <is>
          <t>KH0303</t>
        </is>
      </c>
      <c r="C3464" s="398" t="inlineStr">
        <is>
          <t>Anh Đệ - Phan Rang/ 0915.841.683</t>
        </is>
      </c>
      <c r="D3464" s="397" t="inlineStr">
        <is>
          <t>0915.841.683</t>
        </is>
      </c>
      <c r="E3464" s="399" t="n"/>
      <c r="F3464" s="398" t="inlineStr">
        <is>
          <t>Phan Rang Tháp Chàm, Ninh Thuận</t>
        </is>
      </c>
      <c r="G3464" s="397" t="inlineStr">
        <is>
          <t>NTHUAN</t>
        </is>
      </c>
      <c r="H3464" s="399" t="n"/>
      <c r="J3464" s="392">
        <f>IFERROR(UPPER(TRIM(B3464))&amp;"|"&amp;UPPER(TRIM(C3464))&amp;"|"&amp;UPPER(TRIM(D3464)),"")</f>
        <v/>
      </c>
    </row>
    <row r="3465" ht="15.75" customHeight="1" s="217">
      <c r="A3465" s="400" t="n">
        <v>3463</v>
      </c>
      <c r="B3465" s="400" t="inlineStr">
        <is>
          <t>KH0300</t>
        </is>
      </c>
      <c r="C3465" s="401" t="inlineStr">
        <is>
          <t>Công ty TNHH Bảo Lộc - Quảng Bình/ 0913.316.542</t>
        </is>
      </c>
      <c r="D3465" s="400" t="inlineStr">
        <is>
          <t>0913.316.542</t>
        </is>
      </c>
      <c r="E3465" s="402" t="n"/>
      <c r="F3465" s="401" t="inlineStr">
        <is>
          <t>Tiểu khu 10, Phường Bắc Lý, TP Đồng Hới, Quảng Bình</t>
        </is>
      </c>
      <c r="G3465" s="402" t="n"/>
      <c r="H3465" s="402" t="n"/>
      <c r="J3465" s="392">
        <f>IFERROR(UPPER(TRIM(B3465))&amp;"|"&amp;UPPER(TRIM(C3465))&amp;"|"&amp;UPPER(TRIM(D3465)),"")</f>
        <v/>
      </c>
    </row>
    <row r="3466" ht="15.75" customHeight="1" s="217">
      <c r="A3466" s="397" t="n">
        <v>3464</v>
      </c>
      <c r="B3466" s="397" t="inlineStr">
        <is>
          <t>KH0301</t>
        </is>
      </c>
      <c r="C3466" s="398" t="inlineStr">
        <is>
          <t>Công ty Cát Nhật - Ngã 4 MK/ 0902.557.939</t>
        </is>
      </c>
      <c r="D3466" s="397" t="inlineStr">
        <is>
          <t>0902.557.939</t>
        </is>
      </c>
      <c r="E3466" s="399" t="n"/>
      <c r="F3466" s="398" t="inlineStr">
        <is>
          <t>Ngã 4 MK, Xa Lộ Hà Nội, HCM</t>
        </is>
      </c>
      <c r="G3466" s="397" t="inlineStr">
        <is>
          <t>SG/HCM</t>
        </is>
      </c>
      <c r="H3466" s="399" t="n"/>
      <c r="J3466" s="392">
        <f>IFERROR(UPPER(TRIM(B3466))&amp;"|"&amp;UPPER(TRIM(C3466))&amp;"|"&amp;UPPER(TRIM(D3466)),"")</f>
        <v/>
      </c>
    </row>
    <row r="3467" ht="15.75" customHeight="1" s="217">
      <c r="A3467" s="400" t="n">
        <v>3465</v>
      </c>
      <c r="B3467" s="400" t="inlineStr">
        <is>
          <t>KH0298</t>
        </is>
      </c>
      <c r="C3467" s="401" t="inlineStr">
        <is>
          <t>Anh Tiến (Công ty Minh Tiến Long An) - Nhà Bè/ 0913.753.455</t>
        </is>
      </c>
      <c r="D3467" s="400" t="inlineStr">
        <is>
          <t>0913.753.455</t>
        </is>
      </c>
      <c r="E3467" s="402" t="n"/>
      <c r="F3467" s="401" t="inlineStr">
        <is>
          <t>Nhà Bè, TP HCM</t>
        </is>
      </c>
      <c r="G3467" s="400" t="inlineStr">
        <is>
          <t>SG/HCM</t>
        </is>
      </c>
      <c r="H3467" s="402" t="n"/>
      <c r="J3467" s="392">
        <f>IFERROR(UPPER(TRIM(B3467))&amp;"|"&amp;UPPER(TRIM(C3467))&amp;"|"&amp;UPPER(TRIM(D3467)),"")</f>
        <v/>
      </c>
    </row>
    <row r="3468" ht="15.75" customHeight="1" s="217">
      <c r="A3468" s="397" t="n">
        <v>3466</v>
      </c>
      <c r="B3468" s="397" t="inlineStr">
        <is>
          <t>KH0299</t>
        </is>
      </c>
      <c r="C3468" s="398" t="inlineStr">
        <is>
          <t>Anh Lệ - SG/ 0976.293.627</t>
        </is>
      </c>
      <c r="D3468" s="397" t="inlineStr">
        <is>
          <t>0976.293.627</t>
        </is>
      </c>
      <c r="E3468" s="399" t="n"/>
      <c r="F3468" s="398" t="inlineStr">
        <is>
          <t>Ngã tư Ga, Sài Gòn</t>
        </is>
      </c>
      <c r="G3468" s="397" t="inlineStr">
        <is>
          <t>SG/HCM</t>
        </is>
      </c>
      <c r="H3468" s="399" t="n"/>
      <c r="J3468" s="392">
        <f>IFERROR(UPPER(TRIM(B3468))&amp;"|"&amp;UPPER(TRIM(C3468))&amp;"|"&amp;UPPER(TRIM(D3468)),"")</f>
        <v/>
      </c>
    </row>
    <row r="3469" ht="15.75" customHeight="1" s="217">
      <c r="A3469" s="400" t="n">
        <v>3467</v>
      </c>
      <c r="B3469" s="400" t="inlineStr">
        <is>
          <t>KH0296</t>
        </is>
      </c>
      <c r="C3469" s="401" t="inlineStr">
        <is>
          <t>Anh Thắng - Long An/ 0964.880.898</t>
        </is>
      </c>
      <c r="D3469" s="400" t="inlineStr">
        <is>
          <t>0964.880.898</t>
        </is>
      </c>
      <c r="E3469" s="402" t="n"/>
      <c r="F3469" s="401" t="inlineStr">
        <is>
          <t>Thạnh Hóa, Long An</t>
        </is>
      </c>
      <c r="G3469" s="400" t="inlineStr">
        <is>
          <t>LA</t>
        </is>
      </c>
      <c r="H3469" s="402" t="n"/>
      <c r="J3469" s="392">
        <f>IFERROR(UPPER(TRIM(B3469))&amp;"|"&amp;UPPER(TRIM(C3469))&amp;"|"&amp;UPPER(TRIM(D3469)),"")</f>
        <v/>
      </c>
    </row>
    <row r="3470" ht="15.75" customHeight="1" s="217">
      <c r="A3470" s="397" t="n">
        <v>3468</v>
      </c>
      <c r="B3470" s="397" t="inlineStr">
        <is>
          <t>KH0297</t>
        </is>
      </c>
      <c r="C3470" s="398" t="inlineStr">
        <is>
          <t>DNTN Thông Viễn - Hà Tĩnh</t>
        </is>
      </c>
      <c r="D3470" s="399" t="n"/>
      <c r="E3470" s="399" t="n"/>
      <c r="F3470" s="398" t="inlineStr">
        <is>
          <t>Thôn 5, Cẩm Vịnh, Cẩm Xuyên, Hà Tĩnh</t>
        </is>
      </c>
      <c r="G3470" s="399" t="n"/>
      <c r="H3470" s="399" t="n"/>
      <c r="J3470" s="392">
        <f>IFERROR(UPPER(TRIM(B3470))&amp;"|"&amp;UPPER(TRIM(C3470))&amp;"|"&amp;UPPER(TRIM(D3470)),"")</f>
        <v/>
      </c>
    </row>
    <row r="3471" ht="15.75" customHeight="1" s="217">
      <c r="A3471" s="400" t="n">
        <v>3469</v>
      </c>
      <c r="B3471" s="400" t="inlineStr">
        <is>
          <t>KH0295</t>
        </is>
      </c>
      <c r="C3471" s="401" t="inlineStr">
        <is>
          <t>Công ty Cổ phần Đầu tư Công Nghệ Tuổi Trẻ/chị Thảo: 0633.996.186</t>
        </is>
      </c>
      <c r="D3471" s="400" t="inlineStr">
        <is>
          <t>0633.996.186</t>
        </is>
      </c>
      <c r="E3471" s="402" t="n"/>
      <c r="F3471" s="401" t="inlineStr">
        <is>
          <t>10 Hồ Tùng Mậu, Phường 10, Đà Lạt</t>
        </is>
      </c>
      <c r="G3471" s="400" t="inlineStr">
        <is>
          <t>LDONG</t>
        </is>
      </c>
      <c r="H3471" s="402" t="n"/>
      <c r="J3471" s="392">
        <f>IFERROR(UPPER(TRIM(B3471))&amp;"|"&amp;UPPER(TRIM(C3471))&amp;"|"&amp;UPPER(TRIM(D3471)),"")</f>
        <v/>
      </c>
    </row>
    <row r="3472" ht="15.75" customHeight="1" s="217">
      <c r="A3472" s="397" t="n">
        <v>3470</v>
      </c>
      <c r="B3472" s="397" t="inlineStr">
        <is>
          <t>KH0292</t>
        </is>
      </c>
      <c r="C3472" s="398" t="inlineStr">
        <is>
          <t>Xưởng anh Mười - KonTum/ 0973.313.767</t>
        </is>
      </c>
      <c r="D3472" s="397" t="inlineStr">
        <is>
          <t>0973.313.767</t>
        </is>
      </c>
      <c r="E3472" s="399" t="n"/>
      <c r="F3472" s="398" t="inlineStr">
        <is>
          <t>410 Duy Tân, TP KonTum</t>
        </is>
      </c>
      <c r="G3472" s="397" t="inlineStr">
        <is>
          <t>KTUM</t>
        </is>
      </c>
      <c r="H3472" s="399" t="n"/>
      <c r="J3472" s="392">
        <f>IFERROR(UPPER(TRIM(B3472))&amp;"|"&amp;UPPER(TRIM(C3472))&amp;"|"&amp;UPPER(TRIM(D3472)),"")</f>
        <v/>
      </c>
    </row>
    <row r="3473" ht="15.75" customHeight="1" s="217">
      <c r="A3473" s="400" t="n">
        <v>3471</v>
      </c>
      <c r="B3473" s="400" t="inlineStr">
        <is>
          <t>KH0293</t>
        </is>
      </c>
      <c r="C3473" s="401" t="inlineStr">
        <is>
          <t>Công ty Hoài Đức - Bình Thuận: anh Đức: 0983.892.123</t>
        </is>
      </c>
      <c r="D3473" s="400" t="inlineStr">
        <is>
          <t>0983.892.123</t>
        </is>
      </c>
      <c r="E3473" s="402" t="n"/>
      <c r="F3473" s="401" t="inlineStr">
        <is>
          <t>Bình Thuận</t>
        </is>
      </c>
      <c r="G3473" s="400" t="inlineStr">
        <is>
          <t>BTHUAN</t>
        </is>
      </c>
      <c r="H3473" s="402" t="n"/>
      <c r="J3473" s="392">
        <f>IFERROR(UPPER(TRIM(B3473))&amp;"|"&amp;UPPER(TRIM(C3473))&amp;"|"&amp;UPPER(TRIM(D3473)),"")</f>
        <v/>
      </c>
    </row>
    <row r="3474" ht="15.75" customHeight="1" s="217">
      <c r="A3474" s="397" t="n">
        <v>3472</v>
      </c>
      <c r="B3474" s="397" t="inlineStr">
        <is>
          <t>KH0294</t>
        </is>
      </c>
      <c r="C3474" s="398" t="inlineStr">
        <is>
          <t>Anh Viễn- Công ty Bình Triệu (Sài Gòn)/ 0973.887.249</t>
        </is>
      </c>
      <c r="D3474" s="397" t="inlineStr">
        <is>
          <t>0973.887.249</t>
        </is>
      </c>
      <c r="E3474" s="399" t="n"/>
      <c r="F3474" s="398" t="inlineStr">
        <is>
          <t>209 Nguyễn Xí,Phường 26,Bình thạnh,TP HCM</t>
        </is>
      </c>
      <c r="G3474" s="397" t="inlineStr">
        <is>
          <t>SG/HCM</t>
        </is>
      </c>
      <c r="H3474" s="399" t="n"/>
      <c r="J3474" s="392">
        <f>IFERROR(UPPER(TRIM(B3474))&amp;"|"&amp;UPPER(TRIM(C3474))&amp;"|"&amp;UPPER(TRIM(D3474)),"")</f>
        <v/>
      </c>
    </row>
    <row r="3475" ht="15.75" customHeight="1" s="217">
      <c r="A3475" s="400" t="n">
        <v>3473</v>
      </c>
      <c r="B3475" s="400" t="inlineStr">
        <is>
          <t>KH0290</t>
        </is>
      </c>
      <c r="C3475" s="401" t="inlineStr">
        <is>
          <t>Cửa hàng Châu Hùng - Lâm Hà/ 0979.036.096</t>
        </is>
      </c>
      <c r="D3475" s="400" t="inlineStr">
        <is>
          <t>0979.036.096</t>
        </is>
      </c>
      <c r="E3475" s="402" t="n"/>
      <c r="F3475" s="401" t="inlineStr">
        <is>
          <t>TT Đinh Văn, Lâm Hà, Lâm Đồng</t>
        </is>
      </c>
      <c r="G3475" s="400" t="inlineStr">
        <is>
          <t>LDONG</t>
        </is>
      </c>
      <c r="H3475" s="402" t="n"/>
      <c r="J3475" s="392">
        <f>IFERROR(UPPER(TRIM(B3475))&amp;"|"&amp;UPPER(TRIM(C3475))&amp;"|"&amp;UPPER(TRIM(D3475)),"")</f>
        <v/>
      </c>
    </row>
    <row r="3476" ht="15.75" customHeight="1" s="217">
      <c r="A3476" s="397" t="n">
        <v>3474</v>
      </c>
      <c r="B3476" s="397" t="inlineStr">
        <is>
          <t>KH0291</t>
        </is>
      </c>
      <c r="C3476" s="398" t="inlineStr">
        <is>
          <t>Cửa hàng Nông Ngư Cơ Hùng Nhí - SG/ 0903.838.216</t>
        </is>
      </c>
      <c r="D3476" s="397" t="inlineStr">
        <is>
          <t>0903.838.216</t>
        </is>
      </c>
      <c r="E3476" s="399" t="n"/>
      <c r="F3476" s="398" t="inlineStr">
        <is>
          <t>24 Điện Biên Phủ, P.15, Q. Bình Thạnh</t>
        </is>
      </c>
      <c r="G3476" s="397" t="inlineStr">
        <is>
          <t>SG/HCM</t>
        </is>
      </c>
      <c r="H3476" s="399" t="n"/>
      <c r="J3476" s="392">
        <f>IFERROR(UPPER(TRIM(B3476))&amp;"|"&amp;UPPER(TRIM(C3476))&amp;"|"&amp;UPPER(TRIM(D3476)),"")</f>
        <v/>
      </c>
    </row>
    <row r="3477" ht="15.75" customHeight="1" s="217">
      <c r="A3477" s="400" t="n">
        <v>3475</v>
      </c>
      <c r="B3477" s="400" t="inlineStr">
        <is>
          <t>KH0288</t>
        </is>
      </c>
      <c r="C3477" s="401" t="inlineStr">
        <is>
          <t>Công ty TNHH Liên Hoàng Minh - Bình Tân</t>
        </is>
      </c>
      <c r="D3477" s="402" t="n"/>
      <c r="E3477" s="402" t="n"/>
      <c r="F3477" s="401" t="inlineStr">
        <is>
          <t>945/17 QL1A, P. An Lạc, Q. Bình Tân, TPHCM</t>
        </is>
      </c>
      <c r="G3477" s="400" t="inlineStr">
        <is>
          <t>SG/HCM</t>
        </is>
      </c>
      <c r="H3477" s="402" t="n"/>
      <c r="J3477" s="392">
        <f>IFERROR(UPPER(TRIM(B3477))&amp;"|"&amp;UPPER(TRIM(C3477))&amp;"|"&amp;UPPER(TRIM(D3477)),"")</f>
        <v/>
      </c>
    </row>
    <row r="3478" ht="15.75" customHeight="1" s="217">
      <c r="A3478" s="397" t="n">
        <v>3476</v>
      </c>
      <c r="B3478" s="397" t="inlineStr">
        <is>
          <t>KH0289</t>
        </is>
      </c>
      <c r="C3478" s="398" t="inlineStr">
        <is>
          <t>Bãi máy Vĩnh Thăng - Tân Vạn/  Anh Khánh - 0913.580.583</t>
        </is>
      </c>
      <c r="D3478" s="397" t="inlineStr">
        <is>
          <t>0913.580.583</t>
        </is>
      </c>
      <c r="E3478" s="399" t="n"/>
      <c r="F3478" s="398" t="inlineStr">
        <is>
          <t>Tân Vạn, SG</t>
        </is>
      </c>
      <c r="G3478" s="397" t="inlineStr">
        <is>
          <t>SG/HCM</t>
        </is>
      </c>
      <c r="H3478" s="399" t="n"/>
      <c r="J3478" s="392">
        <f>IFERROR(UPPER(TRIM(B3478))&amp;"|"&amp;UPPER(TRIM(C3478))&amp;"|"&amp;UPPER(TRIM(D3478)),"")</f>
        <v/>
      </c>
    </row>
    <row r="3479" ht="15.75" customHeight="1" s="217">
      <c r="A3479" s="400" t="n">
        <v>3477</v>
      </c>
      <c r="B3479" s="400" t="inlineStr">
        <is>
          <t>KH0287</t>
        </is>
      </c>
      <c r="C3479" s="401" t="inlineStr">
        <is>
          <t>Công ty CP Vận tải và Thương mại Quốc Tế - Q1/ A.Hiện: 0949.940.055</t>
        </is>
      </c>
      <c r="D3479" s="400" t="inlineStr">
        <is>
          <t>0949.940.055</t>
        </is>
      </c>
      <c r="E3479" s="402" t="n"/>
      <c r="F3479" s="401" t="inlineStr">
        <is>
          <t>140A Nam Kỳ Khởi Nghĩa, P. Bến Nghé, Q1, TPHCM</t>
        </is>
      </c>
      <c r="G3479" s="402" t="n"/>
      <c r="H3479" s="402" t="n"/>
      <c r="J3479" s="392">
        <f>IFERROR(UPPER(TRIM(B3479))&amp;"|"&amp;UPPER(TRIM(C3479))&amp;"|"&amp;UPPER(TRIM(D3479)),"")</f>
        <v/>
      </c>
    </row>
    <row r="3480" ht="15.75" customHeight="1" s="217">
      <c r="A3480" s="397" t="n">
        <v>3478</v>
      </c>
      <c r="B3480" s="397" t="inlineStr">
        <is>
          <t>KH0286</t>
        </is>
      </c>
      <c r="C3480" s="398" t="inlineStr">
        <is>
          <t>Anh Lương - Gia Lai/ 0978.692.739</t>
        </is>
      </c>
      <c r="D3480" s="397" t="inlineStr">
        <is>
          <t>0978.692.739</t>
        </is>
      </c>
      <c r="E3480" s="399" t="n"/>
      <c r="F3480" s="398" t="inlineStr">
        <is>
          <t>Gia Lai</t>
        </is>
      </c>
      <c r="G3480" s="397" t="inlineStr">
        <is>
          <t>GLAI</t>
        </is>
      </c>
      <c r="H3480" s="399" t="n"/>
      <c r="J3480" s="392">
        <f>IFERROR(UPPER(TRIM(B3480))&amp;"|"&amp;UPPER(TRIM(C3480))&amp;"|"&amp;UPPER(TRIM(D3480)),"")</f>
        <v/>
      </c>
    </row>
    <row r="3481" ht="15.75" customHeight="1" s="217">
      <c r="A3481" s="400" t="n">
        <v>3479</v>
      </c>
      <c r="B3481" s="400" t="inlineStr">
        <is>
          <t>KH0285</t>
        </is>
      </c>
      <c r="C3481" s="401" t="inlineStr">
        <is>
          <t>Công ty TNHH MTV Miền Trung Tây Nguyên - ĐắkLắk/ A.Đạo: 0905.317.735</t>
        </is>
      </c>
      <c r="D3481" s="400" t="inlineStr">
        <is>
          <t>0905.317.735</t>
        </is>
      </c>
      <c r="E3481" s="402" t="n"/>
      <c r="F3481" s="401" t="inlineStr">
        <is>
          <t>193 Nguyễn Văn Cừ, TP. Buôn Ma Thuột, Đắk Lắk</t>
        </is>
      </c>
      <c r="G3481" s="400" t="inlineStr">
        <is>
          <t>ÐL</t>
        </is>
      </c>
      <c r="H3481" s="402" t="n"/>
      <c r="J3481" s="392">
        <f>IFERROR(UPPER(TRIM(B3481))&amp;"|"&amp;UPPER(TRIM(C3481))&amp;"|"&amp;UPPER(TRIM(D3481)),"")</f>
        <v/>
      </c>
    </row>
    <row r="3482" ht="15.75" customHeight="1" s="217">
      <c r="A3482" s="397" t="n">
        <v>3480</v>
      </c>
      <c r="B3482" s="397" t="inlineStr">
        <is>
          <t>KH0284</t>
        </is>
      </c>
      <c r="C3482" s="398" t="inlineStr">
        <is>
          <t>Anh Vĩnh - Vĩnh Long/ 0919.180.548</t>
        </is>
      </c>
      <c r="D3482" s="397" t="inlineStr">
        <is>
          <t>0919.180.548</t>
        </is>
      </c>
      <c r="E3482" s="399" t="n"/>
      <c r="F3482" s="398" t="inlineStr">
        <is>
          <t>Vĩnh Long</t>
        </is>
      </c>
      <c r="G3482" s="399" t="n"/>
      <c r="H3482" s="399" t="n"/>
      <c r="J3482" s="392">
        <f>IFERROR(UPPER(TRIM(B3482))&amp;"|"&amp;UPPER(TRIM(C3482))&amp;"|"&amp;UPPER(TRIM(D3482)),"")</f>
        <v/>
      </c>
    </row>
    <row r="3483" ht="15.75" customHeight="1" s="217">
      <c r="A3483" s="400" t="n">
        <v>3481</v>
      </c>
      <c r="B3483" s="400" t="inlineStr">
        <is>
          <t>KH0283</t>
        </is>
      </c>
      <c r="C3483" s="401" t="inlineStr">
        <is>
          <t>Xưởng anh Cường - Phú Yên/ 0905.291.649</t>
        </is>
      </c>
      <c r="D3483" s="400" t="inlineStr">
        <is>
          <t>0905.291.649</t>
        </is>
      </c>
      <c r="E3483" s="402" t="n"/>
      <c r="F3483" s="401" t="inlineStr">
        <is>
          <t>QL1A cũ, Km4, TP Tuy Hòa, Phú Yên</t>
        </is>
      </c>
      <c r="G3483" s="400" t="inlineStr">
        <is>
          <t>PYEN</t>
        </is>
      </c>
      <c r="H3483" s="402" t="n"/>
      <c r="J3483" s="392">
        <f>IFERROR(UPPER(TRIM(B3483))&amp;"|"&amp;UPPER(TRIM(C3483))&amp;"|"&amp;UPPER(TRIM(D3483)),"")</f>
        <v/>
      </c>
    </row>
    <row r="3484" ht="15.75" customHeight="1" s="217">
      <c r="A3484" s="397" t="n">
        <v>3482</v>
      </c>
      <c r="B3484" s="397" t="inlineStr">
        <is>
          <t>KH0281</t>
        </is>
      </c>
      <c r="C3484" s="398" t="inlineStr">
        <is>
          <t>anh Tùng - Khánh Hòa/ 0914.005.519</t>
        </is>
      </c>
      <c r="D3484" s="397" t="inlineStr">
        <is>
          <t>0914.005.519</t>
        </is>
      </c>
      <c r="E3484" s="399" t="n"/>
      <c r="F3484" s="398" t="inlineStr">
        <is>
          <t>Vạn Giã, Khánh Hòa</t>
        </is>
      </c>
      <c r="G3484" s="397" t="inlineStr">
        <is>
          <t>NTRANG</t>
        </is>
      </c>
      <c r="H3484" s="399" t="n"/>
      <c r="J3484" s="392">
        <f>IFERROR(UPPER(TRIM(B3484))&amp;"|"&amp;UPPER(TRIM(C3484))&amp;"|"&amp;UPPER(TRIM(D3484)),"")</f>
        <v/>
      </c>
    </row>
    <row r="3485" ht="15.75" customHeight="1" s="217">
      <c r="A3485" s="400" t="n">
        <v>3483</v>
      </c>
      <c r="B3485" s="400" t="inlineStr">
        <is>
          <t>KH0282</t>
        </is>
      </c>
      <c r="C3485" s="401" t="inlineStr">
        <is>
          <t>Anh Đức - Gia Lai/ 0988.755.945</t>
        </is>
      </c>
      <c r="D3485" s="400" t="inlineStr">
        <is>
          <t>0988.755.945</t>
        </is>
      </c>
      <c r="E3485" s="402" t="n"/>
      <c r="F3485" s="401" t="inlineStr">
        <is>
          <t>Gia Lai</t>
        </is>
      </c>
      <c r="G3485" s="400" t="inlineStr">
        <is>
          <t>GLAI</t>
        </is>
      </c>
      <c r="H3485" s="402" t="n"/>
      <c r="J3485" s="392">
        <f>IFERROR(UPPER(TRIM(B3485))&amp;"|"&amp;UPPER(TRIM(C3485))&amp;"|"&amp;UPPER(TRIM(D3485)),"")</f>
        <v/>
      </c>
    </row>
    <row r="3486" ht="15.75" customHeight="1" s="217">
      <c r="A3486" s="397" t="n">
        <v>3484</v>
      </c>
      <c r="B3486" s="397" t="inlineStr">
        <is>
          <t>KH0279</t>
        </is>
      </c>
      <c r="C3486" s="398" t="inlineStr">
        <is>
          <t>Anh Hoai - Long An/ 0982.744.126</t>
        </is>
      </c>
      <c r="D3486" s="397" t="inlineStr">
        <is>
          <t>0982.744.126</t>
        </is>
      </c>
      <c r="E3486" s="399" t="n"/>
      <c r="F3486" s="398" t="inlineStr">
        <is>
          <t>Long An</t>
        </is>
      </c>
      <c r="G3486" s="397" t="inlineStr">
        <is>
          <t>LA</t>
        </is>
      </c>
      <c r="H3486" s="399" t="n"/>
      <c r="J3486" s="392">
        <f>IFERROR(UPPER(TRIM(B3486))&amp;"|"&amp;UPPER(TRIM(C3486))&amp;"|"&amp;UPPER(TRIM(D3486)),"")</f>
        <v/>
      </c>
    </row>
    <row r="3487" ht="15.75" customHeight="1" s="217">
      <c r="A3487" s="400" t="n">
        <v>3485</v>
      </c>
      <c r="B3487" s="400" t="inlineStr">
        <is>
          <t>KH0280</t>
        </is>
      </c>
      <c r="C3487" s="401" t="inlineStr">
        <is>
          <t>Anh Bình - Bình Thuận/ 0978.087.221</t>
        </is>
      </c>
      <c r="D3487" s="400" t="inlineStr">
        <is>
          <t>0978.087.221</t>
        </is>
      </c>
      <c r="E3487" s="402" t="n"/>
      <c r="F3487" s="401" t="inlineStr">
        <is>
          <t>Tân Linh, Bình Thuận</t>
        </is>
      </c>
      <c r="G3487" s="400" t="inlineStr">
        <is>
          <t>BTHUAN</t>
        </is>
      </c>
      <c r="H3487" s="402" t="n"/>
      <c r="J3487" s="392">
        <f>IFERROR(UPPER(TRIM(B3487))&amp;"|"&amp;UPPER(TRIM(C3487))&amp;"|"&amp;UPPER(TRIM(D3487)),"")</f>
        <v/>
      </c>
    </row>
    <row r="3488" ht="15.75" customHeight="1" s="217">
      <c r="A3488" s="397" t="n">
        <v>3486</v>
      </c>
      <c r="B3488" s="397" t="inlineStr">
        <is>
          <t>KH0278</t>
        </is>
      </c>
      <c r="C3488" s="398" t="inlineStr">
        <is>
          <t>Xưởng Định Hùng - Gia Lai/ 0934.727.672/ 0935.075.435</t>
        </is>
      </c>
      <c r="D3488" s="397" t="inlineStr">
        <is>
          <t>0934.727.672 / 0935.075.435</t>
        </is>
      </c>
      <c r="E3488" s="399" t="n"/>
      <c r="F3488" s="398" t="inlineStr">
        <is>
          <t>Thị trấn Chư Sê, Gia Lai</t>
        </is>
      </c>
      <c r="G3488" s="397" t="inlineStr">
        <is>
          <t>GLAI</t>
        </is>
      </c>
      <c r="H3488" s="399" t="n"/>
      <c r="J3488" s="392">
        <f>IFERROR(UPPER(TRIM(B3488))&amp;"|"&amp;UPPER(TRIM(C3488))&amp;"|"&amp;UPPER(TRIM(D3488)),"")</f>
        <v/>
      </c>
    </row>
    <row r="3489" ht="15.75" customHeight="1" s="217">
      <c r="A3489" s="400" t="n">
        <v>3487</v>
      </c>
      <c r="B3489" s="400" t="inlineStr">
        <is>
          <t>KH0277</t>
        </is>
      </c>
      <c r="C3489" s="401" t="inlineStr">
        <is>
          <t>Cửa hàng Hoàng Hùng -Vĩnh Long/ 0907.774.762</t>
        </is>
      </c>
      <c r="D3489" s="400" t="inlineStr">
        <is>
          <t>0907.774.762</t>
        </is>
      </c>
      <c r="E3489" s="402" t="n"/>
      <c r="F3489" s="401" t="inlineStr">
        <is>
          <t>Tân Hạnh, Long Hồ, TP Vĩnh Long</t>
        </is>
      </c>
      <c r="G3489" s="400" t="inlineStr">
        <is>
          <t>VĨNH LONG</t>
        </is>
      </c>
      <c r="H3489" s="402" t="n"/>
      <c r="J3489" s="392">
        <f>IFERROR(UPPER(TRIM(B3489))&amp;"|"&amp;UPPER(TRIM(C3489))&amp;"|"&amp;UPPER(TRIM(D3489)),"")</f>
        <v/>
      </c>
    </row>
    <row r="3490" ht="15.75" customHeight="1" s="217">
      <c r="A3490" s="397" t="n">
        <v>3488</v>
      </c>
      <c r="B3490" s="397" t="inlineStr">
        <is>
          <t>KH0276</t>
        </is>
      </c>
      <c r="C3490" s="398" t="inlineStr">
        <is>
          <t>Xưởng Tấn Đạt - KonTum/ 01668.134.234</t>
        </is>
      </c>
      <c r="D3490" s="397" t="inlineStr">
        <is>
          <t>01668.134.234</t>
        </is>
      </c>
      <c r="E3490" s="399" t="n"/>
      <c r="F3490" s="398" t="inlineStr">
        <is>
          <t>470 Phan Đình Phùng, Thành Phố Kontum</t>
        </is>
      </c>
      <c r="G3490" s="397" t="inlineStr">
        <is>
          <t>KTUM</t>
        </is>
      </c>
      <c r="H3490" s="399" t="n"/>
      <c r="J3490" s="392">
        <f>IFERROR(UPPER(TRIM(B3490))&amp;"|"&amp;UPPER(TRIM(C3490))&amp;"|"&amp;UPPER(TRIM(D3490)),"")</f>
        <v/>
      </c>
    </row>
    <row r="3491" ht="15.75" customHeight="1" s="217">
      <c r="A3491" s="400" t="n">
        <v>3489</v>
      </c>
      <c r="B3491" s="400" t="inlineStr">
        <is>
          <t>KH0274</t>
        </is>
      </c>
      <c r="C3491" s="401" t="inlineStr">
        <is>
          <t>Công ty TNHH XD-TM Vinh Quang - Tiền Giang/ A.Vinh: 0944.411.119</t>
        </is>
      </c>
      <c r="D3491" s="400" t="inlineStr">
        <is>
          <t>0944.411.119</t>
        </is>
      </c>
      <c r="E3491" s="402" t="n"/>
      <c r="F3491" s="401" t="inlineStr">
        <is>
          <t>20/8A, Nguyễn Trọng Dân, KP4, Phường 3, TX Gò Công, Tiền Giang</t>
        </is>
      </c>
      <c r="G3491" s="400" t="inlineStr">
        <is>
          <t>TGIANG</t>
        </is>
      </c>
      <c r="H3491" s="402" t="n"/>
      <c r="J3491" s="392">
        <f>IFERROR(UPPER(TRIM(B3491))&amp;"|"&amp;UPPER(TRIM(C3491))&amp;"|"&amp;UPPER(TRIM(D3491)),"")</f>
        <v/>
      </c>
    </row>
    <row r="3492" ht="15.75" customHeight="1" s="217">
      <c r="A3492" s="397" t="n">
        <v>3490</v>
      </c>
      <c r="B3492" s="397" t="inlineStr">
        <is>
          <t>KH0275</t>
        </is>
      </c>
      <c r="C3492" s="398" t="inlineStr">
        <is>
          <t>Công ty Hoàng Nhi - Bình Dương/ anh Vũ: 0909.004.162</t>
        </is>
      </c>
      <c r="D3492" s="397" t="inlineStr">
        <is>
          <t>0909.004.162</t>
        </is>
      </c>
      <c r="E3492" s="399" t="n"/>
      <c r="F3492" s="398" t="inlineStr">
        <is>
          <t>Bình Dương</t>
        </is>
      </c>
      <c r="G3492" s="397" t="inlineStr">
        <is>
          <t>BDUONG</t>
        </is>
      </c>
      <c r="H3492" s="399" t="n"/>
      <c r="J3492" s="392">
        <f>IFERROR(UPPER(TRIM(B3492))&amp;"|"&amp;UPPER(TRIM(C3492))&amp;"|"&amp;UPPER(TRIM(D3492)),"")</f>
        <v/>
      </c>
    </row>
    <row r="3493" ht="15.75" customHeight="1" s="217">
      <c r="A3493" s="400" t="n">
        <v>3491</v>
      </c>
      <c r="B3493" s="400" t="inlineStr">
        <is>
          <t>KH0273</t>
        </is>
      </c>
      <c r="C3493" s="401" t="inlineStr">
        <is>
          <t>Công ty TNHH Phúc Thành - Phú Yên/ A.Lin: 0905.848.284</t>
        </is>
      </c>
      <c r="D3493" s="400" t="inlineStr">
        <is>
          <t>0905.848.284</t>
        </is>
      </c>
      <c r="E3493" s="402" t="n"/>
      <c r="F3493" s="401" t="inlineStr">
        <is>
          <t>Thôn Chính Nghĩa, Xã An Phú, Thành phố Tuy Hòa, tỉnh Phú Yên</t>
        </is>
      </c>
      <c r="G3493" s="400" t="inlineStr">
        <is>
          <t>PYEN</t>
        </is>
      </c>
      <c r="H3493" s="402" t="n"/>
      <c r="J3493" s="392">
        <f>IFERROR(UPPER(TRIM(B3493))&amp;"|"&amp;UPPER(TRIM(C3493))&amp;"|"&amp;UPPER(TRIM(D3493)),"")</f>
        <v/>
      </c>
    </row>
    <row r="3494" ht="15.75" customHeight="1" s="217">
      <c r="A3494" s="397" t="n">
        <v>3492</v>
      </c>
      <c r="B3494" s="397" t="inlineStr">
        <is>
          <t>KH0271</t>
        </is>
      </c>
      <c r="C3494" s="398" t="inlineStr">
        <is>
          <t>Anh Vinh - Ngã ba 621/ 0918.735.245</t>
        </is>
      </c>
      <c r="D3494" s="397" t="inlineStr">
        <is>
          <t>0918.735.245</t>
        </is>
      </c>
      <c r="E3494" s="399" t="n"/>
      <c r="F3494" s="398" t="inlineStr">
        <is>
          <t>Ngã ba 621, TP HCM</t>
        </is>
      </c>
      <c r="G3494" s="397" t="inlineStr">
        <is>
          <t>SG/HCM</t>
        </is>
      </c>
      <c r="H3494" s="399" t="n"/>
      <c r="J3494" s="392">
        <f>IFERROR(UPPER(TRIM(B3494))&amp;"|"&amp;UPPER(TRIM(C3494))&amp;"|"&amp;UPPER(TRIM(D3494)),"")</f>
        <v/>
      </c>
    </row>
    <row r="3495" ht="15.75" customHeight="1" s="217">
      <c r="A3495" s="400" t="n">
        <v>3493</v>
      </c>
      <c r="B3495" s="400" t="inlineStr">
        <is>
          <t>KH0272</t>
        </is>
      </c>
      <c r="C3495" s="401" t="inlineStr">
        <is>
          <t>Chú Tâm - DNTN Đức Tâm (Bình Thuận)/ 0918.561.363</t>
        </is>
      </c>
      <c r="D3495" s="400" t="inlineStr">
        <is>
          <t>0918.561.363</t>
        </is>
      </c>
      <c r="E3495" s="402" t="n"/>
      <c r="F3495" s="401" t="inlineStr">
        <is>
          <t>Thị trấn Võ Xu, huyện Đức Linh, tỉnh Bình Thuận</t>
        </is>
      </c>
      <c r="G3495" s="400" t="inlineStr">
        <is>
          <t>BTHUAN</t>
        </is>
      </c>
      <c r="H3495" s="402" t="n"/>
      <c r="J3495" s="392">
        <f>IFERROR(UPPER(TRIM(B3495))&amp;"|"&amp;UPPER(TRIM(C3495))&amp;"|"&amp;UPPER(TRIM(D3495)),"")</f>
        <v/>
      </c>
    </row>
    <row r="3496" ht="15.75" customHeight="1" s="217">
      <c r="A3496" s="397" t="n">
        <v>3494</v>
      </c>
      <c r="B3496" s="397" t="inlineStr">
        <is>
          <t>KH0267</t>
        </is>
      </c>
      <c r="C3496" s="398" t="inlineStr">
        <is>
          <t>Xưởng Long Giang - Bình Phước/ 0784.425.330</t>
        </is>
      </c>
      <c r="D3496" s="397" t="inlineStr">
        <is>
          <t>0784.425.330</t>
        </is>
      </c>
      <c r="E3496" s="399" t="n"/>
      <c r="F3496" s="398" t="inlineStr">
        <is>
          <t>Phùng Chấn Minh, KP1, TX Đồng Xoài, Bình Phước</t>
        </is>
      </c>
      <c r="G3496" s="397" t="inlineStr">
        <is>
          <t>BP</t>
        </is>
      </c>
      <c r="H3496" s="399" t="n"/>
      <c r="J3496" s="392">
        <f>IFERROR(UPPER(TRIM(B3496))&amp;"|"&amp;UPPER(TRIM(C3496))&amp;"|"&amp;UPPER(TRIM(D3496)),"")</f>
        <v/>
      </c>
    </row>
    <row r="3497" ht="15.75" customHeight="1" s="217">
      <c r="A3497" s="400" t="n">
        <v>3495</v>
      </c>
      <c r="B3497" s="400" t="inlineStr">
        <is>
          <t>KH0268</t>
        </is>
      </c>
      <c r="C3497" s="401" t="inlineStr">
        <is>
          <t>Cửa hàng Duy Thanh - Kiên Giang/ 0913.190.687- Fax: 0773.841.564</t>
        </is>
      </c>
      <c r="D3497" s="400" t="inlineStr">
        <is>
          <t>0913.190.687- / 0773.841.564</t>
        </is>
      </c>
      <c r="E3497" s="402" t="n"/>
      <c r="F3497" s="401" t="inlineStr">
        <is>
          <t>Hòn Đất, Kiên Giang</t>
        </is>
      </c>
      <c r="G3497" s="400" t="inlineStr">
        <is>
          <t>KG</t>
        </is>
      </c>
      <c r="H3497" s="402" t="n"/>
      <c r="J3497" s="392">
        <f>IFERROR(UPPER(TRIM(B3497))&amp;"|"&amp;UPPER(TRIM(C3497))&amp;"|"&amp;UPPER(TRIM(D3497)),"")</f>
        <v/>
      </c>
    </row>
    <row r="3498" ht="15.75" customHeight="1" s="217">
      <c r="A3498" s="397" t="n">
        <v>3496</v>
      </c>
      <c r="B3498" s="397" t="inlineStr">
        <is>
          <t>KH0269</t>
        </is>
      </c>
      <c r="C3498" s="398" t="inlineStr">
        <is>
          <t>Xưởng Long Hải - Lâm Đồng/ 0918.465.564</t>
        </is>
      </c>
      <c r="D3498" s="397" t="inlineStr">
        <is>
          <t>0918.465.564</t>
        </is>
      </c>
      <c r="E3498" s="399" t="n"/>
      <c r="F3498" s="398" t="inlineStr">
        <is>
          <t>Long Hải, Đinh Văn, Lâm Hà, Lâm Đồng</t>
        </is>
      </c>
      <c r="G3498" s="397" t="inlineStr">
        <is>
          <t>LDONG</t>
        </is>
      </c>
      <c r="H3498" s="399" t="n"/>
      <c r="J3498" s="392">
        <f>IFERROR(UPPER(TRIM(B3498))&amp;"|"&amp;UPPER(TRIM(C3498))&amp;"|"&amp;UPPER(TRIM(D3498)),"")</f>
        <v/>
      </c>
    </row>
    <row r="3499" ht="15.75" customHeight="1" s="217">
      <c r="A3499" s="400" t="n">
        <v>3497</v>
      </c>
      <c r="B3499" s="400" t="inlineStr">
        <is>
          <t>KH0270</t>
        </is>
      </c>
      <c r="C3499" s="401" t="inlineStr">
        <is>
          <t>Xưởng Minh Trang - ĐắkLắk/ Chị út: 0982.789.385</t>
        </is>
      </c>
      <c r="D3499" s="400" t="inlineStr">
        <is>
          <t>0982.789.385</t>
        </is>
      </c>
      <c r="E3499" s="402" t="n"/>
      <c r="F3499" s="401" t="inlineStr">
        <is>
          <t>KrongPuk, ĐắkLắk</t>
        </is>
      </c>
      <c r="G3499" s="400" t="inlineStr">
        <is>
          <t>ÐL</t>
        </is>
      </c>
      <c r="H3499" s="402" t="n"/>
      <c r="J3499" s="392">
        <f>IFERROR(UPPER(TRIM(B3499))&amp;"|"&amp;UPPER(TRIM(C3499))&amp;"|"&amp;UPPER(TRIM(D3499)),"")</f>
        <v/>
      </c>
    </row>
    <row r="3500" ht="15.75" customHeight="1" s="217">
      <c r="A3500" s="397" t="n">
        <v>3498</v>
      </c>
      <c r="B3500" s="397" t="inlineStr">
        <is>
          <t>KH0266</t>
        </is>
      </c>
      <c r="C3500" s="398" t="inlineStr">
        <is>
          <t>Anh Quyền - Đồng Nai/ 0908.416.416</t>
        </is>
      </c>
      <c r="D3500" s="397" t="inlineStr">
        <is>
          <t>0908.416.416</t>
        </is>
      </c>
      <c r="E3500" s="399" t="n"/>
      <c r="F3500" s="398" t="inlineStr">
        <is>
          <t>Đồng Nai</t>
        </is>
      </c>
      <c r="G3500" s="397" t="inlineStr">
        <is>
          <t>ÐNAI</t>
        </is>
      </c>
      <c r="H3500" s="399" t="n"/>
      <c r="J3500" s="392">
        <f>IFERROR(UPPER(TRIM(B3500))&amp;"|"&amp;UPPER(TRIM(C3500))&amp;"|"&amp;UPPER(TRIM(D3500)),"")</f>
        <v/>
      </c>
    </row>
    <row r="3501" ht="15.75" customHeight="1" s="217">
      <c r="A3501" s="400" t="n">
        <v>3499</v>
      </c>
      <c r="B3501" s="400" t="inlineStr">
        <is>
          <t>KH0263</t>
        </is>
      </c>
      <c r="C3501" s="401" t="inlineStr">
        <is>
          <t>Bãi máy Đại Đăng Khoa - SG/ 0903.744.264</t>
        </is>
      </c>
      <c r="D3501" s="400" t="inlineStr">
        <is>
          <t>0903.744.264</t>
        </is>
      </c>
      <c r="E3501" s="402" t="n"/>
      <c r="F3501" s="401" t="inlineStr">
        <is>
          <t>Đối diện khu công nghệ cao</t>
        </is>
      </c>
      <c r="G3501" s="400" t="inlineStr">
        <is>
          <t>SG/HCM</t>
        </is>
      </c>
      <c r="H3501" s="402" t="n"/>
      <c r="J3501" s="392">
        <f>IFERROR(UPPER(TRIM(B3501))&amp;"|"&amp;UPPER(TRIM(C3501))&amp;"|"&amp;UPPER(TRIM(D3501)),"")</f>
        <v/>
      </c>
    </row>
    <row r="3502" ht="15.75" customHeight="1" s="217">
      <c r="A3502" s="397" t="n">
        <v>3500</v>
      </c>
      <c r="B3502" s="397" t="inlineStr">
        <is>
          <t>KH0264</t>
        </is>
      </c>
      <c r="C3502" s="398" t="inlineStr">
        <is>
          <t>anh Nghỉ - Cà Mau/ 0918.472.567</t>
        </is>
      </c>
      <c r="D3502" s="397" t="inlineStr">
        <is>
          <t>0918.472.567</t>
        </is>
      </c>
      <c r="E3502" s="399" t="n"/>
      <c r="F3502" s="398" t="inlineStr">
        <is>
          <t>Cà Mau</t>
        </is>
      </c>
      <c r="G3502" s="397" t="inlineStr">
        <is>
          <t>CMAU</t>
        </is>
      </c>
      <c r="H3502" s="399" t="n"/>
      <c r="J3502" s="392">
        <f>IFERROR(UPPER(TRIM(B3502))&amp;"|"&amp;UPPER(TRIM(C3502))&amp;"|"&amp;UPPER(TRIM(D3502)),"")</f>
        <v/>
      </c>
    </row>
    <row r="3503" ht="15.75" customHeight="1" s="217">
      <c r="A3503" s="400" t="n">
        <v>3501</v>
      </c>
      <c r="B3503" s="400" t="inlineStr">
        <is>
          <t>KH0265</t>
        </is>
      </c>
      <c r="C3503" s="401" t="inlineStr">
        <is>
          <t>Anh Quyến - Công ty Văn Minh/ 0978.881.636</t>
        </is>
      </c>
      <c r="D3503" s="400" t="inlineStr">
        <is>
          <t>0978.881.636</t>
        </is>
      </c>
      <c r="E3503" s="402" t="n"/>
      <c r="F3503" s="401" t="inlineStr">
        <is>
          <t>SG</t>
        </is>
      </c>
      <c r="G3503" s="400" t="inlineStr">
        <is>
          <t>SG/HCM</t>
        </is>
      </c>
      <c r="H3503" s="402" t="n"/>
      <c r="J3503" s="392">
        <f>IFERROR(UPPER(TRIM(B3503))&amp;"|"&amp;UPPER(TRIM(C3503))&amp;"|"&amp;UPPER(TRIM(D3503)),"")</f>
        <v/>
      </c>
    </row>
    <row r="3504" ht="15.75" customHeight="1" s="217">
      <c r="A3504" s="397" t="n">
        <v>3502</v>
      </c>
      <c r="B3504" s="397" t="inlineStr">
        <is>
          <t>KH0260</t>
        </is>
      </c>
      <c r="C3504" s="398" t="inlineStr">
        <is>
          <t>Xưởng anh Chín - Quảng Ngãi/ 0914.158.327</t>
        </is>
      </c>
      <c r="D3504" s="397" t="inlineStr">
        <is>
          <t>0914.158.327</t>
        </is>
      </c>
      <c r="E3504" s="399" t="n"/>
      <c r="F3504" s="398" t="inlineStr">
        <is>
          <t>Quảng Ngãi</t>
        </is>
      </c>
      <c r="G3504" s="397" t="inlineStr">
        <is>
          <t>QUNGAI</t>
        </is>
      </c>
      <c r="H3504" s="399" t="n"/>
      <c r="J3504" s="392">
        <f>IFERROR(UPPER(TRIM(B3504))&amp;"|"&amp;UPPER(TRIM(C3504))&amp;"|"&amp;UPPER(TRIM(D3504)),"")</f>
        <v/>
      </c>
    </row>
    <row r="3505" ht="15.75" customHeight="1" s="217">
      <c r="A3505" s="400" t="n">
        <v>3503</v>
      </c>
      <c r="B3505" s="400" t="inlineStr">
        <is>
          <t>KH0261</t>
        </is>
      </c>
      <c r="C3505" s="401" t="inlineStr">
        <is>
          <t>Anh Sơn - Quận 9/ 0913.990.067</t>
        </is>
      </c>
      <c r="D3505" s="400" t="inlineStr">
        <is>
          <t>0913.990.067</t>
        </is>
      </c>
      <c r="E3505" s="402" t="n"/>
      <c r="F3505" s="401" t="inlineStr">
        <is>
          <t>Ngã Tư Bình Thái - Quận 9 - TP HCM</t>
        </is>
      </c>
      <c r="G3505" s="400" t="inlineStr">
        <is>
          <t>SG/HCM</t>
        </is>
      </c>
      <c r="H3505" s="402" t="n"/>
      <c r="J3505" s="392">
        <f>IFERROR(UPPER(TRIM(B3505))&amp;"|"&amp;UPPER(TRIM(C3505))&amp;"|"&amp;UPPER(TRIM(D3505)),"")</f>
        <v/>
      </c>
    </row>
    <row r="3506" ht="15.75" customHeight="1" s="217">
      <c r="A3506" s="397" t="n">
        <v>3504</v>
      </c>
      <c r="B3506" s="397" t="inlineStr">
        <is>
          <t>KH0262</t>
        </is>
      </c>
      <c r="C3506" s="398" t="inlineStr">
        <is>
          <t>DNTN Tân Thành Thiện - Bình Thuận/ Anh Hậu: 0989.021.161-0908.049.179</t>
        </is>
      </c>
      <c r="D3506" s="397" t="inlineStr">
        <is>
          <t>021.161-0908</t>
        </is>
      </c>
      <c r="E3506" s="399" t="n"/>
      <c r="F3506" s="398" t="inlineStr">
        <is>
          <t>QL1A, KM37 Tân Lập, Hàm Thuận Nam, Bình Thuận</t>
        </is>
      </c>
      <c r="G3506" s="397" t="inlineStr">
        <is>
          <t>BTHUAN</t>
        </is>
      </c>
      <c r="H3506" s="399" t="n"/>
      <c r="J3506" s="392">
        <f>IFERROR(UPPER(TRIM(B3506))&amp;"|"&amp;UPPER(TRIM(C3506))&amp;"|"&amp;UPPER(TRIM(D3506)),"")</f>
        <v/>
      </c>
    </row>
    <row r="3507" ht="15.75" customHeight="1" s="217">
      <c r="A3507" s="400" t="n">
        <v>3505</v>
      </c>
      <c r="B3507" s="400" t="inlineStr">
        <is>
          <t>KH0259</t>
        </is>
      </c>
      <c r="C3507" s="401" t="inlineStr">
        <is>
          <t>Xưởng anh Tuấn (L) - ĐắkLắk/ 0942.673.118</t>
        </is>
      </c>
      <c r="D3507" s="400" t="inlineStr">
        <is>
          <t>0942.673.118</t>
        </is>
      </c>
      <c r="E3507" s="402" t="n"/>
      <c r="F3507" s="401" t="inlineStr">
        <is>
          <t>Y Ngông, TP Buôn Ma Thuột, ĐắkLắk</t>
        </is>
      </c>
      <c r="G3507" s="400" t="inlineStr">
        <is>
          <t>ÐL</t>
        </is>
      </c>
      <c r="H3507" s="402" t="n"/>
      <c r="J3507" s="392">
        <f>IFERROR(UPPER(TRIM(B3507))&amp;"|"&amp;UPPER(TRIM(C3507))&amp;"|"&amp;UPPER(TRIM(D3507)),"")</f>
        <v/>
      </c>
    </row>
    <row r="3508" ht="15.75" customHeight="1" s="217">
      <c r="A3508" s="397" t="n">
        <v>3506</v>
      </c>
      <c r="B3508" s="397" t="inlineStr">
        <is>
          <t>MN23</t>
        </is>
      </c>
      <c r="C3508" s="398" t="inlineStr">
        <is>
          <t>Huỳnh Văn Kiệt</t>
        </is>
      </c>
      <c r="D3508" s="399" t="n"/>
      <c r="E3508" s="399" t="n"/>
      <c r="F3508" s="398" t="inlineStr">
        <is>
          <t>CTCP Thiết bị Cơ giới Miền Nam</t>
        </is>
      </c>
      <c r="G3508" s="399" t="n"/>
      <c r="H3508" s="399" t="n"/>
      <c r="J3508" s="392">
        <f>IFERROR(UPPER(TRIM(B3508))&amp;"|"&amp;UPPER(TRIM(C3508))&amp;"|"&amp;UPPER(TRIM(D3508)),"")</f>
        <v/>
      </c>
    </row>
    <row r="3509" ht="15.75" customHeight="1" s="217">
      <c r="A3509" s="400" t="n">
        <v>3507</v>
      </c>
      <c r="B3509" s="400" t="inlineStr">
        <is>
          <t>KH0258</t>
        </is>
      </c>
      <c r="C3509" s="401" t="inlineStr">
        <is>
          <t>Bãi máy Công Hiếu - SG/ 0903.999.704</t>
        </is>
      </c>
      <c r="D3509" s="400" t="inlineStr">
        <is>
          <t>0903.999.704</t>
        </is>
      </c>
      <c r="E3509" s="402" t="n"/>
      <c r="F3509" s="401" t="inlineStr">
        <is>
          <t>Xa lộ Hà Nội, TP HCM</t>
        </is>
      </c>
      <c r="G3509" s="400" t="inlineStr">
        <is>
          <t>SG/HCM</t>
        </is>
      </c>
      <c r="H3509" s="402" t="n"/>
      <c r="J3509" s="392">
        <f>IFERROR(UPPER(TRIM(B3509))&amp;"|"&amp;UPPER(TRIM(C3509))&amp;"|"&amp;UPPER(TRIM(D3509)),"")</f>
        <v/>
      </c>
    </row>
    <row r="3510" ht="15.75" customHeight="1" s="217">
      <c r="A3510" s="397" t="n">
        <v>3508</v>
      </c>
      <c r="B3510" s="397" t="inlineStr">
        <is>
          <t>KH0255</t>
        </is>
      </c>
      <c r="C3510" s="398" t="inlineStr">
        <is>
          <t>DNTN Trần Thọ - Bình Dương/ Anh Thọ: 0907.267.575</t>
        </is>
      </c>
      <c r="D3510" s="397" t="inlineStr">
        <is>
          <t>0907.267.575</t>
        </is>
      </c>
      <c r="E3510" s="399" t="n"/>
      <c r="F3510" s="398" t="inlineStr">
        <is>
          <t>Tân Đông Hiệp, Dĩ An, Bình Dương</t>
        </is>
      </c>
      <c r="G3510" s="397" t="inlineStr">
        <is>
          <t>BDUONG</t>
        </is>
      </c>
      <c r="H3510" s="399" t="n"/>
      <c r="J3510" s="392">
        <f>IFERROR(UPPER(TRIM(B3510))&amp;"|"&amp;UPPER(TRIM(C3510))&amp;"|"&amp;UPPER(TRIM(D3510)),"")</f>
        <v/>
      </c>
    </row>
    <row r="3511" ht="15.75" customHeight="1" s="217">
      <c r="A3511" s="400" t="n">
        <v>3509</v>
      </c>
      <c r="B3511" s="400" t="inlineStr">
        <is>
          <t>KH0256</t>
        </is>
      </c>
      <c r="C3511" s="401" t="inlineStr">
        <is>
          <t>Công ty TNHH MTV Chánh Thi - Khánh Hòa</t>
        </is>
      </c>
      <c r="D3511" s="402" t="n"/>
      <c r="E3511" s="402" t="n"/>
      <c r="F3511" s="401" t="inlineStr">
        <is>
          <t>Cam Lâm, Khánh Hòa</t>
        </is>
      </c>
      <c r="G3511" s="402" t="n"/>
      <c r="H3511" s="402" t="n"/>
      <c r="J3511" s="392">
        <f>IFERROR(UPPER(TRIM(B3511))&amp;"|"&amp;UPPER(TRIM(C3511))&amp;"|"&amp;UPPER(TRIM(D3511)),"")</f>
        <v/>
      </c>
    </row>
    <row r="3512" ht="15.75" customHeight="1" s="217">
      <c r="A3512" s="397" t="n">
        <v>3510</v>
      </c>
      <c r="B3512" s="397" t="inlineStr">
        <is>
          <t>KH0257</t>
        </is>
      </c>
      <c r="C3512" s="398" t="inlineStr">
        <is>
          <t>Xưởng anh Sang - Lâm Đồng / 0976.160.322</t>
        </is>
      </c>
      <c r="D3512" s="397" t="inlineStr">
        <is>
          <t>0976.160.322</t>
        </is>
      </c>
      <c r="E3512" s="399" t="n"/>
      <c r="F3512" s="398" t="inlineStr">
        <is>
          <t>Đức Trọng, Lâm Đồng</t>
        </is>
      </c>
      <c r="G3512" s="397" t="inlineStr">
        <is>
          <t>LDONG</t>
        </is>
      </c>
      <c r="H3512" s="399" t="n"/>
      <c r="J3512" s="392">
        <f>IFERROR(UPPER(TRIM(B3512))&amp;"|"&amp;UPPER(TRIM(C3512))&amp;"|"&amp;UPPER(TRIM(D3512)),"")</f>
        <v/>
      </c>
    </row>
    <row r="3513" ht="15.75" customHeight="1" s="217">
      <c r="A3513" s="400" t="n">
        <v>3511</v>
      </c>
      <c r="B3513" s="400" t="inlineStr">
        <is>
          <t>KH0252</t>
        </is>
      </c>
      <c r="C3513" s="401" t="inlineStr">
        <is>
          <t>Anh Thiện - Mỹ Tho/ 0949.554.414</t>
        </is>
      </c>
      <c r="D3513" s="400" t="inlineStr">
        <is>
          <t>0949.554.414</t>
        </is>
      </c>
      <c r="E3513" s="402" t="n"/>
      <c r="F3513" s="401" t="inlineStr">
        <is>
          <t>Mỹ Tho, Tiền Giang</t>
        </is>
      </c>
      <c r="G3513" s="400" t="inlineStr">
        <is>
          <t>TGIANG</t>
        </is>
      </c>
      <c r="H3513" s="402" t="n"/>
      <c r="J3513" s="392">
        <f>IFERROR(UPPER(TRIM(B3513))&amp;"|"&amp;UPPER(TRIM(C3513))&amp;"|"&amp;UPPER(TRIM(D3513)),"")</f>
        <v/>
      </c>
    </row>
    <row r="3514" ht="15.75" customHeight="1" s="217">
      <c r="A3514" s="397" t="n">
        <v>3512</v>
      </c>
      <c r="B3514" s="397" t="inlineStr">
        <is>
          <t>KH0253</t>
        </is>
      </c>
      <c r="C3514" s="398" t="inlineStr">
        <is>
          <t>Anh Nam - Công ty Quỳnh Như (Bình Dương)/ 0987.103.939</t>
        </is>
      </c>
      <c r="D3514" s="397" t="inlineStr">
        <is>
          <t>0987.103.939</t>
        </is>
      </c>
      <c r="E3514" s="399" t="n"/>
      <c r="F3514" s="398" t="inlineStr">
        <is>
          <t>35 ấp Cây Đa, Phước Thạnh, Tân Uyên, Bình Dương</t>
        </is>
      </c>
      <c r="G3514" s="397" t="inlineStr">
        <is>
          <t>BDUONG</t>
        </is>
      </c>
      <c r="H3514" s="399" t="n"/>
      <c r="J3514" s="392">
        <f>IFERROR(UPPER(TRIM(B3514))&amp;"|"&amp;UPPER(TRIM(C3514))&amp;"|"&amp;UPPER(TRIM(D3514)),"")</f>
        <v/>
      </c>
    </row>
    <row r="3515" ht="15.75" customHeight="1" s="217">
      <c r="A3515" s="400" t="n">
        <v>3513</v>
      </c>
      <c r="B3515" s="400" t="inlineStr">
        <is>
          <t>KH0254</t>
        </is>
      </c>
      <c r="C3515" s="401" t="inlineStr">
        <is>
          <t>Công ty Bạch Kim - SG/ 0914.434.269</t>
        </is>
      </c>
      <c r="D3515" s="400" t="inlineStr">
        <is>
          <t>0914.434.269</t>
        </is>
      </c>
      <c r="E3515" s="402" t="n"/>
      <c r="F3515" s="401" t="inlineStr">
        <is>
          <t>Sài Gòn</t>
        </is>
      </c>
      <c r="G3515" s="400" t="inlineStr">
        <is>
          <t>SG/HCM</t>
        </is>
      </c>
      <c r="H3515" s="402" t="n"/>
      <c r="J3515" s="392">
        <f>IFERROR(UPPER(TRIM(B3515))&amp;"|"&amp;UPPER(TRIM(C3515))&amp;"|"&amp;UPPER(TRIM(D3515)),"")</f>
        <v/>
      </c>
    </row>
    <row r="3516" ht="15.75" customHeight="1" s="217">
      <c r="A3516" s="397" t="n">
        <v>3514</v>
      </c>
      <c r="B3516" s="397" t="inlineStr">
        <is>
          <t>KH0249</t>
        </is>
      </c>
      <c r="C3516" s="398" t="inlineStr">
        <is>
          <t>Anh Toàn - Bình Phước/ 0979.378.379</t>
        </is>
      </c>
      <c r="D3516" s="397" t="inlineStr">
        <is>
          <t>0979.378.379</t>
        </is>
      </c>
      <c r="E3516" s="399" t="n"/>
      <c r="F3516" s="398" t="inlineStr">
        <is>
          <t>Cầu 2, Thị xã Đồng Xoài, Bình Phước</t>
        </is>
      </c>
      <c r="G3516" s="397" t="inlineStr">
        <is>
          <t>BP</t>
        </is>
      </c>
      <c r="H3516" s="399" t="n"/>
      <c r="J3516" s="392">
        <f>IFERROR(UPPER(TRIM(B3516))&amp;"|"&amp;UPPER(TRIM(C3516))&amp;"|"&amp;UPPER(TRIM(D3516)),"")</f>
        <v/>
      </c>
    </row>
    <row r="3517" ht="15.75" customHeight="1" s="217">
      <c r="A3517" s="400" t="n">
        <v>3515</v>
      </c>
      <c r="B3517" s="400" t="inlineStr">
        <is>
          <t>KH0250</t>
        </is>
      </c>
      <c r="C3517" s="401" t="inlineStr">
        <is>
          <t>Bãi máy Năm Lập - Xa lộ Hà Nội/ 0903.627.280</t>
        </is>
      </c>
      <c r="D3517" s="400" t="inlineStr">
        <is>
          <t>0903.627.280</t>
        </is>
      </c>
      <c r="E3517" s="402" t="n"/>
      <c r="F3517" s="401" t="inlineStr">
        <is>
          <t>Đối diện bãi máy Vĩnh Phát</t>
        </is>
      </c>
      <c r="G3517" s="400" t="inlineStr">
        <is>
          <t>SG/HCM</t>
        </is>
      </c>
      <c r="H3517" s="402" t="n"/>
      <c r="J3517" s="392">
        <f>IFERROR(UPPER(TRIM(B3517))&amp;"|"&amp;UPPER(TRIM(C3517))&amp;"|"&amp;UPPER(TRIM(D3517)),"")</f>
        <v/>
      </c>
    </row>
    <row r="3518" ht="15.75" customHeight="1" s="217">
      <c r="A3518" s="397" t="n">
        <v>3516</v>
      </c>
      <c r="B3518" s="397" t="inlineStr">
        <is>
          <t>KH0251</t>
        </is>
      </c>
      <c r="C3518" s="398" t="inlineStr">
        <is>
          <t>Xưởng Long Thành - Buôn Mê Thuột/ 0913.484.184</t>
        </is>
      </c>
      <c r="D3518" s="397" t="inlineStr">
        <is>
          <t>0913.484.184</t>
        </is>
      </c>
      <c r="E3518" s="399" t="n"/>
      <c r="F3518" s="398" t="inlineStr">
        <is>
          <t>60 Trần Quý Cáp, TP Buôn Mê Thuột, Đắk Lắk</t>
        </is>
      </c>
      <c r="G3518" s="397" t="inlineStr">
        <is>
          <t>ÐL</t>
        </is>
      </c>
      <c r="H3518" s="399" t="n"/>
      <c r="J3518" s="392">
        <f>IFERROR(UPPER(TRIM(B3518))&amp;"|"&amp;UPPER(TRIM(C3518))&amp;"|"&amp;UPPER(TRIM(D3518)),"")</f>
        <v/>
      </c>
    </row>
    <row r="3519" ht="15.75" customHeight="1" s="217">
      <c r="A3519" s="400" t="n">
        <v>3517</v>
      </c>
      <c r="B3519" s="400" t="inlineStr">
        <is>
          <t>KH0248</t>
        </is>
      </c>
      <c r="C3519" s="401" t="inlineStr">
        <is>
          <t>Xưởng Sơn Tùng - Vĩnh Phú 27/ 0918.284.109- 0918.284.108</t>
        </is>
      </c>
      <c r="D3519" s="400" t="inlineStr">
        <is>
          <t>0918.284.109- / 0918.284.108</t>
        </is>
      </c>
      <c r="E3519" s="402" t="n"/>
      <c r="F3519" s="401" t="inlineStr">
        <is>
          <t>Số 10/6  Đường Vĩnh Phú 27,P. Vĩnh Phú, TP. Thuận An, Bình Dương</t>
        </is>
      </c>
      <c r="G3519" s="400" t="inlineStr">
        <is>
          <t>SG/HCM</t>
        </is>
      </c>
      <c r="H3519" s="402" t="n"/>
      <c r="J3519" s="392">
        <f>IFERROR(UPPER(TRIM(B3519))&amp;"|"&amp;UPPER(TRIM(C3519))&amp;"|"&amp;UPPER(TRIM(D3519)),"")</f>
        <v/>
      </c>
    </row>
    <row r="3520" ht="15.75" customHeight="1" s="217">
      <c r="A3520" s="397" t="n">
        <v>3518</v>
      </c>
      <c r="B3520" s="397" t="inlineStr">
        <is>
          <t>KH0246</t>
        </is>
      </c>
      <c r="C3520" s="398" t="inlineStr">
        <is>
          <t>Anh Đức - Ngã 4 Bình Phước/ 0918.734.851</t>
        </is>
      </c>
      <c r="D3520" s="397" t="inlineStr">
        <is>
          <t>0918.734.851</t>
        </is>
      </c>
      <c r="E3520" s="399" t="n"/>
      <c r="F3520" s="398" t="inlineStr">
        <is>
          <t>Ngã 4 Bình Phước, TP HCM</t>
        </is>
      </c>
      <c r="G3520" s="397" t="inlineStr">
        <is>
          <t>SG/HCM</t>
        </is>
      </c>
      <c r="H3520" s="399" t="n"/>
      <c r="J3520" s="392">
        <f>IFERROR(UPPER(TRIM(B3520))&amp;"|"&amp;UPPER(TRIM(C3520))&amp;"|"&amp;UPPER(TRIM(D3520)),"")</f>
        <v/>
      </c>
    </row>
    <row r="3521" ht="15.75" customHeight="1" s="217">
      <c r="A3521" s="400" t="n">
        <v>3519</v>
      </c>
      <c r="B3521" s="400" t="inlineStr">
        <is>
          <t>KH0247</t>
        </is>
      </c>
      <c r="C3521" s="401" t="inlineStr">
        <is>
          <t>DNTN Hải Hậu ( Bình Dương)- Chú Nhụ: 0913.945.747</t>
        </is>
      </c>
      <c r="D3521" s="400" t="inlineStr">
        <is>
          <t>0913.945.747</t>
        </is>
      </c>
      <c r="E3521" s="402" t="n"/>
      <c r="F3521" s="401" t="inlineStr">
        <is>
          <t>Đường Lồ Ô, Nội Hóa, Dĩ An, Bình Dương</t>
        </is>
      </c>
      <c r="G3521" s="400" t="inlineStr">
        <is>
          <t>BDUONG</t>
        </is>
      </c>
      <c r="H3521" s="402" t="n"/>
      <c r="J3521" s="392">
        <f>IFERROR(UPPER(TRIM(B3521))&amp;"|"&amp;UPPER(TRIM(C3521))&amp;"|"&amp;UPPER(TRIM(D3521)),"")</f>
        <v/>
      </c>
    </row>
    <row r="3522" ht="15.75" customHeight="1" s="217">
      <c r="A3522" s="397" t="n">
        <v>3520</v>
      </c>
      <c r="B3522" s="397" t="inlineStr">
        <is>
          <t>KH0245</t>
        </is>
      </c>
      <c r="C3522" s="398" t="inlineStr">
        <is>
          <t>Chi nhánh Công ty TNHH TM-XD Bình Nguyễn - Anh Khoa: 0932.773.456 - 0909.788.012</t>
        </is>
      </c>
      <c r="D3522" s="397" t="inlineStr">
        <is>
          <t>0932.773.456 / 0909.788.012</t>
        </is>
      </c>
      <c r="E3522" s="399" t="n"/>
      <c r="F3522" s="398" t="inlineStr">
        <is>
          <t>Đông An, Tân Đông Hiệp, Dĩ An, Bình Dương</t>
        </is>
      </c>
      <c r="G3522" s="399" t="n"/>
      <c r="H3522" s="399" t="n"/>
      <c r="J3522" s="392">
        <f>IFERROR(UPPER(TRIM(B3522))&amp;"|"&amp;UPPER(TRIM(C3522))&amp;"|"&amp;UPPER(TRIM(D3522)),"")</f>
        <v/>
      </c>
    </row>
    <row r="3523" ht="15.75" customHeight="1" s="217">
      <c r="A3523" s="400" t="n">
        <v>3521</v>
      </c>
      <c r="B3523" s="400" t="inlineStr">
        <is>
          <t>KH0243</t>
        </is>
      </c>
      <c r="C3523" s="401" t="inlineStr">
        <is>
          <t>Cửa hàng ô tô Vũ Tuấn - Bình Long C. Trang 0124.555.3333 - Tel/Fax: 06513.681.456</t>
        </is>
      </c>
      <c r="D3523" s="400" t="inlineStr">
        <is>
          <t>0124.555.3333 / 06513.681.456</t>
        </is>
      </c>
      <c r="E3523" s="402" t="n"/>
      <c r="F3523" s="401" t="inlineStr">
        <is>
          <t>Đường Nguyễn Huệ (trục đường QL13), TX Bình Long, Bình Phước</t>
        </is>
      </c>
      <c r="G3523" s="400" t="inlineStr">
        <is>
          <t>BP</t>
        </is>
      </c>
      <c r="H3523" s="402" t="n"/>
      <c r="J3523" s="392">
        <f>IFERROR(UPPER(TRIM(B3523))&amp;"|"&amp;UPPER(TRIM(C3523))&amp;"|"&amp;UPPER(TRIM(D3523)),"")</f>
        <v/>
      </c>
    </row>
    <row r="3524" ht="15.75" customHeight="1" s="217">
      <c r="A3524" s="397" t="n">
        <v>3522</v>
      </c>
      <c r="B3524" s="397" t="inlineStr">
        <is>
          <t>KH0244</t>
        </is>
      </c>
      <c r="C3524" s="398" t="inlineStr">
        <is>
          <t>Công ty CP Bất động sản Tài Nguyên - Anh Lợi: 0937.938.171</t>
        </is>
      </c>
      <c r="D3524" s="397" t="inlineStr">
        <is>
          <t>0937.938.171</t>
        </is>
      </c>
      <c r="E3524" s="399" t="n"/>
      <c r="F3524" s="398" t="inlineStr">
        <is>
          <t>52-54 Thủ Khoa Huân, Phường Bến Thành, Quận 1, TPHCM</t>
        </is>
      </c>
      <c r="G3524" s="399" t="n"/>
      <c r="H3524" s="399" t="n"/>
      <c r="J3524" s="392">
        <f>IFERROR(UPPER(TRIM(B3524))&amp;"|"&amp;UPPER(TRIM(C3524))&amp;"|"&amp;UPPER(TRIM(D3524)),"")</f>
        <v/>
      </c>
    </row>
    <row r="3525" ht="15.75" customHeight="1" s="217">
      <c r="A3525" s="400" t="n">
        <v>3523</v>
      </c>
      <c r="B3525" s="400" t="inlineStr">
        <is>
          <t>KH0242</t>
        </is>
      </c>
      <c r="C3525" s="401" t="inlineStr">
        <is>
          <t>Cửa Hàng Thuận Hải - Phan Rang/ 0365.454.650</t>
        </is>
      </c>
      <c r="D3525" s="400" t="inlineStr">
        <is>
          <t>0365.454.650</t>
        </is>
      </c>
      <c r="E3525" s="402" t="n"/>
      <c r="F3525" s="401" t="inlineStr">
        <is>
          <t>Quốc Lộ 27, P.Phước Mỹ, TP.Phan Rang Tháp Chàm, Ninh Thuận</t>
        </is>
      </c>
      <c r="G3525" s="400" t="inlineStr">
        <is>
          <t>NTHUAN</t>
        </is>
      </c>
      <c r="H3525" s="402" t="n"/>
      <c r="J3525" s="392">
        <f>IFERROR(UPPER(TRIM(B3525))&amp;"|"&amp;UPPER(TRIM(C3525))&amp;"|"&amp;UPPER(TRIM(D3525)),"")</f>
        <v/>
      </c>
    </row>
    <row r="3526" ht="15.75" customHeight="1" s="217">
      <c r="A3526" s="397" t="n">
        <v>3524</v>
      </c>
      <c r="B3526" s="397" t="inlineStr">
        <is>
          <t>KH0241</t>
        </is>
      </c>
      <c r="C3526" s="398" t="inlineStr">
        <is>
          <t>Công ty CP Rạng Đông - Phan Thiết/ Ngọc Anh - 0868.384.591</t>
        </is>
      </c>
      <c r="D3526" s="397" t="inlineStr">
        <is>
          <t>0868.384.591</t>
        </is>
      </c>
      <c r="E3526" s="399" t="n"/>
      <c r="F3526" s="398" t="inlineStr">
        <is>
          <t>J45 Tôn Đức Thắng, P. Xuân An, TP Phan Thiết, Bình Thuận</t>
        </is>
      </c>
      <c r="G3526" s="397" t="inlineStr">
        <is>
          <t>BTHUAN</t>
        </is>
      </c>
      <c r="H3526" s="399" t="n"/>
      <c r="J3526" s="392">
        <f>IFERROR(UPPER(TRIM(B3526))&amp;"|"&amp;UPPER(TRIM(C3526))&amp;"|"&amp;UPPER(TRIM(D3526)),"")</f>
        <v/>
      </c>
    </row>
    <row r="3527" ht="15.75" customHeight="1" s="217">
      <c r="A3527" s="400" t="n">
        <v>3525</v>
      </c>
      <c r="B3527" s="400" t="inlineStr">
        <is>
          <t>KH0240</t>
        </is>
      </c>
      <c r="C3527" s="401" t="inlineStr">
        <is>
          <t>Công ty TNHH MTV An Phú - Quảng Ngãi/ A.Cường: 0905.201.202</t>
        </is>
      </c>
      <c r="D3527" s="400" t="inlineStr">
        <is>
          <t>0905.201.202</t>
        </is>
      </c>
      <c r="E3527" s="402" t="n"/>
      <c r="F3527" s="401" t="inlineStr">
        <is>
          <t>Bình Chương, Bình Sơn, Quảng Ngãi</t>
        </is>
      </c>
      <c r="G3527" s="400" t="inlineStr">
        <is>
          <t>QUNGAI</t>
        </is>
      </c>
      <c r="H3527" s="402" t="n"/>
      <c r="J3527" s="392">
        <f>IFERROR(UPPER(TRIM(B3527))&amp;"|"&amp;UPPER(TRIM(C3527))&amp;"|"&amp;UPPER(TRIM(D3527)),"")</f>
        <v/>
      </c>
    </row>
    <row r="3528" ht="15.75" customHeight="1" s="217">
      <c r="A3528" s="397" t="n">
        <v>3526</v>
      </c>
      <c r="B3528" s="397" t="inlineStr">
        <is>
          <t>KH0239</t>
        </is>
      </c>
      <c r="C3528" s="398" t="inlineStr">
        <is>
          <t>Hoàng Anh - Cà Mau/ 0917.241.433</t>
        </is>
      </c>
      <c r="D3528" s="397" t="inlineStr">
        <is>
          <t>0917.241.433</t>
        </is>
      </c>
      <c r="E3528" s="399" t="n"/>
      <c r="F3528" s="398" t="inlineStr">
        <is>
          <t>Cà Mau</t>
        </is>
      </c>
      <c r="G3528" s="397" t="inlineStr">
        <is>
          <t>CMAU</t>
        </is>
      </c>
      <c r="H3528" s="399" t="n"/>
      <c r="J3528" s="392">
        <f>IFERROR(UPPER(TRIM(B3528))&amp;"|"&amp;UPPER(TRIM(C3528))&amp;"|"&amp;UPPER(TRIM(D3528)),"")</f>
        <v/>
      </c>
    </row>
    <row r="3529" ht="15.75" customHeight="1" s="217">
      <c r="A3529" s="400" t="n">
        <v>3527</v>
      </c>
      <c r="B3529" s="400" t="inlineStr">
        <is>
          <t>KH0237</t>
        </is>
      </c>
      <c r="C3529" s="401" t="inlineStr">
        <is>
          <t>Anh Tâm - Bình Chánh/ 0913.494.497</t>
        </is>
      </c>
      <c r="D3529" s="400" t="inlineStr">
        <is>
          <t>0913.494.497</t>
        </is>
      </c>
      <c r="E3529" s="402" t="n"/>
      <c r="F3529" s="401" t="inlineStr">
        <is>
          <t>Ngã 3 Quán Chuối, Bùi Thanh Khiết, Bình Chánh, TPHCM</t>
        </is>
      </c>
      <c r="G3529" s="400" t="inlineStr">
        <is>
          <t>SG/HCM</t>
        </is>
      </c>
      <c r="H3529" s="402" t="n"/>
      <c r="J3529" s="392">
        <f>IFERROR(UPPER(TRIM(B3529))&amp;"|"&amp;UPPER(TRIM(C3529))&amp;"|"&amp;UPPER(TRIM(D3529)),"")</f>
        <v/>
      </c>
    </row>
    <row r="3530" ht="15.75" customHeight="1" s="217">
      <c r="A3530" s="397" t="n">
        <v>3528</v>
      </c>
      <c r="B3530" s="397" t="inlineStr">
        <is>
          <t>KH0238</t>
        </is>
      </c>
      <c r="C3530" s="398" t="inlineStr">
        <is>
          <t>Công ty Hoàng Kim - SG/ 0914.343.269</t>
        </is>
      </c>
      <c r="D3530" s="397" t="inlineStr">
        <is>
          <t>0914.343.269</t>
        </is>
      </c>
      <c r="E3530" s="399" t="n"/>
      <c r="F3530" s="398" t="inlineStr">
        <is>
          <t>Bình Tân, TPHCM</t>
        </is>
      </c>
      <c r="G3530" s="397" t="inlineStr">
        <is>
          <t>SG/HCM</t>
        </is>
      </c>
      <c r="H3530" s="399" t="n"/>
      <c r="J3530" s="392">
        <f>IFERROR(UPPER(TRIM(B3530))&amp;"|"&amp;UPPER(TRIM(C3530))&amp;"|"&amp;UPPER(TRIM(D3530)),"")</f>
        <v/>
      </c>
    </row>
    <row r="3531" ht="15.75" customHeight="1" s="217">
      <c r="A3531" s="400" t="n">
        <v>3529</v>
      </c>
      <c r="B3531" s="400" t="inlineStr">
        <is>
          <t>KH0236</t>
        </is>
      </c>
      <c r="C3531" s="401" t="inlineStr">
        <is>
          <t>Anh Dũng - KonTum/ 0914.028.493</t>
        </is>
      </c>
      <c r="D3531" s="400" t="inlineStr">
        <is>
          <t>0914.028.493</t>
        </is>
      </c>
      <c r="E3531" s="402" t="n"/>
      <c r="F3531" s="401" t="inlineStr">
        <is>
          <t>KonTum</t>
        </is>
      </c>
      <c r="G3531" s="400" t="inlineStr">
        <is>
          <t>KTUM</t>
        </is>
      </c>
      <c r="H3531" s="402" t="n"/>
      <c r="J3531" s="392">
        <f>IFERROR(UPPER(TRIM(B3531))&amp;"|"&amp;UPPER(TRIM(C3531))&amp;"|"&amp;UPPER(TRIM(D3531)),"")</f>
        <v/>
      </c>
    </row>
    <row r="3532" ht="15.75" customHeight="1" s="217">
      <c r="A3532" s="397" t="n">
        <v>3530</v>
      </c>
      <c r="B3532" s="397" t="inlineStr">
        <is>
          <t>KH0235</t>
        </is>
      </c>
      <c r="C3532" s="398" t="inlineStr">
        <is>
          <t>Anh Dũng - Đà Lạt/ 0913.934.567</t>
        </is>
      </c>
      <c r="D3532" s="397" t="inlineStr">
        <is>
          <t>0913.934.567</t>
        </is>
      </c>
      <c r="E3532" s="399" t="n"/>
      <c r="F3532" s="398" t="inlineStr">
        <is>
          <t>Đà Lạt, Lâm Đồng</t>
        </is>
      </c>
      <c r="G3532" s="397" t="inlineStr">
        <is>
          <t>LDONG</t>
        </is>
      </c>
      <c r="H3532" s="399" t="n"/>
      <c r="J3532" s="392">
        <f>IFERROR(UPPER(TRIM(B3532))&amp;"|"&amp;UPPER(TRIM(C3532))&amp;"|"&amp;UPPER(TRIM(D3532)),"")</f>
        <v/>
      </c>
    </row>
    <row r="3533" ht="15.75" customHeight="1" s="217">
      <c r="A3533" s="400" t="n">
        <v>3531</v>
      </c>
      <c r="B3533" s="400" t="inlineStr">
        <is>
          <t>KH0233</t>
        </is>
      </c>
      <c r="C3533" s="401" t="inlineStr">
        <is>
          <t>Anh Đức - Công ty TNHH MTV Phan Hữu Đức - Đồng Nai/ 0987.949.475</t>
        </is>
      </c>
      <c r="D3533" s="400" t="inlineStr">
        <is>
          <t>0987.949.475</t>
        </is>
      </c>
      <c r="E3533" s="402" t="n"/>
      <c r="F3533" s="401" t="inlineStr">
        <is>
          <t>ấp 2, Xã Xuân Hưng, Xuân Lộc, Đồng Nai</t>
        </is>
      </c>
      <c r="G3533" s="400" t="inlineStr">
        <is>
          <t>ÐNAI</t>
        </is>
      </c>
      <c r="H3533" s="402" t="n"/>
      <c r="J3533" s="392">
        <f>IFERROR(UPPER(TRIM(B3533))&amp;"|"&amp;UPPER(TRIM(C3533))&amp;"|"&amp;UPPER(TRIM(D3533)),"")</f>
        <v/>
      </c>
    </row>
    <row r="3534" ht="15.75" customHeight="1" s="217">
      <c r="A3534" s="397" t="n">
        <v>3532</v>
      </c>
      <c r="B3534" s="397" t="inlineStr">
        <is>
          <t>KH0234</t>
        </is>
      </c>
      <c r="C3534" s="398" t="inlineStr">
        <is>
          <t>Chú Quang - Kiên Giang/0901.221.889</t>
        </is>
      </c>
      <c r="D3534" s="397" t="inlineStr">
        <is>
          <t>0901.221.889</t>
        </is>
      </c>
      <c r="E3534" s="399" t="n"/>
      <c r="F3534" s="398" t="inlineStr">
        <is>
          <t>Rạch Giá, Kiên Giang</t>
        </is>
      </c>
      <c r="G3534" s="397" t="inlineStr">
        <is>
          <t>KG</t>
        </is>
      </c>
      <c r="H3534" s="399" t="n"/>
      <c r="J3534" s="392">
        <f>IFERROR(UPPER(TRIM(B3534))&amp;"|"&amp;UPPER(TRIM(C3534))&amp;"|"&amp;UPPER(TRIM(D3534)),"")</f>
        <v/>
      </c>
    </row>
    <row r="3535" ht="15.75" customHeight="1" s="217">
      <c r="A3535" s="400" t="n">
        <v>3533</v>
      </c>
      <c r="B3535" s="400" t="inlineStr">
        <is>
          <t>KH0231</t>
        </is>
      </c>
      <c r="C3535" s="401" t="inlineStr">
        <is>
          <t>Anh Thọ - Công ty Trung Thành (Bình Dương)/ 0987.373.767</t>
        </is>
      </c>
      <c r="D3535" s="400" t="inlineStr">
        <is>
          <t>0987.373.767</t>
        </is>
      </c>
      <c r="E3535" s="402" t="n"/>
      <c r="F3535" s="401" t="inlineStr">
        <is>
          <t>Bình An, Thuận An, Bình Dương</t>
        </is>
      </c>
      <c r="G3535" s="402" t="n"/>
      <c r="H3535" s="402" t="n"/>
      <c r="J3535" s="392">
        <f>IFERROR(UPPER(TRIM(B3535))&amp;"|"&amp;UPPER(TRIM(C3535))&amp;"|"&amp;UPPER(TRIM(D3535)),"")</f>
        <v/>
      </c>
    </row>
    <row r="3536" ht="15.75" customHeight="1" s="217">
      <c r="A3536" s="397" t="n">
        <v>3534</v>
      </c>
      <c r="B3536" s="397" t="inlineStr">
        <is>
          <t>KH0232</t>
        </is>
      </c>
      <c r="C3536" s="398" t="inlineStr">
        <is>
          <t>Anh Trí - Công ty TNHH MTV Ngọc Hân (Cà Mau): 0917.233.433</t>
        </is>
      </c>
      <c r="D3536" s="397" t="inlineStr">
        <is>
          <t>0917.233.433</t>
        </is>
      </c>
      <c r="E3536" s="399" t="n"/>
      <c r="F3536" s="398" t="inlineStr">
        <is>
          <t>ấp Tân Thành Mới, xã Rạch Chèo, Phú Tân, Cà Mau</t>
        </is>
      </c>
      <c r="G3536" s="397" t="inlineStr">
        <is>
          <t>CMAU</t>
        </is>
      </c>
      <c r="H3536" s="399" t="n"/>
      <c r="J3536" s="392">
        <f>IFERROR(UPPER(TRIM(B3536))&amp;"|"&amp;UPPER(TRIM(C3536))&amp;"|"&amp;UPPER(TRIM(D3536)),"")</f>
        <v/>
      </c>
    </row>
    <row r="3537" ht="15.75" customHeight="1" s="217">
      <c r="A3537" s="400" t="n">
        <v>3535</v>
      </c>
      <c r="B3537" s="400" t="inlineStr">
        <is>
          <t>KH0230</t>
        </is>
      </c>
      <c r="C3537" s="401" t="inlineStr">
        <is>
          <t>Doanh nghiệp tư nhân Lộc Ninh - Lâm Đồng/ 0977.566.577</t>
        </is>
      </c>
      <c r="D3537" s="400" t="inlineStr">
        <is>
          <t>0977.566.577</t>
        </is>
      </c>
      <c r="E3537" s="402" t="n"/>
      <c r="F3537" s="401" t="inlineStr">
        <is>
          <t>Thôn 3, Liên Đầm, Di Linh, Lâm Đồng</t>
        </is>
      </c>
      <c r="G3537" s="400" t="inlineStr">
        <is>
          <t>LDONG</t>
        </is>
      </c>
      <c r="H3537" s="402" t="n"/>
      <c r="J3537" s="392">
        <f>IFERROR(UPPER(TRIM(B3537))&amp;"|"&amp;UPPER(TRIM(C3537))&amp;"|"&amp;UPPER(TRIM(D3537)),"")</f>
        <v/>
      </c>
    </row>
    <row r="3538" ht="15.75" customHeight="1" s="217">
      <c r="A3538" s="397" t="n">
        <v>3536</v>
      </c>
      <c r="B3538" s="397" t="inlineStr">
        <is>
          <t>KH0229</t>
        </is>
      </c>
      <c r="C3538" s="398" t="inlineStr">
        <is>
          <t>Xưởng anh Luân - Gia Lai/ 0986.661.679</t>
        </is>
      </c>
      <c r="D3538" s="397" t="inlineStr">
        <is>
          <t>0986.661.679</t>
        </is>
      </c>
      <c r="E3538" s="399" t="n"/>
      <c r="F3538" s="398" t="inlineStr">
        <is>
          <t>Gia Lai</t>
        </is>
      </c>
      <c r="G3538" s="397" t="inlineStr">
        <is>
          <t>GLAI</t>
        </is>
      </c>
      <c r="H3538" s="399" t="n"/>
      <c r="J3538" s="392">
        <f>IFERROR(UPPER(TRIM(B3538))&amp;"|"&amp;UPPER(TRIM(C3538))&amp;"|"&amp;UPPER(TRIM(D3538)),"")</f>
        <v/>
      </c>
    </row>
    <row r="3539" ht="15.75" customHeight="1" s="217">
      <c r="A3539" s="400" t="n">
        <v>3537</v>
      </c>
      <c r="B3539" s="400" t="inlineStr">
        <is>
          <t>KH0226</t>
        </is>
      </c>
      <c r="C3539" s="401" t="inlineStr">
        <is>
          <t>Anh Hùng - Phan Thiết/ 0986.569.445</t>
        </is>
      </c>
      <c r="D3539" s="400" t="inlineStr">
        <is>
          <t>0986.569.445</t>
        </is>
      </c>
      <c r="E3539" s="402" t="n"/>
      <c r="F3539" s="401" t="inlineStr">
        <is>
          <t>Trạm thu phí Sông Phan, Bình Thuận</t>
        </is>
      </c>
      <c r="G3539" s="400" t="inlineStr">
        <is>
          <t>BTHUAN</t>
        </is>
      </c>
      <c r="H3539" s="402" t="n"/>
      <c r="J3539" s="392">
        <f>IFERROR(UPPER(TRIM(B3539))&amp;"|"&amp;UPPER(TRIM(C3539))&amp;"|"&amp;UPPER(TRIM(D3539)),"")</f>
        <v/>
      </c>
    </row>
    <row r="3540" ht="15.75" customHeight="1" s="217">
      <c r="A3540" s="397" t="n">
        <v>3538</v>
      </c>
      <c r="B3540" s="397" t="inlineStr">
        <is>
          <t>KH0227</t>
        </is>
      </c>
      <c r="C3540" s="398" t="inlineStr">
        <is>
          <t>Anh Huy - Chợ Lầu/ 0978.593.508</t>
        </is>
      </c>
      <c r="D3540" s="397" t="inlineStr">
        <is>
          <t>0978.593.508</t>
        </is>
      </c>
      <c r="E3540" s="399" t="n"/>
      <c r="F3540" s="398" t="inlineStr">
        <is>
          <t>Chợ Lầu, Bình Thuận</t>
        </is>
      </c>
      <c r="G3540" s="397" t="inlineStr">
        <is>
          <t>BTHUAN</t>
        </is>
      </c>
      <c r="H3540" s="399" t="n"/>
      <c r="J3540" s="392">
        <f>IFERROR(UPPER(TRIM(B3540))&amp;"|"&amp;UPPER(TRIM(C3540))&amp;"|"&amp;UPPER(TRIM(D3540)),"")</f>
        <v/>
      </c>
    </row>
    <row r="3541" ht="15.75" customHeight="1" s="217">
      <c r="A3541" s="400" t="n">
        <v>3539</v>
      </c>
      <c r="B3541" s="400" t="inlineStr">
        <is>
          <t>KH0228</t>
        </is>
      </c>
      <c r="C3541" s="401" t="inlineStr">
        <is>
          <t>Xưởng anh Hòa - Bảo Lộc/ 0979.732.433</t>
        </is>
      </c>
      <c r="D3541" s="400" t="inlineStr">
        <is>
          <t>0979.732.433</t>
        </is>
      </c>
      <c r="E3541" s="402" t="n"/>
      <c r="F3541" s="401" t="inlineStr">
        <is>
          <t>Bảo Lộc, Lâm Đồng</t>
        </is>
      </c>
      <c r="G3541" s="400" t="inlineStr">
        <is>
          <t>LDONG</t>
        </is>
      </c>
      <c r="H3541" s="402" t="n"/>
      <c r="J3541" s="392">
        <f>IFERROR(UPPER(TRIM(B3541))&amp;"|"&amp;UPPER(TRIM(C3541))&amp;"|"&amp;UPPER(TRIM(D3541)),"")</f>
        <v/>
      </c>
    </row>
    <row r="3542" ht="15.75" customHeight="1" s="217">
      <c r="A3542" s="397" t="n">
        <v>3540</v>
      </c>
      <c r="B3542" s="397" t="inlineStr">
        <is>
          <t>KH0224</t>
        </is>
      </c>
      <c r="C3542" s="398" t="inlineStr">
        <is>
          <t>Xưởng chú Hải - Bảo Lộc/ 01663.452.590</t>
        </is>
      </c>
      <c r="D3542" s="397" t="inlineStr">
        <is>
          <t>01663.452.590</t>
        </is>
      </c>
      <c r="E3542" s="399" t="n"/>
      <c r="F3542" s="398" t="inlineStr">
        <is>
          <t>Bảo Lâm, Bảo Lộc, Lâm Đồng</t>
        </is>
      </c>
      <c r="G3542" s="397" t="inlineStr">
        <is>
          <t>LDONG</t>
        </is>
      </c>
      <c r="H3542" s="399" t="n"/>
      <c r="J3542" s="392">
        <f>IFERROR(UPPER(TRIM(B3542))&amp;"|"&amp;UPPER(TRIM(C3542))&amp;"|"&amp;UPPER(TRIM(D3542)),"")</f>
        <v/>
      </c>
    </row>
    <row r="3543" ht="15.75" customHeight="1" s="217">
      <c r="A3543" s="400" t="n">
        <v>3541</v>
      </c>
      <c r="B3543" s="400" t="inlineStr">
        <is>
          <t>KH0225</t>
        </is>
      </c>
      <c r="C3543" s="401" t="inlineStr">
        <is>
          <t>Công ty TNHH Xây dựng Công trình Nam Việt - Bảo Lộc/ A.Hoàng: 0983.939.739</t>
        </is>
      </c>
      <c r="D3543" s="400" t="inlineStr">
        <is>
          <t>0983.939.739</t>
        </is>
      </c>
      <c r="E3543" s="402" t="n"/>
      <c r="F3543" s="401" t="inlineStr">
        <is>
          <t>89 Lý Thường Kiệt, P1, TP Bảo Lộc, Lâm Đồng</t>
        </is>
      </c>
      <c r="G3543" s="400" t="inlineStr">
        <is>
          <t>LDONG</t>
        </is>
      </c>
      <c r="H3543" s="402" t="n"/>
      <c r="J3543" s="392">
        <f>IFERROR(UPPER(TRIM(B3543))&amp;"|"&amp;UPPER(TRIM(C3543))&amp;"|"&amp;UPPER(TRIM(D3543)),"")</f>
        <v/>
      </c>
    </row>
    <row r="3544" ht="15.75" customHeight="1" s="217">
      <c r="A3544" s="397" t="n">
        <v>3542</v>
      </c>
      <c r="B3544" s="397" t="inlineStr">
        <is>
          <t>KH0223</t>
        </is>
      </c>
      <c r="C3544" s="398" t="inlineStr">
        <is>
          <t>Anh Việt - CTCP Hóa An/ 0936.854.545</t>
        </is>
      </c>
      <c r="D3544" s="397" t="inlineStr">
        <is>
          <t>0936.854.545</t>
        </is>
      </c>
      <c r="E3544" s="399" t="n"/>
      <c r="F3544" s="398" t="inlineStr">
        <is>
          <t>Trạm thu phí QL1K (Xưởng số 19)</t>
        </is>
      </c>
      <c r="G3544" s="397" t="inlineStr">
        <is>
          <t>SG/HCM</t>
        </is>
      </c>
      <c r="H3544" s="399" t="n"/>
      <c r="J3544" s="392">
        <f>IFERROR(UPPER(TRIM(B3544))&amp;"|"&amp;UPPER(TRIM(C3544))&amp;"|"&amp;UPPER(TRIM(D3544)),"")</f>
        <v/>
      </c>
    </row>
    <row r="3545" ht="15.75" customHeight="1" s="217">
      <c r="A3545" s="400" t="n">
        <v>3543</v>
      </c>
      <c r="B3545" s="400" t="inlineStr">
        <is>
          <t>KH0222</t>
        </is>
      </c>
      <c r="C3545" s="401" t="inlineStr">
        <is>
          <t>Bãi máy Vũ Hùng - Sài Gòn/ 0913.993.718</t>
        </is>
      </c>
      <c r="D3545" s="400" t="inlineStr">
        <is>
          <t>0913.993.718</t>
        </is>
      </c>
      <c r="E3545" s="402" t="n"/>
      <c r="F3545" s="401" t="inlineStr">
        <is>
          <t>Xa lộ Hà Nội, Q.9, TP HCM</t>
        </is>
      </c>
      <c r="G3545" s="400" t="inlineStr">
        <is>
          <t>SG/HCM</t>
        </is>
      </c>
      <c r="H3545" s="402" t="n"/>
      <c r="J3545" s="392">
        <f>IFERROR(UPPER(TRIM(B3545))&amp;"|"&amp;UPPER(TRIM(C3545))&amp;"|"&amp;UPPER(TRIM(D3545)),"")</f>
        <v/>
      </c>
    </row>
    <row r="3546" ht="15.75" customHeight="1" s="217">
      <c r="A3546" s="397" t="n">
        <v>3544</v>
      </c>
      <c r="B3546" s="397" t="inlineStr">
        <is>
          <t>KH0221</t>
        </is>
      </c>
      <c r="C3546" s="398" t="inlineStr">
        <is>
          <t>Cửa hàng Hiển Hiếu - An Giang/ 0939.935.622 FAX: 02963.846.516</t>
        </is>
      </c>
      <c r="D3546" s="397" t="inlineStr">
        <is>
          <t>0939.935.622 / 02963.846.516</t>
        </is>
      </c>
      <c r="E3546" s="399" t="n"/>
      <c r="F3546" s="398" t="inlineStr">
        <is>
          <t>TP Long Xuyên, An Giang</t>
        </is>
      </c>
      <c r="G3546" s="397" t="inlineStr">
        <is>
          <t>ANGIANG</t>
        </is>
      </c>
      <c r="H3546" s="399" t="n"/>
      <c r="J3546" s="392">
        <f>IFERROR(UPPER(TRIM(B3546))&amp;"|"&amp;UPPER(TRIM(C3546))&amp;"|"&amp;UPPER(TRIM(D3546)),"")</f>
        <v/>
      </c>
    </row>
    <row r="3547" ht="15.75" customHeight="1" s="217">
      <c r="A3547" s="400" t="n">
        <v>3545</v>
      </c>
      <c r="B3547" s="400" t="inlineStr">
        <is>
          <t>KH0219</t>
        </is>
      </c>
      <c r="C3547" s="401" t="inlineStr">
        <is>
          <t>Anh Vũ - Bến Tre/ 0987.711.676</t>
        </is>
      </c>
      <c r="D3547" s="400" t="inlineStr">
        <is>
          <t>0987.711.676</t>
        </is>
      </c>
      <c r="E3547" s="402" t="n"/>
      <c r="F3547" s="401" t="inlineStr">
        <is>
          <t>Bến Tre</t>
        </is>
      </c>
      <c r="G3547" s="400" t="inlineStr">
        <is>
          <t>BTRE</t>
        </is>
      </c>
      <c r="H3547" s="402" t="n"/>
      <c r="J3547" s="392">
        <f>IFERROR(UPPER(TRIM(B3547))&amp;"|"&amp;UPPER(TRIM(C3547))&amp;"|"&amp;UPPER(TRIM(D3547)),"")</f>
        <v/>
      </c>
    </row>
    <row r="3548" ht="15.75" customHeight="1" s="217">
      <c r="A3548" s="397" t="n">
        <v>3546</v>
      </c>
      <c r="B3548" s="397" t="inlineStr">
        <is>
          <t>KH0220</t>
        </is>
      </c>
      <c r="C3548" s="398" t="inlineStr">
        <is>
          <t>Xưởng Anh Đức - Đà Nẵng/ 0905.711.510</t>
        </is>
      </c>
      <c r="D3548" s="397" t="inlineStr">
        <is>
          <t>0905.711.510</t>
        </is>
      </c>
      <c r="E3548" s="399" t="n"/>
      <c r="F3548" s="398" t="inlineStr">
        <is>
          <t>Số 1000, Trường Chinh, TPĐà Nẵng</t>
        </is>
      </c>
      <c r="G3548" s="397" t="inlineStr">
        <is>
          <t>DNANG</t>
        </is>
      </c>
      <c r="H3548" s="399" t="n"/>
      <c r="J3548" s="392">
        <f>IFERROR(UPPER(TRIM(B3548))&amp;"|"&amp;UPPER(TRIM(C3548))&amp;"|"&amp;UPPER(TRIM(D3548)),"")</f>
        <v/>
      </c>
    </row>
    <row r="3549" ht="15.75" customHeight="1" s="217">
      <c r="A3549" s="400" t="n">
        <v>3547</v>
      </c>
      <c r="B3549" s="400" t="inlineStr">
        <is>
          <t>KH0218</t>
        </is>
      </c>
      <c r="C3549" s="401" t="inlineStr">
        <is>
          <t>Anh Mặng - Nha Trang/ 0905.123.198</t>
        </is>
      </c>
      <c r="D3549" s="400" t="inlineStr">
        <is>
          <t>0905.123.198</t>
        </is>
      </c>
      <c r="E3549" s="402" t="n"/>
      <c r="F3549" s="401" t="inlineStr">
        <is>
          <t>Nha Trang, Khánh Hòa</t>
        </is>
      </c>
      <c r="G3549" s="400" t="inlineStr">
        <is>
          <t>NTRANG</t>
        </is>
      </c>
      <c r="H3549" s="402" t="n"/>
      <c r="J3549" s="392">
        <f>IFERROR(UPPER(TRIM(B3549))&amp;"|"&amp;UPPER(TRIM(C3549))&amp;"|"&amp;UPPER(TRIM(D3549)),"")</f>
        <v/>
      </c>
    </row>
    <row r="3550" ht="15.75" customHeight="1" s="217">
      <c r="A3550" s="397" t="n">
        <v>3548</v>
      </c>
      <c r="B3550" s="397" t="inlineStr">
        <is>
          <t>KH0217</t>
        </is>
      </c>
      <c r="C3550" s="398" t="inlineStr">
        <is>
          <t>Anh Phong - Phan Rí, Bình Thuận/ 0919.648.280</t>
        </is>
      </c>
      <c r="D3550" s="397" t="inlineStr">
        <is>
          <t>0919.648.280</t>
        </is>
      </c>
      <c r="E3550" s="399" t="n"/>
      <c r="F3550" s="398" t="inlineStr">
        <is>
          <t>Phan Rí, Bình Thuận</t>
        </is>
      </c>
      <c r="G3550" s="397" t="inlineStr">
        <is>
          <t>BTHUAN</t>
        </is>
      </c>
      <c r="H3550" s="399" t="n"/>
      <c r="J3550" s="392">
        <f>IFERROR(UPPER(TRIM(B3550))&amp;"|"&amp;UPPER(TRIM(C3550))&amp;"|"&amp;UPPER(TRIM(D3550)),"")</f>
        <v/>
      </c>
    </row>
    <row r="3551" ht="15.75" customHeight="1" s="217">
      <c r="A3551" s="400" t="n">
        <v>3549</v>
      </c>
      <c r="B3551" s="400" t="inlineStr">
        <is>
          <t>KH0216</t>
        </is>
      </c>
      <c r="C3551" s="401" t="inlineStr">
        <is>
          <t>Cửa hàng phụ tùng ô tô cơ giới Kiến Phát - Gia Lai/ anh Bi: 0932.577.676 - FAX: 0593.874.876</t>
        </is>
      </c>
      <c r="D3551" s="400" t="inlineStr">
        <is>
          <t>0932.577.676 / 0593.874.876</t>
        </is>
      </c>
      <c r="E3551" s="402" t="n"/>
      <c r="F3551" s="401" t="inlineStr">
        <is>
          <t>71Wừu, P.Lakring, TP Pleiku, Gia Lai</t>
        </is>
      </c>
      <c r="G3551" s="400" t="inlineStr">
        <is>
          <t>GLAI</t>
        </is>
      </c>
      <c r="H3551" s="402" t="n"/>
      <c r="J3551" s="392">
        <f>IFERROR(UPPER(TRIM(B3551))&amp;"|"&amp;UPPER(TRIM(C3551))&amp;"|"&amp;UPPER(TRIM(D3551)),"")</f>
        <v/>
      </c>
    </row>
    <row r="3552" ht="15.75" customHeight="1" s="217">
      <c r="A3552" s="397" t="n">
        <v>3550</v>
      </c>
      <c r="B3552" s="397" t="inlineStr">
        <is>
          <t>KH0215</t>
        </is>
      </c>
      <c r="C3552" s="398" t="inlineStr">
        <is>
          <t>Anh Uyên - SG (Công ty TNHH Vận tải và Cơ giới Đại Phát)/ 0949.769.066</t>
        </is>
      </c>
      <c r="D3552" s="397" t="inlineStr">
        <is>
          <t>0949.769.066</t>
        </is>
      </c>
      <c r="E3552" s="399" t="n"/>
      <c r="F3552" s="398" t="inlineStr">
        <is>
          <t>506/49/28Q Lạc Long Quân, P5, Q11, TPHCM</t>
        </is>
      </c>
      <c r="G3552" s="397" t="inlineStr">
        <is>
          <t>SG/HCM</t>
        </is>
      </c>
      <c r="H3552" s="399" t="n"/>
      <c r="J3552" s="392">
        <f>IFERROR(UPPER(TRIM(B3552))&amp;"|"&amp;UPPER(TRIM(C3552))&amp;"|"&amp;UPPER(TRIM(D3552)),"")</f>
        <v/>
      </c>
    </row>
    <row r="3553" ht="15.75" customHeight="1" s="217">
      <c r="A3553" s="400" t="n">
        <v>3551</v>
      </c>
      <c r="B3553" s="400" t="inlineStr">
        <is>
          <t>KH0214</t>
        </is>
      </c>
      <c r="C3553" s="401" t="inlineStr">
        <is>
          <t>Anh Sơn - Gia Lai/ 0906.405.282</t>
        </is>
      </c>
      <c r="D3553" s="400" t="inlineStr">
        <is>
          <t>0906.405.282</t>
        </is>
      </c>
      <c r="E3553" s="402" t="n"/>
      <c r="F3553" s="401" t="inlineStr">
        <is>
          <t>Gia Lai</t>
        </is>
      </c>
      <c r="G3553" s="400" t="inlineStr">
        <is>
          <t>GLAI</t>
        </is>
      </c>
      <c r="H3553" s="402" t="n"/>
      <c r="J3553" s="392">
        <f>IFERROR(UPPER(TRIM(B3553))&amp;"|"&amp;UPPER(TRIM(C3553))&amp;"|"&amp;UPPER(TRIM(D3553)),"")</f>
        <v/>
      </c>
    </row>
    <row r="3554" ht="15.75" customHeight="1" s="217">
      <c r="A3554" s="397" t="n">
        <v>3552</v>
      </c>
      <c r="B3554" s="397" t="inlineStr">
        <is>
          <t>KH0213</t>
        </is>
      </c>
      <c r="C3554" s="398" t="inlineStr">
        <is>
          <t>Anh Nguyên - Tiền Giang/ 0913.962.538</t>
        </is>
      </c>
      <c r="D3554" s="397" t="inlineStr">
        <is>
          <t>0913.962.538</t>
        </is>
      </c>
      <c r="E3554" s="399" t="n"/>
      <c r="F3554" s="398" t="inlineStr">
        <is>
          <t>Tiền Giang</t>
        </is>
      </c>
      <c r="G3554" s="397" t="inlineStr">
        <is>
          <t>TGIANG</t>
        </is>
      </c>
      <c r="H3554" s="399" t="n"/>
      <c r="J3554" s="392">
        <f>IFERROR(UPPER(TRIM(B3554))&amp;"|"&amp;UPPER(TRIM(C3554))&amp;"|"&amp;UPPER(TRIM(D3554)),"")</f>
        <v/>
      </c>
    </row>
    <row r="3555" ht="15.75" customHeight="1" s="217">
      <c r="A3555" s="400" t="n">
        <v>3553</v>
      </c>
      <c r="B3555" s="400" t="inlineStr">
        <is>
          <t>VC</t>
        </is>
      </c>
      <c r="C3555" s="401" t="inlineStr">
        <is>
          <t>CHI PHÍ MUA HÀNG</t>
        </is>
      </c>
      <c r="D3555" s="402" t="n"/>
      <c r="E3555" s="402" t="n"/>
      <c r="F3555" s="401" t="inlineStr">
        <is>
          <t>HCM</t>
        </is>
      </c>
      <c r="G3555" s="402" t="n"/>
      <c r="H3555" s="402" t="n"/>
      <c r="J3555" s="392">
        <f>IFERROR(UPPER(TRIM(B3555))&amp;"|"&amp;UPPER(TRIM(C3555))&amp;"|"&amp;UPPER(TRIM(D3555)),"")</f>
        <v/>
      </c>
    </row>
    <row r="3556" ht="15.75" customHeight="1" s="217">
      <c r="A3556" s="397" t="n">
        <v>3554</v>
      </c>
      <c r="B3556" s="397" t="inlineStr">
        <is>
          <t>KH0212</t>
        </is>
      </c>
      <c r="C3556" s="398" t="inlineStr">
        <is>
          <t>Xưởng anh Lợi - Bảo Lộc/ 0918.162.842</t>
        </is>
      </c>
      <c r="D3556" s="397" t="inlineStr">
        <is>
          <t>0918.162.842</t>
        </is>
      </c>
      <c r="E3556" s="399" t="n"/>
      <c r="F3556" s="398" t="inlineStr">
        <is>
          <t>Bảo Lộc, Lâm Đồng</t>
        </is>
      </c>
      <c r="G3556" s="397" t="inlineStr">
        <is>
          <t>LDONG</t>
        </is>
      </c>
      <c r="H3556" s="399" t="n"/>
      <c r="J3556" s="392">
        <f>IFERROR(UPPER(TRIM(B3556))&amp;"|"&amp;UPPER(TRIM(C3556))&amp;"|"&amp;UPPER(TRIM(D3556)),"")</f>
        <v/>
      </c>
    </row>
    <row r="3557" ht="15.75" customHeight="1" s="217">
      <c r="A3557" s="400" t="n">
        <v>3555</v>
      </c>
      <c r="B3557" s="400" t="inlineStr">
        <is>
          <t>KH0210</t>
        </is>
      </c>
      <c r="C3557" s="401" t="inlineStr">
        <is>
          <t>Xưởng Anh Hoàng - Vạn Giã Khánh Hòa/ 0913.462.771</t>
        </is>
      </c>
      <c r="D3557" s="400" t="inlineStr">
        <is>
          <t>0913.462.771</t>
        </is>
      </c>
      <c r="E3557" s="402" t="n"/>
      <c r="F3557" s="401" t="inlineStr">
        <is>
          <t>Vạn Giã, Khánh Hòa</t>
        </is>
      </c>
      <c r="G3557" s="400" t="inlineStr">
        <is>
          <t>NTRANG</t>
        </is>
      </c>
      <c r="H3557" s="402" t="n"/>
      <c r="J3557" s="392">
        <f>IFERROR(UPPER(TRIM(B3557))&amp;"|"&amp;UPPER(TRIM(C3557))&amp;"|"&amp;UPPER(TRIM(D3557)),"")</f>
        <v/>
      </c>
    </row>
    <row r="3558" ht="15.75" customHeight="1" s="217">
      <c r="A3558" s="397" t="n">
        <v>3556</v>
      </c>
      <c r="B3558" s="397" t="inlineStr">
        <is>
          <t>KH0211</t>
        </is>
      </c>
      <c r="C3558" s="398" t="inlineStr">
        <is>
          <t>anh Hiển - Công ty CP Đầu tư xây dựng hạ tầng&amp; khai thác mỏ Tân Việt Bắc / 0978.600.928</t>
        </is>
      </c>
      <c r="D3558" s="397" t="inlineStr">
        <is>
          <t>0978.600.928</t>
        </is>
      </c>
      <c r="E3558" s="399" t="n"/>
      <c r="F3558" s="398" t="inlineStr">
        <is>
          <t>Số 20 Ngõ 8, Ngô Gia Tự, Đức Giang, Long Biên, Hà Nội</t>
        </is>
      </c>
      <c r="G3558" s="399" t="n"/>
      <c r="H3558" s="399" t="n"/>
      <c r="J3558" s="392">
        <f>IFERROR(UPPER(TRIM(B3558))&amp;"|"&amp;UPPER(TRIM(C3558))&amp;"|"&amp;UPPER(TRIM(D3558)),"")</f>
        <v/>
      </c>
    </row>
    <row r="3559" ht="15.75" customHeight="1" s="217">
      <c r="A3559" s="400" t="n">
        <v>3557</v>
      </c>
      <c r="B3559" s="400" t="inlineStr">
        <is>
          <t>KH0208</t>
        </is>
      </c>
      <c r="C3559" s="401" t="inlineStr">
        <is>
          <t>Bãi máy Lâm Đạt Nguyên - Tân Vạn/ 0933.392.949</t>
        </is>
      </c>
      <c r="D3559" s="400" t="inlineStr">
        <is>
          <t>0933.392.949</t>
        </is>
      </c>
      <c r="E3559" s="402" t="n"/>
      <c r="F3559" s="401" t="inlineStr">
        <is>
          <t>Tân Vạn, Sài Gòn</t>
        </is>
      </c>
      <c r="G3559" s="400" t="inlineStr">
        <is>
          <t>SG/HCM</t>
        </is>
      </c>
      <c r="H3559" s="402" t="n"/>
      <c r="J3559" s="392">
        <f>IFERROR(UPPER(TRIM(B3559))&amp;"|"&amp;UPPER(TRIM(C3559))&amp;"|"&amp;UPPER(TRIM(D3559)),"")</f>
        <v/>
      </c>
    </row>
    <row r="3560" ht="15.75" customHeight="1" s="217">
      <c r="A3560" s="397" t="n">
        <v>3558</v>
      </c>
      <c r="B3560" s="397" t="inlineStr">
        <is>
          <t>KH0209</t>
        </is>
      </c>
      <c r="C3560" s="398" t="inlineStr">
        <is>
          <t>Anh Huân - Gia Lai/ 0935.880.003</t>
        </is>
      </c>
      <c r="D3560" s="397" t="inlineStr">
        <is>
          <t>0935.880.003</t>
        </is>
      </c>
      <c r="E3560" s="399" t="n"/>
      <c r="F3560" s="398" t="inlineStr">
        <is>
          <t>Gia Lai</t>
        </is>
      </c>
      <c r="G3560" s="397" t="inlineStr">
        <is>
          <t>GLAI</t>
        </is>
      </c>
      <c r="H3560" s="399" t="n"/>
      <c r="J3560" s="392">
        <f>IFERROR(UPPER(TRIM(B3560))&amp;"|"&amp;UPPER(TRIM(C3560))&amp;"|"&amp;UPPER(TRIM(D3560)),"")</f>
        <v/>
      </c>
    </row>
    <row r="3561" ht="15.75" customHeight="1" s="217">
      <c r="A3561" s="400" t="n">
        <v>3559</v>
      </c>
      <c r="B3561" s="400" t="inlineStr">
        <is>
          <t>KH0206</t>
        </is>
      </c>
      <c r="C3561" s="401" t="inlineStr">
        <is>
          <t>Anh Nam - DNTN Tiến Phát/ 0962.186.737</t>
        </is>
      </c>
      <c r="D3561" s="400" t="inlineStr">
        <is>
          <t>0962.186.737</t>
        </is>
      </c>
      <c r="E3561" s="402" t="n"/>
      <c r="F3561" s="401" t="inlineStr">
        <is>
          <t>04 Trần Đại Nghĩa, P. Yên Thế, TP Pleiku, Gia Lai</t>
        </is>
      </c>
      <c r="G3561" s="400" t="inlineStr">
        <is>
          <t>GLAI</t>
        </is>
      </c>
      <c r="H3561" s="402" t="n"/>
      <c r="J3561" s="392">
        <f>IFERROR(UPPER(TRIM(B3561))&amp;"|"&amp;UPPER(TRIM(C3561))&amp;"|"&amp;UPPER(TRIM(D3561)),"")</f>
        <v/>
      </c>
    </row>
    <row r="3562" ht="15.75" customHeight="1" s="217">
      <c r="A3562" s="397" t="n">
        <v>3560</v>
      </c>
      <c r="B3562" s="397" t="inlineStr">
        <is>
          <t>KH0207</t>
        </is>
      </c>
      <c r="C3562" s="398" t="inlineStr">
        <is>
          <t>Anh Hùng (Công ty TNHH Hưng Quang) - Bảo Lộc/ 0982.761.022</t>
        </is>
      </c>
      <c r="D3562" s="397" t="inlineStr">
        <is>
          <t>0982.761.022</t>
        </is>
      </c>
      <c r="E3562" s="399" t="n"/>
      <c r="F3562" s="398" t="inlineStr">
        <is>
          <t>26B Hà Giang, Bảo Lộc, Lâm Đồng</t>
        </is>
      </c>
      <c r="G3562" s="397" t="inlineStr">
        <is>
          <t>LDONG</t>
        </is>
      </c>
      <c r="H3562" s="399" t="n"/>
      <c r="J3562" s="392">
        <f>IFERROR(UPPER(TRIM(B3562))&amp;"|"&amp;UPPER(TRIM(C3562))&amp;"|"&amp;UPPER(TRIM(D3562)),"")</f>
        <v/>
      </c>
    </row>
    <row r="3563" ht="15.75" customHeight="1" s="217">
      <c r="A3563" s="400" t="n">
        <v>3561</v>
      </c>
      <c r="B3563" s="400" t="inlineStr">
        <is>
          <t>KH0205</t>
        </is>
      </c>
      <c r="C3563" s="401" t="inlineStr">
        <is>
          <t>Anh Hòa - Bình Thuận/ 0962.586.324</t>
        </is>
      </c>
      <c r="D3563" s="400" t="inlineStr">
        <is>
          <t>0962.586.324</t>
        </is>
      </c>
      <c r="E3563" s="402" t="n"/>
      <c r="F3563" s="401" t="inlineStr">
        <is>
          <t>Chợ Lầu, Bình Thuận</t>
        </is>
      </c>
      <c r="G3563" s="400" t="inlineStr">
        <is>
          <t>BTHUAN</t>
        </is>
      </c>
      <c r="H3563" s="402" t="n"/>
      <c r="J3563" s="392">
        <f>IFERROR(UPPER(TRIM(B3563))&amp;"|"&amp;UPPER(TRIM(C3563))&amp;"|"&amp;UPPER(TRIM(D3563)),"")</f>
        <v/>
      </c>
    </row>
    <row r="3564" ht="15.75" customHeight="1" s="217">
      <c r="A3564" s="397" t="n">
        <v>3562</v>
      </c>
      <c r="B3564" s="397" t="inlineStr">
        <is>
          <t>KH0203</t>
        </is>
      </c>
      <c r="C3564" s="398" t="inlineStr">
        <is>
          <t>Công ty CP Thiết Bị Việt Nhật/ Chị Vân - 0903.780.769, Fax: 0837.245.005</t>
        </is>
      </c>
      <c r="D3564" s="397" t="inlineStr">
        <is>
          <t>0903.780.769 / 0837.245.005</t>
        </is>
      </c>
      <c r="E3564" s="399" t="n"/>
      <c r="F3564" s="398" t="inlineStr">
        <is>
          <t>Xa Lộ Hà Nội, Suối Tiên, TP. HCM</t>
        </is>
      </c>
      <c r="G3564" s="397" t="inlineStr">
        <is>
          <t>SG/HCM</t>
        </is>
      </c>
      <c r="H3564" s="399" t="n"/>
      <c r="J3564" s="392">
        <f>IFERROR(UPPER(TRIM(B3564))&amp;"|"&amp;UPPER(TRIM(C3564))&amp;"|"&amp;UPPER(TRIM(D3564)),"")</f>
        <v/>
      </c>
    </row>
    <row r="3565" ht="15.75" customHeight="1" s="217">
      <c r="A3565" s="400" t="n">
        <v>3563</v>
      </c>
      <c r="B3565" s="400" t="inlineStr">
        <is>
          <t>KH0204</t>
        </is>
      </c>
      <c r="C3565" s="401" t="inlineStr">
        <is>
          <t>Công ty TNHH RAFFLES PILING Việt Nam</t>
        </is>
      </c>
      <c r="D3565" s="402" t="n"/>
      <c r="E3565" s="402" t="n"/>
      <c r="F3565" s="401" t="inlineStr">
        <is>
          <t>R4-55 Hưng Phước 2, P. Tân Phong, Q.7, TP HCM</t>
        </is>
      </c>
      <c r="G3565" s="400" t="inlineStr">
        <is>
          <t>SG/HCM</t>
        </is>
      </c>
      <c r="H3565" s="402" t="n"/>
      <c r="J3565" s="392">
        <f>IFERROR(UPPER(TRIM(B3565))&amp;"|"&amp;UPPER(TRIM(C3565))&amp;"|"&amp;UPPER(TRIM(D3565)),"")</f>
        <v/>
      </c>
    </row>
    <row r="3566" ht="15.75" customHeight="1" s="217">
      <c r="A3566" s="397" t="n">
        <v>3564</v>
      </c>
      <c r="B3566" s="397" t="inlineStr">
        <is>
          <t>KH0199</t>
        </is>
      </c>
      <c r="C3566" s="398" t="inlineStr">
        <is>
          <t>Xưởng anh Được - Nha Trang/ Anh Tâm- 0973.099.295-Cno: Chị Hằng: 0986.000.578 FAX: 0583.851.638</t>
        </is>
      </c>
      <c r="D3566" s="397" t="inlineStr">
        <is>
          <t>0973.099.295- / 0986.000.578 / 0583.851.638</t>
        </is>
      </c>
      <c r="E3566" s="399" t="n"/>
      <c r="F3566" s="398" t="inlineStr">
        <is>
          <t>Nha Trang, Khánh Hòa</t>
        </is>
      </c>
      <c r="G3566" s="397" t="inlineStr">
        <is>
          <t>NTRANG</t>
        </is>
      </c>
      <c r="H3566" s="399" t="n"/>
      <c r="J3566" s="392">
        <f>IFERROR(UPPER(TRIM(B3566))&amp;"|"&amp;UPPER(TRIM(C3566))&amp;"|"&amp;UPPER(TRIM(D3566)),"")</f>
        <v/>
      </c>
    </row>
    <row r="3567" ht="15.75" customHeight="1" s="217">
      <c r="A3567" s="400" t="n">
        <v>3565</v>
      </c>
      <c r="B3567" s="400" t="inlineStr">
        <is>
          <t>KH0200</t>
        </is>
      </c>
      <c r="C3567" s="401" t="inlineStr">
        <is>
          <t>Xưởng Quốc Thắng - Quảng Nam/ 0919.765.615</t>
        </is>
      </c>
      <c r="D3567" s="400" t="inlineStr">
        <is>
          <t>0919.765.615</t>
        </is>
      </c>
      <c r="E3567" s="402" t="n"/>
      <c r="F3567" s="401" t="inlineStr">
        <is>
          <t>QL1A, Tam Hiệp, Quảng Nam</t>
        </is>
      </c>
      <c r="G3567" s="400" t="inlineStr">
        <is>
          <t>QNAM</t>
        </is>
      </c>
      <c r="H3567" s="402" t="n"/>
      <c r="J3567" s="392">
        <f>IFERROR(UPPER(TRIM(B3567))&amp;"|"&amp;UPPER(TRIM(C3567))&amp;"|"&amp;UPPER(TRIM(D3567)),"")</f>
        <v/>
      </c>
    </row>
    <row r="3568" ht="15.75" customHeight="1" s="217">
      <c r="A3568" s="397" t="n">
        <v>3566</v>
      </c>
      <c r="B3568" s="397" t="inlineStr">
        <is>
          <t>KH0201</t>
        </is>
      </c>
      <c r="C3568" s="398" t="inlineStr">
        <is>
          <t>Công ty TNHH SX-TM&amp; Du Lịch Tầm Vông</t>
        </is>
      </c>
      <c r="D3568" s="399" t="n"/>
      <c r="E3568" s="399" t="n"/>
      <c r="F3568" s="398" t="inlineStr">
        <is>
          <t>Phước Thái, Thái Hòa, Tân Uyên, Bình Dương</t>
        </is>
      </c>
      <c r="G3568" s="397" t="inlineStr">
        <is>
          <t>BDUONG</t>
        </is>
      </c>
      <c r="H3568" s="399" t="n"/>
      <c r="J3568" s="392">
        <f>IFERROR(UPPER(TRIM(B3568))&amp;"|"&amp;UPPER(TRIM(C3568))&amp;"|"&amp;UPPER(TRIM(D3568)),"")</f>
        <v/>
      </c>
    </row>
    <row r="3569" ht="15.75" customHeight="1" s="217">
      <c r="A3569" s="400" t="n">
        <v>3567</v>
      </c>
      <c r="B3569" s="400" t="inlineStr">
        <is>
          <t>KH0202</t>
        </is>
      </c>
      <c r="C3569" s="401" t="inlineStr">
        <is>
          <t>Cửa hàng Chị Hải - Bình Định/ 0976.207.161</t>
        </is>
      </c>
      <c r="D3569" s="400" t="inlineStr">
        <is>
          <t>0976.207.161</t>
        </is>
      </c>
      <c r="E3569" s="402" t="n"/>
      <c r="F3569" s="401" t="inlineStr">
        <is>
          <t>Tuy Phước, Bình Định</t>
        </is>
      </c>
      <c r="G3569" s="400" t="inlineStr">
        <is>
          <t>BDINH</t>
        </is>
      </c>
      <c r="H3569" s="402" t="n"/>
      <c r="J3569" s="392">
        <f>IFERROR(UPPER(TRIM(B3569))&amp;"|"&amp;UPPER(TRIM(C3569))&amp;"|"&amp;UPPER(TRIM(D3569)),"")</f>
        <v/>
      </c>
    </row>
    <row r="3570" ht="15.75" customHeight="1" s="217">
      <c r="A3570" s="397" t="n">
        <v>3568</v>
      </c>
      <c r="B3570" s="397" t="inlineStr">
        <is>
          <t>KH0198</t>
        </is>
      </c>
      <c r="C3570" s="398" t="inlineStr">
        <is>
          <t>Garage Thanh Duy - Kon Tum/ 0979.735.949</t>
        </is>
      </c>
      <c r="D3570" s="397" t="inlineStr">
        <is>
          <t>0979.735.949</t>
        </is>
      </c>
      <c r="E3570" s="399" t="n"/>
      <c r="F3570" s="398" t="inlineStr">
        <is>
          <t>QL14B, Đắk Pét, Đắk Glei, Kon Tum</t>
        </is>
      </c>
      <c r="G3570" s="397" t="inlineStr">
        <is>
          <t>KTUM</t>
        </is>
      </c>
      <c r="H3570" s="399" t="n"/>
      <c r="J3570" s="392">
        <f>IFERROR(UPPER(TRIM(B3570))&amp;"|"&amp;UPPER(TRIM(C3570))&amp;"|"&amp;UPPER(TRIM(D3570)),"")</f>
        <v/>
      </c>
    </row>
    <row r="3571" ht="15.75" customHeight="1" s="217">
      <c r="A3571" s="400" t="n">
        <v>3569</v>
      </c>
      <c r="B3571" s="400" t="inlineStr">
        <is>
          <t>KH0197</t>
        </is>
      </c>
      <c r="C3571" s="401" t="inlineStr">
        <is>
          <t>anh Đô - Đắk Lắk/ 0987.129.595</t>
        </is>
      </c>
      <c r="D3571" s="400" t="inlineStr">
        <is>
          <t>0987.129.595</t>
        </is>
      </c>
      <c r="E3571" s="402" t="n"/>
      <c r="F3571" s="401" t="inlineStr">
        <is>
          <t>TP Buôn Ma Thuột, Đắk Lắk</t>
        </is>
      </c>
      <c r="G3571" s="400" t="inlineStr">
        <is>
          <t>ÐL</t>
        </is>
      </c>
      <c r="H3571" s="402" t="n"/>
      <c r="J3571" s="392">
        <f>IFERROR(UPPER(TRIM(B3571))&amp;"|"&amp;UPPER(TRIM(C3571))&amp;"|"&amp;UPPER(TRIM(D3571)),"")</f>
        <v/>
      </c>
    </row>
    <row r="3572" ht="15.75" customHeight="1" s="217">
      <c r="A3572" s="397" t="n">
        <v>3570</v>
      </c>
      <c r="B3572" s="397" t="inlineStr">
        <is>
          <t>DNS</t>
        </is>
      </c>
      <c r="C3572" s="398" t="inlineStr">
        <is>
          <t>DONALDSON FILTRATION ASIA PACIFIC PTE LTD (DFAP)</t>
        </is>
      </c>
      <c r="D3572" s="399" t="n"/>
      <c r="E3572" s="399" t="n"/>
      <c r="F3572" s="398" t="inlineStr">
        <is>
          <t>No 3, Changi Business Park Vista, #02-01 Singapore 486051</t>
        </is>
      </c>
      <c r="G3572" s="399" t="n"/>
      <c r="H3572" s="399" t="n"/>
      <c r="J3572" s="392">
        <f>IFERROR(UPPER(TRIM(B3572))&amp;"|"&amp;UPPER(TRIM(C3572))&amp;"|"&amp;UPPER(TRIM(D3572)),"")</f>
        <v/>
      </c>
    </row>
    <row r="3573" ht="15.75" customHeight="1" s="217">
      <c r="A3573" s="400" t="n">
        <v>3571</v>
      </c>
      <c r="B3573" s="400" t="inlineStr">
        <is>
          <t>KH0196</t>
        </is>
      </c>
      <c r="C3573" s="401" t="inlineStr">
        <is>
          <t>Anh Nghĩa - Nha Trang/ 0933.455.299</t>
        </is>
      </c>
      <c r="D3573" s="400" t="inlineStr">
        <is>
          <t>0933.455.299</t>
        </is>
      </c>
      <c r="E3573" s="402" t="n"/>
      <c r="F3573" s="401" t="inlineStr">
        <is>
          <t>Nha Trang, Khánh Hòa</t>
        </is>
      </c>
      <c r="G3573" s="400" t="inlineStr">
        <is>
          <t>NTRANG</t>
        </is>
      </c>
      <c r="H3573" s="402" t="n"/>
      <c r="J3573" s="392">
        <f>IFERROR(UPPER(TRIM(B3573))&amp;"|"&amp;UPPER(TRIM(C3573))&amp;"|"&amp;UPPER(TRIM(D3573)),"")</f>
        <v/>
      </c>
    </row>
    <row r="3574" ht="15.75" customHeight="1" s="217">
      <c r="A3574" s="397" t="n">
        <v>3572</v>
      </c>
      <c r="B3574" s="397" t="inlineStr">
        <is>
          <t>KH0194</t>
        </is>
      </c>
      <c r="C3574" s="398" t="inlineStr">
        <is>
          <t>Garage Minh - Bình Thuận/ anh Hải: 01699.162.645</t>
        </is>
      </c>
      <c r="D3574" s="397" t="inlineStr">
        <is>
          <t>01699.162.645</t>
        </is>
      </c>
      <c r="E3574" s="399" t="n"/>
      <c r="F3574" s="398" t="inlineStr">
        <is>
          <t>QL1A, 246 Nguyễn Huệ T.T Tân Minh, Hàm Tân, Bình Thuận</t>
        </is>
      </c>
      <c r="G3574" s="397" t="inlineStr">
        <is>
          <t>BTHUAN</t>
        </is>
      </c>
      <c r="H3574" s="399" t="n"/>
      <c r="J3574" s="392">
        <f>IFERROR(UPPER(TRIM(B3574))&amp;"|"&amp;UPPER(TRIM(C3574))&amp;"|"&amp;UPPER(TRIM(D3574)),"")</f>
        <v/>
      </c>
    </row>
    <row r="3575" ht="15.75" customHeight="1" s="217">
      <c r="A3575" s="400" t="n">
        <v>3573</v>
      </c>
      <c r="B3575" s="400" t="inlineStr">
        <is>
          <t>KH0195</t>
        </is>
      </c>
      <c r="C3575" s="401" t="inlineStr">
        <is>
          <t>Công ty TNHH Thịnh Tiến - Bình Định/ Chị Hồng: 0989.245.337 - Fax: 0563.732.279</t>
        </is>
      </c>
      <c r="D3575" s="400" t="inlineStr">
        <is>
          <t>0989.245.337 / 0563.732.279</t>
        </is>
      </c>
      <c r="E3575" s="402" t="n"/>
      <c r="F3575" s="401" t="inlineStr">
        <is>
          <t>Thôn Phong Tấn, Phước Lộc, Tuy Phước, Bình Định</t>
        </is>
      </c>
      <c r="G3575" s="400" t="inlineStr">
        <is>
          <t>BDINH</t>
        </is>
      </c>
      <c r="H3575" s="402" t="n"/>
      <c r="J3575" s="392">
        <f>IFERROR(UPPER(TRIM(B3575))&amp;"|"&amp;UPPER(TRIM(C3575))&amp;"|"&amp;UPPER(TRIM(D3575)),"")</f>
        <v/>
      </c>
    </row>
    <row r="3576" ht="15.75" customHeight="1" s="217">
      <c r="A3576" s="397" t="n">
        <v>3574</v>
      </c>
      <c r="B3576" s="397" t="inlineStr">
        <is>
          <t>KH0193</t>
        </is>
      </c>
      <c r="C3576" s="398" t="inlineStr">
        <is>
          <t>Gara Anh Bi - Bình Thuận/ 0988.179.377</t>
        </is>
      </c>
      <c r="D3576" s="397" t="inlineStr">
        <is>
          <t>0988.179.377</t>
        </is>
      </c>
      <c r="E3576" s="399" t="n"/>
      <c r="F3576" s="398" t="inlineStr">
        <is>
          <t>QL1A, Hàm Thuận Nam, Bình Thuận</t>
        </is>
      </c>
      <c r="G3576" s="397" t="inlineStr">
        <is>
          <t>BTHUAN</t>
        </is>
      </c>
      <c r="H3576" s="399" t="n"/>
      <c r="J3576" s="392">
        <f>IFERROR(UPPER(TRIM(B3576))&amp;"|"&amp;UPPER(TRIM(C3576))&amp;"|"&amp;UPPER(TRIM(D3576)),"")</f>
        <v/>
      </c>
    </row>
    <row r="3577" ht="15.75" customHeight="1" s="217">
      <c r="A3577" s="400" t="n">
        <v>3575</v>
      </c>
      <c r="B3577" s="400" t="inlineStr">
        <is>
          <t>KH0192</t>
        </is>
      </c>
      <c r="C3577" s="401" t="inlineStr">
        <is>
          <t>anh Phương - Đắk Nông/ 0979.623.778</t>
        </is>
      </c>
      <c r="D3577" s="400" t="inlineStr">
        <is>
          <t>0979.623.778</t>
        </is>
      </c>
      <c r="E3577" s="402" t="n"/>
      <c r="F3577" s="401" t="inlineStr">
        <is>
          <t>Thôn 3, Quảng Tín, Thị Trấn Kiên Đức, Đăk Nông</t>
        </is>
      </c>
      <c r="G3577" s="400" t="inlineStr">
        <is>
          <t>DNONG</t>
        </is>
      </c>
      <c r="H3577" s="402" t="n"/>
      <c r="J3577" s="392">
        <f>IFERROR(UPPER(TRIM(B3577))&amp;"|"&amp;UPPER(TRIM(C3577))&amp;"|"&amp;UPPER(TRIM(D3577)),"")</f>
        <v/>
      </c>
    </row>
    <row r="3578" ht="15.75" customHeight="1" s="217">
      <c r="A3578" s="397" t="n">
        <v>3576</v>
      </c>
      <c r="B3578" s="397" t="inlineStr">
        <is>
          <t>KH0190</t>
        </is>
      </c>
      <c r="C3578" s="398" t="inlineStr">
        <is>
          <t>Anh Sang - Tiền Giang (Công ty TNHH TMDVXD Minh Thái): 01656.416.564</t>
        </is>
      </c>
      <c r="D3578" s="397" t="inlineStr">
        <is>
          <t>01656.416.564</t>
        </is>
      </c>
      <c r="E3578" s="399" t="n"/>
      <c r="F3578" s="398" t="inlineStr">
        <is>
          <t>ấp Hưng Hòa, Xã Long Vĩnh, Gò Công Tây, Tiền Giang</t>
        </is>
      </c>
      <c r="G3578" s="397" t="inlineStr">
        <is>
          <t>TGIANG</t>
        </is>
      </c>
      <c r="H3578" s="399" t="n"/>
      <c r="J3578" s="392">
        <f>IFERROR(UPPER(TRIM(B3578))&amp;"|"&amp;UPPER(TRIM(C3578))&amp;"|"&amp;UPPER(TRIM(D3578)),"")</f>
        <v/>
      </c>
    </row>
    <row r="3579" ht="15.75" customHeight="1" s="217">
      <c r="A3579" s="400" t="n">
        <v>3577</v>
      </c>
      <c r="B3579" s="400" t="inlineStr">
        <is>
          <t>KH0191</t>
        </is>
      </c>
      <c r="C3579" s="401" t="inlineStr">
        <is>
          <t>Xưởng anh Tâm - Bình Chánh/ 0908.349.329</t>
        </is>
      </c>
      <c r="D3579" s="400" t="inlineStr">
        <is>
          <t>0908.349.329</t>
        </is>
      </c>
      <c r="E3579" s="402" t="n"/>
      <c r="F3579" s="401" t="inlineStr">
        <is>
          <t>Bình Chánh, TP HCM</t>
        </is>
      </c>
      <c r="G3579" s="400" t="inlineStr">
        <is>
          <t>SG/HCM</t>
        </is>
      </c>
      <c r="H3579" s="402" t="n"/>
      <c r="J3579" s="392">
        <f>IFERROR(UPPER(TRIM(B3579))&amp;"|"&amp;UPPER(TRIM(C3579))&amp;"|"&amp;UPPER(TRIM(D3579)),"")</f>
        <v/>
      </c>
    </row>
    <row r="3580" ht="15.75" customHeight="1" s="217">
      <c r="A3580" s="397" t="n">
        <v>3578</v>
      </c>
      <c r="B3580" s="397" t="inlineStr">
        <is>
          <t>KH0188</t>
        </is>
      </c>
      <c r="C3580" s="398" t="inlineStr">
        <is>
          <t>Anh Tân - Bình Thuận/ 0937.626.469</t>
        </is>
      </c>
      <c r="D3580" s="397" t="inlineStr">
        <is>
          <t>0937.626.469</t>
        </is>
      </c>
      <c r="E3580" s="399" t="n"/>
      <c r="F3580" s="398" t="inlineStr">
        <is>
          <t>Bắc Bình, Bình Thuận</t>
        </is>
      </c>
      <c r="G3580" s="397" t="inlineStr">
        <is>
          <t>BTHUAN</t>
        </is>
      </c>
      <c r="H3580" s="399" t="n"/>
      <c r="J3580" s="392">
        <f>IFERROR(UPPER(TRIM(B3580))&amp;"|"&amp;UPPER(TRIM(C3580))&amp;"|"&amp;UPPER(TRIM(D3580)),"")</f>
        <v/>
      </c>
    </row>
    <row r="3581" ht="15.75" customHeight="1" s="217">
      <c r="A3581" s="400" t="n">
        <v>3579</v>
      </c>
      <c r="B3581" s="400" t="inlineStr">
        <is>
          <t>KH0189</t>
        </is>
      </c>
      <c r="C3581" s="401" t="inlineStr">
        <is>
          <t>Công ty Cp Tiến Hưng - anh Thành: 0983.919.228 - Fax: 055.3714953</t>
        </is>
      </c>
      <c r="D3581" s="400" t="inlineStr">
        <is>
          <t>055.3714953 / 0983.919.228</t>
        </is>
      </c>
      <c r="E3581" s="402" t="n"/>
      <c r="F3581" s="401" t="inlineStr">
        <is>
          <t>Số 239 Phan Đình Phùng, TP Quảng Ngãi</t>
        </is>
      </c>
      <c r="G3581" s="400" t="inlineStr">
        <is>
          <t>QUNGAI</t>
        </is>
      </c>
      <c r="H3581" s="402" t="n"/>
      <c r="J3581" s="392">
        <f>IFERROR(UPPER(TRIM(B3581))&amp;"|"&amp;UPPER(TRIM(C3581))&amp;"|"&amp;UPPER(TRIM(D3581)),"")</f>
        <v/>
      </c>
    </row>
    <row r="3582" ht="15.75" customHeight="1" s="217">
      <c r="A3582" s="397" t="n">
        <v>3580</v>
      </c>
      <c r="B3582" s="397" t="inlineStr">
        <is>
          <t>KH0187</t>
        </is>
      </c>
      <c r="C3582" s="398" t="inlineStr">
        <is>
          <t>anh Hoàng - Kiên Giang/ 01278.767.758</t>
        </is>
      </c>
      <c r="D3582" s="397" t="inlineStr">
        <is>
          <t>01278.767.758</t>
        </is>
      </c>
      <c r="E3582" s="399" t="n"/>
      <c r="F3582" s="398" t="inlineStr">
        <is>
          <t>Hòn Đất, Kiên Giang</t>
        </is>
      </c>
      <c r="G3582" s="397" t="inlineStr">
        <is>
          <t>KG</t>
        </is>
      </c>
      <c r="H3582" s="399" t="n"/>
      <c r="J3582" s="392">
        <f>IFERROR(UPPER(TRIM(B3582))&amp;"|"&amp;UPPER(TRIM(C3582))&amp;"|"&amp;UPPER(TRIM(D3582)),"")</f>
        <v/>
      </c>
    </row>
    <row r="3583" ht="15.75" customHeight="1" s="217">
      <c r="A3583" s="400" t="n">
        <v>3581</v>
      </c>
      <c r="B3583" s="400" t="inlineStr">
        <is>
          <t>KH0186</t>
        </is>
      </c>
      <c r="C3583" s="401" t="inlineStr">
        <is>
          <t>anh Thắng - ĐăkLăk/ 0905.940.128 - Cno: 0935.842.928</t>
        </is>
      </c>
      <c r="D3583" s="400" t="inlineStr">
        <is>
          <t>0905.940.128 / 0935.842.928</t>
        </is>
      </c>
      <c r="E3583" s="402" t="n"/>
      <c r="F3583" s="401" t="inlineStr">
        <is>
          <t>Y Ngông nối dài, TP Buôn Mê Thuột, Đăk Lăk</t>
        </is>
      </c>
      <c r="G3583" s="400" t="inlineStr">
        <is>
          <t>ÐL</t>
        </is>
      </c>
      <c r="H3583" s="402" t="n"/>
      <c r="J3583" s="392">
        <f>IFERROR(UPPER(TRIM(B3583))&amp;"|"&amp;UPPER(TRIM(C3583))&amp;"|"&amp;UPPER(TRIM(D3583)),"")</f>
        <v/>
      </c>
    </row>
    <row r="3584" ht="15.75" customHeight="1" s="217">
      <c r="A3584" s="397" t="n">
        <v>3582</v>
      </c>
      <c r="B3584" s="397" t="inlineStr">
        <is>
          <t>KH0183</t>
        </is>
      </c>
      <c r="C3584" s="398" t="inlineStr">
        <is>
          <t>Bãi máy Châu Sáng - Sài Gòn/ 0989.897.788</t>
        </is>
      </c>
      <c r="D3584" s="397" t="inlineStr">
        <is>
          <t>0989.897.788</t>
        </is>
      </c>
      <c r="E3584" s="399" t="n"/>
      <c r="F3584" s="398" t="inlineStr">
        <is>
          <t>Tân Vạn, Sài Gòn</t>
        </is>
      </c>
      <c r="G3584" s="397" t="inlineStr">
        <is>
          <t>SG/HCM</t>
        </is>
      </c>
      <c r="H3584" s="399" t="n"/>
      <c r="J3584" s="392">
        <f>IFERROR(UPPER(TRIM(B3584))&amp;"|"&amp;UPPER(TRIM(C3584))&amp;"|"&amp;UPPER(TRIM(D3584)),"")</f>
        <v/>
      </c>
    </row>
    <row r="3585" ht="15.75" customHeight="1" s="217">
      <c r="A3585" s="400" t="n">
        <v>3583</v>
      </c>
      <c r="B3585" s="400" t="inlineStr">
        <is>
          <t>KH0184</t>
        </is>
      </c>
      <c r="C3585" s="401" t="inlineStr">
        <is>
          <t>Anh Sử - Sài Gòn/ 0927.304.747</t>
        </is>
      </c>
      <c r="D3585" s="400" t="inlineStr">
        <is>
          <t>0927.304.747</t>
        </is>
      </c>
      <c r="E3585" s="402" t="n"/>
      <c r="F3585" s="401" t="inlineStr">
        <is>
          <t>Sài Gòn</t>
        </is>
      </c>
      <c r="G3585" s="400" t="inlineStr">
        <is>
          <t>SG/HCM</t>
        </is>
      </c>
      <c r="H3585" s="402" t="n"/>
      <c r="J3585" s="392">
        <f>IFERROR(UPPER(TRIM(B3585))&amp;"|"&amp;UPPER(TRIM(C3585))&amp;"|"&amp;UPPER(TRIM(D3585)),"")</f>
        <v/>
      </c>
    </row>
    <row r="3586" ht="15.75" customHeight="1" s="217">
      <c r="A3586" s="397" t="n">
        <v>3584</v>
      </c>
      <c r="B3586" s="397" t="inlineStr">
        <is>
          <t>KH0185</t>
        </is>
      </c>
      <c r="C3586" s="398" t="inlineStr">
        <is>
          <t>Xưởng Minh Tuấn - Đăk Lăk/ 0983.646.367 - 0983.644.079</t>
        </is>
      </c>
      <c r="D3586" s="397" t="inlineStr">
        <is>
          <t>0983.646.367 / 0983.644.079</t>
        </is>
      </c>
      <c r="E3586" s="399" t="n"/>
      <c r="F3586" s="398" t="inlineStr">
        <is>
          <t>Km51, Quốc lộ 26, Thị trấn Eakar, Đăk Lắk</t>
        </is>
      </c>
      <c r="G3586" s="397" t="inlineStr">
        <is>
          <t>ÐL</t>
        </is>
      </c>
      <c r="H3586" s="399" t="n"/>
      <c r="J3586" s="392">
        <f>IFERROR(UPPER(TRIM(B3586))&amp;"|"&amp;UPPER(TRIM(C3586))&amp;"|"&amp;UPPER(TRIM(D3586)),"")</f>
        <v/>
      </c>
    </row>
    <row r="3587" ht="15.75" customHeight="1" s="217">
      <c r="A3587" s="400" t="n">
        <v>3585</v>
      </c>
      <c r="B3587" s="400" t="inlineStr">
        <is>
          <t>KH0181</t>
        </is>
      </c>
      <c r="C3587" s="401" t="inlineStr">
        <is>
          <t>Xưởng anh Nhật - Đắk Lăk/ 0935.797.656</t>
        </is>
      </c>
      <c r="D3587" s="400" t="inlineStr">
        <is>
          <t>0935.797.656</t>
        </is>
      </c>
      <c r="E3587" s="402" t="n"/>
      <c r="F3587" s="401" t="inlineStr">
        <is>
          <t>Duy Hòa, Đắk Lăk</t>
        </is>
      </c>
      <c r="G3587" s="400" t="inlineStr">
        <is>
          <t>ÐL</t>
        </is>
      </c>
      <c r="H3587" s="402" t="n"/>
      <c r="J3587" s="392">
        <f>IFERROR(UPPER(TRIM(B3587))&amp;"|"&amp;UPPER(TRIM(C3587))&amp;"|"&amp;UPPER(TRIM(D3587)),"")</f>
        <v/>
      </c>
    </row>
    <row r="3588" ht="15.75" customHeight="1" s="217">
      <c r="A3588" s="397" t="n">
        <v>3586</v>
      </c>
      <c r="B3588" s="397" t="inlineStr">
        <is>
          <t>KH0182</t>
        </is>
      </c>
      <c r="C3588" s="398" t="inlineStr">
        <is>
          <t>Cửa hàng Lộc Khoa - Đồng Tháp/ 01225.529.090</t>
        </is>
      </c>
      <c r="D3588" s="397" t="inlineStr">
        <is>
          <t>01225.529.090</t>
        </is>
      </c>
      <c r="E3588" s="399" t="n"/>
      <c r="F3588" s="398" t="inlineStr">
        <is>
          <t>33 Quốc lộ 30, P. Mỹ Phú. TP Cao Lãnh, Đồng Tháp</t>
        </is>
      </c>
      <c r="G3588" s="397" t="inlineStr">
        <is>
          <t>DTHAP</t>
        </is>
      </c>
      <c r="H3588" s="399" t="n"/>
      <c r="J3588" s="392">
        <f>IFERROR(UPPER(TRIM(B3588))&amp;"|"&amp;UPPER(TRIM(C3588))&amp;"|"&amp;UPPER(TRIM(D3588)),"")</f>
        <v/>
      </c>
    </row>
    <row r="3589" ht="15.75" customHeight="1" s="217">
      <c r="A3589" s="400" t="n">
        <v>3587</v>
      </c>
      <c r="B3589" s="400" t="inlineStr">
        <is>
          <t>KH0179</t>
        </is>
      </c>
      <c r="C3589" s="401" t="inlineStr">
        <is>
          <t>Anh Năm - Long An/ 0937.433.677</t>
        </is>
      </c>
      <c r="D3589" s="400" t="inlineStr">
        <is>
          <t>0937.433.677</t>
        </is>
      </c>
      <c r="E3589" s="402" t="n"/>
      <c r="F3589" s="401" t="inlineStr">
        <is>
          <t>Bến Lức, Long An</t>
        </is>
      </c>
      <c r="G3589" s="400" t="inlineStr">
        <is>
          <t>LA</t>
        </is>
      </c>
      <c r="H3589" s="402" t="n"/>
      <c r="J3589" s="392">
        <f>IFERROR(UPPER(TRIM(B3589))&amp;"|"&amp;UPPER(TRIM(C3589))&amp;"|"&amp;UPPER(TRIM(D3589)),"")</f>
        <v/>
      </c>
    </row>
    <row r="3590" ht="15.75" customHeight="1" s="217">
      <c r="A3590" s="397" t="n">
        <v>3588</v>
      </c>
      <c r="B3590" s="397" t="inlineStr">
        <is>
          <t>KH0180</t>
        </is>
      </c>
      <c r="C3590" s="398" t="inlineStr">
        <is>
          <t>Xưởng Vinh Đức - Bình Thuận/ 0973.523.610</t>
        </is>
      </c>
      <c r="D3590" s="397" t="inlineStr">
        <is>
          <t>0973.523.610</t>
        </is>
      </c>
      <c r="E3590" s="399" t="n"/>
      <c r="F3590" s="398" t="inlineStr">
        <is>
          <t>246 Nguyễn Huệ, TT Tân Minh, Hàm Tân, Bình Thuận</t>
        </is>
      </c>
      <c r="G3590" s="397" t="inlineStr">
        <is>
          <t>BTHUAN</t>
        </is>
      </c>
      <c r="H3590" s="399" t="n"/>
      <c r="J3590" s="392">
        <f>IFERROR(UPPER(TRIM(B3590))&amp;"|"&amp;UPPER(TRIM(C3590))&amp;"|"&amp;UPPER(TRIM(D3590)),"")</f>
        <v/>
      </c>
    </row>
    <row r="3591" ht="15.75" customHeight="1" s="217">
      <c r="A3591" s="400" t="n">
        <v>3589</v>
      </c>
      <c r="B3591" s="400" t="inlineStr">
        <is>
          <t>KH0178</t>
        </is>
      </c>
      <c r="C3591" s="401" t="inlineStr">
        <is>
          <t>Xưởng anh Hiếu - Đà Lạt.T./0989.220.648</t>
        </is>
      </c>
      <c r="D3591" s="400" t="inlineStr">
        <is>
          <t>0989.220.648</t>
        </is>
      </c>
      <c r="E3591" s="402" t="n"/>
      <c r="F3591" s="401" t="inlineStr">
        <is>
          <t>Đà Lạt, Lâm Đồng</t>
        </is>
      </c>
      <c r="G3591" s="400" t="inlineStr">
        <is>
          <t>LDONG</t>
        </is>
      </c>
      <c r="H3591" s="402" t="n"/>
      <c r="J3591" s="392">
        <f>IFERROR(UPPER(TRIM(B3591))&amp;"|"&amp;UPPER(TRIM(C3591))&amp;"|"&amp;UPPER(TRIM(D3591)),"")</f>
        <v/>
      </c>
    </row>
    <row r="3592" ht="15.75" customHeight="1" s="217">
      <c r="A3592" s="397" t="n">
        <v>3590</v>
      </c>
      <c r="B3592" s="397" t="inlineStr">
        <is>
          <t>KH0177</t>
        </is>
      </c>
      <c r="C3592" s="398" t="inlineStr">
        <is>
          <t>Công ty CP Cơ giới và Xây lắp Đông Hưng - Gia Lai/ Chị Thủy - 0983.697.067</t>
        </is>
      </c>
      <c r="D3592" s="397" t="inlineStr">
        <is>
          <t>0983.697.067</t>
        </is>
      </c>
      <c r="E3592" s="399" t="n"/>
      <c r="F3592" s="398" t="inlineStr">
        <is>
          <t>189 Lê Đại Hành, TP Pleiku, Gia Lai</t>
        </is>
      </c>
      <c r="G3592" s="397" t="inlineStr">
        <is>
          <t>GLAI</t>
        </is>
      </c>
      <c r="H3592" s="399" t="n"/>
      <c r="J3592" s="392">
        <f>IFERROR(UPPER(TRIM(B3592))&amp;"|"&amp;UPPER(TRIM(C3592))&amp;"|"&amp;UPPER(TRIM(D3592)),"")</f>
        <v/>
      </c>
    </row>
    <row r="3593" ht="15.75" customHeight="1" s="217">
      <c r="A3593" s="400" t="n">
        <v>3591</v>
      </c>
      <c r="B3593" s="400" t="inlineStr">
        <is>
          <t>KH0176</t>
        </is>
      </c>
      <c r="C3593" s="401" t="inlineStr">
        <is>
          <t>Anh ẩn - Đồng Nai/ 0903.029.394</t>
        </is>
      </c>
      <c r="D3593" s="400" t="inlineStr">
        <is>
          <t>0903.029.394</t>
        </is>
      </c>
      <c r="E3593" s="402" t="n"/>
      <c r="F3593" s="401" t="inlineStr">
        <is>
          <t>Đồng Nai</t>
        </is>
      </c>
      <c r="G3593" s="400" t="inlineStr">
        <is>
          <t>ÐNAI</t>
        </is>
      </c>
      <c r="H3593" s="402" t="n"/>
      <c r="J3593" s="392">
        <f>IFERROR(UPPER(TRIM(B3593))&amp;"|"&amp;UPPER(TRIM(C3593))&amp;"|"&amp;UPPER(TRIM(D3593)),"")</f>
        <v/>
      </c>
    </row>
    <row r="3594" ht="15.75" customHeight="1" s="217">
      <c r="A3594" s="397" t="n">
        <v>3592</v>
      </c>
      <c r="B3594" s="397" t="inlineStr">
        <is>
          <t>KH0173</t>
        </is>
      </c>
      <c r="C3594" s="398" t="inlineStr">
        <is>
          <t>Xưởng chú Dương - Buôn Ma Thuột/ 0914.093.781</t>
        </is>
      </c>
      <c r="D3594" s="397" t="inlineStr">
        <is>
          <t>0914.093.781</t>
        </is>
      </c>
      <c r="E3594" s="399" t="n"/>
      <c r="F3594" s="398" t="inlineStr">
        <is>
          <t>33 Lê Duẩn, Buôn Ma Thuột, Đắk Lăk</t>
        </is>
      </c>
      <c r="G3594" s="397" t="inlineStr">
        <is>
          <t>ÐL</t>
        </is>
      </c>
      <c r="H3594" s="399" t="n"/>
      <c r="J3594" s="392">
        <f>IFERROR(UPPER(TRIM(B3594))&amp;"|"&amp;UPPER(TRIM(C3594))&amp;"|"&amp;UPPER(TRIM(D3594)),"")</f>
        <v/>
      </c>
    </row>
    <row r="3595" ht="15.75" customHeight="1" s="217">
      <c r="A3595" s="400" t="n">
        <v>3593</v>
      </c>
      <c r="B3595" s="400" t="inlineStr">
        <is>
          <t>KH0174</t>
        </is>
      </c>
      <c r="C3595" s="401" t="inlineStr">
        <is>
          <t>Xưởng anh Tâm - Bình Thuận/ 0983.867.529</t>
        </is>
      </c>
      <c r="D3595" s="400" t="inlineStr">
        <is>
          <t>0983.867.529</t>
        </is>
      </c>
      <c r="E3595" s="402" t="n"/>
      <c r="F3595" s="401" t="inlineStr">
        <is>
          <t>Km37, Trạm dừng chân Thiên Trang, Hàm Thuận Nam, Bình Thuận</t>
        </is>
      </c>
      <c r="G3595" s="400" t="inlineStr">
        <is>
          <t>BTHUAN</t>
        </is>
      </c>
      <c r="H3595" s="402" t="n"/>
      <c r="J3595" s="392">
        <f>IFERROR(UPPER(TRIM(B3595))&amp;"|"&amp;UPPER(TRIM(C3595))&amp;"|"&amp;UPPER(TRIM(D3595)),"")</f>
        <v/>
      </c>
    </row>
    <row r="3596" ht="15.75" customHeight="1" s="217">
      <c r="A3596" s="397" t="n">
        <v>3594</v>
      </c>
      <c r="B3596" s="397" t="inlineStr">
        <is>
          <t>KH0175</t>
        </is>
      </c>
      <c r="C3596" s="398" t="inlineStr">
        <is>
          <t>Xưởng anh Đồng - Nha Trang/ 0919.338.917</t>
        </is>
      </c>
      <c r="D3596" s="397" t="inlineStr">
        <is>
          <t>0919.338.917</t>
        </is>
      </c>
      <c r="E3596" s="399" t="n"/>
      <c r="F3596" s="398" t="inlineStr">
        <is>
          <t>Nha Trang, Khánh Hòa</t>
        </is>
      </c>
      <c r="G3596" s="397" t="inlineStr">
        <is>
          <t>NTRANG</t>
        </is>
      </c>
      <c r="H3596" s="399" t="n"/>
      <c r="J3596" s="392">
        <f>IFERROR(UPPER(TRIM(B3596))&amp;"|"&amp;UPPER(TRIM(C3596))&amp;"|"&amp;UPPER(TRIM(D3596)),"")</f>
        <v/>
      </c>
    </row>
    <row r="3597" ht="15.75" customHeight="1" s="217">
      <c r="A3597" s="400" t="n">
        <v>3595</v>
      </c>
      <c r="B3597" s="400" t="inlineStr">
        <is>
          <t>KH0172</t>
        </is>
      </c>
      <c r="C3597" s="401" t="inlineStr">
        <is>
          <t>Cửa hàng Mai Thiện - Long An/ 0908.928.577</t>
        </is>
      </c>
      <c r="D3597" s="400" t="inlineStr">
        <is>
          <t>0908.928.577</t>
        </is>
      </c>
      <c r="E3597" s="402" t="n"/>
      <c r="F3597" s="401" t="inlineStr">
        <is>
          <t>Mỹ Yên, Bến Lức, Long An</t>
        </is>
      </c>
      <c r="G3597" s="400" t="inlineStr">
        <is>
          <t>LA</t>
        </is>
      </c>
      <c r="H3597" s="402" t="n"/>
      <c r="J3597" s="392">
        <f>IFERROR(UPPER(TRIM(B3597))&amp;"|"&amp;UPPER(TRIM(C3597))&amp;"|"&amp;UPPER(TRIM(D3597)),"")</f>
        <v/>
      </c>
    </row>
    <row r="3598" ht="15.75" customHeight="1" s="217">
      <c r="A3598" s="397" t="n">
        <v>3596</v>
      </c>
      <c r="B3598" s="397" t="inlineStr">
        <is>
          <t>KH0171</t>
        </is>
      </c>
      <c r="C3598" s="398" t="inlineStr">
        <is>
          <t>Xưởng Trung Nguyên - Gia Lai/ chú Nguyên: 0905.120.468</t>
        </is>
      </c>
      <c r="D3598" s="397" t="inlineStr">
        <is>
          <t>0905.120.468</t>
        </is>
      </c>
      <c r="E3598" s="399" t="n"/>
      <c r="F3598" s="398" t="inlineStr">
        <is>
          <t>622 Lê Duẩn, TP Pleiku, Gia Lai</t>
        </is>
      </c>
      <c r="G3598" s="397" t="inlineStr">
        <is>
          <t>GLAI</t>
        </is>
      </c>
      <c r="H3598" s="399" t="n"/>
      <c r="J3598" s="392">
        <f>IFERROR(UPPER(TRIM(B3598))&amp;"|"&amp;UPPER(TRIM(C3598))&amp;"|"&amp;UPPER(TRIM(D3598)),"")</f>
        <v/>
      </c>
    </row>
    <row r="3599" ht="15.75" customHeight="1" s="217">
      <c r="A3599" s="400" t="n">
        <v>3597</v>
      </c>
      <c r="B3599" s="400" t="inlineStr">
        <is>
          <t>KH0170</t>
        </is>
      </c>
      <c r="C3599" s="401" t="inlineStr">
        <is>
          <t>Xưởng Minh Tâm - Cam Ranh/ 0919.102.492</t>
        </is>
      </c>
      <c r="D3599" s="400" t="inlineStr">
        <is>
          <t>0919.102.492</t>
        </is>
      </c>
      <c r="E3599" s="402" t="n"/>
      <c r="F3599" s="401" t="inlineStr">
        <is>
          <t>Cam Ranh, Khánh Hòa</t>
        </is>
      </c>
      <c r="G3599" s="400" t="inlineStr">
        <is>
          <t>NTRANG</t>
        </is>
      </c>
      <c r="H3599" s="402" t="n"/>
      <c r="J3599" s="392">
        <f>IFERROR(UPPER(TRIM(B3599))&amp;"|"&amp;UPPER(TRIM(C3599))&amp;"|"&amp;UPPER(TRIM(D3599)),"")</f>
        <v/>
      </c>
    </row>
    <row r="3600" ht="15.75" customHeight="1" s="217">
      <c r="A3600" s="397" t="n">
        <v>3598</v>
      </c>
      <c r="B3600" s="397" t="inlineStr">
        <is>
          <t>KH0169</t>
        </is>
      </c>
      <c r="C3600" s="398" t="inlineStr">
        <is>
          <t>Xưởng anh Đức - Bình Chánh/ 0989.514.308</t>
        </is>
      </c>
      <c r="D3600" s="397" t="inlineStr">
        <is>
          <t>0989.514.308</t>
        </is>
      </c>
      <c r="E3600" s="399" t="n"/>
      <c r="F3600" s="398" t="inlineStr">
        <is>
          <t>Đường Phan Thanh Khiết, Bình Chánh</t>
        </is>
      </c>
      <c r="G3600" s="397" t="inlineStr">
        <is>
          <t>SG/HCM</t>
        </is>
      </c>
      <c r="H3600" s="399" t="n"/>
      <c r="J3600" s="392">
        <f>IFERROR(UPPER(TRIM(B3600))&amp;"|"&amp;UPPER(TRIM(C3600))&amp;"|"&amp;UPPER(TRIM(D3600)),"")</f>
        <v/>
      </c>
    </row>
    <row r="3601" ht="15.75" customHeight="1" s="217">
      <c r="A3601" s="400" t="n">
        <v>3599</v>
      </c>
      <c r="B3601" s="400" t="inlineStr">
        <is>
          <t>KH0168</t>
        </is>
      </c>
      <c r="C3601" s="401" t="inlineStr">
        <is>
          <t>Chú Lan (CTCP Phát triển CSHT Bình Thuận)/ 0903.954.001</t>
        </is>
      </c>
      <c r="D3601" s="400" t="inlineStr">
        <is>
          <t>0903.954.001</t>
        </is>
      </c>
      <c r="E3601" s="402" t="n"/>
      <c r="F3601" s="401" t="inlineStr">
        <is>
          <t>120 Trần Quý Cáp, TP Phan Thiết, Bình Thuận</t>
        </is>
      </c>
      <c r="G3601" s="400" t="inlineStr">
        <is>
          <t>BTHUAN</t>
        </is>
      </c>
      <c r="H3601" s="402" t="n"/>
      <c r="J3601" s="392">
        <f>IFERROR(UPPER(TRIM(B3601))&amp;"|"&amp;UPPER(TRIM(C3601))&amp;"|"&amp;UPPER(TRIM(D3601)),"")</f>
        <v/>
      </c>
    </row>
    <row r="3602" ht="15.75" customHeight="1" s="217">
      <c r="A3602" s="397" t="n">
        <v>3600</v>
      </c>
      <c r="B3602" s="397" t="inlineStr">
        <is>
          <t>HDN</t>
        </is>
      </c>
      <c r="C3602" s="398" t="inlineStr">
        <is>
          <t>Chị Ngọc - Thái Nguyên/ 0983.072.975</t>
        </is>
      </c>
      <c r="D3602" s="397" t="inlineStr">
        <is>
          <t>0983.072.975</t>
        </is>
      </c>
      <c r="E3602" s="399" t="n"/>
      <c r="F3602" s="398" t="inlineStr">
        <is>
          <t>Thái Nguyên</t>
        </is>
      </c>
      <c r="G3602" s="399" t="n"/>
      <c r="H3602" s="399" t="n"/>
      <c r="J3602" s="392">
        <f>IFERROR(UPPER(TRIM(B3602))&amp;"|"&amp;UPPER(TRIM(C3602))&amp;"|"&amp;UPPER(TRIM(D3602)),"")</f>
        <v/>
      </c>
    </row>
    <row r="3603" ht="15.75" customHeight="1" s="217">
      <c r="A3603" s="400" t="n">
        <v>3601</v>
      </c>
      <c r="B3603" s="400" t="inlineStr">
        <is>
          <t>HDT</t>
        </is>
      </c>
      <c r="C3603" s="401" t="inlineStr">
        <is>
          <t>Chị Thanh - Cty Xuyên Việt</t>
        </is>
      </c>
      <c r="D3603" s="402" t="n"/>
      <c r="E3603" s="402" t="n"/>
      <c r="F3603" s="401" t="inlineStr">
        <is>
          <t>Hà Nội</t>
        </is>
      </c>
      <c r="G3603" s="402" t="n"/>
      <c r="H3603" s="402" t="n"/>
      <c r="J3603" s="392">
        <f>IFERROR(UPPER(TRIM(B3603))&amp;"|"&amp;UPPER(TRIM(C3603))&amp;"|"&amp;UPPER(TRIM(D3603)),"")</f>
        <v/>
      </c>
    </row>
    <row r="3604" ht="15.75" customHeight="1" s="217">
      <c r="A3604" s="397" t="n">
        <v>3602</v>
      </c>
      <c r="B3604" s="397" t="inlineStr">
        <is>
          <t>KH0166</t>
        </is>
      </c>
      <c r="C3604" s="398" t="inlineStr">
        <is>
          <t>Xưởng anh Lũy - Khánh Hòa/ 0975.575.567</t>
        </is>
      </c>
      <c r="D3604" s="397" t="inlineStr">
        <is>
          <t>0975.575.567</t>
        </is>
      </c>
      <c r="E3604" s="399" t="n"/>
      <c r="F3604" s="398" t="inlineStr">
        <is>
          <t>Vạn Giã, Khánh Hòa</t>
        </is>
      </c>
      <c r="G3604" s="397" t="inlineStr">
        <is>
          <t>NTRANG</t>
        </is>
      </c>
      <c r="H3604" s="399" t="n"/>
      <c r="J3604" s="392">
        <f>IFERROR(UPPER(TRIM(B3604))&amp;"|"&amp;UPPER(TRIM(C3604))&amp;"|"&amp;UPPER(TRIM(D3604)),"")</f>
        <v/>
      </c>
    </row>
    <row r="3605" ht="15.75" customHeight="1" s="217">
      <c r="A3605" s="400" t="n">
        <v>3603</v>
      </c>
      <c r="B3605" s="400" t="inlineStr">
        <is>
          <t>KH0167</t>
        </is>
      </c>
      <c r="C3605" s="401" t="inlineStr">
        <is>
          <t>Cửa hàng Mạnh Hà - Lâm Đồng/ 0918.564.603</t>
        </is>
      </c>
      <c r="D3605" s="400" t="inlineStr">
        <is>
          <t>0918.564.603</t>
        </is>
      </c>
      <c r="E3605" s="402" t="n"/>
      <c r="F3605" s="401" t="inlineStr">
        <is>
          <t>Lâm Hà - Lâm Đồng</t>
        </is>
      </c>
      <c r="G3605" s="400" t="inlineStr">
        <is>
          <t>LDONG</t>
        </is>
      </c>
      <c r="H3605" s="402" t="n"/>
      <c r="J3605" s="392">
        <f>IFERROR(UPPER(TRIM(B3605))&amp;"|"&amp;UPPER(TRIM(C3605))&amp;"|"&amp;UPPER(TRIM(D3605)),"")</f>
        <v/>
      </c>
    </row>
    <row r="3606" ht="15.75" customHeight="1" s="217">
      <c r="A3606" s="397" t="n">
        <v>3604</v>
      </c>
      <c r="B3606" s="397" t="inlineStr">
        <is>
          <t>KH0165</t>
        </is>
      </c>
      <c r="C3606" s="398" t="inlineStr">
        <is>
          <t>Xưởng anh Sinh - Đắk Nông/ 0919.990.850</t>
        </is>
      </c>
      <c r="D3606" s="397" t="inlineStr">
        <is>
          <t>0919.990.850</t>
        </is>
      </c>
      <c r="E3606" s="399" t="n"/>
      <c r="F3606" s="398" t="inlineStr">
        <is>
          <t>Đắk Nông</t>
        </is>
      </c>
      <c r="G3606" s="397" t="inlineStr">
        <is>
          <t>DNONG</t>
        </is>
      </c>
      <c r="H3606" s="399" t="n"/>
      <c r="J3606" s="392">
        <f>IFERROR(UPPER(TRIM(B3606))&amp;"|"&amp;UPPER(TRIM(C3606))&amp;"|"&amp;UPPER(TRIM(D3606)),"")</f>
        <v/>
      </c>
    </row>
    <row r="3607" ht="15.75" customHeight="1" s="217">
      <c r="A3607" s="400" t="n">
        <v>3605</v>
      </c>
      <c r="B3607" s="400" t="inlineStr">
        <is>
          <t>KH0164</t>
        </is>
      </c>
      <c r="C3607" s="401" t="inlineStr">
        <is>
          <t>Cửa hàng Tân Vĩnh Phúc - Nha Trang/ A.Vĩnh: 0914.040.548/0962.266.240 - Fax: 0583.828.159</t>
        </is>
      </c>
      <c r="D3607" s="400" t="inlineStr">
        <is>
          <t>0914.040.548 / 0962.266.240 / 0583.828.159</t>
        </is>
      </c>
      <c r="E3607" s="402" t="n"/>
      <c r="F3607" s="401" t="inlineStr">
        <is>
          <t>112 Đường Sinh Trung - TP Nha Trang - Khánh Hòa</t>
        </is>
      </c>
      <c r="G3607" s="400" t="inlineStr">
        <is>
          <t>NTRANG</t>
        </is>
      </c>
      <c r="H3607" s="400" t="inlineStr">
        <is>
          <t>Địa chỉ giao hàng: xe Kim ánh - 510 Kinh Dương Vương/ 0988.249.496</t>
        </is>
      </c>
      <c r="J3607" s="392">
        <f>IFERROR(UPPER(TRIM(B3607))&amp;"|"&amp;UPPER(TRIM(C3607))&amp;"|"&amp;UPPER(TRIM(D3607)),"")</f>
        <v/>
      </c>
    </row>
    <row r="3608" ht="15.75" customHeight="1" s="217">
      <c r="A3608" s="397" t="n">
        <v>3606</v>
      </c>
      <c r="B3608" s="397" t="inlineStr">
        <is>
          <t>KH0161</t>
        </is>
      </c>
      <c r="C3608" s="398" t="inlineStr">
        <is>
          <t>Công ty TNHH ĐTXD&amp;TM Tiến Dung - Kontum/ C.Oanh: 0979.737.232 - Fax: 0603.864.531</t>
        </is>
      </c>
      <c r="D3608" s="397" t="inlineStr">
        <is>
          <t>0603.864.531 / 0979.737.232</t>
        </is>
      </c>
      <c r="E3608" s="399" t="n"/>
      <c r="F3608" s="398" t="inlineStr">
        <is>
          <t>08 Phạm Văn Đồng, P.Lê Lợi, TP Kontum, Tỉnh KonTum</t>
        </is>
      </c>
      <c r="G3608" s="397" t="inlineStr">
        <is>
          <t>KTUM</t>
        </is>
      </c>
      <c r="H3608" s="397" t="inlineStr">
        <is>
          <t>Chị Dung - PGĐ: 0903.501.532, A.Quang - Vật tư: 0903.521.531</t>
        </is>
      </c>
      <c r="J3608" s="392">
        <f>IFERROR(UPPER(TRIM(B3608))&amp;"|"&amp;UPPER(TRIM(C3608))&amp;"|"&amp;UPPER(TRIM(D3608)),"")</f>
        <v/>
      </c>
    </row>
    <row r="3609" ht="15.75" customHeight="1" s="217">
      <c r="A3609" s="400" t="n">
        <v>3607</v>
      </c>
      <c r="B3609" s="400" t="inlineStr">
        <is>
          <t>KH0162</t>
        </is>
      </c>
      <c r="C3609" s="401" t="inlineStr">
        <is>
          <t>Xưởng anh Hiền - Diên Khánh/ 0905.141.112</t>
        </is>
      </c>
      <c r="D3609" s="400" t="inlineStr">
        <is>
          <t>0905.141.112</t>
        </is>
      </c>
      <c r="E3609" s="402" t="n"/>
      <c r="F3609" s="401" t="inlineStr">
        <is>
          <t>Diên Khánh, Khánh Hòa</t>
        </is>
      </c>
      <c r="G3609" s="400" t="inlineStr">
        <is>
          <t>NTRANG</t>
        </is>
      </c>
      <c r="H3609" s="402" t="n"/>
      <c r="J3609" s="392">
        <f>IFERROR(UPPER(TRIM(B3609))&amp;"|"&amp;UPPER(TRIM(C3609))&amp;"|"&amp;UPPER(TRIM(D3609)),"")</f>
        <v/>
      </c>
    </row>
    <row r="3610" ht="15.75" customHeight="1" s="217">
      <c r="A3610" s="397" t="n">
        <v>3608</v>
      </c>
      <c r="B3610" s="397" t="inlineStr">
        <is>
          <t>KH0163</t>
        </is>
      </c>
      <c r="C3610" s="398" t="inlineStr">
        <is>
          <t>Công ty CP Vật tư Thiết bị và Xây dựng Giao Thông Khánh Hòa / C.Loan:0914.033.953</t>
        </is>
      </c>
      <c r="D3610" s="397" t="inlineStr">
        <is>
          <t>0914.033.953</t>
        </is>
      </c>
      <c r="E3610" s="399" t="n"/>
      <c r="F3610" s="398" t="inlineStr">
        <is>
          <t>02 Lê Hồng Phong, TP Nha Trang</t>
        </is>
      </c>
      <c r="G3610" s="397" t="inlineStr">
        <is>
          <t>NTRANG</t>
        </is>
      </c>
      <c r="H3610" s="399" t="n"/>
      <c r="J3610" s="392">
        <f>IFERROR(UPPER(TRIM(B3610))&amp;"|"&amp;UPPER(TRIM(C3610))&amp;"|"&amp;UPPER(TRIM(D3610)),"")</f>
        <v/>
      </c>
    </row>
    <row r="3611" ht="15.75" customHeight="1" s="217">
      <c r="A3611" s="400" t="n">
        <v>3609</v>
      </c>
      <c r="B3611" s="400" t="inlineStr">
        <is>
          <t>KH0159</t>
        </is>
      </c>
      <c r="C3611" s="401" t="inlineStr">
        <is>
          <t>Xưởng anh Nhân - Cà Mau/ 0915.884.728</t>
        </is>
      </c>
      <c r="D3611" s="400" t="inlineStr">
        <is>
          <t>0915.884.728</t>
        </is>
      </c>
      <c r="E3611" s="402" t="n"/>
      <c r="F3611" s="401" t="inlineStr">
        <is>
          <t>Cà Mau</t>
        </is>
      </c>
      <c r="G3611" s="400" t="inlineStr">
        <is>
          <t>CMAU</t>
        </is>
      </c>
      <c r="H3611" s="402" t="n"/>
      <c r="J3611" s="392">
        <f>IFERROR(UPPER(TRIM(B3611))&amp;"|"&amp;UPPER(TRIM(C3611))&amp;"|"&amp;UPPER(TRIM(D3611)),"")</f>
        <v/>
      </c>
    </row>
    <row r="3612" ht="15.75" customHeight="1" s="217">
      <c r="A3612" s="397" t="n">
        <v>3610</v>
      </c>
      <c r="B3612" s="397" t="inlineStr">
        <is>
          <t>KH0160</t>
        </is>
      </c>
      <c r="C3612" s="398" t="inlineStr">
        <is>
          <t>Xưởng anh Ba - Quảng Ngãi/ 0944.621.146</t>
        </is>
      </c>
      <c r="D3612" s="397" t="inlineStr">
        <is>
          <t>0944.621.146</t>
        </is>
      </c>
      <c r="E3612" s="399" t="n"/>
      <c r="F3612" s="398" t="inlineStr">
        <is>
          <t>Quảng Ngãi</t>
        </is>
      </c>
      <c r="G3612" s="397" t="inlineStr">
        <is>
          <t>QUNGAI</t>
        </is>
      </c>
      <c r="H3612" s="399" t="n"/>
      <c r="J3612" s="392">
        <f>IFERROR(UPPER(TRIM(B3612))&amp;"|"&amp;UPPER(TRIM(C3612))&amp;"|"&amp;UPPER(TRIM(D3612)),"")</f>
        <v/>
      </c>
    </row>
    <row r="3613" ht="15.75" customHeight="1" s="217">
      <c r="A3613" s="400" t="n">
        <v>3611</v>
      </c>
      <c r="B3613" s="400" t="inlineStr">
        <is>
          <t>KH0157</t>
        </is>
      </c>
      <c r="C3613" s="401" t="inlineStr">
        <is>
          <t>Anh Tâm - Bình Thuận/ 0987.007.000</t>
        </is>
      </c>
      <c r="D3613" s="400" t="inlineStr">
        <is>
          <t>0987.007.000</t>
        </is>
      </c>
      <c r="E3613" s="402" t="n"/>
      <c r="F3613" s="401" t="inlineStr">
        <is>
          <t>Bình Thuận</t>
        </is>
      </c>
      <c r="G3613" s="400" t="inlineStr">
        <is>
          <t>BTHUAN</t>
        </is>
      </c>
      <c r="H3613" s="402" t="n"/>
      <c r="J3613" s="392">
        <f>IFERROR(UPPER(TRIM(B3613))&amp;"|"&amp;UPPER(TRIM(C3613))&amp;"|"&amp;UPPER(TRIM(D3613)),"")</f>
        <v/>
      </c>
    </row>
    <row r="3614" ht="15.75" customHeight="1" s="217">
      <c r="A3614" s="397" t="n">
        <v>3612</v>
      </c>
      <c r="B3614" s="397" t="inlineStr">
        <is>
          <t>KH0158</t>
        </is>
      </c>
      <c r="C3614" s="398" t="inlineStr">
        <is>
          <t>Công ty Cổ Phần Cơ khí ô tô Hòa Bình - Bình Thuận/ chị Vân: 0985.404.101</t>
        </is>
      </c>
      <c r="D3614" s="397" t="inlineStr">
        <is>
          <t>0985.404.101</t>
        </is>
      </c>
      <c r="E3614" s="399" t="n"/>
      <c r="F3614" s="398" t="inlineStr">
        <is>
          <t>Thôn Minh Tiến, Hàm Minh, Hàm Thuận Nam, Bình Thuận</t>
        </is>
      </c>
      <c r="G3614" s="397" t="inlineStr">
        <is>
          <t>BTHUAN</t>
        </is>
      </c>
      <c r="H3614" s="399" t="n"/>
      <c r="J3614" s="392">
        <f>IFERROR(UPPER(TRIM(B3614))&amp;"|"&amp;UPPER(TRIM(C3614))&amp;"|"&amp;UPPER(TRIM(D3614)),"")</f>
        <v/>
      </c>
    </row>
    <row r="3615" ht="15.75" customHeight="1" s="217">
      <c r="A3615" s="400" t="n">
        <v>3613</v>
      </c>
      <c r="B3615" s="400" t="inlineStr">
        <is>
          <t>KH0156</t>
        </is>
      </c>
      <c r="C3615" s="401" t="inlineStr">
        <is>
          <t>Công ty TNHH ĐT&amp;PT Thanh Châu - Nha Trang/ Chú Đào:0978.574.567</t>
        </is>
      </c>
      <c r="D3615" s="400" t="inlineStr">
        <is>
          <t>0978.574.567</t>
        </is>
      </c>
      <c r="E3615" s="402" t="n"/>
      <c r="F3615" s="401" t="inlineStr">
        <is>
          <t>73 Nguyễn Trãi, TP Nha Trang</t>
        </is>
      </c>
      <c r="G3615" s="400" t="inlineStr">
        <is>
          <t>NTRANG</t>
        </is>
      </c>
      <c r="H3615" s="402" t="n"/>
      <c r="J3615" s="392">
        <f>IFERROR(UPPER(TRIM(B3615))&amp;"|"&amp;UPPER(TRIM(C3615))&amp;"|"&amp;UPPER(TRIM(D3615)),"")</f>
        <v/>
      </c>
    </row>
    <row r="3616" ht="15.75" customHeight="1" s="217">
      <c r="A3616" s="397" t="n">
        <v>3614</v>
      </c>
      <c r="B3616" s="397" t="inlineStr">
        <is>
          <t>KH0155</t>
        </is>
      </c>
      <c r="C3616" s="398" t="inlineStr">
        <is>
          <t>Anh Nam - Nha Trang/ 0905.437.738</t>
        </is>
      </c>
      <c r="D3616" s="397" t="inlineStr">
        <is>
          <t>0905.437.738</t>
        </is>
      </c>
      <c r="E3616" s="399" t="n"/>
      <c r="F3616" s="398" t="inlineStr">
        <is>
          <t>Nha Trang</t>
        </is>
      </c>
      <c r="G3616" s="397" t="inlineStr">
        <is>
          <t>NTRANG</t>
        </is>
      </c>
      <c r="H3616" s="399" t="n"/>
      <c r="J3616" s="392">
        <f>IFERROR(UPPER(TRIM(B3616))&amp;"|"&amp;UPPER(TRIM(C3616))&amp;"|"&amp;UPPER(TRIM(D3616)),"")</f>
        <v/>
      </c>
    </row>
    <row r="3617" ht="15.75" customHeight="1" s="217">
      <c r="A3617" s="400" t="n">
        <v>3615</v>
      </c>
      <c r="B3617" s="400" t="inlineStr">
        <is>
          <t>KH0154</t>
        </is>
      </c>
      <c r="C3617" s="401" t="inlineStr">
        <is>
          <t>Xí Nghiệp Xây Dựng Lưỡng Bằng - Ninh Thuận/ C.Thuận: 0978.694.088</t>
        </is>
      </c>
      <c r="D3617" s="400" t="inlineStr">
        <is>
          <t>0978.694.088</t>
        </is>
      </c>
      <c r="E3617" s="402" t="n"/>
      <c r="F3617" s="401" t="inlineStr">
        <is>
          <t>172, Đường 21/8, TP Phan Rang Tháp Chàm, Ninh Thuận</t>
        </is>
      </c>
      <c r="G3617" s="400" t="inlineStr">
        <is>
          <t>NTHUAN</t>
        </is>
      </c>
      <c r="H3617" s="402" t="n"/>
      <c r="J3617" s="392">
        <f>IFERROR(UPPER(TRIM(B3617))&amp;"|"&amp;UPPER(TRIM(C3617))&amp;"|"&amp;UPPER(TRIM(D3617)),"")</f>
        <v/>
      </c>
    </row>
    <row r="3618" ht="15.75" customHeight="1" s="217">
      <c r="A3618" s="397" t="n">
        <v>3616</v>
      </c>
      <c r="B3618" s="397" t="inlineStr">
        <is>
          <t>KH0153</t>
        </is>
      </c>
      <c r="C3618" s="398" t="inlineStr">
        <is>
          <t>Công ty CP Đất Mới - Nha Trang/ A.Hưng: 0985.016.688</t>
        </is>
      </c>
      <c r="D3618" s="397" t="inlineStr">
        <is>
          <t>0985.016.688</t>
        </is>
      </c>
      <c r="E3618" s="399" t="n"/>
      <c r="F3618" s="398" t="inlineStr">
        <is>
          <t>Số 10, Hoàng Diệu, Vĩnh Nguyên, Nha Trang</t>
        </is>
      </c>
      <c r="G3618" s="397" t="inlineStr">
        <is>
          <t>NTRANG</t>
        </is>
      </c>
      <c r="H3618" s="399" t="n"/>
      <c r="J3618" s="392">
        <f>IFERROR(UPPER(TRIM(B3618))&amp;"|"&amp;UPPER(TRIM(C3618))&amp;"|"&amp;UPPER(TRIM(D3618)),"")</f>
        <v/>
      </c>
    </row>
    <row r="3619" ht="15.75" customHeight="1" s="217">
      <c r="A3619" s="400" t="n">
        <v>3617</v>
      </c>
      <c r="B3619" s="400" t="inlineStr">
        <is>
          <t>KH0152</t>
        </is>
      </c>
      <c r="C3619" s="401" t="inlineStr">
        <is>
          <t>Công ty TNHH Tuấn Dũng - Kontum/ Anh Cương: 01663.879.179</t>
        </is>
      </c>
      <c r="D3619" s="400" t="inlineStr">
        <is>
          <t>01663.879.179</t>
        </is>
      </c>
      <c r="E3619" s="402" t="n"/>
      <c r="F3619" s="401" t="inlineStr">
        <is>
          <t>Kontum</t>
        </is>
      </c>
      <c r="G3619" s="400" t="inlineStr">
        <is>
          <t>KTUM</t>
        </is>
      </c>
      <c r="H3619" s="402" t="n"/>
      <c r="J3619" s="392">
        <f>IFERROR(UPPER(TRIM(B3619))&amp;"|"&amp;UPPER(TRIM(C3619))&amp;"|"&amp;UPPER(TRIM(D3619)),"")</f>
        <v/>
      </c>
    </row>
    <row r="3620" ht="15.75" customHeight="1" s="217">
      <c r="A3620" s="397" t="n">
        <v>3618</v>
      </c>
      <c r="B3620" s="397" t="inlineStr">
        <is>
          <t>KH0150</t>
        </is>
      </c>
      <c r="C3620" s="398" t="inlineStr">
        <is>
          <t>Công ty CP Xây dựng và Thương mại Hòa Thành - anh Tuấn: 043.387.6148</t>
        </is>
      </c>
      <c r="D3620" s="397" t="inlineStr">
        <is>
          <t>043.387.6148</t>
        </is>
      </c>
      <c r="E3620" s="399" t="n"/>
      <c r="F3620" s="398" t="inlineStr">
        <is>
          <t>Xã Bình Minh, huyện Thanh Oai, Hà Nội</t>
        </is>
      </c>
      <c r="G3620" s="399" t="n"/>
      <c r="H3620" s="399" t="n"/>
      <c r="J3620" s="392">
        <f>IFERROR(UPPER(TRIM(B3620))&amp;"|"&amp;UPPER(TRIM(C3620))&amp;"|"&amp;UPPER(TRIM(D3620)),"")</f>
        <v/>
      </c>
    </row>
    <row r="3621" ht="15.75" customHeight="1" s="217">
      <c r="A3621" s="400" t="n">
        <v>3619</v>
      </c>
      <c r="B3621" s="400" t="inlineStr">
        <is>
          <t>KH0151</t>
        </is>
      </c>
      <c r="C3621" s="401" t="inlineStr">
        <is>
          <t>Công ty TNHH Xây dựng Tiến Quang - ĐắkLắk/ Anh Tuấn - 0943.283.878 / Fax : 05003850456</t>
        </is>
      </c>
      <c r="D3621" s="400" t="inlineStr">
        <is>
          <t>05003850456 / 0943.283.878</t>
        </is>
      </c>
      <c r="E3621" s="402" t="n"/>
      <c r="F3621" s="401" t="inlineStr">
        <is>
          <t>43 Trần Phú, TP Buôn Ma Thuột, Đắk Lắk</t>
        </is>
      </c>
      <c r="G3621" s="400" t="inlineStr">
        <is>
          <t>ÐL</t>
        </is>
      </c>
      <c r="H3621" s="400" t="inlineStr">
        <is>
          <t>Chị Bích - KTT: 0984.118.364</t>
        </is>
      </c>
      <c r="J3621" s="392">
        <f>IFERROR(UPPER(TRIM(B3621))&amp;"|"&amp;UPPER(TRIM(C3621))&amp;"|"&amp;UPPER(TRIM(D3621)),"")</f>
        <v/>
      </c>
    </row>
    <row r="3622" ht="15.75" customHeight="1" s="217">
      <c r="A3622" s="397" t="n">
        <v>3620</v>
      </c>
      <c r="B3622" s="397" t="inlineStr">
        <is>
          <t>KH0148</t>
        </is>
      </c>
      <c r="C3622" s="398" t="inlineStr">
        <is>
          <t>Công ty CP Đầu Tư Xây Dựng Trung Nam - a.Giàu: 0932.645.050 - 0862.645.182</t>
        </is>
      </c>
      <c r="D3622" s="397" t="inlineStr">
        <is>
          <t>0932.645.050 / 0862.645.182</t>
        </is>
      </c>
      <c r="E3622" s="399" t="n"/>
      <c r="F3622" s="398" t="inlineStr">
        <is>
          <t>7A/80 Thành Thái, P.14, Q.10, TP HCM</t>
        </is>
      </c>
      <c r="G3622" s="399" t="n"/>
      <c r="H3622" s="397" t="inlineStr">
        <is>
          <t>0862.645.178</t>
        </is>
      </c>
      <c r="J3622" s="392">
        <f>IFERROR(UPPER(TRIM(B3622))&amp;"|"&amp;UPPER(TRIM(C3622))&amp;"|"&amp;UPPER(TRIM(D3622)),"")</f>
        <v/>
      </c>
    </row>
    <row r="3623" ht="15.75" customHeight="1" s="217">
      <c r="A3623" s="400" t="n">
        <v>3621</v>
      </c>
      <c r="B3623" s="400" t="inlineStr">
        <is>
          <t>HMP</t>
        </is>
      </c>
      <c r="C3623" s="401" t="inlineStr">
        <is>
          <t>Công ty Hồng Minh Phúc - SG</t>
        </is>
      </c>
      <c r="D3623" s="402" t="n"/>
      <c r="E3623" s="402" t="n"/>
      <c r="F3623" s="401" t="inlineStr">
        <is>
          <t>Sài gòn</t>
        </is>
      </c>
      <c r="G3623" s="402" t="n"/>
      <c r="H3623" s="402" t="n"/>
      <c r="J3623" s="392">
        <f>IFERROR(UPPER(TRIM(B3623))&amp;"|"&amp;UPPER(TRIM(C3623))&amp;"|"&amp;UPPER(TRIM(D3623)),"")</f>
        <v/>
      </c>
    </row>
    <row r="3624" ht="15.75" customHeight="1" s="217">
      <c r="A3624" s="397" t="n">
        <v>3622</v>
      </c>
      <c r="B3624" s="397" t="inlineStr">
        <is>
          <t>KH0147</t>
        </is>
      </c>
      <c r="C3624" s="398" t="inlineStr">
        <is>
          <t>Công ty CP Đầu tư TM&amp;XD Giao Thông I/ Anh Tân: 0913.236.417</t>
        </is>
      </c>
      <c r="D3624" s="397" t="inlineStr">
        <is>
          <t>0913.236.417</t>
        </is>
      </c>
      <c r="E3624" s="399" t="n"/>
      <c r="F3624" s="398" t="inlineStr">
        <is>
          <t>Hà Nội</t>
        </is>
      </c>
      <c r="G3624" s="399" t="n"/>
      <c r="H3624" s="399" t="n"/>
      <c r="J3624" s="392">
        <f>IFERROR(UPPER(TRIM(B3624))&amp;"|"&amp;UPPER(TRIM(C3624))&amp;"|"&amp;UPPER(TRIM(D3624)),"")</f>
        <v/>
      </c>
    </row>
    <row r="3625" ht="15.75" customHeight="1" s="217">
      <c r="A3625" s="400" t="n">
        <v>3623</v>
      </c>
      <c r="B3625" s="400" t="inlineStr">
        <is>
          <t>KH0142</t>
        </is>
      </c>
      <c r="C3625" s="401" t="inlineStr">
        <is>
          <t>Chú Bính - Đồng Xoài/ 01628.599.603</t>
        </is>
      </c>
      <c r="D3625" s="400" t="inlineStr">
        <is>
          <t>01628.599.603</t>
        </is>
      </c>
      <c r="E3625" s="402" t="n"/>
      <c r="F3625" s="401" t="inlineStr">
        <is>
          <t>Đồng Xoài , Bình Phước</t>
        </is>
      </c>
      <c r="G3625" s="400" t="inlineStr">
        <is>
          <t>BP</t>
        </is>
      </c>
      <c r="H3625" s="402" t="n"/>
      <c r="J3625" s="392">
        <f>IFERROR(UPPER(TRIM(B3625))&amp;"|"&amp;UPPER(TRIM(C3625))&amp;"|"&amp;UPPER(TRIM(D3625)),"")</f>
        <v/>
      </c>
    </row>
    <row r="3626" ht="15.75" customHeight="1" s="217">
      <c r="A3626" s="397" t="n">
        <v>3624</v>
      </c>
      <c r="B3626" s="397" t="inlineStr">
        <is>
          <t>KH0143</t>
        </is>
      </c>
      <c r="C3626" s="398" t="inlineStr">
        <is>
          <t>Công ty TNHH MTV 7/5 - Đức Trọng/ Cô Mười:0986.615.955</t>
        </is>
      </c>
      <c r="D3626" s="397" t="inlineStr">
        <is>
          <t>0986.615.955</t>
        </is>
      </c>
      <c r="E3626" s="399" t="n"/>
      <c r="F3626" s="398" t="inlineStr">
        <is>
          <t>Hiệp Thạnh, Đức Trọng, Lâm Đồng</t>
        </is>
      </c>
      <c r="G3626" s="397" t="inlineStr">
        <is>
          <t>LDONG</t>
        </is>
      </c>
      <c r="H3626" s="399" t="n"/>
      <c r="J3626" s="392">
        <f>IFERROR(UPPER(TRIM(B3626))&amp;"|"&amp;UPPER(TRIM(C3626))&amp;"|"&amp;UPPER(TRIM(D3626)),"")</f>
        <v/>
      </c>
    </row>
    <row r="3627" ht="15.75" customHeight="1" s="217">
      <c r="A3627" s="400" t="n">
        <v>3625</v>
      </c>
      <c r="B3627" s="400" t="inlineStr">
        <is>
          <t>KH0144</t>
        </is>
      </c>
      <c r="C3627" s="401" t="inlineStr">
        <is>
          <t>Bãi máy Nguyễn Hoàng - Suối Tiên/ 0934.735.365</t>
        </is>
      </c>
      <c r="D3627" s="400" t="inlineStr">
        <is>
          <t>0934.735.365</t>
        </is>
      </c>
      <c r="E3627" s="402" t="n"/>
      <c r="F3627" s="401" t="inlineStr">
        <is>
          <t>Suối Tiên - SG</t>
        </is>
      </c>
      <c r="G3627" s="400" t="inlineStr">
        <is>
          <t>SG/HCM</t>
        </is>
      </c>
      <c r="H3627" s="402" t="n"/>
      <c r="J3627" s="392">
        <f>IFERROR(UPPER(TRIM(B3627))&amp;"|"&amp;UPPER(TRIM(C3627))&amp;"|"&amp;UPPER(TRIM(D3627)),"")</f>
        <v/>
      </c>
    </row>
    <row r="3628" ht="15.75" customHeight="1" s="217">
      <c r="A3628" s="397" t="n">
        <v>3626</v>
      </c>
      <c r="B3628" s="397" t="inlineStr">
        <is>
          <t>KH0145</t>
        </is>
      </c>
      <c r="C3628" s="398" t="inlineStr">
        <is>
          <t>Xưởng anh Cư - Lâm Đồng/ 0963.160.190</t>
        </is>
      </c>
      <c r="D3628" s="397" t="inlineStr">
        <is>
          <t>0963.160.190</t>
        </is>
      </c>
      <c r="E3628" s="399" t="n"/>
      <c r="F3628" s="398" t="inlineStr">
        <is>
          <t>Xã Lộc Bảo, Lộc Bắc, Lâm Đồng</t>
        </is>
      </c>
      <c r="G3628" s="397" t="inlineStr">
        <is>
          <t>LDONG</t>
        </is>
      </c>
      <c r="H3628" s="399" t="n"/>
      <c r="J3628" s="392">
        <f>IFERROR(UPPER(TRIM(B3628))&amp;"|"&amp;UPPER(TRIM(C3628))&amp;"|"&amp;UPPER(TRIM(D3628)),"")</f>
        <v/>
      </c>
    </row>
    <row r="3629" ht="15.75" customHeight="1" s="217">
      <c r="A3629" s="400" t="n">
        <v>3627</v>
      </c>
      <c r="B3629" s="400" t="inlineStr">
        <is>
          <t>KH0146</t>
        </is>
      </c>
      <c r="C3629" s="401" t="inlineStr">
        <is>
          <t>Cửa hàng Phước Hải - Đức Trọng/ A.Hải: 0913.702.353</t>
        </is>
      </c>
      <c r="D3629" s="400" t="inlineStr">
        <is>
          <t>0913.702.353</t>
        </is>
      </c>
      <c r="E3629" s="402" t="n"/>
      <c r="F3629" s="401" t="inlineStr">
        <is>
          <t>439 Quốc lộ 20, TT Liên Nghĩa, Đức Trọng, Lâm Đồng</t>
        </is>
      </c>
      <c r="G3629" s="400" t="inlineStr">
        <is>
          <t>LDONG</t>
        </is>
      </c>
      <c r="H3629" s="402" t="n"/>
      <c r="J3629" s="392">
        <f>IFERROR(UPPER(TRIM(B3629))&amp;"|"&amp;UPPER(TRIM(C3629))&amp;"|"&amp;UPPER(TRIM(D3629)),"")</f>
        <v/>
      </c>
    </row>
    <row r="3630" ht="15.75" customHeight="1" s="217">
      <c r="A3630" s="397" t="n">
        <v>3628</v>
      </c>
      <c r="B3630" s="397" t="inlineStr">
        <is>
          <t>KH0141</t>
        </is>
      </c>
      <c r="C3630" s="398" t="inlineStr">
        <is>
          <t>Bãi máy Tuấn Anh - SG/ A.Nam: 0913.869.261</t>
        </is>
      </c>
      <c r="D3630" s="397" t="inlineStr">
        <is>
          <t>0913.869.261</t>
        </is>
      </c>
      <c r="E3630" s="399" t="n"/>
      <c r="F3630" s="398" t="inlineStr">
        <is>
          <t>Suối Tiên, SG</t>
        </is>
      </c>
      <c r="G3630" s="397" t="inlineStr">
        <is>
          <t>SG/HCM</t>
        </is>
      </c>
      <c r="H3630" s="399" t="n"/>
      <c r="J3630" s="392">
        <f>IFERROR(UPPER(TRIM(B3630))&amp;"|"&amp;UPPER(TRIM(C3630))&amp;"|"&amp;UPPER(TRIM(D3630)),"")</f>
        <v/>
      </c>
    </row>
    <row r="3631" ht="15.75" customHeight="1" s="217">
      <c r="A3631" s="400" t="n">
        <v>3629</v>
      </c>
      <c r="B3631" s="400" t="inlineStr">
        <is>
          <t>KH0140</t>
        </is>
      </c>
      <c r="C3631" s="401" t="inlineStr">
        <is>
          <t>Xưởng anh Sang - Đắk Nông/ 0977.818.497</t>
        </is>
      </c>
      <c r="D3631" s="400" t="inlineStr">
        <is>
          <t>0977.818.497</t>
        </is>
      </c>
      <c r="E3631" s="402" t="n"/>
      <c r="F3631" s="401" t="inlineStr">
        <is>
          <t>Đắk Nông</t>
        </is>
      </c>
      <c r="G3631" s="400" t="inlineStr">
        <is>
          <t>DNONG</t>
        </is>
      </c>
      <c r="H3631" s="402" t="n"/>
      <c r="J3631" s="392">
        <f>IFERROR(UPPER(TRIM(B3631))&amp;"|"&amp;UPPER(TRIM(C3631))&amp;"|"&amp;UPPER(TRIM(D3631)),"")</f>
        <v/>
      </c>
    </row>
    <row r="3632" ht="15.75" customHeight="1" s="217">
      <c r="A3632" s="397" t="n">
        <v>3630</v>
      </c>
      <c r="B3632" s="397" t="inlineStr">
        <is>
          <t>KH0139</t>
        </is>
      </c>
      <c r="C3632" s="398" t="inlineStr">
        <is>
          <t>Anh Lợi - Tam Nông/ 0939.141.765 - cno: 01216.817.814</t>
        </is>
      </c>
      <c r="D3632" s="397" t="inlineStr">
        <is>
          <t>0939.141.765 / 01216.817.814</t>
        </is>
      </c>
      <c r="E3632" s="399" t="n"/>
      <c r="F3632" s="398" t="inlineStr">
        <is>
          <t>Tam Nông, Đồng Tháp</t>
        </is>
      </c>
      <c r="G3632" s="397" t="inlineStr">
        <is>
          <t>DTHAP</t>
        </is>
      </c>
      <c r="H3632" s="399" t="n"/>
      <c r="J3632" s="392">
        <f>IFERROR(UPPER(TRIM(B3632))&amp;"|"&amp;UPPER(TRIM(C3632))&amp;"|"&amp;UPPER(TRIM(D3632)),"")</f>
        <v/>
      </c>
    </row>
    <row r="3633" ht="15.75" customHeight="1" s="217">
      <c r="A3633" s="400" t="n">
        <v>3631</v>
      </c>
      <c r="B3633" s="400" t="inlineStr">
        <is>
          <t>KH0138</t>
        </is>
      </c>
      <c r="C3633" s="401" t="inlineStr">
        <is>
          <t>Cửa hàng Thái Hồng - Phú Yên/ 0905.891.667 - Tel:0573.825.937</t>
        </is>
      </c>
      <c r="D3633" s="400" t="inlineStr">
        <is>
          <t>0905.891.667 / 0573.825.937</t>
        </is>
      </c>
      <c r="E3633" s="402" t="n"/>
      <c r="F3633" s="401" t="inlineStr">
        <is>
          <t>176-180A Nguyễn Tất Thành, TP. Tuy Hòa, Phú Yên</t>
        </is>
      </c>
      <c r="G3633" s="400" t="inlineStr">
        <is>
          <t>PYEN</t>
        </is>
      </c>
      <c r="H3633" s="402" t="n"/>
      <c r="J3633" s="392">
        <f>IFERROR(UPPER(TRIM(B3633))&amp;"|"&amp;UPPER(TRIM(C3633))&amp;"|"&amp;UPPER(TRIM(D3633)),"")</f>
        <v/>
      </c>
    </row>
    <row r="3634" ht="15.75" customHeight="1" s="217">
      <c r="A3634" s="397" t="n">
        <v>3632</v>
      </c>
      <c r="B3634" s="397" t="inlineStr">
        <is>
          <t>KH0135</t>
        </is>
      </c>
      <c r="C3634" s="398" t="inlineStr">
        <is>
          <t>Xưởng Chú Hùng - Kontum/ 0905.164.615</t>
        </is>
      </c>
      <c r="D3634" s="397" t="inlineStr">
        <is>
          <t>0905.164.615</t>
        </is>
      </c>
      <c r="E3634" s="399" t="n"/>
      <c r="F3634" s="398" t="inlineStr">
        <is>
          <t>Đường Phan Đình Phùng, TP.Kontum</t>
        </is>
      </c>
      <c r="G3634" s="397" t="inlineStr">
        <is>
          <t>KTUM</t>
        </is>
      </c>
      <c r="H3634" s="399" t="n"/>
      <c r="J3634" s="392">
        <f>IFERROR(UPPER(TRIM(B3634))&amp;"|"&amp;UPPER(TRIM(C3634))&amp;"|"&amp;UPPER(TRIM(D3634)),"")</f>
        <v/>
      </c>
    </row>
    <row r="3635" ht="15.75" customHeight="1" s="217">
      <c r="A3635" s="400" t="n">
        <v>3633</v>
      </c>
      <c r="B3635" s="400" t="inlineStr">
        <is>
          <t>KH0136</t>
        </is>
      </c>
      <c r="C3635" s="401" t="inlineStr">
        <is>
          <t>Xưởng anh Thoan - Cầu vượt Sóng Thần/ 0933.013.656</t>
        </is>
      </c>
      <c r="D3635" s="400" t="inlineStr">
        <is>
          <t>0933.013.656</t>
        </is>
      </c>
      <c r="E3635" s="402" t="n"/>
      <c r="F3635" s="401" t="inlineStr">
        <is>
          <t>Cầu Vượt Sóng Thần</t>
        </is>
      </c>
      <c r="G3635" s="400" t="inlineStr">
        <is>
          <t>SG/HCM</t>
        </is>
      </c>
      <c r="H3635" s="402" t="n"/>
      <c r="J3635" s="392">
        <f>IFERROR(UPPER(TRIM(B3635))&amp;"|"&amp;UPPER(TRIM(C3635))&amp;"|"&amp;UPPER(TRIM(D3635)),"")</f>
        <v/>
      </c>
    </row>
    <row r="3636" ht="15.75" customHeight="1" s="217">
      <c r="A3636" s="397" t="n">
        <v>3634</v>
      </c>
      <c r="B3636" s="397" t="inlineStr">
        <is>
          <t>KH0137</t>
        </is>
      </c>
      <c r="C3636" s="398" t="inlineStr">
        <is>
          <t>Anh Đại - Gia Lai/ 0969.513.599 - 00856.2098.679.779</t>
        </is>
      </c>
      <c r="D3636" s="397" t="inlineStr">
        <is>
          <t>0969.513.599 / 00856.2098.679</t>
        </is>
      </c>
      <c r="E3636" s="399" t="n"/>
      <c r="F3636" s="398" t="inlineStr">
        <is>
          <t>Gia Lai</t>
        </is>
      </c>
      <c r="G3636" s="397" t="inlineStr">
        <is>
          <t>GLAI</t>
        </is>
      </c>
      <c r="H3636" s="399" t="n"/>
      <c r="J3636" s="392">
        <f>IFERROR(UPPER(TRIM(B3636))&amp;"|"&amp;UPPER(TRIM(C3636))&amp;"|"&amp;UPPER(TRIM(D3636)),"")</f>
        <v/>
      </c>
    </row>
    <row r="3637" ht="15.75" customHeight="1" s="217">
      <c r="A3637" s="400" t="n">
        <v>3635</v>
      </c>
      <c r="B3637" s="400" t="inlineStr">
        <is>
          <t>KH0134</t>
        </is>
      </c>
      <c r="C3637" s="401" t="inlineStr">
        <is>
          <t>Anh Du - Bình Dương/ 0908.598.668</t>
        </is>
      </c>
      <c r="D3637" s="400" t="inlineStr">
        <is>
          <t>0908.598.668</t>
        </is>
      </c>
      <c r="E3637" s="402" t="n"/>
      <c r="F3637" s="401" t="inlineStr">
        <is>
          <t>Bình Dương</t>
        </is>
      </c>
      <c r="G3637" s="400" t="inlineStr">
        <is>
          <t>BDUONG</t>
        </is>
      </c>
      <c r="H3637" s="402" t="n"/>
      <c r="J3637" s="392">
        <f>IFERROR(UPPER(TRIM(B3637))&amp;"|"&amp;UPPER(TRIM(C3637))&amp;"|"&amp;UPPER(TRIM(D3637)),"")</f>
        <v/>
      </c>
    </row>
    <row r="3638" ht="15.75" customHeight="1" s="217">
      <c r="A3638" s="397" t="n">
        <v>3636</v>
      </c>
      <c r="B3638" s="397" t="inlineStr">
        <is>
          <t>KH0133</t>
        </is>
      </c>
      <c r="C3638" s="398" t="inlineStr">
        <is>
          <t>Chị Linh - Bình Thuận/ 0968.184.554</t>
        </is>
      </c>
      <c r="D3638" s="397" t="inlineStr">
        <is>
          <t>0968.184.554</t>
        </is>
      </c>
      <c r="E3638" s="399" t="n"/>
      <c r="F3638" s="398" t="inlineStr">
        <is>
          <t>Chợ Lầu,Bình Thuận</t>
        </is>
      </c>
      <c r="G3638" s="397" t="inlineStr">
        <is>
          <t>BTHUAN</t>
        </is>
      </c>
      <c r="H3638" s="399" t="n"/>
      <c r="J3638" s="392">
        <f>IFERROR(UPPER(TRIM(B3638))&amp;"|"&amp;UPPER(TRIM(C3638))&amp;"|"&amp;UPPER(TRIM(D3638)),"")</f>
        <v/>
      </c>
    </row>
    <row r="3639" ht="15.75" customHeight="1" s="217">
      <c r="A3639" s="400" t="n">
        <v>3637</v>
      </c>
      <c r="B3639" s="400" t="inlineStr">
        <is>
          <t>KH0130</t>
        </is>
      </c>
      <c r="C3639" s="401" t="inlineStr">
        <is>
          <t>Anh Đức - Gia Lai/ 0988.334.578</t>
        </is>
      </c>
      <c r="D3639" s="400" t="inlineStr">
        <is>
          <t>0988.334.578</t>
        </is>
      </c>
      <c r="E3639" s="402" t="n"/>
      <c r="F3639" s="401" t="inlineStr">
        <is>
          <t>Gia Lai</t>
        </is>
      </c>
      <c r="G3639" s="400" t="inlineStr">
        <is>
          <t>GLAI</t>
        </is>
      </c>
      <c r="H3639" s="402" t="n"/>
      <c r="J3639" s="392">
        <f>IFERROR(UPPER(TRIM(B3639))&amp;"|"&amp;UPPER(TRIM(C3639))&amp;"|"&amp;UPPER(TRIM(D3639)),"")</f>
        <v/>
      </c>
    </row>
    <row r="3640" ht="15.75" customHeight="1" s="217">
      <c r="A3640" s="397" t="n">
        <v>3638</v>
      </c>
      <c r="B3640" s="397" t="inlineStr">
        <is>
          <t>KH0131</t>
        </is>
      </c>
      <c r="C3640" s="398" t="inlineStr">
        <is>
          <t>Bãi máy anh Tâm - Bến Lức / 0908.928.577</t>
        </is>
      </c>
      <c r="D3640" s="397" t="inlineStr">
        <is>
          <t>0908.928.577</t>
        </is>
      </c>
      <c r="E3640" s="399" t="n"/>
      <c r="F3640" s="398" t="inlineStr">
        <is>
          <t>Bến Lức, Long An</t>
        </is>
      </c>
      <c r="G3640" s="397" t="inlineStr">
        <is>
          <t>LA</t>
        </is>
      </c>
      <c r="H3640" s="399" t="n"/>
      <c r="J3640" s="392">
        <f>IFERROR(UPPER(TRIM(B3640))&amp;"|"&amp;UPPER(TRIM(C3640))&amp;"|"&amp;UPPER(TRIM(D3640)),"")</f>
        <v/>
      </c>
    </row>
    <row r="3641" ht="15.75" customHeight="1" s="217">
      <c r="A3641" s="400" t="n">
        <v>3639</v>
      </c>
      <c r="B3641" s="400" t="inlineStr">
        <is>
          <t>KH0132</t>
        </is>
      </c>
      <c r="C3641" s="401" t="inlineStr">
        <is>
          <t>Anh Long - Bình Dương/ 01695.973.324</t>
        </is>
      </c>
      <c r="D3641" s="400" t="inlineStr">
        <is>
          <t>01695.973.324</t>
        </is>
      </c>
      <c r="E3641" s="402" t="n"/>
      <c r="F3641" s="401" t="inlineStr">
        <is>
          <t>Bình Dương</t>
        </is>
      </c>
      <c r="G3641" s="400" t="inlineStr">
        <is>
          <t>BDUONG</t>
        </is>
      </c>
      <c r="H3641" s="402" t="n"/>
      <c r="J3641" s="392">
        <f>IFERROR(UPPER(TRIM(B3641))&amp;"|"&amp;UPPER(TRIM(C3641))&amp;"|"&amp;UPPER(TRIM(D3641)),"")</f>
        <v/>
      </c>
    </row>
    <row r="3642" ht="15.75" customHeight="1" s="217">
      <c r="A3642" s="397" t="n">
        <v>3640</v>
      </c>
      <c r="B3642" s="397" t="inlineStr">
        <is>
          <t>MN22</t>
        </is>
      </c>
      <c r="C3642" s="398" t="inlineStr">
        <is>
          <t>Nguyễn Thanh Long</t>
        </is>
      </c>
      <c r="D3642" s="399" t="n"/>
      <c r="E3642" s="399" t="n"/>
      <c r="F3642" s="398" t="inlineStr">
        <is>
          <t>CTCP Thiết bị Cơ giới Miền Nam</t>
        </is>
      </c>
      <c r="G3642" s="399" t="n"/>
      <c r="H3642" s="399" t="n"/>
      <c r="J3642" s="392">
        <f>IFERROR(UPPER(TRIM(B3642))&amp;"|"&amp;UPPER(TRIM(C3642))&amp;"|"&amp;UPPER(TRIM(D3642)),"")</f>
        <v/>
      </c>
    </row>
    <row r="3643" ht="15.75" customHeight="1" s="217">
      <c r="A3643" s="400" t="n">
        <v>3641</v>
      </c>
      <c r="B3643" s="400" t="inlineStr">
        <is>
          <t>KH0129</t>
        </is>
      </c>
      <c r="C3643" s="401" t="inlineStr">
        <is>
          <t>Anh Hòa - Khánh Hòa/ 0906.329.579</t>
        </is>
      </c>
      <c r="D3643" s="400" t="inlineStr">
        <is>
          <t>0906.329.579</t>
        </is>
      </c>
      <c r="E3643" s="402" t="n"/>
      <c r="F3643" s="401" t="inlineStr">
        <is>
          <t>Khánh Hòa</t>
        </is>
      </c>
      <c r="G3643" s="400" t="inlineStr">
        <is>
          <t>NTRANG</t>
        </is>
      </c>
      <c r="H3643" s="402" t="n"/>
      <c r="J3643" s="392">
        <f>IFERROR(UPPER(TRIM(B3643))&amp;"|"&amp;UPPER(TRIM(C3643))&amp;"|"&amp;UPPER(TRIM(D3643)),"")</f>
        <v/>
      </c>
    </row>
    <row r="3644" ht="15.75" customHeight="1" s="217">
      <c r="A3644" s="397" t="n">
        <v>3642</v>
      </c>
      <c r="B3644" s="397" t="inlineStr">
        <is>
          <t>KH0128</t>
        </is>
      </c>
      <c r="C3644" s="398" t="inlineStr">
        <is>
          <t>Cửa hàng Diệp Tuấn - Tiền Giang/ 0907.460.062</t>
        </is>
      </c>
      <c r="D3644" s="397" t="inlineStr">
        <is>
          <t>0907.460.062</t>
        </is>
      </c>
      <c r="E3644" s="399" t="n"/>
      <c r="F3644" s="398" t="inlineStr">
        <is>
          <t>Gò Công, Tiền Giang</t>
        </is>
      </c>
      <c r="G3644" s="397" t="inlineStr">
        <is>
          <t>TGIANG</t>
        </is>
      </c>
      <c r="H3644" s="399" t="n"/>
      <c r="J3644" s="392">
        <f>IFERROR(UPPER(TRIM(B3644))&amp;"|"&amp;UPPER(TRIM(C3644))&amp;"|"&amp;UPPER(TRIM(D3644)),"")</f>
        <v/>
      </c>
    </row>
    <row r="3645" ht="15.75" customHeight="1" s="217">
      <c r="A3645" s="400" t="n">
        <v>3643</v>
      </c>
      <c r="B3645" s="400" t="inlineStr">
        <is>
          <t>KH0126</t>
        </is>
      </c>
      <c r="C3645" s="401" t="inlineStr">
        <is>
          <t>Xưởng Xuân Nhật - Đại học Nông Lâm/ 0908.117.976</t>
        </is>
      </c>
      <c r="D3645" s="400" t="inlineStr">
        <is>
          <t>0908.117.976</t>
        </is>
      </c>
      <c r="E3645" s="402" t="n"/>
      <c r="F3645" s="401" t="inlineStr">
        <is>
          <t>Đại học Nông Lâm - TP HCM</t>
        </is>
      </c>
      <c r="G3645" s="400" t="inlineStr">
        <is>
          <t>SG/HCM</t>
        </is>
      </c>
      <c r="H3645" s="402" t="n"/>
      <c r="J3645" s="392">
        <f>IFERROR(UPPER(TRIM(B3645))&amp;"|"&amp;UPPER(TRIM(C3645))&amp;"|"&amp;UPPER(TRIM(D3645)),"")</f>
        <v/>
      </c>
    </row>
    <row r="3646" ht="15.75" customHeight="1" s="217">
      <c r="A3646" s="397" t="n">
        <v>3644</v>
      </c>
      <c r="B3646" s="397" t="inlineStr">
        <is>
          <t>KH0127</t>
        </is>
      </c>
      <c r="C3646" s="398" t="inlineStr">
        <is>
          <t>Anh Thọ - Kiên Giang/ 0985.051.856</t>
        </is>
      </c>
      <c r="D3646" s="397" t="inlineStr">
        <is>
          <t>0985.051.856</t>
        </is>
      </c>
      <c r="E3646" s="399" t="n"/>
      <c r="F3646" s="398" t="inlineStr">
        <is>
          <t>Phú Quốc - Kiên Giang</t>
        </is>
      </c>
      <c r="G3646" s="397" t="inlineStr">
        <is>
          <t>KG</t>
        </is>
      </c>
      <c r="H3646" s="399" t="n"/>
      <c r="J3646" s="392">
        <f>IFERROR(UPPER(TRIM(B3646))&amp;"|"&amp;UPPER(TRIM(C3646))&amp;"|"&amp;UPPER(TRIM(D3646)),"")</f>
        <v/>
      </c>
    </row>
    <row r="3647" ht="15.75" customHeight="1" s="217">
      <c r="A3647" s="400" t="n">
        <v>3645</v>
      </c>
      <c r="B3647" s="400" t="inlineStr">
        <is>
          <t>KH0124</t>
        </is>
      </c>
      <c r="C3647" s="401" t="inlineStr">
        <is>
          <t>Xưởng anh Hiếu - Cà Mau/ 0902.392.118</t>
        </is>
      </c>
      <c r="D3647" s="400" t="inlineStr">
        <is>
          <t>0902.392.118</t>
        </is>
      </c>
      <c r="E3647" s="402" t="n"/>
      <c r="F3647" s="401" t="inlineStr">
        <is>
          <t>Cà Mau</t>
        </is>
      </c>
      <c r="G3647" s="400" t="inlineStr">
        <is>
          <t>CMAU</t>
        </is>
      </c>
      <c r="H3647" s="402" t="n"/>
      <c r="J3647" s="392">
        <f>IFERROR(UPPER(TRIM(B3647))&amp;"|"&amp;UPPER(TRIM(C3647))&amp;"|"&amp;UPPER(TRIM(D3647)),"")</f>
        <v/>
      </c>
    </row>
    <row r="3648" ht="15.75" customHeight="1" s="217">
      <c r="A3648" s="397" t="n">
        <v>3646</v>
      </c>
      <c r="B3648" s="397" t="inlineStr">
        <is>
          <t>KH0125</t>
        </is>
      </c>
      <c r="C3648" s="398" t="inlineStr">
        <is>
          <t>Xưởng anh Tuấn - Đắk Nông/ 0903.538.589</t>
        </is>
      </c>
      <c r="D3648" s="397" t="inlineStr">
        <is>
          <t>0903.538.589</t>
        </is>
      </c>
      <c r="E3648" s="399" t="n"/>
      <c r="F3648" s="398" t="inlineStr">
        <is>
          <t>Đắk Nông</t>
        </is>
      </c>
      <c r="G3648" s="397" t="inlineStr">
        <is>
          <t>DNONG</t>
        </is>
      </c>
      <c r="H3648" s="399" t="n"/>
      <c r="J3648" s="392">
        <f>IFERROR(UPPER(TRIM(B3648))&amp;"|"&amp;UPPER(TRIM(C3648))&amp;"|"&amp;UPPER(TRIM(D3648)),"")</f>
        <v/>
      </c>
    </row>
    <row r="3649" ht="15.75" customHeight="1" s="217">
      <c r="A3649" s="400" t="n">
        <v>3647</v>
      </c>
      <c r="B3649" s="400" t="inlineStr">
        <is>
          <t>KH0123</t>
        </is>
      </c>
      <c r="C3649" s="401" t="inlineStr">
        <is>
          <t>Xưởng anh Kỳ - Quận 12/ 0985.703.353</t>
        </is>
      </c>
      <c r="D3649" s="400" t="inlineStr">
        <is>
          <t>0985.703.353</t>
        </is>
      </c>
      <c r="E3649" s="402" t="n"/>
      <c r="F3649" s="401" t="inlineStr">
        <is>
          <t>Quận 12, TP HCM</t>
        </is>
      </c>
      <c r="G3649" s="400" t="inlineStr">
        <is>
          <t>SG/HCM</t>
        </is>
      </c>
      <c r="H3649" s="402" t="n"/>
      <c r="J3649" s="392">
        <f>IFERROR(UPPER(TRIM(B3649))&amp;"|"&amp;UPPER(TRIM(C3649))&amp;"|"&amp;UPPER(TRIM(D3649)),"")</f>
        <v/>
      </c>
    </row>
    <row r="3650" ht="15.75" customHeight="1" s="217">
      <c r="A3650" s="397" t="n">
        <v>3648</v>
      </c>
      <c r="B3650" s="397" t="inlineStr">
        <is>
          <t>KH0122</t>
        </is>
      </c>
      <c r="C3650" s="398" t="inlineStr">
        <is>
          <t>Anh Bình - Bình Dương/ 01273.157.173</t>
        </is>
      </c>
      <c r="D3650" s="397" t="inlineStr">
        <is>
          <t>01273.157.173</t>
        </is>
      </c>
      <c r="E3650" s="399" t="n"/>
      <c r="F3650" s="398" t="inlineStr">
        <is>
          <t>Bình Dương</t>
        </is>
      </c>
      <c r="G3650" s="397" t="inlineStr">
        <is>
          <t>BDUONG</t>
        </is>
      </c>
      <c r="H3650" s="399" t="n"/>
      <c r="J3650" s="392">
        <f>IFERROR(UPPER(TRIM(B3650))&amp;"|"&amp;UPPER(TRIM(C3650))&amp;"|"&amp;UPPER(TRIM(D3650)),"")</f>
        <v/>
      </c>
    </row>
    <row r="3651" ht="15.75" customHeight="1" s="217">
      <c r="A3651" s="400" t="n">
        <v>3649</v>
      </c>
      <c r="B3651" s="400" t="inlineStr">
        <is>
          <t>KH0120</t>
        </is>
      </c>
      <c r="C3651" s="401" t="inlineStr">
        <is>
          <t>Xưởng A Thứ - SG/ 0977.343.152</t>
        </is>
      </c>
      <c r="D3651" s="400" t="inlineStr">
        <is>
          <t>0977.343.152</t>
        </is>
      </c>
      <c r="E3651" s="402" t="n"/>
      <c r="F3651" s="401" t="inlineStr">
        <is>
          <t>Sài Gòn</t>
        </is>
      </c>
      <c r="G3651" s="400" t="inlineStr">
        <is>
          <t>SG/HCM</t>
        </is>
      </c>
      <c r="H3651" s="402" t="n"/>
      <c r="J3651" s="392">
        <f>IFERROR(UPPER(TRIM(B3651))&amp;"|"&amp;UPPER(TRIM(C3651))&amp;"|"&amp;UPPER(TRIM(D3651)),"")</f>
        <v/>
      </c>
    </row>
    <row r="3652" ht="15.75" customHeight="1" s="217">
      <c r="A3652" s="397" t="n">
        <v>3650</v>
      </c>
      <c r="B3652" s="397" t="inlineStr">
        <is>
          <t>KH0121</t>
        </is>
      </c>
      <c r="C3652" s="398" t="inlineStr">
        <is>
          <t>Anh Tài - Gia Lai/ 0982.359.835</t>
        </is>
      </c>
      <c r="D3652" s="397" t="inlineStr">
        <is>
          <t>0982.359.835</t>
        </is>
      </c>
      <c r="E3652" s="399" t="n"/>
      <c r="F3652" s="398" t="inlineStr">
        <is>
          <t>An Khê, Gia Lai</t>
        </is>
      </c>
      <c r="G3652" s="397" t="inlineStr">
        <is>
          <t>GLAI</t>
        </is>
      </c>
      <c r="H3652" s="399" t="n"/>
      <c r="J3652" s="392">
        <f>IFERROR(UPPER(TRIM(B3652))&amp;"|"&amp;UPPER(TRIM(C3652))&amp;"|"&amp;UPPER(TRIM(D3652)),"")</f>
        <v/>
      </c>
    </row>
    <row r="3653" ht="15.75" customHeight="1" s="217">
      <c r="A3653" s="400" t="n">
        <v>3651</v>
      </c>
      <c r="B3653" s="400" t="inlineStr">
        <is>
          <t>KH0118</t>
        </is>
      </c>
      <c r="C3653" s="401" t="inlineStr">
        <is>
          <t>A</t>
        </is>
      </c>
      <c r="D3653" s="402" t="n"/>
      <c r="E3653" s="402" t="n"/>
      <c r="F3653" s="403" t="n"/>
      <c r="G3653" s="400" t="inlineStr">
        <is>
          <t>SG/HCM</t>
        </is>
      </c>
      <c r="H3653" s="402" t="n"/>
      <c r="J3653" s="392">
        <f>IFERROR(UPPER(TRIM(B3653))&amp;"|"&amp;UPPER(TRIM(C3653))&amp;"|"&amp;UPPER(TRIM(D3653)),"")</f>
        <v/>
      </c>
    </row>
    <row r="3654" ht="15.75" customHeight="1" s="217">
      <c r="A3654" s="397" t="n">
        <v>3652</v>
      </c>
      <c r="B3654" s="397" t="inlineStr">
        <is>
          <t>KH0119</t>
        </is>
      </c>
      <c r="C3654" s="398" t="inlineStr">
        <is>
          <t>Xưởng anh Thanh - Bình Tân/ 0903.649.236</t>
        </is>
      </c>
      <c r="D3654" s="397" t="inlineStr">
        <is>
          <t>0903.649.236</t>
        </is>
      </c>
      <c r="E3654" s="399" t="n"/>
      <c r="F3654" s="398" t="inlineStr">
        <is>
          <t>Đường Lê Văn Quế, Q. Bình Tân, TP HCM</t>
        </is>
      </c>
      <c r="G3654" s="397" t="inlineStr">
        <is>
          <t>SG/HCM</t>
        </is>
      </c>
      <c r="H3654" s="399" t="n"/>
      <c r="J3654" s="392">
        <f>IFERROR(UPPER(TRIM(B3654))&amp;"|"&amp;UPPER(TRIM(C3654))&amp;"|"&amp;UPPER(TRIM(D3654)),"")</f>
        <v/>
      </c>
    </row>
    <row r="3655" ht="15.75" customHeight="1" s="217">
      <c r="A3655" s="400" t="n">
        <v>3653</v>
      </c>
      <c r="B3655" s="400" t="inlineStr">
        <is>
          <t>KH0117</t>
        </is>
      </c>
      <c r="C3655" s="401" t="inlineStr">
        <is>
          <t>Công ty Hoàng Quân - Gia Lai/ C. Liên: 0986.003.579 - A.Hoàng: 0982.506.179</t>
        </is>
      </c>
      <c r="D3655" s="400" t="inlineStr">
        <is>
          <t>0986.003.579 / 0982.506.179</t>
        </is>
      </c>
      <c r="E3655" s="402" t="n"/>
      <c r="F3655" s="401" t="inlineStr">
        <is>
          <t>Gia Lai</t>
        </is>
      </c>
      <c r="G3655" s="400" t="inlineStr">
        <is>
          <t>SG/HCM</t>
        </is>
      </c>
      <c r="H3655" s="402" t="n"/>
      <c r="J3655" s="392">
        <f>IFERROR(UPPER(TRIM(B3655))&amp;"|"&amp;UPPER(TRIM(C3655))&amp;"|"&amp;UPPER(TRIM(D3655)),"")</f>
        <v/>
      </c>
    </row>
    <row r="3656" ht="15.75" customHeight="1" s="217">
      <c r="A3656" s="397" t="n">
        <v>3654</v>
      </c>
      <c r="B3656" s="397" t="inlineStr">
        <is>
          <t>KH0115</t>
        </is>
      </c>
      <c r="C3656" s="398" t="inlineStr">
        <is>
          <t>CH Nam Long - Quảng Bình/ 0913.295.288 - 0165.464.8225</t>
        </is>
      </c>
      <c r="D3656" s="397" t="inlineStr">
        <is>
          <t>0165.464.8225 / 0913.295.288</t>
        </is>
      </c>
      <c r="E3656" s="399" t="n"/>
      <c r="F3656" s="398" t="inlineStr">
        <is>
          <t>Quảng Bình</t>
        </is>
      </c>
      <c r="G3656" s="399" t="n"/>
      <c r="H3656" s="399" t="n"/>
      <c r="J3656" s="392">
        <f>IFERROR(UPPER(TRIM(B3656))&amp;"|"&amp;UPPER(TRIM(C3656))&amp;"|"&amp;UPPER(TRIM(D3656)),"")</f>
        <v/>
      </c>
    </row>
    <row r="3657" ht="15.75" customHeight="1" s="217">
      <c r="A3657" s="400" t="n">
        <v>3655</v>
      </c>
      <c r="B3657" s="400" t="inlineStr">
        <is>
          <t>KH0116</t>
        </is>
      </c>
      <c r="C3657" s="401" t="inlineStr">
        <is>
          <t>Công ty TNHH TM-DV-VT Lam Anh - Bình Thạnh/ A.Thư: 0902.791.114</t>
        </is>
      </c>
      <c r="D3657" s="400" t="inlineStr">
        <is>
          <t>0902.791.114</t>
        </is>
      </c>
      <c r="E3657" s="402" t="n"/>
      <c r="F3657" s="401" t="inlineStr">
        <is>
          <t>242/13/1 Nguyễn Xí, Phường 13, Quận Bình Thạnh</t>
        </is>
      </c>
      <c r="G3657" s="400" t="inlineStr">
        <is>
          <t>SG/HCM</t>
        </is>
      </c>
      <c r="H3657" s="402" t="n"/>
      <c r="J3657" s="392">
        <f>IFERROR(UPPER(TRIM(B3657))&amp;"|"&amp;UPPER(TRIM(C3657))&amp;"|"&amp;UPPER(TRIM(D3657)),"")</f>
        <v/>
      </c>
    </row>
    <row r="3658" ht="15.75" customHeight="1" s="217">
      <c r="A3658" s="397" t="n">
        <v>3656</v>
      </c>
      <c r="B3658" s="397" t="inlineStr">
        <is>
          <t>KH0114</t>
        </is>
      </c>
      <c r="C3658" s="398" t="inlineStr">
        <is>
          <t>Công ty Phú Gia Hưng - Ngã tư Bình Phước/ 0918.247.704</t>
        </is>
      </c>
      <c r="D3658" s="397" t="inlineStr">
        <is>
          <t>0918.247.704</t>
        </is>
      </c>
      <c r="E3658" s="399" t="n"/>
      <c r="F3658" s="398" t="inlineStr">
        <is>
          <t>Sài Gòn</t>
        </is>
      </c>
      <c r="G3658" s="397" t="inlineStr">
        <is>
          <t>SG/HCM</t>
        </is>
      </c>
      <c r="H3658" s="399" t="n"/>
      <c r="J3658" s="392">
        <f>IFERROR(UPPER(TRIM(B3658))&amp;"|"&amp;UPPER(TRIM(C3658))&amp;"|"&amp;UPPER(TRIM(D3658)),"")</f>
        <v/>
      </c>
    </row>
    <row r="3659" ht="15.75" customHeight="1" s="217">
      <c r="A3659" s="400" t="n">
        <v>3657</v>
      </c>
      <c r="B3659" s="400" t="inlineStr">
        <is>
          <t>KH0113</t>
        </is>
      </c>
      <c r="C3659" s="401" t="inlineStr">
        <is>
          <t>Bãi máy Hoàng Định - Tân Vạn/ 0961.111.119</t>
        </is>
      </c>
      <c r="D3659" s="400" t="inlineStr">
        <is>
          <t>0961.111.119</t>
        </is>
      </c>
      <c r="E3659" s="402" t="n"/>
      <c r="F3659" s="401" t="inlineStr">
        <is>
          <t>Sài Gòn</t>
        </is>
      </c>
      <c r="G3659" s="400" t="inlineStr">
        <is>
          <t>SG/HCM</t>
        </is>
      </c>
      <c r="H3659" s="402" t="n"/>
      <c r="J3659" s="392">
        <f>IFERROR(UPPER(TRIM(B3659))&amp;"|"&amp;UPPER(TRIM(C3659))&amp;"|"&amp;UPPER(TRIM(D3659)),"")</f>
        <v/>
      </c>
    </row>
    <row r="3660" ht="15.75" customHeight="1" s="217">
      <c r="A3660" s="397" t="n">
        <v>3658</v>
      </c>
      <c r="B3660" s="397" t="inlineStr">
        <is>
          <t>KH0112</t>
        </is>
      </c>
      <c r="C3660" s="398" t="inlineStr">
        <is>
          <t>Xưởng anh Khánh - Cà Mau/ 0918.600.390</t>
        </is>
      </c>
      <c r="D3660" s="397" t="inlineStr">
        <is>
          <t>0918.600.390</t>
        </is>
      </c>
      <c r="E3660" s="399" t="n"/>
      <c r="F3660" s="398" t="inlineStr">
        <is>
          <t>Cà Mau</t>
        </is>
      </c>
      <c r="G3660" s="397" t="inlineStr">
        <is>
          <t>CMAU</t>
        </is>
      </c>
      <c r="H3660" s="399" t="n"/>
      <c r="J3660" s="392">
        <f>IFERROR(UPPER(TRIM(B3660))&amp;"|"&amp;UPPER(TRIM(C3660))&amp;"|"&amp;UPPER(TRIM(D3660)),"")</f>
        <v/>
      </c>
    </row>
    <row r="3661" ht="15.75" customHeight="1" s="217">
      <c r="A3661" s="400" t="n">
        <v>3659</v>
      </c>
      <c r="B3661" s="400" t="inlineStr">
        <is>
          <t>KH0111</t>
        </is>
      </c>
      <c r="C3661" s="401" t="inlineStr">
        <is>
          <t>Xưởng anh Dương - Ngã tư Bình Phước/ 0918.295.958</t>
        </is>
      </c>
      <c r="D3661" s="400" t="inlineStr">
        <is>
          <t>0918.295.958</t>
        </is>
      </c>
      <c r="E3661" s="402" t="n"/>
      <c r="F3661" s="401" t="inlineStr">
        <is>
          <t>Sài Gòn</t>
        </is>
      </c>
      <c r="G3661" s="400" t="inlineStr">
        <is>
          <t>SG/HCM</t>
        </is>
      </c>
      <c r="H3661" s="402" t="n"/>
      <c r="J3661" s="392">
        <f>IFERROR(UPPER(TRIM(B3661))&amp;"|"&amp;UPPER(TRIM(C3661))&amp;"|"&amp;UPPER(TRIM(D3661)),"")</f>
        <v/>
      </c>
    </row>
    <row r="3662" ht="15.75" customHeight="1" s="217">
      <c r="A3662" s="397" t="n">
        <v>3660</v>
      </c>
      <c r="B3662" s="397" t="inlineStr">
        <is>
          <t>KH0109</t>
        </is>
      </c>
      <c r="C3662" s="398" t="inlineStr">
        <is>
          <t>Anh Bảo - Bình Phước/ 0918.264.289</t>
        </is>
      </c>
      <c r="D3662" s="397" t="inlineStr">
        <is>
          <t>0918.264.289</t>
        </is>
      </c>
      <c r="E3662" s="399" t="n"/>
      <c r="F3662" s="398" t="inlineStr">
        <is>
          <t>Bình Long, Bình Phước</t>
        </is>
      </c>
      <c r="G3662" s="397" t="inlineStr">
        <is>
          <t>BP</t>
        </is>
      </c>
      <c r="H3662" s="399" t="n"/>
      <c r="J3662" s="392">
        <f>IFERROR(UPPER(TRIM(B3662))&amp;"|"&amp;UPPER(TRIM(C3662))&amp;"|"&amp;UPPER(TRIM(D3662)),"")</f>
        <v/>
      </c>
    </row>
    <row r="3663" ht="15.75" customHeight="1" s="217">
      <c r="A3663" s="400" t="n">
        <v>3661</v>
      </c>
      <c r="B3663" s="400" t="inlineStr">
        <is>
          <t>KH0107</t>
        </is>
      </c>
      <c r="C3663" s="401" t="inlineStr">
        <is>
          <t>Anh Quang - BM Kim Sơn Suối Tiên/ 0908.926.358</t>
        </is>
      </c>
      <c r="D3663" s="400" t="inlineStr">
        <is>
          <t>0908.926.358</t>
        </is>
      </c>
      <c r="E3663" s="402" t="n"/>
      <c r="F3663" s="401" t="inlineStr">
        <is>
          <t>Suối Tiên, SG</t>
        </is>
      </c>
      <c r="G3663" s="400" t="inlineStr">
        <is>
          <t>SG/HCM</t>
        </is>
      </c>
      <c r="H3663" s="402" t="n"/>
      <c r="J3663" s="392">
        <f>IFERROR(UPPER(TRIM(B3663))&amp;"|"&amp;UPPER(TRIM(C3663))&amp;"|"&amp;UPPER(TRIM(D3663)),"")</f>
        <v/>
      </c>
    </row>
    <row r="3664" ht="15.75" customHeight="1" s="217">
      <c r="A3664" s="397" t="n">
        <v>3662</v>
      </c>
      <c r="B3664" s="397" t="inlineStr">
        <is>
          <t>KH0108</t>
        </is>
      </c>
      <c r="C3664" s="398" t="inlineStr">
        <is>
          <t>Anh Minh - Gò Vấp/ 0908.145.829</t>
        </is>
      </c>
      <c r="D3664" s="397" t="inlineStr">
        <is>
          <t>0908.145.829</t>
        </is>
      </c>
      <c r="E3664" s="399" t="n"/>
      <c r="F3664" s="398" t="inlineStr">
        <is>
          <t>Sài Gòn</t>
        </is>
      </c>
      <c r="G3664" s="397" t="inlineStr">
        <is>
          <t>SG/HCM</t>
        </is>
      </c>
      <c r="H3664" s="399" t="n"/>
      <c r="J3664" s="392">
        <f>IFERROR(UPPER(TRIM(B3664))&amp;"|"&amp;UPPER(TRIM(C3664))&amp;"|"&amp;UPPER(TRIM(D3664)),"")</f>
        <v/>
      </c>
    </row>
    <row r="3665" ht="15.75" customHeight="1" s="217">
      <c r="A3665" s="400" t="n">
        <v>3663</v>
      </c>
      <c r="B3665" s="400" t="inlineStr">
        <is>
          <t>KH0106</t>
        </is>
      </c>
      <c r="C3665" s="401" t="inlineStr">
        <is>
          <t>Cửa hàng Nguyên Hồ - Quảng Ngãi/ A.Tuấn: 0914.473.479</t>
        </is>
      </c>
      <c r="D3665" s="400" t="inlineStr">
        <is>
          <t>0914.473.479</t>
        </is>
      </c>
      <c r="E3665" s="402" t="n"/>
      <c r="F3665" s="401" t="inlineStr">
        <is>
          <t>Quảng Ngãi</t>
        </is>
      </c>
      <c r="G3665" s="400" t="inlineStr">
        <is>
          <t>QUNGAI</t>
        </is>
      </c>
      <c r="H3665" s="402" t="n"/>
      <c r="J3665" s="392">
        <f>IFERROR(UPPER(TRIM(B3665))&amp;"|"&amp;UPPER(TRIM(C3665))&amp;"|"&amp;UPPER(TRIM(D3665)),"")</f>
        <v/>
      </c>
    </row>
    <row r="3666" ht="15.75" customHeight="1" s="217">
      <c r="A3666" s="397" t="n">
        <v>3664</v>
      </c>
      <c r="B3666" s="397" t="inlineStr">
        <is>
          <t>KH0105</t>
        </is>
      </c>
      <c r="C3666" s="398" t="inlineStr">
        <is>
          <t>Anh Tâm - Nhà Bè/ 0918.456.899</t>
        </is>
      </c>
      <c r="D3666" s="397" t="inlineStr">
        <is>
          <t>0918.456.899</t>
        </is>
      </c>
      <c r="E3666" s="399" t="n"/>
      <c r="F3666" s="398" t="inlineStr">
        <is>
          <t>Nhà Bè - TP HCM</t>
        </is>
      </c>
      <c r="G3666" s="397" t="inlineStr">
        <is>
          <t>SG/HCM</t>
        </is>
      </c>
      <c r="H3666" s="399" t="n"/>
      <c r="J3666" s="392">
        <f>IFERROR(UPPER(TRIM(B3666))&amp;"|"&amp;UPPER(TRIM(C3666))&amp;"|"&amp;UPPER(TRIM(D3666)),"")</f>
        <v/>
      </c>
    </row>
    <row r="3667" ht="15.75" customHeight="1" s="217">
      <c r="A3667" s="400" t="n">
        <v>3665</v>
      </c>
      <c r="B3667" s="400" t="inlineStr">
        <is>
          <t>KH0104</t>
        </is>
      </c>
      <c r="C3667" s="401" t="inlineStr">
        <is>
          <t>Bãi máy Ba An - XLHN/ 0903.942.353</t>
        </is>
      </c>
      <c r="D3667" s="400" t="inlineStr">
        <is>
          <t>0903.942.353</t>
        </is>
      </c>
      <c r="E3667" s="402" t="n"/>
      <c r="F3667" s="401" t="inlineStr">
        <is>
          <t>Gần Ngã 4 Thủ Đức, SG</t>
        </is>
      </c>
      <c r="G3667" s="400" t="inlineStr">
        <is>
          <t>SG/HCM</t>
        </is>
      </c>
      <c r="H3667" s="402" t="n"/>
      <c r="J3667" s="392">
        <f>IFERROR(UPPER(TRIM(B3667))&amp;"|"&amp;UPPER(TRIM(C3667))&amp;"|"&amp;UPPER(TRIM(D3667)),"")</f>
        <v/>
      </c>
    </row>
    <row r="3668" ht="15.75" customHeight="1" s="217">
      <c r="A3668" s="397" t="n">
        <v>3666</v>
      </c>
      <c r="B3668" s="397" t="inlineStr">
        <is>
          <t>KH0103</t>
        </is>
      </c>
      <c r="C3668" s="398" t="inlineStr">
        <is>
          <t>Anh Tuấn - Phú Thạnh (SG)/ 0974.667.044</t>
        </is>
      </c>
      <c r="D3668" s="397" t="inlineStr">
        <is>
          <t>0974.667.044</t>
        </is>
      </c>
      <c r="E3668" s="399" t="n"/>
      <c r="F3668" s="398" t="inlineStr">
        <is>
          <t>Phú Thạnh, Sài Gòn</t>
        </is>
      </c>
      <c r="G3668" s="397" t="inlineStr">
        <is>
          <t>SG/HCM</t>
        </is>
      </c>
      <c r="H3668" s="399" t="n"/>
      <c r="J3668" s="392">
        <f>IFERROR(UPPER(TRIM(B3668))&amp;"|"&amp;UPPER(TRIM(C3668))&amp;"|"&amp;UPPER(TRIM(D3668)),"")</f>
        <v/>
      </c>
    </row>
    <row r="3669" ht="15.75" customHeight="1" s="217">
      <c r="A3669" s="400" t="n">
        <v>3667</v>
      </c>
      <c r="B3669" s="400" t="inlineStr">
        <is>
          <t>KH0102</t>
        </is>
      </c>
      <c r="C3669" s="401" t="inlineStr">
        <is>
          <t>Bãi máy Dương Hân - Cây Xăng Bình Thắng/ anh Văn - 0906.684.879 - 0906.684.879</t>
        </is>
      </c>
      <c r="D3669" s="400" t="inlineStr">
        <is>
          <t>0906.684.879</t>
        </is>
      </c>
      <c r="E3669" s="402" t="n"/>
      <c r="F3669" s="401" t="inlineStr">
        <is>
          <t>Sài Gòn</t>
        </is>
      </c>
      <c r="G3669" s="400" t="inlineStr">
        <is>
          <t>SG/HCM</t>
        </is>
      </c>
      <c r="H3669" s="402" t="n"/>
      <c r="J3669" s="392">
        <f>IFERROR(UPPER(TRIM(B3669))&amp;"|"&amp;UPPER(TRIM(C3669))&amp;"|"&amp;UPPER(TRIM(D3669)),"")</f>
        <v/>
      </c>
    </row>
    <row r="3670" ht="15.75" customHeight="1" s="217">
      <c r="A3670" s="397" t="n">
        <v>3668</v>
      </c>
      <c r="B3670" s="397" t="inlineStr">
        <is>
          <t>KH0100</t>
        </is>
      </c>
      <c r="C3670" s="398" t="inlineStr">
        <is>
          <t>Bãi máy Duy Khôi - Suối Tiên/ 0913.651.457</t>
        </is>
      </c>
      <c r="D3670" s="397" t="inlineStr">
        <is>
          <t>0913.651.457</t>
        </is>
      </c>
      <c r="E3670" s="399" t="n"/>
      <c r="F3670" s="398" t="inlineStr">
        <is>
          <t>Sài Gòn</t>
        </is>
      </c>
      <c r="G3670" s="397" t="inlineStr">
        <is>
          <t>SG/HCM</t>
        </is>
      </c>
      <c r="H3670" s="399" t="n"/>
      <c r="J3670" s="392">
        <f>IFERROR(UPPER(TRIM(B3670))&amp;"|"&amp;UPPER(TRIM(C3670))&amp;"|"&amp;UPPER(TRIM(D3670)),"")</f>
        <v/>
      </c>
    </row>
    <row r="3671" ht="15.75" customHeight="1" s="217">
      <c r="A3671" s="400" t="n">
        <v>3669</v>
      </c>
      <c r="B3671" s="400" t="inlineStr">
        <is>
          <t>KH0101</t>
        </is>
      </c>
      <c r="C3671" s="401" t="inlineStr">
        <is>
          <t>Doanh Nghiệp tư nhân Loan Phát</t>
        </is>
      </c>
      <c r="D3671" s="402" t="n"/>
      <c r="E3671" s="402" t="n"/>
      <c r="F3671" s="401" t="inlineStr">
        <is>
          <t>120 Trần Hưng Đạo, Tổ 8, KP 7. Dương Đông, Phú Quốc</t>
        </is>
      </c>
      <c r="G3671" s="400" t="inlineStr">
        <is>
          <t>SG/HCM</t>
        </is>
      </c>
      <c r="H3671" s="402" t="n"/>
      <c r="J3671" s="392">
        <f>IFERROR(UPPER(TRIM(B3671))&amp;"|"&amp;UPPER(TRIM(C3671))&amp;"|"&amp;UPPER(TRIM(D3671)),"")</f>
        <v/>
      </c>
    </row>
    <row r="3672" ht="15.75" customHeight="1" s="217">
      <c r="A3672" s="397" t="n">
        <v>3670</v>
      </c>
      <c r="B3672" s="397" t="inlineStr">
        <is>
          <t>KH0099</t>
        </is>
      </c>
      <c r="C3672" s="398" t="inlineStr">
        <is>
          <t>Xưởng anh Bảy - Bình Thuận/ 01233.917.701</t>
        </is>
      </c>
      <c r="D3672" s="397" t="inlineStr">
        <is>
          <t>01233.917.701</t>
        </is>
      </c>
      <c r="E3672" s="399" t="n"/>
      <c r="F3672" s="398" t="inlineStr">
        <is>
          <t>Bình Thuận</t>
        </is>
      </c>
      <c r="G3672" s="397" t="inlineStr">
        <is>
          <t>BTHUAN</t>
        </is>
      </c>
      <c r="H3672" s="399" t="n"/>
      <c r="J3672" s="392">
        <f>IFERROR(UPPER(TRIM(B3672))&amp;"|"&amp;UPPER(TRIM(C3672))&amp;"|"&amp;UPPER(TRIM(D3672)),"")</f>
        <v/>
      </c>
    </row>
    <row r="3673" ht="15.75" customHeight="1" s="217">
      <c r="A3673" s="400" t="n">
        <v>3671</v>
      </c>
      <c r="B3673" s="400" t="inlineStr">
        <is>
          <t>KH0098</t>
        </is>
      </c>
      <c r="C3673" s="401" t="inlineStr">
        <is>
          <t>CH Tiến Lợi - Hàng Xanh/ 0916.336.836</t>
        </is>
      </c>
      <c r="D3673" s="400" t="inlineStr">
        <is>
          <t>0916.336.836</t>
        </is>
      </c>
      <c r="E3673" s="402" t="n"/>
      <c r="F3673" s="401" t="inlineStr">
        <is>
          <t>Hàng Xanh, TP HCM</t>
        </is>
      </c>
      <c r="G3673" s="400" t="inlineStr">
        <is>
          <t>SG/HCM</t>
        </is>
      </c>
      <c r="H3673" s="402" t="n"/>
      <c r="J3673" s="392">
        <f>IFERROR(UPPER(TRIM(B3673))&amp;"|"&amp;UPPER(TRIM(C3673))&amp;"|"&amp;UPPER(TRIM(D3673)),"")</f>
        <v/>
      </c>
    </row>
    <row r="3674" ht="15.75" customHeight="1" s="217">
      <c r="A3674" s="397" t="n">
        <v>3672</v>
      </c>
      <c r="B3674" s="397" t="inlineStr">
        <is>
          <t>KH0097</t>
        </is>
      </c>
      <c r="C3674" s="398" t="inlineStr">
        <is>
          <t>Công ty TNHH TM&amp;XD Phúc Thịnh - Đức Trọng/ Anh Huy: 0913.197.959</t>
        </is>
      </c>
      <c r="D3674" s="397" t="inlineStr">
        <is>
          <t>0913.197.959</t>
        </is>
      </c>
      <c r="E3674" s="399" t="n"/>
      <c r="F3674" s="398" t="inlineStr">
        <is>
          <t>Ninh Hòa, Ninh Gia, Đức Trọng, Lâm Đồng</t>
        </is>
      </c>
      <c r="G3674" s="397" t="inlineStr">
        <is>
          <t>LDONG</t>
        </is>
      </c>
      <c r="H3674" s="399" t="n"/>
      <c r="J3674" s="392">
        <f>IFERROR(UPPER(TRIM(B3674))&amp;"|"&amp;UPPER(TRIM(C3674))&amp;"|"&amp;UPPER(TRIM(D3674)),"")</f>
        <v/>
      </c>
    </row>
    <row r="3675" ht="15.75" customHeight="1" s="217">
      <c r="A3675" s="400" t="n">
        <v>3673</v>
      </c>
      <c r="B3675" s="400" t="inlineStr">
        <is>
          <t>KH0096</t>
        </is>
      </c>
      <c r="C3675" s="401" t="inlineStr">
        <is>
          <t>Anh Tú - Q7/ 0908.505.598</t>
        </is>
      </c>
      <c r="D3675" s="400" t="inlineStr">
        <is>
          <t>0908.505.598</t>
        </is>
      </c>
      <c r="E3675" s="402" t="n"/>
      <c r="F3675" s="401" t="inlineStr">
        <is>
          <t>Quận 7, HCM</t>
        </is>
      </c>
      <c r="G3675" s="400" t="inlineStr">
        <is>
          <t>SG/HCM</t>
        </is>
      </c>
      <c r="H3675" s="402" t="n"/>
      <c r="J3675" s="392">
        <f>IFERROR(UPPER(TRIM(B3675))&amp;"|"&amp;UPPER(TRIM(C3675))&amp;"|"&amp;UPPER(TRIM(D3675)),"")</f>
        <v/>
      </c>
    </row>
    <row r="3676" ht="15.75" customHeight="1" s="217">
      <c r="A3676" s="397" t="n">
        <v>3674</v>
      </c>
      <c r="B3676" s="397" t="inlineStr">
        <is>
          <t>KH0095</t>
        </is>
      </c>
      <c r="C3676" s="398" t="inlineStr">
        <is>
          <t>Bãi máy anh Được - Bình Chánh/ 0903.724.508</t>
        </is>
      </c>
      <c r="D3676" s="397" t="inlineStr">
        <is>
          <t>0903.724.508</t>
        </is>
      </c>
      <c r="E3676" s="399" t="n"/>
      <c r="F3676" s="398" t="inlineStr">
        <is>
          <t>Bình Chánh, TP HCM</t>
        </is>
      </c>
      <c r="G3676" s="397" t="inlineStr">
        <is>
          <t>SG/HCM</t>
        </is>
      </c>
      <c r="H3676" s="399" t="n"/>
      <c r="J3676" s="392">
        <f>IFERROR(UPPER(TRIM(B3676))&amp;"|"&amp;UPPER(TRIM(C3676))&amp;"|"&amp;UPPER(TRIM(D3676)),"")</f>
        <v/>
      </c>
    </row>
    <row r="3677" ht="15.75" customHeight="1" s="217">
      <c r="A3677" s="400" t="n">
        <v>3675</v>
      </c>
      <c r="B3677" s="400" t="inlineStr">
        <is>
          <t>KH0093</t>
        </is>
      </c>
      <c r="C3677" s="401" t="inlineStr">
        <is>
          <t>Anh Tuấn - Kiên Giang/ 0983.682.401 - 0907.110.014</t>
        </is>
      </c>
      <c r="D3677" s="400" t="inlineStr">
        <is>
          <t>0983.682.401 / 0907.110.014</t>
        </is>
      </c>
      <c r="E3677" s="402" t="n"/>
      <c r="F3677" s="401" t="inlineStr">
        <is>
          <t>Hòn Đất, Kiên Giang</t>
        </is>
      </c>
      <c r="G3677" s="400" t="inlineStr">
        <is>
          <t>KG</t>
        </is>
      </c>
      <c r="H3677" s="402" t="n"/>
      <c r="J3677" s="392">
        <f>IFERROR(UPPER(TRIM(B3677))&amp;"|"&amp;UPPER(TRIM(C3677))&amp;"|"&amp;UPPER(TRIM(D3677)),"")</f>
        <v/>
      </c>
    </row>
    <row r="3678" ht="15.75" customHeight="1" s="217">
      <c r="A3678" s="397" t="n">
        <v>3676</v>
      </c>
      <c r="B3678" s="397" t="inlineStr">
        <is>
          <t>KH0094</t>
        </is>
      </c>
      <c r="C3678" s="398" t="inlineStr">
        <is>
          <t>Xưởng anh Phương - Bảo Lộc (D)/0942.478.595</t>
        </is>
      </c>
      <c r="D3678" s="397" t="inlineStr">
        <is>
          <t>0942.478.595</t>
        </is>
      </c>
      <c r="E3678" s="399" t="n"/>
      <c r="F3678" s="398" t="inlineStr">
        <is>
          <t>Bảo Lộc, Lâm Đồng</t>
        </is>
      </c>
      <c r="G3678" s="397" t="inlineStr">
        <is>
          <t>LDONG</t>
        </is>
      </c>
      <c r="H3678" s="399" t="n"/>
      <c r="J3678" s="392">
        <f>IFERROR(UPPER(TRIM(B3678))&amp;"|"&amp;UPPER(TRIM(C3678))&amp;"|"&amp;UPPER(TRIM(D3678)),"")</f>
        <v/>
      </c>
    </row>
    <row r="3679" ht="15.75" customHeight="1" s="217">
      <c r="A3679" s="400" t="n">
        <v>3677</v>
      </c>
      <c r="B3679" s="400" t="inlineStr">
        <is>
          <t>KH0091</t>
        </is>
      </c>
      <c r="C3679" s="401" t="inlineStr">
        <is>
          <t>Bãi máy Hoài Nam Anh - Suối Tiên/ anh út: 0983.176.435</t>
        </is>
      </c>
      <c r="D3679" s="400" t="inlineStr">
        <is>
          <t>0983.176.435</t>
        </is>
      </c>
      <c r="E3679" s="402" t="n"/>
      <c r="F3679" s="401" t="inlineStr">
        <is>
          <t>Đối diện Suối Tiên</t>
        </is>
      </c>
      <c r="G3679" s="400" t="inlineStr">
        <is>
          <t>SG/HCM</t>
        </is>
      </c>
      <c r="H3679" s="402" t="n"/>
      <c r="J3679" s="392">
        <f>IFERROR(UPPER(TRIM(B3679))&amp;"|"&amp;UPPER(TRIM(C3679))&amp;"|"&amp;UPPER(TRIM(D3679)),"")</f>
        <v/>
      </c>
    </row>
    <row r="3680" ht="15.75" customHeight="1" s="217">
      <c r="A3680" s="397" t="n">
        <v>3678</v>
      </c>
      <c r="B3680" s="397" t="inlineStr">
        <is>
          <t>KH0092</t>
        </is>
      </c>
      <c r="C3680" s="398" t="inlineStr">
        <is>
          <t>Xưởng Quốc Phương - Vĩnh Long/ 0906.771.368</t>
        </is>
      </c>
      <c r="D3680" s="397" t="inlineStr">
        <is>
          <t>0906.771.368</t>
        </is>
      </c>
      <c r="E3680" s="399" t="n"/>
      <c r="F3680" s="398" t="inlineStr">
        <is>
          <t>Vĩnh Long</t>
        </is>
      </c>
      <c r="G3680" s="397" t="inlineStr">
        <is>
          <t>VĨNH LONG</t>
        </is>
      </c>
      <c r="H3680" s="399" t="n"/>
      <c r="J3680" s="392">
        <f>IFERROR(UPPER(TRIM(B3680))&amp;"|"&amp;UPPER(TRIM(C3680))&amp;"|"&amp;UPPER(TRIM(D3680)),"")</f>
        <v/>
      </c>
    </row>
    <row r="3681" ht="15.75" customHeight="1" s="217">
      <c r="A3681" s="400" t="n">
        <v>3679</v>
      </c>
      <c r="B3681" s="400" t="inlineStr">
        <is>
          <t>KH0090</t>
        </is>
      </c>
      <c r="C3681" s="401" t="inlineStr">
        <is>
          <t>Bãi máy Sơn Hà - Suối Tiên/ 0909.721.454</t>
        </is>
      </c>
      <c r="D3681" s="400" t="inlineStr">
        <is>
          <t>0909.721.454</t>
        </is>
      </c>
      <c r="E3681" s="402" t="n"/>
      <c r="F3681" s="401" t="inlineStr">
        <is>
          <t>Suối Tiên - SG</t>
        </is>
      </c>
      <c r="G3681" s="400" t="inlineStr">
        <is>
          <t>SG/HCM</t>
        </is>
      </c>
      <c r="H3681" s="402" t="n"/>
      <c r="J3681" s="392">
        <f>IFERROR(UPPER(TRIM(B3681))&amp;"|"&amp;UPPER(TRIM(C3681))&amp;"|"&amp;UPPER(TRIM(D3681)),"")</f>
        <v/>
      </c>
    </row>
    <row r="3682" ht="15.75" customHeight="1" s="217">
      <c r="A3682" s="397" t="n">
        <v>3680</v>
      </c>
      <c r="B3682" s="397" t="inlineStr">
        <is>
          <t>KH0088</t>
        </is>
      </c>
      <c r="C3682" s="398" t="inlineStr">
        <is>
          <t>Bãi máy Hưng Giang - Suối Tiên/ 0903.352.425</t>
        </is>
      </c>
      <c r="D3682" s="397" t="inlineStr">
        <is>
          <t>0903.352.425</t>
        </is>
      </c>
      <c r="E3682" s="399" t="n"/>
      <c r="F3682" s="398" t="inlineStr">
        <is>
          <t>Suối Tiên, TP HCM</t>
        </is>
      </c>
      <c r="G3682" s="397" t="inlineStr">
        <is>
          <t>SG/HCM</t>
        </is>
      </c>
      <c r="H3682" s="399" t="n"/>
      <c r="J3682" s="392">
        <f>IFERROR(UPPER(TRIM(B3682))&amp;"|"&amp;UPPER(TRIM(C3682))&amp;"|"&amp;UPPER(TRIM(D3682)),"")</f>
        <v/>
      </c>
    </row>
    <row r="3683" ht="15.75" customHeight="1" s="217">
      <c r="A3683" s="400" t="n">
        <v>3681</v>
      </c>
      <c r="B3683" s="400" t="inlineStr">
        <is>
          <t>KH0089</t>
        </is>
      </c>
      <c r="C3683" s="401" t="inlineStr">
        <is>
          <t>Bãi máy Hoàng Huy - Tân Vạn/ 0906.158.158</t>
        </is>
      </c>
      <c r="D3683" s="400" t="inlineStr">
        <is>
          <t>0906.158.158</t>
        </is>
      </c>
      <c r="E3683" s="402" t="n"/>
      <c r="F3683" s="401" t="inlineStr">
        <is>
          <t>Tân Vạn</t>
        </is>
      </c>
      <c r="G3683" s="400" t="inlineStr">
        <is>
          <t>ÐNAI</t>
        </is>
      </c>
      <c r="H3683" s="402" t="n"/>
      <c r="J3683" s="392">
        <f>IFERROR(UPPER(TRIM(B3683))&amp;"|"&amp;UPPER(TRIM(C3683))&amp;"|"&amp;UPPER(TRIM(D3683)),"")</f>
        <v/>
      </c>
    </row>
    <row r="3684" ht="15.75" customHeight="1" s="217">
      <c r="A3684" s="397" t="n">
        <v>3682</v>
      </c>
      <c r="B3684" s="397" t="inlineStr">
        <is>
          <t>KH0084</t>
        </is>
      </c>
      <c r="C3684" s="398" t="inlineStr">
        <is>
          <t>Xưởng anh Trí - Cà Mau/ 0917.128.120</t>
        </is>
      </c>
      <c r="D3684" s="397" t="inlineStr">
        <is>
          <t>0917.128.120</t>
        </is>
      </c>
      <c r="E3684" s="399" t="n"/>
      <c r="F3684" s="398" t="inlineStr">
        <is>
          <t>Cà Mau</t>
        </is>
      </c>
      <c r="G3684" s="397" t="inlineStr">
        <is>
          <t>CMAU</t>
        </is>
      </c>
      <c r="H3684" s="399" t="n"/>
      <c r="J3684" s="392">
        <f>IFERROR(UPPER(TRIM(B3684))&amp;"|"&amp;UPPER(TRIM(C3684))&amp;"|"&amp;UPPER(TRIM(D3684)),"")</f>
        <v/>
      </c>
    </row>
    <row r="3685" ht="15.75" customHeight="1" s="217">
      <c r="A3685" s="400" t="n">
        <v>3683</v>
      </c>
      <c r="B3685" s="400" t="inlineStr">
        <is>
          <t>KH0085</t>
        </is>
      </c>
      <c r="C3685" s="401" t="inlineStr">
        <is>
          <t>Anh Nam - Công ty Phương Nam/ 0908.049.537</t>
        </is>
      </c>
      <c r="D3685" s="400" t="inlineStr">
        <is>
          <t>0908.049.537</t>
        </is>
      </c>
      <c r="E3685" s="402" t="n"/>
      <c r="F3685" s="401" t="inlineStr">
        <is>
          <t>Suối Tiên, TP HCM</t>
        </is>
      </c>
      <c r="G3685" s="400" t="inlineStr">
        <is>
          <t>SG/HCM</t>
        </is>
      </c>
      <c r="H3685" s="402" t="n"/>
      <c r="J3685" s="392">
        <f>IFERROR(UPPER(TRIM(B3685))&amp;"|"&amp;UPPER(TRIM(C3685))&amp;"|"&amp;UPPER(TRIM(D3685)),"")</f>
        <v/>
      </c>
    </row>
    <row r="3686" ht="15.75" customHeight="1" s="217">
      <c r="A3686" s="397" t="n">
        <v>3684</v>
      </c>
      <c r="B3686" s="397" t="inlineStr">
        <is>
          <t>KH0086</t>
        </is>
      </c>
      <c r="C3686" s="398" t="inlineStr">
        <is>
          <t>Bãi máy Chú Vũ - SG/ 0903.919.358</t>
        </is>
      </c>
      <c r="D3686" s="397" t="inlineStr">
        <is>
          <t>0903.919.358</t>
        </is>
      </c>
      <c r="E3686" s="399" t="n"/>
      <c r="F3686" s="398" t="inlineStr">
        <is>
          <t>Quận 9, TP HCM</t>
        </is>
      </c>
      <c r="G3686" s="397" t="inlineStr">
        <is>
          <t>SG/HCM</t>
        </is>
      </c>
      <c r="H3686" s="399" t="n"/>
      <c r="J3686" s="392">
        <f>IFERROR(UPPER(TRIM(B3686))&amp;"|"&amp;UPPER(TRIM(C3686))&amp;"|"&amp;UPPER(TRIM(D3686)),"")</f>
        <v/>
      </c>
    </row>
    <row r="3687" ht="15.75" customHeight="1" s="217">
      <c r="A3687" s="400" t="n">
        <v>3685</v>
      </c>
      <c r="B3687" s="400" t="inlineStr">
        <is>
          <t>KH0087</t>
        </is>
      </c>
      <c r="C3687" s="401" t="inlineStr">
        <is>
          <t>Xưởng anh Chín - SG/ 0903.884.074</t>
        </is>
      </c>
      <c r="D3687" s="400" t="inlineStr">
        <is>
          <t>0903.884.074</t>
        </is>
      </c>
      <c r="E3687" s="402" t="n"/>
      <c r="F3687" s="401" t="inlineStr">
        <is>
          <t>Bình Chánh, TP HCM</t>
        </is>
      </c>
      <c r="G3687" s="400" t="inlineStr">
        <is>
          <t>SG/HCM</t>
        </is>
      </c>
      <c r="H3687" s="402" t="n"/>
      <c r="J3687" s="392">
        <f>IFERROR(UPPER(TRIM(B3687))&amp;"|"&amp;UPPER(TRIM(C3687))&amp;"|"&amp;UPPER(TRIM(D3687)),"")</f>
        <v/>
      </c>
    </row>
    <row r="3688" ht="15.75" customHeight="1" s="217">
      <c r="A3688" s="397" t="n">
        <v>3686</v>
      </c>
      <c r="B3688" s="397" t="inlineStr">
        <is>
          <t>KH0083</t>
        </is>
      </c>
      <c r="C3688" s="398" t="inlineStr">
        <is>
          <t>CH Tám Hùng - Cà Mau/ 0913.106.250 - 02903.510.078. Cno: 0944.390.490</t>
        </is>
      </c>
      <c r="D3688" s="397" t="inlineStr">
        <is>
          <t>0913.106.250 / 02903.510.078 / 0944.390.490</t>
        </is>
      </c>
      <c r="E3688" s="399" t="n"/>
      <c r="F3688" s="398" t="inlineStr">
        <is>
          <t>Cà Mau</t>
        </is>
      </c>
      <c r="G3688" s="397" t="inlineStr">
        <is>
          <t>CMAU</t>
        </is>
      </c>
      <c r="H3688" s="399" t="n"/>
      <c r="J3688" s="392">
        <f>IFERROR(UPPER(TRIM(B3688))&amp;"|"&amp;UPPER(TRIM(C3688))&amp;"|"&amp;UPPER(TRIM(D3688)),"")</f>
        <v/>
      </c>
    </row>
    <row r="3689" ht="15.75" customHeight="1" s="217">
      <c r="A3689" s="400" t="n">
        <v>3687</v>
      </c>
      <c r="B3689" s="400" t="inlineStr">
        <is>
          <t>KH0082</t>
        </is>
      </c>
      <c r="C3689" s="401" t="inlineStr">
        <is>
          <t>Bãi máy Nhật Tuấn - SG/ 0937.176.474</t>
        </is>
      </c>
      <c r="D3689" s="400" t="inlineStr">
        <is>
          <t>0937.176.474</t>
        </is>
      </c>
      <c r="E3689" s="402" t="n"/>
      <c r="F3689" s="401" t="inlineStr">
        <is>
          <t>Sài Gòn</t>
        </is>
      </c>
      <c r="G3689" s="400" t="inlineStr">
        <is>
          <t>SG/HCM</t>
        </is>
      </c>
      <c r="H3689" s="402" t="n"/>
      <c r="J3689" s="392">
        <f>IFERROR(UPPER(TRIM(B3689))&amp;"|"&amp;UPPER(TRIM(C3689))&amp;"|"&amp;UPPER(TRIM(D3689)),"")</f>
        <v/>
      </c>
    </row>
    <row r="3690" ht="15.75" customHeight="1" s="217">
      <c r="A3690" s="397" t="n">
        <v>3688</v>
      </c>
      <c r="B3690" s="397" t="inlineStr">
        <is>
          <t>KH0081</t>
        </is>
      </c>
      <c r="C3690" s="398" t="inlineStr">
        <is>
          <t>Anh Đạt - SG/ 0933.383.259</t>
        </is>
      </c>
      <c r="D3690" s="397" t="inlineStr">
        <is>
          <t>0933.383.259</t>
        </is>
      </c>
      <c r="E3690" s="399" t="n"/>
      <c r="F3690" s="398" t="inlineStr">
        <is>
          <t>Sài Gòn</t>
        </is>
      </c>
      <c r="G3690" s="397" t="inlineStr">
        <is>
          <t>SG/HCM</t>
        </is>
      </c>
      <c r="H3690" s="399" t="n"/>
      <c r="J3690" s="392">
        <f>IFERROR(UPPER(TRIM(B3690))&amp;"|"&amp;UPPER(TRIM(C3690))&amp;"|"&amp;UPPER(TRIM(D3690)),"")</f>
        <v/>
      </c>
    </row>
    <row r="3691" ht="15.75" customHeight="1" s="217">
      <c r="A3691" s="400" t="n">
        <v>3689</v>
      </c>
      <c r="B3691" s="400" t="inlineStr">
        <is>
          <t>KH0078</t>
        </is>
      </c>
      <c r="C3691" s="401" t="inlineStr">
        <is>
          <t>Bãi Máy Phát Thành Tài - SG/ 0982.860.199</t>
        </is>
      </c>
      <c r="D3691" s="400" t="inlineStr">
        <is>
          <t>0982.860.199</t>
        </is>
      </c>
      <c r="E3691" s="402" t="n"/>
      <c r="F3691" s="401" t="inlineStr">
        <is>
          <t>Quốc Lộ 51B, SG</t>
        </is>
      </c>
      <c r="G3691" s="400" t="inlineStr">
        <is>
          <t>SG/HCM</t>
        </is>
      </c>
      <c r="H3691" s="402" t="n"/>
      <c r="J3691" s="392">
        <f>IFERROR(UPPER(TRIM(B3691))&amp;"|"&amp;UPPER(TRIM(C3691))&amp;"|"&amp;UPPER(TRIM(D3691)),"")</f>
        <v/>
      </c>
    </row>
    <row r="3692" ht="15.75" customHeight="1" s="217">
      <c r="A3692" s="397" t="n">
        <v>3690</v>
      </c>
      <c r="B3692" s="397" t="inlineStr">
        <is>
          <t>KH0079</t>
        </is>
      </c>
      <c r="C3692" s="398" t="inlineStr">
        <is>
          <t>Anh Lợi - Bình Thuận/ 0974.454.895</t>
        </is>
      </c>
      <c r="D3692" s="397" t="inlineStr">
        <is>
          <t>0974.454.895</t>
        </is>
      </c>
      <c r="E3692" s="399" t="n"/>
      <c r="F3692" s="398" t="inlineStr">
        <is>
          <t>Bình Thuận</t>
        </is>
      </c>
      <c r="G3692" s="397" t="inlineStr">
        <is>
          <t>BTHUAN</t>
        </is>
      </c>
      <c r="H3692" s="399" t="n"/>
      <c r="J3692" s="392">
        <f>IFERROR(UPPER(TRIM(B3692))&amp;"|"&amp;UPPER(TRIM(C3692))&amp;"|"&amp;UPPER(TRIM(D3692)),"")</f>
        <v/>
      </c>
    </row>
    <row r="3693" ht="15.75" customHeight="1" s="217">
      <c r="A3693" s="400" t="n">
        <v>3691</v>
      </c>
      <c r="B3693" s="400" t="inlineStr">
        <is>
          <t>KH0080</t>
        </is>
      </c>
      <c r="C3693" s="401" t="inlineStr">
        <is>
          <t>Anh Kiên - SG/ 0903.671.689</t>
        </is>
      </c>
      <c r="D3693" s="400" t="inlineStr">
        <is>
          <t>0903.671.689</t>
        </is>
      </c>
      <c r="E3693" s="402" t="n"/>
      <c r="F3693" s="401" t="inlineStr">
        <is>
          <t>Sài Gòn</t>
        </is>
      </c>
      <c r="G3693" s="400" t="inlineStr">
        <is>
          <t>SG/HCM</t>
        </is>
      </c>
      <c r="H3693" s="402" t="n"/>
      <c r="J3693" s="392">
        <f>IFERROR(UPPER(TRIM(B3693))&amp;"|"&amp;UPPER(TRIM(C3693))&amp;"|"&amp;UPPER(TRIM(D3693)),"")</f>
        <v/>
      </c>
    </row>
    <row r="3694" ht="15.75" customHeight="1" s="217">
      <c r="A3694" s="397" t="n">
        <v>3692</v>
      </c>
      <c r="B3694" s="397" t="inlineStr">
        <is>
          <t>KH0077</t>
        </is>
      </c>
      <c r="C3694" s="398" t="inlineStr">
        <is>
          <t>Anh Đức - Công ty TNHH Phát Triển Đức Tiến/ 0983.159.830</t>
        </is>
      </c>
      <c r="D3694" s="397" t="inlineStr">
        <is>
          <t>0983.159.830</t>
        </is>
      </c>
      <c r="E3694" s="399" t="n"/>
      <c r="F3694" s="398" t="inlineStr">
        <is>
          <t>Tam Phú, Thủ Đức</t>
        </is>
      </c>
      <c r="G3694" s="397" t="inlineStr">
        <is>
          <t>SG/HCM</t>
        </is>
      </c>
      <c r="H3694" s="399" t="n"/>
      <c r="J3694" s="392">
        <f>IFERROR(UPPER(TRIM(B3694))&amp;"|"&amp;UPPER(TRIM(C3694))&amp;"|"&amp;UPPER(TRIM(D3694)),"")</f>
        <v/>
      </c>
    </row>
    <row r="3695" ht="15.75" customHeight="1" s="217">
      <c r="A3695" s="400" t="n">
        <v>3693</v>
      </c>
      <c r="B3695" s="400" t="inlineStr">
        <is>
          <t>KH0076</t>
        </is>
      </c>
      <c r="C3695" s="401" t="inlineStr">
        <is>
          <t>Anh Tâm - SG/ 0908.156.726</t>
        </is>
      </c>
      <c r="D3695" s="400" t="inlineStr">
        <is>
          <t>0908.156.726</t>
        </is>
      </c>
      <c r="E3695" s="402" t="n"/>
      <c r="F3695" s="401" t="inlineStr">
        <is>
          <t>Sài Gòn</t>
        </is>
      </c>
      <c r="G3695" s="400" t="inlineStr">
        <is>
          <t>SG/HCM</t>
        </is>
      </c>
      <c r="H3695" s="402" t="n"/>
      <c r="J3695" s="392">
        <f>IFERROR(UPPER(TRIM(B3695))&amp;"|"&amp;UPPER(TRIM(C3695))&amp;"|"&amp;UPPER(TRIM(D3695)),"")</f>
        <v/>
      </c>
    </row>
    <row r="3696" ht="15.75" customHeight="1" s="217">
      <c r="A3696" s="397" t="n">
        <v>3694</v>
      </c>
      <c r="B3696" s="397" t="inlineStr">
        <is>
          <t>KH0075</t>
        </is>
      </c>
      <c r="C3696" s="398" t="inlineStr">
        <is>
          <t>Xưởng anh Trí - Chợ Lầu / 0938.753.178</t>
        </is>
      </c>
      <c r="D3696" s="397" t="inlineStr">
        <is>
          <t>0938.753.178</t>
        </is>
      </c>
      <c r="E3696" s="399" t="n"/>
      <c r="F3696" s="398" t="inlineStr">
        <is>
          <t>Bình Thuận</t>
        </is>
      </c>
      <c r="G3696" s="397" t="inlineStr">
        <is>
          <t>BTHUAN</t>
        </is>
      </c>
      <c r="H3696" s="399" t="n"/>
      <c r="J3696" s="392">
        <f>IFERROR(UPPER(TRIM(B3696))&amp;"|"&amp;UPPER(TRIM(C3696))&amp;"|"&amp;UPPER(TRIM(D3696)),"")</f>
        <v/>
      </c>
    </row>
    <row r="3697" ht="15.75" customHeight="1" s="217">
      <c r="A3697" s="400" t="n">
        <v>3695</v>
      </c>
      <c r="B3697" s="400" t="inlineStr">
        <is>
          <t>KH0072</t>
        </is>
      </c>
      <c r="C3697" s="401" t="inlineStr">
        <is>
          <t>Xưởng anh Bảo - Đà Nẵng/ 01644.709.747</t>
        </is>
      </c>
      <c r="D3697" s="400" t="inlineStr">
        <is>
          <t>01644.709.747</t>
        </is>
      </c>
      <c r="E3697" s="402" t="n"/>
      <c r="F3697" s="401" t="inlineStr">
        <is>
          <t>Đà Nẵng</t>
        </is>
      </c>
      <c r="G3697" s="400" t="inlineStr">
        <is>
          <t>DNANG</t>
        </is>
      </c>
      <c r="H3697" s="402" t="n"/>
      <c r="J3697" s="392">
        <f>IFERROR(UPPER(TRIM(B3697))&amp;"|"&amp;UPPER(TRIM(C3697))&amp;"|"&amp;UPPER(TRIM(D3697)),"")</f>
        <v/>
      </c>
    </row>
    <row r="3698" ht="15.75" customHeight="1" s="217">
      <c r="A3698" s="397" t="n">
        <v>3696</v>
      </c>
      <c r="B3698" s="397" t="inlineStr">
        <is>
          <t>KH0073</t>
        </is>
      </c>
      <c r="C3698" s="398" t="inlineStr">
        <is>
          <t>Anh Đẩu - SG/ 0977.355.388</t>
        </is>
      </c>
      <c r="D3698" s="397" t="inlineStr">
        <is>
          <t>0977.355.388</t>
        </is>
      </c>
      <c r="E3698" s="399" t="n"/>
      <c r="F3698" s="398" t="inlineStr">
        <is>
          <t>Sài Gòn</t>
        </is>
      </c>
      <c r="G3698" s="397" t="inlineStr">
        <is>
          <t>SG/HCM</t>
        </is>
      </c>
      <c r="H3698" s="399" t="n"/>
      <c r="J3698" s="392">
        <f>IFERROR(UPPER(TRIM(B3698))&amp;"|"&amp;UPPER(TRIM(C3698))&amp;"|"&amp;UPPER(TRIM(D3698)),"")</f>
        <v/>
      </c>
    </row>
    <row r="3699" ht="15.75" customHeight="1" s="217">
      <c r="A3699" s="400" t="n">
        <v>3697</v>
      </c>
      <c r="B3699" s="400" t="inlineStr">
        <is>
          <t>KH0074</t>
        </is>
      </c>
      <c r="C3699" s="401" t="inlineStr">
        <is>
          <t>Chú Thiện - Phan Thiết/ 0978.117.242</t>
        </is>
      </c>
      <c r="D3699" s="400" t="inlineStr">
        <is>
          <t>0978.117.242</t>
        </is>
      </c>
      <c r="E3699" s="402" t="n"/>
      <c r="F3699" s="401" t="inlineStr">
        <is>
          <t>Phan Thiết, Bình Thuận</t>
        </is>
      </c>
      <c r="G3699" s="400" t="inlineStr">
        <is>
          <t>BTHUAN</t>
        </is>
      </c>
      <c r="H3699" s="402" t="n"/>
      <c r="J3699" s="392">
        <f>IFERROR(UPPER(TRIM(B3699))&amp;"|"&amp;UPPER(TRIM(C3699))&amp;"|"&amp;UPPER(TRIM(D3699)),"")</f>
        <v/>
      </c>
    </row>
    <row r="3700" ht="15.75" customHeight="1" s="217">
      <c r="A3700" s="397" t="n">
        <v>3698</v>
      </c>
      <c r="B3700" s="397" t="inlineStr">
        <is>
          <t>KH0071</t>
        </is>
      </c>
      <c r="C3700" s="398" t="inlineStr">
        <is>
          <t>Anh Hậu - Campuchia/ 0918.242.012</t>
        </is>
      </c>
      <c r="D3700" s="397" t="inlineStr">
        <is>
          <t>0918.242.012</t>
        </is>
      </c>
      <c r="E3700" s="399" t="n"/>
      <c r="F3700" s="398" t="inlineStr">
        <is>
          <t>Bình Phước</t>
        </is>
      </c>
      <c r="G3700" s="397" t="inlineStr">
        <is>
          <t>BP</t>
        </is>
      </c>
      <c r="H3700" s="399" t="n"/>
      <c r="J3700" s="392">
        <f>IFERROR(UPPER(TRIM(B3700))&amp;"|"&amp;UPPER(TRIM(C3700))&amp;"|"&amp;UPPER(TRIM(D3700)),"")</f>
        <v/>
      </c>
    </row>
    <row r="3701" ht="15.75" customHeight="1" s="217">
      <c r="A3701" s="400" t="n">
        <v>3699</v>
      </c>
      <c r="B3701" s="400" t="inlineStr">
        <is>
          <t>KH0070</t>
        </is>
      </c>
      <c r="C3701" s="401" t="inlineStr">
        <is>
          <t>Anh Hiếu - Bình Đại/0943.737.395</t>
        </is>
      </c>
      <c r="D3701" s="400" t="inlineStr">
        <is>
          <t>0943.737.395</t>
        </is>
      </c>
      <c r="E3701" s="402" t="n"/>
      <c r="F3701" s="401" t="inlineStr">
        <is>
          <t>Bình Đại, Bến Tre</t>
        </is>
      </c>
      <c r="G3701" s="400" t="inlineStr">
        <is>
          <t>SG/HCM</t>
        </is>
      </c>
      <c r="H3701" s="402" t="n"/>
      <c r="J3701" s="392">
        <f>IFERROR(UPPER(TRIM(B3701))&amp;"|"&amp;UPPER(TRIM(C3701))&amp;"|"&amp;UPPER(TRIM(D3701)),"")</f>
        <v/>
      </c>
    </row>
    <row r="3702" ht="15.75" customHeight="1" s="217">
      <c r="A3702" s="397" t="n">
        <v>3700</v>
      </c>
      <c r="B3702" s="397" t="inlineStr">
        <is>
          <t>KH0069</t>
        </is>
      </c>
      <c r="C3702" s="398" t="inlineStr">
        <is>
          <t>Anh Nam - Gia Lai/ 0914.959.595</t>
        </is>
      </c>
      <c r="D3702" s="397" t="inlineStr">
        <is>
          <t>0914.959.595</t>
        </is>
      </c>
      <c r="E3702" s="399" t="n"/>
      <c r="F3702" s="398" t="inlineStr">
        <is>
          <t>Gia Lai</t>
        </is>
      </c>
      <c r="G3702" s="397" t="inlineStr">
        <is>
          <t>GLAI</t>
        </is>
      </c>
      <c r="H3702" s="399" t="n"/>
      <c r="J3702" s="392">
        <f>IFERROR(UPPER(TRIM(B3702))&amp;"|"&amp;UPPER(TRIM(C3702))&amp;"|"&amp;UPPER(TRIM(D3702)),"")</f>
        <v/>
      </c>
    </row>
    <row r="3703" ht="15.75" customHeight="1" s="217">
      <c r="A3703" s="400" t="n">
        <v>3701</v>
      </c>
      <c r="B3703" s="400" t="inlineStr">
        <is>
          <t>MN21</t>
        </is>
      </c>
      <c r="C3703" s="401" t="inlineStr">
        <is>
          <t>Tín</t>
        </is>
      </c>
      <c r="D3703" s="402" t="n"/>
      <c r="E3703" s="402" t="n"/>
      <c r="F3703" s="401" t="inlineStr">
        <is>
          <t>CTCP Thiết bị Cơ giới Miền Nam</t>
        </is>
      </c>
      <c r="G3703" s="402" t="n"/>
      <c r="H3703" s="402" t="n"/>
      <c r="J3703" s="392">
        <f>IFERROR(UPPER(TRIM(B3703))&amp;"|"&amp;UPPER(TRIM(C3703))&amp;"|"&amp;UPPER(TRIM(D3703)),"")</f>
        <v/>
      </c>
    </row>
    <row r="3704" ht="15.75" customHeight="1" s="217">
      <c r="A3704" s="397" t="n">
        <v>3702</v>
      </c>
      <c r="B3704" s="397" t="inlineStr">
        <is>
          <t>KH0068</t>
        </is>
      </c>
      <c r="C3704" s="398" t="inlineStr">
        <is>
          <t>Bãi máy anh Lợi - SG/ 0903.324.433</t>
        </is>
      </c>
      <c r="D3704" s="397" t="inlineStr">
        <is>
          <t>0903.324.433</t>
        </is>
      </c>
      <c r="E3704" s="399" t="n"/>
      <c r="F3704" s="398" t="inlineStr">
        <is>
          <t>Sài Gòn</t>
        </is>
      </c>
      <c r="G3704" s="397" t="inlineStr">
        <is>
          <t>SG/HCM</t>
        </is>
      </c>
      <c r="H3704" s="399" t="n"/>
      <c r="J3704" s="392">
        <f>IFERROR(UPPER(TRIM(B3704))&amp;"|"&amp;UPPER(TRIM(C3704))&amp;"|"&amp;UPPER(TRIM(D3704)),"")</f>
        <v/>
      </c>
    </row>
    <row r="3705" ht="15.75" customHeight="1" s="217">
      <c r="A3705" s="400" t="n">
        <v>3703</v>
      </c>
      <c r="B3705" s="400" t="inlineStr">
        <is>
          <t>KH0067</t>
        </is>
      </c>
      <c r="C3705" s="401" t="inlineStr">
        <is>
          <t>Xưởng anh Phương - Bảo Lộc/ 0938.237.797</t>
        </is>
      </c>
      <c r="D3705" s="400" t="inlineStr">
        <is>
          <t>0938.237.797</t>
        </is>
      </c>
      <c r="E3705" s="402" t="n"/>
      <c r="F3705" s="401" t="inlineStr">
        <is>
          <t>Bảo Lộc, Lâm Đồng</t>
        </is>
      </c>
      <c r="G3705" s="400" t="inlineStr">
        <is>
          <t>LDONG</t>
        </is>
      </c>
      <c r="H3705" s="402" t="n"/>
      <c r="J3705" s="392">
        <f>IFERROR(UPPER(TRIM(B3705))&amp;"|"&amp;UPPER(TRIM(C3705))&amp;"|"&amp;UPPER(TRIM(D3705)),"")</f>
        <v/>
      </c>
    </row>
    <row r="3706" ht="15.75" customHeight="1" s="217">
      <c r="A3706" s="397" t="n">
        <v>3704</v>
      </c>
      <c r="B3706" s="397" t="inlineStr">
        <is>
          <t>KH0066</t>
        </is>
      </c>
      <c r="C3706" s="398" t="inlineStr">
        <is>
          <t>Xưởng Anh Đức - Công ty Quảng Lợi (SG)/ 0989.113.027</t>
        </is>
      </c>
      <c r="D3706" s="397" t="inlineStr">
        <is>
          <t>0989.113.027</t>
        </is>
      </c>
      <c r="E3706" s="399" t="n"/>
      <c r="F3706" s="398" t="inlineStr">
        <is>
          <t>42E/3 KP2, P.Hiệp Thành, Q12, TPHCM</t>
        </is>
      </c>
      <c r="G3706" s="397" t="inlineStr">
        <is>
          <t>SG/HCM</t>
        </is>
      </c>
      <c r="H3706" s="399" t="n"/>
      <c r="J3706" s="392">
        <f>IFERROR(UPPER(TRIM(B3706))&amp;"|"&amp;UPPER(TRIM(C3706))&amp;"|"&amp;UPPER(TRIM(D3706)),"")</f>
        <v/>
      </c>
    </row>
    <row r="3707" ht="15.75" customHeight="1" s="217">
      <c r="A3707" s="400" t="n">
        <v>3705</v>
      </c>
      <c r="B3707" s="400" t="inlineStr">
        <is>
          <t>KH0064</t>
        </is>
      </c>
      <c r="C3707" s="401" t="inlineStr">
        <is>
          <t>Cửa hàng anh Sang - Cầu Ngang/ 0907.164.049</t>
        </is>
      </c>
      <c r="D3707" s="400" t="inlineStr">
        <is>
          <t>0907.164.049</t>
        </is>
      </c>
      <c r="E3707" s="402" t="n"/>
      <c r="F3707" s="401" t="inlineStr">
        <is>
          <t>Cầu Ngang, Trà Vinh</t>
        </is>
      </c>
      <c r="G3707" s="400" t="inlineStr">
        <is>
          <t>TV</t>
        </is>
      </c>
      <c r="H3707" s="402" t="n"/>
      <c r="J3707" s="392">
        <f>IFERROR(UPPER(TRIM(B3707))&amp;"|"&amp;UPPER(TRIM(C3707))&amp;"|"&amp;UPPER(TRIM(D3707)),"")</f>
        <v/>
      </c>
    </row>
    <row r="3708" ht="15.75" customHeight="1" s="217">
      <c r="A3708" s="397" t="n">
        <v>3706</v>
      </c>
      <c r="B3708" s="397" t="inlineStr">
        <is>
          <t>KH0065</t>
        </is>
      </c>
      <c r="C3708" s="398" t="inlineStr">
        <is>
          <t>Anh Đức - Sài Gòn/ 0909.809.677</t>
        </is>
      </c>
      <c r="D3708" s="397" t="inlineStr">
        <is>
          <t>0909.809.677</t>
        </is>
      </c>
      <c r="E3708" s="399" t="n"/>
      <c r="F3708" s="398" t="inlineStr">
        <is>
          <t>Sài Gòn</t>
        </is>
      </c>
      <c r="G3708" s="397" t="inlineStr">
        <is>
          <t>SG/HCM</t>
        </is>
      </c>
      <c r="H3708" s="399" t="n"/>
      <c r="J3708" s="392">
        <f>IFERROR(UPPER(TRIM(B3708))&amp;"|"&amp;UPPER(TRIM(C3708))&amp;"|"&amp;UPPER(TRIM(D3708)),"")</f>
        <v/>
      </c>
    </row>
    <row r="3709" ht="15.75" customHeight="1" s="217">
      <c r="A3709" s="400" t="n">
        <v>3707</v>
      </c>
      <c r="B3709" s="400" t="inlineStr">
        <is>
          <t>KH0063</t>
        </is>
      </c>
      <c r="C3709" s="401" t="inlineStr">
        <is>
          <t>Anh Tro - Bảo Lộc/ 0908.035.359</t>
        </is>
      </c>
      <c r="D3709" s="400" t="inlineStr">
        <is>
          <t>0908.035.359</t>
        </is>
      </c>
      <c r="E3709" s="402" t="n"/>
      <c r="F3709" s="401" t="inlineStr">
        <is>
          <t>Bảo Lộc, Lâm Đồng</t>
        </is>
      </c>
      <c r="G3709" s="400" t="inlineStr">
        <is>
          <t>LDONG</t>
        </is>
      </c>
      <c r="H3709" s="402" t="n"/>
      <c r="J3709" s="392">
        <f>IFERROR(UPPER(TRIM(B3709))&amp;"|"&amp;UPPER(TRIM(C3709))&amp;"|"&amp;UPPER(TRIM(D3709)),"")</f>
        <v/>
      </c>
    </row>
    <row r="3710" ht="15.75" customHeight="1" s="217">
      <c r="A3710" s="397" t="n">
        <v>3708</v>
      </c>
      <c r="B3710" s="397" t="inlineStr">
        <is>
          <t>KH0062</t>
        </is>
      </c>
      <c r="C3710" s="398" t="inlineStr">
        <is>
          <t>Anh Quốc - Đồng Nai/ 0908.772.625</t>
        </is>
      </c>
      <c r="D3710" s="397" t="inlineStr">
        <is>
          <t>0908.772.625</t>
        </is>
      </c>
      <c r="E3710" s="399" t="n"/>
      <c r="F3710" s="398" t="inlineStr">
        <is>
          <t>Trảng Bom, Đồng Nai</t>
        </is>
      </c>
      <c r="G3710" s="397" t="inlineStr">
        <is>
          <t>ÐNAI</t>
        </is>
      </c>
      <c r="H3710" s="399" t="n"/>
      <c r="J3710" s="392">
        <f>IFERROR(UPPER(TRIM(B3710))&amp;"|"&amp;UPPER(TRIM(C3710))&amp;"|"&amp;UPPER(TRIM(D3710)),"")</f>
        <v/>
      </c>
    </row>
    <row r="3711" ht="15.75" customHeight="1" s="217">
      <c r="A3711" s="400" t="n">
        <v>3709</v>
      </c>
      <c r="B3711" s="400" t="inlineStr">
        <is>
          <t>KH0061</t>
        </is>
      </c>
      <c r="C3711" s="401" t="inlineStr">
        <is>
          <t>Anh Dũng - ĐắkLắk/ 0946.417.474</t>
        </is>
      </c>
      <c r="D3711" s="400" t="inlineStr">
        <is>
          <t>0946.417.474</t>
        </is>
      </c>
      <c r="E3711" s="402" t="n"/>
      <c r="F3711" s="401" t="inlineStr">
        <is>
          <t>Buôn Ma Thuột, ĐắkLắk</t>
        </is>
      </c>
      <c r="G3711" s="400" t="inlineStr">
        <is>
          <t>ÐL</t>
        </is>
      </c>
      <c r="H3711" s="402" t="n"/>
      <c r="J3711" s="392">
        <f>IFERROR(UPPER(TRIM(B3711))&amp;"|"&amp;UPPER(TRIM(C3711))&amp;"|"&amp;UPPER(TRIM(D3711)),"")</f>
        <v/>
      </c>
    </row>
    <row r="3712" ht="15.75" customHeight="1" s="217">
      <c r="A3712" s="397" t="n">
        <v>3710</v>
      </c>
      <c r="B3712" s="397" t="inlineStr">
        <is>
          <t>KH0060</t>
        </is>
      </c>
      <c r="C3712" s="398" t="inlineStr">
        <is>
          <t>Xưởng anh Hiếu - Gia Lai/ 0975.883.000</t>
        </is>
      </c>
      <c r="D3712" s="397" t="inlineStr">
        <is>
          <t>0975.883.000</t>
        </is>
      </c>
      <c r="E3712" s="399" t="n"/>
      <c r="F3712" s="398" t="inlineStr">
        <is>
          <t>Gia Lai</t>
        </is>
      </c>
      <c r="G3712" s="397" t="inlineStr">
        <is>
          <t>GLAI</t>
        </is>
      </c>
      <c r="H3712" s="399" t="n"/>
      <c r="J3712" s="392">
        <f>IFERROR(UPPER(TRIM(B3712))&amp;"|"&amp;UPPER(TRIM(C3712))&amp;"|"&amp;UPPER(TRIM(D3712)),"")</f>
        <v/>
      </c>
    </row>
    <row r="3713" ht="15.75" customHeight="1" s="217">
      <c r="A3713" s="400" t="n">
        <v>3711</v>
      </c>
      <c r="B3713" s="400" t="inlineStr">
        <is>
          <t>KH0059</t>
        </is>
      </c>
      <c r="C3713" s="401" t="inlineStr">
        <is>
          <t>Chú Minh - Sài Gòn/ 0903.343.518</t>
        </is>
      </c>
      <c r="D3713" s="400" t="inlineStr">
        <is>
          <t>0903.343.518</t>
        </is>
      </c>
      <c r="E3713" s="402" t="n"/>
      <c r="F3713" s="401" t="inlineStr">
        <is>
          <t>Sài Gòn</t>
        </is>
      </c>
      <c r="G3713" s="400" t="inlineStr">
        <is>
          <t>SG/HCM</t>
        </is>
      </c>
      <c r="H3713" s="402" t="n"/>
      <c r="J3713" s="392">
        <f>IFERROR(UPPER(TRIM(B3713))&amp;"|"&amp;UPPER(TRIM(C3713))&amp;"|"&amp;UPPER(TRIM(D3713)),"")</f>
        <v/>
      </c>
    </row>
    <row r="3714" ht="15.75" customHeight="1" s="217">
      <c r="A3714" s="397" t="n">
        <v>3712</v>
      </c>
      <c r="B3714" s="397" t="inlineStr">
        <is>
          <t>KH0058</t>
        </is>
      </c>
      <c r="C3714" s="398" t="inlineStr">
        <is>
          <t>Anh Hà - Sài Gòn/ 0913.104.774</t>
        </is>
      </c>
      <c r="D3714" s="397" t="inlineStr">
        <is>
          <t>0913.104.774</t>
        </is>
      </c>
      <c r="E3714" s="399" t="n"/>
      <c r="F3714" s="398" t="inlineStr">
        <is>
          <t>Sài Gòn</t>
        </is>
      </c>
      <c r="G3714" s="397" t="inlineStr">
        <is>
          <t>SG/HCM</t>
        </is>
      </c>
      <c r="H3714" s="399" t="n"/>
      <c r="J3714" s="392">
        <f>IFERROR(UPPER(TRIM(B3714))&amp;"|"&amp;UPPER(TRIM(C3714))&amp;"|"&amp;UPPER(TRIM(D3714)),"")</f>
        <v/>
      </c>
    </row>
    <row r="3715" ht="15.75" customHeight="1" s="217">
      <c r="A3715" s="400" t="n">
        <v>3713</v>
      </c>
      <c r="B3715" s="400" t="inlineStr">
        <is>
          <t>KH0057</t>
        </is>
      </c>
      <c r="C3715" s="401" t="inlineStr">
        <is>
          <t>Anh Thắng - SG/ 0972.595.459</t>
        </is>
      </c>
      <c r="D3715" s="400" t="inlineStr">
        <is>
          <t>0972.595.459</t>
        </is>
      </c>
      <c r="E3715" s="402" t="n"/>
      <c r="F3715" s="401" t="inlineStr">
        <is>
          <t>Sài Gòn</t>
        </is>
      </c>
      <c r="G3715" s="400" t="inlineStr">
        <is>
          <t>SG/HCM</t>
        </is>
      </c>
      <c r="H3715" s="402" t="n"/>
      <c r="J3715" s="392">
        <f>IFERROR(UPPER(TRIM(B3715))&amp;"|"&amp;UPPER(TRIM(C3715))&amp;"|"&amp;UPPER(TRIM(D3715)),"")</f>
        <v/>
      </c>
    </row>
    <row r="3716" ht="15.75" customHeight="1" s="217">
      <c r="A3716" s="397" t="n">
        <v>3714</v>
      </c>
      <c r="B3716" s="397" t="inlineStr">
        <is>
          <t>KH0056</t>
        </is>
      </c>
      <c r="C3716" s="398" t="inlineStr">
        <is>
          <t>Công ty TNHH TMDV Vạn Phú Đức - SG/ 0903.655.307</t>
        </is>
      </c>
      <c r="D3716" s="397" t="inlineStr">
        <is>
          <t>0903.655.307</t>
        </is>
      </c>
      <c r="E3716" s="399" t="n"/>
      <c r="F3716" s="398" t="inlineStr">
        <is>
          <t>212 lô C, Cư xá Thanh Đa, P27, Q. Bình Thạnh, TPHCM</t>
        </is>
      </c>
      <c r="G3716" s="397" t="inlineStr">
        <is>
          <t>SG/HCM</t>
        </is>
      </c>
      <c r="H3716" s="399" t="n"/>
      <c r="J3716" s="392">
        <f>IFERROR(UPPER(TRIM(B3716))&amp;"|"&amp;UPPER(TRIM(C3716))&amp;"|"&amp;UPPER(TRIM(D3716)),"")</f>
        <v/>
      </c>
    </row>
    <row r="3717" ht="15.75" customHeight="1" s="217">
      <c r="A3717" s="400" t="n">
        <v>3715</v>
      </c>
      <c r="B3717" s="400" t="inlineStr">
        <is>
          <t>KH0055</t>
        </is>
      </c>
      <c r="C3717" s="401" t="inlineStr">
        <is>
          <t>Xưởng anh Lâm - Bình Thuận/ 01673.002.469</t>
        </is>
      </c>
      <c r="D3717" s="400" t="inlineStr">
        <is>
          <t>01673.002.469</t>
        </is>
      </c>
      <c r="E3717" s="402" t="n"/>
      <c r="F3717" s="401" t="inlineStr">
        <is>
          <t>Bình Thuận</t>
        </is>
      </c>
      <c r="G3717" s="400" t="inlineStr">
        <is>
          <t>BTHUAN</t>
        </is>
      </c>
      <c r="H3717" s="402" t="n"/>
      <c r="J3717" s="392">
        <f>IFERROR(UPPER(TRIM(B3717))&amp;"|"&amp;UPPER(TRIM(C3717))&amp;"|"&amp;UPPER(TRIM(D3717)),"")</f>
        <v/>
      </c>
    </row>
    <row r="3718" ht="15.75" customHeight="1" s="217">
      <c r="A3718" s="397" t="n">
        <v>3716</v>
      </c>
      <c r="B3718" s="397" t="inlineStr">
        <is>
          <t>KH0053</t>
        </is>
      </c>
      <c r="C3718" s="398" t="inlineStr">
        <is>
          <t>Xưởng anh Kiệt - SG/ 0918.432.229</t>
        </is>
      </c>
      <c r="D3718" s="397" t="inlineStr">
        <is>
          <t>0918.432.229</t>
        </is>
      </c>
      <c r="E3718" s="399" t="n"/>
      <c r="F3718" s="398" t="inlineStr">
        <is>
          <t>Sài Gòn</t>
        </is>
      </c>
      <c r="G3718" s="397" t="inlineStr">
        <is>
          <t>SG/HCM</t>
        </is>
      </c>
      <c r="H3718" s="399" t="n"/>
      <c r="J3718" s="392">
        <f>IFERROR(UPPER(TRIM(B3718))&amp;"|"&amp;UPPER(TRIM(C3718))&amp;"|"&amp;UPPER(TRIM(D3718)),"")</f>
        <v/>
      </c>
    </row>
    <row r="3719" ht="15.75" customHeight="1" s="217">
      <c r="A3719" s="400" t="n">
        <v>3717</v>
      </c>
      <c r="B3719" s="400" t="inlineStr">
        <is>
          <t>KH0054</t>
        </is>
      </c>
      <c r="C3719" s="401" t="inlineStr">
        <is>
          <t>Anh Minh - Quảng Ninh/ 0913.265.090</t>
        </is>
      </c>
      <c r="D3719" s="400" t="inlineStr">
        <is>
          <t>0913.265.090</t>
        </is>
      </c>
      <c r="E3719" s="402" t="n"/>
      <c r="F3719" s="401" t="inlineStr">
        <is>
          <t>Quảng Ninh</t>
        </is>
      </c>
      <c r="G3719" s="402" t="n"/>
      <c r="H3719" s="402" t="n"/>
      <c r="J3719" s="392">
        <f>IFERROR(UPPER(TRIM(B3719))&amp;"|"&amp;UPPER(TRIM(C3719))&amp;"|"&amp;UPPER(TRIM(D3719)),"")</f>
        <v/>
      </c>
    </row>
    <row r="3720" ht="15.75" customHeight="1" s="217">
      <c r="A3720" s="397" t="n">
        <v>3718</v>
      </c>
      <c r="B3720" s="397" t="inlineStr">
        <is>
          <t>KH0052</t>
        </is>
      </c>
      <c r="C3720" s="398" t="inlineStr">
        <is>
          <t>Anh Oai - Sài Gòn/ 0982.146.362</t>
        </is>
      </c>
      <c r="D3720" s="397" t="inlineStr">
        <is>
          <t>0982.146.362</t>
        </is>
      </c>
      <c r="E3720" s="399" t="n"/>
      <c r="F3720" s="398" t="inlineStr">
        <is>
          <t>Sài Gòn</t>
        </is>
      </c>
      <c r="G3720" s="397" t="inlineStr">
        <is>
          <t>SG/HCM</t>
        </is>
      </c>
      <c r="H3720" s="399" t="n"/>
      <c r="J3720" s="392">
        <f>IFERROR(UPPER(TRIM(B3720))&amp;"|"&amp;UPPER(TRIM(C3720))&amp;"|"&amp;UPPER(TRIM(D3720)),"")</f>
        <v/>
      </c>
    </row>
    <row r="3721" ht="15.75" customHeight="1" s="217">
      <c r="A3721" s="400" t="n">
        <v>3719</v>
      </c>
      <c r="B3721" s="400" t="inlineStr">
        <is>
          <t>KH0051</t>
        </is>
      </c>
      <c r="C3721" s="401" t="inlineStr">
        <is>
          <t>Anh Lâm - Bình Tân/ 0984.183.438</t>
        </is>
      </c>
      <c r="D3721" s="400" t="inlineStr">
        <is>
          <t>0984.183.438</t>
        </is>
      </c>
      <c r="E3721" s="402" t="n"/>
      <c r="F3721" s="401" t="inlineStr">
        <is>
          <t>Sài Gòn</t>
        </is>
      </c>
      <c r="G3721" s="400" t="inlineStr">
        <is>
          <t>SG/HCM</t>
        </is>
      </c>
      <c r="H3721" s="402" t="n"/>
      <c r="J3721" s="392">
        <f>IFERROR(UPPER(TRIM(B3721))&amp;"|"&amp;UPPER(TRIM(C3721))&amp;"|"&amp;UPPER(TRIM(D3721)),"")</f>
        <v/>
      </c>
    </row>
    <row r="3722" ht="15.75" customHeight="1" s="217">
      <c r="A3722" s="397" t="n">
        <v>3720</v>
      </c>
      <c r="B3722" s="397" t="inlineStr">
        <is>
          <t>KH0050</t>
        </is>
      </c>
      <c r="C3722" s="398" t="inlineStr">
        <is>
          <t>Xưởng anh Quân - Lâm Đồng/ 0987.288.052</t>
        </is>
      </c>
      <c r="D3722" s="397" t="inlineStr">
        <is>
          <t>0987.288.052</t>
        </is>
      </c>
      <c r="E3722" s="399" t="n"/>
      <c r="F3722" s="398" t="inlineStr">
        <is>
          <t>Lâm Đồng</t>
        </is>
      </c>
      <c r="G3722" s="397" t="inlineStr">
        <is>
          <t>LDONG</t>
        </is>
      </c>
      <c r="H3722" s="399" t="n"/>
      <c r="J3722" s="392">
        <f>IFERROR(UPPER(TRIM(B3722))&amp;"|"&amp;UPPER(TRIM(C3722))&amp;"|"&amp;UPPER(TRIM(D3722)),"")</f>
        <v/>
      </c>
    </row>
    <row r="3723" ht="15.75" customHeight="1" s="217">
      <c r="A3723" s="400" t="n">
        <v>3721</v>
      </c>
      <c r="B3723" s="400" t="inlineStr">
        <is>
          <t>KH0049</t>
        </is>
      </c>
      <c r="C3723" s="401" t="inlineStr">
        <is>
          <t>Bãi máy anh Mãi - Đức Trọng/ 0918.465.137</t>
        </is>
      </c>
      <c r="D3723" s="400" t="inlineStr">
        <is>
          <t>0918.465.137</t>
        </is>
      </c>
      <c r="E3723" s="402" t="n"/>
      <c r="F3723" s="401" t="inlineStr">
        <is>
          <t>Đức Trọng - Lâm Đồng</t>
        </is>
      </c>
      <c r="G3723" s="400" t="inlineStr">
        <is>
          <t>LDONG</t>
        </is>
      </c>
      <c r="H3723" s="402" t="n"/>
      <c r="J3723" s="392">
        <f>IFERROR(UPPER(TRIM(B3723))&amp;"|"&amp;UPPER(TRIM(C3723))&amp;"|"&amp;UPPER(TRIM(D3723)),"")</f>
        <v/>
      </c>
    </row>
    <row r="3724" ht="15.75" customHeight="1" s="217">
      <c r="A3724" s="397" t="n">
        <v>3722</v>
      </c>
      <c r="B3724" s="397" t="inlineStr">
        <is>
          <t>KH0048</t>
        </is>
      </c>
      <c r="C3724" s="398" t="inlineStr">
        <is>
          <t>Xưởng anh Chánh - Nha Trang/ 0985.938.717</t>
        </is>
      </c>
      <c r="D3724" s="397" t="inlineStr">
        <is>
          <t>0985.938.717</t>
        </is>
      </c>
      <c r="E3724" s="399" t="n"/>
      <c r="F3724" s="398" t="inlineStr">
        <is>
          <t>Nha Trang</t>
        </is>
      </c>
      <c r="G3724" s="397" t="inlineStr">
        <is>
          <t>NTRANG</t>
        </is>
      </c>
      <c r="H3724" s="399" t="n"/>
      <c r="J3724" s="392">
        <f>IFERROR(UPPER(TRIM(B3724))&amp;"|"&amp;UPPER(TRIM(C3724))&amp;"|"&amp;UPPER(TRIM(D3724)),"")</f>
        <v/>
      </c>
    </row>
    <row r="3725" ht="15.75" customHeight="1" s="217">
      <c r="A3725" s="400" t="n">
        <v>3723</v>
      </c>
      <c r="B3725" s="400" t="inlineStr">
        <is>
          <t>KH0047</t>
        </is>
      </c>
      <c r="C3725" s="401" t="inlineStr">
        <is>
          <t>Anh Bình - SG/ 0913.868.262</t>
        </is>
      </c>
      <c r="D3725" s="400" t="inlineStr">
        <is>
          <t>0913.868.262</t>
        </is>
      </c>
      <c r="E3725" s="402" t="n"/>
      <c r="F3725" s="401" t="inlineStr">
        <is>
          <t>Sài Gòn</t>
        </is>
      </c>
      <c r="G3725" s="400" t="inlineStr">
        <is>
          <t>SG/HCM</t>
        </is>
      </c>
      <c r="H3725" s="402" t="n"/>
      <c r="J3725" s="392">
        <f>IFERROR(UPPER(TRIM(B3725))&amp;"|"&amp;UPPER(TRIM(C3725))&amp;"|"&amp;UPPER(TRIM(D3725)),"")</f>
        <v/>
      </c>
    </row>
    <row r="3726" ht="15.75" customHeight="1" s="217">
      <c r="A3726" s="397" t="n">
        <v>3724</v>
      </c>
      <c r="B3726" s="397" t="inlineStr">
        <is>
          <t>KH0046</t>
        </is>
      </c>
      <c r="C3726" s="398" t="inlineStr">
        <is>
          <t>Xưởng anh Bảy - SG/ 0918.393.509</t>
        </is>
      </c>
      <c r="D3726" s="397" t="inlineStr">
        <is>
          <t>0918.393.509</t>
        </is>
      </c>
      <c r="E3726" s="399" t="n"/>
      <c r="F3726" s="398" t="inlineStr">
        <is>
          <t>Sài Gòn</t>
        </is>
      </c>
      <c r="G3726" s="397" t="inlineStr">
        <is>
          <t>SG/HCM</t>
        </is>
      </c>
      <c r="H3726" s="399" t="n"/>
      <c r="J3726" s="392">
        <f>IFERROR(UPPER(TRIM(B3726))&amp;"|"&amp;UPPER(TRIM(C3726))&amp;"|"&amp;UPPER(TRIM(D3726)),"")</f>
        <v/>
      </c>
    </row>
    <row r="3727" ht="15.75" customHeight="1" s="217">
      <c r="A3727" s="400" t="n">
        <v>3725</v>
      </c>
      <c r="B3727" s="400" t="inlineStr">
        <is>
          <t>KH0612</t>
        </is>
      </c>
      <c r="C3727" s="401" t="inlineStr">
        <is>
          <t>Anh Chương - Đồng Nai / 0902.671.139</t>
        </is>
      </c>
      <c r="D3727" s="400" t="inlineStr">
        <is>
          <t>0902.671.139</t>
        </is>
      </c>
      <c r="E3727" s="402" t="n"/>
      <c r="F3727" s="401" t="inlineStr">
        <is>
          <t>Đồng Nai</t>
        </is>
      </c>
      <c r="G3727" s="400" t="inlineStr">
        <is>
          <t>ÐNAI</t>
        </is>
      </c>
      <c r="H3727" s="402" t="n"/>
      <c r="J3727" s="392">
        <f>IFERROR(UPPER(TRIM(B3727))&amp;"|"&amp;UPPER(TRIM(C3727))&amp;"|"&amp;UPPER(TRIM(D3727)),"")</f>
        <v/>
      </c>
    </row>
    <row r="3728" ht="15.75" customHeight="1" s="217">
      <c r="A3728" s="397" t="n">
        <v>3726</v>
      </c>
      <c r="B3728" s="397" t="inlineStr">
        <is>
          <t>KH0045</t>
        </is>
      </c>
      <c r="C3728" s="398" t="inlineStr">
        <is>
          <t>Công ty TNHH Công nghiệp Công Minh Nết</t>
        </is>
      </c>
      <c r="D3728" s="399" t="n"/>
      <c r="E3728" s="399" t="n"/>
      <c r="F3728" s="398" t="inlineStr">
        <is>
          <t>602/41B Điện Biên Phủ, P22, Q.Bình Thạnh, TPHCM</t>
        </is>
      </c>
      <c r="G3728" s="397" t="inlineStr">
        <is>
          <t>SG/HCM</t>
        </is>
      </c>
      <c r="H3728" s="399" t="n"/>
      <c r="J3728" s="392">
        <f>IFERROR(UPPER(TRIM(B3728))&amp;"|"&amp;UPPER(TRIM(C3728))&amp;"|"&amp;UPPER(TRIM(D3728)),"")</f>
        <v/>
      </c>
    </row>
    <row r="3729" ht="15.75" customHeight="1" s="217">
      <c r="A3729" s="400" t="n">
        <v>3727</v>
      </c>
      <c r="B3729" s="400" t="inlineStr">
        <is>
          <t>KH0044</t>
        </is>
      </c>
      <c r="C3729" s="401" t="inlineStr">
        <is>
          <t>CH anh Đức - Tây Ninh/ 0909.709.099</t>
        </is>
      </c>
      <c r="D3729" s="400" t="inlineStr">
        <is>
          <t>0909.709.099</t>
        </is>
      </c>
      <c r="E3729" s="402" t="n"/>
      <c r="F3729" s="401" t="inlineStr">
        <is>
          <t>TX Tây Ninh - Tây Ninh</t>
        </is>
      </c>
      <c r="G3729" s="400" t="inlineStr">
        <is>
          <t>TNINH</t>
        </is>
      </c>
      <c r="H3729" s="402" t="n"/>
      <c r="J3729" s="392">
        <f>IFERROR(UPPER(TRIM(B3729))&amp;"|"&amp;UPPER(TRIM(C3729))&amp;"|"&amp;UPPER(TRIM(D3729)),"")</f>
        <v/>
      </c>
    </row>
    <row r="3730" ht="15.75" customHeight="1" s="217">
      <c r="A3730" s="397" t="n">
        <v>3728</v>
      </c>
      <c r="B3730" s="397" t="inlineStr">
        <is>
          <t>KH00369</t>
        </is>
      </c>
      <c r="C3730" s="398" t="inlineStr">
        <is>
          <t>Anh Long - Công ty Long Vân - Thủ Đức/ 01646.092.727</t>
        </is>
      </c>
      <c r="D3730" s="397" t="inlineStr">
        <is>
          <t>01646.092.727</t>
        </is>
      </c>
      <c r="E3730" s="399" t="n"/>
      <c r="F3730" s="398" t="inlineStr">
        <is>
          <t>Thủ Đức, SG</t>
        </is>
      </c>
      <c r="G3730" s="397" t="inlineStr">
        <is>
          <t>SG/HCM</t>
        </is>
      </c>
      <c r="H3730" s="399" t="n"/>
      <c r="J3730" s="392">
        <f>IFERROR(UPPER(TRIM(B3730))&amp;"|"&amp;UPPER(TRIM(C3730))&amp;"|"&amp;UPPER(TRIM(D3730)),"")</f>
        <v/>
      </c>
    </row>
    <row r="3731" ht="15.75" customHeight="1" s="217">
      <c r="A3731" s="400" t="n">
        <v>3729</v>
      </c>
      <c r="B3731" s="400" t="inlineStr">
        <is>
          <t>KH00368</t>
        </is>
      </c>
      <c r="C3731" s="401" t="inlineStr">
        <is>
          <t>Xưởng anh Pháp - SG/ 0919.074.342</t>
        </is>
      </c>
      <c r="D3731" s="400" t="inlineStr">
        <is>
          <t>0919.074.342</t>
        </is>
      </c>
      <c r="E3731" s="402" t="n"/>
      <c r="F3731" s="401" t="inlineStr">
        <is>
          <t>Sài Gòn</t>
        </is>
      </c>
      <c r="G3731" s="400" t="inlineStr">
        <is>
          <t>SG/HCM</t>
        </is>
      </c>
      <c r="H3731" s="402" t="n"/>
      <c r="J3731" s="392">
        <f>IFERROR(UPPER(TRIM(B3731))&amp;"|"&amp;UPPER(TRIM(C3731))&amp;"|"&amp;UPPER(TRIM(D3731)),"")</f>
        <v/>
      </c>
    </row>
    <row r="3732" ht="15.75" customHeight="1" s="217">
      <c r="A3732" s="397" t="n">
        <v>3730</v>
      </c>
      <c r="B3732" s="397" t="inlineStr">
        <is>
          <t>KH00367</t>
        </is>
      </c>
      <c r="C3732" s="398" t="inlineStr">
        <is>
          <t>Xưởng anh Nguyên - Gia Lai/ 0989.633.944</t>
        </is>
      </c>
      <c r="D3732" s="397" t="inlineStr">
        <is>
          <t>0989.633.944</t>
        </is>
      </c>
      <c r="E3732" s="399" t="n"/>
      <c r="F3732" s="398" t="inlineStr">
        <is>
          <t>Gia Lai</t>
        </is>
      </c>
      <c r="G3732" s="397" t="inlineStr">
        <is>
          <t>GLAI</t>
        </is>
      </c>
      <c r="H3732" s="399" t="n"/>
      <c r="J3732" s="392">
        <f>IFERROR(UPPER(TRIM(B3732))&amp;"|"&amp;UPPER(TRIM(C3732))&amp;"|"&amp;UPPER(TRIM(D3732)),"")</f>
        <v/>
      </c>
    </row>
    <row r="3733" ht="15.75" customHeight="1" s="217">
      <c r="A3733" s="400" t="n">
        <v>3731</v>
      </c>
      <c r="B3733" s="400" t="inlineStr">
        <is>
          <t>KH00366</t>
        </is>
      </c>
      <c r="C3733" s="401" t="inlineStr">
        <is>
          <t>Xưởng anh Dũng - Đắk Nông/ 0909.100.114</t>
        </is>
      </c>
      <c r="D3733" s="400" t="inlineStr">
        <is>
          <t>0909.100.114</t>
        </is>
      </c>
      <c r="E3733" s="402" t="n"/>
      <c r="F3733" s="401" t="inlineStr">
        <is>
          <t>Đắk Nông</t>
        </is>
      </c>
      <c r="G3733" s="400" t="inlineStr">
        <is>
          <t>DNONG</t>
        </is>
      </c>
      <c r="H3733" s="402" t="n"/>
      <c r="J3733" s="392">
        <f>IFERROR(UPPER(TRIM(B3733))&amp;"|"&amp;UPPER(TRIM(C3733))&amp;"|"&amp;UPPER(TRIM(D3733)),"")</f>
        <v/>
      </c>
    </row>
    <row r="3734" ht="15.75" customHeight="1" s="217">
      <c r="A3734" s="397" t="n">
        <v>3732</v>
      </c>
      <c r="B3734" s="397" t="inlineStr">
        <is>
          <t>KH00365</t>
        </is>
      </c>
      <c r="C3734" s="398" t="inlineStr">
        <is>
          <t>CH anh Mười - Đức Trọng/ 0918.591.425 - anh Bình (C.Nợ: 0946.244.906)</t>
        </is>
      </c>
      <c r="D3734" s="397" t="inlineStr">
        <is>
          <t>0918.591.425 / 0946.244.906</t>
        </is>
      </c>
      <c r="E3734" s="399" t="n"/>
      <c r="F3734" s="398" t="inlineStr">
        <is>
          <t>Đức Trọng - Lâm Đồng</t>
        </is>
      </c>
      <c r="G3734" s="397" t="inlineStr">
        <is>
          <t>LDONG</t>
        </is>
      </c>
      <c r="H3734" s="399" t="n"/>
      <c r="J3734" s="392">
        <f>IFERROR(UPPER(TRIM(B3734))&amp;"|"&amp;UPPER(TRIM(C3734))&amp;"|"&amp;UPPER(TRIM(D3734)),"")</f>
        <v/>
      </c>
    </row>
    <row r="3735" ht="15.75" customHeight="1" s="217">
      <c r="A3735" s="400" t="n">
        <v>3733</v>
      </c>
      <c r="B3735" s="400" t="inlineStr">
        <is>
          <t>KH0043</t>
        </is>
      </c>
      <c r="C3735" s="401" t="inlineStr">
        <is>
          <t>Anh Chiến - Quảng Nam (Công ty Chiến Khánh)/0934.797.123</t>
        </is>
      </c>
      <c r="D3735" s="400" t="inlineStr">
        <is>
          <t>0934.797.123</t>
        </is>
      </c>
      <c r="E3735" s="402" t="n"/>
      <c r="F3735" s="401" t="inlineStr">
        <is>
          <t>Xã Ba, huyện Đông Giang, Quảng Nam</t>
        </is>
      </c>
      <c r="G3735" s="400" t="inlineStr">
        <is>
          <t>QNAM</t>
        </is>
      </c>
      <c r="H3735" s="402" t="n"/>
      <c r="J3735" s="392">
        <f>IFERROR(UPPER(TRIM(B3735))&amp;"|"&amp;UPPER(TRIM(C3735))&amp;"|"&amp;UPPER(TRIM(D3735)),"")</f>
        <v/>
      </c>
    </row>
    <row r="3736" ht="15.75" customHeight="1" s="217">
      <c r="A3736" s="397" t="n">
        <v>3734</v>
      </c>
      <c r="B3736" s="397" t="inlineStr">
        <is>
          <t>KH00364</t>
        </is>
      </c>
      <c r="C3736" s="398" t="inlineStr">
        <is>
          <t>Anh Hải (Công ty TNHH Chí Thanh) - SG/ 0903.995.992</t>
        </is>
      </c>
      <c r="D3736" s="397" t="inlineStr">
        <is>
          <t>0903.995.992</t>
        </is>
      </c>
      <c r="E3736" s="399" t="n"/>
      <c r="F3736" s="398" t="inlineStr">
        <is>
          <t>58/2 KP4, P. Tân Chánh Hiệp, Q.12, TPHCM</t>
        </is>
      </c>
      <c r="G3736" s="397" t="inlineStr">
        <is>
          <t>SG/HCM</t>
        </is>
      </c>
      <c r="H3736" s="399" t="n"/>
      <c r="J3736" s="392">
        <f>IFERROR(UPPER(TRIM(B3736))&amp;"|"&amp;UPPER(TRIM(C3736))&amp;"|"&amp;UPPER(TRIM(D3736)),"")</f>
        <v/>
      </c>
    </row>
    <row r="3737" ht="15.75" customHeight="1" s="217">
      <c r="A3737" s="400" t="n">
        <v>3735</v>
      </c>
      <c r="B3737" s="400" t="inlineStr">
        <is>
          <t>KH00363</t>
        </is>
      </c>
      <c r="C3737" s="401" t="inlineStr">
        <is>
          <t>Garage Thanh Hùng - Long An/ 0913.899.404</t>
        </is>
      </c>
      <c r="D3737" s="400" t="inlineStr">
        <is>
          <t>0913.899.404</t>
        </is>
      </c>
      <c r="E3737" s="402" t="n"/>
      <c r="F3737" s="401" t="inlineStr">
        <is>
          <t>Long An</t>
        </is>
      </c>
      <c r="G3737" s="400" t="inlineStr">
        <is>
          <t>LA</t>
        </is>
      </c>
      <c r="H3737" s="402" t="n"/>
      <c r="J3737" s="392">
        <f>IFERROR(UPPER(TRIM(B3737))&amp;"|"&amp;UPPER(TRIM(C3737))&amp;"|"&amp;UPPER(TRIM(D3737)),"")</f>
        <v/>
      </c>
    </row>
    <row r="3738" ht="15.75" customHeight="1" s="217">
      <c r="A3738" s="397" t="n">
        <v>3736</v>
      </c>
      <c r="B3738" s="397" t="inlineStr">
        <is>
          <t>QL</t>
        </is>
      </c>
      <c r="C3738" s="398" t="inlineStr">
        <is>
          <t>QUAN YAN(HONG KHONG) INDUSTRIAL CO.,LIMITED</t>
        </is>
      </c>
      <c r="D3738" s="399" t="n"/>
      <c r="E3738" s="399" t="n"/>
      <c r="F3738" s="398" t="inlineStr">
        <is>
          <t>NO.65-69 YUANTAI 2nd ROAD, CAIZHUANG INDUSTRIAL, QUANZHOU, FUJIAN</t>
        </is>
      </c>
      <c r="G3738" s="399" t="n"/>
      <c r="H3738" s="399" t="n"/>
      <c r="J3738" s="392">
        <f>IFERROR(UPPER(TRIM(B3738))&amp;"|"&amp;UPPER(TRIM(C3738))&amp;"|"&amp;UPPER(TRIM(D3738)),"")</f>
        <v/>
      </c>
    </row>
    <row r="3739" ht="15.75" customHeight="1" s="217">
      <c r="A3739" s="400" t="n">
        <v>3737</v>
      </c>
      <c r="B3739" s="400" t="inlineStr">
        <is>
          <t>KH00362</t>
        </is>
      </c>
      <c r="C3739" s="401" t="inlineStr">
        <is>
          <t>Xưởng Trường An - Kinh Tư/ 0946.353.335</t>
        </is>
      </c>
      <c r="D3739" s="400" t="inlineStr">
        <is>
          <t>0946.353.335</t>
        </is>
      </c>
      <c r="E3739" s="402" t="n"/>
      <c r="F3739" s="401" t="inlineStr">
        <is>
          <t>Kinh Tư, Bạc Liêu</t>
        </is>
      </c>
      <c r="G3739" s="400" t="inlineStr">
        <is>
          <t>BLIEU</t>
        </is>
      </c>
      <c r="H3739" s="402" t="n"/>
      <c r="J3739" s="392">
        <f>IFERROR(UPPER(TRIM(B3739))&amp;"|"&amp;UPPER(TRIM(C3739))&amp;"|"&amp;UPPER(TRIM(D3739)),"")</f>
        <v/>
      </c>
    </row>
    <row r="3740" ht="15.75" customHeight="1" s="217">
      <c r="A3740" s="397" t="n">
        <v>3738</v>
      </c>
      <c r="B3740" s="397" t="inlineStr">
        <is>
          <t>KH00361</t>
        </is>
      </c>
      <c r="C3740" s="398" t="inlineStr">
        <is>
          <t>Xưởng anh Quý - SG/ 0905.453.099</t>
        </is>
      </c>
      <c r="D3740" s="397" t="inlineStr">
        <is>
          <t>0905.453.099</t>
        </is>
      </c>
      <c r="E3740" s="399" t="n"/>
      <c r="F3740" s="398" t="inlineStr">
        <is>
          <t>Số 66 đường số 18B, P Bình Hưng Hòa A., Q. Bình Tân</t>
        </is>
      </c>
      <c r="G3740" s="397" t="inlineStr">
        <is>
          <t>SG/HCM</t>
        </is>
      </c>
      <c r="H3740" s="399" t="n"/>
      <c r="J3740" s="392">
        <f>IFERROR(UPPER(TRIM(B3740))&amp;"|"&amp;UPPER(TRIM(C3740))&amp;"|"&amp;UPPER(TRIM(D3740)),"")</f>
        <v/>
      </c>
    </row>
    <row r="3741" ht="15.75" customHeight="1" s="217">
      <c r="A3741" s="400" t="n">
        <v>3739</v>
      </c>
      <c r="B3741" s="400" t="inlineStr">
        <is>
          <t>KH00360</t>
        </is>
      </c>
      <c r="C3741" s="401" t="inlineStr">
        <is>
          <t>Xưởng anh Thanh - Bảo Lộc/ 0908.620.349</t>
        </is>
      </c>
      <c r="D3741" s="400" t="inlineStr">
        <is>
          <t>0908.620.349</t>
        </is>
      </c>
      <c r="E3741" s="402" t="n"/>
      <c r="F3741" s="401" t="inlineStr">
        <is>
          <t>Bảo Lộc, Lâm Đồng</t>
        </is>
      </c>
      <c r="G3741" s="400" t="inlineStr">
        <is>
          <t>LDONG</t>
        </is>
      </c>
      <c r="H3741" s="402" t="n"/>
      <c r="J3741" s="392">
        <f>IFERROR(UPPER(TRIM(B3741))&amp;"|"&amp;UPPER(TRIM(C3741))&amp;"|"&amp;UPPER(TRIM(D3741)),"")</f>
        <v/>
      </c>
    </row>
    <row r="3742" ht="15.75" customHeight="1" s="217">
      <c r="A3742" s="397" t="n">
        <v>3740</v>
      </c>
      <c r="B3742" s="397" t="inlineStr">
        <is>
          <t>KH00358</t>
        </is>
      </c>
      <c r="C3742" s="398" t="inlineStr">
        <is>
          <t>Bãi máy anh Hoàng - Suối Tiên/ 0907.606.036</t>
        </is>
      </c>
      <c r="D3742" s="397" t="inlineStr">
        <is>
          <t>0907.606.036</t>
        </is>
      </c>
      <c r="E3742" s="399" t="n"/>
      <c r="F3742" s="398" t="inlineStr">
        <is>
          <t>Gần đền Hùng, Q9</t>
        </is>
      </c>
      <c r="G3742" s="397" t="inlineStr">
        <is>
          <t>SG/HCM</t>
        </is>
      </c>
      <c r="H3742" s="399" t="n"/>
      <c r="J3742" s="392">
        <f>IFERROR(UPPER(TRIM(B3742))&amp;"|"&amp;UPPER(TRIM(C3742))&amp;"|"&amp;UPPER(TRIM(D3742)),"")</f>
        <v/>
      </c>
    </row>
    <row r="3743" ht="15.75" customHeight="1" s="217">
      <c r="A3743" s="400" t="n">
        <v>3741</v>
      </c>
      <c r="B3743" s="400" t="inlineStr">
        <is>
          <t>KH00359</t>
        </is>
      </c>
      <c r="C3743" s="401" t="inlineStr">
        <is>
          <t>Công ty Minh Quân - SG/ 0982.199.381</t>
        </is>
      </c>
      <c r="D3743" s="400" t="inlineStr">
        <is>
          <t>0982.199.381</t>
        </is>
      </c>
      <c r="E3743" s="402" t="n"/>
      <c r="F3743" s="401" t="inlineStr">
        <is>
          <t>Sài Gòn</t>
        </is>
      </c>
      <c r="G3743" s="400" t="inlineStr">
        <is>
          <t>SG/HCM</t>
        </is>
      </c>
      <c r="H3743" s="402" t="n"/>
      <c r="J3743" s="392">
        <f>IFERROR(UPPER(TRIM(B3743))&amp;"|"&amp;UPPER(TRIM(C3743))&amp;"|"&amp;UPPER(TRIM(D3743)),"")</f>
        <v/>
      </c>
    </row>
    <row r="3744" ht="15.75" customHeight="1" s="217">
      <c r="A3744" s="397" t="n">
        <v>3742</v>
      </c>
      <c r="B3744" s="397" t="inlineStr">
        <is>
          <t>KH00357</t>
        </is>
      </c>
      <c r="C3744" s="398" t="inlineStr">
        <is>
          <t>Anh Năm - SG/0983.183.697</t>
        </is>
      </c>
      <c r="D3744" s="397" t="inlineStr">
        <is>
          <t>0983.183.697</t>
        </is>
      </c>
      <c r="E3744" s="399" t="n"/>
      <c r="F3744" s="398" t="inlineStr">
        <is>
          <t>Sài Gòn</t>
        </is>
      </c>
      <c r="G3744" s="397" t="inlineStr">
        <is>
          <t>SG/HCM</t>
        </is>
      </c>
      <c r="H3744" s="399" t="n"/>
      <c r="J3744" s="392">
        <f>IFERROR(UPPER(TRIM(B3744))&amp;"|"&amp;UPPER(TRIM(C3744))&amp;"|"&amp;UPPER(TRIM(D3744)),"")</f>
        <v/>
      </c>
    </row>
    <row r="3745" ht="15.75" customHeight="1" s="217">
      <c r="A3745" s="400" t="n">
        <v>3743</v>
      </c>
      <c r="B3745" s="400" t="inlineStr">
        <is>
          <t>KH00356</t>
        </is>
      </c>
      <c r="C3745" s="401" t="inlineStr">
        <is>
          <t>Anh Vinh (DNTN Xây Dựng Ngọc Hiệp) - SG/0918.087.448 - 0909.580.330</t>
        </is>
      </c>
      <c r="D3745" s="400" t="inlineStr">
        <is>
          <t>0918.087.448 / 0909.580.330</t>
        </is>
      </c>
      <c r="E3745" s="402" t="n"/>
      <c r="F3745" s="401" t="inlineStr">
        <is>
          <t>Sài Gòn</t>
        </is>
      </c>
      <c r="G3745" s="400" t="inlineStr">
        <is>
          <t>SG/HCM</t>
        </is>
      </c>
      <c r="H3745" s="402" t="n"/>
      <c r="J3745" s="392">
        <f>IFERROR(UPPER(TRIM(B3745))&amp;"|"&amp;UPPER(TRIM(C3745))&amp;"|"&amp;UPPER(TRIM(D3745)),"")</f>
        <v/>
      </c>
    </row>
    <row r="3746" ht="15.75" customHeight="1" s="217">
      <c r="A3746" s="397" t="n">
        <v>3744</v>
      </c>
      <c r="B3746" s="397" t="inlineStr">
        <is>
          <t>KH00353</t>
        </is>
      </c>
      <c r="C3746" s="398" t="inlineStr">
        <is>
          <t>Bãi máy anh Thắng - SG/ 0903.820.381</t>
        </is>
      </c>
      <c r="D3746" s="397" t="inlineStr">
        <is>
          <t>0903.820.381</t>
        </is>
      </c>
      <c r="E3746" s="399" t="n"/>
      <c r="F3746" s="398" t="inlineStr">
        <is>
          <t>Sài Gòn</t>
        </is>
      </c>
      <c r="G3746" s="397" t="inlineStr">
        <is>
          <t>SG/HCM</t>
        </is>
      </c>
      <c r="H3746" s="399" t="n"/>
      <c r="J3746" s="392">
        <f>IFERROR(UPPER(TRIM(B3746))&amp;"|"&amp;UPPER(TRIM(C3746))&amp;"|"&amp;UPPER(TRIM(D3746)),"")</f>
        <v/>
      </c>
    </row>
    <row r="3747" ht="15.75" customHeight="1" s="217">
      <c r="A3747" s="400" t="n">
        <v>3745</v>
      </c>
      <c r="B3747" s="400" t="inlineStr">
        <is>
          <t>KH00354</t>
        </is>
      </c>
      <c r="C3747" s="401" t="inlineStr">
        <is>
          <t>Công ty TNHH TM Hương Lúa - Quảng Ngãi/0918.083.077</t>
        </is>
      </c>
      <c r="D3747" s="400" t="inlineStr">
        <is>
          <t>0918.083.077</t>
        </is>
      </c>
      <c r="E3747" s="402" t="n"/>
      <c r="F3747" s="401" t="inlineStr">
        <is>
          <t>Quảng Ngãi</t>
        </is>
      </c>
      <c r="G3747" s="400" t="inlineStr">
        <is>
          <t>QUNGAI</t>
        </is>
      </c>
      <c r="H3747" s="402" t="n"/>
      <c r="J3747" s="392">
        <f>IFERROR(UPPER(TRIM(B3747))&amp;"|"&amp;UPPER(TRIM(C3747))&amp;"|"&amp;UPPER(TRIM(D3747)),"")</f>
        <v/>
      </c>
    </row>
    <row r="3748" ht="15.75" customHeight="1" s="217">
      <c r="A3748" s="397" t="n">
        <v>3746</v>
      </c>
      <c r="B3748" s="397" t="inlineStr">
        <is>
          <t>KH00355</t>
        </is>
      </c>
      <c r="C3748" s="398" t="inlineStr">
        <is>
          <t>Xưởng anh Tuấn - Bình Dương/ 01686.265.342</t>
        </is>
      </c>
      <c r="D3748" s="397" t="inlineStr">
        <is>
          <t>01686.265.342</t>
        </is>
      </c>
      <c r="E3748" s="399" t="n"/>
      <c r="F3748" s="398" t="inlineStr">
        <is>
          <t>Bình Dương</t>
        </is>
      </c>
      <c r="G3748" s="397" t="inlineStr">
        <is>
          <t>BDUONG</t>
        </is>
      </c>
      <c r="H3748" s="399" t="n"/>
      <c r="J3748" s="392">
        <f>IFERROR(UPPER(TRIM(B3748))&amp;"|"&amp;UPPER(TRIM(C3748))&amp;"|"&amp;UPPER(TRIM(D3748)),"")</f>
        <v/>
      </c>
    </row>
    <row r="3749" ht="15.75" customHeight="1" s="217">
      <c r="A3749" s="400" t="n">
        <v>3747</v>
      </c>
      <c r="B3749" s="400" t="inlineStr">
        <is>
          <t>KH00352</t>
        </is>
      </c>
      <c r="C3749" s="401" t="inlineStr">
        <is>
          <t>A Linh - Công ty Châu Quỳnh SG/ 0974.451.716</t>
        </is>
      </c>
      <c r="D3749" s="400" t="inlineStr">
        <is>
          <t>0974.451.716</t>
        </is>
      </c>
      <c r="E3749" s="402" t="n"/>
      <c r="F3749" s="401" t="inlineStr">
        <is>
          <t>Sài Gòn</t>
        </is>
      </c>
      <c r="G3749" s="400" t="inlineStr">
        <is>
          <t>SG/HCM</t>
        </is>
      </c>
      <c r="H3749" s="402" t="n"/>
      <c r="J3749" s="392">
        <f>IFERROR(UPPER(TRIM(B3749))&amp;"|"&amp;UPPER(TRIM(C3749))&amp;"|"&amp;UPPER(TRIM(D3749)),"")</f>
        <v/>
      </c>
    </row>
    <row r="3750" ht="15.75" customHeight="1" s="217">
      <c r="A3750" s="397" t="n">
        <v>3748</v>
      </c>
      <c r="B3750" s="397" t="inlineStr">
        <is>
          <t>KH00351</t>
        </is>
      </c>
      <c r="C3750" s="398" t="inlineStr">
        <is>
          <t>Xưởng anh Tùng - Gia Lai/ 0914.021.219</t>
        </is>
      </c>
      <c r="D3750" s="397" t="inlineStr">
        <is>
          <t>0914.021.219</t>
        </is>
      </c>
      <c r="E3750" s="399" t="n"/>
      <c r="F3750" s="398" t="inlineStr">
        <is>
          <t>514 Lý Thái Tổ, TP Pleiku, Gia Lai</t>
        </is>
      </c>
      <c r="G3750" s="397" t="inlineStr">
        <is>
          <t>GLAI</t>
        </is>
      </c>
      <c r="H3750" s="399" t="n"/>
      <c r="J3750" s="392">
        <f>IFERROR(UPPER(TRIM(B3750))&amp;"|"&amp;UPPER(TRIM(C3750))&amp;"|"&amp;UPPER(TRIM(D3750)),"")</f>
        <v/>
      </c>
    </row>
    <row r="3751" ht="15.75" customHeight="1" s="217">
      <c r="A3751" s="400" t="n">
        <v>3749</v>
      </c>
      <c r="B3751" s="400" t="inlineStr">
        <is>
          <t>KH00350</t>
        </is>
      </c>
      <c r="C3751" s="401" t="inlineStr">
        <is>
          <t>(không sử dụng)Công Ty Hà Đô - Hà Nội /Anh Tiến - 0962.889.336</t>
        </is>
      </c>
      <c r="D3751" s="400" t="inlineStr">
        <is>
          <t>0962.889.336</t>
        </is>
      </c>
      <c r="E3751" s="402" t="n"/>
      <c r="F3751" s="401" t="inlineStr">
        <is>
          <t>Hà Nội</t>
        </is>
      </c>
      <c r="G3751" s="400" t="inlineStr">
        <is>
          <t>HN</t>
        </is>
      </c>
      <c r="H3751" s="402" t="n"/>
      <c r="J3751" s="392">
        <f>IFERROR(UPPER(TRIM(B3751))&amp;"|"&amp;UPPER(TRIM(C3751))&amp;"|"&amp;UPPER(TRIM(D3751)),"")</f>
        <v/>
      </c>
    </row>
    <row r="3752" ht="15.75" customHeight="1" s="217">
      <c r="A3752" s="397" t="n">
        <v>3750</v>
      </c>
      <c r="B3752" s="397" t="inlineStr">
        <is>
          <t>KH0042</t>
        </is>
      </c>
      <c r="C3752" s="398" t="inlineStr">
        <is>
          <t>Chú Liêm - Cà Mau/ 0913.738.681</t>
        </is>
      </c>
      <c r="D3752" s="397" t="inlineStr">
        <is>
          <t>0913.738.681</t>
        </is>
      </c>
      <c r="E3752" s="399" t="n"/>
      <c r="F3752" s="398" t="inlineStr">
        <is>
          <t>Cà Mau</t>
        </is>
      </c>
      <c r="G3752" s="397" t="inlineStr">
        <is>
          <t>CMAU</t>
        </is>
      </c>
      <c r="H3752" s="397" t="inlineStr">
        <is>
          <t>Gửi chành Diễm Phước</t>
        </is>
      </c>
      <c r="J3752" s="392">
        <f>IFERROR(UPPER(TRIM(B3752))&amp;"|"&amp;UPPER(TRIM(C3752))&amp;"|"&amp;UPPER(TRIM(D3752)),"")</f>
        <v/>
      </c>
    </row>
    <row r="3753" ht="15.75" customHeight="1" s="217">
      <c r="A3753" s="400" t="n">
        <v>3751</v>
      </c>
      <c r="B3753" s="400" t="inlineStr">
        <is>
          <t>KH00348</t>
        </is>
      </c>
      <c r="C3753" s="401" t="inlineStr">
        <is>
          <t>Công ty TNHH Triệu Long Giang/ A Thanh 0937.228.833, A Giang 0903.833.033</t>
        </is>
      </c>
      <c r="D3753" s="400" t="inlineStr">
        <is>
          <t>0937.228.833 / 0903.833.033</t>
        </is>
      </c>
      <c r="E3753" s="402" t="n"/>
      <c r="F3753" s="401" t="inlineStr">
        <is>
          <t>Sài Gòn</t>
        </is>
      </c>
      <c r="G3753" s="400" t="inlineStr">
        <is>
          <t>SG/HCM</t>
        </is>
      </c>
      <c r="H3753" s="402" t="n"/>
      <c r="J3753" s="392">
        <f>IFERROR(UPPER(TRIM(B3753))&amp;"|"&amp;UPPER(TRIM(C3753))&amp;"|"&amp;UPPER(TRIM(D3753)),"")</f>
        <v/>
      </c>
    </row>
    <row r="3754" ht="15.75" customHeight="1" s="217">
      <c r="A3754" s="397" t="n">
        <v>3752</v>
      </c>
      <c r="B3754" s="397" t="inlineStr">
        <is>
          <t>KH00349</t>
        </is>
      </c>
      <c r="C3754" s="398" t="inlineStr">
        <is>
          <t>Chú Hùng-Sóc Trăng/0918.362.313</t>
        </is>
      </c>
      <c r="D3754" s="397" t="inlineStr">
        <is>
          <t>0918.362.313</t>
        </is>
      </c>
      <c r="E3754" s="399" t="n"/>
      <c r="F3754" s="398" t="inlineStr">
        <is>
          <t>TX Trần Đề-Sóc Trăng</t>
        </is>
      </c>
      <c r="G3754" s="397" t="inlineStr">
        <is>
          <t>STRANG</t>
        </is>
      </c>
      <c r="H3754" s="399" t="n"/>
      <c r="J3754" s="392">
        <f>IFERROR(UPPER(TRIM(B3754))&amp;"|"&amp;UPPER(TRIM(C3754))&amp;"|"&amp;UPPER(TRIM(D3754)),"")</f>
        <v/>
      </c>
    </row>
    <row r="3755" ht="15.75" customHeight="1" s="217">
      <c r="A3755" s="400" t="n">
        <v>3753</v>
      </c>
      <c r="B3755" s="400" t="inlineStr">
        <is>
          <t>KH00347</t>
        </is>
      </c>
      <c r="C3755" s="401" t="inlineStr">
        <is>
          <t>Anh Minh - Bảo Lộc/ 0975.179.179</t>
        </is>
      </c>
      <c r="D3755" s="400" t="inlineStr">
        <is>
          <t>0975.179.179</t>
        </is>
      </c>
      <c r="E3755" s="402" t="n"/>
      <c r="F3755" s="401" t="inlineStr">
        <is>
          <t>Bảo Lộc, Lâm Đồng</t>
        </is>
      </c>
      <c r="G3755" s="400" t="inlineStr">
        <is>
          <t>LDONG</t>
        </is>
      </c>
      <c r="H3755" s="402" t="n"/>
      <c r="J3755" s="392">
        <f>IFERROR(UPPER(TRIM(B3755))&amp;"|"&amp;UPPER(TRIM(C3755))&amp;"|"&amp;UPPER(TRIM(D3755)),"")</f>
        <v/>
      </c>
    </row>
    <row r="3756" ht="15.75" customHeight="1" s="217">
      <c r="A3756" s="397" t="n">
        <v>3754</v>
      </c>
      <c r="B3756" s="397" t="inlineStr">
        <is>
          <t>KH00346</t>
        </is>
      </c>
      <c r="C3756" s="398" t="inlineStr">
        <is>
          <t>Cửa hàng Thanh Thủy - Kiên Giang/ 0918.526.795</t>
        </is>
      </c>
      <c r="D3756" s="397" t="inlineStr">
        <is>
          <t>0918.526.795</t>
        </is>
      </c>
      <c r="E3756" s="399" t="n"/>
      <c r="F3756" s="398" t="inlineStr">
        <is>
          <t>Kiêm Ngương, Hà Tiên, Kiên Giang</t>
        </is>
      </c>
      <c r="G3756" s="397" t="inlineStr">
        <is>
          <t>KG</t>
        </is>
      </c>
      <c r="H3756" s="399" t="n"/>
      <c r="J3756" s="392">
        <f>IFERROR(UPPER(TRIM(B3756))&amp;"|"&amp;UPPER(TRIM(C3756))&amp;"|"&amp;UPPER(TRIM(D3756)),"")</f>
        <v/>
      </c>
    </row>
    <row r="3757" ht="15.75" customHeight="1" s="217">
      <c r="A3757" s="400" t="n">
        <v>3755</v>
      </c>
      <c r="B3757" s="400" t="inlineStr">
        <is>
          <t>KH00343</t>
        </is>
      </c>
      <c r="C3757" s="401" t="inlineStr">
        <is>
          <t>Xưởng anh Nam - Sài Gòn/ 0918.384.215</t>
        </is>
      </c>
      <c r="D3757" s="400" t="inlineStr">
        <is>
          <t>0918.384.215</t>
        </is>
      </c>
      <c r="E3757" s="402" t="n"/>
      <c r="F3757" s="401" t="inlineStr">
        <is>
          <t>Sài Gòn</t>
        </is>
      </c>
      <c r="G3757" s="400" t="inlineStr">
        <is>
          <t>SG/HCM</t>
        </is>
      </c>
      <c r="H3757" s="402" t="n"/>
      <c r="J3757" s="392">
        <f>IFERROR(UPPER(TRIM(B3757))&amp;"|"&amp;UPPER(TRIM(C3757))&amp;"|"&amp;UPPER(TRIM(D3757)),"")</f>
        <v/>
      </c>
    </row>
    <row r="3758" ht="15.75" customHeight="1" s="217">
      <c r="A3758" s="397" t="n">
        <v>3756</v>
      </c>
      <c r="B3758" s="397" t="inlineStr">
        <is>
          <t>KH00344</t>
        </is>
      </c>
      <c r="C3758" s="398" t="inlineStr">
        <is>
          <t>Anh Tuấn - Gia Lai/ 0982.186.752</t>
        </is>
      </c>
      <c r="D3758" s="397" t="inlineStr">
        <is>
          <t>0982.186.752</t>
        </is>
      </c>
      <c r="E3758" s="399" t="n"/>
      <c r="F3758" s="398" t="inlineStr">
        <is>
          <t>TP Pleiku, Gia Lai</t>
        </is>
      </c>
      <c r="G3758" s="397" t="inlineStr">
        <is>
          <t>GLAI</t>
        </is>
      </c>
      <c r="H3758" s="399" t="n"/>
      <c r="J3758" s="392">
        <f>IFERROR(UPPER(TRIM(B3758))&amp;"|"&amp;UPPER(TRIM(C3758))&amp;"|"&amp;UPPER(TRIM(D3758)),"")</f>
        <v/>
      </c>
    </row>
    <row r="3759" ht="15.75" customHeight="1" s="217">
      <c r="A3759" s="400" t="n">
        <v>3757</v>
      </c>
      <c r="B3759" s="400" t="inlineStr">
        <is>
          <t>KH00345</t>
        </is>
      </c>
      <c r="C3759" s="401" t="inlineStr">
        <is>
          <t>Xưởng anh Tám - Bình Dương/ 0939.224.471</t>
        </is>
      </c>
      <c r="D3759" s="400" t="inlineStr">
        <is>
          <t>0939.224.471</t>
        </is>
      </c>
      <c r="E3759" s="402" t="n"/>
      <c r="F3759" s="401" t="inlineStr">
        <is>
          <t>Phú Giáo, Bình Dương</t>
        </is>
      </c>
      <c r="G3759" s="400" t="inlineStr">
        <is>
          <t>BDUONG</t>
        </is>
      </c>
      <c r="H3759" s="402" t="n"/>
      <c r="J3759" s="392">
        <f>IFERROR(UPPER(TRIM(B3759))&amp;"|"&amp;UPPER(TRIM(C3759))&amp;"|"&amp;UPPER(TRIM(D3759)),"")</f>
        <v/>
      </c>
    </row>
    <row r="3760" ht="15.75" customHeight="1" s="217">
      <c r="A3760" s="397" t="n">
        <v>3758</v>
      </c>
      <c r="B3760" s="397" t="inlineStr">
        <is>
          <t>KH00342</t>
        </is>
      </c>
      <c r="C3760" s="398" t="inlineStr">
        <is>
          <t>Cơ Giới Vũ - Đức Trọng/ Anh Thạch: 0909.065.978 - 0383.082.026</t>
        </is>
      </c>
      <c r="D3760" s="397" t="inlineStr">
        <is>
          <t>0909.065.978 / 0383.082.026</t>
        </is>
      </c>
      <c r="E3760" s="399" t="n"/>
      <c r="F3760" s="398" t="inlineStr">
        <is>
          <t>12/4 An Hiệp, Liên Hiệp, Đức Trọng, Lâm Đồng</t>
        </is>
      </c>
      <c r="G3760" s="397" t="inlineStr">
        <is>
          <t>LDONG</t>
        </is>
      </c>
      <c r="H3760" s="399" t="n"/>
      <c r="J3760" s="392">
        <f>IFERROR(UPPER(TRIM(B3760))&amp;"|"&amp;UPPER(TRIM(C3760))&amp;"|"&amp;UPPER(TRIM(D3760)),"")</f>
        <v/>
      </c>
    </row>
    <row r="3761" ht="15.75" customHeight="1" s="217">
      <c r="A3761" s="400" t="n">
        <v>3759</v>
      </c>
      <c r="B3761" s="400" t="inlineStr">
        <is>
          <t>KH00341</t>
        </is>
      </c>
      <c r="C3761" s="401" t="inlineStr">
        <is>
          <t>Xưởng anh Đình - CH Minh Ngọc - Bảo Lộc/ 0909.619.091</t>
        </is>
      </c>
      <c r="D3761" s="400" t="inlineStr">
        <is>
          <t>0909.619.091</t>
        </is>
      </c>
      <c r="E3761" s="402" t="n"/>
      <c r="F3761" s="401" t="inlineStr">
        <is>
          <t>Bảo Lộc, Lâm Đồng</t>
        </is>
      </c>
      <c r="G3761" s="400" t="inlineStr">
        <is>
          <t>LDONG</t>
        </is>
      </c>
      <c r="H3761" s="402" t="n"/>
      <c r="J3761" s="392">
        <f>IFERROR(UPPER(TRIM(B3761))&amp;"|"&amp;UPPER(TRIM(C3761))&amp;"|"&amp;UPPER(TRIM(D3761)),"")</f>
        <v/>
      </c>
    </row>
    <row r="3762" ht="15.75" customHeight="1" s="217">
      <c r="A3762" s="397" t="n">
        <v>3760</v>
      </c>
      <c r="B3762" s="397" t="inlineStr">
        <is>
          <t>KH00339</t>
        </is>
      </c>
      <c r="C3762" s="398" t="inlineStr">
        <is>
          <t>Anh Thủy - Sài Gòn/ 0909.816.292</t>
        </is>
      </c>
      <c r="D3762" s="397" t="inlineStr">
        <is>
          <t>0909.816.292</t>
        </is>
      </c>
      <c r="E3762" s="399" t="n"/>
      <c r="F3762" s="398" t="inlineStr">
        <is>
          <t>Sài Gòn</t>
        </is>
      </c>
      <c r="G3762" s="397" t="inlineStr">
        <is>
          <t>SG/HCM</t>
        </is>
      </c>
      <c r="H3762" s="399" t="n"/>
      <c r="J3762" s="392">
        <f>IFERROR(UPPER(TRIM(B3762))&amp;"|"&amp;UPPER(TRIM(C3762))&amp;"|"&amp;UPPER(TRIM(D3762)),"")</f>
        <v/>
      </c>
    </row>
    <row r="3763" ht="15.75" customHeight="1" s="217">
      <c r="A3763" s="400" t="n">
        <v>3761</v>
      </c>
      <c r="B3763" s="400" t="inlineStr">
        <is>
          <t>KH00340</t>
        </is>
      </c>
      <c r="C3763" s="401" t="inlineStr">
        <is>
          <t>Công ty TNHH XD-DV Tân Việt - SG/ 0913.727.032</t>
        </is>
      </c>
      <c r="D3763" s="400" t="inlineStr">
        <is>
          <t>0913.727.032</t>
        </is>
      </c>
      <c r="E3763" s="402" t="n"/>
      <c r="F3763" s="401" t="inlineStr">
        <is>
          <t>Sài Gòn</t>
        </is>
      </c>
      <c r="G3763" s="400" t="inlineStr">
        <is>
          <t>SG/HCM</t>
        </is>
      </c>
      <c r="H3763" s="402" t="n"/>
      <c r="J3763" s="392">
        <f>IFERROR(UPPER(TRIM(B3763))&amp;"|"&amp;UPPER(TRIM(C3763))&amp;"|"&amp;UPPER(TRIM(D3763)),"")</f>
        <v/>
      </c>
    </row>
    <row r="3764" ht="15.75" customHeight="1" s="217">
      <c r="A3764" s="397" t="n">
        <v>3762</v>
      </c>
      <c r="B3764" s="397" t="inlineStr">
        <is>
          <t>KH00336</t>
        </is>
      </c>
      <c r="C3764" s="398" t="inlineStr">
        <is>
          <t>CTY CP ĐT XD&amp;TM Sơn Hà/ 0985.439.961</t>
        </is>
      </c>
      <c r="D3764" s="397" t="inlineStr">
        <is>
          <t>0985.439.961</t>
        </is>
      </c>
      <c r="E3764" s="399" t="n"/>
      <c r="F3764" s="398" t="inlineStr">
        <is>
          <t>Kiên Giang</t>
        </is>
      </c>
      <c r="G3764" s="397" t="inlineStr">
        <is>
          <t>KG</t>
        </is>
      </c>
      <c r="H3764" s="399" t="n"/>
      <c r="J3764" s="392">
        <f>IFERROR(UPPER(TRIM(B3764))&amp;"|"&amp;UPPER(TRIM(C3764))&amp;"|"&amp;UPPER(TRIM(D3764)),"")</f>
        <v/>
      </c>
    </row>
    <row r="3765" ht="15.75" customHeight="1" s="217">
      <c r="A3765" s="400" t="n">
        <v>3763</v>
      </c>
      <c r="B3765" s="400" t="inlineStr">
        <is>
          <t>KH00337</t>
        </is>
      </c>
      <c r="C3765" s="401" t="inlineStr">
        <is>
          <t>Bãi Máy Chú An - Sau chợ đầu mối Thủ Đức / 0913.723.983</t>
        </is>
      </c>
      <c r="D3765" s="400" t="inlineStr">
        <is>
          <t>0913.723.983</t>
        </is>
      </c>
      <c r="E3765" s="402" t="n"/>
      <c r="F3765" s="401" t="inlineStr">
        <is>
          <t>Thủ Đức - TP. HCM</t>
        </is>
      </c>
      <c r="G3765" s="400" t="inlineStr">
        <is>
          <t>SG/HCM</t>
        </is>
      </c>
      <c r="H3765" s="402" t="n"/>
      <c r="J3765" s="392">
        <f>IFERROR(UPPER(TRIM(B3765))&amp;"|"&amp;UPPER(TRIM(C3765))&amp;"|"&amp;UPPER(TRIM(D3765)),"")</f>
        <v/>
      </c>
    </row>
    <row r="3766" ht="15.75" customHeight="1" s="217">
      <c r="A3766" s="397" t="n">
        <v>3764</v>
      </c>
      <c r="B3766" s="397" t="inlineStr">
        <is>
          <t>KH00338</t>
        </is>
      </c>
      <c r="C3766" s="398" t="inlineStr">
        <is>
          <t>Xưởng anh Thành - Bình Phước/ 0919.775.799</t>
        </is>
      </c>
      <c r="D3766" s="397" t="inlineStr">
        <is>
          <t>0919.775.799</t>
        </is>
      </c>
      <c r="E3766" s="399" t="n"/>
      <c r="F3766" s="398" t="inlineStr">
        <is>
          <t>TX Đồng Xoài, Bình Phước</t>
        </is>
      </c>
      <c r="G3766" s="397" t="inlineStr">
        <is>
          <t>BP</t>
        </is>
      </c>
      <c r="H3766" s="399" t="n"/>
      <c r="J3766" s="392">
        <f>IFERROR(UPPER(TRIM(B3766))&amp;"|"&amp;UPPER(TRIM(C3766))&amp;"|"&amp;UPPER(TRIM(D3766)),"")</f>
        <v/>
      </c>
    </row>
    <row r="3767" ht="15.75" customHeight="1" s="217">
      <c r="A3767" s="400" t="n">
        <v>3765</v>
      </c>
      <c r="B3767" s="400" t="inlineStr">
        <is>
          <t>KH00335</t>
        </is>
      </c>
      <c r="C3767" s="401" t="inlineStr">
        <is>
          <t>Cửa hàng Anh Bo - Long An/ 0989.694.299 - 0902.842.124</t>
        </is>
      </c>
      <c r="D3767" s="400" t="inlineStr">
        <is>
          <t>0989.694.299 / 0902.842.124</t>
        </is>
      </c>
      <c r="E3767" s="402" t="n"/>
      <c r="F3767" s="401" t="inlineStr">
        <is>
          <t>Long An</t>
        </is>
      </c>
      <c r="G3767" s="400" t="inlineStr">
        <is>
          <t>LA</t>
        </is>
      </c>
      <c r="H3767" s="402" t="n"/>
      <c r="J3767" s="392">
        <f>IFERROR(UPPER(TRIM(B3767))&amp;"|"&amp;UPPER(TRIM(C3767))&amp;"|"&amp;UPPER(TRIM(D3767)),"")</f>
        <v/>
      </c>
    </row>
    <row r="3768" ht="15.75" customHeight="1" s="217">
      <c r="A3768" s="397" t="n">
        <v>3766</v>
      </c>
      <c r="B3768" s="397" t="inlineStr">
        <is>
          <t>KH00334</t>
        </is>
      </c>
      <c r="C3768" s="398" t="inlineStr">
        <is>
          <t>Anh Đức - Campuchia/ 0909.212.886</t>
        </is>
      </c>
      <c r="D3768" s="397" t="inlineStr">
        <is>
          <t>0909.212.886</t>
        </is>
      </c>
      <c r="E3768" s="399" t="n"/>
      <c r="F3768" s="398" t="inlineStr">
        <is>
          <t>Campuchia</t>
        </is>
      </c>
      <c r="G3768" s="397" t="inlineStr">
        <is>
          <t>CPC</t>
        </is>
      </c>
      <c r="H3768" s="399" t="n"/>
      <c r="J3768" s="392">
        <f>IFERROR(UPPER(TRIM(B3768))&amp;"|"&amp;UPPER(TRIM(C3768))&amp;"|"&amp;UPPER(TRIM(D3768)),"")</f>
        <v/>
      </c>
    </row>
    <row r="3769" ht="15.75" customHeight="1" s="217">
      <c r="A3769" s="400" t="n">
        <v>3767</v>
      </c>
      <c r="B3769" s="400" t="inlineStr">
        <is>
          <t>KH00333</t>
        </is>
      </c>
      <c r="C3769" s="401" t="inlineStr">
        <is>
          <t>Xưởng anh Danh - Phú Yên/ 0913.451.796</t>
        </is>
      </c>
      <c r="D3769" s="400" t="inlineStr">
        <is>
          <t>0913.451.796</t>
        </is>
      </c>
      <c r="E3769" s="402" t="n"/>
      <c r="F3769" s="401" t="inlineStr">
        <is>
          <t>TP Tuy Hòa, Phú Yên</t>
        </is>
      </c>
      <c r="G3769" s="400" t="inlineStr">
        <is>
          <t>PYEN</t>
        </is>
      </c>
      <c r="H3769" s="402" t="n"/>
      <c r="J3769" s="392">
        <f>IFERROR(UPPER(TRIM(B3769))&amp;"|"&amp;UPPER(TRIM(C3769))&amp;"|"&amp;UPPER(TRIM(D3769)),"")</f>
        <v/>
      </c>
    </row>
    <row r="3770" ht="15.75" customHeight="1" s="217">
      <c r="A3770" s="397" t="n">
        <v>3768</v>
      </c>
      <c r="B3770" s="397" t="inlineStr">
        <is>
          <t>KH00332</t>
        </is>
      </c>
      <c r="C3770" s="398" t="inlineStr">
        <is>
          <t>Anh Bình - Đà Nẵng/ 0983.226.002</t>
        </is>
      </c>
      <c r="D3770" s="397" t="inlineStr">
        <is>
          <t>0983.226.002</t>
        </is>
      </c>
      <c r="E3770" s="399" t="n"/>
      <c r="F3770" s="398" t="inlineStr">
        <is>
          <t>Đà Nẵng</t>
        </is>
      </c>
      <c r="G3770" s="397" t="inlineStr">
        <is>
          <t>DNANG</t>
        </is>
      </c>
      <c r="H3770" s="399" t="n"/>
      <c r="J3770" s="392">
        <f>IFERROR(UPPER(TRIM(B3770))&amp;"|"&amp;UPPER(TRIM(C3770))&amp;"|"&amp;UPPER(TRIM(D3770)),"")</f>
        <v/>
      </c>
    </row>
    <row r="3771" ht="15.75" customHeight="1" s="217">
      <c r="A3771" s="400" t="n">
        <v>3769</v>
      </c>
      <c r="B3771" s="400" t="inlineStr">
        <is>
          <t>KH00331</t>
        </is>
      </c>
      <c r="C3771" s="401" t="inlineStr">
        <is>
          <t>Công ty Nam Dương - Cần Thơ/ A.Vinh: 0983.158.939</t>
        </is>
      </c>
      <c r="D3771" s="400" t="inlineStr">
        <is>
          <t>0983.158.939</t>
        </is>
      </c>
      <c r="E3771" s="402" t="n"/>
      <c r="F3771" s="401" t="inlineStr">
        <is>
          <t>Cần Thơ</t>
        </is>
      </c>
      <c r="G3771" s="400" t="inlineStr">
        <is>
          <t>CTHO</t>
        </is>
      </c>
      <c r="H3771" s="402" t="n"/>
      <c r="J3771" s="392">
        <f>IFERROR(UPPER(TRIM(B3771))&amp;"|"&amp;UPPER(TRIM(C3771))&amp;"|"&amp;UPPER(TRIM(D3771)),"")</f>
        <v/>
      </c>
    </row>
    <row r="3772" ht="15.75" customHeight="1" s="217">
      <c r="A3772" s="397" t="n">
        <v>3770</v>
      </c>
      <c r="B3772" s="397" t="inlineStr">
        <is>
          <t>KH00330</t>
        </is>
      </c>
      <c r="C3772" s="398" t="inlineStr">
        <is>
          <t>Xưởng anh Tuấn - Đắklắk/ 0905.691.133</t>
        </is>
      </c>
      <c r="D3772" s="397" t="inlineStr">
        <is>
          <t>0905.691.133</t>
        </is>
      </c>
      <c r="E3772" s="399" t="n"/>
      <c r="F3772" s="398" t="inlineStr">
        <is>
          <t>Đắk Lắk</t>
        </is>
      </c>
      <c r="G3772" s="397" t="inlineStr">
        <is>
          <t>ÐL</t>
        </is>
      </c>
      <c r="H3772" s="399" t="n"/>
      <c r="J3772" s="392">
        <f>IFERROR(UPPER(TRIM(B3772))&amp;"|"&amp;UPPER(TRIM(C3772))&amp;"|"&amp;UPPER(TRIM(D3772)),"")</f>
        <v/>
      </c>
    </row>
    <row r="3773" ht="15.75" customHeight="1" s="217">
      <c r="A3773" s="400" t="n">
        <v>3771</v>
      </c>
      <c r="B3773" s="400" t="inlineStr">
        <is>
          <t>KH0041</t>
        </is>
      </c>
      <c r="C3773" s="401" t="inlineStr">
        <is>
          <t>Cửa hàng Vũ Liên - Đắk Mil. ĐT: 0966.844.004 / Fax: 05013.75.73.79</t>
        </is>
      </c>
      <c r="D3773" s="400" t="inlineStr">
        <is>
          <t>0966.844.004</t>
        </is>
      </c>
      <c r="E3773" s="402" t="n"/>
      <c r="F3773" s="401" t="inlineStr">
        <is>
          <t>Thị Trấn Đăk Mil, Đắc Nông</t>
        </is>
      </c>
      <c r="G3773" s="400" t="inlineStr">
        <is>
          <t>DNONG</t>
        </is>
      </c>
      <c r="H3773" s="402" t="n"/>
      <c r="J3773" s="392">
        <f>IFERROR(UPPER(TRIM(B3773))&amp;"|"&amp;UPPER(TRIM(C3773))&amp;"|"&amp;UPPER(TRIM(D3773)),"")</f>
        <v/>
      </c>
    </row>
    <row r="3774" ht="15.75" customHeight="1" s="217">
      <c r="A3774" s="397" t="n">
        <v>3772</v>
      </c>
      <c r="B3774" s="397" t="inlineStr">
        <is>
          <t>KH00329</t>
        </is>
      </c>
      <c r="C3774" s="398" t="inlineStr">
        <is>
          <t>Anh Hùng - Gia Lai /0989.981.819</t>
        </is>
      </c>
      <c r="D3774" s="397" t="inlineStr">
        <is>
          <t>0989.981.819</t>
        </is>
      </c>
      <c r="E3774" s="399" t="n"/>
      <c r="F3774" s="398" t="inlineStr">
        <is>
          <t>Gia Lai</t>
        </is>
      </c>
      <c r="G3774" s="397" t="inlineStr">
        <is>
          <t>GLAI</t>
        </is>
      </c>
      <c r="H3774" s="399" t="n"/>
      <c r="J3774" s="392">
        <f>IFERROR(UPPER(TRIM(B3774))&amp;"|"&amp;UPPER(TRIM(C3774))&amp;"|"&amp;UPPER(TRIM(D3774)),"")</f>
        <v/>
      </c>
    </row>
    <row r="3775" ht="15.75" customHeight="1" s="217">
      <c r="A3775" s="400" t="n">
        <v>3773</v>
      </c>
      <c r="B3775" s="400" t="inlineStr">
        <is>
          <t>KH0040</t>
        </is>
      </c>
      <c r="C3775" s="401" t="inlineStr">
        <is>
          <t>Anh Tám - ĐắkLắk/ 0972.371.423</t>
        </is>
      </c>
      <c r="D3775" s="400" t="inlineStr">
        <is>
          <t>0972.371.423</t>
        </is>
      </c>
      <c r="E3775" s="402" t="n"/>
      <c r="F3775" s="401" t="inlineStr">
        <is>
          <t>ĐắkLắk</t>
        </is>
      </c>
      <c r="G3775" s="400" t="inlineStr">
        <is>
          <t>SG/HCM</t>
        </is>
      </c>
      <c r="H3775" s="402" t="n"/>
      <c r="J3775" s="392">
        <f>IFERROR(UPPER(TRIM(B3775))&amp;"|"&amp;UPPER(TRIM(C3775))&amp;"|"&amp;UPPER(TRIM(D3775)),"")</f>
        <v/>
      </c>
    </row>
    <row r="3776" ht="15.75" customHeight="1" s="217">
      <c r="A3776" s="397" t="n">
        <v>3774</v>
      </c>
      <c r="B3776" s="397" t="inlineStr">
        <is>
          <t>KH0039</t>
        </is>
      </c>
      <c r="C3776" s="398" t="inlineStr">
        <is>
          <t>Anh Tài - Văn Bài/ 0974.966.207</t>
        </is>
      </c>
      <c r="D3776" s="397" t="inlineStr">
        <is>
          <t>0974.966.207</t>
        </is>
      </c>
      <c r="E3776" s="399" t="n"/>
      <c r="F3776" s="398" t="inlineStr">
        <is>
          <t>SG</t>
        </is>
      </c>
      <c r="G3776" s="397" t="inlineStr">
        <is>
          <t>SG/HCM</t>
        </is>
      </c>
      <c r="H3776" s="399" t="n"/>
      <c r="J3776" s="392">
        <f>IFERROR(UPPER(TRIM(B3776))&amp;"|"&amp;UPPER(TRIM(C3776))&amp;"|"&amp;UPPER(TRIM(D3776)),"")</f>
        <v/>
      </c>
    </row>
    <row r="3777" ht="15.75" customHeight="1" s="217">
      <c r="A3777" s="400" t="n">
        <v>3775</v>
      </c>
      <c r="B3777" s="400" t="inlineStr">
        <is>
          <t>MN20</t>
        </is>
      </c>
      <c r="C3777" s="401" t="inlineStr">
        <is>
          <t>Thuận - KD</t>
        </is>
      </c>
      <c r="D3777" s="402" t="n"/>
      <c r="E3777" s="402" t="n"/>
      <c r="F3777" s="401" t="inlineStr">
        <is>
          <t>CTCP Thiết bị Cơ giới Miền Nam</t>
        </is>
      </c>
      <c r="G3777" s="402" t="n"/>
      <c r="H3777" s="402" t="n"/>
      <c r="J3777" s="392">
        <f>IFERROR(UPPER(TRIM(B3777))&amp;"|"&amp;UPPER(TRIM(C3777))&amp;"|"&amp;UPPER(TRIM(D3777)),"")</f>
        <v/>
      </c>
    </row>
    <row r="3778" ht="15.75" customHeight="1" s="217">
      <c r="A3778" s="397" t="n">
        <v>3776</v>
      </c>
      <c r="B3778" s="397" t="inlineStr">
        <is>
          <t>KH0038</t>
        </is>
      </c>
      <c r="C3778" s="398" t="inlineStr">
        <is>
          <t>Anh Dũng - Suối Tiên/ 0908.876.311</t>
        </is>
      </c>
      <c r="D3778" s="397" t="inlineStr">
        <is>
          <t>0908.876.311</t>
        </is>
      </c>
      <c r="E3778" s="399" t="n"/>
      <c r="F3778" s="398" t="inlineStr">
        <is>
          <t>Suối Tiên</t>
        </is>
      </c>
      <c r="G3778" s="397" t="inlineStr">
        <is>
          <t>SG/HCM</t>
        </is>
      </c>
      <c r="H3778" s="399" t="n"/>
      <c r="J3778" s="392">
        <f>IFERROR(UPPER(TRIM(B3778))&amp;"|"&amp;UPPER(TRIM(C3778))&amp;"|"&amp;UPPER(TRIM(D3778)),"")</f>
        <v/>
      </c>
    </row>
    <row r="3779" ht="15.75" customHeight="1" s="217">
      <c r="A3779" s="400" t="n">
        <v>3777</v>
      </c>
      <c r="B3779" s="400" t="inlineStr">
        <is>
          <t>KH00328</t>
        </is>
      </c>
      <c r="C3779" s="401" t="inlineStr">
        <is>
          <t>Xưởng anh Quỳnh - Bảo Lộc/ 0905.028.808</t>
        </is>
      </c>
      <c r="D3779" s="400" t="inlineStr">
        <is>
          <t>0905.028.808</t>
        </is>
      </c>
      <c r="E3779" s="402" t="n"/>
      <c r="F3779" s="401" t="inlineStr">
        <is>
          <t>Bảo Lộc, Lâm Đồng</t>
        </is>
      </c>
      <c r="G3779" s="400" t="inlineStr">
        <is>
          <t>LDONG</t>
        </is>
      </c>
      <c r="H3779" s="402" t="n"/>
      <c r="J3779" s="392">
        <f>IFERROR(UPPER(TRIM(B3779))&amp;"|"&amp;UPPER(TRIM(C3779))&amp;"|"&amp;UPPER(TRIM(D3779)),"")</f>
        <v/>
      </c>
    </row>
    <row r="3780" ht="15.75" customHeight="1" s="217">
      <c r="A3780" s="397" t="n">
        <v>3778</v>
      </c>
      <c r="B3780" s="397" t="inlineStr">
        <is>
          <t>KH00327</t>
        </is>
      </c>
      <c r="C3780" s="398" t="inlineStr">
        <is>
          <t>Anh Cảnh - Gia Lai/ 0989.172.136</t>
        </is>
      </c>
      <c r="D3780" s="397" t="inlineStr">
        <is>
          <t>0989.172.136</t>
        </is>
      </c>
      <c r="E3780" s="399" t="n"/>
      <c r="F3780" s="398" t="inlineStr">
        <is>
          <t>Gia Lai</t>
        </is>
      </c>
      <c r="G3780" s="397" t="inlineStr">
        <is>
          <t>GLAI</t>
        </is>
      </c>
      <c r="H3780" s="399" t="n"/>
      <c r="J3780" s="392">
        <f>IFERROR(UPPER(TRIM(B3780))&amp;"|"&amp;UPPER(TRIM(C3780))&amp;"|"&amp;UPPER(TRIM(D3780)),"")</f>
        <v/>
      </c>
    </row>
    <row r="3781" ht="15.75" customHeight="1" s="217">
      <c r="A3781" s="400" t="n">
        <v>3779</v>
      </c>
      <c r="B3781" s="400" t="inlineStr">
        <is>
          <t>KH0037</t>
        </is>
      </c>
      <c r="C3781" s="401" t="inlineStr">
        <is>
          <t>Anh Tân - BXMT/ 0908.349.329</t>
        </is>
      </c>
      <c r="D3781" s="400" t="inlineStr">
        <is>
          <t>0908.349.329</t>
        </is>
      </c>
      <c r="E3781" s="402" t="n"/>
      <c r="F3781" s="401" t="inlineStr">
        <is>
          <t>Bến xe Miền Tây, SG</t>
        </is>
      </c>
      <c r="G3781" s="400" t="inlineStr">
        <is>
          <t>SG/HCM</t>
        </is>
      </c>
      <c r="H3781" s="402" t="n"/>
      <c r="J3781" s="392">
        <f>IFERROR(UPPER(TRIM(B3781))&amp;"|"&amp;UPPER(TRIM(C3781))&amp;"|"&amp;UPPER(TRIM(D3781)),"")</f>
        <v/>
      </c>
    </row>
    <row r="3782" ht="15.75" customHeight="1" s="217">
      <c r="A3782" s="397" t="n">
        <v>3780</v>
      </c>
      <c r="B3782" s="397" t="inlineStr">
        <is>
          <t>KH00326</t>
        </is>
      </c>
      <c r="C3782" s="398" t="inlineStr">
        <is>
          <t>Chú Chiến - Kiên Giang/ 0913.994.863</t>
        </is>
      </c>
      <c r="D3782" s="397" t="inlineStr">
        <is>
          <t>0913.994.863</t>
        </is>
      </c>
      <c r="E3782" s="399" t="n"/>
      <c r="F3782" s="398" t="inlineStr">
        <is>
          <t>Hòn Đất, Kiên Giang</t>
        </is>
      </c>
      <c r="G3782" s="397" t="inlineStr">
        <is>
          <t>KG</t>
        </is>
      </c>
      <c r="H3782" s="399" t="n"/>
      <c r="J3782" s="392">
        <f>IFERROR(UPPER(TRIM(B3782))&amp;"|"&amp;UPPER(TRIM(C3782))&amp;"|"&amp;UPPER(TRIM(D3782)),"")</f>
        <v/>
      </c>
    </row>
    <row r="3783" ht="15.75" customHeight="1" s="217">
      <c r="A3783" s="400" t="n">
        <v>3781</v>
      </c>
      <c r="B3783" s="400" t="inlineStr">
        <is>
          <t>MN19</t>
        </is>
      </c>
      <c r="C3783" s="401" t="inlineStr">
        <is>
          <t>Võ Quốc Lộc</t>
        </is>
      </c>
      <c r="D3783" s="402" t="n"/>
      <c r="E3783" s="402" t="n"/>
      <c r="F3783" s="401" t="inlineStr">
        <is>
          <t>CTCP Thiết bị Cơ giới Miền Nam</t>
        </is>
      </c>
      <c r="G3783" s="402" t="n"/>
      <c r="H3783" s="402" t="n"/>
      <c r="J3783" s="392">
        <f>IFERROR(UPPER(TRIM(B3783))&amp;"|"&amp;UPPER(TRIM(C3783))&amp;"|"&amp;UPPER(TRIM(D3783)),"")</f>
        <v/>
      </c>
    </row>
    <row r="3784" ht="15.75" customHeight="1" s="217">
      <c r="A3784" s="397" t="n">
        <v>3782</v>
      </c>
      <c r="B3784" s="397" t="inlineStr">
        <is>
          <t>KH00325</t>
        </is>
      </c>
      <c r="C3784" s="398" t="inlineStr">
        <is>
          <t>Xưởng anh Hiệp - Bình Thuận/ 0918.806.469</t>
        </is>
      </c>
      <c r="D3784" s="397" t="inlineStr">
        <is>
          <t>0918.806.469</t>
        </is>
      </c>
      <c r="E3784" s="399" t="n"/>
      <c r="F3784" s="398" t="inlineStr">
        <is>
          <t>Bình Thuận</t>
        </is>
      </c>
      <c r="G3784" s="397" t="inlineStr">
        <is>
          <t>BTHUAN</t>
        </is>
      </c>
      <c r="H3784" s="399" t="n"/>
      <c r="J3784" s="392">
        <f>IFERROR(UPPER(TRIM(B3784))&amp;"|"&amp;UPPER(TRIM(C3784))&amp;"|"&amp;UPPER(TRIM(D3784)),"")</f>
        <v/>
      </c>
    </row>
    <row r="3785" ht="15.75" customHeight="1" s="217">
      <c r="A3785" s="400" t="n">
        <v>3783</v>
      </c>
      <c r="B3785" s="400" t="inlineStr">
        <is>
          <t>KH00324</t>
        </is>
      </c>
      <c r="C3785" s="401" t="inlineStr">
        <is>
          <t>Xưởng Hữu Đức - Gia Lai/ 0907.474.517</t>
        </is>
      </c>
      <c r="D3785" s="400" t="inlineStr">
        <is>
          <t>0907.474.517</t>
        </is>
      </c>
      <c r="E3785" s="402" t="n"/>
      <c r="F3785" s="401" t="inlineStr">
        <is>
          <t>Chư Sê, Gia Lai</t>
        </is>
      </c>
      <c r="G3785" s="400" t="inlineStr">
        <is>
          <t>GLAI</t>
        </is>
      </c>
      <c r="H3785" s="402" t="n"/>
      <c r="J3785" s="392">
        <f>IFERROR(UPPER(TRIM(B3785))&amp;"|"&amp;UPPER(TRIM(C3785))&amp;"|"&amp;UPPER(TRIM(D3785)),"")</f>
        <v/>
      </c>
    </row>
    <row r="3786" ht="15.75" customHeight="1" s="217">
      <c r="A3786" s="397" t="n">
        <v>3784</v>
      </c>
      <c r="B3786" s="397" t="inlineStr">
        <is>
          <t>KH00323</t>
        </is>
      </c>
      <c r="C3786" s="398" t="inlineStr">
        <is>
          <t>Xưởng chú Tường - Phan Thiết/ 0919.003.462</t>
        </is>
      </c>
      <c r="D3786" s="397" t="inlineStr">
        <is>
          <t>0919.003.462</t>
        </is>
      </c>
      <c r="E3786" s="399" t="n"/>
      <c r="F3786" s="398" t="inlineStr">
        <is>
          <t>Phan Thiết, Bình Thuận</t>
        </is>
      </c>
      <c r="G3786" s="397" t="inlineStr">
        <is>
          <t>BTHUAN</t>
        </is>
      </c>
      <c r="H3786" s="399" t="n"/>
      <c r="J3786" s="392">
        <f>IFERROR(UPPER(TRIM(B3786))&amp;"|"&amp;UPPER(TRIM(C3786))&amp;"|"&amp;UPPER(TRIM(D3786)),"")</f>
        <v/>
      </c>
    </row>
    <row r="3787" ht="15.75" customHeight="1" s="217">
      <c r="A3787" s="400" t="n">
        <v>3785</v>
      </c>
      <c r="B3787" s="400" t="inlineStr">
        <is>
          <t>KH00322</t>
        </is>
      </c>
      <c r="C3787" s="401" t="inlineStr">
        <is>
          <t>Doanh Nghiệp Tư Nhân Trường Phúc</t>
        </is>
      </c>
      <c r="D3787" s="402" t="n"/>
      <c r="E3787" s="402" t="n"/>
      <c r="F3787" s="401" t="inlineStr">
        <is>
          <t>18A/11 KP. Thắng Lợi, TX. Dĩ An, Bình Dương</t>
        </is>
      </c>
      <c r="G3787" s="402" t="n"/>
      <c r="H3787" s="402" t="n"/>
      <c r="J3787" s="392">
        <f>IFERROR(UPPER(TRIM(B3787))&amp;"|"&amp;UPPER(TRIM(C3787))&amp;"|"&amp;UPPER(TRIM(D3787)),"")</f>
        <v/>
      </c>
    </row>
    <row r="3788" ht="15.75" customHeight="1" s="217">
      <c r="A3788" s="397" t="n">
        <v>3786</v>
      </c>
      <c r="B3788" s="397" t="inlineStr">
        <is>
          <t>KH00321</t>
        </is>
      </c>
      <c r="C3788" s="398" t="inlineStr">
        <is>
          <t>Công ty Cơ Giới Tiến Phát- SG/ 0973.258.273</t>
        </is>
      </c>
      <c r="D3788" s="397" t="inlineStr">
        <is>
          <t>0973.258.273</t>
        </is>
      </c>
      <c r="E3788" s="399" t="n"/>
      <c r="F3788" s="398" t="inlineStr">
        <is>
          <t>Ngã 3 Tân Vạn, SG</t>
        </is>
      </c>
      <c r="G3788" s="397" t="inlineStr">
        <is>
          <t>SG/HCM</t>
        </is>
      </c>
      <c r="H3788" s="399" t="n"/>
      <c r="J3788" s="392">
        <f>IFERROR(UPPER(TRIM(B3788))&amp;"|"&amp;UPPER(TRIM(C3788))&amp;"|"&amp;UPPER(TRIM(D3788)),"")</f>
        <v/>
      </c>
    </row>
    <row r="3789" ht="15.75" customHeight="1" s="217">
      <c r="A3789" s="400" t="n">
        <v>3787</v>
      </c>
      <c r="B3789" s="400" t="inlineStr">
        <is>
          <t>KH00320</t>
        </is>
      </c>
      <c r="C3789" s="401" t="inlineStr">
        <is>
          <t>Công ty TNHH XD&amp;Tư vấn Thiết kế Thái Hoàng - Ninh Thuận/ 0682.210.759-0987.620.689</t>
        </is>
      </c>
      <c r="D3789" s="400" t="inlineStr">
        <is>
          <t>0682.210.759</t>
        </is>
      </c>
      <c r="E3789" s="402" t="n"/>
      <c r="F3789" s="401" t="inlineStr">
        <is>
          <t>210 Đường 21/8, TP Phan Rang - Tháp Chàm, Ninh Thuận</t>
        </is>
      </c>
      <c r="G3789" s="400" t="inlineStr">
        <is>
          <t>NTHUAN</t>
        </is>
      </c>
      <c r="H3789" s="402" t="n"/>
      <c r="J3789" s="392">
        <f>IFERROR(UPPER(TRIM(B3789))&amp;"|"&amp;UPPER(TRIM(C3789))&amp;"|"&amp;UPPER(TRIM(D3789)),"")</f>
        <v/>
      </c>
    </row>
    <row r="3790" ht="15.75" customHeight="1" s="217">
      <c r="A3790" s="397" t="n">
        <v>3788</v>
      </c>
      <c r="B3790" s="397" t="inlineStr">
        <is>
          <t>KH00319</t>
        </is>
      </c>
      <c r="C3790" s="398" t="inlineStr">
        <is>
          <t>Anh Bảy - Bình Dương/ 0918.281.893</t>
        </is>
      </c>
      <c r="D3790" s="397" t="inlineStr">
        <is>
          <t>0918.281.893</t>
        </is>
      </c>
      <c r="E3790" s="399" t="n"/>
      <c r="F3790" s="398" t="inlineStr">
        <is>
          <t>Lái Thiêu - Bình Dương</t>
        </is>
      </c>
      <c r="G3790" s="399" t="n"/>
      <c r="H3790" s="399" t="n"/>
      <c r="J3790" s="392">
        <f>IFERROR(UPPER(TRIM(B3790))&amp;"|"&amp;UPPER(TRIM(C3790))&amp;"|"&amp;UPPER(TRIM(D3790)),"")</f>
        <v/>
      </c>
    </row>
    <row r="3791" ht="15.75" customHeight="1" s="217">
      <c r="A3791" s="400" t="n">
        <v>3789</v>
      </c>
      <c r="B3791" s="400" t="inlineStr">
        <is>
          <t>KH00318</t>
        </is>
      </c>
      <c r="C3791" s="401" t="inlineStr">
        <is>
          <t>Anh Tâm - QL13/ 0907.299.191</t>
        </is>
      </c>
      <c r="D3791" s="400" t="inlineStr">
        <is>
          <t>0907.299.191</t>
        </is>
      </c>
      <c r="E3791" s="402" t="n"/>
      <c r="F3791" s="401" t="inlineStr">
        <is>
          <t>712 Quốc lộ 13, Thủ Đức, TPHCM</t>
        </is>
      </c>
      <c r="G3791" s="400" t="inlineStr">
        <is>
          <t>SG/HCM</t>
        </is>
      </c>
      <c r="H3791" s="402" t="n"/>
      <c r="J3791" s="392">
        <f>IFERROR(UPPER(TRIM(B3791))&amp;"|"&amp;UPPER(TRIM(C3791))&amp;"|"&amp;UPPER(TRIM(D3791)),"")</f>
        <v/>
      </c>
    </row>
    <row r="3792" ht="15.75" customHeight="1" s="217">
      <c r="A3792" s="397" t="n">
        <v>3790</v>
      </c>
      <c r="B3792" s="397" t="inlineStr">
        <is>
          <t>MN18</t>
        </is>
      </c>
      <c r="C3792" s="398" t="inlineStr">
        <is>
          <t>Thắng</t>
        </is>
      </c>
      <c r="D3792" s="399" t="n"/>
      <c r="E3792" s="399" t="n"/>
      <c r="F3792" s="398" t="inlineStr">
        <is>
          <t>CTCP TB Cơ giới Miền Nam</t>
        </is>
      </c>
      <c r="G3792" s="399" t="n"/>
      <c r="H3792" s="399" t="n"/>
      <c r="J3792" s="392">
        <f>IFERROR(UPPER(TRIM(B3792))&amp;"|"&amp;UPPER(TRIM(C3792))&amp;"|"&amp;UPPER(TRIM(D3792)),"")</f>
        <v/>
      </c>
    </row>
    <row r="3793" ht="15.75" customHeight="1" s="217">
      <c r="A3793" s="400" t="n">
        <v>3791</v>
      </c>
      <c r="B3793" s="400" t="inlineStr">
        <is>
          <t>KH00317</t>
        </is>
      </c>
      <c r="C3793" s="401" t="inlineStr">
        <is>
          <t>Anh út - Hàng Xanh/ 0907.193.518</t>
        </is>
      </c>
      <c r="D3793" s="400" t="inlineStr">
        <is>
          <t>0907.193.518</t>
        </is>
      </c>
      <c r="E3793" s="402" t="n"/>
      <c r="F3793" s="401" t="inlineStr">
        <is>
          <t>Hàng Xanh, SG</t>
        </is>
      </c>
      <c r="G3793" s="400" t="inlineStr">
        <is>
          <t>SG/HCM</t>
        </is>
      </c>
      <c r="H3793" s="402" t="n"/>
      <c r="J3793" s="392">
        <f>IFERROR(UPPER(TRIM(B3793))&amp;"|"&amp;UPPER(TRIM(C3793))&amp;"|"&amp;UPPER(TRIM(D3793)),"")</f>
        <v/>
      </c>
    </row>
    <row r="3794" ht="15.75" customHeight="1" s="217">
      <c r="A3794" s="397" t="n">
        <v>3792</v>
      </c>
      <c r="B3794" s="397" t="inlineStr">
        <is>
          <t>KH00316</t>
        </is>
      </c>
      <c r="C3794" s="398" t="inlineStr">
        <is>
          <t>Cơ sở Dân Ký - SG/ 0909.024.986 - 0903.665.247</t>
        </is>
      </c>
      <c r="D3794" s="397" t="inlineStr">
        <is>
          <t>0909.024.986 / 0903.665.247</t>
        </is>
      </c>
      <c r="E3794" s="399" t="n"/>
      <c r="F3794" s="398" t="inlineStr">
        <is>
          <t>45/27-647 Khu phố 3, Quốc lộ 13, P. Hiệp Bình Phước, Q.Thủ Đức, TPHCM</t>
        </is>
      </c>
      <c r="G3794" s="397" t="inlineStr">
        <is>
          <t>SG/HCM</t>
        </is>
      </c>
      <c r="H3794" s="399" t="n"/>
      <c r="J3794" s="392">
        <f>IFERROR(UPPER(TRIM(B3794))&amp;"|"&amp;UPPER(TRIM(C3794))&amp;"|"&amp;UPPER(TRIM(D3794)),"")</f>
        <v/>
      </c>
    </row>
    <row r="3795" ht="15.75" customHeight="1" s="217">
      <c r="A3795" s="400" t="n">
        <v>3793</v>
      </c>
      <c r="B3795" s="400" t="inlineStr">
        <is>
          <t>KH00315</t>
        </is>
      </c>
      <c r="C3795" s="401" t="inlineStr">
        <is>
          <t>Xưởng Chú Dũng - Q12/ 0908.833.702</t>
        </is>
      </c>
      <c r="D3795" s="400" t="inlineStr">
        <is>
          <t>0908.833.702</t>
        </is>
      </c>
      <c r="E3795" s="402" t="n"/>
      <c r="F3795" s="401" t="inlineStr">
        <is>
          <t>Quận 12, HCM</t>
        </is>
      </c>
      <c r="G3795" s="400" t="inlineStr">
        <is>
          <t>SG/HCM</t>
        </is>
      </c>
      <c r="H3795" s="402" t="n"/>
      <c r="J3795" s="392">
        <f>IFERROR(UPPER(TRIM(B3795))&amp;"|"&amp;UPPER(TRIM(C3795))&amp;"|"&amp;UPPER(TRIM(D3795)),"")</f>
        <v/>
      </c>
    </row>
    <row r="3796" ht="15.75" customHeight="1" s="217">
      <c r="A3796" s="397" t="n">
        <v>3794</v>
      </c>
      <c r="B3796" s="397" t="inlineStr">
        <is>
          <t>KH00314</t>
        </is>
      </c>
      <c r="C3796" s="398" t="inlineStr">
        <is>
          <t>Anh Nghĩa - SG/ 0982.787.437</t>
        </is>
      </c>
      <c r="D3796" s="397" t="inlineStr">
        <is>
          <t>0982.787.437</t>
        </is>
      </c>
      <c r="E3796" s="399" t="n"/>
      <c r="F3796" s="398" t="inlineStr">
        <is>
          <t>Sài Gòn</t>
        </is>
      </c>
      <c r="G3796" s="397" t="inlineStr">
        <is>
          <t>SG/HCM</t>
        </is>
      </c>
      <c r="H3796" s="399" t="n"/>
      <c r="J3796" s="392">
        <f>IFERROR(UPPER(TRIM(B3796))&amp;"|"&amp;UPPER(TRIM(C3796))&amp;"|"&amp;UPPER(TRIM(D3796)),"")</f>
        <v/>
      </c>
    </row>
    <row r="3797" ht="15.75" customHeight="1" s="217">
      <c r="A3797" s="400" t="n">
        <v>3795</v>
      </c>
      <c r="B3797" s="400" t="inlineStr">
        <is>
          <t>KH00313</t>
        </is>
      </c>
      <c r="C3797" s="401" t="inlineStr">
        <is>
          <t>Cửa hàng anh Hiểu - Đà Nẵng/ 0965.410.579/0913.401.611- Fax : 05113.680.226</t>
        </is>
      </c>
      <c r="D3797" s="400" t="inlineStr">
        <is>
          <t>0965.410.579 / 0913.401.611- / 05113.680.226</t>
        </is>
      </c>
      <c r="E3797" s="402" t="n"/>
      <c r="F3797" s="401" t="inlineStr">
        <is>
          <t>143 Tôn Đức Thắng, TP Đà Nẵng</t>
        </is>
      </c>
      <c r="G3797" s="400" t="inlineStr">
        <is>
          <t>DNANG</t>
        </is>
      </c>
      <c r="H3797" s="402" t="n"/>
      <c r="J3797" s="392">
        <f>IFERROR(UPPER(TRIM(B3797))&amp;"|"&amp;UPPER(TRIM(C3797))&amp;"|"&amp;UPPER(TRIM(D3797)),"")</f>
        <v/>
      </c>
    </row>
    <row r="3798" ht="15.75" customHeight="1" s="217">
      <c r="A3798" s="397" t="n">
        <v>3796</v>
      </c>
      <c r="B3798" s="397" t="inlineStr">
        <is>
          <t>KH00312</t>
        </is>
      </c>
      <c r="C3798" s="398" t="inlineStr">
        <is>
          <t>Cửa hàng anh Vấn - Vũng Tàu/ 0974.826.868</t>
        </is>
      </c>
      <c r="D3798" s="397" t="inlineStr">
        <is>
          <t>0974.826.868</t>
        </is>
      </c>
      <c r="E3798" s="399" t="n"/>
      <c r="F3798" s="398" t="inlineStr">
        <is>
          <t>ấp Tân Châu, Xã Châu Pha, Tân Thành, BRVT</t>
        </is>
      </c>
      <c r="G3798" s="397" t="inlineStr">
        <is>
          <t>BRVT</t>
        </is>
      </c>
      <c r="H3798" s="397" t="inlineStr">
        <is>
          <t>A.Vấn: 0974.826.868</t>
        </is>
      </c>
      <c r="J3798" s="392">
        <f>IFERROR(UPPER(TRIM(B3798))&amp;"|"&amp;UPPER(TRIM(C3798))&amp;"|"&amp;UPPER(TRIM(D3798)),"")</f>
        <v/>
      </c>
    </row>
    <row r="3799" ht="15.75" customHeight="1" s="217">
      <c r="A3799" s="400" t="n">
        <v>3797</v>
      </c>
      <c r="B3799" s="400" t="inlineStr">
        <is>
          <t>KH00311</t>
        </is>
      </c>
      <c r="C3799" s="401" t="inlineStr">
        <is>
          <t>Anh Ngân - Campuchia/0855.975.665.999</t>
        </is>
      </c>
      <c r="D3799" s="400" t="inlineStr">
        <is>
          <t>0855.975.665.999</t>
        </is>
      </c>
      <c r="E3799" s="402" t="n"/>
      <c r="F3799" s="403" t="n"/>
      <c r="G3799" s="400" t="inlineStr">
        <is>
          <t>CPC</t>
        </is>
      </c>
      <c r="H3799" s="402" t="n"/>
      <c r="J3799" s="392">
        <f>IFERROR(UPPER(TRIM(B3799))&amp;"|"&amp;UPPER(TRIM(C3799))&amp;"|"&amp;UPPER(TRIM(D3799)),"")</f>
        <v/>
      </c>
    </row>
    <row r="3800" ht="15.75" customHeight="1" s="217">
      <c r="A3800" s="397" t="n">
        <v>3798</v>
      </c>
      <c r="B3800" s="397" t="inlineStr">
        <is>
          <t>KH00310</t>
        </is>
      </c>
      <c r="C3800" s="398" t="inlineStr">
        <is>
          <t>Công ty CP Bê tông 620 Long An/ anh Nhật: 0914.783.099</t>
        </is>
      </c>
      <c r="D3800" s="397" t="inlineStr">
        <is>
          <t>0914.783.099</t>
        </is>
      </c>
      <c r="E3800" s="399" t="n"/>
      <c r="F3800" s="398" t="inlineStr">
        <is>
          <t>ấp 2, xã An Thạnh, huyện Bến Lức, Long An</t>
        </is>
      </c>
      <c r="G3800" s="397" t="inlineStr">
        <is>
          <t>LA</t>
        </is>
      </c>
      <c r="H3800" s="397" t="inlineStr">
        <is>
          <t>từ ngày 14.01.2015</t>
        </is>
      </c>
      <c r="J3800" s="392">
        <f>IFERROR(UPPER(TRIM(B3800))&amp;"|"&amp;UPPER(TRIM(C3800))&amp;"|"&amp;UPPER(TRIM(D3800)),"")</f>
        <v/>
      </c>
    </row>
    <row r="3801" ht="15.75" customHeight="1" s="217">
      <c r="A3801" s="400" t="n">
        <v>3799</v>
      </c>
      <c r="B3801" s="400" t="inlineStr">
        <is>
          <t>MN17</t>
        </is>
      </c>
      <c r="C3801" s="401" t="inlineStr">
        <is>
          <t>Chính</t>
        </is>
      </c>
      <c r="D3801" s="402" t="n"/>
      <c r="E3801" s="402" t="n"/>
      <c r="F3801" s="401" t="inlineStr">
        <is>
          <t>CTCP Thiết bị Cơ giới Miền Nam</t>
        </is>
      </c>
      <c r="G3801" s="402" t="n"/>
      <c r="H3801" s="402" t="n"/>
      <c r="J3801" s="392">
        <f>IFERROR(UPPER(TRIM(B3801))&amp;"|"&amp;UPPER(TRIM(C3801))&amp;"|"&amp;UPPER(TRIM(D3801)),"")</f>
        <v/>
      </c>
    </row>
    <row r="3802" ht="15.75" customHeight="1" s="217">
      <c r="A3802" s="397" t="n">
        <v>3800</v>
      </c>
      <c r="B3802" s="397" t="inlineStr">
        <is>
          <t>KH00308</t>
        </is>
      </c>
      <c r="C3802" s="398" t="inlineStr">
        <is>
          <t>Xưởng anh Chung - Bình Phước/ 0944.505.779</t>
        </is>
      </c>
      <c r="D3802" s="397" t="inlineStr">
        <is>
          <t>0944.505.779</t>
        </is>
      </c>
      <c r="E3802" s="399" t="n"/>
      <c r="F3802" s="398" t="inlineStr">
        <is>
          <t>Bình Phước</t>
        </is>
      </c>
      <c r="G3802" s="397" t="inlineStr">
        <is>
          <t>BP</t>
        </is>
      </c>
      <c r="H3802" s="399" t="n"/>
      <c r="J3802" s="392">
        <f>IFERROR(UPPER(TRIM(B3802))&amp;"|"&amp;UPPER(TRIM(C3802))&amp;"|"&amp;UPPER(TRIM(D3802)),"")</f>
        <v/>
      </c>
    </row>
    <row r="3803" ht="15.75" customHeight="1" s="217">
      <c r="A3803" s="400" t="n">
        <v>3801</v>
      </c>
      <c r="B3803" s="400" t="inlineStr">
        <is>
          <t>KH00309</t>
        </is>
      </c>
      <c r="C3803" s="401" t="inlineStr">
        <is>
          <t>Công ty CP Xây dựng 26 - Huế/ A.Hùng: 0903.577.077</t>
        </is>
      </c>
      <c r="D3803" s="400" t="inlineStr">
        <is>
          <t>0903.577.077</t>
        </is>
      </c>
      <c r="E3803" s="402" t="n"/>
      <c r="F3803" s="401" t="inlineStr">
        <is>
          <t>Số 24A, đường Nguyễn Cư Trinh, TP Huế</t>
        </is>
      </c>
      <c r="G3803" s="400" t="inlineStr">
        <is>
          <t>HUE</t>
        </is>
      </c>
      <c r="H3803" s="402" t="n"/>
      <c r="J3803" s="392">
        <f>IFERROR(UPPER(TRIM(B3803))&amp;"|"&amp;UPPER(TRIM(C3803))&amp;"|"&amp;UPPER(TRIM(D3803)),"")</f>
        <v/>
      </c>
    </row>
    <row r="3804" ht="15.75" customHeight="1" s="217">
      <c r="A3804" s="397" t="n">
        <v>3802</v>
      </c>
      <c r="B3804" s="397" t="inlineStr">
        <is>
          <t>KH00307</t>
        </is>
      </c>
      <c r="C3804" s="398" t="inlineStr">
        <is>
          <t>Xưởng Hiệp Thạnh - ĐắkLắk/ 0982.313.516 - Fax: 05003.681.177</t>
        </is>
      </c>
      <c r="D3804" s="397" t="inlineStr">
        <is>
          <t>0982.313.516 / 05003.681.177</t>
        </is>
      </c>
      <c r="E3804" s="399" t="n"/>
      <c r="F3804" s="398" t="inlineStr">
        <is>
          <t>127 Trần Quý Cáp, TP Buôn Ma Thuột, ĐắkLắk</t>
        </is>
      </c>
      <c r="G3804" s="397" t="inlineStr">
        <is>
          <t>ÐL</t>
        </is>
      </c>
      <c r="H3804" s="399" t="n"/>
      <c r="J3804" s="392">
        <f>IFERROR(UPPER(TRIM(B3804))&amp;"|"&amp;UPPER(TRIM(C3804))&amp;"|"&amp;UPPER(TRIM(D3804)),"")</f>
        <v/>
      </c>
    </row>
    <row r="3805" ht="15.75" customHeight="1" s="217">
      <c r="A3805" s="400" t="n">
        <v>3803</v>
      </c>
      <c r="B3805" s="400" t="inlineStr">
        <is>
          <t>KH00306</t>
        </is>
      </c>
      <c r="C3805" s="401" t="inlineStr">
        <is>
          <t>Công ty CP Xây Dựng Công Trình Cửu Long/HCM</t>
        </is>
      </c>
      <c r="D3805" s="402" t="n"/>
      <c r="E3805" s="402" t="n"/>
      <c r="F3805" s="401" t="inlineStr">
        <is>
          <t>31/21Kha Vạn Cân, P. Hiệp Bình Chánh, Q. Thủ Đức, TP. HCM</t>
        </is>
      </c>
      <c r="G3805" s="400" t="inlineStr">
        <is>
          <t>SG/HCM</t>
        </is>
      </c>
      <c r="H3805" s="402" t="n"/>
      <c r="J3805" s="392">
        <f>IFERROR(UPPER(TRIM(B3805))&amp;"|"&amp;UPPER(TRIM(C3805))&amp;"|"&amp;UPPER(TRIM(D3805)),"")</f>
        <v/>
      </c>
    </row>
    <row r="3806" ht="15.75" customHeight="1" s="217">
      <c r="A3806" s="397" t="n">
        <v>3804</v>
      </c>
      <c r="B3806" s="397" t="inlineStr">
        <is>
          <t>KH00305</t>
        </is>
      </c>
      <c r="C3806" s="398" t="inlineStr">
        <is>
          <t>Xưởng Hoàng Sơn - SG/ 0913.903.240</t>
        </is>
      </c>
      <c r="D3806" s="397" t="inlineStr">
        <is>
          <t>0913.903.240</t>
        </is>
      </c>
      <c r="E3806" s="399" t="n"/>
      <c r="F3806" s="398" t="inlineStr">
        <is>
          <t>Sài Gòn</t>
        </is>
      </c>
      <c r="G3806" s="397" t="inlineStr">
        <is>
          <t>SG/HCM</t>
        </is>
      </c>
      <c r="H3806" s="399" t="n"/>
      <c r="J3806" s="392">
        <f>IFERROR(UPPER(TRIM(B3806))&amp;"|"&amp;UPPER(TRIM(C3806))&amp;"|"&amp;UPPER(TRIM(D3806)),"")</f>
        <v/>
      </c>
    </row>
    <row r="3807" ht="15.75" customHeight="1" s="217">
      <c r="A3807" s="400" t="n">
        <v>3805</v>
      </c>
      <c r="B3807" s="400" t="inlineStr">
        <is>
          <t>KH00304</t>
        </is>
      </c>
      <c r="C3807" s="401" t="inlineStr">
        <is>
          <t>Xưởng anh Hoa - Vũng Tàu/ 0972.233.057</t>
        </is>
      </c>
      <c r="D3807" s="400" t="inlineStr">
        <is>
          <t>0972.233.057</t>
        </is>
      </c>
      <c r="E3807" s="402" t="n"/>
      <c r="F3807" s="401" t="inlineStr">
        <is>
          <t>Bình Châu, Vũng Tàu</t>
        </is>
      </c>
      <c r="G3807" s="400" t="inlineStr">
        <is>
          <t>BRVT</t>
        </is>
      </c>
      <c r="H3807" s="402" t="n"/>
      <c r="J3807" s="392">
        <f>IFERROR(UPPER(TRIM(B3807))&amp;"|"&amp;UPPER(TRIM(C3807))&amp;"|"&amp;UPPER(TRIM(D3807)),"")</f>
        <v/>
      </c>
    </row>
    <row r="3808" ht="15.75" customHeight="1" s="217">
      <c r="A3808" s="397" t="n">
        <v>3806</v>
      </c>
      <c r="B3808" s="397" t="inlineStr">
        <is>
          <t>KH00303</t>
        </is>
      </c>
      <c r="C3808" s="398" t="inlineStr">
        <is>
          <t>Xưởng anh Hùng - Đắknông(L)/ 0976.526.899</t>
        </is>
      </c>
      <c r="D3808" s="397" t="inlineStr">
        <is>
          <t>0976.526.899</t>
        </is>
      </c>
      <c r="E3808" s="399" t="n"/>
      <c r="F3808" s="398" t="inlineStr">
        <is>
          <t>Đắk nông</t>
        </is>
      </c>
      <c r="G3808" s="397" t="inlineStr">
        <is>
          <t>DNONG</t>
        </is>
      </c>
      <c r="H3808" s="399" t="n"/>
      <c r="J3808" s="392">
        <f>IFERROR(UPPER(TRIM(B3808))&amp;"|"&amp;UPPER(TRIM(C3808))&amp;"|"&amp;UPPER(TRIM(D3808)),"")</f>
        <v/>
      </c>
    </row>
    <row r="3809" ht="15.75" customHeight="1" s="217">
      <c r="A3809" s="400" t="n">
        <v>3807</v>
      </c>
      <c r="B3809" s="400" t="inlineStr">
        <is>
          <t>MN15</t>
        </is>
      </c>
      <c r="C3809" s="401" t="inlineStr">
        <is>
          <t>Võ Thị Hoàng</t>
        </is>
      </c>
      <c r="D3809" s="402" t="n"/>
      <c r="E3809" s="402" t="n"/>
      <c r="F3809" s="401" t="inlineStr">
        <is>
          <t>CTCP Thiết bị cơ giới Miền Nam</t>
        </is>
      </c>
      <c r="G3809" s="402" t="n"/>
      <c r="H3809" s="402" t="n"/>
      <c r="J3809" s="392">
        <f>IFERROR(UPPER(TRIM(B3809))&amp;"|"&amp;UPPER(TRIM(C3809))&amp;"|"&amp;UPPER(TRIM(D3809)),"")</f>
        <v/>
      </c>
    </row>
    <row r="3810" ht="15.75" customHeight="1" s="217">
      <c r="A3810" s="397" t="n">
        <v>3808</v>
      </c>
      <c r="B3810" s="397" t="inlineStr">
        <is>
          <t>MN16</t>
        </is>
      </c>
      <c r="C3810" s="398" t="inlineStr">
        <is>
          <t>Đỗ Thị Thủy</t>
        </is>
      </c>
      <c r="D3810" s="399" t="n"/>
      <c r="E3810" s="399" t="n"/>
      <c r="F3810" s="398" t="inlineStr">
        <is>
          <t>CTCP Thiết bị Cơ giới Miền Nam</t>
        </is>
      </c>
      <c r="G3810" s="399" t="n"/>
      <c r="H3810" s="399" t="n"/>
      <c r="J3810" s="392">
        <f>IFERROR(UPPER(TRIM(B3810))&amp;"|"&amp;UPPER(TRIM(C3810))&amp;"|"&amp;UPPER(TRIM(D3810)),"")</f>
        <v/>
      </c>
    </row>
    <row r="3811" ht="15.75" customHeight="1" s="217">
      <c r="A3811" s="400" t="n">
        <v>3809</v>
      </c>
      <c r="B3811" s="400" t="inlineStr">
        <is>
          <t>KH00302</t>
        </is>
      </c>
      <c r="C3811" s="401" t="inlineStr">
        <is>
          <t>Xưởng tiện Anh Châu - Quốc lộ 13/ Anh Châu: 0903.338.153</t>
        </is>
      </c>
      <c r="D3811" s="400" t="inlineStr">
        <is>
          <t>0903.338.153</t>
        </is>
      </c>
      <c r="E3811" s="402" t="n"/>
      <c r="F3811" s="401" t="inlineStr">
        <is>
          <t>343 Quốc lộ 13, phường Hiệp Bình, TP Hồ Chí Minh</t>
        </is>
      </c>
      <c r="G3811" s="400" t="inlineStr">
        <is>
          <t>SG/HCM</t>
        </is>
      </c>
      <c r="H3811" s="402" t="n"/>
      <c r="J3811" s="392">
        <f>IFERROR(UPPER(TRIM(B3811))&amp;"|"&amp;UPPER(TRIM(C3811))&amp;"|"&amp;UPPER(TRIM(D3811)),"")</f>
        <v/>
      </c>
    </row>
    <row r="3812" ht="15.75" customHeight="1" s="217">
      <c r="A3812" s="397" t="n">
        <v>3810</v>
      </c>
      <c r="B3812" s="397" t="inlineStr">
        <is>
          <t>KH00301</t>
        </is>
      </c>
      <c r="C3812" s="398" t="inlineStr">
        <is>
          <t>Bãi máy Xuân Tiên - Bình Dương/ 0903.872.693</t>
        </is>
      </c>
      <c r="D3812" s="397" t="inlineStr">
        <is>
          <t>0903.872.693</t>
        </is>
      </c>
      <c r="E3812" s="399" t="n"/>
      <c r="F3812" s="398" t="inlineStr">
        <is>
          <t>Sóng Thần, Bình Dương</t>
        </is>
      </c>
      <c r="G3812" s="397" t="inlineStr">
        <is>
          <t>SG/HCM</t>
        </is>
      </c>
      <c r="H3812" s="399" t="n"/>
      <c r="J3812" s="392">
        <f>IFERROR(UPPER(TRIM(B3812))&amp;"|"&amp;UPPER(TRIM(C3812))&amp;"|"&amp;UPPER(TRIM(D3812)),"")</f>
        <v/>
      </c>
    </row>
    <row r="3813" ht="15.75" customHeight="1" s="217">
      <c r="A3813" s="400" t="n">
        <v>3811</v>
      </c>
      <c r="B3813" s="400" t="inlineStr">
        <is>
          <t>KH00300</t>
        </is>
      </c>
      <c r="C3813" s="401" t="inlineStr">
        <is>
          <t>Xưởng anh Trương - Long An/ 0936.560.171</t>
        </is>
      </c>
      <c r="D3813" s="400" t="inlineStr">
        <is>
          <t>0936.560.171</t>
        </is>
      </c>
      <c r="E3813" s="402" t="n"/>
      <c r="F3813" s="401" t="inlineStr">
        <is>
          <t>123 Đường 835, Phường 5, TP Tân An, Long An</t>
        </is>
      </c>
      <c r="G3813" s="400" t="inlineStr">
        <is>
          <t>LA</t>
        </is>
      </c>
      <c r="H3813" s="402" t="n"/>
      <c r="J3813" s="392">
        <f>IFERROR(UPPER(TRIM(B3813))&amp;"|"&amp;UPPER(TRIM(C3813))&amp;"|"&amp;UPPER(TRIM(D3813)),"")</f>
        <v/>
      </c>
    </row>
    <row r="3814" ht="15.75" customHeight="1" s="217">
      <c r="A3814" s="397" t="n">
        <v>3812</v>
      </c>
      <c r="B3814" s="397" t="inlineStr">
        <is>
          <t>KH00299</t>
        </is>
      </c>
      <c r="C3814" s="398" t="inlineStr">
        <is>
          <t>Anh Hải - Công ty Tàu Cuốc/ 0947.040.105</t>
        </is>
      </c>
      <c r="D3814" s="397" t="inlineStr">
        <is>
          <t>0947.040.105</t>
        </is>
      </c>
      <c r="E3814" s="399" t="n"/>
      <c r="F3814" s="398" t="inlineStr">
        <is>
          <t>Sài Gòn</t>
        </is>
      </c>
      <c r="G3814" s="397" t="inlineStr">
        <is>
          <t>SG/HCM</t>
        </is>
      </c>
      <c r="H3814" s="399" t="n"/>
      <c r="J3814" s="392">
        <f>IFERROR(UPPER(TRIM(B3814))&amp;"|"&amp;UPPER(TRIM(C3814))&amp;"|"&amp;UPPER(TRIM(D3814)),"")</f>
        <v/>
      </c>
    </row>
    <row r="3815" ht="15.75" customHeight="1" s="217">
      <c r="A3815" s="400" t="n">
        <v>3813</v>
      </c>
      <c r="B3815" s="400" t="inlineStr">
        <is>
          <t>MN14</t>
        </is>
      </c>
      <c r="C3815" s="401" t="inlineStr">
        <is>
          <t>Nguyễn Quốc Thái Bình</t>
        </is>
      </c>
      <c r="D3815" s="402" t="n"/>
      <c r="E3815" s="402" t="n"/>
      <c r="F3815" s="401" t="inlineStr">
        <is>
          <t>CTCP Thiết bị Cơ giới Miền Nam</t>
        </is>
      </c>
      <c r="G3815" s="402" t="n"/>
      <c r="H3815" s="402" t="n"/>
      <c r="J3815" s="392">
        <f>IFERROR(UPPER(TRIM(B3815))&amp;"|"&amp;UPPER(TRIM(C3815))&amp;"|"&amp;UPPER(TRIM(D3815)),"")</f>
        <v/>
      </c>
    </row>
    <row r="3816" ht="15.75" customHeight="1" s="217">
      <c r="A3816" s="397" t="n">
        <v>3814</v>
      </c>
      <c r="B3816" s="397" t="inlineStr">
        <is>
          <t>KH00298</t>
        </is>
      </c>
      <c r="C3816" s="398" t="inlineStr">
        <is>
          <t>Anh Thanh - Tam Bình/ 0913.166.817</t>
        </is>
      </c>
      <c r="D3816" s="397" t="inlineStr">
        <is>
          <t>0913.166.817</t>
        </is>
      </c>
      <c r="E3816" s="399" t="n"/>
      <c r="F3816" s="398" t="inlineStr">
        <is>
          <t>Đường Tam Bình, Thủ Đức, SG</t>
        </is>
      </c>
      <c r="G3816" s="397" t="inlineStr">
        <is>
          <t>SG/HCM</t>
        </is>
      </c>
      <c r="H3816" s="399" t="n"/>
      <c r="J3816" s="392">
        <f>IFERROR(UPPER(TRIM(B3816))&amp;"|"&amp;UPPER(TRIM(C3816))&amp;"|"&amp;UPPER(TRIM(D3816)),"")</f>
        <v/>
      </c>
    </row>
    <row r="3817" ht="15.75" customHeight="1" s="217">
      <c r="A3817" s="400" t="n">
        <v>3815</v>
      </c>
      <c r="B3817" s="400" t="inlineStr">
        <is>
          <t>KH00297</t>
        </is>
      </c>
      <c r="C3817" s="401" t="inlineStr">
        <is>
          <t>Xưởng anh Lam - Sóng Thần/ 0961.349.884</t>
        </is>
      </c>
      <c r="D3817" s="400" t="inlineStr">
        <is>
          <t>0961.349.884</t>
        </is>
      </c>
      <c r="E3817" s="402" t="n"/>
      <c r="F3817" s="401" t="inlineStr">
        <is>
          <t>Sóng Thần , Bình Dương</t>
        </is>
      </c>
      <c r="G3817" s="400" t="inlineStr">
        <is>
          <t>BDUONG</t>
        </is>
      </c>
      <c r="H3817" s="402" t="n"/>
      <c r="J3817" s="392">
        <f>IFERROR(UPPER(TRIM(B3817))&amp;"|"&amp;UPPER(TRIM(C3817))&amp;"|"&amp;UPPER(TRIM(D3817)),"")</f>
        <v/>
      </c>
    </row>
    <row r="3818" ht="15.75" customHeight="1" s="217">
      <c r="A3818" s="397" t="n">
        <v>3816</v>
      </c>
      <c r="B3818" s="397" t="inlineStr">
        <is>
          <t>KH00295</t>
        </is>
      </c>
      <c r="C3818" s="398" t="inlineStr">
        <is>
          <t>Chú Cam - SG/ 0909.815.674</t>
        </is>
      </c>
      <c r="D3818" s="397" t="inlineStr">
        <is>
          <t>0909.815.674</t>
        </is>
      </c>
      <c r="E3818" s="399" t="n"/>
      <c r="F3818" s="398" t="inlineStr">
        <is>
          <t>Tân Bình, Sài Gòn</t>
        </is>
      </c>
      <c r="G3818" s="397" t="inlineStr">
        <is>
          <t>SG/HCM</t>
        </is>
      </c>
      <c r="H3818" s="399" t="n"/>
      <c r="J3818" s="392">
        <f>IFERROR(UPPER(TRIM(B3818))&amp;"|"&amp;UPPER(TRIM(C3818))&amp;"|"&amp;UPPER(TRIM(D3818)),"")</f>
        <v/>
      </c>
    </row>
    <row r="3819" ht="15.75" customHeight="1" s="217">
      <c r="A3819" s="400" t="n">
        <v>3817</v>
      </c>
      <c r="B3819" s="400" t="inlineStr">
        <is>
          <t>KH00296</t>
        </is>
      </c>
      <c r="C3819" s="401" t="inlineStr">
        <is>
          <t>Công ty TNHH MTV Cơ khí sửa chữa Tân Thành Nam</t>
        </is>
      </c>
      <c r="D3819" s="402" t="n"/>
      <c r="E3819" s="402" t="n"/>
      <c r="F3819" s="401" t="inlineStr">
        <is>
          <t>333B An Dương Vương, KP.5, P. An Lạc, Q.Bình Tân</t>
        </is>
      </c>
      <c r="G3819" s="400" t="inlineStr">
        <is>
          <t>SG/HCM</t>
        </is>
      </c>
      <c r="H3819" s="402" t="n"/>
      <c r="J3819" s="392">
        <f>IFERROR(UPPER(TRIM(B3819))&amp;"|"&amp;UPPER(TRIM(C3819))&amp;"|"&amp;UPPER(TRIM(D3819)),"")</f>
        <v/>
      </c>
    </row>
    <row r="3820" ht="15.75" customHeight="1" s="217">
      <c r="A3820" s="397" t="n">
        <v>3818</v>
      </c>
      <c r="B3820" s="397" t="inlineStr">
        <is>
          <t>KH00293</t>
        </is>
      </c>
      <c r="C3820" s="398" t="inlineStr">
        <is>
          <t>Anh Tùng - Bình Dương/ 0903.911.559</t>
        </is>
      </c>
      <c r="D3820" s="397" t="inlineStr">
        <is>
          <t>0903.911.559</t>
        </is>
      </c>
      <c r="E3820" s="399" t="n"/>
      <c r="F3820" s="398" t="inlineStr">
        <is>
          <t>Bình Dương</t>
        </is>
      </c>
      <c r="G3820" s="397" t="inlineStr">
        <is>
          <t>SG/HCM</t>
        </is>
      </c>
      <c r="H3820" s="399" t="n"/>
      <c r="J3820" s="392">
        <f>IFERROR(UPPER(TRIM(B3820))&amp;"|"&amp;UPPER(TRIM(C3820))&amp;"|"&amp;UPPER(TRIM(D3820)),"")</f>
        <v/>
      </c>
    </row>
    <row r="3821" ht="15.75" customHeight="1" s="217">
      <c r="A3821" s="400" t="n">
        <v>3819</v>
      </c>
      <c r="B3821" s="400" t="inlineStr">
        <is>
          <t>KH00294</t>
        </is>
      </c>
      <c r="C3821" s="401" t="inlineStr">
        <is>
          <t>Xưởng anh Bi - ĐắkLắk/ 01684.144.414</t>
        </is>
      </c>
      <c r="D3821" s="400" t="inlineStr">
        <is>
          <t>01684.144.414</t>
        </is>
      </c>
      <c r="E3821" s="402" t="n"/>
      <c r="F3821" s="401" t="inlineStr">
        <is>
          <t>Ea súp, ĐắkLắk</t>
        </is>
      </c>
      <c r="G3821" s="400" t="inlineStr">
        <is>
          <t>ÐL</t>
        </is>
      </c>
      <c r="H3821" s="402" t="n"/>
      <c r="J3821" s="392">
        <f>IFERROR(UPPER(TRIM(B3821))&amp;"|"&amp;UPPER(TRIM(C3821))&amp;"|"&amp;UPPER(TRIM(D3821)),"")</f>
        <v/>
      </c>
    </row>
    <row r="3822" ht="15.75" customHeight="1" s="217">
      <c r="A3822" s="397" t="n">
        <v>3820</v>
      </c>
      <c r="B3822" s="397" t="inlineStr">
        <is>
          <t>KH00292</t>
        </is>
      </c>
      <c r="C3822" s="398" t="inlineStr">
        <is>
          <t>Xưởng anh Linh - SG/ 0918.879.113</t>
        </is>
      </c>
      <c r="D3822" s="397" t="inlineStr">
        <is>
          <t>0918.879.113</t>
        </is>
      </c>
      <c r="E3822" s="399" t="n"/>
      <c r="F3822" s="398" t="inlineStr">
        <is>
          <t>Sài Gòn</t>
        </is>
      </c>
      <c r="G3822" s="397" t="inlineStr">
        <is>
          <t>SG/HCM</t>
        </is>
      </c>
      <c r="H3822" s="399" t="n"/>
      <c r="J3822" s="392">
        <f>IFERROR(UPPER(TRIM(B3822))&amp;"|"&amp;UPPER(TRIM(C3822))&amp;"|"&amp;UPPER(TRIM(D3822)),"")</f>
        <v/>
      </c>
    </row>
    <row r="3823" ht="15.75" customHeight="1" s="217">
      <c r="A3823" s="400" t="n">
        <v>3821</v>
      </c>
      <c r="B3823" s="400" t="inlineStr">
        <is>
          <t>KH00291</t>
        </is>
      </c>
      <c r="C3823" s="401" t="inlineStr">
        <is>
          <t>Xưởng anh Sỹ - Quảng Ngãi/ 01653.297.225</t>
        </is>
      </c>
      <c r="D3823" s="400" t="inlineStr">
        <is>
          <t>01653.297.225</t>
        </is>
      </c>
      <c r="E3823" s="402" t="n"/>
      <c r="F3823" s="401" t="inlineStr">
        <is>
          <t>Nghĩa Hành, Quảng Ngãi</t>
        </is>
      </c>
      <c r="G3823" s="400" t="inlineStr">
        <is>
          <t>QUNGAI</t>
        </is>
      </c>
      <c r="H3823" s="402" t="n"/>
      <c r="J3823" s="392">
        <f>IFERROR(UPPER(TRIM(B3823))&amp;"|"&amp;UPPER(TRIM(C3823))&amp;"|"&amp;UPPER(TRIM(D3823)),"")</f>
        <v/>
      </c>
    </row>
    <row r="3824" ht="15.75" customHeight="1" s="217">
      <c r="A3824" s="397" t="n">
        <v>3822</v>
      </c>
      <c r="B3824" s="397" t="inlineStr">
        <is>
          <t>KH00290</t>
        </is>
      </c>
      <c r="C3824" s="398" t="inlineStr">
        <is>
          <t>Xưởng anh Tùng - SG/ 0907.646.562</t>
        </is>
      </c>
      <c r="D3824" s="397" t="inlineStr">
        <is>
          <t>0907.646.562</t>
        </is>
      </c>
      <c r="E3824" s="399" t="n"/>
      <c r="F3824" s="398" t="inlineStr">
        <is>
          <t>Sài Gòn</t>
        </is>
      </c>
      <c r="G3824" s="397" t="inlineStr">
        <is>
          <t>SG/HCM</t>
        </is>
      </c>
      <c r="H3824" s="399" t="n"/>
      <c r="J3824" s="392">
        <f>IFERROR(UPPER(TRIM(B3824))&amp;"|"&amp;UPPER(TRIM(C3824))&amp;"|"&amp;UPPER(TRIM(D3824)),"")</f>
        <v/>
      </c>
    </row>
    <row r="3825" ht="15.75" customHeight="1" s="217">
      <c r="A3825" s="400" t="n">
        <v>3823</v>
      </c>
      <c r="B3825" s="400" t="inlineStr">
        <is>
          <t>KH00288</t>
        </is>
      </c>
      <c r="C3825" s="401" t="inlineStr">
        <is>
          <t>Xưởng Chí Thông - Bình Chánh/ 0983.828.136</t>
        </is>
      </c>
      <c r="D3825" s="400" t="inlineStr">
        <is>
          <t>0983.828.136</t>
        </is>
      </c>
      <c r="E3825" s="402" t="n"/>
      <c r="F3825" s="401" t="inlineStr">
        <is>
          <t>Ngã 3 Quán Chuối, Bình Chánh, SG</t>
        </is>
      </c>
      <c r="G3825" s="400" t="inlineStr">
        <is>
          <t>SG/HCM</t>
        </is>
      </c>
      <c r="H3825" s="402" t="n"/>
      <c r="J3825" s="392">
        <f>IFERROR(UPPER(TRIM(B3825))&amp;"|"&amp;UPPER(TRIM(C3825))&amp;"|"&amp;UPPER(TRIM(D3825)),"")</f>
        <v/>
      </c>
    </row>
    <row r="3826" ht="15.75" customHeight="1" s="217">
      <c r="A3826" s="397" t="n">
        <v>3824</v>
      </c>
      <c r="B3826" s="397" t="inlineStr">
        <is>
          <t>KH00289</t>
        </is>
      </c>
      <c r="C3826" s="398" t="inlineStr">
        <is>
          <t>Cửa hàng Thanh Hiệp - Quy Nhơn/ 0905.772.836 - 0563.824.943</t>
        </is>
      </c>
      <c r="D3826" s="397" t="inlineStr">
        <is>
          <t>0905.772.836 / 0563.824.943</t>
        </is>
      </c>
      <c r="E3826" s="399" t="n"/>
      <c r="F3826" s="398" t="inlineStr">
        <is>
          <t>31 Hoàng Văn Thụ, TP Quy Nhơn, Bình Định</t>
        </is>
      </c>
      <c r="G3826" s="397" t="inlineStr">
        <is>
          <t>BDINH</t>
        </is>
      </c>
      <c r="H3826" s="399" t="n"/>
      <c r="J3826" s="392">
        <f>IFERROR(UPPER(TRIM(B3826))&amp;"|"&amp;UPPER(TRIM(C3826))&amp;"|"&amp;UPPER(TRIM(D3826)),"")</f>
        <v/>
      </c>
    </row>
    <row r="3827" ht="15.75" customHeight="1" s="217">
      <c r="A3827" s="400" t="n">
        <v>3825</v>
      </c>
      <c r="B3827" s="400" t="inlineStr">
        <is>
          <t>KH00287</t>
        </is>
      </c>
      <c r="C3827" s="401" t="inlineStr">
        <is>
          <t>Anh Sang - Bình Chánh/ 0908.275.762</t>
        </is>
      </c>
      <c r="D3827" s="400" t="inlineStr">
        <is>
          <t>0908.275.762</t>
        </is>
      </c>
      <c r="E3827" s="402" t="n"/>
      <c r="F3827" s="401" t="inlineStr">
        <is>
          <t>Bình Chánh, SG</t>
        </is>
      </c>
      <c r="G3827" s="400" t="inlineStr">
        <is>
          <t>SG/HCM</t>
        </is>
      </c>
      <c r="H3827" s="402" t="n"/>
      <c r="J3827" s="392">
        <f>IFERROR(UPPER(TRIM(B3827))&amp;"|"&amp;UPPER(TRIM(C3827))&amp;"|"&amp;UPPER(TRIM(D3827)),"")</f>
        <v/>
      </c>
    </row>
    <row r="3828" ht="15.75" customHeight="1" s="217">
      <c r="A3828" s="397" t="n">
        <v>3826</v>
      </c>
      <c r="B3828" s="397" t="inlineStr">
        <is>
          <t>XJ</t>
        </is>
      </c>
      <c r="C3828" s="398" t="inlineStr">
        <is>
          <t>Quanzhou XinJie Engineering Machinery Co., Ltd</t>
        </is>
      </c>
      <c r="D3828" s="399" t="n"/>
      <c r="E3828" s="399" t="n"/>
      <c r="F3828" s="398" t="inlineStr">
        <is>
          <t>182 frong Street, Licheng area, Quanzhou, Fujian, China</t>
        </is>
      </c>
      <c r="G3828" s="399" t="n"/>
      <c r="H3828" s="399" t="n"/>
      <c r="J3828" s="392">
        <f>IFERROR(UPPER(TRIM(B3828))&amp;"|"&amp;UPPER(TRIM(C3828))&amp;"|"&amp;UPPER(TRIM(D3828)),"")</f>
        <v/>
      </c>
    </row>
    <row r="3829" ht="15.75" customHeight="1" s="217">
      <c r="A3829" s="400" t="n">
        <v>3827</v>
      </c>
      <c r="B3829" s="400" t="inlineStr">
        <is>
          <t>KH00286</t>
        </is>
      </c>
      <c r="C3829" s="401" t="inlineStr">
        <is>
          <t>Anh Ly - Quảng Ngãi/ 0918.083.077</t>
        </is>
      </c>
      <c r="D3829" s="400" t="inlineStr">
        <is>
          <t>0918.083.077</t>
        </is>
      </c>
      <c r="E3829" s="402" t="n"/>
      <c r="F3829" s="401" t="inlineStr">
        <is>
          <t>Quảng Ngãi</t>
        </is>
      </c>
      <c r="G3829" s="400" t="inlineStr">
        <is>
          <t>QUNGAI</t>
        </is>
      </c>
      <c r="H3829" s="402" t="n"/>
      <c r="J3829" s="392">
        <f>IFERROR(UPPER(TRIM(B3829))&amp;"|"&amp;UPPER(TRIM(C3829))&amp;"|"&amp;UPPER(TRIM(D3829)),"")</f>
        <v/>
      </c>
    </row>
    <row r="3830" ht="15.75" customHeight="1" s="217">
      <c r="A3830" s="397" t="n">
        <v>3828</v>
      </c>
      <c r="B3830" s="397" t="inlineStr">
        <is>
          <t>KH00284</t>
        </is>
      </c>
      <c r="C3830" s="398" t="inlineStr">
        <is>
          <t>Xưởng anh Vũ - Ê ka/ 0168.238.1639</t>
        </is>
      </c>
      <c r="D3830" s="397" t="inlineStr">
        <is>
          <t>0168.238.1639</t>
        </is>
      </c>
      <c r="E3830" s="399" t="n"/>
      <c r="F3830" s="398" t="inlineStr">
        <is>
          <t>Ê ka, ĐắkLắk</t>
        </is>
      </c>
      <c r="G3830" s="397" t="inlineStr">
        <is>
          <t>ÐL</t>
        </is>
      </c>
      <c r="H3830" s="399" t="n"/>
      <c r="J3830" s="392">
        <f>IFERROR(UPPER(TRIM(B3830))&amp;"|"&amp;UPPER(TRIM(C3830))&amp;"|"&amp;UPPER(TRIM(D3830)),"")</f>
        <v/>
      </c>
    </row>
    <row r="3831" ht="15.75" customHeight="1" s="217">
      <c r="A3831" s="400" t="n">
        <v>3829</v>
      </c>
      <c r="B3831" s="400" t="inlineStr">
        <is>
          <t>KH00285</t>
        </is>
      </c>
      <c r="C3831" s="401" t="inlineStr">
        <is>
          <t>Công ty TNHH MTV DVTM Cơ Hội</t>
        </is>
      </c>
      <c r="D3831" s="402" t="n"/>
      <c r="E3831" s="402" t="n"/>
      <c r="F3831" s="401" t="inlineStr">
        <is>
          <t>53/5 Khu phố Tân Lập, P.Đông Hòa, Dĩ An, Bình Dương</t>
        </is>
      </c>
      <c r="G3831" s="400" t="inlineStr">
        <is>
          <t>SG/HCM</t>
        </is>
      </c>
      <c r="H3831" s="402" t="n"/>
      <c r="J3831" s="392">
        <f>IFERROR(UPPER(TRIM(B3831))&amp;"|"&amp;UPPER(TRIM(C3831))&amp;"|"&amp;UPPER(TRIM(D3831)),"")</f>
        <v/>
      </c>
    </row>
    <row r="3832" ht="15.75" customHeight="1" s="217">
      <c r="A3832" s="397" t="n">
        <v>3830</v>
      </c>
      <c r="B3832" s="397" t="inlineStr">
        <is>
          <t>KH00283</t>
        </is>
      </c>
      <c r="C3832" s="398" t="inlineStr">
        <is>
          <t>Anh Lạc - SG/ 0983.487.879</t>
        </is>
      </c>
      <c r="D3832" s="397" t="inlineStr">
        <is>
          <t>0983.487.879</t>
        </is>
      </c>
      <c r="E3832" s="399" t="n"/>
      <c r="F3832" s="398" t="inlineStr">
        <is>
          <t>Sài Gòn</t>
        </is>
      </c>
      <c r="G3832" s="397" t="inlineStr">
        <is>
          <t>SG/HCM</t>
        </is>
      </c>
      <c r="H3832" s="399" t="n"/>
      <c r="J3832" s="392">
        <f>IFERROR(UPPER(TRIM(B3832))&amp;"|"&amp;UPPER(TRIM(C3832))&amp;"|"&amp;UPPER(TRIM(D3832)),"")</f>
        <v/>
      </c>
    </row>
    <row r="3833" ht="15.75" customHeight="1" s="217">
      <c r="A3833" s="400" t="n">
        <v>3831</v>
      </c>
      <c r="B3833" s="400" t="inlineStr">
        <is>
          <t>KH00281</t>
        </is>
      </c>
      <c r="C3833" s="401" t="inlineStr">
        <is>
          <t>Chú Thương - QL13/ 0944.196.788</t>
        </is>
      </c>
      <c r="D3833" s="400" t="inlineStr">
        <is>
          <t>0944.196.788</t>
        </is>
      </c>
      <c r="E3833" s="402" t="n"/>
      <c r="F3833" s="401" t="inlineStr">
        <is>
          <t>Quốc lộ 13, SG</t>
        </is>
      </c>
      <c r="G3833" s="400" t="inlineStr">
        <is>
          <t>SG/HCM</t>
        </is>
      </c>
      <c r="H3833" s="402" t="n"/>
      <c r="J3833" s="392">
        <f>IFERROR(UPPER(TRIM(B3833))&amp;"|"&amp;UPPER(TRIM(C3833))&amp;"|"&amp;UPPER(TRIM(D3833)),"")</f>
        <v/>
      </c>
    </row>
    <row r="3834" ht="15.75" customHeight="1" s="217">
      <c r="A3834" s="397" t="n">
        <v>3832</v>
      </c>
      <c r="B3834" s="397" t="inlineStr">
        <is>
          <t>KH00282</t>
        </is>
      </c>
      <c r="C3834" s="398" t="inlineStr">
        <is>
          <t>Cửa hàng anh Chiêu - An Giang/ 0913.825.304 - Fax: 0763.941.948</t>
        </is>
      </c>
      <c r="D3834" s="397" t="inlineStr">
        <is>
          <t>0913.825.304 / 0763.941.948</t>
        </is>
      </c>
      <c r="E3834" s="399" t="n"/>
      <c r="F3834" s="398" t="inlineStr">
        <is>
          <t>38 Nguyễn Đình Chiểu, TP.Long Xuyên, An Giang</t>
        </is>
      </c>
      <c r="G3834" s="397" t="inlineStr">
        <is>
          <t>ANGIANG</t>
        </is>
      </c>
      <c r="H3834" s="399" t="n"/>
      <c r="J3834" s="392">
        <f>IFERROR(UPPER(TRIM(B3834))&amp;"|"&amp;UPPER(TRIM(C3834))&amp;"|"&amp;UPPER(TRIM(D3834)),"")</f>
        <v/>
      </c>
    </row>
    <row r="3835" ht="15.75" customHeight="1" s="217">
      <c r="A3835" s="400" t="n">
        <v>3833</v>
      </c>
      <c r="B3835" s="400" t="inlineStr">
        <is>
          <t>KH00279</t>
        </is>
      </c>
      <c r="C3835" s="401" t="inlineStr">
        <is>
          <t>Anh Thâu - Quảng Ngãi/ 0913.488.528</t>
        </is>
      </c>
      <c r="D3835" s="400" t="inlineStr">
        <is>
          <t>0913.488.528</t>
        </is>
      </c>
      <c r="E3835" s="402" t="n"/>
      <c r="F3835" s="401" t="inlineStr">
        <is>
          <t>Quảng Ngãi</t>
        </is>
      </c>
      <c r="G3835" s="400" t="inlineStr">
        <is>
          <t>QUNGAI</t>
        </is>
      </c>
      <c r="H3835" s="402" t="n"/>
      <c r="J3835" s="392">
        <f>IFERROR(UPPER(TRIM(B3835))&amp;"|"&amp;UPPER(TRIM(C3835))&amp;"|"&amp;UPPER(TRIM(D3835)),"")</f>
        <v/>
      </c>
    </row>
    <row r="3836" ht="15.75" customHeight="1" s="217">
      <c r="A3836" s="397" t="n">
        <v>3834</v>
      </c>
      <c r="B3836" s="397" t="inlineStr">
        <is>
          <t>KH00280</t>
        </is>
      </c>
      <c r="C3836" s="398" t="inlineStr">
        <is>
          <t>Công ty CP Hà Đô 1 - Hà Nội / 043.756.8285 , ANh Tiến - 0962.889.336</t>
        </is>
      </c>
      <c r="D3836" s="397" t="inlineStr">
        <is>
          <t>043.756.8285 / 0962.889.336</t>
        </is>
      </c>
      <c r="E3836" s="399" t="n"/>
      <c r="F3836" s="398" t="inlineStr">
        <is>
          <t>186 Hoàng Sâm, Cầu Giấy, Hà Nội</t>
        </is>
      </c>
      <c r="G3836" s="399" t="n"/>
      <c r="H3836" s="399" t="n"/>
      <c r="J3836" s="392">
        <f>IFERROR(UPPER(TRIM(B3836))&amp;"|"&amp;UPPER(TRIM(C3836))&amp;"|"&amp;UPPER(TRIM(D3836)),"")</f>
        <v/>
      </c>
    </row>
    <row r="3837" ht="15.75" customHeight="1" s="217">
      <c r="A3837" s="400" t="n">
        <v>3835</v>
      </c>
      <c r="B3837" s="400" t="inlineStr">
        <is>
          <t>KH00277</t>
        </is>
      </c>
      <c r="C3837" s="401" t="inlineStr">
        <is>
          <t>Anh Dũng - Đắknông/ 0988.161.138</t>
        </is>
      </c>
      <c r="D3837" s="400" t="inlineStr">
        <is>
          <t>0988.161.138</t>
        </is>
      </c>
      <c r="E3837" s="402" t="n"/>
      <c r="F3837" s="401" t="inlineStr">
        <is>
          <t>TX Gia Nghĩa, Đắknông</t>
        </is>
      </c>
      <c r="G3837" s="400" t="inlineStr">
        <is>
          <t>DNONG</t>
        </is>
      </c>
      <c r="H3837" s="402" t="n"/>
      <c r="J3837" s="392">
        <f>IFERROR(UPPER(TRIM(B3837))&amp;"|"&amp;UPPER(TRIM(C3837))&amp;"|"&amp;UPPER(TRIM(D3837)),"")</f>
        <v/>
      </c>
    </row>
    <row r="3838" ht="15.75" customHeight="1" s="217">
      <c r="A3838" s="397" t="n">
        <v>3836</v>
      </c>
      <c r="B3838" s="397" t="inlineStr">
        <is>
          <t>KH00278</t>
        </is>
      </c>
      <c r="C3838" s="398" t="inlineStr">
        <is>
          <t>Cửa hàng cô Cần - Quảng Trị/ 0913.430.375</t>
        </is>
      </c>
      <c r="D3838" s="397" t="inlineStr">
        <is>
          <t>0913.430.375</t>
        </is>
      </c>
      <c r="E3838" s="399" t="n"/>
      <c r="F3838" s="398" t="inlineStr">
        <is>
          <t>Đông Hà - Quảng Trị</t>
        </is>
      </c>
      <c r="G3838" s="399" t="n"/>
      <c r="H3838" s="399" t="n"/>
      <c r="J3838" s="392">
        <f>IFERROR(UPPER(TRIM(B3838))&amp;"|"&amp;UPPER(TRIM(C3838))&amp;"|"&amp;UPPER(TRIM(D3838)),"")</f>
        <v/>
      </c>
    </row>
    <row r="3839" ht="15.75" customHeight="1" s="217">
      <c r="A3839" s="400" t="n">
        <v>3837</v>
      </c>
      <c r="B3839" s="400" t="inlineStr">
        <is>
          <t>KH00275</t>
        </is>
      </c>
      <c r="C3839" s="401" t="inlineStr">
        <is>
          <t>Garage Thanh Sơn - Bình Chánh/ 0913.344.378</t>
        </is>
      </c>
      <c r="D3839" s="400" t="inlineStr">
        <is>
          <t>0913.344.378</t>
        </is>
      </c>
      <c r="E3839" s="402" t="n"/>
      <c r="F3839" s="401" t="inlineStr">
        <is>
          <t>D9/60 ấp 4, QL1A, Bình Chánh, TPHCM</t>
        </is>
      </c>
      <c r="G3839" s="400" t="inlineStr">
        <is>
          <t>SG/HCM</t>
        </is>
      </c>
      <c r="H3839" s="402" t="n"/>
      <c r="J3839" s="392">
        <f>IFERROR(UPPER(TRIM(B3839))&amp;"|"&amp;UPPER(TRIM(C3839))&amp;"|"&amp;UPPER(TRIM(D3839)),"")</f>
        <v/>
      </c>
    </row>
    <row r="3840" ht="15.75" customHeight="1" s="217">
      <c r="A3840" s="397" t="n">
        <v>3838</v>
      </c>
      <c r="B3840" s="397" t="inlineStr">
        <is>
          <t>KH00276</t>
        </is>
      </c>
      <c r="C3840" s="398" t="inlineStr">
        <is>
          <t>Huấn - Cty Long Hải/ 0986.398.866 - Fax: 3729.8005</t>
        </is>
      </c>
      <c r="D3840" s="397" t="inlineStr">
        <is>
          <t>0986.398.866</t>
        </is>
      </c>
      <c r="E3840" s="399" t="n"/>
      <c r="F3840" s="398" t="inlineStr">
        <is>
          <t>Thủ Đức, TPHCM</t>
        </is>
      </c>
      <c r="G3840" s="397" t="inlineStr">
        <is>
          <t>SG/HCM</t>
        </is>
      </c>
      <c r="H3840" s="399" t="n"/>
      <c r="J3840" s="392">
        <f>IFERROR(UPPER(TRIM(B3840))&amp;"|"&amp;UPPER(TRIM(C3840))&amp;"|"&amp;UPPER(TRIM(D3840)),"")</f>
        <v/>
      </c>
    </row>
    <row r="3841" ht="15.75" customHeight="1" s="217">
      <c r="A3841" s="400" t="n">
        <v>3839</v>
      </c>
      <c r="B3841" s="400" t="inlineStr">
        <is>
          <t>KH00274</t>
        </is>
      </c>
      <c r="C3841" s="401" t="inlineStr">
        <is>
          <t>Anh Thoan - Quảng Ngãi/ 0934.910.087</t>
        </is>
      </c>
      <c r="D3841" s="400" t="inlineStr">
        <is>
          <t>0934.910.087</t>
        </is>
      </c>
      <c r="E3841" s="402" t="n"/>
      <c r="F3841" s="401" t="inlineStr">
        <is>
          <t>Quảng Ngãi</t>
        </is>
      </c>
      <c r="G3841" s="400" t="inlineStr">
        <is>
          <t>QUNGAI</t>
        </is>
      </c>
      <c r="H3841" s="402" t="n"/>
      <c r="J3841" s="392">
        <f>IFERROR(UPPER(TRIM(B3841))&amp;"|"&amp;UPPER(TRIM(C3841))&amp;"|"&amp;UPPER(TRIM(D3841)),"")</f>
        <v/>
      </c>
    </row>
    <row r="3842" ht="15.75" customHeight="1" s="217">
      <c r="A3842" s="397" t="n">
        <v>3840</v>
      </c>
      <c r="B3842" s="397" t="inlineStr">
        <is>
          <t>KH00273</t>
        </is>
      </c>
      <c r="C3842" s="398" t="inlineStr">
        <is>
          <t>Công ty cổ phần đầu tư Việt Phan - Sài Gòn</t>
        </is>
      </c>
      <c r="D3842" s="399" t="n"/>
      <c r="E3842" s="399" t="n"/>
      <c r="F3842" s="398" t="inlineStr">
        <is>
          <t>241 Điện Biên Phủ, Phường 6 , Quận 3, TP. HCM</t>
        </is>
      </c>
      <c r="G3842" s="397" t="inlineStr">
        <is>
          <t>SG/HCM</t>
        </is>
      </c>
      <c r="H3842" s="399" t="n"/>
      <c r="J3842" s="392">
        <f>IFERROR(UPPER(TRIM(B3842))&amp;"|"&amp;UPPER(TRIM(C3842))&amp;"|"&amp;UPPER(TRIM(D3842)),"")</f>
        <v/>
      </c>
    </row>
    <row r="3843" ht="15.75" customHeight="1" s="217">
      <c r="A3843" s="400" t="n">
        <v>3841</v>
      </c>
      <c r="B3843" s="400" t="inlineStr">
        <is>
          <t>KH00271</t>
        </is>
      </c>
      <c r="C3843" s="401" t="inlineStr">
        <is>
          <t>Anh Quốc Dũng - Lâm Đồng/ 0902.630.623</t>
        </is>
      </c>
      <c r="D3843" s="400" t="inlineStr">
        <is>
          <t>0902.630.623</t>
        </is>
      </c>
      <c r="E3843" s="402" t="n"/>
      <c r="F3843" s="401" t="inlineStr">
        <is>
          <t>Madagui, Lâm Đồng</t>
        </is>
      </c>
      <c r="G3843" s="400" t="inlineStr">
        <is>
          <t>LDONG</t>
        </is>
      </c>
      <c r="H3843" s="402" t="n"/>
      <c r="J3843" s="392">
        <f>IFERROR(UPPER(TRIM(B3843))&amp;"|"&amp;UPPER(TRIM(C3843))&amp;"|"&amp;UPPER(TRIM(D3843)),"")</f>
        <v/>
      </c>
    </row>
    <row r="3844" ht="15.75" customHeight="1" s="217">
      <c r="A3844" s="397" t="n">
        <v>3842</v>
      </c>
      <c r="B3844" s="397" t="inlineStr">
        <is>
          <t>KH00272</t>
        </is>
      </c>
      <c r="C3844" s="398" t="inlineStr">
        <is>
          <t>Xưởng anh Hậu - Quảng Nam/ 0975.875.258</t>
        </is>
      </c>
      <c r="D3844" s="397" t="inlineStr">
        <is>
          <t>0975.875.258</t>
        </is>
      </c>
      <c r="E3844" s="399" t="n"/>
      <c r="F3844" s="398" t="inlineStr">
        <is>
          <t>Quảng Nam</t>
        </is>
      </c>
      <c r="G3844" s="397" t="inlineStr">
        <is>
          <t>QNAM</t>
        </is>
      </c>
      <c r="H3844" s="399" t="n"/>
      <c r="J3844" s="392">
        <f>IFERROR(UPPER(TRIM(B3844))&amp;"|"&amp;UPPER(TRIM(C3844))&amp;"|"&amp;UPPER(TRIM(D3844)),"")</f>
        <v/>
      </c>
    </row>
    <row r="3845" ht="15.75" customHeight="1" s="217">
      <c r="A3845" s="400" t="n">
        <v>3843</v>
      </c>
      <c r="B3845" s="400" t="inlineStr">
        <is>
          <t>KH00270</t>
        </is>
      </c>
      <c r="C3845" s="401" t="inlineStr">
        <is>
          <t>Cửa hàng anh Ngọc - Thanh Đa/ 0903.719.984</t>
        </is>
      </c>
      <c r="D3845" s="400" t="inlineStr">
        <is>
          <t>0903.719.984</t>
        </is>
      </c>
      <c r="E3845" s="402" t="n"/>
      <c r="F3845" s="401" t="inlineStr">
        <is>
          <t>Bình Quới, Thanh Đa, SG</t>
        </is>
      </c>
      <c r="G3845" s="400" t="inlineStr">
        <is>
          <t>HX</t>
        </is>
      </c>
      <c r="H3845" s="402" t="n"/>
      <c r="J3845" s="392">
        <f>IFERROR(UPPER(TRIM(B3845))&amp;"|"&amp;UPPER(TRIM(C3845))&amp;"|"&amp;UPPER(TRIM(D3845)),"")</f>
        <v/>
      </c>
    </row>
    <row r="3846" ht="15.75" customHeight="1" s="217">
      <c r="A3846" s="397" t="n">
        <v>3844</v>
      </c>
      <c r="B3846" s="397" t="inlineStr">
        <is>
          <t>KH00269</t>
        </is>
      </c>
      <c r="C3846" s="398" t="inlineStr">
        <is>
          <t>Cửa hàng Tú Hà - Hà Tĩnh/ 0917.501.999</t>
        </is>
      </c>
      <c r="D3846" s="397" t="inlineStr">
        <is>
          <t>0917.501.999</t>
        </is>
      </c>
      <c r="E3846" s="399" t="n"/>
      <c r="F3846" s="398" t="inlineStr">
        <is>
          <t>Hà Tĩnh</t>
        </is>
      </c>
      <c r="G3846" s="399" t="n"/>
      <c r="H3846" s="399" t="n"/>
      <c r="J3846" s="392">
        <f>IFERROR(UPPER(TRIM(B3846))&amp;"|"&amp;UPPER(TRIM(C3846))&amp;"|"&amp;UPPER(TRIM(D3846)),"")</f>
        <v/>
      </c>
    </row>
    <row r="3847" ht="15.75" customHeight="1" s="217">
      <c r="A3847" s="400" t="n">
        <v>3845</v>
      </c>
      <c r="B3847" s="400" t="inlineStr">
        <is>
          <t>KH00268</t>
        </is>
      </c>
      <c r="C3847" s="401" t="inlineStr">
        <is>
          <t>Công ty TNHH Hà Anh - Gia Lai/ 0982.387.773</t>
        </is>
      </c>
      <c r="D3847" s="400" t="inlineStr">
        <is>
          <t>0982.387.773</t>
        </is>
      </c>
      <c r="E3847" s="402" t="n"/>
      <c r="F3847" s="401" t="inlineStr">
        <is>
          <t>226B Lê Đại Hành, P. Đống Đa, TP Pleiku, Gia lai</t>
        </is>
      </c>
      <c r="G3847" s="400" t="inlineStr">
        <is>
          <t>GLAI</t>
        </is>
      </c>
      <c r="H3847" s="402" t="n"/>
      <c r="J3847" s="392">
        <f>IFERROR(UPPER(TRIM(B3847))&amp;"|"&amp;UPPER(TRIM(C3847))&amp;"|"&amp;UPPER(TRIM(D3847)),"")</f>
        <v/>
      </c>
    </row>
    <row r="3848" ht="15.75" customHeight="1" s="217">
      <c r="A3848" s="397" t="n">
        <v>3846</v>
      </c>
      <c r="B3848" s="397" t="inlineStr">
        <is>
          <t>KH00267</t>
        </is>
      </c>
      <c r="C3848" s="398" t="inlineStr">
        <is>
          <t>Công ty CP CONSTREXIM - Đầu tư và xây lắp cao tầng</t>
        </is>
      </c>
      <c r="D3848" s="399" t="n"/>
      <c r="E3848" s="399" t="n"/>
      <c r="F3848" s="398" t="inlineStr">
        <is>
          <t>Số 16, ngõ 117, Thái Hà, Đống Đa, Hà Nội</t>
        </is>
      </c>
      <c r="G3848" s="399" t="n"/>
      <c r="H3848" s="399" t="n"/>
      <c r="J3848" s="392">
        <f>IFERROR(UPPER(TRIM(B3848))&amp;"|"&amp;UPPER(TRIM(C3848))&amp;"|"&amp;UPPER(TRIM(D3848)),"")</f>
        <v/>
      </c>
    </row>
    <row r="3849" ht="15.75" customHeight="1" s="217">
      <c r="A3849" s="400" t="n">
        <v>3847</v>
      </c>
      <c r="B3849" s="400" t="inlineStr">
        <is>
          <t>KH00265</t>
        </is>
      </c>
      <c r="C3849" s="401" t="inlineStr">
        <is>
          <t>Xưởng Bơm Thuỷ Lực Quốc Nam Lâm - QL13/ A Nhân- 0987.160.244</t>
        </is>
      </c>
      <c r="D3849" s="400" t="inlineStr">
        <is>
          <t>0987.160.244</t>
        </is>
      </c>
      <c r="E3849" s="402" t="n"/>
      <c r="F3849" s="401" t="inlineStr">
        <is>
          <t>911/3A, QL13, Thủ Đức, SG, gần cầu Vĩnh Bình</t>
        </is>
      </c>
      <c r="G3849" s="400" t="inlineStr">
        <is>
          <t>SG/HCM</t>
        </is>
      </c>
      <c r="H3849" s="402" t="n"/>
      <c r="J3849" s="392">
        <f>IFERROR(UPPER(TRIM(B3849))&amp;"|"&amp;UPPER(TRIM(C3849))&amp;"|"&amp;UPPER(TRIM(D3849)),"")</f>
        <v/>
      </c>
    </row>
    <row r="3850" ht="15.75" customHeight="1" s="217">
      <c r="A3850" s="397" t="n">
        <v>3848</v>
      </c>
      <c r="B3850" s="397" t="inlineStr">
        <is>
          <t>KH00266</t>
        </is>
      </c>
      <c r="C3850" s="398" t="inlineStr">
        <is>
          <t>Bãi máy anh Hùng - SG/ 0913.712.088</t>
        </is>
      </c>
      <c r="D3850" s="397" t="inlineStr">
        <is>
          <t>0913.712.088</t>
        </is>
      </c>
      <c r="E3850" s="399" t="n"/>
      <c r="F3850" s="398" t="inlineStr">
        <is>
          <t>Cây xăng Tân Vạn, SG</t>
        </is>
      </c>
      <c r="G3850" s="397" t="inlineStr">
        <is>
          <t>SG/HCM</t>
        </is>
      </c>
      <c r="H3850" s="399" t="n"/>
      <c r="J3850" s="392">
        <f>IFERROR(UPPER(TRIM(B3850))&amp;"|"&amp;UPPER(TRIM(C3850))&amp;"|"&amp;UPPER(TRIM(D3850)),"")</f>
        <v/>
      </c>
    </row>
    <row r="3851" ht="15.75" customHeight="1" s="217">
      <c r="A3851" s="400" t="n">
        <v>3849</v>
      </c>
      <c r="B3851" s="400" t="inlineStr">
        <is>
          <t>KH00264</t>
        </is>
      </c>
      <c r="C3851" s="401" t="inlineStr">
        <is>
          <t>Bãi máy anh Cấp - ĐắkLắk/ 0905.201.659</t>
        </is>
      </c>
      <c r="D3851" s="400" t="inlineStr">
        <is>
          <t>0905.201.659</t>
        </is>
      </c>
      <c r="E3851" s="402" t="n"/>
      <c r="F3851" s="401" t="inlineStr">
        <is>
          <t>ĐắkLắk</t>
        </is>
      </c>
      <c r="G3851" s="400" t="inlineStr">
        <is>
          <t>ÐL</t>
        </is>
      </c>
      <c r="H3851" s="402" t="n"/>
      <c r="J3851" s="392">
        <f>IFERROR(UPPER(TRIM(B3851))&amp;"|"&amp;UPPER(TRIM(C3851))&amp;"|"&amp;UPPER(TRIM(D3851)),"")</f>
        <v/>
      </c>
    </row>
    <row r="3852" ht="15.75" customHeight="1" s="217">
      <c r="A3852" s="397" t="n">
        <v>3850</v>
      </c>
      <c r="B3852" s="397" t="inlineStr">
        <is>
          <t>KH00263</t>
        </is>
      </c>
      <c r="C3852" s="398" t="inlineStr">
        <is>
          <t>Gara A Minh - TP Kontum/ 0979.170.447</t>
        </is>
      </c>
      <c r="D3852" s="397" t="inlineStr">
        <is>
          <t>0979.170.447</t>
        </is>
      </c>
      <c r="E3852" s="399" t="n"/>
      <c r="F3852" s="398" t="inlineStr">
        <is>
          <t>29 Tôn Đức Thắng, P. Ngô Mây, TP Kontum</t>
        </is>
      </c>
      <c r="G3852" s="397" t="inlineStr">
        <is>
          <t>KTUM</t>
        </is>
      </c>
      <c r="H3852" s="399" t="n"/>
      <c r="J3852" s="392">
        <f>IFERROR(UPPER(TRIM(B3852))&amp;"|"&amp;UPPER(TRIM(C3852))&amp;"|"&amp;UPPER(TRIM(D3852)),"")</f>
        <v/>
      </c>
    </row>
    <row r="3853" ht="15.75" customHeight="1" s="217">
      <c r="A3853" s="400" t="n">
        <v>3851</v>
      </c>
      <c r="B3853" s="400" t="inlineStr">
        <is>
          <t>KH00261</t>
        </is>
      </c>
      <c r="C3853" s="401" t="inlineStr">
        <is>
          <t>Xưởng anh Bằng (Kho hàng Nhật Minh) - SG/ 0913.799.164</t>
        </is>
      </c>
      <c r="D3853" s="400" t="inlineStr">
        <is>
          <t>0913.799.164</t>
        </is>
      </c>
      <c r="E3853" s="402" t="n"/>
      <c r="F3853" s="401" t="inlineStr">
        <is>
          <t>45C Xa lộ HN, Dĩ An, Bình Dương</t>
        </is>
      </c>
      <c r="G3853" s="400" t="inlineStr">
        <is>
          <t>SG/HCM</t>
        </is>
      </c>
      <c r="H3853" s="402" t="n"/>
      <c r="J3853" s="392">
        <f>IFERROR(UPPER(TRIM(B3853))&amp;"|"&amp;UPPER(TRIM(C3853))&amp;"|"&amp;UPPER(TRIM(D3853)),"")</f>
        <v/>
      </c>
    </row>
    <row r="3854" ht="15.75" customHeight="1" s="217">
      <c r="A3854" s="397" t="n">
        <v>3852</v>
      </c>
      <c r="B3854" s="397" t="inlineStr">
        <is>
          <t>KH00260</t>
        </is>
      </c>
      <c r="C3854" s="398" t="inlineStr">
        <is>
          <t>Gara Phú Phát - SG/ 0902.787.997</t>
        </is>
      </c>
      <c r="D3854" s="397" t="inlineStr">
        <is>
          <t>0902.787.997</t>
        </is>
      </c>
      <c r="E3854" s="399" t="n"/>
      <c r="F3854" s="398" t="inlineStr">
        <is>
          <t>215C Nơ Trang Long, Bình Thạnh, TPHCM</t>
        </is>
      </c>
      <c r="G3854" s="397" t="inlineStr">
        <is>
          <t>SG/HCM</t>
        </is>
      </c>
      <c r="H3854" s="399" t="n"/>
      <c r="J3854" s="392">
        <f>IFERROR(UPPER(TRIM(B3854))&amp;"|"&amp;UPPER(TRIM(C3854))&amp;"|"&amp;UPPER(TRIM(D3854)),"")</f>
        <v/>
      </c>
    </row>
    <row r="3855" ht="15.75" customHeight="1" s="217">
      <c r="A3855" s="400" t="n">
        <v>3853</v>
      </c>
      <c r="B3855" s="400" t="inlineStr">
        <is>
          <t>KH00259</t>
        </is>
      </c>
      <c r="C3855" s="401" t="inlineStr">
        <is>
          <t>Cửa hàng Huỳnh Nga - Phú Yên/ 0982.824.401</t>
        </is>
      </c>
      <c r="D3855" s="400" t="inlineStr">
        <is>
          <t>0982.824.401</t>
        </is>
      </c>
      <c r="E3855" s="402" t="n"/>
      <c r="F3855" s="401" t="inlineStr">
        <is>
          <t>Tuy Hòa, Phú Yên</t>
        </is>
      </c>
      <c r="G3855" s="400" t="inlineStr">
        <is>
          <t>PYEN</t>
        </is>
      </c>
      <c r="H3855" s="402" t="n"/>
      <c r="J3855" s="392">
        <f>IFERROR(UPPER(TRIM(B3855))&amp;"|"&amp;UPPER(TRIM(C3855))&amp;"|"&amp;UPPER(TRIM(D3855)),"")</f>
        <v/>
      </c>
    </row>
    <row r="3856" ht="15.75" customHeight="1" s="217">
      <c r="A3856" s="397" t="n">
        <v>3854</v>
      </c>
      <c r="B3856" s="397" t="inlineStr">
        <is>
          <t>KH00257</t>
        </is>
      </c>
      <c r="C3856" s="398" t="inlineStr">
        <is>
          <t>Chú Kết - Nam Định</t>
        </is>
      </c>
      <c r="D3856" s="399" t="n"/>
      <c r="E3856" s="399" t="n"/>
      <c r="F3856" s="398" t="inlineStr">
        <is>
          <t>Nam Định</t>
        </is>
      </c>
      <c r="G3856" s="399" t="n"/>
      <c r="H3856" s="399" t="n"/>
      <c r="J3856" s="392">
        <f>IFERROR(UPPER(TRIM(B3856))&amp;"|"&amp;UPPER(TRIM(C3856))&amp;"|"&amp;UPPER(TRIM(D3856)),"")</f>
        <v/>
      </c>
    </row>
    <row r="3857" ht="15.75" customHeight="1" s="217">
      <c r="A3857" s="400" t="n">
        <v>3855</v>
      </c>
      <c r="B3857" s="400" t="inlineStr">
        <is>
          <t>KH00258</t>
        </is>
      </c>
      <c r="C3857" s="401" t="inlineStr">
        <is>
          <t>Công ty CP Cơ khí và xây lắp An Ngãi - Quảng Ngãi/ A.Thuấn: 0913.418.234</t>
        </is>
      </c>
      <c r="D3857" s="400" t="inlineStr">
        <is>
          <t>0913.418.234</t>
        </is>
      </c>
      <c r="E3857" s="402" t="n"/>
      <c r="F3857" s="401" t="inlineStr">
        <is>
          <t>06 Nguyễn Thụy, TP Quảng Ngãi</t>
        </is>
      </c>
      <c r="G3857" s="400" t="inlineStr">
        <is>
          <t>QUNGAI</t>
        </is>
      </c>
      <c r="H3857" s="402" t="n"/>
      <c r="J3857" s="392">
        <f>IFERROR(UPPER(TRIM(B3857))&amp;"|"&amp;UPPER(TRIM(C3857))&amp;"|"&amp;UPPER(TRIM(D3857)),"")</f>
        <v/>
      </c>
    </row>
    <row r="3858" ht="15.75" customHeight="1" s="217">
      <c r="A3858" s="397" t="n">
        <v>3856</v>
      </c>
      <c r="B3858" s="397" t="inlineStr">
        <is>
          <t>KH00256</t>
        </is>
      </c>
      <c r="C3858" s="398" t="inlineStr">
        <is>
          <t>Chú Công - Gia Lai/ 0974.871.157</t>
        </is>
      </c>
      <c r="D3858" s="397" t="inlineStr">
        <is>
          <t>0974.871.157</t>
        </is>
      </c>
      <c r="E3858" s="399" t="n"/>
      <c r="F3858" s="398" t="inlineStr">
        <is>
          <t>01 Lê Đại Hành, TP Pleiku, Gia lai</t>
        </is>
      </c>
      <c r="G3858" s="397" t="inlineStr">
        <is>
          <t>GLAI</t>
        </is>
      </c>
      <c r="H3858" s="399" t="n"/>
      <c r="J3858" s="392">
        <f>IFERROR(UPPER(TRIM(B3858))&amp;"|"&amp;UPPER(TRIM(C3858))&amp;"|"&amp;UPPER(TRIM(D3858)),"")</f>
        <v/>
      </c>
    </row>
    <row r="3859" ht="15.75" customHeight="1" s="217">
      <c r="A3859" s="400" t="n">
        <v>3857</v>
      </c>
      <c r="B3859" s="400" t="inlineStr">
        <is>
          <t>MN13</t>
        </is>
      </c>
      <c r="C3859" s="401" t="inlineStr">
        <is>
          <t>Nguyễn Xuân Bình</t>
        </is>
      </c>
      <c r="D3859" s="402" t="n"/>
      <c r="E3859" s="402" t="n"/>
      <c r="F3859" s="401" t="inlineStr">
        <is>
          <t>CTCP Thiết Bị cơ giới Miền Nam</t>
        </is>
      </c>
      <c r="G3859" s="402" t="n"/>
      <c r="H3859" s="402" t="n"/>
      <c r="J3859" s="392">
        <f>IFERROR(UPPER(TRIM(B3859))&amp;"|"&amp;UPPER(TRIM(C3859))&amp;"|"&amp;UPPER(TRIM(D3859)),"")</f>
        <v/>
      </c>
    </row>
    <row r="3860" ht="15.75" customHeight="1" s="217">
      <c r="A3860" s="397" t="n">
        <v>3858</v>
      </c>
      <c r="B3860" s="397" t="inlineStr">
        <is>
          <t>XEKHACH</t>
        </is>
      </c>
      <c r="C3860" s="398" t="inlineStr">
        <is>
          <t>Xe khách Bắc Nam</t>
        </is>
      </c>
      <c r="D3860" s="399" t="n"/>
      <c r="E3860" s="399" t="n"/>
      <c r="F3860" s="398" t="inlineStr">
        <is>
          <t>Hà Nội</t>
        </is>
      </c>
      <c r="G3860" s="399" t="n"/>
      <c r="H3860" s="399" t="n"/>
      <c r="J3860" s="392">
        <f>IFERROR(UPPER(TRIM(B3860))&amp;"|"&amp;UPPER(TRIM(C3860))&amp;"|"&amp;UPPER(TRIM(D3860)),"")</f>
        <v/>
      </c>
    </row>
    <row r="3861" ht="15.75" customHeight="1" s="217">
      <c r="A3861" s="400" t="n">
        <v>3859</v>
      </c>
      <c r="B3861" s="400" t="inlineStr">
        <is>
          <t>KH00255</t>
        </is>
      </c>
      <c r="C3861" s="401" t="inlineStr">
        <is>
          <t>Khách hàng Huế/ 0983.491.647</t>
        </is>
      </c>
      <c r="D3861" s="400" t="inlineStr">
        <is>
          <t>0983.491.647</t>
        </is>
      </c>
      <c r="E3861" s="402" t="n"/>
      <c r="F3861" s="401" t="inlineStr">
        <is>
          <t>Huế</t>
        </is>
      </c>
      <c r="G3861" s="400" t="inlineStr">
        <is>
          <t>HUE</t>
        </is>
      </c>
      <c r="H3861" s="402" t="n"/>
      <c r="J3861" s="392">
        <f>IFERROR(UPPER(TRIM(B3861))&amp;"|"&amp;UPPER(TRIM(C3861))&amp;"|"&amp;UPPER(TRIM(D3861)),"")</f>
        <v/>
      </c>
    </row>
    <row r="3862" ht="15.75" customHeight="1" s="217">
      <c r="A3862" s="397" t="n">
        <v>3860</v>
      </c>
      <c r="B3862" s="397" t="inlineStr">
        <is>
          <t>THLOI</t>
        </is>
      </c>
      <c r="C3862" s="398" t="inlineStr">
        <is>
          <t>DNTN Vận Tải Thương Mại Thắng Lợi</t>
        </is>
      </c>
      <c r="D3862" s="399" t="n"/>
      <c r="E3862" s="399" t="n"/>
      <c r="F3862" s="398" t="inlineStr">
        <is>
          <t>209/1A, Ql 1K, KP. Tân An. P. Tân Đông Hiệp, TX Dĩ An, Bình Dương</t>
        </is>
      </c>
      <c r="G3862" s="397" t="inlineStr">
        <is>
          <t>BDUONG</t>
        </is>
      </c>
      <c r="H3862" s="399" t="n"/>
      <c r="J3862" s="392">
        <f>IFERROR(UPPER(TRIM(B3862))&amp;"|"&amp;UPPER(TRIM(C3862))&amp;"|"&amp;UPPER(TRIM(D3862)),"")</f>
        <v/>
      </c>
    </row>
    <row r="3863" ht="15.75" customHeight="1" s="217">
      <c r="A3863" s="400" t="n">
        <v>3861</v>
      </c>
      <c r="B3863" s="400" t="inlineStr">
        <is>
          <t>MH</t>
        </is>
      </c>
      <c r="C3863" s="401" t="inlineStr">
        <is>
          <t>QUANZHOU JINDIAN MACHINERY DEVELOPMENT CO.,LTD</t>
        </is>
      </c>
      <c r="D3863" s="400" t="inlineStr">
        <is>
          <t>0086-0595-36288599</t>
        </is>
      </c>
      <c r="E3863" s="402" t="n"/>
      <c r="F3863" s="401" t="inlineStr">
        <is>
          <t>No.3 Jinxi road, Binjiang Machinery Parts Producing base, Nanan City, Fujian Provice</t>
        </is>
      </c>
      <c r="G3863" s="402" t="n"/>
      <c r="H3863" s="402" t="n"/>
      <c r="J3863" s="392">
        <f>IFERROR(UPPER(TRIM(B3863))&amp;"|"&amp;UPPER(TRIM(C3863))&amp;"|"&amp;UPPER(TRIM(D3863)),"")</f>
        <v/>
      </c>
    </row>
    <row r="3864" ht="15.75" customHeight="1" s="217">
      <c r="A3864" s="397" t="n">
        <v>3862</v>
      </c>
      <c r="B3864" s="397" t="inlineStr">
        <is>
          <t>WL</t>
        </is>
      </c>
      <c r="C3864" s="398" t="inlineStr">
        <is>
          <t>ZHEJIANG WEILIN MECHANICAL CO.,LTD  (crankshaft)</t>
        </is>
      </c>
      <c r="D3864" s="399" t="n"/>
      <c r="E3864" s="399" t="n"/>
      <c r="F3864" s="398" t="inlineStr">
        <is>
          <t>CHINA</t>
        </is>
      </c>
      <c r="G3864" s="399" t="n"/>
      <c r="H3864" s="399" t="n"/>
      <c r="J3864" s="392">
        <f>IFERROR(UPPER(TRIM(B3864))&amp;"|"&amp;UPPER(TRIM(C3864))&amp;"|"&amp;UPPER(TRIM(D3864)),"")</f>
        <v/>
      </c>
    </row>
    <row r="3865" ht="15.75" customHeight="1" s="217">
      <c r="A3865" s="400" t="n">
        <v>3863</v>
      </c>
      <c r="B3865" s="400" t="inlineStr">
        <is>
          <t>KH00253</t>
        </is>
      </c>
      <c r="C3865" s="401" t="inlineStr">
        <is>
          <t>Anh Liên - Tây Ninh/ 0983.853.853</t>
        </is>
      </c>
      <c r="D3865" s="400" t="inlineStr">
        <is>
          <t>0983.853.853</t>
        </is>
      </c>
      <c r="E3865" s="402" t="n"/>
      <c r="F3865" s="401" t="inlineStr">
        <is>
          <t>Trảng Bàng, Tây Ninh</t>
        </is>
      </c>
      <c r="G3865" s="402" t="n"/>
      <c r="H3865" s="402" t="n"/>
      <c r="J3865" s="392">
        <f>IFERROR(UPPER(TRIM(B3865))&amp;"|"&amp;UPPER(TRIM(C3865))&amp;"|"&amp;UPPER(TRIM(D3865)),"")</f>
        <v/>
      </c>
    </row>
    <row r="3866" ht="15.75" customHeight="1" s="217">
      <c r="A3866" s="397" t="n">
        <v>3864</v>
      </c>
      <c r="B3866" s="397" t="inlineStr">
        <is>
          <t>KH00251</t>
        </is>
      </c>
      <c r="C3866" s="398" t="inlineStr">
        <is>
          <t>Xưởng Phúc Ân - Huế/ 0905.033.757</t>
        </is>
      </c>
      <c r="D3866" s="397" t="inlineStr">
        <is>
          <t>0905.033.757</t>
        </is>
      </c>
      <c r="E3866" s="399" t="n"/>
      <c r="F3866" s="398" t="inlineStr">
        <is>
          <t>Huế</t>
        </is>
      </c>
      <c r="G3866" s="397" t="inlineStr">
        <is>
          <t>HUE</t>
        </is>
      </c>
      <c r="H3866" s="399" t="n"/>
      <c r="J3866" s="392">
        <f>IFERROR(UPPER(TRIM(B3866))&amp;"|"&amp;UPPER(TRIM(C3866))&amp;"|"&amp;UPPER(TRIM(D3866)),"")</f>
        <v/>
      </c>
    </row>
    <row r="3867" ht="15.75" customHeight="1" s="217">
      <c r="A3867" s="400" t="n">
        <v>3865</v>
      </c>
      <c r="B3867" s="400" t="inlineStr">
        <is>
          <t>KH00252</t>
        </is>
      </c>
      <c r="C3867" s="401" t="inlineStr">
        <is>
          <t>Anh Sơn - Bình Phước/ 01235.461.620</t>
        </is>
      </c>
      <c r="D3867" s="400" t="inlineStr">
        <is>
          <t>01235.461.620</t>
        </is>
      </c>
      <c r="E3867" s="402" t="n"/>
      <c r="F3867" s="401" t="inlineStr">
        <is>
          <t>Bình Phước</t>
        </is>
      </c>
      <c r="G3867" s="402" t="n"/>
      <c r="H3867" s="402" t="n"/>
      <c r="J3867" s="392">
        <f>IFERROR(UPPER(TRIM(B3867))&amp;"|"&amp;UPPER(TRIM(C3867))&amp;"|"&amp;UPPER(TRIM(D3867)),"")</f>
        <v/>
      </c>
    </row>
    <row r="3868" ht="15.75" customHeight="1" s="217">
      <c r="A3868" s="397" t="n">
        <v>3866</v>
      </c>
      <c r="B3868" s="397" t="inlineStr">
        <is>
          <t>KH00250</t>
        </is>
      </c>
      <c r="C3868" s="398" t="inlineStr">
        <is>
          <t>Chị Hồng - SG/ 0918.326.389</t>
        </is>
      </c>
      <c r="D3868" s="397" t="inlineStr">
        <is>
          <t>0918.326.389</t>
        </is>
      </c>
      <c r="E3868" s="399" t="n"/>
      <c r="F3868" s="398" t="inlineStr">
        <is>
          <t>Sài Gòn</t>
        </is>
      </c>
      <c r="G3868" s="397" t="inlineStr">
        <is>
          <t>SG/HCM</t>
        </is>
      </c>
      <c r="H3868" s="399" t="n"/>
      <c r="J3868" s="392">
        <f>IFERROR(UPPER(TRIM(B3868))&amp;"|"&amp;UPPER(TRIM(C3868))&amp;"|"&amp;UPPER(TRIM(D3868)),"")</f>
        <v/>
      </c>
    </row>
    <row r="3869" ht="15.75" customHeight="1" s="217">
      <c r="A3869" s="400" t="n">
        <v>3867</v>
      </c>
      <c r="B3869" s="400" t="inlineStr">
        <is>
          <t>KH00247</t>
        </is>
      </c>
      <c r="C3869" s="401" t="inlineStr">
        <is>
          <t>Xưởng Vũ Cường - Tiền Giang/ Anh Huy - 0919.036.420</t>
        </is>
      </c>
      <c r="D3869" s="400" t="inlineStr">
        <is>
          <t>0919.036.420</t>
        </is>
      </c>
      <c r="E3869" s="402" t="n"/>
      <c r="F3869" s="401" t="inlineStr">
        <is>
          <t>Gò Công, Tiền Giang</t>
        </is>
      </c>
      <c r="G3869" s="400" t="inlineStr">
        <is>
          <t>TGIANG</t>
        </is>
      </c>
      <c r="H3869" s="402" t="n"/>
      <c r="J3869" s="392">
        <f>IFERROR(UPPER(TRIM(B3869))&amp;"|"&amp;UPPER(TRIM(C3869))&amp;"|"&amp;UPPER(TRIM(D3869)),"")</f>
        <v/>
      </c>
    </row>
    <row r="3870" ht="15.75" customHeight="1" s="217">
      <c r="A3870" s="397" t="n">
        <v>3868</v>
      </c>
      <c r="B3870" s="397" t="inlineStr">
        <is>
          <t>KH00248</t>
        </is>
      </c>
      <c r="C3870" s="398" t="inlineStr">
        <is>
          <t>Cửa hàng anh Tín - Quảng Nam/ 0935.505.739 - 0912.337.449 - Fax: 0510.6254.331</t>
        </is>
      </c>
      <c r="D3870" s="397" t="inlineStr">
        <is>
          <t>0935.505.739 / 0912.337.449 / 0510.6254.331</t>
        </is>
      </c>
      <c r="E3870" s="399" t="n"/>
      <c r="F3870" s="398" t="inlineStr">
        <is>
          <t>Quảng Nam</t>
        </is>
      </c>
      <c r="G3870" s="397" t="inlineStr">
        <is>
          <t>QNAM</t>
        </is>
      </c>
      <c r="H3870" s="399" t="n"/>
      <c r="J3870" s="392">
        <f>IFERROR(UPPER(TRIM(B3870))&amp;"|"&amp;UPPER(TRIM(C3870))&amp;"|"&amp;UPPER(TRIM(D3870)),"")</f>
        <v/>
      </c>
    </row>
    <row r="3871" ht="15.75" customHeight="1" s="217">
      <c r="A3871" s="400" t="n">
        <v>3869</v>
      </c>
      <c r="B3871" s="400" t="inlineStr">
        <is>
          <t>KH00249</t>
        </is>
      </c>
      <c r="C3871" s="401" t="inlineStr">
        <is>
          <t>Anh Liêm - Phú Yên/ 0903.574.104</t>
        </is>
      </c>
      <c r="D3871" s="400" t="inlineStr">
        <is>
          <t>0903.574.104</t>
        </is>
      </c>
      <c r="E3871" s="402" t="n"/>
      <c r="F3871" s="401" t="inlineStr">
        <is>
          <t>Phú Yên</t>
        </is>
      </c>
      <c r="G3871" s="400" t="inlineStr">
        <is>
          <t>PYEN</t>
        </is>
      </c>
      <c r="H3871" s="402" t="n"/>
      <c r="J3871" s="392">
        <f>IFERROR(UPPER(TRIM(B3871))&amp;"|"&amp;UPPER(TRIM(C3871))&amp;"|"&amp;UPPER(TRIM(D3871)),"")</f>
        <v/>
      </c>
    </row>
    <row r="3872" ht="15.75" customHeight="1" s="217">
      <c r="A3872" s="397" t="n">
        <v>3870</v>
      </c>
      <c r="B3872" s="397" t="inlineStr">
        <is>
          <t>KH00246</t>
        </is>
      </c>
      <c r="C3872" s="398" t="inlineStr">
        <is>
          <t>Xưởng anh Sâm - Trà Vinh/ 0916.367.779</t>
        </is>
      </c>
      <c r="D3872" s="397" t="inlineStr">
        <is>
          <t>0916.367.779</t>
        </is>
      </c>
      <c r="E3872" s="399" t="n"/>
      <c r="F3872" s="398" t="inlineStr">
        <is>
          <t>Trà Vinh</t>
        </is>
      </c>
      <c r="G3872" s="399" t="n"/>
      <c r="H3872" s="399" t="n"/>
      <c r="J3872" s="392">
        <f>IFERROR(UPPER(TRIM(B3872))&amp;"|"&amp;UPPER(TRIM(C3872))&amp;"|"&amp;UPPER(TRIM(D3872)),"")</f>
        <v/>
      </c>
    </row>
    <row r="3873" ht="15.75" customHeight="1" s="217">
      <c r="A3873" s="400" t="n">
        <v>3871</v>
      </c>
      <c r="B3873" s="400" t="inlineStr">
        <is>
          <t>KH00245</t>
        </is>
      </c>
      <c r="C3873" s="401" t="inlineStr">
        <is>
          <t>Chú Gỡ - Bình Dương/ 01668.717.777 - A.Ngân Campuchia: 0972.122.799</t>
        </is>
      </c>
      <c r="D3873" s="400" t="inlineStr">
        <is>
          <t>01668.717.777 / 0972.122.799</t>
        </is>
      </c>
      <c r="E3873" s="402" t="n"/>
      <c r="F3873" s="401" t="inlineStr">
        <is>
          <t>Cây Xăng Bàu Bàng 2 (Qua KCN Bàu Bàng 2km), Lạc Xuyên, Bến Cát, Bình Dương</t>
        </is>
      </c>
      <c r="G3873" s="402" t="n"/>
      <c r="H3873" s="402" t="n"/>
      <c r="J3873" s="392">
        <f>IFERROR(UPPER(TRIM(B3873))&amp;"|"&amp;UPPER(TRIM(C3873))&amp;"|"&amp;UPPER(TRIM(D3873)),"")</f>
        <v/>
      </c>
    </row>
    <row r="3874" ht="15.75" customHeight="1" s="217">
      <c r="A3874" s="397" t="n">
        <v>3872</v>
      </c>
      <c r="B3874" s="397" t="inlineStr">
        <is>
          <t>KH00244</t>
        </is>
      </c>
      <c r="C3874" s="398" t="inlineStr">
        <is>
          <t>Công ty TNHH XD-TM số 1 - Quảng Bình</t>
        </is>
      </c>
      <c r="D3874" s="399" t="n"/>
      <c r="E3874" s="399" t="n"/>
      <c r="F3874" s="398" t="inlineStr">
        <is>
          <t>An Ninh - Quảng Ninh - Quảng Bình</t>
        </is>
      </c>
      <c r="G3874" s="397" t="inlineStr">
        <is>
          <t>GLAI</t>
        </is>
      </c>
      <c r="H3874" s="399" t="n"/>
      <c r="J3874" s="392">
        <f>IFERROR(UPPER(TRIM(B3874))&amp;"|"&amp;UPPER(TRIM(C3874))&amp;"|"&amp;UPPER(TRIM(D3874)),"")</f>
        <v/>
      </c>
    </row>
    <row r="3875" ht="15.75" customHeight="1" s="217">
      <c r="A3875" s="400" t="n">
        <v>3873</v>
      </c>
      <c r="B3875" s="400" t="inlineStr">
        <is>
          <t>KH00242</t>
        </is>
      </c>
      <c r="C3875" s="401" t="inlineStr">
        <is>
          <t>Công ty xây dựng Thành Đạt - Quảng Ngãi/ 0914.434.722</t>
        </is>
      </c>
      <c r="D3875" s="400" t="inlineStr">
        <is>
          <t>0914.434.722</t>
        </is>
      </c>
      <c r="E3875" s="402" t="n"/>
      <c r="F3875" s="401" t="inlineStr">
        <is>
          <t>Nghĩa Hành, Quảng Ngãi</t>
        </is>
      </c>
      <c r="G3875" s="400" t="inlineStr">
        <is>
          <t>QUNGAI</t>
        </is>
      </c>
      <c r="H3875" s="402" t="n"/>
      <c r="J3875" s="392">
        <f>IFERROR(UPPER(TRIM(B3875))&amp;"|"&amp;UPPER(TRIM(C3875))&amp;"|"&amp;UPPER(TRIM(D3875)),"")</f>
        <v/>
      </c>
    </row>
    <row r="3876" ht="15.75" customHeight="1" s="217">
      <c r="A3876" s="397" t="n">
        <v>3874</v>
      </c>
      <c r="B3876" s="397" t="inlineStr">
        <is>
          <t>KH00243</t>
        </is>
      </c>
      <c r="C3876" s="398" t="inlineStr">
        <is>
          <t>Xưởng Duy Vũ- Đà Lạt/ 0978.767.407-0937.399.490, C My - 0962.696.469</t>
        </is>
      </c>
      <c r="D3876" s="397" t="inlineStr">
        <is>
          <t>0978.767.407-0937 / 0962.696.469</t>
        </is>
      </c>
      <c r="E3876" s="399" t="n"/>
      <c r="F3876" s="398" t="inlineStr">
        <is>
          <t>Đà Lạt, Lâm Đồng</t>
        </is>
      </c>
      <c r="G3876" s="397" t="inlineStr">
        <is>
          <t>LDONG</t>
        </is>
      </c>
      <c r="H3876" s="399" t="n"/>
      <c r="J3876" s="392">
        <f>IFERROR(UPPER(TRIM(B3876))&amp;"|"&amp;UPPER(TRIM(C3876))&amp;"|"&amp;UPPER(TRIM(D3876)),"")</f>
        <v/>
      </c>
    </row>
    <row r="3877" ht="15.75" customHeight="1" s="217">
      <c r="A3877" s="400" t="n">
        <v>3875</v>
      </c>
      <c r="B3877" s="400" t="inlineStr">
        <is>
          <t>KH00241</t>
        </is>
      </c>
      <c r="C3877" s="401" t="inlineStr">
        <is>
          <t>Anh Toản - Phú Yên/ 0978.644.417</t>
        </is>
      </c>
      <c r="D3877" s="400" t="inlineStr">
        <is>
          <t>0978.644.417</t>
        </is>
      </c>
      <c r="E3877" s="402" t="n"/>
      <c r="F3877" s="401" t="inlineStr">
        <is>
          <t>Phú Yên</t>
        </is>
      </c>
      <c r="G3877" s="400" t="inlineStr">
        <is>
          <t>PYEN</t>
        </is>
      </c>
      <c r="H3877" s="402" t="n"/>
      <c r="J3877" s="392">
        <f>IFERROR(UPPER(TRIM(B3877))&amp;"|"&amp;UPPER(TRIM(C3877))&amp;"|"&amp;UPPER(TRIM(D3877)),"")</f>
        <v/>
      </c>
    </row>
    <row r="3878" ht="15.75" customHeight="1" s="217">
      <c r="A3878" s="397" t="n">
        <v>3876</v>
      </c>
      <c r="B3878" s="397" t="inlineStr">
        <is>
          <t>KH00240</t>
        </is>
      </c>
      <c r="C3878" s="398" t="inlineStr">
        <is>
          <t>Anh Phong - SG/ 0904.453.686</t>
        </is>
      </c>
      <c r="D3878" s="397" t="inlineStr">
        <is>
          <t>0904.453.686</t>
        </is>
      </c>
      <c r="E3878" s="399" t="n"/>
      <c r="F3878" s="398" t="inlineStr">
        <is>
          <t>Gần Siêu thị Metro An Phú, Q2, TPHCM</t>
        </is>
      </c>
      <c r="G3878" s="397" t="inlineStr">
        <is>
          <t>SG/HCM</t>
        </is>
      </c>
      <c r="H3878" s="399" t="n"/>
      <c r="J3878" s="392">
        <f>IFERROR(UPPER(TRIM(B3878))&amp;"|"&amp;UPPER(TRIM(C3878))&amp;"|"&amp;UPPER(TRIM(D3878)),"")</f>
        <v/>
      </c>
    </row>
    <row r="3879" ht="15.75" customHeight="1" s="217">
      <c r="A3879" s="400" t="n">
        <v>3877</v>
      </c>
      <c r="B3879" s="400" t="inlineStr">
        <is>
          <t>KH00239</t>
        </is>
      </c>
      <c r="C3879" s="401" t="inlineStr">
        <is>
          <t>Bãi máy Lê Dũng - SG/ 0964.645.465</t>
        </is>
      </c>
      <c r="D3879" s="400" t="inlineStr">
        <is>
          <t>0964.645.465</t>
        </is>
      </c>
      <c r="E3879" s="402" t="n"/>
      <c r="F3879" s="401" t="inlineStr">
        <is>
          <t>Số 8, QL 1A, Linh Trung, Thủ Đức (Gần Đại học Nông Lâm, Sài Gòn)</t>
        </is>
      </c>
      <c r="G3879" s="400" t="inlineStr">
        <is>
          <t>SG/HCM</t>
        </is>
      </c>
      <c r="H3879" s="402" t="n"/>
      <c r="J3879" s="392">
        <f>IFERROR(UPPER(TRIM(B3879))&amp;"|"&amp;UPPER(TRIM(C3879))&amp;"|"&amp;UPPER(TRIM(D3879)),"")</f>
        <v/>
      </c>
    </row>
    <row r="3880" ht="15.75" customHeight="1" s="217">
      <c r="A3880" s="397" t="n">
        <v>3878</v>
      </c>
      <c r="B3880" s="397" t="inlineStr">
        <is>
          <t>KH00238</t>
        </is>
      </c>
      <c r="C3880" s="398" t="inlineStr">
        <is>
          <t>Xưởng Hiệp Lực - Quảng Ngãi/ 0914.429.902</t>
        </is>
      </c>
      <c r="D3880" s="397" t="inlineStr">
        <is>
          <t>0914.429.902</t>
        </is>
      </c>
      <c r="E3880" s="399" t="n"/>
      <c r="F3880" s="398" t="inlineStr">
        <is>
          <t>Tổ 10, Phường Quảng Phú, TP. Quảng Ngãi</t>
        </is>
      </c>
      <c r="G3880" s="397" t="inlineStr">
        <is>
          <t>QUNGAI</t>
        </is>
      </c>
      <c r="H3880" s="399" t="n"/>
      <c r="J3880" s="392">
        <f>IFERROR(UPPER(TRIM(B3880))&amp;"|"&amp;UPPER(TRIM(C3880))&amp;"|"&amp;UPPER(TRIM(D3880)),"")</f>
        <v/>
      </c>
    </row>
    <row r="3881" ht="15.75" customHeight="1" s="217">
      <c r="A3881" s="400" t="n">
        <v>3879</v>
      </c>
      <c r="B3881" s="400" t="inlineStr">
        <is>
          <t>KH00237</t>
        </is>
      </c>
      <c r="C3881" s="401" t="inlineStr">
        <is>
          <t>Anh Hùng - ĐắkLắk/ 0942.934.632</t>
        </is>
      </c>
      <c r="D3881" s="400" t="inlineStr">
        <is>
          <t>0942.934.632</t>
        </is>
      </c>
      <c r="E3881" s="402" t="n"/>
      <c r="F3881" s="401" t="inlineStr">
        <is>
          <t>Buôn Ma Thuột, ĐắkLắk</t>
        </is>
      </c>
      <c r="G3881" s="400" t="inlineStr">
        <is>
          <t>ÐL</t>
        </is>
      </c>
      <c r="H3881" s="402" t="n"/>
      <c r="J3881" s="392">
        <f>IFERROR(UPPER(TRIM(B3881))&amp;"|"&amp;UPPER(TRIM(C3881))&amp;"|"&amp;UPPER(TRIM(D3881)),"")</f>
        <v/>
      </c>
    </row>
    <row r="3882" ht="15.75" customHeight="1" s="217">
      <c r="A3882" s="397" t="n">
        <v>3880</v>
      </c>
      <c r="B3882" s="397" t="inlineStr">
        <is>
          <t>KH00236</t>
        </is>
      </c>
      <c r="C3882" s="398" t="inlineStr">
        <is>
          <t>anh Khâm - Trà Vinh/ 0932.905.669</t>
        </is>
      </c>
      <c r="D3882" s="397" t="inlineStr">
        <is>
          <t>0932.905.669</t>
        </is>
      </c>
      <c r="E3882" s="399" t="n"/>
      <c r="F3882" s="398" t="inlineStr">
        <is>
          <t>Trà Vinh</t>
        </is>
      </c>
      <c r="G3882" s="397" t="inlineStr">
        <is>
          <t>TV</t>
        </is>
      </c>
      <c r="H3882" s="399" t="n"/>
      <c r="J3882" s="392">
        <f>IFERROR(UPPER(TRIM(B3882))&amp;"|"&amp;UPPER(TRIM(C3882))&amp;"|"&amp;UPPER(TRIM(D3882)),"")</f>
        <v/>
      </c>
    </row>
    <row r="3883" ht="15.75" customHeight="1" s="217">
      <c r="A3883" s="400" t="n">
        <v>3881</v>
      </c>
      <c r="B3883" s="400" t="inlineStr">
        <is>
          <t>KH00235</t>
        </is>
      </c>
      <c r="C3883" s="401" t="inlineStr">
        <is>
          <t>Công ty Minh Anh - ĐắkLắk/ 0903.544.849</t>
        </is>
      </c>
      <c r="D3883" s="400" t="inlineStr">
        <is>
          <t>0903.544.849</t>
        </is>
      </c>
      <c r="E3883" s="402" t="n"/>
      <c r="F3883" s="401" t="inlineStr">
        <is>
          <t>86 Ngô Quyền, TP Buôn Ma Thuột, ĐắkLắk</t>
        </is>
      </c>
      <c r="G3883" s="400" t="inlineStr">
        <is>
          <t>ÐL</t>
        </is>
      </c>
      <c r="H3883" s="402" t="n"/>
      <c r="J3883" s="392">
        <f>IFERROR(UPPER(TRIM(B3883))&amp;"|"&amp;UPPER(TRIM(C3883))&amp;"|"&amp;UPPER(TRIM(D3883)),"")</f>
        <v/>
      </c>
    </row>
    <row r="3884" ht="15.75" customHeight="1" s="217">
      <c r="A3884" s="397" t="n">
        <v>3882</v>
      </c>
      <c r="B3884" s="397" t="inlineStr">
        <is>
          <t>KH00234</t>
        </is>
      </c>
      <c r="C3884" s="398" t="inlineStr">
        <is>
          <t>Xưởng anh Dũng - Quảng Trị/ 0914.011.081</t>
        </is>
      </c>
      <c r="D3884" s="397" t="inlineStr">
        <is>
          <t>0914.011.081</t>
        </is>
      </c>
      <c r="E3884" s="399" t="n"/>
      <c r="F3884" s="398" t="inlineStr">
        <is>
          <t>Đông Hà - Quảng Trị</t>
        </is>
      </c>
      <c r="G3884" s="399" t="n"/>
      <c r="H3884" s="399" t="n"/>
      <c r="J3884" s="392">
        <f>IFERROR(UPPER(TRIM(B3884))&amp;"|"&amp;UPPER(TRIM(C3884))&amp;"|"&amp;UPPER(TRIM(D3884)),"")</f>
        <v/>
      </c>
    </row>
    <row r="3885" ht="15.75" customHeight="1" s="217">
      <c r="A3885" s="400" t="n">
        <v>3883</v>
      </c>
      <c r="B3885" s="400" t="inlineStr">
        <is>
          <t>KH00233</t>
        </is>
      </c>
      <c r="C3885" s="401" t="inlineStr">
        <is>
          <t>Xưởng anh Và- Đức Trọng/ 0915.599.269</t>
        </is>
      </c>
      <c r="D3885" s="400" t="inlineStr">
        <is>
          <t>0915.599.269</t>
        </is>
      </c>
      <c r="E3885" s="402" t="n"/>
      <c r="F3885" s="401" t="inlineStr">
        <is>
          <t>Đức Trọng, Lâm Đồng</t>
        </is>
      </c>
      <c r="G3885" s="400" t="inlineStr">
        <is>
          <t>LDONG</t>
        </is>
      </c>
      <c r="H3885" s="402" t="n"/>
      <c r="J3885" s="392">
        <f>IFERROR(UPPER(TRIM(B3885))&amp;"|"&amp;UPPER(TRIM(C3885))&amp;"|"&amp;UPPER(TRIM(D3885)),"")</f>
        <v/>
      </c>
    </row>
    <row r="3886" ht="15.75" customHeight="1" s="217">
      <c r="A3886" s="397" t="n">
        <v>3884</v>
      </c>
      <c r="B3886" s="397" t="inlineStr">
        <is>
          <t>KH00232</t>
        </is>
      </c>
      <c r="C3886" s="398" t="inlineStr">
        <is>
          <t>Công ty Intreons/ A.Phú:01269.027.620</t>
        </is>
      </c>
      <c r="D3886" s="397" t="inlineStr">
        <is>
          <t>01269.027.620</t>
        </is>
      </c>
      <c r="E3886" s="399" t="n"/>
      <c r="F3886" s="398" t="inlineStr">
        <is>
          <t>Đường Nguyễn Văn Linh, TPHCM</t>
        </is>
      </c>
      <c r="G3886" s="397" t="inlineStr">
        <is>
          <t>SG/HCM</t>
        </is>
      </c>
      <c r="H3886" s="399" t="n"/>
      <c r="J3886" s="392">
        <f>IFERROR(UPPER(TRIM(B3886))&amp;"|"&amp;UPPER(TRIM(C3886))&amp;"|"&amp;UPPER(TRIM(D3886)),"")</f>
        <v/>
      </c>
    </row>
    <row r="3887" ht="15.75" customHeight="1" s="217">
      <c r="A3887" s="400" t="n">
        <v>3885</v>
      </c>
      <c r="B3887" s="400" t="inlineStr">
        <is>
          <t>KH00230</t>
        </is>
      </c>
      <c r="C3887" s="401" t="inlineStr">
        <is>
          <t>Xưởng anh Bình - Long Xuyên/ 0939.969.899</t>
        </is>
      </c>
      <c r="D3887" s="400" t="inlineStr">
        <is>
          <t>0939.969.899</t>
        </is>
      </c>
      <c r="E3887" s="402" t="n"/>
      <c r="F3887" s="401" t="inlineStr">
        <is>
          <t>Long Xuyên - An Giang</t>
        </is>
      </c>
      <c r="G3887" s="400" t="inlineStr">
        <is>
          <t>ANGIANG</t>
        </is>
      </c>
      <c r="H3887" s="402" t="n"/>
      <c r="J3887" s="392">
        <f>IFERROR(UPPER(TRIM(B3887))&amp;"|"&amp;UPPER(TRIM(C3887))&amp;"|"&amp;UPPER(TRIM(D3887)),"")</f>
        <v/>
      </c>
    </row>
    <row r="3888" ht="15.75" customHeight="1" s="217">
      <c r="A3888" s="397" t="n">
        <v>3886</v>
      </c>
      <c r="B3888" s="397" t="inlineStr">
        <is>
          <t>KH00231</t>
        </is>
      </c>
      <c r="C3888" s="398" t="inlineStr">
        <is>
          <t>Công ty cổ phần E.C.O.N</t>
        </is>
      </c>
      <c r="D3888" s="399" t="n"/>
      <c r="E3888" s="399" t="n"/>
      <c r="F3888" s="398" t="inlineStr">
        <is>
          <t>A34, Dương Quảng Hàm, P5, Q. Gò Vấp</t>
        </is>
      </c>
      <c r="G3888" s="397" t="inlineStr">
        <is>
          <t>SG/HCM</t>
        </is>
      </c>
      <c r="H3888" s="399" t="n"/>
      <c r="J3888" s="392">
        <f>IFERROR(UPPER(TRIM(B3888))&amp;"|"&amp;UPPER(TRIM(C3888))&amp;"|"&amp;UPPER(TRIM(D3888)),"")</f>
        <v/>
      </c>
    </row>
    <row r="3889" ht="15.75" customHeight="1" s="217">
      <c r="A3889" s="400" t="n">
        <v>3887</v>
      </c>
      <c r="B3889" s="400" t="inlineStr">
        <is>
          <t>KH00228</t>
        </is>
      </c>
      <c r="C3889" s="401" t="inlineStr">
        <is>
          <t>Xưởng Văn Bài - SG/ 0903.910.596</t>
        </is>
      </c>
      <c r="D3889" s="400" t="inlineStr">
        <is>
          <t>0903.910.596</t>
        </is>
      </c>
      <c r="E3889" s="402" t="n"/>
      <c r="F3889" s="401" t="inlineStr">
        <is>
          <t>Quốc lộ 13, Sài Gòn</t>
        </is>
      </c>
      <c r="G3889" s="400" t="inlineStr">
        <is>
          <t>SG/HCM</t>
        </is>
      </c>
      <c r="H3889" s="402" t="n"/>
      <c r="J3889" s="392">
        <f>IFERROR(UPPER(TRIM(B3889))&amp;"|"&amp;UPPER(TRIM(C3889))&amp;"|"&amp;UPPER(TRIM(D3889)),"")</f>
        <v/>
      </c>
    </row>
    <row r="3890" ht="15.75" customHeight="1" s="217">
      <c r="A3890" s="397" t="n">
        <v>3888</v>
      </c>
      <c r="B3890" s="397" t="inlineStr">
        <is>
          <t>KH00227</t>
        </is>
      </c>
      <c r="C3890" s="398" t="inlineStr">
        <is>
          <t>Xưởng Thanh Điền - An Giang/ 0913.511.710</t>
        </is>
      </c>
      <c r="D3890" s="397" t="inlineStr">
        <is>
          <t>0913.511.710</t>
        </is>
      </c>
      <c r="E3890" s="399" t="n"/>
      <c r="F3890" s="398" t="inlineStr">
        <is>
          <t>Long Xuyên, An Giang</t>
        </is>
      </c>
      <c r="G3890" s="397" t="inlineStr">
        <is>
          <t>ANGIANG</t>
        </is>
      </c>
      <c r="H3890" s="399" t="n"/>
      <c r="J3890" s="392">
        <f>IFERROR(UPPER(TRIM(B3890))&amp;"|"&amp;UPPER(TRIM(C3890))&amp;"|"&amp;UPPER(TRIM(D3890)),"")</f>
        <v/>
      </c>
    </row>
    <row r="3891" ht="15.75" customHeight="1" s="217">
      <c r="A3891" s="400" t="n">
        <v>3889</v>
      </c>
      <c r="B3891" s="400" t="inlineStr">
        <is>
          <t>KH00226</t>
        </is>
      </c>
      <c r="C3891" s="401" t="inlineStr">
        <is>
          <t>Xưởng Nguyễn Trường Tộ - Gia Lai/ 0988.029.645</t>
        </is>
      </c>
      <c r="D3891" s="400" t="inlineStr">
        <is>
          <t>0988.029.645</t>
        </is>
      </c>
      <c r="E3891" s="402" t="n"/>
      <c r="F3891" s="401" t="inlineStr">
        <is>
          <t>193 Lê Thánh Tôn, TP Pleiku, Gia Lai</t>
        </is>
      </c>
      <c r="G3891" s="400" t="inlineStr">
        <is>
          <t>GLAI</t>
        </is>
      </c>
      <c r="H3891" s="402" t="n"/>
      <c r="J3891" s="392">
        <f>IFERROR(UPPER(TRIM(B3891))&amp;"|"&amp;UPPER(TRIM(C3891))&amp;"|"&amp;UPPER(TRIM(D3891)),"")</f>
        <v/>
      </c>
    </row>
    <row r="3892" ht="15.75" customHeight="1" s="217">
      <c r="A3892" s="397" t="n">
        <v>3890</v>
      </c>
      <c r="B3892" s="397" t="inlineStr">
        <is>
          <t>KH00225</t>
        </is>
      </c>
      <c r="C3892" s="398" t="inlineStr">
        <is>
          <t>Cửa hàng Cơ khí Đệ Thắng - Kiên Giang/ Chị Đang: 0963.007.986 - Fax:0773.837.449</t>
        </is>
      </c>
      <c r="D3892" s="397" t="inlineStr">
        <is>
          <t>0963.007.986 / 0773.837.449</t>
        </is>
      </c>
      <c r="E3892" s="399" t="n"/>
      <c r="F3892" s="398" t="inlineStr">
        <is>
          <t>QL80, qua chợ số 1 Mong Thọ 700m (gần cây xăng Bảy Lúa), Châu Thành, Kiên Giang</t>
        </is>
      </c>
      <c r="G3892" s="397" t="inlineStr">
        <is>
          <t>KG</t>
        </is>
      </c>
      <c r="H3892" s="399" t="n"/>
      <c r="J3892" s="392">
        <f>IFERROR(UPPER(TRIM(B3892))&amp;"|"&amp;UPPER(TRIM(C3892))&amp;"|"&amp;UPPER(TRIM(D3892)),"")</f>
        <v/>
      </c>
    </row>
    <row r="3893" ht="15.75" customHeight="1" s="217">
      <c r="A3893" s="400" t="n">
        <v>3891</v>
      </c>
      <c r="B3893" s="400" t="inlineStr">
        <is>
          <t>KH00224</t>
        </is>
      </c>
      <c r="C3893" s="401" t="inlineStr">
        <is>
          <t>Công ty Xây dựng Đồng Khánh - Quảng Ngãi/ 0918.287.499 - Fax: 0553.811.205</t>
        </is>
      </c>
      <c r="D3893" s="400" t="inlineStr">
        <is>
          <t>0918.287.499 / 0553.811.205</t>
        </is>
      </c>
      <c r="E3893" s="402" t="n"/>
      <c r="F3893" s="401" t="inlineStr">
        <is>
          <t>151 Nguyễn Đình Chiểu, TP Quảng Ngãi</t>
        </is>
      </c>
      <c r="G3893" s="400" t="inlineStr">
        <is>
          <t>QUNGAI</t>
        </is>
      </c>
      <c r="H3893" s="402" t="n"/>
      <c r="J3893" s="392">
        <f>IFERROR(UPPER(TRIM(B3893))&amp;"|"&amp;UPPER(TRIM(C3893))&amp;"|"&amp;UPPER(TRIM(D3893)),"")</f>
        <v/>
      </c>
    </row>
    <row r="3894" ht="15.75" customHeight="1" s="217">
      <c r="A3894" s="397" t="n">
        <v>3892</v>
      </c>
      <c r="B3894" s="397" t="inlineStr">
        <is>
          <t>KH00223</t>
        </is>
      </c>
      <c r="C3894" s="398" t="inlineStr">
        <is>
          <t>Anh Bắc - Tam Bình/0983.799.722</t>
        </is>
      </c>
      <c r="D3894" s="397" t="inlineStr">
        <is>
          <t>0983.799.722</t>
        </is>
      </c>
      <c r="E3894" s="399" t="n"/>
      <c r="F3894" s="398" t="inlineStr">
        <is>
          <t>42 Tam Bình, Thủ Đức, TPHCM</t>
        </is>
      </c>
      <c r="G3894" s="397" t="inlineStr">
        <is>
          <t>SG/HCM</t>
        </is>
      </c>
      <c r="H3894" s="399" t="n"/>
      <c r="J3894" s="392">
        <f>IFERROR(UPPER(TRIM(B3894))&amp;"|"&amp;UPPER(TRIM(C3894))&amp;"|"&amp;UPPER(TRIM(D3894)),"")</f>
        <v/>
      </c>
    </row>
    <row r="3895" ht="15.75" customHeight="1" s="217">
      <c r="A3895" s="400" t="n">
        <v>3893</v>
      </c>
      <c r="B3895" s="400" t="inlineStr">
        <is>
          <t>KH00220</t>
        </is>
      </c>
      <c r="C3895" s="401" t="inlineStr">
        <is>
          <t>Công ty CP Hương Thủy - Huế</t>
        </is>
      </c>
      <c r="D3895" s="402" t="n"/>
      <c r="E3895" s="402" t="n"/>
      <c r="F3895" s="401" t="inlineStr">
        <is>
          <t>103D Trường Chinh, TP Huế</t>
        </is>
      </c>
      <c r="G3895" s="400" t="inlineStr">
        <is>
          <t>HUE</t>
        </is>
      </c>
      <c r="H3895" s="402" t="n"/>
      <c r="J3895" s="392">
        <f>IFERROR(UPPER(TRIM(B3895))&amp;"|"&amp;UPPER(TRIM(C3895))&amp;"|"&amp;UPPER(TRIM(D3895)),"")</f>
        <v/>
      </c>
    </row>
    <row r="3896" ht="15.75" customHeight="1" s="217">
      <c r="A3896" s="397" t="n">
        <v>3894</v>
      </c>
      <c r="B3896" s="397" t="inlineStr">
        <is>
          <t>KH00221</t>
        </is>
      </c>
      <c r="C3896" s="398" t="inlineStr">
        <is>
          <t>Cửa hàng Chị Khôi - Đồng Tháp/ 0914.679.144 - Fax: 0673.827.125 mail: quangkhai125@gmail.com</t>
        </is>
      </c>
      <c r="D3896" s="397" t="inlineStr">
        <is>
          <t>0673.827.125 / 0914.679.144</t>
        </is>
      </c>
      <c r="E3896" s="399" t="n"/>
      <c r="F3896" s="398" t="inlineStr">
        <is>
          <t>Tam Nông - Đồng Tháp</t>
        </is>
      </c>
      <c r="G3896" s="397" t="inlineStr">
        <is>
          <t>DTHAP</t>
        </is>
      </c>
      <c r="H3896" s="399" t="n"/>
      <c r="J3896" s="392">
        <f>IFERROR(UPPER(TRIM(B3896))&amp;"|"&amp;UPPER(TRIM(C3896))&amp;"|"&amp;UPPER(TRIM(D3896)),"")</f>
        <v/>
      </c>
    </row>
    <row r="3897" ht="15.75" customHeight="1" s="217">
      <c r="A3897" s="400" t="n">
        <v>3895</v>
      </c>
      <c r="B3897" s="400" t="inlineStr">
        <is>
          <t>KH00222</t>
        </is>
      </c>
      <c r="C3897" s="401" t="inlineStr">
        <is>
          <t>Xưởng anh Hòa - SG/ 0935.685.394</t>
        </is>
      </c>
      <c r="D3897" s="400" t="inlineStr">
        <is>
          <t>0935.685.394</t>
        </is>
      </c>
      <c r="E3897" s="402" t="n"/>
      <c r="F3897" s="401" t="inlineStr">
        <is>
          <t>96 QL1A , Thủ Đức - TP HCM (Cầu Vượt Bình Phước)</t>
        </is>
      </c>
      <c r="G3897" s="400" t="inlineStr">
        <is>
          <t>SG/HCM</t>
        </is>
      </c>
      <c r="H3897" s="402" t="n"/>
      <c r="J3897" s="392">
        <f>IFERROR(UPPER(TRIM(B3897))&amp;"|"&amp;UPPER(TRIM(C3897))&amp;"|"&amp;UPPER(TRIM(D3897)),"")</f>
        <v/>
      </c>
    </row>
    <row r="3898" ht="15.75" customHeight="1" s="217">
      <c r="A3898" s="397" t="n">
        <v>3896</v>
      </c>
      <c r="B3898" s="397" t="inlineStr">
        <is>
          <t>RH</t>
        </is>
      </c>
      <c r="C3898" s="398" t="inlineStr">
        <is>
          <t>XIAMEN DALIANG TRADING CO., LTD</t>
        </is>
      </c>
      <c r="D3898" s="397" t="inlineStr">
        <is>
          <t>0086.592.3666.581</t>
        </is>
      </c>
      <c r="E3898" s="399" t="n"/>
      <c r="F3898" s="398" t="inlineStr">
        <is>
          <t>Room 12A, A Jinlong, BLDG, No. 250 Dongdu Huli, Xiamen, China</t>
        </is>
      </c>
      <c r="G3898" s="399" t="n"/>
      <c r="H3898" s="399" t="n"/>
      <c r="J3898" s="392">
        <f>IFERROR(UPPER(TRIM(B3898))&amp;"|"&amp;UPPER(TRIM(C3898))&amp;"|"&amp;UPPER(TRIM(D3898)),"")</f>
        <v/>
      </c>
    </row>
    <row r="3899" ht="15.75" customHeight="1" s="217">
      <c r="A3899" s="400" t="n">
        <v>3897</v>
      </c>
      <c r="B3899" s="400" t="inlineStr">
        <is>
          <t>KH00219</t>
        </is>
      </c>
      <c r="C3899" s="401" t="inlineStr">
        <is>
          <t>Xưởng anh Minh - Bảo Lộc/ 0909.868.060</t>
        </is>
      </c>
      <c r="D3899" s="400" t="inlineStr">
        <is>
          <t>0909.868.060</t>
        </is>
      </c>
      <c r="E3899" s="402" t="n"/>
      <c r="F3899" s="401" t="inlineStr">
        <is>
          <t>57 Hà Giang, TP Bảo Lộc, Lâm Đồng</t>
        </is>
      </c>
      <c r="G3899" s="400" t="inlineStr">
        <is>
          <t>LDONG</t>
        </is>
      </c>
      <c r="H3899" s="402" t="n"/>
      <c r="J3899" s="392">
        <f>IFERROR(UPPER(TRIM(B3899))&amp;"|"&amp;UPPER(TRIM(C3899))&amp;"|"&amp;UPPER(TRIM(D3899)),"")</f>
        <v/>
      </c>
    </row>
    <row r="3900" ht="15.75" customHeight="1" s="217">
      <c r="A3900" s="397" t="n">
        <v>3898</v>
      </c>
      <c r="B3900" s="397" t="inlineStr">
        <is>
          <t>KH00218</t>
        </is>
      </c>
      <c r="C3900" s="398" t="inlineStr">
        <is>
          <t>Xưởng Ngọc Minh - Gia Lai/ 01629.607.167</t>
        </is>
      </c>
      <c r="D3900" s="397" t="inlineStr">
        <is>
          <t>01629.607.167</t>
        </is>
      </c>
      <c r="E3900" s="399" t="n"/>
      <c r="F3900" s="398" t="inlineStr">
        <is>
          <t>Gia Lai</t>
        </is>
      </c>
      <c r="G3900" s="397" t="inlineStr">
        <is>
          <t>GLAI</t>
        </is>
      </c>
      <c r="H3900" s="399" t="n"/>
      <c r="J3900" s="392">
        <f>IFERROR(UPPER(TRIM(B3900))&amp;"|"&amp;UPPER(TRIM(C3900))&amp;"|"&amp;UPPER(TRIM(D3900)),"")</f>
        <v/>
      </c>
    </row>
    <row r="3901" ht="15.75" customHeight="1" s="217">
      <c r="A3901" s="400" t="n">
        <v>3899</v>
      </c>
      <c r="B3901" s="400" t="inlineStr">
        <is>
          <t>CCTHUE</t>
        </is>
      </c>
      <c r="C3901" s="401" t="inlineStr">
        <is>
          <t>Cơ quan thuế</t>
        </is>
      </c>
      <c r="D3901" s="402" t="n"/>
      <c r="E3901" s="402" t="n"/>
      <c r="F3901" s="403" t="n"/>
      <c r="G3901" s="402" t="n"/>
      <c r="H3901" s="402" t="n"/>
      <c r="J3901" s="392">
        <f>IFERROR(UPPER(TRIM(B3901))&amp;"|"&amp;UPPER(TRIM(C3901))&amp;"|"&amp;UPPER(TRIM(D3901)),"")</f>
        <v/>
      </c>
    </row>
    <row r="3902" ht="15.75" customHeight="1" s="217">
      <c r="A3902" s="397" t="n">
        <v>3900</v>
      </c>
      <c r="B3902" s="397" t="inlineStr">
        <is>
          <t>VTAI</t>
        </is>
      </c>
      <c r="C3902" s="398" t="inlineStr">
        <is>
          <t>Công ty vận tải</t>
        </is>
      </c>
      <c r="D3902" s="399" t="n"/>
      <c r="E3902" s="399" t="n"/>
      <c r="F3902" s="404" t="n"/>
      <c r="G3902" s="399" t="n"/>
      <c r="H3902" s="399" t="n"/>
      <c r="J3902" s="392">
        <f>IFERROR(UPPER(TRIM(B3902))&amp;"|"&amp;UPPER(TRIM(C3902))&amp;"|"&amp;UPPER(TRIM(D3902)),"")</f>
        <v/>
      </c>
    </row>
    <row r="3903" ht="15.75" customHeight="1" s="217">
      <c r="A3903" s="400" t="n">
        <v>3901</v>
      </c>
      <c r="B3903" s="400" t="inlineStr">
        <is>
          <t>KH00217</t>
        </is>
      </c>
      <c r="C3903" s="401" t="inlineStr">
        <is>
          <t>Xưởng anh Tình - Quảng Trị/ 0913.457.821</t>
        </is>
      </c>
      <c r="D3903" s="400" t="inlineStr">
        <is>
          <t>0913.457.821</t>
        </is>
      </c>
      <c r="E3903" s="402" t="n"/>
      <c r="F3903" s="401" t="inlineStr">
        <is>
          <t>Km3, Quốc lộ 9, Đông Hà, Quảng Trị</t>
        </is>
      </c>
      <c r="G3903" s="402" t="n"/>
      <c r="H3903" s="402" t="n"/>
      <c r="J3903" s="392">
        <f>IFERROR(UPPER(TRIM(B3903))&amp;"|"&amp;UPPER(TRIM(C3903))&amp;"|"&amp;UPPER(TRIM(D3903)),"")</f>
        <v/>
      </c>
    </row>
    <row r="3904" ht="15.75" customHeight="1" s="217">
      <c r="A3904" s="397" t="n">
        <v>3902</v>
      </c>
      <c r="B3904" s="397" t="inlineStr">
        <is>
          <t>KH00216</t>
        </is>
      </c>
      <c r="C3904" s="398" t="inlineStr">
        <is>
          <t>Bãi máy Lý Lập - SG/ 0966.927.933/ 0937.891.613</t>
        </is>
      </c>
      <c r="D3904" s="397" t="inlineStr">
        <is>
          <t>0966.927.933 / 0937.891.613</t>
        </is>
      </c>
      <c r="E3904" s="399" t="n"/>
      <c r="F3904" s="398" t="inlineStr">
        <is>
          <t>Đại học Nông Lâm-, TPHCM</t>
        </is>
      </c>
      <c r="G3904" s="397" t="inlineStr">
        <is>
          <t>SG/HCM</t>
        </is>
      </c>
      <c r="H3904" s="399" t="n"/>
      <c r="J3904" s="392">
        <f>IFERROR(UPPER(TRIM(B3904))&amp;"|"&amp;UPPER(TRIM(C3904))&amp;"|"&amp;UPPER(TRIM(D3904)),"")</f>
        <v/>
      </c>
    </row>
    <row r="3905" ht="15.75" customHeight="1" s="217">
      <c r="A3905" s="400" t="n">
        <v>3903</v>
      </c>
      <c r="B3905" s="400" t="inlineStr">
        <is>
          <t>KVL</t>
        </is>
      </c>
      <c r="C3905" s="401" t="inlineStr">
        <is>
          <t>Anh Sáng - Tàu Bắc Nam/ 0975.515.658</t>
        </is>
      </c>
      <c r="D3905" s="400" t="inlineStr">
        <is>
          <t>0975.515.658</t>
        </is>
      </c>
      <c r="E3905" s="402" t="n"/>
      <c r="F3905" s="401" t="inlineStr">
        <is>
          <t>Ga Giáp Bát</t>
        </is>
      </c>
      <c r="G3905" s="402" t="n"/>
      <c r="H3905" s="402" t="n"/>
      <c r="J3905" s="392">
        <f>IFERROR(UPPER(TRIM(B3905))&amp;"|"&amp;UPPER(TRIM(C3905))&amp;"|"&amp;UPPER(TRIM(D3905)),"")</f>
        <v/>
      </c>
    </row>
    <row r="3906" ht="15.75" customHeight="1" s="217">
      <c r="A3906" s="397" t="n">
        <v>3904</v>
      </c>
      <c r="B3906" s="397" t="inlineStr">
        <is>
          <t>MN12</t>
        </is>
      </c>
      <c r="C3906" s="398" t="inlineStr">
        <is>
          <t>Nguyễn Trọng Nghĩa</t>
        </is>
      </c>
      <c r="D3906" s="399" t="n"/>
      <c r="E3906" s="399" t="n"/>
      <c r="F3906" s="398" t="inlineStr">
        <is>
          <t>Hải Phòng</t>
        </is>
      </c>
      <c r="G3906" s="399" t="n"/>
      <c r="H3906" s="399" t="n"/>
      <c r="J3906" s="392">
        <f>IFERROR(UPPER(TRIM(B3906))&amp;"|"&amp;UPPER(TRIM(C3906))&amp;"|"&amp;UPPER(TRIM(D3906)),"")</f>
        <v/>
      </c>
    </row>
    <row r="3907" ht="15.75" customHeight="1" s="217">
      <c r="A3907" s="400" t="n">
        <v>3905</v>
      </c>
      <c r="B3907" s="400" t="inlineStr">
        <is>
          <t>KH00215</t>
        </is>
      </c>
      <c r="C3907" s="401" t="inlineStr">
        <is>
          <t>CH Phương Nga - Kon Tum/Chị Nga: 0946.407.873 - 0909.243.995 (Zalo)</t>
        </is>
      </c>
      <c r="D3907" s="400" t="inlineStr">
        <is>
          <t>0946.407.873 / 0909.243.995</t>
        </is>
      </c>
      <c r="E3907" s="402" t="n"/>
      <c r="F3907" s="401" t="inlineStr">
        <is>
          <t>463 Phan Đình Phùng, P. Duy Tân, TP Kon Tum</t>
        </is>
      </c>
      <c r="G3907" s="400" t="inlineStr">
        <is>
          <t>KTUM</t>
        </is>
      </c>
      <c r="H3907" s="402" t="n"/>
      <c r="J3907" s="392">
        <f>IFERROR(UPPER(TRIM(B3907))&amp;"|"&amp;UPPER(TRIM(C3907))&amp;"|"&amp;UPPER(TRIM(D3907)),"")</f>
        <v/>
      </c>
    </row>
    <row r="3908" ht="15.75" customHeight="1" s="217">
      <c r="A3908" s="397" t="n">
        <v>3906</v>
      </c>
      <c r="B3908" s="397" t="inlineStr">
        <is>
          <t>TT</t>
        </is>
      </c>
      <c r="C3908" s="398" t="inlineStr">
        <is>
          <t>Công ty TNHH XDTM Thế Toàn</t>
        </is>
      </c>
      <c r="D3908" s="399" t="n"/>
      <c r="E3908" s="399" t="n"/>
      <c r="F3908" s="398" t="inlineStr">
        <is>
          <t>Số 16, đường số 2, Cư xá Chu Văn An, P26, Q.Bình Thạnh, TPHCM</t>
        </is>
      </c>
      <c r="G3908" s="399" t="n"/>
      <c r="H3908" s="399" t="n"/>
      <c r="J3908" s="392">
        <f>IFERROR(UPPER(TRIM(B3908))&amp;"|"&amp;UPPER(TRIM(C3908))&amp;"|"&amp;UPPER(TRIM(D3908)),"")</f>
        <v/>
      </c>
    </row>
    <row r="3909" ht="15.75" customHeight="1" s="217">
      <c r="A3909" s="400" t="n">
        <v>3907</v>
      </c>
      <c r="B3909" s="400" t="inlineStr">
        <is>
          <t>KH00214</t>
        </is>
      </c>
      <c r="C3909" s="401" t="inlineStr">
        <is>
          <t>Xưởng anh Ngàn - SG/ 0918.030.152</t>
        </is>
      </c>
      <c r="D3909" s="400" t="inlineStr">
        <is>
          <t>0918.030.152</t>
        </is>
      </c>
      <c r="E3909" s="402" t="n"/>
      <c r="F3909" s="401" t="inlineStr">
        <is>
          <t>Tam Bình, Thủ Đức, SG</t>
        </is>
      </c>
      <c r="G3909" s="400" t="inlineStr">
        <is>
          <t>SG/HCM</t>
        </is>
      </c>
      <c r="H3909" s="402" t="n"/>
      <c r="J3909" s="392">
        <f>IFERROR(UPPER(TRIM(B3909))&amp;"|"&amp;UPPER(TRIM(C3909))&amp;"|"&amp;UPPER(TRIM(D3909)),"")</f>
        <v/>
      </c>
    </row>
    <row r="3910" ht="15.75" customHeight="1" s="217">
      <c r="A3910" s="397" t="n">
        <v>3908</v>
      </c>
      <c r="B3910" s="397" t="inlineStr">
        <is>
          <t>KH00213</t>
        </is>
      </c>
      <c r="C3910" s="398" t="inlineStr">
        <is>
          <t>Công ty Hưng Phú - Huế/ 0915.555.099</t>
        </is>
      </c>
      <c r="D3910" s="397" t="inlineStr">
        <is>
          <t>0915.555.099</t>
        </is>
      </c>
      <c r="E3910" s="399" t="n"/>
      <c r="F3910" s="398" t="inlineStr">
        <is>
          <t>Thừa Thiên Huế</t>
        </is>
      </c>
      <c r="G3910" s="397" t="inlineStr">
        <is>
          <t>HUE</t>
        </is>
      </c>
      <c r="H3910" s="399" t="n"/>
      <c r="J3910" s="392">
        <f>IFERROR(UPPER(TRIM(B3910))&amp;"|"&amp;UPPER(TRIM(C3910))&amp;"|"&amp;UPPER(TRIM(D3910)),"")</f>
        <v/>
      </c>
    </row>
    <row r="3911" ht="15.75" customHeight="1" s="217">
      <c r="A3911" s="400" t="n">
        <v>3909</v>
      </c>
      <c r="B3911" s="400" t="inlineStr">
        <is>
          <t>KH00212</t>
        </is>
      </c>
      <c r="C3911" s="401" t="inlineStr">
        <is>
          <t>Xưởng Ngọc Vĩnh - Quảng Ngãi/ 0914.324.081</t>
        </is>
      </c>
      <c r="D3911" s="400" t="inlineStr">
        <is>
          <t>0914.324.081</t>
        </is>
      </c>
      <c r="E3911" s="402" t="n"/>
      <c r="F3911" s="401" t="inlineStr">
        <is>
          <t>Quảng Ngãi</t>
        </is>
      </c>
      <c r="G3911" s="400" t="inlineStr">
        <is>
          <t>QUNGAI</t>
        </is>
      </c>
      <c r="H3911" s="402" t="n"/>
      <c r="J3911" s="392">
        <f>IFERROR(UPPER(TRIM(B3911))&amp;"|"&amp;UPPER(TRIM(C3911))&amp;"|"&amp;UPPER(TRIM(D3911)),"")</f>
        <v/>
      </c>
    </row>
    <row r="3912" ht="15.75" customHeight="1" s="217">
      <c r="A3912" s="397" t="n">
        <v>3910</v>
      </c>
      <c r="B3912" s="397" t="inlineStr">
        <is>
          <t>KH00211</t>
        </is>
      </c>
      <c r="C3912" s="398" t="inlineStr">
        <is>
          <t>DNTN Tiến Hoàng - Gia Lai/ anh Khoa - 0986.781.686</t>
        </is>
      </c>
      <c r="D3912" s="397" t="inlineStr">
        <is>
          <t>0986.781.686</t>
        </is>
      </c>
      <c r="E3912" s="399" t="n"/>
      <c r="F3912" s="398" t="inlineStr">
        <is>
          <t>68 Đặng Thai Mai, TP Pleiku, Gia Lai</t>
        </is>
      </c>
      <c r="G3912" s="397" t="inlineStr">
        <is>
          <t>GLAI</t>
        </is>
      </c>
      <c r="H3912" s="399" t="n"/>
      <c r="J3912" s="392">
        <f>IFERROR(UPPER(TRIM(B3912))&amp;"|"&amp;UPPER(TRIM(C3912))&amp;"|"&amp;UPPER(TRIM(D3912)),"")</f>
        <v/>
      </c>
    </row>
    <row r="3913" ht="15.75" customHeight="1" s="217">
      <c r="A3913" s="400" t="n">
        <v>3911</v>
      </c>
      <c r="B3913" s="400" t="inlineStr">
        <is>
          <t>KH00208</t>
        </is>
      </c>
      <c r="C3913" s="401" t="inlineStr">
        <is>
          <t>Anh Đoàn - Bạc Liêu/ 0913.734.841</t>
        </is>
      </c>
      <c r="D3913" s="400" t="inlineStr">
        <is>
          <t>0913.734.841</t>
        </is>
      </c>
      <c r="E3913" s="402" t="n"/>
      <c r="F3913" s="401" t="inlineStr">
        <is>
          <t>Xã Tân Phong, huyện Giá Rai, Bạc Liêu</t>
        </is>
      </c>
      <c r="G3913" s="400" t="inlineStr">
        <is>
          <t>BLIEU</t>
        </is>
      </c>
      <c r="H3913" s="402" t="n"/>
      <c r="J3913" s="392">
        <f>IFERROR(UPPER(TRIM(B3913))&amp;"|"&amp;UPPER(TRIM(C3913))&amp;"|"&amp;UPPER(TRIM(D3913)),"")</f>
        <v/>
      </c>
    </row>
    <row r="3914" ht="15.75" customHeight="1" s="217">
      <c r="A3914" s="397" t="n">
        <v>3912</v>
      </c>
      <c r="B3914" s="397" t="inlineStr">
        <is>
          <t>KH00209</t>
        </is>
      </c>
      <c r="C3914" s="398" t="inlineStr">
        <is>
          <t>Anh SAMBATH - Campuchia/8559.7701.1739 - 088.3344.555</t>
        </is>
      </c>
      <c r="D3914" s="397" t="inlineStr">
        <is>
          <t>088.3344.555 / 8559.7701.1739</t>
        </is>
      </c>
      <c r="E3914" s="399" t="n"/>
      <c r="F3914" s="398" t="inlineStr">
        <is>
          <t>Campuchia</t>
        </is>
      </c>
      <c r="G3914" s="397" t="inlineStr">
        <is>
          <t>CPC</t>
        </is>
      </c>
      <c r="H3914" s="397" t="inlineStr">
        <is>
          <t>Gửi hàng: Đường số 8, đối diện nhà thi đấu Q6. ĐT: 0913.884.424 (Trang),  0918.197.423 (Hải)</t>
        </is>
      </c>
      <c r="J3914" s="392">
        <f>IFERROR(UPPER(TRIM(B3914))&amp;"|"&amp;UPPER(TRIM(C3914))&amp;"|"&amp;UPPER(TRIM(D3914)),"")</f>
        <v/>
      </c>
    </row>
    <row r="3915" ht="15.75" customHeight="1" s="217">
      <c r="A3915" s="400" t="n">
        <v>3913</v>
      </c>
      <c r="B3915" s="400" t="inlineStr">
        <is>
          <t>KH00210</t>
        </is>
      </c>
      <c r="C3915" s="401" t="inlineStr">
        <is>
          <t>Xưởng Nhật Dũng - Xa lộ HN/ 0982.958.407</t>
        </is>
      </c>
      <c r="D3915" s="400" t="inlineStr">
        <is>
          <t>0982.958.407</t>
        </is>
      </c>
      <c r="E3915" s="402" t="n"/>
      <c r="F3915" s="401" t="inlineStr">
        <is>
          <t>Sài Gòn</t>
        </is>
      </c>
      <c r="G3915" s="400" t="inlineStr">
        <is>
          <t>SG/HCM</t>
        </is>
      </c>
      <c r="H3915" s="402" t="n"/>
      <c r="J3915" s="392">
        <f>IFERROR(UPPER(TRIM(B3915))&amp;"|"&amp;UPPER(TRIM(C3915))&amp;"|"&amp;UPPER(TRIM(D3915)),"")</f>
        <v/>
      </c>
    </row>
    <row r="3916" ht="15.75" customHeight="1" s="217">
      <c r="A3916" s="397" t="n">
        <v>3914</v>
      </c>
      <c r="B3916" s="397" t="inlineStr">
        <is>
          <t>KH00207</t>
        </is>
      </c>
      <c r="C3916" s="398" t="inlineStr">
        <is>
          <t>Xưởng anh Thanh - Phú Yên/ 0905.162.190</t>
        </is>
      </c>
      <c r="D3916" s="397" t="inlineStr">
        <is>
          <t>0905.162.190</t>
        </is>
      </c>
      <c r="E3916" s="399" t="n"/>
      <c r="F3916" s="398" t="inlineStr">
        <is>
          <t>Km số 4, Đường Nguyễn Tất Thành, Liên Trì, Bình Kiến, TP Tuy Hòa, Phú Yên</t>
        </is>
      </c>
      <c r="G3916" s="397" t="inlineStr">
        <is>
          <t>PYEN</t>
        </is>
      </c>
      <c r="H3916" s="399" t="n"/>
      <c r="J3916" s="392">
        <f>IFERROR(UPPER(TRIM(B3916))&amp;"|"&amp;UPPER(TRIM(C3916))&amp;"|"&amp;UPPER(TRIM(D3916)),"")</f>
        <v/>
      </c>
    </row>
    <row r="3917" ht="15.75" customHeight="1" s="217">
      <c r="A3917" s="400" t="n">
        <v>3915</v>
      </c>
      <c r="B3917" s="400" t="inlineStr">
        <is>
          <t>KH00206</t>
        </is>
      </c>
      <c r="C3917" s="401" t="inlineStr">
        <is>
          <t>Cửa hàng Thành Công - Đà Nẵng/ Chị Mai: 0935.414.888</t>
        </is>
      </c>
      <c r="D3917" s="400" t="inlineStr">
        <is>
          <t>0935.414.888</t>
        </is>
      </c>
      <c r="E3917" s="402" t="n"/>
      <c r="F3917" s="401" t="inlineStr">
        <is>
          <t>63 Nguyễn Tri Phương, TP Đà Nẵng</t>
        </is>
      </c>
      <c r="G3917" s="400" t="inlineStr">
        <is>
          <t>DNANG</t>
        </is>
      </c>
      <c r="H3917" s="400" t="inlineStr">
        <is>
          <t>Gửi HĐ về số 32 Lương Định Của, Cẩm Lệ, Đà Nẵng</t>
        </is>
      </c>
      <c r="J3917" s="392">
        <f>IFERROR(UPPER(TRIM(B3917))&amp;"|"&amp;UPPER(TRIM(C3917))&amp;"|"&amp;UPPER(TRIM(D3917)),"")</f>
        <v/>
      </c>
    </row>
    <row r="3918" ht="15.75" customHeight="1" s="217">
      <c r="A3918" s="397" t="n">
        <v>3916</v>
      </c>
      <c r="B3918" s="397" t="inlineStr">
        <is>
          <t>KH00205</t>
        </is>
      </c>
      <c r="C3918" s="398" t="inlineStr">
        <is>
          <t>Xưởng anh Dũng - Quảng Ngãi/ 0982.909.447</t>
        </is>
      </c>
      <c r="D3918" s="397" t="inlineStr">
        <is>
          <t>0982.909.447</t>
        </is>
      </c>
      <c r="E3918" s="399" t="n"/>
      <c r="F3918" s="398" t="inlineStr">
        <is>
          <t>Dốc Sỏi, út một, Quảng Ngãi</t>
        </is>
      </c>
      <c r="G3918" s="397" t="inlineStr">
        <is>
          <t>QUNGAI</t>
        </is>
      </c>
      <c r="H3918" s="399" t="n"/>
      <c r="J3918" s="392">
        <f>IFERROR(UPPER(TRIM(B3918))&amp;"|"&amp;UPPER(TRIM(C3918))&amp;"|"&amp;UPPER(TRIM(D3918)),"")</f>
        <v/>
      </c>
    </row>
    <row r="3919" ht="15.75" customHeight="1" s="217">
      <c r="A3919" s="400" t="n">
        <v>3917</v>
      </c>
      <c r="B3919" s="400" t="inlineStr">
        <is>
          <t>JX</t>
        </is>
      </c>
      <c r="C3919" s="401" t="inlineStr">
        <is>
          <t>WUXI JIANGXISPRING MANUFACTURE CO; LTD</t>
        </is>
      </c>
      <c r="D3919" s="402" t="n"/>
      <c r="E3919" s="402" t="n"/>
      <c r="F3919" s="401" t="inlineStr">
        <is>
          <t>Meicun Qunxing Industrial Park, Wuxi, Jiangsu, China</t>
        </is>
      </c>
      <c r="G3919" s="402" t="n"/>
      <c r="H3919" s="402" t="n"/>
      <c r="J3919" s="392">
        <f>IFERROR(UPPER(TRIM(B3919))&amp;"|"&amp;UPPER(TRIM(C3919))&amp;"|"&amp;UPPER(TRIM(D3919)),"")</f>
        <v/>
      </c>
    </row>
    <row r="3920" ht="15.75" customHeight="1" s="217">
      <c r="A3920" s="397" t="n">
        <v>3918</v>
      </c>
      <c r="B3920" s="397" t="inlineStr">
        <is>
          <t>KH00203</t>
        </is>
      </c>
      <c r="C3920" s="398" t="inlineStr">
        <is>
          <t>DNTN Huy Hiệu - Quảng Bình/ 0912.157.910</t>
        </is>
      </c>
      <c r="D3920" s="397" t="inlineStr">
        <is>
          <t>0912.157.910</t>
        </is>
      </c>
      <c r="E3920" s="399" t="n"/>
      <c r="F3920" s="398" t="inlineStr">
        <is>
          <t>Lộc Ninh, TP Đồng Hới, Quảng Bình</t>
        </is>
      </c>
      <c r="G3920" s="399" t="n"/>
      <c r="H3920" s="399" t="n"/>
      <c r="J3920" s="392">
        <f>IFERROR(UPPER(TRIM(B3920))&amp;"|"&amp;UPPER(TRIM(C3920))&amp;"|"&amp;UPPER(TRIM(D3920)),"")</f>
        <v/>
      </c>
    </row>
    <row r="3921" ht="15.75" customHeight="1" s="217">
      <c r="A3921" s="400" t="n">
        <v>3919</v>
      </c>
      <c r="B3921" s="400" t="inlineStr">
        <is>
          <t>KH00204</t>
        </is>
      </c>
      <c r="C3921" s="401" t="inlineStr">
        <is>
          <t>Xưởng Hoài Sơn - Quảng Bình/ 0912.149.652</t>
        </is>
      </c>
      <c r="D3921" s="400" t="inlineStr">
        <is>
          <t>0912.149.652</t>
        </is>
      </c>
      <c r="E3921" s="402" t="n"/>
      <c r="F3921" s="401" t="inlineStr">
        <is>
          <t>TP Đồng Hới, Quảng Bình</t>
        </is>
      </c>
      <c r="G3921" s="402" t="n"/>
      <c r="H3921" s="402" t="n"/>
      <c r="J3921" s="392">
        <f>IFERROR(UPPER(TRIM(B3921))&amp;"|"&amp;UPPER(TRIM(C3921))&amp;"|"&amp;UPPER(TRIM(D3921)),"")</f>
        <v/>
      </c>
    </row>
    <row r="3922" ht="15.75" customHeight="1" s="217">
      <c r="A3922" s="397" t="n">
        <v>3920</v>
      </c>
      <c r="B3922" s="397" t="inlineStr">
        <is>
          <t>NBINH</t>
        </is>
      </c>
      <c r="C3922" s="398" t="inlineStr">
        <is>
          <t>Anh Chính - Ninh Bình/ 0989.906.886</t>
        </is>
      </c>
      <c r="D3922" s="397" t="inlineStr">
        <is>
          <t>0989.906.886</t>
        </is>
      </c>
      <c r="E3922" s="399" t="n"/>
      <c r="F3922" s="398" t="inlineStr">
        <is>
          <t>Ninh Bình</t>
        </is>
      </c>
      <c r="G3922" s="399" t="n"/>
      <c r="H3922" s="397" t="inlineStr">
        <is>
          <t>Vũ Văn Chính</t>
        </is>
      </c>
      <c r="J3922" s="392">
        <f>IFERROR(UPPER(TRIM(B3922))&amp;"|"&amp;UPPER(TRIM(C3922))&amp;"|"&amp;UPPER(TRIM(D3922)),"")</f>
        <v/>
      </c>
    </row>
    <row r="3923" ht="15.75" customHeight="1" s="217">
      <c r="A3923" s="400" t="n">
        <v>3921</v>
      </c>
      <c r="B3923" s="400" t="inlineStr">
        <is>
          <t>KH00202</t>
        </is>
      </c>
      <c r="C3923" s="401" t="inlineStr">
        <is>
          <t>Xưởng chú Tuồng - Đà Nẵng/ 0913.403.702 - Fax: 05113.720.200</t>
        </is>
      </c>
      <c r="D3923" s="400" t="inlineStr">
        <is>
          <t>0913.403.702 / 05113.720.200</t>
        </is>
      </c>
      <c r="E3923" s="402" t="n"/>
      <c r="F3923" s="401" t="inlineStr">
        <is>
          <t>243 Trường Chinh, Đà Nẵng</t>
        </is>
      </c>
      <c r="G3923" s="400" t="inlineStr">
        <is>
          <t>DNANG</t>
        </is>
      </c>
      <c r="H3923" s="402" t="n"/>
      <c r="J3923" s="392">
        <f>IFERROR(UPPER(TRIM(B3923))&amp;"|"&amp;UPPER(TRIM(C3923))&amp;"|"&amp;UPPER(TRIM(D3923)),"")</f>
        <v/>
      </c>
    </row>
    <row r="3924" ht="15.75" customHeight="1" s="217">
      <c r="A3924" s="397" t="n">
        <v>3922</v>
      </c>
      <c r="B3924" s="397" t="inlineStr">
        <is>
          <t>KH00201</t>
        </is>
      </c>
      <c r="C3924" s="398" t="inlineStr">
        <is>
          <t>Cửa hàng chị Liên - Đà Nẵng/ 0905.565.368- Fax: 05113.741.707</t>
        </is>
      </c>
      <c r="D3924" s="397" t="inlineStr">
        <is>
          <t>0905.565.368- / 05113.741.707</t>
        </is>
      </c>
      <c r="E3924" s="399" t="n"/>
      <c r="F3924" s="398" t="inlineStr">
        <is>
          <t>117 Lý Thái Tổ, Đà Nẵng</t>
        </is>
      </c>
      <c r="G3924" s="397" t="inlineStr">
        <is>
          <t>DNANG</t>
        </is>
      </c>
      <c r="H3924" s="399" t="n"/>
      <c r="J3924" s="392">
        <f>IFERROR(UPPER(TRIM(B3924))&amp;"|"&amp;UPPER(TRIM(C3924))&amp;"|"&amp;UPPER(TRIM(D3924)),"")</f>
        <v/>
      </c>
    </row>
    <row r="3925" ht="15.75" customHeight="1" s="217">
      <c r="A3925" s="400" t="n">
        <v>3923</v>
      </c>
      <c r="B3925" s="400" t="inlineStr">
        <is>
          <t>KH00199</t>
        </is>
      </c>
      <c r="C3925" s="401" t="inlineStr">
        <is>
          <t>Cửa hàng Vĩnh Thắng - Huế/ 0905.290.055 - Tel: 0543.812.342</t>
        </is>
      </c>
      <c r="D3925" s="400" t="inlineStr">
        <is>
          <t>0905.290.055 / 0543.812.342</t>
        </is>
      </c>
      <c r="E3925" s="402" t="n"/>
      <c r="F3925" s="401" t="inlineStr">
        <is>
          <t>169 Hùng Vương, TP Huế</t>
        </is>
      </c>
      <c r="G3925" s="400" t="inlineStr">
        <is>
          <t>HUE</t>
        </is>
      </c>
      <c r="H3925" s="400" t="inlineStr">
        <is>
          <t>Gửi xe quen: 75K-4298/ 0905.938.216</t>
        </is>
      </c>
      <c r="J3925" s="392">
        <f>IFERROR(UPPER(TRIM(B3925))&amp;"|"&amp;UPPER(TRIM(C3925))&amp;"|"&amp;UPPER(TRIM(D3925)),"")</f>
        <v/>
      </c>
    </row>
    <row r="3926" ht="15.75" customHeight="1" s="217">
      <c r="A3926" s="397" t="n">
        <v>3924</v>
      </c>
      <c r="B3926" s="397" t="inlineStr">
        <is>
          <t>KH00200</t>
        </is>
      </c>
      <c r="C3926" s="398" t="inlineStr">
        <is>
          <t>Anh Nhân - SG/ 0986.207.422</t>
        </is>
      </c>
      <c r="D3926" s="397" t="inlineStr">
        <is>
          <t>0986.207.422</t>
        </is>
      </c>
      <c r="E3926" s="399" t="n"/>
      <c r="F3926" s="398" t="inlineStr">
        <is>
          <t>Cầu Đồng Nai</t>
        </is>
      </c>
      <c r="G3926" s="397" t="inlineStr">
        <is>
          <t>SG/HCM</t>
        </is>
      </c>
      <c r="H3926" s="399" t="n"/>
      <c r="J3926" s="392">
        <f>IFERROR(UPPER(TRIM(B3926))&amp;"|"&amp;UPPER(TRIM(C3926))&amp;"|"&amp;UPPER(TRIM(D3926)),"")</f>
        <v/>
      </c>
    </row>
    <row r="3927" ht="15.75" customHeight="1" s="217">
      <c r="A3927" s="400" t="n">
        <v>3925</v>
      </c>
      <c r="B3927" s="400" t="inlineStr">
        <is>
          <t>KH00198</t>
        </is>
      </c>
      <c r="C3927" s="401" t="inlineStr">
        <is>
          <t>Xưởng anh Trúc - Phù Cát/ 0906.541.893</t>
        </is>
      </c>
      <c r="D3927" s="400" t="inlineStr">
        <is>
          <t>0906.541.893</t>
        </is>
      </c>
      <c r="E3927" s="402" t="n"/>
      <c r="F3927" s="401" t="inlineStr">
        <is>
          <t>Phù Cát - Bình Định</t>
        </is>
      </c>
      <c r="G3927" s="400" t="inlineStr">
        <is>
          <t>BDINH</t>
        </is>
      </c>
      <c r="H3927" s="402" t="n"/>
      <c r="J3927" s="392">
        <f>IFERROR(UPPER(TRIM(B3927))&amp;"|"&amp;UPPER(TRIM(C3927))&amp;"|"&amp;UPPER(TRIM(D3927)),"")</f>
        <v/>
      </c>
    </row>
    <row r="3928" ht="15.75" customHeight="1" s="217">
      <c r="A3928" s="397" t="n">
        <v>3926</v>
      </c>
      <c r="B3928" s="397" t="inlineStr">
        <is>
          <t>KH00197</t>
        </is>
      </c>
      <c r="C3928" s="398" t="inlineStr">
        <is>
          <t>Xưởng anh Thế - Phú Yên/ 0905.461.868</t>
        </is>
      </c>
      <c r="D3928" s="397" t="inlineStr">
        <is>
          <t>0905.461.868</t>
        </is>
      </c>
      <c r="E3928" s="399" t="n"/>
      <c r="F3928" s="398" t="inlineStr">
        <is>
          <t>Km số 7, Quốc lộ 1A, TP Tuy Hòa, Phú Yên</t>
        </is>
      </c>
      <c r="G3928" s="397" t="inlineStr">
        <is>
          <t>PYEN</t>
        </is>
      </c>
      <c r="H3928" s="399" t="n"/>
      <c r="J3928" s="392">
        <f>IFERROR(UPPER(TRIM(B3928))&amp;"|"&amp;UPPER(TRIM(C3928))&amp;"|"&amp;UPPER(TRIM(D3928)),"")</f>
        <v/>
      </c>
    </row>
    <row r="3929" ht="15.75" customHeight="1" s="217">
      <c r="A3929" s="400" t="n">
        <v>3927</v>
      </c>
      <c r="B3929" s="400" t="inlineStr">
        <is>
          <t>KH00196</t>
        </is>
      </c>
      <c r="C3929" s="401" t="inlineStr">
        <is>
          <t>Xưởng anh Phương - Tây Ninh/ 0986.502.116 - Fax: 0663.836.116 Mail: lekimhue.tn87@gmail.com</t>
        </is>
      </c>
      <c r="D3929" s="400" t="inlineStr">
        <is>
          <t>0663.046.816 / 0663.836.116 / 0986.502.116</t>
        </is>
      </c>
      <c r="E3929" s="402" t="n"/>
      <c r="F3929" s="401" t="inlineStr">
        <is>
          <t>Long Chí, Long Thành Trung, Hòa Thành, Tây Ninh</t>
        </is>
      </c>
      <c r="G3929" s="400" t="inlineStr">
        <is>
          <t>TNINH</t>
        </is>
      </c>
      <c r="H3929" s="402" t="n"/>
      <c r="J3929" s="392">
        <f>IFERROR(UPPER(TRIM(B3929))&amp;"|"&amp;UPPER(TRIM(C3929))&amp;"|"&amp;UPPER(TRIM(D3929)),"")</f>
        <v/>
      </c>
    </row>
    <row r="3930" ht="15.75" customHeight="1" s="217">
      <c r="A3930" s="397" t="n">
        <v>3928</v>
      </c>
      <c r="B3930" s="397" t="inlineStr">
        <is>
          <t>KH00195</t>
        </is>
      </c>
      <c r="C3930" s="398" t="inlineStr">
        <is>
          <t>Xưởng anh Chung - Bạc Liêu/ 0919.977.019 (ko sd mã này)</t>
        </is>
      </c>
      <c r="D3930" s="397" t="inlineStr">
        <is>
          <t>0919.977.019</t>
        </is>
      </c>
      <c r="E3930" s="399" t="n"/>
      <c r="F3930" s="398" t="inlineStr">
        <is>
          <t>Hội Phòng - Bạc Liêu</t>
        </is>
      </c>
      <c r="G3930" s="397" t="inlineStr">
        <is>
          <t>BLIEU</t>
        </is>
      </c>
      <c r="H3930" s="399" t="n"/>
      <c r="J3930" s="392">
        <f>IFERROR(UPPER(TRIM(B3930))&amp;"|"&amp;UPPER(TRIM(C3930))&amp;"|"&amp;UPPER(TRIM(D3930)),"")</f>
        <v/>
      </c>
    </row>
    <row r="3931" ht="15.75" customHeight="1" s="217">
      <c r="A3931" s="400" t="n">
        <v>3929</v>
      </c>
      <c r="B3931" s="400" t="inlineStr">
        <is>
          <t>KH00194</t>
        </is>
      </c>
      <c r="C3931" s="401" t="inlineStr">
        <is>
          <t>(ko sd mã này) Xưởng Hoàng Sơn - Xa lộ HN/ 0908.937.953</t>
        </is>
      </c>
      <c r="D3931" s="400" t="inlineStr">
        <is>
          <t>0908.937.953</t>
        </is>
      </c>
      <c r="E3931" s="402" t="n"/>
      <c r="F3931" s="401" t="inlineStr">
        <is>
          <t>Xa lộ Hà Nội, HCM</t>
        </is>
      </c>
      <c r="G3931" s="400" t="inlineStr">
        <is>
          <t>SG/HCM</t>
        </is>
      </c>
      <c r="H3931" s="402" t="n"/>
      <c r="J3931" s="392">
        <f>IFERROR(UPPER(TRIM(B3931))&amp;"|"&amp;UPPER(TRIM(C3931))&amp;"|"&amp;UPPER(TRIM(D3931)),"")</f>
        <v/>
      </c>
    </row>
    <row r="3932" ht="15.75" customHeight="1" s="217">
      <c r="A3932" s="397" t="n">
        <v>3930</v>
      </c>
      <c r="B3932" s="397" t="inlineStr">
        <is>
          <t>KH00193</t>
        </is>
      </c>
      <c r="C3932" s="398" t="inlineStr">
        <is>
          <t>Xưởng Hải Sơn - Quảng Bình/ 0912.092.860</t>
        </is>
      </c>
      <c r="D3932" s="397" t="inlineStr">
        <is>
          <t>0912.092.860</t>
        </is>
      </c>
      <c r="E3932" s="399" t="n"/>
      <c r="F3932" s="398" t="inlineStr">
        <is>
          <t>Quảng Bình</t>
        </is>
      </c>
      <c r="G3932" s="399" t="n"/>
      <c r="H3932" s="399" t="n"/>
      <c r="J3932" s="392">
        <f>IFERROR(UPPER(TRIM(B3932))&amp;"|"&amp;UPPER(TRIM(C3932))&amp;"|"&amp;UPPER(TRIM(D3932)),"")</f>
        <v/>
      </c>
    </row>
    <row r="3933" ht="15.75" customHeight="1" s="217">
      <c r="A3933" s="400" t="n">
        <v>3931</v>
      </c>
      <c r="B3933" s="400" t="inlineStr">
        <is>
          <t>KH00192</t>
        </is>
      </c>
      <c r="C3933" s="401" t="inlineStr">
        <is>
          <t>Xưởng anh Tú - Quảng Ngãi/ 0934.765.970</t>
        </is>
      </c>
      <c r="D3933" s="400" t="inlineStr">
        <is>
          <t>0934.765.970</t>
        </is>
      </c>
      <c r="E3933" s="402" t="n"/>
      <c r="F3933" s="401" t="inlineStr">
        <is>
          <t>Quảng Ngãi</t>
        </is>
      </c>
      <c r="G3933" s="400" t="inlineStr">
        <is>
          <t>QUNGAI</t>
        </is>
      </c>
      <c r="H3933" s="402" t="n"/>
      <c r="J3933" s="392">
        <f>IFERROR(UPPER(TRIM(B3933))&amp;"|"&amp;UPPER(TRIM(C3933))&amp;"|"&amp;UPPER(TRIM(D3933)),"")</f>
        <v/>
      </c>
    </row>
    <row r="3934" ht="15.75" customHeight="1" s="217">
      <c r="A3934" s="397" t="n">
        <v>3932</v>
      </c>
      <c r="B3934" s="397" t="inlineStr">
        <is>
          <t>KH00191</t>
        </is>
      </c>
      <c r="C3934" s="398" t="inlineStr">
        <is>
          <t>Cửa hàng anh Thường - Đồng Tháp/0918.196.123 - Fax: 0673.828.002</t>
        </is>
      </c>
      <c r="D3934" s="397" t="inlineStr">
        <is>
          <t>0673.828.002 / 0918.196.123</t>
        </is>
      </c>
      <c r="E3934" s="399" t="n"/>
      <c r="F3934" s="398" t="inlineStr">
        <is>
          <t>Trần Hưng Đạo, Thị trấn Tràm Chim, Tam Nông, Đồng Tháp</t>
        </is>
      </c>
      <c r="G3934" s="397" t="inlineStr">
        <is>
          <t>DTHAP</t>
        </is>
      </c>
      <c r="H3934" s="399" t="n"/>
      <c r="J3934" s="392">
        <f>IFERROR(UPPER(TRIM(B3934))&amp;"|"&amp;UPPER(TRIM(C3934))&amp;"|"&amp;UPPER(TRIM(D3934)),"")</f>
        <v/>
      </c>
    </row>
    <row r="3935" ht="15.75" customHeight="1" s="217">
      <c r="A3935" s="400" t="n">
        <v>3933</v>
      </c>
      <c r="B3935" s="400" t="inlineStr">
        <is>
          <t>KH00190</t>
        </is>
      </c>
      <c r="C3935" s="401" t="inlineStr">
        <is>
          <t>Xưởng Chín Nhơn - An Khê/ 0935.257.481</t>
        </is>
      </c>
      <c r="D3935" s="400" t="inlineStr">
        <is>
          <t>0935.257.481</t>
        </is>
      </c>
      <c r="E3935" s="402" t="n"/>
      <c r="F3935" s="401" t="inlineStr">
        <is>
          <t>Núi đá An Khê, Gia Lai</t>
        </is>
      </c>
      <c r="G3935" s="400" t="inlineStr">
        <is>
          <t>GLAI</t>
        </is>
      </c>
      <c r="H3935" s="402" t="n"/>
      <c r="J3935" s="392">
        <f>IFERROR(UPPER(TRIM(B3935))&amp;"|"&amp;UPPER(TRIM(C3935))&amp;"|"&amp;UPPER(TRIM(D3935)),"")</f>
        <v/>
      </c>
    </row>
    <row r="3936" ht="15.75" customHeight="1" s="217">
      <c r="A3936" s="397" t="n">
        <v>3934</v>
      </c>
      <c r="B3936" s="397" t="inlineStr">
        <is>
          <t>KH00189</t>
        </is>
      </c>
      <c r="C3936" s="398" t="inlineStr">
        <is>
          <t>Cửa hàng Sáu Long - Cà Mau/0913.986.574-07803.839.172 - Fax:02903.811.898</t>
        </is>
      </c>
      <c r="D3936" s="397" t="inlineStr">
        <is>
          <t>0913.986.574-0780 / 02903.811.898</t>
        </is>
      </c>
      <c r="E3936" s="399" t="n"/>
      <c r="F3936" s="398" t="inlineStr">
        <is>
          <t>231 Lý Văn Lâm - TP Cà Mau</t>
        </is>
      </c>
      <c r="G3936" s="397" t="inlineStr">
        <is>
          <t>CMAU</t>
        </is>
      </c>
      <c r="H3936" s="399" t="n"/>
      <c r="J3936" s="392">
        <f>IFERROR(UPPER(TRIM(B3936))&amp;"|"&amp;UPPER(TRIM(C3936))&amp;"|"&amp;UPPER(TRIM(D3936)),"")</f>
        <v/>
      </c>
    </row>
    <row r="3937" ht="15.75" customHeight="1" s="217">
      <c r="A3937" s="400" t="n">
        <v>3935</v>
      </c>
      <c r="B3937" s="400" t="inlineStr">
        <is>
          <t>KH00188</t>
        </is>
      </c>
      <c r="C3937" s="401" t="inlineStr">
        <is>
          <t>Cửa hàng Ba Tấn - Đồng Tháp/ 0939.373.686 - 01225.529.090</t>
        </is>
      </c>
      <c r="D3937" s="400" t="inlineStr">
        <is>
          <t>0939.373.686 / 01225.529.090</t>
        </is>
      </c>
      <c r="E3937" s="402" t="n"/>
      <c r="F3937" s="401" t="inlineStr">
        <is>
          <t>Cao Lãnh, Đồng Tháp</t>
        </is>
      </c>
      <c r="G3937" s="402" t="n"/>
      <c r="H3937" s="402" t="n"/>
      <c r="J3937" s="392">
        <f>IFERROR(UPPER(TRIM(B3937))&amp;"|"&amp;UPPER(TRIM(C3937))&amp;"|"&amp;UPPER(TRIM(D3937)),"")</f>
        <v/>
      </c>
    </row>
    <row r="3938" ht="15.75" customHeight="1" s="217">
      <c r="A3938" s="397" t="n">
        <v>3936</v>
      </c>
      <c r="B3938" s="397" t="inlineStr">
        <is>
          <t>PINCHAI</t>
        </is>
      </c>
      <c r="C3938" s="398" t="inlineStr">
        <is>
          <t>Zhejiang Pingchai Pumps Co., LTD</t>
        </is>
      </c>
      <c r="D3938" s="399" t="n"/>
      <c r="E3938" s="399" t="n"/>
      <c r="F3938" s="398" t="inlineStr">
        <is>
          <t>No.6, Huancheng North Road, Pingyang, Wenzhou, Zhejiang Province, China</t>
        </is>
      </c>
      <c r="G3938" s="399" t="n"/>
      <c r="H3938" s="399" t="n"/>
      <c r="J3938" s="392">
        <f>IFERROR(UPPER(TRIM(B3938))&amp;"|"&amp;UPPER(TRIM(C3938))&amp;"|"&amp;UPPER(TRIM(D3938)),"")</f>
        <v/>
      </c>
    </row>
    <row r="3939" ht="15.75" customHeight="1" s="217">
      <c r="A3939" s="400" t="n">
        <v>3937</v>
      </c>
      <c r="B3939" s="400" t="inlineStr">
        <is>
          <t>KH00187</t>
        </is>
      </c>
      <c r="C3939" s="401" t="inlineStr">
        <is>
          <t>CN Công Ty Cổ Phần Đường Biên Hòa - XNNN Thành Long</t>
        </is>
      </c>
      <c r="D3939" s="402" t="n"/>
      <c r="E3939" s="402" t="n"/>
      <c r="F3939" s="401" t="inlineStr">
        <is>
          <t>ấp Thành Đông, Thành Long, Châu Thành, Tây Ninh</t>
        </is>
      </c>
      <c r="G3939" s="402" t="n"/>
      <c r="H3939" s="402" t="n"/>
      <c r="J3939" s="392">
        <f>IFERROR(UPPER(TRIM(B3939))&amp;"|"&amp;UPPER(TRIM(C3939))&amp;"|"&amp;UPPER(TRIM(D3939)),"")</f>
        <v/>
      </c>
    </row>
    <row r="3940" ht="15.75" customHeight="1" s="217">
      <c r="A3940" s="397" t="n">
        <v>3938</v>
      </c>
      <c r="B3940" s="397" t="inlineStr">
        <is>
          <t>KH00185</t>
        </is>
      </c>
      <c r="C3940" s="398" t="inlineStr">
        <is>
          <t>Công ty cổ phần xây lắp và Xáng tỉnh Trà Vinh/ A.Luân: 0913.790.779</t>
        </is>
      </c>
      <c r="D3940" s="397" t="inlineStr">
        <is>
          <t>0913.790.779</t>
        </is>
      </c>
      <c r="E3940" s="399" t="n"/>
      <c r="F3940" s="398" t="inlineStr">
        <is>
          <t>108/6 Bạch Đằng, Phường 4, TX Trà Vinh</t>
        </is>
      </c>
      <c r="G3940" s="399" t="n"/>
      <c r="H3940" s="399" t="n"/>
      <c r="J3940" s="392">
        <f>IFERROR(UPPER(TRIM(B3940))&amp;"|"&amp;UPPER(TRIM(C3940))&amp;"|"&amp;UPPER(TRIM(D3940)),"")</f>
        <v/>
      </c>
    </row>
    <row r="3941" ht="15.75" customHeight="1" s="217">
      <c r="A3941" s="400" t="n">
        <v>3939</v>
      </c>
      <c r="B3941" s="400" t="inlineStr">
        <is>
          <t>KH00186</t>
        </is>
      </c>
      <c r="C3941" s="401" t="inlineStr">
        <is>
          <t>Cửa hàng chị Hồng - Phan Thiết/ 0902.676.940</t>
        </is>
      </c>
      <c r="D3941" s="400" t="inlineStr">
        <is>
          <t>0902.676.940</t>
        </is>
      </c>
      <c r="E3941" s="402" t="n"/>
      <c r="F3941" s="401" t="inlineStr">
        <is>
          <t>187 Nguyễn Hội, Phan Thiết, Bình Thuận</t>
        </is>
      </c>
      <c r="G3941" s="400" t="inlineStr">
        <is>
          <t>BTHUAN</t>
        </is>
      </c>
      <c r="H3941" s="402" t="n"/>
      <c r="J3941" s="392">
        <f>IFERROR(UPPER(TRIM(B3941))&amp;"|"&amp;UPPER(TRIM(C3941))&amp;"|"&amp;UPPER(TRIM(D3941)),"")</f>
        <v/>
      </c>
    </row>
    <row r="3942" ht="15.75" customHeight="1" s="217">
      <c r="A3942" s="397" t="n">
        <v>3940</v>
      </c>
      <c r="B3942" s="397" t="inlineStr">
        <is>
          <t>KH00184</t>
        </is>
      </c>
      <c r="C3942" s="398" t="inlineStr">
        <is>
          <t>Xưởng anh Nhựt - SG/0984.549.187</t>
        </is>
      </c>
      <c r="D3942" s="397" t="inlineStr">
        <is>
          <t>0984.549.187</t>
        </is>
      </c>
      <c r="E3942" s="399" t="n"/>
      <c r="F3942" s="398" t="inlineStr">
        <is>
          <t>Khu Đại học Nông Lâm, Sài Gòn</t>
        </is>
      </c>
      <c r="G3942" s="397" t="inlineStr">
        <is>
          <t>SG/HCM</t>
        </is>
      </c>
      <c r="H3942" s="399" t="n"/>
      <c r="J3942" s="392">
        <f>IFERROR(UPPER(TRIM(B3942))&amp;"|"&amp;UPPER(TRIM(C3942))&amp;"|"&amp;UPPER(TRIM(D3942)),"")</f>
        <v/>
      </c>
    </row>
    <row r="3943" ht="15.75" customHeight="1" s="217">
      <c r="A3943" s="400" t="n">
        <v>3941</v>
      </c>
      <c r="B3943" s="400" t="inlineStr">
        <is>
          <t>KH00183</t>
        </is>
      </c>
      <c r="C3943" s="401" t="inlineStr">
        <is>
          <t>Bỏ không  dùngXưởng anh Thành - Phú Yên/ 0905.162.190</t>
        </is>
      </c>
      <c r="D3943" s="400" t="inlineStr">
        <is>
          <t>0905.162.190</t>
        </is>
      </c>
      <c r="E3943" s="402" t="n"/>
      <c r="F3943" s="401" t="inlineStr">
        <is>
          <t>Tuy Hòa, Phú Yên</t>
        </is>
      </c>
      <c r="G3943" s="400" t="inlineStr">
        <is>
          <t>PYEN</t>
        </is>
      </c>
      <c r="H3943" s="402" t="n"/>
      <c r="J3943" s="392">
        <f>IFERROR(UPPER(TRIM(B3943))&amp;"|"&amp;UPPER(TRIM(C3943))&amp;"|"&amp;UPPER(TRIM(D3943)),"")</f>
        <v/>
      </c>
    </row>
    <row r="3944" ht="15.75" customHeight="1" s="217">
      <c r="A3944" s="397" t="n">
        <v>3942</v>
      </c>
      <c r="B3944" s="397" t="inlineStr">
        <is>
          <t>KH00182</t>
        </is>
      </c>
      <c r="C3944" s="398" t="inlineStr">
        <is>
          <t>Cửa hàng Ngọc Tiến - Bạc Liêu/C.Danh:0908.991.734</t>
        </is>
      </c>
      <c r="D3944" s="397" t="inlineStr">
        <is>
          <t>0908.991.734</t>
        </is>
      </c>
      <c r="E3944" s="399" t="n"/>
      <c r="F3944" s="398" t="inlineStr">
        <is>
          <t>96 Trần Phú, Phường 7, TP Bạc Liêu</t>
        </is>
      </c>
      <c r="G3944" s="397" t="inlineStr">
        <is>
          <t>BLIEU</t>
        </is>
      </c>
      <c r="H3944" s="399" t="n"/>
      <c r="J3944" s="392">
        <f>IFERROR(UPPER(TRIM(B3944))&amp;"|"&amp;UPPER(TRIM(C3944))&amp;"|"&amp;UPPER(TRIM(D3944)),"")</f>
        <v/>
      </c>
    </row>
    <row r="3945" ht="15.75" customHeight="1" s="217">
      <c r="A3945" s="400" t="n">
        <v>3943</v>
      </c>
      <c r="B3945" s="400" t="inlineStr">
        <is>
          <t>KH00181</t>
        </is>
      </c>
      <c r="C3945" s="401" t="inlineStr">
        <is>
          <t>Xưởng Thế Mười - Sài Gòn/0903.973.931</t>
        </is>
      </c>
      <c r="D3945" s="400" t="inlineStr">
        <is>
          <t>0903.973.931</t>
        </is>
      </c>
      <c r="E3945" s="402" t="n"/>
      <c r="F3945" s="401" t="inlineStr">
        <is>
          <t>Khu công nghệ cao, Sài Gòn</t>
        </is>
      </c>
      <c r="G3945" s="400" t="inlineStr">
        <is>
          <t>SG/HCM</t>
        </is>
      </c>
      <c r="H3945" s="402" t="n"/>
      <c r="J3945" s="392">
        <f>IFERROR(UPPER(TRIM(B3945))&amp;"|"&amp;UPPER(TRIM(C3945))&amp;"|"&amp;UPPER(TRIM(D3945)),"")</f>
        <v/>
      </c>
    </row>
    <row r="3946" ht="15.75" customHeight="1" s="217">
      <c r="A3946" s="397" t="n">
        <v>3944</v>
      </c>
      <c r="B3946" s="397" t="inlineStr">
        <is>
          <t>KH00180</t>
        </is>
      </c>
      <c r="C3946" s="398" t="inlineStr">
        <is>
          <t>Xưởng anh Trung - Bạc Liêu/ 0977.007.454</t>
        </is>
      </c>
      <c r="D3946" s="397" t="inlineStr">
        <is>
          <t>0977.007.454</t>
        </is>
      </c>
      <c r="E3946" s="399" t="n"/>
      <c r="F3946" s="398" t="inlineStr">
        <is>
          <t>ấp Khúc Tréo B, Tân Phong, Giá Rai, Bạc Liêu</t>
        </is>
      </c>
      <c r="G3946" s="397" t="inlineStr">
        <is>
          <t>BLIEU</t>
        </is>
      </c>
      <c r="H3946" s="399" t="n"/>
      <c r="J3946" s="392">
        <f>IFERROR(UPPER(TRIM(B3946))&amp;"|"&amp;UPPER(TRIM(C3946))&amp;"|"&amp;UPPER(TRIM(D3946)),"")</f>
        <v/>
      </c>
    </row>
    <row r="3947" ht="15.75" customHeight="1" s="217">
      <c r="A3947" s="400" t="n">
        <v>3945</v>
      </c>
      <c r="B3947" s="400" t="inlineStr">
        <is>
          <t>KH00179</t>
        </is>
      </c>
      <c r="C3947" s="401" t="inlineStr">
        <is>
          <t>Xưởng Minh Nguyên - Thủ Đức/ 0913.821.757</t>
        </is>
      </c>
      <c r="D3947" s="400" t="inlineStr">
        <is>
          <t>0913.821.757</t>
        </is>
      </c>
      <c r="E3947" s="402" t="n"/>
      <c r="F3947" s="401" t="inlineStr">
        <is>
          <t>Linh Xuân, Thủ Đức, TPHCM</t>
        </is>
      </c>
      <c r="G3947" s="400" t="inlineStr">
        <is>
          <t>SG/HCM</t>
        </is>
      </c>
      <c r="H3947" s="402" t="n"/>
      <c r="J3947" s="392">
        <f>IFERROR(UPPER(TRIM(B3947))&amp;"|"&amp;UPPER(TRIM(C3947))&amp;"|"&amp;UPPER(TRIM(D3947)),"")</f>
        <v/>
      </c>
    </row>
    <row r="3948" ht="15.75" customHeight="1" s="217">
      <c r="A3948" s="397" t="n">
        <v>3946</v>
      </c>
      <c r="B3948" s="397" t="inlineStr">
        <is>
          <t>KH00178</t>
        </is>
      </c>
      <c r="C3948" s="398" t="inlineStr">
        <is>
          <t>Xưởng Ngọc Dư - SG/ 0985.200.633</t>
        </is>
      </c>
      <c r="D3948" s="397" t="inlineStr">
        <is>
          <t>0985.200.633</t>
        </is>
      </c>
      <c r="E3948" s="399" t="n"/>
      <c r="F3948" s="398" t="inlineStr">
        <is>
          <t>Đối diện cân Nhơn Hòa, Thủ Đức, TPHCM</t>
        </is>
      </c>
      <c r="G3948" s="397" t="inlineStr">
        <is>
          <t>SG/HCM</t>
        </is>
      </c>
      <c r="H3948" s="399" t="n"/>
      <c r="J3948" s="392">
        <f>IFERROR(UPPER(TRIM(B3948))&amp;"|"&amp;UPPER(TRIM(C3948))&amp;"|"&amp;UPPER(TRIM(D3948)),"")</f>
        <v/>
      </c>
    </row>
    <row r="3949" ht="15.75" customHeight="1" s="217">
      <c r="A3949" s="400" t="n">
        <v>3947</v>
      </c>
      <c r="B3949" s="400" t="inlineStr">
        <is>
          <t>KH00177</t>
        </is>
      </c>
      <c r="C3949" s="401" t="inlineStr">
        <is>
          <t>Công ty Long Hường/ Phúc Long - HCM</t>
        </is>
      </c>
      <c r="D3949" s="402" t="n"/>
      <c r="E3949" s="402" t="n"/>
      <c r="F3949" s="401" t="inlineStr">
        <is>
          <t>Thủ Đức, TPHCM</t>
        </is>
      </c>
      <c r="G3949" s="400" t="inlineStr">
        <is>
          <t>SG/HCM</t>
        </is>
      </c>
      <c r="H3949" s="402" t="n"/>
      <c r="J3949" s="392">
        <f>IFERROR(UPPER(TRIM(B3949))&amp;"|"&amp;UPPER(TRIM(C3949))&amp;"|"&amp;UPPER(TRIM(D3949)),"")</f>
        <v/>
      </c>
    </row>
    <row r="3950" ht="15.75" customHeight="1" s="217">
      <c r="A3950" s="397" t="n">
        <v>3948</v>
      </c>
      <c r="B3950" s="397" t="inlineStr">
        <is>
          <t>ZOB</t>
        </is>
      </c>
      <c r="C3950" s="398" t="inlineStr">
        <is>
          <t>ZHEJIANG SF OILLESS BEARING CO., LTD</t>
        </is>
      </c>
      <c r="D3950" s="397" t="inlineStr">
        <is>
          <t>86-573-84519562</t>
        </is>
      </c>
      <c r="E3950" s="399" t="n"/>
      <c r="F3950" s="398" t="inlineStr">
        <is>
          <t>No.18 North Hongwei RD JIASHAN ZHEJIANG, China</t>
        </is>
      </c>
      <c r="G3950" s="399" t="n"/>
      <c r="H3950" s="399" t="n"/>
      <c r="J3950" s="392">
        <f>IFERROR(UPPER(TRIM(B3950))&amp;"|"&amp;UPPER(TRIM(C3950))&amp;"|"&amp;UPPER(TRIM(D3950)),"")</f>
        <v/>
      </c>
    </row>
    <row r="3951" ht="15.75" customHeight="1" s="217">
      <c r="A3951" s="400" t="n">
        <v>3949</v>
      </c>
      <c r="B3951" s="400" t="inlineStr">
        <is>
          <t>KH00176</t>
        </is>
      </c>
      <c r="C3951" s="401" t="inlineStr">
        <is>
          <t>Anh Sỹ - Hà Tĩnh/ 0912.435.737</t>
        </is>
      </c>
      <c r="D3951" s="400" t="inlineStr">
        <is>
          <t>0912.435.737</t>
        </is>
      </c>
      <c r="E3951" s="402" t="n"/>
      <c r="F3951" s="401" t="inlineStr">
        <is>
          <t>Cầu Vượt Bến Thủy - Nghi Xuân - Hà Tĩnh</t>
        </is>
      </c>
      <c r="G3951" s="402" t="n"/>
      <c r="H3951" s="402" t="n"/>
      <c r="J3951" s="392">
        <f>IFERROR(UPPER(TRIM(B3951))&amp;"|"&amp;UPPER(TRIM(C3951))&amp;"|"&amp;UPPER(TRIM(D3951)),"")</f>
        <v/>
      </c>
    </row>
    <row r="3952" ht="15.75" customHeight="1" s="217">
      <c r="A3952" s="397" t="n">
        <v>3950</v>
      </c>
      <c r="B3952" s="397" t="inlineStr">
        <is>
          <t>KH00175</t>
        </is>
      </c>
      <c r="C3952" s="398" t="inlineStr">
        <is>
          <t>Công ty TNHH Thép Đồng Tiến/ 0932.041.677</t>
        </is>
      </c>
      <c r="D3952" s="397" t="inlineStr">
        <is>
          <t>0932.041.677</t>
        </is>
      </c>
      <c r="E3952" s="399" t="n"/>
      <c r="F3952" s="398" t="inlineStr">
        <is>
          <t>143/12 Phan Huy ích, P15, Q. Tân Bình, TPHCM</t>
        </is>
      </c>
      <c r="G3952" s="397" t="inlineStr">
        <is>
          <t>SG/HCM</t>
        </is>
      </c>
      <c r="H3952" s="399" t="n"/>
      <c r="J3952" s="392">
        <f>IFERROR(UPPER(TRIM(B3952))&amp;"|"&amp;UPPER(TRIM(C3952))&amp;"|"&amp;UPPER(TRIM(D3952)),"")</f>
        <v/>
      </c>
    </row>
    <row r="3953" ht="15.75" customHeight="1" s="217">
      <c r="A3953" s="400" t="n">
        <v>3951</v>
      </c>
      <c r="B3953" s="400" t="inlineStr">
        <is>
          <t>KH00174</t>
        </is>
      </c>
      <c r="C3953" s="401" t="inlineStr">
        <is>
          <t>Xưởng Trí Dũng - SG/ 0903.629.350</t>
        </is>
      </c>
      <c r="D3953" s="400" t="inlineStr">
        <is>
          <t>0903.629.350</t>
        </is>
      </c>
      <c r="E3953" s="402" t="n"/>
      <c r="F3953" s="401" t="inlineStr">
        <is>
          <t>Suối Tiên, Thủ Đức, TPHCM</t>
        </is>
      </c>
      <c r="G3953" s="400" t="inlineStr">
        <is>
          <t>SG/HCM</t>
        </is>
      </c>
      <c r="H3953" s="402" t="n"/>
      <c r="J3953" s="392">
        <f>IFERROR(UPPER(TRIM(B3953))&amp;"|"&amp;UPPER(TRIM(C3953))&amp;"|"&amp;UPPER(TRIM(D3953)),"")</f>
        <v/>
      </c>
    </row>
    <row r="3954" ht="15.75" customHeight="1" s="217">
      <c r="A3954" s="397" t="n">
        <v>3952</v>
      </c>
      <c r="B3954" s="397" t="inlineStr">
        <is>
          <t>KH00172</t>
        </is>
      </c>
      <c r="C3954" s="398" t="inlineStr">
        <is>
          <t>Cửa hàng Trương Thành - Q5/ 08.3955.6085</t>
        </is>
      </c>
      <c r="D3954" s="397" t="inlineStr">
        <is>
          <t>08.3955.6085</t>
        </is>
      </c>
      <c r="E3954" s="399" t="n"/>
      <c r="F3954" s="398" t="inlineStr">
        <is>
          <t>6/8 Võ Trường Toản, P15, Q5, TPHCM</t>
        </is>
      </c>
      <c r="G3954" s="397" t="inlineStr">
        <is>
          <t>SG/HCM</t>
        </is>
      </c>
      <c r="H3954" s="399" t="n"/>
      <c r="J3954" s="392">
        <f>IFERROR(UPPER(TRIM(B3954))&amp;"|"&amp;UPPER(TRIM(C3954))&amp;"|"&amp;UPPER(TRIM(D3954)),"")</f>
        <v/>
      </c>
    </row>
    <row r="3955" ht="15.75" customHeight="1" s="217">
      <c r="A3955" s="400" t="n">
        <v>3953</v>
      </c>
      <c r="B3955" s="400" t="inlineStr">
        <is>
          <t>KH00173</t>
        </is>
      </c>
      <c r="C3955" s="401" t="inlineStr">
        <is>
          <t>Xưởng anh Khìn - Đồng Nai/ 0914.722.060</t>
        </is>
      </c>
      <c r="D3955" s="400" t="inlineStr">
        <is>
          <t>0914.722.060</t>
        </is>
      </c>
      <c r="E3955" s="402" t="n"/>
      <c r="F3955" s="401" t="inlineStr">
        <is>
          <t>Tân Phú, Đồng Nai</t>
        </is>
      </c>
      <c r="G3955" s="402" t="n"/>
      <c r="H3955" s="402" t="n"/>
      <c r="J3955" s="392">
        <f>IFERROR(UPPER(TRIM(B3955))&amp;"|"&amp;UPPER(TRIM(C3955))&amp;"|"&amp;UPPER(TRIM(D3955)),"")</f>
        <v/>
      </c>
    </row>
    <row r="3956" ht="15.75" customHeight="1" s="217">
      <c r="A3956" s="397" t="n">
        <v>3954</v>
      </c>
      <c r="B3956" s="397" t="inlineStr">
        <is>
          <t>LNGUYEN</t>
        </is>
      </c>
      <c r="C3956" s="398" t="inlineStr">
        <is>
          <t>Công ty TNHH Lưu Nguyễn/ A. Sơn 0919.089.479/ A. Quang 0367.177.307</t>
        </is>
      </c>
      <c r="D3956" s="397" t="inlineStr">
        <is>
          <t>0919.089.479 / 0367.177.307</t>
        </is>
      </c>
      <c r="E3956" s="399" t="n"/>
      <c r="F3956" s="398" t="inlineStr">
        <is>
          <t>130/C47 Phạm Văn Hai, Phường 2, Quận Tân Bình, TPHCM</t>
        </is>
      </c>
      <c r="G3956" s="397" t="inlineStr">
        <is>
          <t>SG/HCM</t>
        </is>
      </c>
      <c r="H3956" s="399" t="n"/>
      <c r="J3956" s="392">
        <f>IFERROR(UPPER(TRIM(B3956))&amp;"|"&amp;UPPER(TRIM(C3956))&amp;"|"&amp;UPPER(TRIM(D3956)),"")</f>
        <v/>
      </c>
    </row>
    <row r="3957" ht="15.75" customHeight="1" s="217">
      <c r="A3957" s="400" t="n">
        <v>3955</v>
      </c>
      <c r="B3957" s="400" t="inlineStr">
        <is>
          <t>SH</t>
        </is>
      </c>
      <c r="C3957" s="401" t="inlineStr">
        <is>
          <t>Shanghai Donghe Transmission Shaft Co., Ltd</t>
        </is>
      </c>
      <c r="D3957" s="402" t="n"/>
      <c r="E3957" s="402" t="n"/>
      <c r="F3957" s="401" t="inlineStr">
        <is>
          <t>Xinqi Sheshan Songjiang Shanghai, China</t>
        </is>
      </c>
      <c r="G3957" s="402" t="n"/>
      <c r="H3957" s="402" t="n"/>
      <c r="J3957" s="392">
        <f>IFERROR(UPPER(TRIM(B3957))&amp;"|"&amp;UPPER(TRIM(C3957))&amp;"|"&amp;UPPER(TRIM(D3957)),"")</f>
        <v/>
      </c>
    </row>
    <row r="3958" ht="15.75" customHeight="1" s="217">
      <c r="A3958" s="397" t="n">
        <v>3956</v>
      </c>
      <c r="B3958" s="397" t="inlineStr">
        <is>
          <t>KH00171</t>
        </is>
      </c>
      <c r="C3958" s="398" t="inlineStr">
        <is>
          <t>Xưởng anh Thịnh - SG/0908.773.616</t>
        </is>
      </c>
      <c r="D3958" s="397" t="inlineStr">
        <is>
          <t>0908.773.616</t>
        </is>
      </c>
      <c r="E3958" s="399" t="n"/>
      <c r="F3958" s="398" t="inlineStr">
        <is>
          <t>Sài Gòn</t>
        </is>
      </c>
      <c r="G3958" s="397" t="inlineStr">
        <is>
          <t>SG/HCM</t>
        </is>
      </c>
      <c r="H3958" s="399" t="n"/>
      <c r="J3958" s="392">
        <f>IFERROR(UPPER(TRIM(B3958))&amp;"|"&amp;UPPER(TRIM(C3958))&amp;"|"&amp;UPPER(TRIM(D3958)),"")</f>
        <v/>
      </c>
    </row>
    <row r="3959" ht="15.75" customHeight="1" s="217">
      <c r="A3959" s="400" t="n">
        <v>3957</v>
      </c>
      <c r="B3959" s="400" t="inlineStr">
        <is>
          <t>KH00170</t>
        </is>
      </c>
      <c r="C3959" s="401" t="inlineStr">
        <is>
          <t>Cửa hàng Hùng Tân - Kiên Giang/ Anh Phước - 0903.120.019 Fax: 0776.258.168</t>
        </is>
      </c>
      <c r="D3959" s="400" t="inlineStr">
        <is>
          <t>0903.120.019 / 0776.258.168</t>
        </is>
      </c>
      <c r="E3959" s="402" t="n"/>
      <c r="F3959" s="401" t="inlineStr">
        <is>
          <t>118 Nguyễn Chí Thanh, P.Rạch Sỏi, TP Rạch Giá, Kiên Giang</t>
        </is>
      </c>
      <c r="G3959" s="400" t="inlineStr">
        <is>
          <t>KG</t>
        </is>
      </c>
      <c r="H3959" s="402" t="n"/>
      <c r="J3959" s="392">
        <f>IFERROR(UPPER(TRIM(B3959))&amp;"|"&amp;UPPER(TRIM(C3959))&amp;"|"&amp;UPPER(TRIM(D3959)),"")</f>
        <v/>
      </c>
    </row>
    <row r="3960" ht="15.75" customHeight="1" s="217">
      <c r="A3960" s="397" t="n">
        <v>3958</v>
      </c>
      <c r="B3960" s="397" t="inlineStr">
        <is>
          <t>DELTA</t>
        </is>
      </c>
      <c r="C3960" s="398" t="inlineStr">
        <is>
          <t>Công ty TNHH XD Dân dụng và công nghiệp DELTA</t>
        </is>
      </c>
      <c r="D3960" s="399" t="n"/>
      <c r="E3960" s="399" t="n"/>
      <c r="F3960" s="398" t="inlineStr">
        <is>
          <t>54-56 Tuệ Tĩnh, Hai Bà Trưng, Hà Nội</t>
        </is>
      </c>
      <c r="G3960" s="399" t="n"/>
      <c r="H3960" s="399" t="n"/>
      <c r="J3960" s="392">
        <f>IFERROR(UPPER(TRIM(B3960))&amp;"|"&amp;UPPER(TRIM(C3960))&amp;"|"&amp;UPPER(TRIM(D3960)),"")</f>
        <v/>
      </c>
    </row>
    <row r="3961" ht="15.75" customHeight="1" s="217">
      <c r="A3961" s="400" t="n">
        <v>3959</v>
      </c>
      <c r="B3961" s="400" t="inlineStr">
        <is>
          <t>KH00169</t>
        </is>
      </c>
      <c r="C3961" s="401" t="inlineStr">
        <is>
          <t>Anh Nghị - SG/ 0906.739.086</t>
        </is>
      </c>
      <c r="D3961" s="400" t="inlineStr">
        <is>
          <t>0906.739.086</t>
        </is>
      </c>
      <c r="E3961" s="402" t="n"/>
      <c r="F3961" s="401" t="inlineStr">
        <is>
          <t>Sài Gòn</t>
        </is>
      </c>
      <c r="G3961" s="400" t="inlineStr">
        <is>
          <t>SG/HCM</t>
        </is>
      </c>
      <c r="H3961" s="402" t="n"/>
      <c r="J3961" s="392">
        <f>IFERROR(UPPER(TRIM(B3961))&amp;"|"&amp;UPPER(TRIM(C3961))&amp;"|"&amp;UPPER(TRIM(D3961)),"")</f>
        <v/>
      </c>
    </row>
    <row r="3962" ht="15.75" customHeight="1" s="217">
      <c r="A3962" s="397" t="n">
        <v>3960</v>
      </c>
      <c r="B3962" s="397" t="inlineStr">
        <is>
          <t>KH00168</t>
        </is>
      </c>
      <c r="C3962" s="398" t="inlineStr">
        <is>
          <t>Cửa hàng Trường Thành - Ninh Thuận/ 0909.841.844 - Fax: 0683.838.033</t>
        </is>
      </c>
      <c r="D3962" s="397" t="inlineStr">
        <is>
          <t>0683.838.033 / 0909.841.844</t>
        </is>
      </c>
      <c r="E3962" s="399" t="n"/>
      <c r="F3962" s="398" t="inlineStr">
        <is>
          <t>TP Phan Rang - Tháp Chàm, Ninh Thuận</t>
        </is>
      </c>
      <c r="G3962" s="397" t="inlineStr">
        <is>
          <t>NTHUAN</t>
        </is>
      </c>
      <c r="H3962" s="399" t="n"/>
      <c r="J3962" s="392">
        <f>IFERROR(UPPER(TRIM(B3962))&amp;"|"&amp;UPPER(TRIM(C3962))&amp;"|"&amp;UPPER(TRIM(D3962)),"")</f>
        <v/>
      </c>
    </row>
    <row r="3963" ht="15.75" customHeight="1" s="217">
      <c r="A3963" s="400" t="n">
        <v>3961</v>
      </c>
      <c r="B3963" s="400" t="inlineStr">
        <is>
          <t>KH00165</t>
        </is>
      </c>
      <c r="C3963" s="401" t="inlineStr">
        <is>
          <t>Cửa hàng Phước Hải - Hàng xanh/ 0903.844.817</t>
        </is>
      </c>
      <c r="D3963" s="400" t="inlineStr">
        <is>
          <t>0903.844.817</t>
        </is>
      </c>
      <c r="E3963" s="402" t="n"/>
      <c r="F3963" s="401" t="inlineStr">
        <is>
          <t>481-481A Điện Biên Phủ, P. 25, Bình Thạnh, Sài Gòn</t>
        </is>
      </c>
      <c r="G3963" s="400" t="inlineStr">
        <is>
          <t>HX</t>
        </is>
      </c>
      <c r="H3963" s="402" t="n"/>
      <c r="J3963" s="392">
        <f>IFERROR(UPPER(TRIM(B3963))&amp;"|"&amp;UPPER(TRIM(C3963))&amp;"|"&amp;UPPER(TRIM(D3963)),"")</f>
        <v/>
      </c>
    </row>
    <row r="3964" ht="15.75" customHeight="1" s="217">
      <c r="A3964" s="397" t="n">
        <v>3962</v>
      </c>
      <c r="B3964" s="397" t="inlineStr">
        <is>
          <t>KH00166</t>
        </is>
      </c>
      <c r="C3964" s="398" t="inlineStr">
        <is>
          <t>Xưởng Mười Trung - Suối Tiên/ 0903.335.526</t>
        </is>
      </c>
      <c r="D3964" s="397" t="inlineStr">
        <is>
          <t>0903.335.526</t>
        </is>
      </c>
      <c r="E3964" s="399" t="n"/>
      <c r="F3964" s="398" t="inlineStr">
        <is>
          <t>Suối Tiên, SG</t>
        </is>
      </c>
      <c r="G3964" s="397" t="inlineStr">
        <is>
          <t>SG/HCM</t>
        </is>
      </c>
      <c r="H3964" s="399" t="n"/>
      <c r="J3964" s="392">
        <f>IFERROR(UPPER(TRIM(B3964))&amp;"|"&amp;UPPER(TRIM(C3964))&amp;"|"&amp;UPPER(TRIM(D3964)),"")</f>
        <v/>
      </c>
    </row>
    <row r="3965" ht="15.75" customHeight="1" s="217">
      <c r="A3965" s="400" t="n">
        <v>3963</v>
      </c>
      <c r="B3965" s="400" t="inlineStr">
        <is>
          <t>KH00167</t>
        </is>
      </c>
      <c r="C3965" s="401" t="inlineStr">
        <is>
          <t>Công ty TNHH MTV Đại Phúc Long - Q9/A.Sơn:0919.123.176</t>
        </is>
      </c>
      <c r="D3965" s="400" t="inlineStr">
        <is>
          <t>Bãi xe: 08.3897.8471 / 0919.123.176</t>
        </is>
      </c>
      <c r="E3965" s="402" t="n"/>
      <c r="F3965" s="401" t="inlineStr">
        <is>
          <t>Kho 348 Xa lộ Hà Nội, P.Phước Long, Q9, TPHCM</t>
        </is>
      </c>
      <c r="G3965" s="400" t="inlineStr">
        <is>
          <t>SG/HCM</t>
        </is>
      </c>
      <c r="H3965" s="402" t="n"/>
      <c r="J3965" s="392">
        <f>IFERROR(UPPER(TRIM(B3965))&amp;"|"&amp;UPPER(TRIM(C3965))&amp;"|"&amp;UPPER(TRIM(D3965)),"")</f>
        <v/>
      </c>
    </row>
    <row r="3966" ht="15.75" customHeight="1" s="217">
      <c r="A3966" s="397" t="n">
        <v>3964</v>
      </c>
      <c r="B3966" s="397" t="inlineStr">
        <is>
          <t>KH00164</t>
        </is>
      </c>
      <c r="C3966" s="398" t="inlineStr">
        <is>
          <t>Bãi máy chú Phát - SG/ 0938.451.497</t>
        </is>
      </c>
      <c r="D3966" s="397" t="inlineStr">
        <is>
          <t>0938.451.497</t>
        </is>
      </c>
      <c r="E3966" s="399" t="n"/>
      <c r="F3966" s="398" t="inlineStr">
        <is>
          <t>Xa lộ Hà Nội, HCM</t>
        </is>
      </c>
      <c r="G3966" s="397" t="inlineStr">
        <is>
          <t>SG/HCM</t>
        </is>
      </c>
      <c r="H3966" s="399" t="n"/>
      <c r="J3966" s="392">
        <f>IFERROR(UPPER(TRIM(B3966))&amp;"|"&amp;UPPER(TRIM(C3966))&amp;"|"&amp;UPPER(TRIM(D3966)),"")</f>
        <v/>
      </c>
    </row>
    <row r="3967" ht="15.75" customHeight="1" s="217">
      <c r="A3967" s="400" t="n">
        <v>3965</v>
      </c>
      <c r="B3967" s="400" t="inlineStr">
        <is>
          <t>KH00163</t>
        </is>
      </c>
      <c r="C3967" s="401" t="inlineStr">
        <is>
          <t>Xưởng Anh Hiếu - Bạc Liêu/ 0983.727.777</t>
        </is>
      </c>
      <c r="D3967" s="400" t="inlineStr">
        <is>
          <t>0983.727.777</t>
        </is>
      </c>
      <c r="E3967" s="402" t="n"/>
      <c r="F3967" s="401" t="inlineStr">
        <is>
          <t>QL 1A, ấp Khúc Tréo B, Tân Phong, Giá Rai,Bạc Liêu</t>
        </is>
      </c>
      <c r="G3967" s="400" t="inlineStr">
        <is>
          <t>BLIEU</t>
        </is>
      </c>
      <c r="H3967" s="402" t="n"/>
      <c r="J3967" s="392">
        <f>IFERROR(UPPER(TRIM(B3967))&amp;"|"&amp;UPPER(TRIM(C3967))&amp;"|"&amp;UPPER(TRIM(D3967)),"")</f>
        <v/>
      </c>
    </row>
    <row r="3968" ht="15.75" customHeight="1" s="217">
      <c r="A3968" s="397" t="n">
        <v>3966</v>
      </c>
      <c r="B3968" s="397" t="inlineStr">
        <is>
          <t>KH00161</t>
        </is>
      </c>
      <c r="C3968" s="398" t="inlineStr">
        <is>
          <t>Xưởng anh Tuấn - Kiên Giang/ 0989.974.365</t>
        </is>
      </c>
      <c r="D3968" s="397" t="inlineStr">
        <is>
          <t>0989.974.365</t>
        </is>
      </c>
      <c r="E3968" s="399" t="n"/>
      <c r="F3968" s="398" t="inlineStr">
        <is>
          <t>Sơn Kiên, Hòn Đất, Kiên Giang</t>
        </is>
      </c>
      <c r="G3968" s="397" t="inlineStr">
        <is>
          <t>KG</t>
        </is>
      </c>
      <c r="H3968" s="399" t="n"/>
      <c r="J3968" s="392">
        <f>IFERROR(UPPER(TRIM(B3968))&amp;"|"&amp;UPPER(TRIM(C3968))&amp;"|"&amp;UPPER(TRIM(D3968)),"")</f>
        <v/>
      </c>
    </row>
    <row r="3969" ht="15.75" customHeight="1" s="217">
      <c r="A3969" s="400" t="n">
        <v>3967</v>
      </c>
      <c r="B3969" s="400" t="inlineStr">
        <is>
          <t>KH00162</t>
        </is>
      </c>
      <c r="C3969" s="401" t="inlineStr">
        <is>
          <t>Xưởng anh Sáng - SG/ 0903.872.693</t>
        </is>
      </c>
      <c r="D3969" s="400" t="inlineStr">
        <is>
          <t>0903.872.693</t>
        </is>
      </c>
      <c r="E3969" s="402" t="n"/>
      <c r="F3969" s="401" t="inlineStr">
        <is>
          <t>Sài gòn</t>
        </is>
      </c>
      <c r="G3969" s="400" t="inlineStr">
        <is>
          <t>SG/HCM</t>
        </is>
      </c>
      <c r="H3969" s="402" t="n"/>
      <c r="J3969" s="392">
        <f>IFERROR(UPPER(TRIM(B3969))&amp;"|"&amp;UPPER(TRIM(C3969))&amp;"|"&amp;UPPER(TRIM(D3969)),"")</f>
        <v/>
      </c>
    </row>
    <row r="3970" ht="15.75" customHeight="1" s="217">
      <c r="A3970" s="397" t="n">
        <v>3968</v>
      </c>
      <c r="B3970" s="397" t="inlineStr">
        <is>
          <t>KH00160</t>
        </is>
      </c>
      <c r="C3970" s="398" t="inlineStr">
        <is>
          <t>Công ty TNHH Quang Vinh - Quảng Bình/0913.295.543 - Fax: 0523.862.328</t>
        </is>
      </c>
      <c r="D3970" s="397" t="inlineStr">
        <is>
          <t>0913.295.543 / 0523.862.328</t>
        </is>
      </c>
      <c r="E3970" s="399" t="n"/>
      <c r="F3970" s="398" t="inlineStr">
        <is>
          <t>Tiểu khu 4, TT Hoàn Lão, Bố Trạch, Quảng Bình</t>
        </is>
      </c>
      <c r="G3970" s="399" t="n"/>
      <c r="H3970" s="399" t="n"/>
      <c r="J3970" s="392">
        <f>IFERROR(UPPER(TRIM(B3970))&amp;"|"&amp;UPPER(TRIM(C3970))&amp;"|"&amp;UPPER(TRIM(D3970)),"")</f>
        <v/>
      </c>
    </row>
    <row r="3971" ht="15.75" customHeight="1" s="217">
      <c r="A3971" s="400" t="n">
        <v>3969</v>
      </c>
      <c r="B3971" s="400" t="inlineStr">
        <is>
          <t>KH00159</t>
        </is>
      </c>
      <c r="C3971" s="401" t="inlineStr">
        <is>
          <t>Cửa hàng Vinh Hoàng - Hàng Xanh/ 0903.842.362 - Fax:08.35115190</t>
        </is>
      </c>
      <c r="D3971" s="400" t="inlineStr">
        <is>
          <t>08.35115190 / 0903.842.362</t>
        </is>
      </c>
      <c r="E3971" s="402" t="n"/>
      <c r="F3971" s="401" t="inlineStr">
        <is>
          <t>Hàng Xanh , HCM</t>
        </is>
      </c>
      <c r="G3971" s="400" t="inlineStr">
        <is>
          <t>HX</t>
        </is>
      </c>
      <c r="H3971" s="402" t="n"/>
      <c r="J3971" s="392">
        <f>IFERROR(UPPER(TRIM(B3971))&amp;"|"&amp;UPPER(TRIM(C3971))&amp;"|"&amp;UPPER(TRIM(D3971)),"")</f>
        <v/>
      </c>
    </row>
    <row r="3972" ht="15.75" customHeight="1" s="217">
      <c r="A3972" s="397" t="n">
        <v>3970</v>
      </c>
      <c r="B3972" s="397" t="inlineStr">
        <is>
          <t>KH00158</t>
        </is>
      </c>
      <c r="C3972" s="398" t="inlineStr">
        <is>
          <t>Xưởng anh Thảo - Đà Nẵng/ 0905.197.179 - C.Chi: 0903.587.178</t>
        </is>
      </c>
      <c r="D3972" s="397" t="inlineStr">
        <is>
          <t>0905.197.179 / 0903.587.178</t>
        </is>
      </c>
      <c r="E3972" s="399" t="n"/>
      <c r="F3972" s="398" t="inlineStr">
        <is>
          <t>Đà Nẵng</t>
        </is>
      </c>
      <c r="G3972" s="397" t="inlineStr">
        <is>
          <t>DNANG</t>
        </is>
      </c>
      <c r="H3972" s="399" t="n"/>
      <c r="J3972" s="392">
        <f>IFERROR(UPPER(TRIM(B3972))&amp;"|"&amp;UPPER(TRIM(C3972))&amp;"|"&amp;UPPER(TRIM(D3972)),"")</f>
        <v/>
      </c>
    </row>
    <row r="3973" ht="15.75" customHeight="1" s="217">
      <c r="A3973" s="400" t="n">
        <v>3971</v>
      </c>
      <c r="B3973" s="400" t="inlineStr">
        <is>
          <t>KH00156</t>
        </is>
      </c>
      <c r="C3973" s="401" t="inlineStr">
        <is>
          <t>Bãi Máy Lê Phát - SG -  Anh Tuấn / 0939.333.337</t>
        </is>
      </c>
      <c r="D3973" s="400" t="inlineStr">
        <is>
          <t>0939.333.337</t>
        </is>
      </c>
      <c r="E3973" s="402" t="n"/>
      <c r="F3973" s="401" t="inlineStr">
        <is>
          <t>Gần ĐH Nông Lâm - SG</t>
        </is>
      </c>
      <c r="G3973" s="400" t="inlineStr">
        <is>
          <t>SG/HCM</t>
        </is>
      </c>
      <c r="H3973" s="402" t="n"/>
      <c r="J3973" s="392">
        <f>IFERROR(UPPER(TRIM(B3973))&amp;"|"&amp;UPPER(TRIM(C3973))&amp;"|"&amp;UPPER(TRIM(D3973)),"")</f>
        <v/>
      </c>
    </row>
    <row r="3974" ht="15.75" customHeight="1" s="217">
      <c r="A3974" s="397" t="n">
        <v>3972</v>
      </c>
      <c r="B3974" s="397" t="inlineStr">
        <is>
          <t>KH00157</t>
        </is>
      </c>
      <c r="C3974" s="398" t="inlineStr">
        <is>
          <t>Xưởng Quang Vinh - Thủ Đức/ 0908.686.165</t>
        </is>
      </c>
      <c r="D3974" s="397" t="inlineStr">
        <is>
          <t>0908.686.165</t>
        </is>
      </c>
      <c r="E3974" s="399" t="n"/>
      <c r="F3974" s="398" t="inlineStr">
        <is>
          <t>Hiệp Bình, Thủ Đức, TPHCM</t>
        </is>
      </c>
      <c r="G3974" s="397" t="inlineStr">
        <is>
          <t>SG/HCM</t>
        </is>
      </c>
      <c r="H3974" s="399" t="n"/>
      <c r="J3974" s="392">
        <f>IFERROR(UPPER(TRIM(B3974))&amp;"|"&amp;UPPER(TRIM(C3974))&amp;"|"&amp;UPPER(TRIM(D3974)),"")</f>
        <v/>
      </c>
    </row>
    <row r="3975" ht="15.75" customHeight="1" s="217">
      <c r="A3975" s="400" t="n">
        <v>3973</v>
      </c>
      <c r="B3975" s="400" t="inlineStr">
        <is>
          <t>KH00154</t>
        </is>
      </c>
      <c r="C3975" s="401" t="inlineStr">
        <is>
          <t>Cửa hàng Đỗ Gia - Bình Thạnh/ 0988.538.169</t>
        </is>
      </c>
      <c r="D3975" s="400" t="inlineStr">
        <is>
          <t>0988.538.169</t>
        </is>
      </c>
      <c r="E3975" s="402" t="n"/>
      <c r="F3975" s="401" t="inlineStr">
        <is>
          <t>194/1A Bùi Đình Túy - Bình Thạnh - HCM</t>
        </is>
      </c>
      <c r="G3975" s="400" t="inlineStr">
        <is>
          <t>SG/HCM</t>
        </is>
      </c>
      <c r="H3975" s="402" t="n"/>
      <c r="J3975" s="392">
        <f>IFERROR(UPPER(TRIM(B3975))&amp;"|"&amp;UPPER(TRIM(C3975))&amp;"|"&amp;UPPER(TRIM(D3975)),"")</f>
        <v/>
      </c>
    </row>
    <row r="3976" ht="15.75" customHeight="1" s="217">
      <c r="A3976" s="397" t="n">
        <v>3974</v>
      </c>
      <c r="B3976" s="397" t="inlineStr">
        <is>
          <t>KH00155</t>
        </is>
      </c>
      <c r="C3976" s="398" t="inlineStr">
        <is>
          <t>Xưởng Kim Hùng - Gia Lai/ A.Duy: 0986.100.007 - 0984.600.007</t>
        </is>
      </c>
      <c r="D3976" s="397" t="inlineStr">
        <is>
          <t>0986.100.007 / 0984.600.007</t>
        </is>
      </c>
      <c r="E3976" s="399" t="n"/>
      <c r="F3976" s="398" t="inlineStr">
        <is>
          <t>1049 Phạm Văn Đồng, TP Pleiku, Gia Lai</t>
        </is>
      </c>
      <c r="G3976" s="397" t="inlineStr">
        <is>
          <t>GLAI</t>
        </is>
      </c>
      <c r="H3976" s="399" t="n"/>
      <c r="J3976" s="392">
        <f>IFERROR(UPPER(TRIM(B3976))&amp;"|"&amp;UPPER(TRIM(C3976))&amp;"|"&amp;UPPER(TRIM(D3976)),"")</f>
        <v/>
      </c>
    </row>
    <row r="3977" ht="15.75" customHeight="1" s="217">
      <c r="A3977" s="400" t="n">
        <v>3975</v>
      </c>
      <c r="B3977" s="400" t="inlineStr">
        <is>
          <t>KH00152</t>
        </is>
      </c>
      <c r="C3977" s="401" t="inlineStr">
        <is>
          <t>Xưởng Tuấn Ngữ - SG/ 0938.475.093</t>
        </is>
      </c>
      <c r="D3977" s="400" t="inlineStr">
        <is>
          <t>0938.475.093</t>
        </is>
      </c>
      <c r="E3977" s="402" t="n"/>
      <c r="F3977" s="401" t="inlineStr">
        <is>
          <t>Quốc lộ 13, Thủ Đức, TPHCM</t>
        </is>
      </c>
      <c r="G3977" s="400" t="inlineStr">
        <is>
          <t>SG/HCM</t>
        </is>
      </c>
      <c r="H3977" s="402" t="n"/>
      <c r="J3977" s="392">
        <f>IFERROR(UPPER(TRIM(B3977))&amp;"|"&amp;UPPER(TRIM(C3977))&amp;"|"&amp;UPPER(TRIM(D3977)),"")</f>
        <v/>
      </c>
    </row>
    <row r="3978" ht="15.75" customHeight="1" s="217">
      <c r="A3978" s="397" t="n">
        <v>3976</v>
      </c>
      <c r="B3978" s="397" t="inlineStr">
        <is>
          <t>KH00153</t>
        </is>
      </c>
      <c r="C3978" s="398" t="inlineStr">
        <is>
          <t>Cửa hàng Tỷ Mập - Q5/ 0913.624.788</t>
        </is>
      </c>
      <c r="D3978" s="397" t="inlineStr">
        <is>
          <t>08.3955.1050 / 0913.624.788</t>
        </is>
      </c>
      <c r="E3978" s="399" t="n"/>
      <c r="F3978" s="398" t="inlineStr">
        <is>
          <t>Chợ Tạ Uyên, đường Tân Thành, Quận 5, TPHCM</t>
        </is>
      </c>
      <c r="G3978" s="397" t="inlineStr">
        <is>
          <t>SG/HCM</t>
        </is>
      </c>
      <c r="H3978" s="399" t="n"/>
      <c r="J3978" s="392">
        <f>IFERROR(UPPER(TRIM(B3978))&amp;"|"&amp;UPPER(TRIM(C3978))&amp;"|"&amp;UPPER(TRIM(D3978)),"")</f>
        <v/>
      </c>
    </row>
    <row r="3979" ht="15.75" customHeight="1" s="217">
      <c r="A3979" s="400" t="n">
        <v>3977</v>
      </c>
      <c r="B3979" s="400" t="inlineStr">
        <is>
          <t>KH00151</t>
        </is>
      </c>
      <c r="C3979" s="401" t="inlineStr">
        <is>
          <t>Xưởng anh Luận - Quảng Ngãi/ 0935.032.583</t>
        </is>
      </c>
      <c r="D3979" s="400" t="inlineStr">
        <is>
          <t>0935.032.583</t>
        </is>
      </c>
      <c r="E3979" s="402" t="n"/>
      <c r="F3979" s="401" t="inlineStr">
        <is>
          <t>Quảng Ngãi</t>
        </is>
      </c>
      <c r="G3979" s="400" t="inlineStr">
        <is>
          <t>QUNGAI</t>
        </is>
      </c>
      <c r="H3979" s="402" t="n"/>
      <c r="J3979" s="392">
        <f>IFERROR(UPPER(TRIM(B3979))&amp;"|"&amp;UPPER(TRIM(C3979))&amp;"|"&amp;UPPER(TRIM(D3979)),"")</f>
        <v/>
      </c>
    </row>
    <row r="3980" ht="15.75" customHeight="1" s="217">
      <c r="A3980" s="397" t="n">
        <v>3978</v>
      </c>
      <c r="B3980" s="397" t="inlineStr">
        <is>
          <t>KH00148</t>
        </is>
      </c>
      <c r="C3980" s="398" t="inlineStr">
        <is>
          <t>Xưởng Hoàng Phúc - Vũng Tàu/ A.Khánh:01672.780.555</t>
        </is>
      </c>
      <c r="D3980" s="397" t="inlineStr">
        <is>
          <t>0642.219.567 / 01672.780.555</t>
        </is>
      </c>
      <c r="E3980" s="399" t="n"/>
      <c r="F3980" s="398" t="inlineStr">
        <is>
          <t>Vũng Tàu</t>
        </is>
      </c>
      <c r="G3980" s="397" t="inlineStr">
        <is>
          <t>BRVT</t>
        </is>
      </c>
      <c r="H3980" s="399" t="n"/>
      <c r="J3980" s="392">
        <f>IFERROR(UPPER(TRIM(B3980))&amp;"|"&amp;UPPER(TRIM(C3980))&amp;"|"&amp;UPPER(TRIM(D3980)),"")</f>
        <v/>
      </c>
    </row>
    <row r="3981" ht="15.75" customHeight="1" s="217">
      <c r="A3981" s="400" t="n">
        <v>3979</v>
      </c>
      <c r="B3981" s="400" t="inlineStr">
        <is>
          <t>KH00149</t>
        </is>
      </c>
      <c r="C3981" s="401" t="inlineStr">
        <is>
          <t>Xưởng anh Bảy - Kontum/ 0905.992.929</t>
        </is>
      </c>
      <c r="D3981" s="400" t="inlineStr">
        <is>
          <t>0905.992.929</t>
        </is>
      </c>
      <c r="E3981" s="402" t="n"/>
      <c r="F3981" s="401" t="inlineStr">
        <is>
          <t>Kontum</t>
        </is>
      </c>
      <c r="G3981" s="400" t="inlineStr">
        <is>
          <t>KTUM</t>
        </is>
      </c>
      <c r="H3981" s="402" t="n"/>
      <c r="J3981" s="392">
        <f>IFERROR(UPPER(TRIM(B3981))&amp;"|"&amp;UPPER(TRIM(C3981))&amp;"|"&amp;UPPER(TRIM(D3981)),"")</f>
        <v/>
      </c>
    </row>
    <row r="3982" ht="15.75" customHeight="1" s="217">
      <c r="A3982" s="397" t="n">
        <v>3980</v>
      </c>
      <c r="B3982" s="397" t="inlineStr">
        <is>
          <t>KH00150</t>
        </is>
      </c>
      <c r="C3982" s="398" t="inlineStr">
        <is>
          <t>Công ty TNHH TMDV Sài Gòn Bình Hòa Long - Gò Vấp/ 0919.175.073</t>
        </is>
      </c>
      <c r="D3982" s="397" t="inlineStr">
        <is>
          <t>0919.175.073</t>
        </is>
      </c>
      <c r="E3982" s="399" t="n"/>
      <c r="F3982" s="398" t="inlineStr">
        <is>
          <t>74/40 đường Trương Quốc Dung, P.10, Q.Phú Nhuận, HCM</t>
        </is>
      </c>
      <c r="G3982" s="397" t="inlineStr">
        <is>
          <t>SG/HCM</t>
        </is>
      </c>
      <c r="H3982" s="399" t="n"/>
      <c r="J3982" s="392">
        <f>IFERROR(UPPER(TRIM(B3982))&amp;"|"&amp;UPPER(TRIM(C3982))&amp;"|"&amp;UPPER(TRIM(D3982)),"")</f>
        <v/>
      </c>
    </row>
    <row r="3983" ht="15.75" customHeight="1" s="217">
      <c r="A3983" s="400" t="n">
        <v>3981</v>
      </c>
      <c r="B3983" s="400" t="inlineStr">
        <is>
          <t>KH00147</t>
        </is>
      </c>
      <c r="C3983" s="401" t="inlineStr">
        <is>
          <t>Cửa hàng Khắc Duy - Hàng Xanh/-A.Hiếu: 0906.999.606</t>
        </is>
      </c>
      <c r="D3983" s="400" t="inlineStr">
        <is>
          <t>0906.999.606</t>
        </is>
      </c>
      <c r="E3983" s="402" t="n"/>
      <c r="F3983" s="401" t="inlineStr">
        <is>
          <t>515 Điện Biên Phủ, Phường 25, Bình Thạnh, TP Hồ Chí Minh</t>
        </is>
      </c>
      <c r="G3983" s="400" t="inlineStr">
        <is>
          <t>HX</t>
        </is>
      </c>
      <c r="H3983" s="402" t="n"/>
      <c r="J3983" s="392">
        <f>IFERROR(UPPER(TRIM(B3983))&amp;"|"&amp;UPPER(TRIM(C3983))&amp;"|"&amp;UPPER(TRIM(D3983)),"")</f>
        <v/>
      </c>
    </row>
    <row r="3984" ht="15.75" customHeight="1" s="217">
      <c r="A3984" s="397" t="n">
        <v>3982</v>
      </c>
      <c r="B3984" s="397" t="inlineStr">
        <is>
          <t>KH00145</t>
        </is>
      </c>
      <c r="C3984" s="398" t="inlineStr">
        <is>
          <t>Xưởng Mười Em - Suối Tiên/ 0908.832.292</t>
        </is>
      </c>
      <c r="D3984" s="397" t="inlineStr">
        <is>
          <t>0908.832.292</t>
        </is>
      </c>
      <c r="E3984" s="399" t="n"/>
      <c r="F3984" s="398" t="inlineStr">
        <is>
          <t>Phía Đông SG</t>
        </is>
      </c>
      <c r="G3984" s="397" t="inlineStr">
        <is>
          <t>SG/HCM</t>
        </is>
      </c>
      <c r="H3984" s="399" t="n"/>
      <c r="J3984" s="392">
        <f>IFERROR(UPPER(TRIM(B3984))&amp;"|"&amp;UPPER(TRIM(C3984))&amp;"|"&amp;UPPER(TRIM(D3984)),"")</f>
        <v/>
      </c>
    </row>
    <row r="3985" ht="15.75" customHeight="1" s="217">
      <c r="A3985" s="400" t="n">
        <v>3983</v>
      </c>
      <c r="B3985" s="400" t="inlineStr">
        <is>
          <t>KH00146</t>
        </is>
      </c>
      <c r="C3985" s="401" t="inlineStr">
        <is>
          <t>Xưởng anh Dũng - An Giang/ 0913.712.552 - Fax: 0763.858.822</t>
        </is>
      </c>
      <c r="D3985" s="400" t="inlineStr">
        <is>
          <t>0913.712.552 / 0763.858.822</t>
        </is>
      </c>
      <c r="E3985" s="402" t="n"/>
      <c r="F3985" s="401" t="inlineStr">
        <is>
          <t>TP Long Xuyên, An Giang</t>
        </is>
      </c>
      <c r="G3985" s="400" t="inlineStr">
        <is>
          <t>ANGIANG</t>
        </is>
      </c>
      <c r="H3985" s="402" t="n"/>
      <c r="J3985" s="392">
        <f>IFERROR(UPPER(TRIM(B3985))&amp;"|"&amp;UPPER(TRIM(C3985))&amp;"|"&amp;UPPER(TRIM(D3985)),"")</f>
        <v/>
      </c>
    </row>
    <row r="3986" ht="15.75" customHeight="1" s="217">
      <c r="A3986" s="397" t="n">
        <v>3984</v>
      </c>
      <c r="B3986" s="397" t="inlineStr">
        <is>
          <t>KH00144</t>
        </is>
      </c>
      <c r="C3986" s="398" t="inlineStr">
        <is>
          <t>Xưởng Tấn Tài - Bến Tre/ 0918.056.370</t>
        </is>
      </c>
      <c r="D3986" s="397" t="inlineStr">
        <is>
          <t>0918.056.370</t>
        </is>
      </c>
      <c r="E3986" s="399" t="n"/>
      <c r="F3986" s="398" t="inlineStr">
        <is>
          <t>KP7, Nguyễn Thị Định, TP Bến Tre</t>
        </is>
      </c>
      <c r="G3986" s="397" t="inlineStr">
        <is>
          <t>BTRE</t>
        </is>
      </c>
      <c r="H3986" s="399" t="n"/>
      <c r="J3986" s="392">
        <f>IFERROR(UPPER(TRIM(B3986))&amp;"|"&amp;UPPER(TRIM(C3986))&amp;"|"&amp;UPPER(TRIM(D3986)),"")</f>
        <v/>
      </c>
    </row>
    <row r="3987" ht="15.75" customHeight="1" s="217">
      <c r="A3987" s="400" t="n">
        <v>3985</v>
      </c>
      <c r="B3987" s="400" t="inlineStr">
        <is>
          <t>UC</t>
        </is>
      </c>
      <c r="C3987" s="401" t="inlineStr">
        <is>
          <t>Máy xúc Úc</t>
        </is>
      </c>
      <c r="D3987" s="402" t="n"/>
      <c r="E3987" s="402" t="n"/>
      <c r="F3987" s="401" t="inlineStr">
        <is>
          <t>Úc</t>
        </is>
      </c>
      <c r="G3987" s="402" t="n"/>
      <c r="H3987" s="402" t="n"/>
      <c r="J3987" s="392">
        <f>IFERROR(UPPER(TRIM(B3987))&amp;"|"&amp;UPPER(TRIM(C3987))&amp;"|"&amp;UPPER(TRIM(D3987)),"")</f>
        <v/>
      </c>
    </row>
    <row r="3988" ht="15.75" customHeight="1" s="217">
      <c r="A3988" s="397" t="n">
        <v>3986</v>
      </c>
      <c r="B3988" s="397" t="inlineStr">
        <is>
          <t>KH00143</t>
        </is>
      </c>
      <c r="C3988" s="398" t="inlineStr">
        <is>
          <t>Cửa hàng Ba Châu - An Giang/ 0902.137.720 - Fax: 0763.844.086</t>
        </is>
      </c>
      <c r="D3988" s="397" t="inlineStr">
        <is>
          <t>0902.137.720 / 0763.844.086</t>
        </is>
      </c>
      <c r="E3988" s="399" t="n"/>
      <c r="F3988" s="398" t="inlineStr">
        <is>
          <t>91/3A Trần Hưng Đạo, TP Long Xuyên, An Giang</t>
        </is>
      </c>
      <c r="G3988" s="397" t="inlineStr">
        <is>
          <t>ANGIANG</t>
        </is>
      </c>
      <c r="H3988" s="399" t="n"/>
      <c r="J3988" s="392">
        <f>IFERROR(UPPER(TRIM(B3988))&amp;"|"&amp;UPPER(TRIM(C3988))&amp;"|"&amp;UPPER(TRIM(D3988)),"")</f>
        <v/>
      </c>
    </row>
    <row r="3989" ht="15.75" customHeight="1" s="217">
      <c r="A3989" s="400" t="n">
        <v>3987</v>
      </c>
      <c r="B3989" s="400" t="inlineStr">
        <is>
          <t>KH00141</t>
        </is>
      </c>
      <c r="C3989" s="401" t="inlineStr">
        <is>
          <t>Anh Hưng - CTXD số 5/ 0913.615.306</t>
        </is>
      </c>
      <c r="D3989" s="400" t="inlineStr">
        <is>
          <t>0913.615.306</t>
        </is>
      </c>
      <c r="E3989" s="402" t="n"/>
      <c r="F3989" s="401" t="inlineStr">
        <is>
          <t>Quốc lộ 13, Thủ Đức, TPHCM (gần cây xăng Huệ Thiên)</t>
        </is>
      </c>
      <c r="G3989" s="400" t="inlineStr">
        <is>
          <t>SG/HCM</t>
        </is>
      </c>
      <c r="H3989" s="402" t="n"/>
      <c r="J3989" s="392">
        <f>IFERROR(UPPER(TRIM(B3989))&amp;"|"&amp;UPPER(TRIM(C3989))&amp;"|"&amp;UPPER(TRIM(D3989)),"")</f>
        <v/>
      </c>
    </row>
    <row r="3990" ht="15.75" customHeight="1" s="217">
      <c r="A3990" s="397" t="n">
        <v>3988</v>
      </c>
      <c r="B3990" s="397" t="inlineStr">
        <is>
          <t>KH00142</t>
        </is>
      </c>
      <c r="C3990" s="398" t="inlineStr">
        <is>
          <t>Anh Hoàng - QL13/ 0903.064.049</t>
        </is>
      </c>
      <c r="D3990" s="397" t="inlineStr">
        <is>
          <t>0903.064.049</t>
        </is>
      </c>
      <c r="E3990" s="399" t="n"/>
      <c r="F3990" s="398" t="inlineStr">
        <is>
          <t>329 QL13, P. Hiệp Bình Phước, Q. Thủ Đức, TPHCM</t>
        </is>
      </c>
      <c r="G3990" s="397" t="inlineStr">
        <is>
          <t>SG/HCM</t>
        </is>
      </c>
      <c r="H3990" s="399" t="n"/>
      <c r="J3990" s="392">
        <f>IFERROR(UPPER(TRIM(B3990))&amp;"|"&amp;UPPER(TRIM(C3990))&amp;"|"&amp;UPPER(TRIM(D3990)),"")</f>
        <v/>
      </c>
    </row>
    <row r="3991" ht="15.75" customHeight="1" s="217">
      <c r="A3991" s="400" t="n">
        <v>3989</v>
      </c>
      <c r="B3991" s="400" t="inlineStr">
        <is>
          <t>KH00137</t>
        </is>
      </c>
      <c r="C3991" s="401" t="inlineStr">
        <is>
          <t>Công ty TNHH CN-TM-DV Phú Khang - Q11/ A.Phơi: 0919.433.677</t>
        </is>
      </c>
      <c r="D3991" s="400" t="inlineStr">
        <is>
          <t>085.406.8104 / 0919.433.677</t>
        </is>
      </c>
      <c r="E3991" s="402" t="n"/>
      <c r="F3991" s="401" t="inlineStr">
        <is>
          <t>304 Lô A2 C/C 312 Lạc Long Quân , P5, Q11, TPHCM</t>
        </is>
      </c>
      <c r="G3991" s="400" t="inlineStr">
        <is>
          <t>SG/HCM</t>
        </is>
      </c>
      <c r="H3991" s="402" t="n"/>
      <c r="J3991" s="392">
        <f>IFERROR(UPPER(TRIM(B3991))&amp;"|"&amp;UPPER(TRIM(C3991))&amp;"|"&amp;UPPER(TRIM(D3991)),"")</f>
        <v/>
      </c>
    </row>
    <row r="3992" ht="15.75" customHeight="1" s="217">
      <c r="A3992" s="397" t="n">
        <v>3990</v>
      </c>
      <c r="B3992" s="397" t="inlineStr">
        <is>
          <t>KH00138</t>
        </is>
      </c>
      <c r="C3992" s="398" t="inlineStr">
        <is>
          <t>Xưởng anh Minh - Cam Ranh/ 0988.372.837</t>
        </is>
      </c>
      <c r="D3992" s="397" t="inlineStr">
        <is>
          <t>0988.372.837</t>
        </is>
      </c>
      <c r="E3992" s="399" t="n"/>
      <c r="F3992" s="398" t="inlineStr">
        <is>
          <t>Cam Ranh - Khánh Hòa</t>
        </is>
      </c>
      <c r="G3992" s="397" t="inlineStr">
        <is>
          <t>NTRANG</t>
        </is>
      </c>
      <c r="H3992" s="399" t="n"/>
      <c r="J3992" s="392">
        <f>IFERROR(UPPER(TRIM(B3992))&amp;"|"&amp;UPPER(TRIM(C3992))&amp;"|"&amp;UPPER(TRIM(D3992)),"")</f>
        <v/>
      </c>
    </row>
    <row r="3993" ht="15.75" customHeight="1" s="217">
      <c r="A3993" s="400" t="n">
        <v>3991</v>
      </c>
      <c r="B3993" s="400" t="inlineStr">
        <is>
          <t>KH00139</t>
        </is>
      </c>
      <c r="C3993" s="401" t="inlineStr">
        <is>
          <t>Xưởng anh Việt - ĐắkLắk/ 0903.523.832-0914.523.832</t>
        </is>
      </c>
      <c r="D3993" s="400" t="inlineStr">
        <is>
          <t>0903.523.832-0914</t>
        </is>
      </c>
      <c r="E3993" s="402" t="n"/>
      <c r="F3993" s="401" t="inlineStr">
        <is>
          <t>ĐắkLắk</t>
        </is>
      </c>
      <c r="G3993" s="400" t="inlineStr">
        <is>
          <t>ÐL</t>
        </is>
      </c>
      <c r="H3993" s="402" t="n"/>
      <c r="J3993" s="392">
        <f>IFERROR(UPPER(TRIM(B3993))&amp;"|"&amp;UPPER(TRIM(C3993))&amp;"|"&amp;UPPER(TRIM(D3993)),"")</f>
        <v/>
      </c>
    </row>
    <row r="3994" ht="15.75" customHeight="1" s="217">
      <c r="A3994" s="397" t="n">
        <v>3992</v>
      </c>
      <c r="B3994" s="397" t="inlineStr">
        <is>
          <t>KH00136</t>
        </is>
      </c>
      <c r="C3994" s="398" t="inlineStr">
        <is>
          <t>Xưởng Khải Vy (L) - Long An/ 0908.241.230</t>
        </is>
      </c>
      <c r="D3994" s="397" t="inlineStr">
        <is>
          <t>0908.241.230</t>
        </is>
      </c>
      <c r="E3994" s="399" t="n"/>
      <c r="F3994" s="398" t="inlineStr">
        <is>
          <t>Vòng Xoay Tân An - Long An</t>
        </is>
      </c>
      <c r="G3994" s="397" t="inlineStr">
        <is>
          <t>LA</t>
        </is>
      </c>
      <c r="H3994" s="399" t="n"/>
      <c r="J3994" s="392">
        <f>IFERROR(UPPER(TRIM(B3994))&amp;"|"&amp;UPPER(TRIM(C3994))&amp;"|"&amp;UPPER(TRIM(D3994)),"")</f>
        <v/>
      </c>
    </row>
    <row r="3995" ht="15.75" customHeight="1" s="217">
      <c r="A3995" s="400" t="n">
        <v>3993</v>
      </c>
      <c r="B3995" s="400" t="inlineStr">
        <is>
          <t>KH00132</t>
        </is>
      </c>
      <c r="C3995" s="401" t="inlineStr">
        <is>
          <t>Cửa hàng chú Thịnh - Bạc Liêu/ Anh Dũng: 0902.714.768</t>
        </is>
      </c>
      <c r="D3995" s="400" t="inlineStr">
        <is>
          <t>07813.850.134 / 0902.714.768</t>
        </is>
      </c>
      <c r="E3995" s="402" t="n"/>
      <c r="F3995" s="401" t="inlineStr">
        <is>
          <t>210, ấp 2, thị trấn Giá Rai, Giá Rai, Bạc Liêu</t>
        </is>
      </c>
      <c r="G3995" s="400" t="inlineStr">
        <is>
          <t>BLIEU</t>
        </is>
      </c>
      <c r="H3995" s="402" t="n"/>
      <c r="J3995" s="392">
        <f>IFERROR(UPPER(TRIM(B3995))&amp;"|"&amp;UPPER(TRIM(C3995))&amp;"|"&amp;UPPER(TRIM(D3995)),"")</f>
        <v/>
      </c>
    </row>
    <row r="3996" ht="15.75" customHeight="1" s="217">
      <c r="A3996" s="397" t="n">
        <v>3994</v>
      </c>
      <c r="B3996" s="397" t="inlineStr">
        <is>
          <t>KH00134</t>
        </is>
      </c>
      <c r="C3996" s="398" t="inlineStr">
        <is>
          <t>Anh Toàn - Cửa hàng Thọ Trương / 0912.027.432, KT C Liên 0973.779.210</t>
        </is>
      </c>
      <c r="D3996" s="397" t="inlineStr">
        <is>
          <t>0912.027.432 / 0973.779.210</t>
        </is>
      </c>
      <c r="E3996" s="399" t="n"/>
      <c r="F3996" s="398" t="inlineStr">
        <is>
          <t>(ĐH Nông Lâm) số 968, QL1A, Tổ 9, KP5, Linh Trung, Thủ Đức</t>
        </is>
      </c>
      <c r="G3996" s="397" t="inlineStr">
        <is>
          <t>SG/HCM</t>
        </is>
      </c>
      <c r="H3996" s="399" t="n"/>
      <c r="J3996" s="392">
        <f>IFERROR(UPPER(TRIM(B3996))&amp;"|"&amp;UPPER(TRIM(C3996))&amp;"|"&amp;UPPER(TRIM(D3996)),"")</f>
        <v/>
      </c>
    </row>
    <row r="3997" ht="15.75" customHeight="1" s="217">
      <c r="A3997" s="400" t="n">
        <v>3995</v>
      </c>
      <c r="B3997" s="400" t="inlineStr">
        <is>
          <t>KH00135</t>
        </is>
      </c>
      <c r="C3997" s="401" t="inlineStr">
        <is>
          <t>Cửa hàng Phong Phú - Cần Thơ/ 0913.775.058</t>
        </is>
      </c>
      <c r="D3997" s="400" t="inlineStr">
        <is>
          <t>07103.824.960 / 0913.775.058</t>
        </is>
      </c>
      <c r="E3997" s="402" t="n"/>
      <c r="F3997" s="401" t="inlineStr">
        <is>
          <t>18 Hồ Xuân Hương - Cần Thơ</t>
        </is>
      </c>
      <c r="G3997" s="400" t="inlineStr">
        <is>
          <t>CTHO</t>
        </is>
      </c>
      <c r="H3997" s="402" t="n"/>
      <c r="J3997" s="392">
        <f>IFERROR(UPPER(TRIM(B3997))&amp;"|"&amp;UPPER(TRIM(C3997))&amp;"|"&amp;UPPER(TRIM(D3997)),"")</f>
        <v/>
      </c>
    </row>
    <row r="3998" ht="15.75" customHeight="1" s="217">
      <c r="A3998" s="397" t="n">
        <v>3996</v>
      </c>
      <c r="B3998" s="397" t="inlineStr">
        <is>
          <t>KH00130</t>
        </is>
      </c>
      <c r="C3998" s="398" t="inlineStr">
        <is>
          <t>Cửa hàng anh Hén - Cà Mau/ 0913.729.922 - 07803.821.974 Fax: 02903.821.960</t>
        </is>
      </c>
      <c r="D3998" s="397" t="inlineStr">
        <is>
          <t>0913.729.922 / 07803.821.974 / 02903.821.960</t>
        </is>
      </c>
      <c r="E3998" s="399" t="n"/>
      <c r="F3998" s="398" t="inlineStr">
        <is>
          <t>48 Lý Lâm Viên, P1, TP Cà Mau</t>
        </is>
      </c>
      <c r="G3998" s="397" t="inlineStr">
        <is>
          <t>CMAU</t>
        </is>
      </c>
      <c r="H3998" s="397" t="inlineStr">
        <is>
          <t>Gửi chành Tuấn Hưng - 245 Thái Phiên</t>
        </is>
      </c>
      <c r="J3998" s="392">
        <f>IFERROR(UPPER(TRIM(B3998))&amp;"|"&amp;UPPER(TRIM(C3998))&amp;"|"&amp;UPPER(TRIM(D3998)),"")</f>
        <v/>
      </c>
    </row>
    <row r="3999" ht="15.75" customHeight="1" s="217">
      <c r="A3999" s="400" t="n">
        <v>3997</v>
      </c>
      <c r="B3999" s="400" t="inlineStr">
        <is>
          <t>KH00131</t>
        </is>
      </c>
      <c r="C3999" s="401" t="inlineStr">
        <is>
          <t>Xưởng anh Hoàng - Vũng Tàu/ 0908.225.336</t>
        </is>
      </c>
      <c r="D3999" s="400" t="inlineStr">
        <is>
          <t>0908.225.336</t>
        </is>
      </c>
      <c r="E3999" s="402" t="n"/>
      <c r="F3999" s="401" t="inlineStr">
        <is>
          <t>Tân Thành, Bà Rịa Vũng Tàu</t>
        </is>
      </c>
      <c r="G3999" s="400" t="inlineStr">
        <is>
          <t>BRVT</t>
        </is>
      </c>
      <c r="H3999" s="402" t="n"/>
      <c r="J3999" s="392">
        <f>IFERROR(UPPER(TRIM(B3999))&amp;"|"&amp;UPPER(TRIM(C3999))&amp;"|"&amp;UPPER(TRIM(D3999)),"")</f>
        <v/>
      </c>
    </row>
    <row r="4000" ht="15.75" customHeight="1" s="217">
      <c r="A4000" s="397" t="n">
        <v>3998</v>
      </c>
      <c r="B4000" s="397" t="inlineStr">
        <is>
          <t>KH00129</t>
        </is>
      </c>
      <c r="C4000" s="398" t="inlineStr">
        <is>
          <t>Xưởng anh Tiến - Quảng Ngãi/ 0935.032.583</t>
        </is>
      </c>
      <c r="D4000" s="397" t="inlineStr">
        <is>
          <t>0935.032.583</t>
        </is>
      </c>
      <c r="E4000" s="399" t="n"/>
      <c r="F4000" s="398" t="inlineStr">
        <is>
          <t>Quảng Ngãi</t>
        </is>
      </c>
      <c r="G4000" s="397" t="inlineStr">
        <is>
          <t>QUNGAI</t>
        </is>
      </c>
      <c r="H4000" s="399" t="n"/>
      <c r="J4000" s="392">
        <f>IFERROR(UPPER(TRIM(B4000))&amp;"|"&amp;UPPER(TRIM(C4000))&amp;"|"&amp;UPPER(TRIM(D4000)),"")</f>
        <v/>
      </c>
    </row>
    <row r="4001" ht="15.75" customHeight="1" s="217">
      <c r="A4001" s="400" t="n">
        <v>3999</v>
      </c>
      <c r="B4001" s="400" t="inlineStr">
        <is>
          <t>KH00127</t>
        </is>
      </c>
      <c r="C4001" s="401" t="inlineStr">
        <is>
          <t>Cửa hàng Văn Tèo - Sóc Trăng/ 0902.871.888 - Công nợ: 0972.871.888 - Fax: 02993.826.179</t>
        </is>
      </c>
      <c r="D4001" s="400" t="inlineStr">
        <is>
          <t>0902.871.888 / 0972.871.888 / 02993.826.179</t>
        </is>
      </c>
      <c r="E4001" s="402" t="n"/>
      <c r="F4001" s="401" t="inlineStr">
        <is>
          <t>108 Hùng Vương, Ngã 3 Trà Men, TP Sóc Trăng</t>
        </is>
      </c>
      <c r="G4001" s="400" t="inlineStr">
        <is>
          <t>STRANG</t>
        </is>
      </c>
      <c r="H4001" s="402" t="n"/>
      <c r="J4001" s="392">
        <f>IFERROR(UPPER(TRIM(B4001))&amp;"|"&amp;UPPER(TRIM(C4001))&amp;"|"&amp;UPPER(TRIM(D4001)),"")</f>
        <v/>
      </c>
    </row>
    <row r="4002" ht="15.75" customHeight="1" s="217">
      <c r="A4002" s="397" t="n">
        <v>4000</v>
      </c>
      <c r="B4002" s="397" t="inlineStr">
        <is>
          <t>KH00128</t>
        </is>
      </c>
      <c r="C4002" s="398" t="inlineStr">
        <is>
          <t>Xưởng anh Khải - Hàng Xanh/ 0908.344.224</t>
        </is>
      </c>
      <c r="D4002" s="397" t="inlineStr">
        <is>
          <t>0908.344.224</t>
        </is>
      </c>
      <c r="E4002" s="399" t="n"/>
      <c r="F4002" s="398" t="inlineStr">
        <is>
          <t>468 Điện Biên Phủ, P17, Quận Bình Thạnh, TPHCM</t>
        </is>
      </c>
      <c r="G4002" s="397" t="inlineStr">
        <is>
          <t>HX</t>
        </is>
      </c>
      <c r="H4002" s="399" t="n"/>
      <c r="J4002" s="392">
        <f>IFERROR(UPPER(TRIM(B4002))&amp;"|"&amp;UPPER(TRIM(C4002))&amp;"|"&amp;UPPER(TRIM(D4002)),"")</f>
        <v/>
      </c>
    </row>
    <row r="4003" ht="15.75" customHeight="1" s="217">
      <c r="A4003" s="400" t="n">
        <v>4001</v>
      </c>
      <c r="B4003" s="400" t="inlineStr">
        <is>
          <t>KH00124</t>
        </is>
      </c>
      <c r="C4003" s="401" t="inlineStr">
        <is>
          <t>Cửa hàng Hải Tâm - Hà Nội</t>
        </is>
      </c>
      <c r="D4003" s="402" t="n"/>
      <c r="E4003" s="402" t="n"/>
      <c r="F4003" s="401" t="inlineStr">
        <is>
          <t>Giải phóng - Hoàng Mai - Hà Nội</t>
        </is>
      </c>
      <c r="G4003" s="402" t="n"/>
      <c r="H4003" s="402" t="n"/>
      <c r="J4003" s="392">
        <f>IFERROR(UPPER(TRIM(B4003))&amp;"|"&amp;UPPER(TRIM(C4003))&amp;"|"&amp;UPPER(TRIM(D4003)),"")</f>
        <v/>
      </c>
    </row>
    <row r="4004" ht="15.75" customHeight="1" s="217">
      <c r="A4004" s="397" t="n">
        <v>4002</v>
      </c>
      <c r="B4004" s="397" t="inlineStr">
        <is>
          <t>KH00125</t>
        </is>
      </c>
      <c r="C4004" s="398" t="inlineStr">
        <is>
          <t>Cửa hàng Hàng Xanh - HCM/ A.Hải: 0903.842.715</t>
        </is>
      </c>
      <c r="D4004" s="397" t="inlineStr">
        <is>
          <t>0903.842.715</t>
        </is>
      </c>
      <c r="E4004" s="399" t="n"/>
      <c r="F4004" s="398" t="inlineStr">
        <is>
          <t>Hàng Xanh, TPHCM</t>
        </is>
      </c>
      <c r="G4004" s="397" t="inlineStr">
        <is>
          <t>HX</t>
        </is>
      </c>
      <c r="H4004" s="399" t="n"/>
      <c r="J4004" s="392">
        <f>IFERROR(UPPER(TRIM(B4004))&amp;"|"&amp;UPPER(TRIM(C4004))&amp;"|"&amp;UPPER(TRIM(D4004)),"")</f>
        <v/>
      </c>
    </row>
    <row r="4005" ht="15.75" customHeight="1" s="217">
      <c r="A4005" s="400" t="n">
        <v>4003</v>
      </c>
      <c r="B4005" s="400" t="inlineStr">
        <is>
          <t>KH00126</t>
        </is>
      </c>
      <c r="C4005" s="401" t="inlineStr">
        <is>
          <t>Cửa hàng Phước Vinh - ĐBP/ 0913.345.271</t>
        </is>
      </c>
      <c r="D4005" s="400" t="inlineStr">
        <is>
          <t>0913.345.271</t>
        </is>
      </c>
      <c r="E4005" s="402" t="n"/>
      <c r="F4005" s="401" t="inlineStr">
        <is>
          <t>Điện Biên Phủ, TPHCM</t>
        </is>
      </c>
      <c r="G4005" s="400" t="inlineStr">
        <is>
          <t>HX</t>
        </is>
      </c>
      <c r="H4005" s="402" t="n"/>
      <c r="J4005" s="392">
        <f>IFERROR(UPPER(TRIM(B4005))&amp;"|"&amp;UPPER(TRIM(C4005))&amp;"|"&amp;UPPER(TRIM(D4005)),"")</f>
        <v/>
      </c>
    </row>
    <row r="4006" ht="15.75" customHeight="1" s="217">
      <c r="A4006" s="397" t="n">
        <v>4004</v>
      </c>
      <c r="B4006" s="397" t="inlineStr">
        <is>
          <t>KH00121</t>
        </is>
      </c>
      <c r="C4006" s="398" t="inlineStr">
        <is>
          <t>Cửa hàng Minh Thiết - Hàng Xanh/ 0909.716.673</t>
        </is>
      </c>
      <c r="D4006" s="397" t="inlineStr">
        <is>
          <t>0909.716.673</t>
        </is>
      </c>
      <c r="E4006" s="399" t="n"/>
      <c r="F4006" s="398" t="inlineStr">
        <is>
          <t>658 Điện Biên Phủ, Phường 22, Bình Thạnh, TP HCM</t>
        </is>
      </c>
      <c r="G4006" s="397" t="inlineStr">
        <is>
          <t>HX</t>
        </is>
      </c>
      <c r="H4006" s="399" t="n"/>
      <c r="J4006" s="392">
        <f>IFERROR(UPPER(TRIM(B4006))&amp;"|"&amp;UPPER(TRIM(C4006))&amp;"|"&amp;UPPER(TRIM(D4006)),"")</f>
        <v/>
      </c>
    </row>
    <row r="4007" ht="15.75" customHeight="1" s="217">
      <c r="A4007" s="400" t="n">
        <v>4005</v>
      </c>
      <c r="B4007" s="400" t="inlineStr">
        <is>
          <t>KH00122</t>
        </is>
      </c>
      <c r="C4007" s="401" t="inlineStr">
        <is>
          <t>BM Hùng Dương - Tân Vạn/ Chú Hùng - 0913.828.689</t>
        </is>
      </c>
      <c r="D4007" s="400" t="inlineStr">
        <is>
          <t>0913.828.689</t>
        </is>
      </c>
      <c r="E4007" s="402" t="n"/>
      <c r="F4007" s="401" t="inlineStr">
        <is>
          <t>Tân Vạn, Bình Dương</t>
        </is>
      </c>
      <c r="G4007" s="400" t="inlineStr">
        <is>
          <t>BDUONG</t>
        </is>
      </c>
      <c r="H4007" s="402" t="n"/>
      <c r="J4007" s="392">
        <f>IFERROR(UPPER(TRIM(B4007))&amp;"|"&amp;UPPER(TRIM(C4007))&amp;"|"&amp;UPPER(TRIM(D4007)),"")</f>
        <v/>
      </c>
    </row>
    <row r="4008" ht="15.75" customHeight="1" s="217">
      <c r="A4008" s="397" t="n">
        <v>4006</v>
      </c>
      <c r="B4008" s="397" t="inlineStr">
        <is>
          <t>KH00123</t>
        </is>
      </c>
      <c r="C4008" s="398" t="inlineStr">
        <is>
          <t>Xưởng anh Nhiên - Bình Định/ 0905.042.857</t>
        </is>
      </c>
      <c r="D4008" s="397" t="inlineStr">
        <is>
          <t>0905.042.857</t>
        </is>
      </c>
      <c r="E4008" s="399" t="n"/>
      <c r="F4008" s="398" t="inlineStr">
        <is>
          <t>68 Trần Phú, TT Diêu Trì, Tuy Phước, Bình Định</t>
        </is>
      </c>
      <c r="G4008" s="397" t="inlineStr">
        <is>
          <t>BDINH</t>
        </is>
      </c>
      <c r="H4008" s="399" t="n"/>
      <c r="J4008" s="392">
        <f>IFERROR(UPPER(TRIM(B4008))&amp;"|"&amp;UPPER(TRIM(C4008))&amp;"|"&amp;UPPER(TRIM(D4008)),"")</f>
        <v/>
      </c>
    </row>
    <row r="4009" ht="15.75" customHeight="1" s="217">
      <c r="A4009" s="400" t="n">
        <v>4007</v>
      </c>
      <c r="B4009" s="400" t="inlineStr">
        <is>
          <t>MN11</t>
        </is>
      </c>
      <c r="C4009" s="401" t="inlineStr">
        <is>
          <t>Lê Văn Hào</t>
        </is>
      </c>
      <c r="D4009" s="402" t="n"/>
      <c r="E4009" s="402" t="n"/>
      <c r="F4009" s="401" t="inlineStr">
        <is>
          <t>Công ty CPTB Cơ giới Miền Nam</t>
        </is>
      </c>
      <c r="G4009" s="400" t="inlineStr">
        <is>
          <t>BPVC</t>
        </is>
      </c>
      <c r="H4009" s="402" t="n"/>
      <c r="J4009" s="392">
        <f>IFERROR(UPPER(TRIM(B4009))&amp;"|"&amp;UPPER(TRIM(C4009))&amp;"|"&amp;UPPER(TRIM(D4009)),"")</f>
        <v/>
      </c>
    </row>
    <row r="4010" ht="15.75" customHeight="1" s="217">
      <c r="A4010" s="397" t="n">
        <v>4008</v>
      </c>
      <c r="B4010" s="397" t="inlineStr">
        <is>
          <t>KH00119</t>
        </is>
      </c>
      <c r="C4010" s="398" t="inlineStr">
        <is>
          <t>Cửa hàng Trường Thịnh - HCM/ 08.3898.3607 - 0916.550.242</t>
        </is>
      </c>
      <c r="D4010" s="397" t="inlineStr">
        <is>
          <t>08.3898.3607 / 0916.550.242</t>
        </is>
      </c>
      <c r="E4010" s="399" t="n"/>
      <c r="F4010" s="398" t="inlineStr">
        <is>
          <t>178/9M Điện Biên Phủ, Phường 21, Quận Bình Thạnh, TPHCM</t>
        </is>
      </c>
      <c r="G4010" s="397" t="inlineStr">
        <is>
          <t>HX</t>
        </is>
      </c>
      <c r="H4010" s="399" t="n"/>
      <c r="J4010" s="392">
        <f>IFERROR(UPPER(TRIM(B4010))&amp;"|"&amp;UPPER(TRIM(C4010))&amp;"|"&amp;UPPER(TRIM(D4010)),"")</f>
        <v/>
      </c>
    </row>
    <row r="4011" ht="15.75" customHeight="1" s="217">
      <c r="A4011" s="400" t="n">
        <v>4009</v>
      </c>
      <c r="B4011" s="400" t="inlineStr">
        <is>
          <t>KH00120</t>
        </is>
      </c>
      <c r="C4011" s="401" t="inlineStr">
        <is>
          <t>Anh Trọng - Bình Phước/ 0975.984.036</t>
        </is>
      </c>
      <c r="D4011" s="400" t="inlineStr">
        <is>
          <t>06513.567.204 / 0975.984.036</t>
        </is>
      </c>
      <c r="E4011" s="402" t="n"/>
      <c r="F4011" s="401" t="inlineStr">
        <is>
          <t>Tổ 6, ấp 1B, KP Linh Thạnh, Lý Thái Tổ, TT Lộc Ninh, Bình Phước</t>
        </is>
      </c>
      <c r="G4011" s="400" t="inlineStr">
        <is>
          <t>BP</t>
        </is>
      </c>
      <c r="H4011" s="402" t="n"/>
      <c r="J4011" s="392">
        <f>IFERROR(UPPER(TRIM(B4011))&amp;"|"&amp;UPPER(TRIM(C4011))&amp;"|"&amp;UPPER(TRIM(D4011)),"")</f>
        <v/>
      </c>
    </row>
    <row r="4012" ht="15.75" customHeight="1" s="217">
      <c r="A4012" s="397" t="n">
        <v>4010</v>
      </c>
      <c r="B4012" s="397" t="inlineStr">
        <is>
          <t>KH00117</t>
        </is>
      </c>
      <c r="C4012" s="398" t="inlineStr">
        <is>
          <t>Cửa hàng Lâm Dũng - Cần Thơ/ 0913.973.013 - Fax: 07103.841.194</t>
        </is>
      </c>
      <c r="D4012" s="397" t="inlineStr">
        <is>
          <t>0913.973.013 / 07103.841.194</t>
        </is>
      </c>
      <c r="E4012" s="399" t="n"/>
      <c r="F4012" s="398" t="inlineStr">
        <is>
          <t>Số 9B Đường Nguyễn Văn Linh , QL91B, P.Phước Thới,Q.Ô Môn, TP.Cần Thơ</t>
        </is>
      </c>
      <c r="G4012" s="397" t="inlineStr">
        <is>
          <t>CTHO</t>
        </is>
      </c>
      <c r="H4012" s="399" t="n"/>
      <c r="J4012" s="392">
        <f>IFERROR(UPPER(TRIM(B4012))&amp;"|"&amp;UPPER(TRIM(C4012))&amp;"|"&amp;UPPER(TRIM(D4012)),"")</f>
        <v/>
      </c>
    </row>
    <row r="4013" ht="15.75" customHeight="1" s="217">
      <c r="A4013" s="400" t="n">
        <v>4011</v>
      </c>
      <c r="B4013" s="400" t="inlineStr">
        <is>
          <t>KH00118</t>
        </is>
      </c>
      <c r="C4013" s="401" t="inlineStr">
        <is>
          <t>Cửa hàng chị Thảo - Đắknông/ 0937.395.079</t>
        </is>
      </c>
      <c r="D4013" s="400" t="inlineStr">
        <is>
          <t>0501.354.8080 / 0937.395.079</t>
        </is>
      </c>
      <c r="E4013" s="402" t="n"/>
      <c r="F4013" s="401" t="inlineStr">
        <is>
          <t>Tổ 6, P. Nghĩa Phú, TX Gia Nghĩa, Đắknông</t>
        </is>
      </c>
      <c r="G4013" s="400" t="inlineStr">
        <is>
          <t>DNONG</t>
        </is>
      </c>
      <c r="H4013" s="402" t="n"/>
      <c r="J4013" s="392">
        <f>IFERROR(UPPER(TRIM(B4013))&amp;"|"&amp;UPPER(TRIM(C4013))&amp;"|"&amp;UPPER(TRIM(D4013)),"")</f>
        <v/>
      </c>
    </row>
    <row r="4014" ht="15.75" customHeight="1" s="217">
      <c r="A4014" s="397" t="n">
        <v>4012</v>
      </c>
      <c r="B4014" s="397" t="inlineStr">
        <is>
          <t>KH00113</t>
        </is>
      </c>
      <c r="C4014" s="398" t="inlineStr">
        <is>
          <t>CH Đức Thiện - Gia Lai/ 0905.108.447</t>
        </is>
      </c>
      <c r="D4014" s="397" t="inlineStr">
        <is>
          <t>0905.108.447</t>
        </is>
      </c>
      <c r="E4014" s="399" t="n"/>
      <c r="F4014" s="398" t="inlineStr">
        <is>
          <t>20 Lê Đại Hành, TP Pleiku, Gia Lai</t>
        </is>
      </c>
      <c r="G4014" s="397" t="inlineStr">
        <is>
          <t>GLAI</t>
        </is>
      </c>
      <c r="H4014" s="399" t="n"/>
      <c r="J4014" s="392">
        <f>IFERROR(UPPER(TRIM(B4014))&amp;"|"&amp;UPPER(TRIM(C4014))&amp;"|"&amp;UPPER(TRIM(D4014)),"")</f>
        <v/>
      </c>
    </row>
    <row r="4015" ht="15.75" customHeight="1" s="217">
      <c r="A4015" s="400" t="n">
        <v>4013</v>
      </c>
      <c r="B4015" s="400" t="inlineStr">
        <is>
          <t>KH00114</t>
        </is>
      </c>
      <c r="C4015" s="401" t="inlineStr">
        <is>
          <t>Cửa hàng anh Hùng - Hà Nội</t>
        </is>
      </c>
      <c r="D4015" s="402" t="n"/>
      <c r="E4015" s="402" t="n"/>
      <c r="F4015" s="401" t="inlineStr">
        <is>
          <t>Giải Phóng, Hoàng Mai, Hà Nội</t>
        </is>
      </c>
      <c r="G4015" s="402" t="n"/>
      <c r="H4015" s="402" t="n"/>
      <c r="J4015" s="392">
        <f>IFERROR(UPPER(TRIM(B4015))&amp;"|"&amp;UPPER(TRIM(C4015))&amp;"|"&amp;UPPER(TRIM(D4015)),"")</f>
        <v/>
      </c>
    </row>
    <row r="4016" ht="15.75" customHeight="1" s="217">
      <c r="A4016" s="397" t="n">
        <v>4014</v>
      </c>
      <c r="B4016" s="397" t="inlineStr">
        <is>
          <t>KH00115</t>
        </is>
      </c>
      <c r="C4016" s="398" t="inlineStr">
        <is>
          <t>Cửa hàng Phụ Tùng Ô Tô Quang Hưng-Cần Thơ/ 0939.001.267</t>
        </is>
      </c>
      <c r="D4016" s="397" t="inlineStr">
        <is>
          <t>0939.001.267</t>
        </is>
      </c>
      <c r="E4016" s="399" t="n"/>
      <c r="F4016" s="398" t="inlineStr">
        <is>
          <t>79E Hùng Vương ,P Thới Bình,Q Ninh Kiều, TP Cần Thơ</t>
        </is>
      </c>
      <c r="G4016" s="397" t="inlineStr">
        <is>
          <t>CTHO</t>
        </is>
      </c>
      <c r="H4016" s="399" t="n"/>
      <c r="J4016" s="392">
        <f>IFERROR(UPPER(TRIM(B4016))&amp;"|"&amp;UPPER(TRIM(C4016))&amp;"|"&amp;UPPER(TRIM(D4016)),"")</f>
        <v/>
      </c>
    </row>
    <row r="4017" ht="15.75" customHeight="1" s="217">
      <c r="A4017" s="400" t="n">
        <v>4015</v>
      </c>
      <c r="B4017" s="400" t="inlineStr">
        <is>
          <t>KH00116</t>
        </is>
      </c>
      <c r="C4017" s="401" t="inlineStr">
        <is>
          <t>Xưởng anh Minh - Long An/ 0908.241.206/ 0888.421.209</t>
        </is>
      </c>
      <c r="D4017" s="400" t="inlineStr">
        <is>
          <t>0908.241.206 / 0888.421.209</t>
        </is>
      </c>
      <c r="E4017" s="402" t="n"/>
      <c r="F4017" s="401" t="inlineStr">
        <is>
          <t>Long An</t>
        </is>
      </c>
      <c r="G4017" s="400" t="inlineStr">
        <is>
          <t>LA</t>
        </is>
      </c>
      <c r="H4017" s="402" t="n"/>
      <c r="J4017" s="392">
        <f>IFERROR(UPPER(TRIM(B4017))&amp;"|"&amp;UPPER(TRIM(C4017))&amp;"|"&amp;UPPER(TRIM(D4017)),"")</f>
        <v/>
      </c>
    </row>
    <row r="4018" ht="15.75" customHeight="1" s="217">
      <c r="A4018" s="397" t="n">
        <v>4016</v>
      </c>
      <c r="B4018" s="397" t="inlineStr">
        <is>
          <t>KH00112</t>
        </is>
      </c>
      <c r="C4018" s="398" t="inlineStr">
        <is>
          <t>Công ty TNHH Châu Quỳnh - A Bằng 0988.539.952</t>
        </is>
      </c>
      <c r="D4018" s="397" t="inlineStr">
        <is>
          <t>0988.539.952</t>
        </is>
      </c>
      <c r="E4018" s="399" t="n"/>
      <c r="F4018" s="398" t="inlineStr">
        <is>
          <t>479/44/28.TTH 07, khu phố 3, P. Tân Thới Hiệp, Q12, TPHCM</t>
        </is>
      </c>
      <c r="G4018" s="397" t="inlineStr">
        <is>
          <t>SG/HCM</t>
        </is>
      </c>
      <c r="H4018" s="399" t="n"/>
      <c r="J4018" s="392">
        <f>IFERROR(UPPER(TRIM(B4018))&amp;"|"&amp;UPPER(TRIM(C4018))&amp;"|"&amp;UPPER(TRIM(D4018)),"")</f>
        <v/>
      </c>
    </row>
    <row r="4019" ht="15.75" customHeight="1" s="217">
      <c r="A4019" s="400" t="n">
        <v>4017</v>
      </c>
      <c r="B4019" s="400" t="inlineStr">
        <is>
          <t>KH00109</t>
        </is>
      </c>
      <c r="C4019" s="401" t="inlineStr">
        <is>
          <t>Bãi máy anh Cảnh - SG/ 0902.333.516</t>
        </is>
      </c>
      <c r="D4019" s="400" t="inlineStr">
        <is>
          <t>0902.333.516</t>
        </is>
      </c>
      <c r="E4019" s="402" t="n"/>
      <c r="F4019" s="401" t="inlineStr">
        <is>
          <t>Cầu vượt Nguyễn Văn Linh, Sài Gòn</t>
        </is>
      </c>
      <c r="G4019" s="400" t="inlineStr">
        <is>
          <t>SG/HCM</t>
        </is>
      </c>
      <c r="H4019" s="402" t="n"/>
      <c r="J4019" s="392">
        <f>IFERROR(UPPER(TRIM(B4019))&amp;"|"&amp;UPPER(TRIM(C4019))&amp;"|"&amp;UPPER(TRIM(D4019)),"")</f>
        <v/>
      </c>
    </row>
    <row r="4020" ht="15.75" customHeight="1" s="217">
      <c r="A4020" s="397" t="n">
        <v>4018</v>
      </c>
      <c r="B4020" s="397" t="inlineStr">
        <is>
          <t>KH00110</t>
        </is>
      </c>
      <c r="C4020" s="398" t="inlineStr">
        <is>
          <t>Cửa hàng Giáo Biên - Kiên Giang/ A. Thương: 0917.466.499 - Fax: 0773.921.086</t>
        </is>
      </c>
      <c r="D4020" s="397" t="inlineStr">
        <is>
          <t>0917.466.499 / 0773.921.086</t>
        </is>
      </c>
      <c r="E4020" s="399" t="n"/>
      <c r="F4020" s="398" t="inlineStr">
        <is>
          <t>185 Trần Phú, Rạch Giá, Kiên Giang</t>
        </is>
      </c>
      <c r="G4020" s="397" t="inlineStr">
        <is>
          <t>KG</t>
        </is>
      </c>
      <c r="H4020" s="397" t="inlineStr">
        <is>
          <t>Lấy tiền: 308/40/11 Nguyễn Tri Phương, P4, Q10. ĐT: 0839.271.020</t>
        </is>
      </c>
      <c r="J4020" s="392">
        <f>IFERROR(UPPER(TRIM(B4020))&amp;"|"&amp;UPPER(TRIM(C4020))&amp;"|"&amp;UPPER(TRIM(D4020)),"")</f>
        <v/>
      </c>
    </row>
    <row r="4021" ht="15.75" customHeight="1" s="217">
      <c r="A4021" s="400" t="n">
        <v>4019</v>
      </c>
      <c r="B4021" s="400" t="inlineStr">
        <is>
          <t>KH00111</t>
        </is>
      </c>
      <c r="C4021" s="401" t="inlineStr">
        <is>
          <t>Anh Hiệp - SG/ 0919.046.273</t>
        </is>
      </c>
      <c r="D4021" s="400" t="inlineStr">
        <is>
          <t>0919.046.273</t>
        </is>
      </c>
      <c r="E4021" s="402" t="n"/>
      <c r="F4021" s="401" t="inlineStr">
        <is>
          <t>Suối Tiên - SG</t>
        </is>
      </c>
      <c r="G4021" s="400" t="inlineStr">
        <is>
          <t>SG/HCM</t>
        </is>
      </c>
      <c r="H4021" s="402" t="n"/>
      <c r="J4021" s="392">
        <f>IFERROR(UPPER(TRIM(B4021))&amp;"|"&amp;UPPER(TRIM(C4021))&amp;"|"&amp;UPPER(TRIM(D4021)),"")</f>
        <v/>
      </c>
    </row>
    <row r="4022" ht="15.75" customHeight="1" s="217">
      <c r="A4022" s="397" t="n">
        <v>4020</v>
      </c>
      <c r="B4022" s="397" t="inlineStr">
        <is>
          <t>KH00023</t>
        </is>
      </c>
      <c r="C4022" s="398" t="inlineStr">
        <is>
          <t>Cửa hàng Sáu Quang - Bình Tân/ 08.2245.1075 - Fax: 08.3752.2679</t>
        </is>
      </c>
      <c r="D4022" s="397" t="inlineStr">
        <is>
          <t>08.2245.1075 / 08.3752.2679</t>
        </is>
      </c>
      <c r="E4022" s="399" t="n"/>
      <c r="F4022" s="398" t="inlineStr">
        <is>
          <t>569 Kinh Dương Vương, P. An Lạc, Q. Bình Tân, TPHCM</t>
        </is>
      </c>
      <c r="G4022" s="397" t="inlineStr">
        <is>
          <t>SG/HCM</t>
        </is>
      </c>
      <c r="H4022" s="399" t="n"/>
      <c r="J4022" s="392">
        <f>IFERROR(UPPER(TRIM(B4022))&amp;"|"&amp;UPPER(TRIM(C4022))&amp;"|"&amp;UPPER(TRIM(D4022)),"")</f>
        <v/>
      </c>
    </row>
    <row r="4023" ht="15.75" customHeight="1" s="217">
      <c r="A4023" s="400" t="n">
        <v>4021</v>
      </c>
      <c r="B4023" s="400" t="inlineStr">
        <is>
          <t>KH00108</t>
        </is>
      </c>
      <c r="C4023" s="401" t="inlineStr">
        <is>
          <t>Cửa Hàng Hùng Cường - Hàng Xanh/ 0918.436.659 - 0913.804.819</t>
        </is>
      </c>
      <c r="D4023" s="400" t="inlineStr">
        <is>
          <t>08.3803.5793 / 0918.436.659 / 0913.804.819</t>
        </is>
      </c>
      <c r="E4023" s="402" t="n"/>
      <c r="F4023" s="401" t="inlineStr">
        <is>
          <t>267 Điện Biên Phủ, P.15, Q. Bình Thạnh, TPHCM</t>
        </is>
      </c>
      <c r="G4023" s="400" t="inlineStr">
        <is>
          <t>HX</t>
        </is>
      </c>
      <c r="H4023" s="402" t="n"/>
      <c r="J4023" s="392">
        <f>IFERROR(UPPER(TRIM(B4023))&amp;"|"&amp;UPPER(TRIM(C4023))&amp;"|"&amp;UPPER(TRIM(D4023)),"")</f>
        <v/>
      </c>
    </row>
    <row r="4024" ht="15.75" customHeight="1" s="217">
      <c r="A4024" s="397" t="n">
        <v>4022</v>
      </c>
      <c r="B4024" s="397" t="inlineStr">
        <is>
          <t>KH00001</t>
        </is>
      </c>
      <c r="C4024" s="398" t="inlineStr">
        <is>
          <t>CH Phương Đông - Hà Nội / 0975.555.807</t>
        </is>
      </c>
      <c r="D4024" s="397" t="inlineStr">
        <is>
          <t>0975.555.807</t>
        </is>
      </c>
      <c r="E4024" s="399" t="n"/>
      <c r="F4024" s="398" t="inlineStr">
        <is>
          <t>96 Lê Gia Đỉnh, Phố Huế, Hai Bà Trưng, HN</t>
        </is>
      </c>
      <c r="G4024" s="397" t="inlineStr">
        <is>
          <t>HN</t>
        </is>
      </c>
      <c r="H4024" s="399" t="n"/>
      <c r="J4024" s="392">
        <f>IFERROR(UPPER(TRIM(B4024))&amp;"|"&amp;UPPER(TRIM(C4024))&amp;"|"&amp;UPPER(TRIM(D4024)),"")</f>
        <v/>
      </c>
    </row>
    <row r="4025" ht="15.75" customHeight="1" s="217">
      <c r="A4025" s="400" t="n">
        <v>4023</v>
      </c>
      <c r="B4025" s="400" t="inlineStr">
        <is>
          <t>KH00002</t>
        </is>
      </c>
      <c r="C4025" s="401" t="inlineStr">
        <is>
          <t>Xưởng Xuân Hỷ - Đà Nẵng/ 0984.628.730</t>
        </is>
      </c>
      <c r="D4025" s="400" t="inlineStr">
        <is>
          <t>0984.628.730</t>
        </is>
      </c>
      <c r="E4025" s="402" t="n"/>
      <c r="F4025" s="401" t="inlineStr">
        <is>
          <t>Đà Nẵng</t>
        </is>
      </c>
      <c r="G4025" s="400" t="inlineStr">
        <is>
          <t>DNANG</t>
        </is>
      </c>
      <c r="H4025" s="402" t="n"/>
      <c r="J4025" s="392">
        <f>IFERROR(UPPER(TRIM(B4025))&amp;"|"&amp;UPPER(TRIM(C4025))&amp;"|"&amp;UPPER(TRIM(D4025)),"")</f>
        <v/>
      </c>
    </row>
    <row r="4026" ht="15.75" customHeight="1" s="217">
      <c r="A4026" s="397" t="n">
        <v>4024</v>
      </c>
      <c r="B4026" s="397" t="inlineStr">
        <is>
          <t>KH00056</t>
        </is>
      </c>
      <c r="C4026" s="398" t="inlineStr">
        <is>
          <t>Công ty CP XNK máy công cụ Đông Dương - TPHCM/ 0903.246.220 - Fax: 3724.5764</t>
        </is>
      </c>
      <c r="D4026" s="397" t="inlineStr">
        <is>
          <t>08.6673.6237 / 0903.246.220</t>
        </is>
      </c>
      <c r="E4026" s="399" t="n"/>
      <c r="F4026" s="398" t="inlineStr">
        <is>
          <t>75/7, Đường 297, KP4, P. Phước Long B, Q9, TPHCM</t>
        </is>
      </c>
      <c r="G4026" s="397" t="inlineStr">
        <is>
          <t>SG/HCM</t>
        </is>
      </c>
      <c r="H4026" s="399" t="n"/>
      <c r="J4026" s="392">
        <f>IFERROR(UPPER(TRIM(B4026))&amp;"|"&amp;UPPER(TRIM(C4026))&amp;"|"&amp;UPPER(TRIM(D4026)),"")</f>
        <v/>
      </c>
    </row>
    <row r="4027" ht="15.75" customHeight="1" s="217">
      <c r="A4027" s="400" t="n">
        <v>4025</v>
      </c>
      <c r="B4027" s="400" t="inlineStr">
        <is>
          <t>JMFZ</t>
        </is>
      </c>
      <c r="C4027" s="401" t="inlineStr">
        <is>
          <t>JMFZ: Fujian Province Hujian County Foreign Processing and Assembling Corporation</t>
        </is>
      </c>
      <c r="D4027" s="402" t="n"/>
      <c r="E4027" s="402" t="n"/>
      <c r="F4027" s="401" t="inlineStr">
        <is>
          <t>No 50 Zhong Shan North road, Luoccheng Town, Hujian County</t>
        </is>
      </c>
      <c r="G4027" s="402" t="n"/>
      <c r="H4027" s="402" t="n"/>
      <c r="J4027" s="392">
        <f>IFERROR(UPPER(TRIM(B4027))&amp;"|"&amp;UPPER(TRIM(C4027))&amp;"|"&amp;UPPER(TRIM(D4027)),"")</f>
        <v/>
      </c>
    </row>
    <row r="4028" ht="15.75" customHeight="1" s="217">
      <c r="A4028" s="397" t="n">
        <v>4026</v>
      </c>
      <c r="B4028" s="397" t="inlineStr">
        <is>
          <t>KH00107</t>
        </is>
      </c>
      <c r="C4028" s="398" t="inlineStr">
        <is>
          <t>Khách hàng Huyện Lắc - ĐắkLắk/ 0983.238.425</t>
        </is>
      </c>
      <c r="D4028" s="397" t="inlineStr">
        <is>
          <t>0983.238.425</t>
        </is>
      </c>
      <c r="E4028" s="399" t="n"/>
      <c r="F4028" s="398" t="inlineStr">
        <is>
          <t>ĐắkLắk</t>
        </is>
      </c>
      <c r="G4028" s="397" t="inlineStr">
        <is>
          <t>ÐL</t>
        </is>
      </c>
      <c r="H4028" s="399" t="n"/>
      <c r="J4028" s="392">
        <f>IFERROR(UPPER(TRIM(B4028))&amp;"|"&amp;UPPER(TRIM(C4028))&amp;"|"&amp;UPPER(TRIM(D4028)),"")</f>
        <v/>
      </c>
    </row>
    <row r="4029" ht="15.75" customHeight="1" s="217">
      <c r="A4029" s="400" t="n">
        <v>4027</v>
      </c>
      <c r="B4029" s="400" t="inlineStr">
        <is>
          <t>MINDA</t>
        </is>
      </c>
      <c r="C4029" s="401" t="inlineStr">
        <is>
          <t>MINDA: Xiamen Jinhengyi Import and Export Corporation., Ltd</t>
        </is>
      </c>
      <c r="D4029" s="402" t="n"/>
      <c r="E4029" s="402" t="n"/>
      <c r="F4029" s="401" t="inlineStr">
        <is>
          <t>Room 14D A Jinlong BLDG 250 Dongdu Road Hulixiamen China</t>
        </is>
      </c>
      <c r="G4029" s="402" t="n"/>
      <c r="H4029" s="402" t="n"/>
      <c r="J4029" s="392">
        <f>IFERROR(UPPER(TRIM(B4029))&amp;"|"&amp;UPPER(TRIM(C4029))&amp;"|"&amp;UPPER(TRIM(D4029)),"")</f>
        <v/>
      </c>
    </row>
    <row r="4030" ht="15.75" customHeight="1" s="217">
      <c r="A4030" s="397" t="n">
        <v>4028</v>
      </c>
      <c r="B4030" s="397" t="inlineStr">
        <is>
          <t>NBFZ</t>
        </is>
      </c>
      <c r="C4030" s="398" t="inlineStr">
        <is>
          <t>NBFZ: Ningbo Fanzheng Machinery Parts Manufacturing Co., Ltd</t>
        </is>
      </c>
      <c r="D4030" s="399" t="n"/>
      <c r="E4030" s="399" t="n"/>
      <c r="F4030" s="398" t="inlineStr">
        <is>
          <t>Xiachen Village Chunhu Town, Fenghua City, ZheJiang China</t>
        </is>
      </c>
      <c r="G4030" s="399" t="n"/>
      <c r="H4030" s="399" t="n"/>
      <c r="J4030" s="392">
        <f>IFERROR(UPPER(TRIM(B4030))&amp;"|"&amp;UPPER(TRIM(C4030))&amp;"|"&amp;UPPER(TRIM(D4030)),"")</f>
        <v/>
      </c>
    </row>
    <row r="4031" ht="15.75" customHeight="1" s="217">
      <c r="A4031" s="400" t="n">
        <v>4029</v>
      </c>
      <c r="B4031" s="400" t="inlineStr">
        <is>
          <t>ROCK</t>
        </is>
      </c>
      <c r="C4031" s="401" t="inlineStr">
        <is>
          <t>ROCK: Ningbo Adecali Import &amp; Export Co., Ltd</t>
        </is>
      </c>
      <c r="D4031" s="402" t="n"/>
      <c r="E4031" s="402" t="n"/>
      <c r="F4031" s="401" t="inlineStr">
        <is>
          <t>No 438 Zhujiang South Road, Beilun District, Ningbo, China</t>
        </is>
      </c>
      <c r="G4031" s="402" t="n"/>
      <c r="H4031" s="402" t="n"/>
      <c r="J4031" s="392">
        <f>IFERROR(UPPER(TRIM(B4031))&amp;"|"&amp;UPPER(TRIM(C4031))&amp;"|"&amp;UPPER(TRIM(D4031)),"")</f>
        <v/>
      </c>
    </row>
    <row r="4032" ht="15.75" customHeight="1" s="217">
      <c r="A4032" s="397" t="n">
        <v>4030</v>
      </c>
      <c r="B4032" s="397" t="inlineStr">
        <is>
          <t>XBS</t>
        </is>
      </c>
      <c r="C4032" s="398" t="inlineStr">
        <is>
          <t>XBS: Quanzhou Jinding Trade Co., Ltd</t>
        </is>
      </c>
      <c r="D4032" s="399" t="n"/>
      <c r="E4032" s="399" t="n"/>
      <c r="F4032" s="398" t="inlineStr">
        <is>
          <t>RM1206 Fengze Grandgarden Fengze St, Quanzhou, Fujian, China</t>
        </is>
      </c>
      <c r="G4032" s="399" t="n"/>
      <c r="H4032" s="399" t="n"/>
      <c r="J4032" s="392">
        <f>IFERROR(UPPER(TRIM(B4032))&amp;"|"&amp;UPPER(TRIM(C4032))&amp;"|"&amp;UPPER(TRIM(D4032)),"")</f>
        <v/>
      </c>
    </row>
    <row r="4033" ht="15.75" customHeight="1" s="217">
      <c r="A4033" s="400" t="n">
        <v>4031</v>
      </c>
      <c r="B4033" s="400" t="inlineStr">
        <is>
          <t>KH00106</t>
        </is>
      </c>
      <c r="C4033" s="401" t="inlineStr">
        <is>
          <t>Bãi máy Tân Ba Đình - Suối Tiên/ 0903.926.300</t>
        </is>
      </c>
      <c r="D4033" s="400" t="inlineStr">
        <is>
          <t>0903.926.300</t>
        </is>
      </c>
      <c r="E4033" s="402" t="n"/>
      <c r="F4033" s="401" t="inlineStr">
        <is>
          <t>Suối Tiên, TPHCM</t>
        </is>
      </c>
      <c r="G4033" s="400" t="inlineStr">
        <is>
          <t>SG/HCM</t>
        </is>
      </c>
      <c r="H4033" s="402" t="n"/>
      <c r="J4033" s="392">
        <f>IFERROR(UPPER(TRIM(B4033))&amp;"|"&amp;UPPER(TRIM(C4033))&amp;"|"&amp;UPPER(TRIM(D4033)),"")</f>
        <v/>
      </c>
    </row>
    <row r="4034" ht="15.75" customHeight="1" s="217">
      <c r="A4034" s="397" t="n">
        <v>4032</v>
      </c>
      <c r="B4034" s="397" t="inlineStr">
        <is>
          <t>KH00105</t>
        </is>
      </c>
      <c r="C4034" s="398" t="inlineStr">
        <is>
          <t>Xưởng Anh Phương- Đắklắk/ 0979.465.517</t>
        </is>
      </c>
      <c r="D4034" s="397" t="inlineStr">
        <is>
          <t>0979.465.517</t>
        </is>
      </c>
      <c r="E4034" s="399" t="n"/>
      <c r="F4034" s="398" t="inlineStr">
        <is>
          <t>ĐắkLắk</t>
        </is>
      </c>
      <c r="G4034" s="397" t="inlineStr">
        <is>
          <t>ÐL</t>
        </is>
      </c>
      <c r="H4034" s="399" t="n"/>
      <c r="J4034" s="392">
        <f>IFERROR(UPPER(TRIM(B4034))&amp;"|"&amp;UPPER(TRIM(C4034))&amp;"|"&amp;UPPER(TRIM(D4034)),"")</f>
        <v/>
      </c>
    </row>
    <row r="4035" ht="15.75" customHeight="1" s="217">
      <c r="A4035" s="400" t="n">
        <v>4033</v>
      </c>
      <c r="B4035" s="400" t="inlineStr">
        <is>
          <t>KH00104</t>
        </is>
      </c>
      <c r="C4035" s="401" t="inlineStr">
        <is>
          <t>Anh Cường - Đà Lạt/ 0933.763.414</t>
        </is>
      </c>
      <c r="D4035" s="400" t="inlineStr">
        <is>
          <t>0933.763.414</t>
        </is>
      </c>
      <c r="E4035" s="402" t="n"/>
      <c r="F4035" s="401" t="inlineStr">
        <is>
          <t>Đà Lạt</t>
        </is>
      </c>
      <c r="G4035" s="400" t="inlineStr">
        <is>
          <t>LDONG</t>
        </is>
      </c>
      <c r="H4035" s="402" t="n"/>
      <c r="J4035" s="392">
        <f>IFERROR(UPPER(TRIM(B4035))&amp;"|"&amp;UPPER(TRIM(C4035))&amp;"|"&amp;UPPER(TRIM(D4035)),"")</f>
        <v/>
      </c>
    </row>
    <row r="4036" ht="15.75" customHeight="1" s="217">
      <c r="A4036" s="397" t="n">
        <v>4034</v>
      </c>
      <c r="B4036" s="397" t="inlineStr">
        <is>
          <t>KH00103</t>
        </is>
      </c>
      <c r="C4036" s="398" t="inlineStr">
        <is>
          <t>Cửa hàng Tân Minh Quận - BRVT/ 0946.711.102</t>
        </is>
      </c>
      <c r="D4036" s="397" t="inlineStr">
        <is>
          <t>0643.899.166 / 0946.711.102</t>
        </is>
      </c>
      <c r="E4036" s="399" t="n"/>
      <c r="F4036" s="398" t="inlineStr">
        <is>
          <t>Tổ 1, Tân Phú, Phú Mỹ, Tân Thành, Bà Rịa Vũng Tàu</t>
        </is>
      </c>
      <c r="G4036" s="397" t="inlineStr">
        <is>
          <t>BRVT</t>
        </is>
      </c>
      <c r="H4036" s="399" t="n"/>
      <c r="J4036" s="392">
        <f>IFERROR(UPPER(TRIM(B4036))&amp;"|"&amp;UPPER(TRIM(C4036))&amp;"|"&amp;UPPER(TRIM(D4036)),"")</f>
        <v/>
      </c>
    </row>
    <row r="4037" ht="15.75" customHeight="1" s="217">
      <c r="A4037" s="400" t="n">
        <v>4035</v>
      </c>
      <c r="B4037" s="400" t="inlineStr">
        <is>
          <t>KH00102</t>
        </is>
      </c>
      <c r="C4037" s="401" t="inlineStr">
        <is>
          <t>Xưởng Thành Phát - BRVT/ A.Dũng: 0903.379.808 - 01673.857.892</t>
        </is>
      </c>
      <c r="D4037" s="400" t="inlineStr">
        <is>
          <t>0903.379.808 / 01673.857.892</t>
        </is>
      </c>
      <c r="E4037" s="402" t="n"/>
      <c r="F4037" s="401" t="inlineStr">
        <is>
          <t>Long Hưởng - Bà Rịa Vũng Tàu</t>
        </is>
      </c>
      <c r="G4037" s="400" t="inlineStr">
        <is>
          <t>BRVT</t>
        </is>
      </c>
      <c r="H4037" s="402" t="n"/>
      <c r="J4037" s="392">
        <f>IFERROR(UPPER(TRIM(B4037))&amp;"|"&amp;UPPER(TRIM(C4037))&amp;"|"&amp;UPPER(TRIM(D4037)),"")</f>
        <v/>
      </c>
    </row>
    <row r="4038" ht="15.75" customHeight="1" s="217">
      <c r="A4038" s="397" t="n">
        <v>4036</v>
      </c>
      <c r="B4038" s="397" t="inlineStr">
        <is>
          <t>KH00101</t>
        </is>
      </c>
      <c r="C4038" s="398" t="inlineStr">
        <is>
          <t>Bãi máy Phú Hưng - SG/ 0903.684.160</t>
        </is>
      </c>
      <c r="D4038" s="397" t="inlineStr">
        <is>
          <t>0903.684.160</t>
        </is>
      </c>
      <c r="E4038" s="399" t="n"/>
      <c r="F4038" s="398" t="inlineStr">
        <is>
          <t>Cầu Rạch Chiết, Xa lộ Hà Nội, TPHCM</t>
        </is>
      </c>
      <c r="G4038" s="397" t="inlineStr">
        <is>
          <t>SG/HCM</t>
        </is>
      </c>
      <c r="H4038" s="399" t="n"/>
      <c r="J4038" s="392">
        <f>IFERROR(UPPER(TRIM(B4038))&amp;"|"&amp;UPPER(TRIM(C4038))&amp;"|"&amp;UPPER(TRIM(D4038)),"")</f>
        <v/>
      </c>
    </row>
    <row r="4039" ht="15.75" customHeight="1" s="217">
      <c r="A4039" s="400" t="n">
        <v>4037</v>
      </c>
      <c r="B4039" s="400" t="inlineStr">
        <is>
          <t>KH00100</t>
        </is>
      </c>
      <c r="C4039" s="401" t="inlineStr">
        <is>
          <t>Cửa hàng Lê Chính - BRVT/ 02543.825.583 - FAX: 0643.746.513/ Cô Sang - 0937.736.979</t>
        </is>
      </c>
      <c r="D4039" s="400" t="inlineStr">
        <is>
          <t>0643.746.513 / 02543.825.583 / 0937.736.979</t>
        </is>
      </c>
      <c r="E4039" s="402" t="n"/>
      <c r="F4039" s="401" t="inlineStr">
        <is>
          <t>Bà Rịa Vũng Tàu</t>
        </is>
      </c>
      <c r="G4039" s="400" t="inlineStr">
        <is>
          <t>BRVT</t>
        </is>
      </c>
      <c r="H4039" s="402" t="n"/>
      <c r="J4039" s="392">
        <f>IFERROR(UPPER(TRIM(B4039))&amp;"|"&amp;UPPER(TRIM(C4039))&amp;"|"&amp;UPPER(TRIM(D4039)),"")</f>
        <v/>
      </c>
    </row>
    <row r="4040" ht="15.75" customHeight="1" s="217">
      <c r="A4040" s="397" t="n">
        <v>4038</v>
      </c>
      <c r="B4040" s="397" t="inlineStr">
        <is>
          <t>KH00098</t>
        </is>
      </c>
      <c r="C4040" s="398" t="inlineStr">
        <is>
          <t>Xưởng anh Tâm - Cao Tốc/ 0918.189.219</t>
        </is>
      </c>
      <c r="D4040" s="397" t="inlineStr">
        <is>
          <t>0918.189.219</t>
        </is>
      </c>
      <c r="E4040" s="399" t="n"/>
      <c r="F4040" s="398" t="inlineStr">
        <is>
          <t>11/6A Quốc Lộ 1A, ấp 3, xã Tân Quý Tân, huyện Bình Chánh, TPHCM</t>
        </is>
      </c>
      <c r="G4040" s="397" t="inlineStr">
        <is>
          <t>SG/HCM</t>
        </is>
      </c>
      <c r="H4040" s="399" t="n"/>
      <c r="J4040" s="392">
        <f>IFERROR(UPPER(TRIM(B4040))&amp;"|"&amp;UPPER(TRIM(C4040))&amp;"|"&amp;UPPER(TRIM(D4040)),"")</f>
        <v/>
      </c>
    </row>
    <row r="4041" ht="15.75" customHeight="1" s="217">
      <c r="A4041" s="400" t="n">
        <v>4039</v>
      </c>
      <c r="B4041" s="400" t="inlineStr">
        <is>
          <t>KH00099</t>
        </is>
      </c>
      <c r="C4041" s="401" t="inlineStr">
        <is>
          <t>Cửa hàng Thanh Hà - Đà Nẵng/ 0935.888.220 - Fax: 05113.654.045</t>
        </is>
      </c>
      <c r="D4041" s="400" t="inlineStr">
        <is>
          <t>05113.826.751 / 0935.888.220 / 05113.654.045</t>
        </is>
      </c>
      <c r="E4041" s="402" t="n"/>
      <c r="F4041" s="401" t="inlineStr">
        <is>
          <t>121 Lý Thái Tổ, Quận Hải Châu, TP Đà Nẵng</t>
        </is>
      </c>
      <c r="G4041" s="400" t="inlineStr">
        <is>
          <t>DNANG</t>
        </is>
      </c>
      <c r="H4041" s="402" t="n"/>
      <c r="J4041" s="392">
        <f>IFERROR(UPPER(TRIM(B4041))&amp;"|"&amp;UPPER(TRIM(C4041))&amp;"|"&amp;UPPER(TRIM(D4041)),"")</f>
        <v/>
      </c>
    </row>
    <row r="4042" ht="15.75" customHeight="1" s="217">
      <c r="A4042" s="397" t="n">
        <v>4040</v>
      </c>
      <c r="B4042" s="397" t="inlineStr">
        <is>
          <t>KH00096</t>
        </is>
      </c>
      <c r="C4042" s="398" t="inlineStr">
        <is>
          <t>Bãi Máy anh Cường Cơ Giới - SG/ 0904.455.566</t>
        </is>
      </c>
      <c r="D4042" s="397" t="inlineStr">
        <is>
          <t>0904.455.566</t>
        </is>
      </c>
      <c r="E4042" s="399" t="n"/>
      <c r="F4042" s="398" t="inlineStr">
        <is>
          <t>Gần cây xăng Bình AN, Suối Tiên, TPHCM</t>
        </is>
      </c>
      <c r="G4042" s="397" t="inlineStr">
        <is>
          <t>SG/HCM</t>
        </is>
      </c>
      <c r="H4042" s="399" t="n"/>
      <c r="J4042" s="392">
        <f>IFERROR(UPPER(TRIM(B4042))&amp;"|"&amp;UPPER(TRIM(C4042))&amp;"|"&amp;UPPER(TRIM(D4042)),"")</f>
        <v/>
      </c>
    </row>
    <row r="4043" ht="15.75" customHeight="1" s="217">
      <c r="A4043" s="400" t="n">
        <v>4041</v>
      </c>
      <c r="B4043" s="400" t="inlineStr">
        <is>
          <t>KH00097</t>
        </is>
      </c>
      <c r="C4043" s="401" t="inlineStr">
        <is>
          <t>Xưởng anh Cảnh - Suối Tiên/ 0984.927.383</t>
        </is>
      </c>
      <c r="D4043" s="400" t="inlineStr">
        <is>
          <t>0984.927.383</t>
        </is>
      </c>
      <c r="E4043" s="402" t="n"/>
      <c r="F4043" s="401" t="inlineStr">
        <is>
          <t>Đường Hoàng Hữu Nam, Suối Tiên, SG</t>
        </is>
      </c>
      <c r="G4043" s="400" t="inlineStr">
        <is>
          <t>SG/HCM</t>
        </is>
      </c>
      <c r="H4043" s="402" t="n"/>
      <c r="J4043" s="392">
        <f>IFERROR(UPPER(TRIM(B4043))&amp;"|"&amp;UPPER(TRIM(C4043))&amp;"|"&amp;UPPER(TRIM(D4043)),"")</f>
        <v/>
      </c>
    </row>
    <row r="4044" ht="15.75" customHeight="1" s="217">
      <c r="A4044" s="397" t="n">
        <v>4042</v>
      </c>
      <c r="B4044" s="397" t="inlineStr">
        <is>
          <t>KH00085</t>
        </is>
      </c>
      <c r="C4044" s="398" t="inlineStr">
        <is>
          <t>Xưởng anh Hải - Thủ Đức/ 0985.794.738</t>
        </is>
      </c>
      <c r="D4044" s="397" t="inlineStr">
        <is>
          <t>0985.794.738</t>
        </is>
      </c>
      <c r="E4044" s="399" t="n"/>
      <c r="F4044" s="398" t="inlineStr">
        <is>
          <t>Thủ Đức, TPHCM</t>
        </is>
      </c>
      <c r="G4044" s="397" t="inlineStr">
        <is>
          <t>SG/HCM</t>
        </is>
      </c>
      <c r="H4044" s="399" t="n"/>
      <c r="J4044" s="392">
        <f>IFERROR(UPPER(TRIM(B4044))&amp;"|"&amp;UPPER(TRIM(C4044))&amp;"|"&amp;UPPER(TRIM(D4044)),"")</f>
        <v/>
      </c>
    </row>
    <row r="4045" ht="15.75" customHeight="1" s="217">
      <c r="A4045" s="400" t="n">
        <v>4043</v>
      </c>
      <c r="B4045" s="400" t="inlineStr">
        <is>
          <t>KH00086</t>
        </is>
      </c>
      <c r="C4045" s="401" t="inlineStr">
        <is>
          <t>Xưởng anh Dũng - Nha Trang/ 0905.235.492</t>
        </is>
      </c>
      <c r="D4045" s="400" t="inlineStr">
        <is>
          <t>0905.235.492</t>
        </is>
      </c>
      <c r="E4045" s="402" t="n"/>
      <c r="F4045" s="401" t="inlineStr">
        <is>
          <t>Nha Trang</t>
        </is>
      </c>
      <c r="G4045" s="400" t="inlineStr">
        <is>
          <t>NTRANG</t>
        </is>
      </c>
      <c r="H4045" s="402" t="n"/>
      <c r="J4045" s="392">
        <f>IFERROR(UPPER(TRIM(B4045))&amp;"|"&amp;UPPER(TRIM(C4045))&amp;"|"&amp;UPPER(TRIM(D4045)),"")</f>
        <v/>
      </c>
    </row>
    <row r="4046" ht="15.75" customHeight="1" s="217">
      <c r="A4046" s="397" t="n">
        <v>4044</v>
      </c>
      <c r="B4046" s="397" t="inlineStr">
        <is>
          <t>KH00087</t>
        </is>
      </c>
      <c r="C4046" s="398" t="inlineStr">
        <is>
          <t>Xưởng anh Tiến - Suối tiên/ 0903.742.264</t>
        </is>
      </c>
      <c r="D4046" s="397" t="inlineStr">
        <is>
          <t>0903.742.264</t>
        </is>
      </c>
      <c r="E4046" s="399" t="n"/>
      <c r="F4046" s="398" t="inlineStr">
        <is>
          <t>Suối tiên, TPHCM</t>
        </is>
      </c>
      <c r="G4046" s="397" t="inlineStr">
        <is>
          <t>SG/HCM</t>
        </is>
      </c>
      <c r="H4046" s="399" t="n"/>
      <c r="J4046" s="392">
        <f>IFERROR(UPPER(TRIM(B4046))&amp;"|"&amp;UPPER(TRIM(C4046))&amp;"|"&amp;UPPER(TRIM(D4046)),"")</f>
        <v/>
      </c>
    </row>
    <row r="4047" ht="15.75" customHeight="1" s="217">
      <c r="A4047" s="400" t="n">
        <v>4045</v>
      </c>
      <c r="B4047" s="400" t="inlineStr">
        <is>
          <t>KH00088</t>
        </is>
      </c>
      <c r="C4047" s="401" t="inlineStr">
        <is>
          <t>Xưởng Duy Vũ - Đức Trọng/ 0977.697.789</t>
        </is>
      </c>
      <c r="D4047" s="400" t="inlineStr">
        <is>
          <t>0977.697.789</t>
        </is>
      </c>
      <c r="E4047" s="402" t="n"/>
      <c r="F4047" s="401" t="inlineStr">
        <is>
          <t>Đức Trọng, Lâm Đồng</t>
        </is>
      </c>
      <c r="G4047" s="400" t="inlineStr">
        <is>
          <t>LDONG</t>
        </is>
      </c>
      <c r="H4047" s="402" t="n"/>
      <c r="J4047" s="392">
        <f>IFERROR(UPPER(TRIM(B4047))&amp;"|"&amp;UPPER(TRIM(C4047))&amp;"|"&amp;UPPER(TRIM(D4047)),"")</f>
        <v/>
      </c>
    </row>
    <row r="4048" ht="15.75" customHeight="1" s="217">
      <c r="A4048" s="397" t="n">
        <v>4046</v>
      </c>
      <c r="B4048" s="397" t="inlineStr">
        <is>
          <t>KH00089</t>
        </is>
      </c>
      <c r="C4048" s="398" t="inlineStr">
        <is>
          <t>Cửa hàng Danh Hiển - ĐắkLắk/ 0984.293.979</t>
        </is>
      </c>
      <c r="D4048" s="397" t="inlineStr">
        <is>
          <t>0500.385.2216 / 0984.293.979</t>
        </is>
      </c>
      <c r="E4048" s="399" t="n"/>
      <c r="F4048" s="398" t="inlineStr">
        <is>
          <t>57 Lê Duẩn, TP Buôn Ma Thuột, ĐắkLắk</t>
        </is>
      </c>
      <c r="G4048" s="397" t="inlineStr">
        <is>
          <t>ÐL</t>
        </is>
      </c>
      <c r="H4048" s="399" t="n"/>
      <c r="J4048" s="392">
        <f>IFERROR(UPPER(TRIM(B4048))&amp;"|"&amp;UPPER(TRIM(C4048))&amp;"|"&amp;UPPER(TRIM(D4048)),"")</f>
        <v/>
      </c>
    </row>
    <row r="4049" ht="15.75" customHeight="1" s="217">
      <c r="A4049" s="400" t="n">
        <v>4047</v>
      </c>
      <c r="B4049" s="400" t="inlineStr">
        <is>
          <t>KH00090</t>
        </is>
      </c>
      <c r="C4049" s="401" t="inlineStr">
        <is>
          <t>Xưởng anh Bé - Cam Ranh/ 0935.931.197</t>
        </is>
      </c>
      <c r="D4049" s="400" t="inlineStr">
        <is>
          <t>0582.242.664 / 0935.931.197</t>
        </is>
      </c>
      <c r="E4049" s="402" t="n"/>
      <c r="F4049" s="401" t="inlineStr">
        <is>
          <t>187 Hùng Vương, TP Cam Ranh, Khánh Hòa</t>
        </is>
      </c>
      <c r="G4049" s="400" t="inlineStr">
        <is>
          <t>NTRANG</t>
        </is>
      </c>
      <c r="H4049" s="402" t="n"/>
      <c r="J4049" s="392">
        <f>IFERROR(UPPER(TRIM(B4049))&amp;"|"&amp;UPPER(TRIM(C4049))&amp;"|"&amp;UPPER(TRIM(D4049)),"")</f>
        <v/>
      </c>
    </row>
    <row r="4050" ht="15.75" customHeight="1" s="217">
      <c r="A4050" s="397" t="n">
        <v>4048</v>
      </c>
      <c r="B4050" s="397" t="inlineStr">
        <is>
          <t>KH00091</t>
        </is>
      </c>
      <c r="C4050" s="398" t="inlineStr">
        <is>
          <t>Xưởng Minh Trí - Eaho leo/ 0988.710.036</t>
        </is>
      </c>
      <c r="D4050" s="397" t="inlineStr">
        <is>
          <t>0988.710.036</t>
        </is>
      </c>
      <c r="E4050" s="399" t="n"/>
      <c r="F4050" s="398" t="inlineStr">
        <is>
          <t>Eaho leo, ĐắkLắk</t>
        </is>
      </c>
      <c r="G4050" s="397" t="inlineStr">
        <is>
          <t>ÐL</t>
        </is>
      </c>
      <c r="H4050" s="399" t="n"/>
      <c r="J4050" s="392">
        <f>IFERROR(UPPER(TRIM(B4050))&amp;"|"&amp;UPPER(TRIM(C4050))&amp;"|"&amp;UPPER(TRIM(D4050)),"")</f>
        <v/>
      </c>
    </row>
    <row r="4051" ht="15.75" customHeight="1" s="217">
      <c r="A4051" s="400" t="n">
        <v>4049</v>
      </c>
      <c r="B4051" s="400" t="inlineStr">
        <is>
          <t>KH00092</t>
        </is>
      </c>
      <c r="C4051" s="401" t="inlineStr">
        <is>
          <t>Xưởng Hải Đăng - Đức Trọng/ 0907.552.920</t>
        </is>
      </c>
      <c r="D4051" s="400" t="inlineStr">
        <is>
          <t>0907.552.920</t>
        </is>
      </c>
      <c r="E4051" s="402" t="n"/>
      <c r="F4051" s="401" t="inlineStr">
        <is>
          <t>Đại Ninh - Ninh Gia - Đức Trọng - Lâm Đồng</t>
        </is>
      </c>
      <c r="G4051" s="400" t="inlineStr">
        <is>
          <t>LDONG</t>
        </is>
      </c>
      <c r="H4051" s="402" t="n"/>
      <c r="J4051" s="392">
        <f>IFERROR(UPPER(TRIM(B4051))&amp;"|"&amp;UPPER(TRIM(C4051))&amp;"|"&amp;UPPER(TRIM(D4051)),"")</f>
        <v/>
      </c>
    </row>
    <row r="4052" ht="15.75" customHeight="1" s="217">
      <c r="A4052" s="397" t="n">
        <v>4050</v>
      </c>
      <c r="B4052" s="397" t="inlineStr">
        <is>
          <t>KH00093</t>
        </is>
      </c>
      <c r="C4052" s="398" t="inlineStr">
        <is>
          <t>Công ty TNHH TMDV Nguyễn ánh Hoàng - Q9</t>
        </is>
      </c>
      <c r="D4052" s="399" t="n"/>
      <c r="E4052" s="399" t="n"/>
      <c r="F4052" s="398" t="inlineStr">
        <is>
          <t>574 Nguyễn Xiển, P. Long Thạnh Mỹ, Quận 9, TPHCM</t>
        </is>
      </c>
      <c r="G4052" s="397" t="inlineStr">
        <is>
          <t>SG/HCM</t>
        </is>
      </c>
      <c r="H4052" s="399" t="n"/>
      <c r="J4052" s="392">
        <f>IFERROR(UPPER(TRIM(B4052))&amp;"|"&amp;UPPER(TRIM(C4052))&amp;"|"&amp;UPPER(TRIM(D4052)),"")</f>
        <v/>
      </c>
    </row>
    <row r="4053" ht="15.75" customHeight="1" s="217">
      <c r="A4053" s="400" t="n">
        <v>4051</v>
      </c>
      <c r="B4053" s="400" t="inlineStr">
        <is>
          <t>KH00094</t>
        </is>
      </c>
      <c r="C4053" s="401" t="inlineStr">
        <is>
          <t>Xưởng anh Nhật - Huế/ 0935.439.175</t>
        </is>
      </c>
      <c r="D4053" s="400" t="inlineStr">
        <is>
          <t>0935.439.175</t>
        </is>
      </c>
      <c r="E4053" s="402" t="n"/>
      <c r="F4053" s="401" t="inlineStr">
        <is>
          <t>Huế</t>
        </is>
      </c>
      <c r="G4053" s="400" t="inlineStr">
        <is>
          <t>HUE</t>
        </is>
      </c>
      <c r="H4053" s="402" t="n"/>
      <c r="J4053" s="392">
        <f>IFERROR(UPPER(TRIM(B4053))&amp;"|"&amp;UPPER(TRIM(C4053))&amp;"|"&amp;UPPER(TRIM(D4053)),"")</f>
        <v/>
      </c>
    </row>
    <row r="4054" ht="15.75" customHeight="1" s="217">
      <c r="A4054" s="397" t="n">
        <v>4052</v>
      </c>
      <c r="B4054" s="397" t="inlineStr">
        <is>
          <t>KH00095</t>
        </is>
      </c>
      <c r="C4054" s="398" t="inlineStr">
        <is>
          <t>Xưởng Trọng Tuấn - Xa lộ HN/ A.Bình: 0908.706.161</t>
        </is>
      </c>
      <c r="D4054" s="397" t="inlineStr">
        <is>
          <t>0908.706.161</t>
        </is>
      </c>
      <c r="E4054" s="399" t="n"/>
      <c r="F4054" s="398" t="inlineStr">
        <is>
          <t>Xa lộ Hà Nội, TPHCM</t>
        </is>
      </c>
      <c r="G4054" s="397" t="inlineStr">
        <is>
          <t>SG/HCM</t>
        </is>
      </c>
      <c r="H4054" s="399" t="n"/>
      <c r="J4054" s="392">
        <f>IFERROR(UPPER(TRIM(B4054))&amp;"|"&amp;UPPER(TRIM(C4054))&amp;"|"&amp;UPPER(TRIM(D4054)),"")</f>
        <v/>
      </c>
    </row>
    <row r="4055" ht="15.75" customHeight="1" s="217">
      <c r="A4055" s="400" t="n">
        <v>4053</v>
      </c>
      <c r="B4055" s="400" t="inlineStr">
        <is>
          <t>TL</t>
        </is>
      </c>
      <c r="C4055" s="401" t="inlineStr">
        <is>
          <t>CTCP Máy Công Trình Thăng Long COMA</t>
        </is>
      </c>
      <c r="D4055" s="400" t="inlineStr">
        <is>
          <t>043.877.6245</t>
        </is>
      </c>
      <c r="E4055" s="402" t="n"/>
      <c r="F4055" s="401" t="inlineStr">
        <is>
          <t>156 Ngô Gia Tự - Long Biên - Hà Nội</t>
        </is>
      </c>
      <c r="G4055" s="402" t="n"/>
      <c r="H4055" s="402" t="n"/>
      <c r="J4055" s="392">
        <f>IFERROR(UPPER(TRIM(B4055))&amp;"|"&amp;UPPER(TRIM(C4055))&amp;"|"&amp;UPPER(TRIM(D4055)),"")</f>
        <v/>
      </c>
    </row>
    <row r="4056" ht="15.75" customHeight="1" s="217">
      <c r="A4056" s="397" t="n">
        <v>4054</v>
      </c>
      <c r="B4056" s="397" t="inlineStr">
        <is>
          <t>KH00084</t>
        </is>
      </c>
      <c r="C4056" s="398" t="inlineStr">
        <is>
          <t>Bãi máy Châu Loan - Bình Dương/ 0650.3749.450</t>
        </is>
      </c>
      <c r="D4056" s="397" t="inlineStr">
        <is>
          <t>0650.3749.450</t>
        </is>
      </c>
      <c r="E4056" s="399" t="n"/>
      <c r="F4056" s="398" t="inlineStr">
        <is>
          <t>Bình Dương</t>
        </is>
      </c>
      <c r="G4056" s="397" t="inlineStr">
        <is>
          <t>SG/HCM</t>
        </is>
      </c>
      <c r="H4056" s="399" t="n"/>
      <c r="J4056" s="392">
        <f>IFERROR(UPPER(TRIM(B4056))&amp;"|"&amp;UPPER(TRIM(C4056))&amp;"|"&amp;UPPER(TRIM(D4056)),"")</f>
        <v/>
      </c>
    </row>
    <row r="4057" ht="15.75" customHeight="1" s="217">
      <c r="A4057" s="400" t="n">
        <v>4055</v>
      </c>
      <c r="B4057" s="400" t="inlineStr">
        <is>
          <t>KH00082</t>
        </is>
      </c>
      <c r="C4057" s="401" t="inlineStr">
        <is>
          <t>Xưởng anh Kha - Lâm Hà (chuyển tiền trước) / 0918.218.859</t>
        </is>
      </c>
      <c r="D4057" s="400" t="inlineStr">
        <is>
          <t>0918.218.859</t>
        </is>
      </c>
      <c r="E4057" s="402" t="n"/>
      <c r="F4057" s="401" t="inlineStr">
        <is>
          <t>Tổ 4, Đường Văn Tâm, Đình Văn, Lâm Hà, Lâm Đồng</t>
        </is>
      </c>
      <c r="G4057" s="400" t="inlineStr">
        <is>
          <t>LDONG</t>
        </is>
      </c>
      <c r="H4057" s="402" t="n"/>
      <c r="J4057" s="392">
        <f>IFERROR(UPPER(TRIM(B4057))&amp;"|"&amp;UPPER(TRIM(C4057))&amp;"|"&amp;UPPER(TRIM(D4057)),"")</f>
        <v/>
      </c>
    </row>
    <row r="4058" ht="15.75" customHeight="1" s="217">
      <c r="A4058" s="397" t="n">
        <v>4056</v>
      </c>
      <c r="B4058" s="397" t="inlineStr">
        <is>
          <t>KH00083</t>
        </is>
      </c>
      <c r="C4058" s="398" t="inlineStr">
        <is>
          <t>Bãi máy Gia Hòa Phát - TPHCM/ A.Long: 0916.272.694</t>
        </is>
      </c>
      <c r="D4058" s="397" t="inlineStr">
        <is>
          <t>0916.272.694</t>
        </is>
      </c>
      <c r="E4058" s="399" t="n"/>
      <c r="F4058" s="398" t="inlineStr">
        <is>
          <t>Xa lộ Hà Nội, Bình Thắng, Dĩ An, Bình Dương</t>
        </is>
      </c>
      <c r="G4058" s="397" t="inlineStr">
        <is>
          <t>SG/HCM</t>
        </is>
      </c>
      <c r="H4058" s="399" t="n"/>
      <c r="J4058" s="392">
        <f>IFERROR(UPPER(TRIM(B4058))&amp;"|"&amp;UPPER(TRIM(C4058))&amp;"|"&amp;UPPER(TRIM(D4058)),"")</f>
        <v/>
      </c>
    </row>
    <row r="4059" ht="15.75" customHeight="1" s="217">
      <c r="A4059" s="400" t="n">
        <v>4057</v>
      </c>
      <c r="B4059" s="400" t="inlineStr">
        <is>
          <t>KH00081</t>
        </is>
      </c>
      <c r="C4059" s="401" t="inlineStr">
        <is>
          <t>Cửa hàng anh Dũng - Bảo Lộc/ 0913.865.513 - Fax: 0633.861.653</t>
        </is>
      </c>
      <c r="D4059" s="400" t="inlineStr">
        <is>
          <t>0633.861.653 / 0913.865.513</t>
        </is>
      </c>
      <c r="E4059" s="402" t="n"/>
      <c r="F4059" s="401" t="inlineStr">
        <is>
          <t>719 Trần Phú, Bảo Lộc, Lâm Đồng</t>
        </is>
      </c>
      <c r="G4059" s="400" t="inlineStr">
        <is>
          <t>LDONG</t>
        </is>
      </c>
      <c r="H4059" s="402" t="n"/>
      <c r="J4059" s="392">
        <f>IFERROR(UPPER(TRIM(B4059))&amp;"|"&amp;UPPER(TRIM(C4059))&amp;"|"&amp;UPPER(TRIM(D4059)),"")</f>
        <v/>
      </c>
    </row>
    <row r="4060" ht="15.75" customHeight="1" s="217">
      <c r="A4060" s="397" t="n">
        <v>4058</v>
      </c>
      <c r="B4060" s="397" t="inlineStr">
        <is>
          <t>KH00078</t>
        </is>
      </c>
      <c r="C4060" s="398" t="inlineStr">
        <is>
          <t>Xưởng Tân Nam Dương - TPHCM/ 0903.000.055</t>
        </is>
      </c>
      <c r="D4060" s="397" t="inlineStr">
        <is>
          <t>08.5443.9388 / 0903.000.055</t>
        </is>
      </c>
      <c r="E4060" s="399" t="n"/>
      <c r="F4060" s="398" t="inlineStr">
        <is>
          <t>TPHCM</t>
        </is>
      </c>
      <c r="G4060" s="397" t="inlineStr">
        <is>
          <t>SG/HCM</t>
        </is>
      </c>
      <c r="H4060" s="399" t="n"/>
      <c r="J4060" s="392">
        <f>IFERROR(UPPER(TRIM(B4060))&amp;"|"&amp;UPPER(TRIM(C4060))&amp;"|"&amp;UPPER(TRIM(D4060)),"")</f>
        <v/>
      </c>
    </row>
    <row r="4061" ht="15.75" customHeight="1" s="217">
      <c r="A4061" s="400" t="n">
        <v>4059</v>
      </c>
      <c r="B4061" s="400" t="inlineStr">
        <is>
          <t>KH00079</t>
        </is>
      </c>
      <c r="C4061" s="401" t="inlineStr">
        <is>
          <t>Xưởng anh Bảo - Quảng Ngãi/ 0905.999.289</t>
        </is>
      </c>
      <c r="D4061" s="400" t="inlineStr">
        <is>
          <t>0905.999.289</t>
        </is>
      </c>
      <c r="E4061" s="402" t="n"/>
      <c r="F4061" s="401" t="inlineStr">
        <is>
          <t>Quảng Ngãi</t>
        </is>
      </c>
      <c r="G4061" s="400" t="inlineStr">
        <is>
          <t>QUNGAI</t>
        </is>
      </c>
      <c r="H4061" s="402" t="n"/>
      <c r="J4061" s="392">
        <f>IFERROR(UPPER(TRIM(B4061))&amp;"|"&amp;UPPER(TRIM(C4061))&amp;"|"&amp;UPPER(TRIM(D4061)),"")</f>
        <v/>
      </c>
    </row>
    <row r="4062" ht="15.75" customHeight="1" s="217">
      <c r="A4062" s="397" t="n">
        <v>4060</v>
      </c>
      <c r="B4062" s="397" t="inlineStr">
        <is>
          <t>KH00080</t>
        </is>
      </c>
      <c r="C4062" s="398" t="inlineStr">
        <is>
          <t>Công ty TNHH TM&amp;TV KT Tân Trí - Đà Nẵng/ 0914.132.166 - Fax: 05113.660.699</t>
        </is>
      </c>
      <c r="D4062" s="397" t="inlineStr">
        <is>
          <t>0511.224.1465 / 0914.132.166 / 05113.660.699</t>
        </is>
      </c>
      <c r="E4062" s="399" t="n"/>
      <c r="F4062" s="398" t="inlineStr">
        <is>
          <t>Khu dân cư Hòa Phát II, P. Hòa An, Q. Cẩm Lệ, TP Đà Nẵng</t>
        </is>
      </c>
      <c r="G4062" s="397" t="inlineStr">
        <is>
          <t>DNANG</t>
        </is>
      </c>
      <c r="H4062" s="399" t="n"/>
      <c r="J4062" s="392">
        <f>IFERROR(UPPER(TRIM(B4062))&amp;"|"&amp;UPPER(TRIM(C4062))&amp;"|"&amp;UPPER(TRIM(D4062)),"")</f>
        <v/>
      </c>
    </row>
    <row r="4063" ht="15.75" customHeight="1" s="217">
      <c r="A4063" s="400" t="n">
        <v>4061</v>
      </c>
      <c r="B4063" s="400" t="inlineStr">
        <is>
          <t>KH00013</t>
        </is>
      </c>
      <c r="C4063" s="401" t="inlineStr">
        <is>
          <t>Xưởng anh Danh - Phú Yên (bỏ không dùng)</t>
        </is>
      </c>
      <c r="D4063" s="402" t="n"/>
      <c r="E4063" s="402" t="n"/>
      <c r="F4063" s="401" t="inlineStr">
        <is>
          <t>Phường 6, TP Tuy Hòa, Phú Yên</t>
        </is>
      </c>
      <c r="G4063" s="400" t="inlineStr">
        <is>
          <t>PYEN</t>
        </is>
      </c>
      <c r="H4063" s="402" t="n"/>
      <c r="J4063" s="392">
        <f>IFERROR(UPPER(TRIM(B4063))&amp;"|"&amp;UPPER(TRIM(C4063))&amp;"|"&amp;UPPER(TRIM(D4063)),"")</f>
        <v/>
      </c>
    </row>
    <row r="4064" ht="15.75" customHeight="1" s="217">
      <c r="A4064" s="397" t="n">
        <v>4062</v>
      </c>
      <c r="B4064" s="397" t="inlineStr">
        <is>
          <t>KOMATSU</t>
        </is>
      </c>
      <c r="C4064" s="398" t="inlineStr">
        <is>
          <t>Công ty Komatsu</t>
        </is>
      </c>
      <c r="D4064" s="399" t="n"/>
      <c r="E4064" s="399" t="n"/>
      <c r="F4064" s="398" t="inlineStr">
        <is>
          <t>TPHCM</t>
        </is>
      </c>
      <c r="G4064" s="399" t="n"/>
      <c r="H4064" s="399" t="n"/>
      <c r="J4064" s="392">
        <f>IFERROR(UPPER(TRIM(B4064))&amp;"|"&amp;UPPER(TRIM(C4064))&amp;"|"&amp;UPPER(TRIM(D4064)),"")</f>
        <v/>
      </c>
    </row>
    <row r="4065" ht="15.75" customHeight="1" s="217">
      <c r="A4065" s="400" t="n">
        <v>4063</v>
      </c>
      <c r="B4065" s="400" t="inlineStr">
        <is>
          <t>MN04</t>
        </is>
      </c>
      <c r="C4065" s="401" t="inlineStr">
        <is>
          <t>Trần Văn Huấn</t>
        </is>
      </c>
      <c r="D4065" s="402" t="n"/>
      <c r="E4065" s="402" t="n"/>
      <c r="F4065" s="401" t="inlineStr">
        <is>
          <t>CTCP thiết bị Cơ Giới Miền Nam</t>
        </is>
      </c>
      <c r="G4065" s="400" t="inlineStr">
        <is>
          <t>BPKD</t>
        </is>
      </c>
      <c r="H4065" s="402" t="n"/>
      <c r="J4065" s="392">
        <f>IFERROR(UPPER(TRIM(B4065))&amp;"|"&amp;UPPER(TRIM(C4065))&amp;"|"&amp;UPPER(TRIM(D4065)),"")</f>
        <v/>
      </c>
    </row>
    <row r="4066" ht="15.75" customHeight="1" s="217">
      <c r="A4066" s="397" t="n">
        <v>4064</v>
      </c>
      <c r="B4066" s="397" t="inlineStr">
        <is>
          <t>MN05</t>
        </is>
      </c>
      <c r="C4066" s="398" t="inlineStr">
        <is>
          <t>Phạm Đình Thi</t>
        </is>
      </c>
      <c r="D4066" s="399" t="n"/>
      <c r="E4066" s="399" t="n"/>
      <c r="F4066" s="398" t="inlineStr">
        <is>
          <t>CTCP Thiết bị Cơ giới Miền Nam</t>
        </is>
      </c>
      <c r="G4066" s="399" t="n"/>
      <c r="H4066" s="399" t="n"/>
      <c r="J4066" s="392">
        <f>IFERROR(UPPER(TRIM(B4066))&amp;"|"&amp;UPPER(TRIM(C4066))&amp;"|"&amp;UPPER(TRIM(D4066)),"")</f>
        <v/>
      </c>
    </row>
    <row r="4067" ht="15.75" customHeight="1" s="217">
      <c r="A4067" s="400" t="n">
        <v>4065</v>
      </c>
      <c r="B4067" s="400" t="inlineStr">
        <is>
          <t>MN06</t>
        </is>
      </c>
      <c r="C4067" s="401" t="inlineStr">
        <is>
          <t>Đào Xuân Huy</t>
        </is>
      </c>
      <c r="D4067" s="402" t="n"/>
      <c r="E4067" s="402" t="n"/>
      <c r="F4067" s="401" t="inlineStr">
        <is>
          <t>CTCP Thiết bị Cơ giới Miền Nam</t>
        </is>
      </c>
      <c r="G4067" s="400" t="inlineStr">
        <is>
          <t>BPVC</t>
        </is>
      </c>
      <c r="H4067" s="402" t="n"/>
      <c r="J4067" s="392">
        <f>IFERROR(UPPER(TRIM(B4067))&amp;"|"&amp;UPPER(TRIM(C4067))&amp;"|"&amp;UPPER(TRIM(D4067)),"")</f>
        <v/>
      </c>
    </row>
    <row r="4068" ht="15.75" customHeight="1" s="217">
      <c r="A4068" s="397" t="n">
        <v>4066</v>
      </c>
      <c r="B4068" s="397" t="inlineStr">
        <is>
          <t>MN07</t>
        </is>
      </c>
      <c r="C4068" s="398" t="inlineStr">
        <is>
          <t>Nguyễn Văn Luân</t>
        </is>
      </c>
      <c r="D4068" s="399" t="n"/>
      <c r="E4068" s="399" t="n"/>
      <c r="F4068" s="398" t="inlineStr">
        <is>
          <t>CTCP Thiết bị Cơ giới Miền Nam</t>
        </is>
      </c>
      <c r="G4068" s="397" t="inlineStr">
        <is>
          <t>BPKD</t>
        </is>
      </c>
      <c r="H4068" s="399" t="n"/>
      <c r="J4068" s="392">
        <f>IFERROR(UPPER(TRIM(B4068))&amp;"|"&amp;UPPER(TRIM(C4068))&amp;"|"&amp;UPPER(TRIM(D4068)),"")</f>
        <v/>
      </c>
    </row>
    <row r="4069" ht="15.75" customHeight="1" s="217">
      <c r="A4069" s="400" t="n">
        <v>4067</v>
      </c>
      <c r="B4069" s="400" t="inlineStr">
        <is>
          <t>MN08</t>
        </is>
      </c>
      <c r="C4069" s="401" t="inlineStr">
        <is>
          <t>Trịnh Văn Ngọc</t>
        </is>
      </c>
      <c r="D4069" s="402" t="n"/>
      <c r="E4069" s="402" t="n"/>
      <c r="F4069" s="401" t="inlineStr">
        <is>
          <t>CTCP Thiết bị cơ giới Miền Nam</t>
        </is>
      </c>
      <c r="G4069" s="400" t="inlineStr">
        <is>
          <t>BPVC</t>
        </is>
      </c>
      <c r="H4069" s="402" t="n"/>
      <c r="J4069" s="392">
        <f>IFERROR(UPPER(TRIM(B4069))&amp;"|"&amp;UPPER(TRIM(C4069))&amp;"|"&amp;UPPER(TRIM(D4069)),"")</f>
        <v/>
      </c>
    </row>
    <row r="4070" ht="15.75" customHeight="1" s="217">
      <c r="A4070" s="397" t="n">
        <v>4068</v>
      </c>
      <c r="B4070" s="397" t="inlineStr">
        <is>
          <t>MN09</t>
        </is>
      </c>
      <c r="C4070" s="398" t="inlineStr">
        <is>
          <t>Bùi Thị Linh</t>
        </is>
      </c>
      <c r="D4070" s="399" t="n"/>
      <c r="E4070" s="399" t="n"/>
      <c r="F4070" s="398" t="inlineStr">
        <is>
          <t>CTCP Thiết bị cơ giới Miền Nam</t>
        </is>
      </c>
      <c r="G4070" s="399" t="n"/>
      <c r="H4070" s="399" t="n"/>
      <c r="J4070" s="392">
        <f>IFERROR(UPPER(TRIM(B4070))&amp;"|"&amp;UPPER(TRIM(C4070))&amp;"|"&amp;UPPER(TRIM(D4070)),"")</f>
        <v/>
      </c>
    </row>
    <row r="4071" ht="15.75" customHeight="1" s="217">
      <c r="A4071" s="400" t="n">
        <v>4069</v>
      </c>
      <c r="B4071" s="400" t="inlineStr">
        <is>
          <t>MN10</t>
        </is>
      </c>
      <c r="C4071" s="401" t="inlineStr">
        <is>
          <t>Vũ Thị Thu Phương</t>
        </is>
      </c>
      <c r="D4071" s="402" t="n"/>
      <c r="E4071" s="402" t="n"/>
      <c r="F4071" s="401" t="inlineStr">
        <is>
          <t>CTCP Thiết bị cơ giới miền Nam</t>
        </is>
      </c>
      <c r="G4071" s="400" t="inlineStr">
        <is>
          <t>BPKT</t>
        </is>
      </c>
      <c r="H4071" s="402" t="n"/>
      <c r="J4071" s="392">
        <f>IFERROR(UPPER(TRIM(B4071))&amp;"|"&amp;UPPER(TRIM(C4071))&amp;"|"&amp;UPPER(TRIM(D4071)),"")</f>
        <v/>
      </c>
    </row>
    <row r="4072" ht="15.75" customHeight="1" s="217">
      <c r="A4072" s="397" t="n">
        <v>4070</v>
      </c>
      <c r="B4072" s="397" t="inlineStr">
        <is>
          <t>THUEKHO</t>
        </is>
      </c>
      <c r="C4072" s="398" t="inlineStr">
        <is>
          <t>Chú Giáp</t>
        </is>
      </c>
      <c r="D4072" s="399" t="n"/>
      <c r="E4072" s="399" t="n"/>
      <c r="F4072" s="398" t="inlineStr">
        <is>
          <t>Tân Bình - TPHCM</t>
        </is>
      </c>
      <c r="G4072" s="399" t="n"/>
      <c r="H4072" s="399" t="n"/>
      <c r="J4072" s="392">
        <f>IFERROR(UPPER(TRIM(B4072))&amp;"|"&amp;UPPER(TRIM(C4072))&amp;"|"&amp;UPPER(TRIM(D4072)),"")</f>
        <v/>
      </c>
    </row>
    <row r="4073" ht="15.75" customHeight="1" s="217">
      <c r="A4073" s="400" t="n">
        <v>4071</v>
      </c>
      <c r="B4073" s="400" t="inlineStr">
        <is>
          <t>ME</t>
        </is>
      </c>
      <c r="C4073" s="401" t="inlineStr">
        <is>
          <t>Trịnh Thị Minh</t>
        </is>
      </c>
      <c r="D4073" s="402" t="n"/>
      <c r="E4073" s="402" t="n"/>
      <c r="F4073" s="401" t="inlineStr">
        <is>
          <t>Giao Thủy - Nam Định</t>
        </is>
      </c>
      <c r="G4073" s="402" t="n"/>
      <c r="H4073" s="402" t="n"/>
      <c r="J4073" s="392">
        <f>IFERROR(UPPER(TRIM(B4073))&amp;"|"&amp;UPPER(TRIM(C4073))&amp;"|"&amp;UPPER(TRIM(D4073)),"")</f>
        <v/>
      </c>
    </row>
    <row r="4074" ht="15.75" customHeight="1" s="217">
      <c r="A4074" s="397" t="n">
        <v>4072</v>
      </c>
      <c r="B4074" s="397" t="inlineStr">
        <is>
          <t>MN03</t>
        </is>
      </c>
      <c r="C4074" s="398" t="inlineStr">
        <is>
          <t>Ngô Thị Nga</t>
        </is>
      </c>
      <c r="D4074" s="399" t="n"/>
      <c r="E4074" s="399" t="n"/>
      <c r="F4074" s="398" t="inlineStr">
        <is>
          <t>Công ty CP Thiết bị cơ giới miền Nam</t>
        </is>
      </c>
      <c r="G4074" s="397" t="inlineStr">
        <is>
          <t>BPQL</t>
        </is>
      </c>
      <c r="H4074" s="399" t="n"/>
      <c r="J4074" s="392">
        <f>IFERROR(UPPER(TRIM(B4074))&amp;"|"&amp;UPPER(TRIM(C4074))&amp;"|"&amp;UPPER(TRIM(D4074)),"")</f>
        <v/>
      </c>
    </row>
    <row r="4075" ht="15.75" customHeight="1" s="217">
      <c r="A4075" s="400" t="n">
        <v>4073</v>
      </c>
      <c r="B4075" s="400" t="inlineStr">
        <is>
          <t>NH</t>
        </is>
      </c>
      <c r="C4075" s="401" t="inlineStr">
        <is>
          <t>NHNo&amp;PTNT Bình Triệu. Vũ Văn Thể</t>
        </is>
      </c>
      <c r="D4075" s="402" t="n"/>
      <c r="E4075" s="402" t="n"/>
      <c r="F4075" s="401" t="inlineStr">
        <is>
          <t>Thủ Đức, TPHCM</t>
        </is>
      </c>
      <c r="G4075" s="402" t="n"/>
      <c r="H4075" s="402" t="n"/>
      <c r="J4075" s="392">
        <f>IFERROR(UPPER(TRIM(B4075))&amp;"|"&amp;UPPER(TRIM(C4075))&amp;"|"&amp;UPPER(TRIM(D4075)),"")</f>
        <v/>
      </c>
    </row>
    <row r="4076" ht="15.75" customHeight="1" s="217">
      <c r="A4076" s="397" t="n">
        <v>4074</v>
      </c>
      <c r="B4076" s="397" t="inlineStr">
        <is>
          <t>PT01</t>
        </is>
      </c>
      <c r="C4076" s="398" t="inlineStr">
        <is>
          <t>Bùi Thị Vân</t>
        </is>
      </c>
      <c r="D4076" s="399" t="n"/>
      <c r="E4076" s="399" t="n"/>
      <c r="F4076" s="398" t="inlineStr">
        <is>
          <t>Công ty CP Máy và Thiết bị Phú Toàn</t>
        </is>
      </c>
      <c r="G4076" s="399" t="n"/>
      <c r="H4076" s="399" t="n"/>
      <c r="J4076" s="392">
        <f>IFERROR(UPPER(TRIM(B4076))&amp;"|"&amp;UPPER(TRIM(C4076))&amp;"|"&amp;UPPER(TRIM(D4076)),"")</f>
        <v/>
      </c>
    </row>
    <row r="4077" ht="15.75" customHeight="1" s="217">
      <c r="A4077" s="400" t="n">
        <v>4075</v>
      </c>
      <c r="B4077" s="400" t="inlineStr">
        <is>
          <t>PT02</t>
        </is>
      </c>
      <c r="C4077" s="401" t="inlineStr">
        <is>
          <t>Vũ Thị Liên</t>
        </is>
      </c>
      <c r="D4077" s="402" t="n"/>
      <c r="E4077" s="402" t="n"/>
      <c r="F4077" s="401" t="inlineStr">
        <is>
          <t>Công ty CP Máy và Thiết bị Phú Toàn</t>
        </is>
      </c>
      <c r="G4077" s="402" t="n"/>
      <c r="H4077" s="402" t="n"/>
      <c r="J4077" s="392">
        <f>IFERROR(UPPER(TRIM(B4077))&amp;"|"&amp;UPPER(TRIM(C4077))&amp;"|"&amp;UPPER(TRIM(D4077)),"")</f>
        <v/>
      </c>
    </row>
    <row r="4078" ht="15.75" customHeight="1" s="217">
      <c r="A4078" s="397" t="n">
        <v>4076</v>
      </c>
      <c r="B4078" s="397" t="inlineStr">
        <is>
          <t>PT03</t>
        </is>
      </c>
      <c r="C4078" s="398" t="inlineStr">
        <is>
          <t>Vũ Thị Thúy</t>
        </is>
      </c>
      <c r="D4078" s="399" t="n"/>
      <c r="E4078" s="399" t="n"/>
      <c r="F4078" s="398" t="inlineStr">
        <is>
          <t>Công ty CP Máy và Thiết bị Phú Toàn</t>
        </is>
      </c>
      <c r="G4078" s="399" t="n"/>
      <c r="H4078" s="399" t="n"/>
      <c r="J4078" s="392">
        <f>IFERROR(UPPER(TRIM(B4078))&amp;"|"&amp;UPPER(TRIM(C4078))&amp;"|"&amp;UPPER(TRIM(D4078)),"")</f>
        <v/>
      </c>
    </row>
    <row r="4079" ht="15.75" customHeight="1" s="217">
      <c r="A4079" s="400" t="n">
        <v>4077</v>
      </c>
      <c r="B4079" s="400" t="inlineStr">
        <is>
          <t>MN01</t>
        </is>
      </c>
      <c r="C4079" s="401" t="inlineStr">
        <is>
          <t>Vũ Văn Thể</t>
        </is>
      </c>
      <c r="D4079" s="402" t="n"/>
      <c r="E4079" s="402" t="n"/>
      <c r="F4079" s="401" t="inlineStr">
        <is>
          <t>Công ty CP TB Cơ Giới Miền Nam</t>
        </is>
      </c>
      <c r="G4079" s="400" t="inlineStr">
        <is>
          <t>BPQL</t>
        </is>
      </c>
      <c r="H4079" s="402" t="n"/>
      <c r="J4079" s="392">
        <f>IFERROR(UPPER(TRIM(B4079))&amp;"|"&amp;UPPER(TRIM(C4079))&amp;"|"&amp;UPPER(TRIM(D4079)),"")</f>
        <v/>
      </c>
    </row>
    <row r="4080" ht="15.75" customHeight="1" s="217">
      <c r="A4080" s="397" t="n">
        <v>4078</v>
      </c>
      <c r="B4080" s="397" t="inlineStr">
        <is>
          <t>MN02</t>
        </is>
      </c>
      <c r="C4080" s="398" t="inlineStr">
        <is>
          <t>Trịnh Ngọc Quý</t>
        </is>
      </c>
      <c r="D4080" s="399" t="n"/>
      <c r="E4080" s="399" t="n"/>
      <c r="F4080" s="398" t="inlineStr">
        <is>
          <t>Công ty CP TB Cơ giới Miền Nam</t>
        </is>
      </c>
      <c r="G4080" s="397" t="inlineStr">
        <is>
          <t>BPQL</t>
        </is>
      </c>
      <c r="H4080" s="399" t="n"/>
      <c r="J4080" s="392">
        <f>IFERROR(UPPER(TRIM(B4080))&amp;"|"&amp;UPPER(TRIM(C4080))&amp;"|"&amp;UPPER(TRIM(D4080)),"")</f>
        <v/>
      </c>
    </row>
    <row r="4081" ht="15.75" customHeight="1" s="217">
      <c r="A4081" s="400" t="n">
        <v>4079</v>
      </c>
      <c r="B4081" s="400" t="inlineStr">
        <is>
          <t>KH00077</t>
        </is>
      </c>
      <c r="C4081" s="401" t="inlineStr">
        <is>
          <t>Cửa hàng Gia Phát - Đà Lạt/ 0913.639.877 - 0915.802.081</t>
        </is>
      </c>
      <c r="D4081" s="400" t="inlineStr">
        <is>
          <t>0633.830.846 / 0913.639.877 / 0915.802.081</t>
        </is>
      </c>
      <c r="E4081" s="402" t="n"/>
      <c r="F4081" s="401" t="inlineStr">
        <is>
          <t>276 Phan Đình Phùng, TP Đà Lạt, tỉnh Lâm Đồng</t>
        </is>
      </c>
      <c r="G4081" s="400" t="inlineStr">
        <is>
          <t>LDONG</t>
        </is>
      </c>
      <c r="H4081" s="402" t="n"/>
      <c r="J4081" s="392">
        <f>IFERROR(UPPER(TRIM(B4081))&amp;"|"&amp;UPPER(TRIM(C4081))&amp;"|"&amp;UPPER(TRIM(D4081)),"")</f>
        <v/>
      </c>
    </row>
    <row r="4082" ht="15.75" customHeight="1" s="217">
      <c r="A4082" s="397" t="n">
        <v>4080</v>
      </c>
      <c r="B4082" s="397" t="inlineStr">
        <is>
          <t>KH00076</t>
        </is>
      </c>
      <c r="C4082" s="398" t="inlineStr">
        <is>
          <t>Xưởng Nguyễn Ly - Đức Trọng/ 0972.605.099</t>
        </is>
      </c>
      <c r="D4082" s="397" t="inlineStr">
        <is>
          <t>0972.605.099</t>
        </is>
      </c>
      <c r="E4082" s="399" t="n"/>
      <c r="F4082" s="398" t="inlineStr">
        <is>
          <t>QL20, Đức Trọng, Lâm Đồng</t>
        </is>
      </c>
      <c r="G4082" s="397" t="inlineStr">
        <is>
          <t>LDONG</t>
        </is>
      </c>
      <c r="H4082" s="399" t="n"/>
      <c r="J4082" s="392">
        <f>IFERROR(UPPER(TRIM(B4082))&amp;"|"&amp;UPPER(TRIM(C4082))&amp;"|"&amp;UPPER(TRIM(D4082)),"")</f>
        <v/>
      </c>
    </row>
    <row r="4083" ht="15.75" customHeight="1" s="217">
      <c r="A4083" s="400" t="n">
        <v>4081</v>
      </c>
      <c r="B4083" s="400" t="inlineStr">
        <is>
          <t>KH00075</t>
        </is>
      </c>
      <c r="C4083" s="401" t="inlineStr">
        <is>
          <t>Công ty TNHH 71/ 0583.878.319 - Fax:0583.873.658</t>
        </is>
      </c>
      <c r="D4083" s="400" t="inlineStr">
        <is>
          <t>0583878319 / 0583.878.319 / 0583.873.658</t>
        </is>
      </c>
      <c r="E4083" s="402" t="n"/>
      <c r="F4083" s="401" t="inlineStr">
        <is>
          <t>30D Vân Đồn - Nha Trang</t>
        </is>
      </c>
      <c r="G4083" s="400" t="inlineStr">
        <is>
          <t>NTRANG</t>
        </is>
      </c>
      <c r="H4083" s="402" t="n"/>
      <c r="J4083" s="392">
        <f>IFERROR(UPPER(TRIM(B4083))&amp;"|"&amp;UPPER(TRIM(C4083))&amp;"|"&amp;UPPER(TRIM(D4083)),"")</f>
        <v/>
      </c>
    </row>
    <row r="4084" ht="15.75" customHeight="1" s="217">
      <c r="A4084" s="397" t="n">
        <v>4082</v>
      </c>
      <c r="B4084" s="397" t="inlineStr">
        <is>
          <t>KH00074</t>
        </is>
      </c>
      <c r="C4084" s="398" t="inlineStr">
        <is>
          <t>Xưởng anh Hiếu - Đà Lạt ( L)/  0919.331.242</t>
        </is>
      </c>
      <c r="D4084" s="397" t="inlineStr">
        <is>
          <t>0919.331.242</t>
        </is>
      </c>
      <c r="E4084" s="399" t="n"/>
      <c r="F4084" s="398" t="inlineStr">
        <is>
          <t>Đà Lạt - Lâm Đồng</t>
        </is>
      </c>
      <c r="G4084" s="397" t="inlineStr">
        <is>
          <t>LDONG</t>
        </is>
      </c>
      <c r="H4084" s="399" t="n"/>
      <c r="J4084" s="392">
        <f>IFERROR(UPPER(TRIM(B4084))&amp;"|"&amp;UPPER(TRIM(C4084))&amp;"|"&amp;UPPER(TRIM(D4084)),"")</f>
        <v/>
      </c>
    </row>
    <row r="4085" ht="15.75" customHeight="1" s="217">
      <c r="A4085" s="400" t="n">
        <v>4083</v>
      </c>
      <c r="B4085" s="400" t="inlineStr">
        <is>
          <t>KH00073</t>
        </is>
      </c>
      <c r="C4085" s="401" t="inlineStr">
        <is>
          <t>Cửa hàng Phương Hoàng - An Khê/ 0905.450.554 - 02693.533.407 - Fax: 0593.533.030</t>
        </is>
      </c>
      <c r="D4085" s="400" t="inlineStr">
        <is>
          <t>0593.533.407 / 0905.450.554 / 02693.533.407 / 0593.533.030</t>
        </is>
      </c>
      <c r="E4085" s="402" t="n"/>
      <c r="F4085" s="401" t="inlineStr">
        <is>
          <t>Tân Lập - An Khê - Gia Lai</t>
        </is>
      </c>
      <c r="G4085" s="400" t="inlineStr">
        <is>
          <t>GLAI</t>
        </is>
      </c>
      <c r="H4085" s="402" t="n"/>
      <c r="J4085" s="392">
        <f>IFERROR(UPPER(TRIM(B4085))&amp;"|"&amp;UPPER(TRIM(C4085))&amp;"|"&amp;UPPER(TRIM(D4085)),"")</f>
        <v/>
      </c>
    </row>
    <row r="4086" ht="15.75" customHeight="1" s="217">
      <c r="A4086" s="397" t="n">
        <v>4084</v>
      </c>
      <c r="B4086" s="397" t="inlineStr">
        <is>
          <t>KH00071</t>
        </is>
      </c>
      <c r="C4086" s="398" t="inlineStr">
        <is>
          <t>Xưởng anh Trí - ĐắkLắk/ 0988.710.036</t>
        </is>
      </c>
      <c r="D4086" s="397" t="inlineStr">
        <is>
          <t>0988.710.036</t>
        </is>
      </c>
      <c r="E4086" s="399" t="n"/>
      <c r="F4086" s="398" t="inlineStr">
        <is>
          <t>35 Giải Phóng, ĐắkLắk</t>
        </is>
      </c>
      <c r="G4086" s="397" t="inlineStr">
        <is>
          <t>ÐL</t>
        </is>
      </c>
      <c r="H4086" s="399" t="n"/>
      <c r="J4086" s="392">
        <f>IFERROR(UPPER(TRIM(B4086))&amp;"|"&amp;UPPER(TRIM(C4086))&amp;"|"&amp;UPPER(TRIM(D4086)),"")</f>
        <v/>
      </c>
    </row>
    <row r="4087" ht="15.75" customHeight="1" s="217">
      <c r="A4087" s="400" t="n">
        <v>4085</v>
      </c>
      <c r="B4087" s="400" t="inlineStr">
        <is>
          <t>KH00072</t>
        </is>
      </c>
      <c r="C4087" s="401" t="inlineStr">
        <is>
          <t>Anh Liêm - Quy Nhơn/0913.442.292</t>
        </is>
      </c>
      <c r="D4087" s="400" t="inlineStr">
        <is>
          <t>0913.442.292</t>
        </is>
      </c>
      <c r="E4087" s="402" t="n"/>
      <c r="F4087" s="401" t="inlineStr">
        <is>
          <t>Quy Nhơn - Bình Định</t>
        </is>
      </c>
      <c r="G4087" s="400" t="inlineStr">
        <is>
          <t>BDINH</t>
        </is>
      </c>
      <c r="H4087" s="402" t="n"/>
      <c r="J4087" s="392">
        <f>IFERROR(UPPER(TRIM(B4087))&amp;"|"&amp;UPPER(TRIM(C4087))&amp;"|"&amp;UPPER(TRIM(D4087)),"")</f>
        <v/>
      </c>
    </row>
    <row r="4088" ht="15.75" customHeight="1" s="217">
      <c r="A4088" s="397" t="n">
        <v>4086</v>
      </c>
      <c r="B4088" s="397" t="inlineStr">
        <is>
          <t>KH00069</t>
        </is>
      </c>
      <c r="C4088" s="398" t="inlineStr">
        <is>
          <t>Cửa hàng Hoàng Hải - Đà Nẵng/ 0908.366.546</t>
        </is>
      </c>
      <c r="D4088" s="397" t="inlineStr">
        <is>
          <t>0908.366.546</t>
        </is>
      </c>
      <c r="E4088" s="399" t="n"/>
      <c r="F4088" s="398" t="inlineStr">
        <is>
          <t>Đà Nẵng</t>
        </is>
      </c>
      <c r="G4088" s="397" t="inlineStr">
        <is>
          <t>DNANG</t>
        </is>
      </c>
      <c r="H4088" s="399" t="n"/>
      <c r="J4088" s="392">
        <f>IFERROR(UPPER(TRIM(B4088))&amp;"|"&amp;UPPER(TRIM(C4088))&amp;"|"&amp;UPPER(TRIM(D4088)),"")</f>
        <v/>
      </c>
    </row>
    <row r="4089" ht="15.75" customHeight="1" s="217">
      <c r="A4089" s="400" t="n">
        <v>4087</v>
      </c>
      <c r="B4089" s="400" t="inlineStr">
        <is>
          <t>KH00070</t>
        </is>
      </c>
      <c r="C4089" s="401" t="inlineStr">
        <is>
          <t>Cửa hàng anh Minh - An Khê/ 0905.833.356 or 0908.273.244 - Fax: 0593.533.084</t>
        </is>
      </c>
      <c r="D4089" s="400" t="inlineStr">
        <is>
          <t>0593.533.048 / 0905.833.356 / 0908.273.244 / 0593.533.084</t>
        </is>
      </c>
      <c r="E4089" s="402" t="n"/>
      <c r="F4089" s="401" t="inlineStr">
        <is>
          <t>An Khê - Gia Lai</t>
        </is>
      </c>
      <c r="G4089" s="400" t="inlineStr">
        <is>
          <t>GLAI</t>
        </is>
      </c>
      <c r="H4089" s="402" t="n"/>
      <c r="J4089" s="392">
        <f>IFERROR(UPPER(TRIM(B4089))&amp;"|"&amp;UPPER(TRIM(C4089))&amp;"|"&amp;UPPER(TRIM(D4089)),"")</f>
        <v/>
      </c>
    </row>
    <row r="4090" ht="15.75" customHeight="1" s="217">
      <c r="A4090" s="397" t="n">
        <v>4088</v>
      </c>
      <c r="B4090" s="397" t="inlineStr">
        <is>
          <t>KH00068</t>
        </is>
      </c>
      <c r="C4090" s="398" t="inlineStr">
        <is>
          <t>Xưởng Hoàng Vu - Huế/ 0935.055.777</t>
        </is>
      </c>
      <c r="D4090" s="397" t="inlineStr">
        <is>
          <t>0935.055.777</t>
        </is>
      </c>
      <c r="E4090" s="399" t="n"/>
      <c r="F4090" s="398" t="inlineStr">
        <is>
          <t>144 Ngự Bình, TP Huế</t>
        </is>
      </c>
      <c r="G4090" s="397" t="inlineStr">
        <is>
          <t>HUE</t>
        </is>
      </c>
      <c r="H4090" s="399" t="n"/>
      <c r="J4090" s="392">
        <f>IFERROR(UPPER(TRIM(B4090))&amp;"|"&amp;UPPER(TRIM(C4090))&amp;"|"&amp;UPPER(TRIM(D4090)),"")</f>
        <v/>
      </c>
    </row>
    <row r="4091" ht="15.75" customHeight="1" s="217">
      <c r="A4091" s="400" t="n">
        <v>4089</v>
      </c>
      <c r="B4091" s="400" t="inlineStr">
        <is>
          <t>KH00067</t>
        </is>
      </c>
      <c r="C4091" s="401" t="inlineStr">
        <is>
          <t>Cửa hàng chú Quyển - Kontum/ 02603.862.055 - 0942.514.808</t>
        </is>
      </c>
      <c r="D4091" s="400" t="inlineStr">
        <is>
          <t>02603.862.055 / 0942.514.808</t>
        </is>
      </c>
      <c r="E4091" s="402" t="n"/>
      <c r="F4091" s="401" t="inlineStr">
        <is>
          <t>180 Phan Đình Phùng, TP Kontum</t>
        </is>
      </c>
      <c r="G4091" s="400" t="inlineStr">
        <is>
          <t>KTUM</t>
        </is>
      </c>
      <c r="H4091" s="402" t="n"/>
      <c r="J4091" s="392">
        <f>IFERROR(UPPER(TRIM(B4091))&amp;"|"&amp;UPPER(TRIM(C4091))&amp;"|"&amp;UPPER(TRIM(D4091)),"")</f>
        <v/>
      </c>
    </row>
    <row r="4092" ht="15.75" customHeight="1" s="217">
      <c r="A4092" s="397" t="n">
        <v>4090</v>
      </c>
      <c r="B4092" s="397" t="inlineStr">
        <is>
          <t>KH00066</t>
        </is>
      </c>
      <c r="C4092" s="398" t="inlineStr">
        <is>
          <t>Xưởng anh Lâm - Ninh Thuận/ 0975.926.009 - Fax: 0683.822.123</t>
        </is>
      </c>
      <c r="D4092" s="397" t="inlineStr">
        <is>
          <t>0683.822.123 / 0975.926.009</t>
        </is>
      </c>
      <c r="E4092" s="399" t="n"/>
      <c r="F4092" s="398" t="inlineStr">
        <is>
          <t>QL1A, Xã Thành Hải, TP. Phan Rang - Tháp Chàm, Ninh Thuận</t>
        </is>
      </c>
      <c r="G4092" s="397" t="inlineStr">
        <is>
          <t>NTHUAN</t>
        </is>
      </c>
      <c r="H4092" s="399" t="n"/>
      <c r="J4092" s="392">
        <f>IFERROR(UPPER(TRIM(B4092))&amp;"|"&amp;UPPER(TRIM(C4092))&amp;"|"&amp;UPPER(TRIM(D4092)),"")</f>
        <v/>
      </c>
    </row>
    <row r="4093" ht="15.75" customHeight="1" s="217">
      <c r="A4093" s="400" t="n">
        <v>4091</v>
      </c>
      <c r="B4093" s="400" t="inlineStr">
        <is>
          <t>KH00064</t>
        </is>
      </c>
      <c r="C4093" s="401" t="inlineStr">
        <is>
          <t>Xưởng anh Lập - Phú Yên/ 0905.543.569 - 0985.552.858</t>
        </is>
      </c>
      <c r="D4093" s="400" t="inlineStr">
        <is>
          <t>0905.543.569 / 0985.552.858</t>
        </is>
      </c>
      <c r="E4093" s="402" t="n"/>
      <c r="F4093" s="401" t="inlineStr">
        <is>
          <t>Phú Yên</t>
        </is>
      </c>
      <c r="G4093" s="400" t="inlineStr">
        <is>
          <t>PYEN</t>
        </is>
      </c>
      <c r="H4093" s="402" t="n"/>
      <c r="J4093" s="392">
        <f>IFERROR(UPPER(TRIM(B4093))&amp;"|"&amp;UPPER(TRIM(C4093))&amp;"|"&amp;UPPER(TRIM(D4093)),"")</f>
        <v/>
      </c>
    </row>
    <row r="4094" ht="15.75" customHeight="1" s="217">
      <c r="A4094" s="397" t="n">
        <v>4092</v>
      </c>
      <c r="B4094" s="397" t="inlineStr">
        <is>
          <t>KH00065</t>
        </is>
      </c>
      <c r="C4094" s="398" t="inlineStr">
        <is>
          <t>Cửa hàng Triều Phát - Cần Thơ/ 0918.183.550 - Fax: 07103.740.047</t>
        </is>
      </c>
      <c r="D4094" s="397" t="inlineStr">
        <is>
          <t>0918.183.550 / 07103.740.047</t>
        </is>
      </c>
      <c r="E4094" s="399" t="n"/>
      <c r="F4094" s="398" t="inlineStr">
        <is>
          <t>160A, đường 3/2, P.Xuân Khánh, Q.Ninh Kiều, TP.Cần Thơ</t>
        </is>
      </c>
      <c r="G4094" s="397" t="inlineStr">
        <is>
          <t>CTHO</t>
        </is>
      </c>
      <c r="H4094" s="399" t="n"/>
      <c r="J4094" s="392">
        <f>IFERROR(UPPER(TRIM(B4094))&amp;"|"&amp;UPPER(TRIM(C4094))&amp;"|"&amp;UPPER(TRIM(D4094)),"")</f>
        <v/>
      </c>
    </row>
    <row r="4095" ht="15.75" customHeight="1" s="217">
      <c r="A4095" s="400" t="n">
        <v>4093</v>
      </c>
      <c r="B4095" s="400" t="inlineStr">
        <is>
          <t>KH00062</t>
        </is>
      </c>
      <c r="C4095" s="401" t="inlineStr">
        <is>
          <t>Xưởng Thanh Sơn - Quảng Nam/ 0982.046.059/ Fax: 05103.812.778</t>
        </is>
      </c>
      <c r="D4095" s="400" t="inlineStr">
        <is>
          <t>C.Hương: 0905.562.769 / 0982.046.059 / 05103.812.778</t>
        </is>
      </c>
      <c r="E4095" s="402" t="n"/>
      <c r="F4095" s="401" t="inlineStr">
        <is>
          <t>Quốc lộ Nguyễn Hoàng, An Mỹ, Tam Kỳ, Quảng Nam</t>
        </is>
      </c>
      <c r="G4095" s="400" t="inlineStr">
        <is>
          <t>QNAM</t>
        </is>
      </c>
      <c r="H4095" s="402" t="n"/>
      <c r="J4095" s="392">
        <f>IFERROR(UPPER(TRIM(B4095))&amp;"|"&amp;UPPER(TRIM(C4095))&amp;"|"&amp;UPPER(TRIM(D4095)),"")</f>
        <v/>
      </c>
    </row>
    <row r="4096" ht="15.75" customHeight="1" s="217">
      <c r="A4096" s="397" t="n">
        <v>4094</v>
      </c>
      <c r="B4096" s="397" t="inlineStr">
        <is>
          <t>KH00063</t>
        </is>
      </c>
      <c r="C4096" s="398" t="inlineStr">
        <is>
          <t>Anh Bình - Gia Lai/ 0913.499.316</t>
        </is>
      </c>
      <c r="D4096" s="397" t="inlineStr">
        <is>
          <t>0913.499.316</t>
        </is>
      </c>
      <c r="E4096" s="399" t="n"/>
      <c r="F4096" s="398" t="inlineStr">
        <is>
          <t>Gia Lai</t>
        </is>
      </c>
      <c r="G4096" s="397" t="inlineStr">
        <is>
          <t>GLAI</t>
        </is>
      </c>
      <c r="H4096" s="399" t="n"/>
      <c r="J4096" s="392">
        <f>IFERROR(UPPER(TRIM(B4096))&amp;"|"&amp;UPPER(TRIM(C4096))&amp;"|"&amp;UPPER(TRIM(D4096)),"")</f>
        <v/>
      </c>
    </row>
    <row r="4097" ht="15.75" customHeight="1" s="217">
      <c r="A4097" s="400" t="n">
        <v>4095</v>
      </c>
      <c r="B4097" s="400" t="inlineStr">
        <is>
          <t>KH00059</t>
        </is>
      </c>
      <c r="C4097" s="401" t="inlineStr">
        <is>
          <t>Xưởng anh Vinh - Phan Thiết/ 0919.003.565</t>
        </is>
      </c>
      <c r="D4097" s="400" t="inlineStr">
        <is>
          <t>0919.003.565</t>
        </is>
      </c>
      <c r="E4097" s="402" t="n"/>
      <c r="F4097" s="401" t="inlineStr">
        <is>
          <t>Ngã 6, Đặng Văn Lãnh, Phan Thiết, Bình Thuận</t>
        </is>
      </c>
      <c r="G4097" s="400" t="inlineStr">
        <is>
          <t>BTHUAN</t>
        </is>
      </c>
      <c r="H4097" s="402" t="n"/>
      <c r="J4097" s="392">
        <f>IFERROR(UPPER(TRIM(B4097))&amp;"|"&amp;UPPER(TRIM(C4097))&amp;"|"&amp;UPPER(TRIM(D4097)),"")</f>
        <v/>
      </c>
    </row>
    <row r="4098" ht="15.75" customHeight="1" s="217">
      <c r="A4098" s="397" t="n">
        <v>4096</v>
      </c>
      <c r="B4098" s="397" t="inlineStr">
        <is>
          <t>KH00060</t>
        </is>
      </c>
      <c r="C4098" s="398" t="inlineStr">
        <is>
          <t>Xưởng anh Mười - Diên Khánh/ 0914.137.953</t>
        </is>
      </c>
      <c r="D4098" s="397" t="inlineStr">
        <is>
          <t>0583.770.007 / 0914.137.953</t>
        </is>
      </c>
      <c r="E4098" s="399" t="n"/>
      <c r="F4098" s="398" t="inlineStr">
        <is>
          <t>Thôn 3, Diên Phú, Diên Khánh, Khánh Hòa (Trên đường QL1A)</t>
        </is>
      </c>
      <c r="G4098" s="397" t="inlineStr">
        <is>
          <t>NTRANG</t>
        </is>
      </c>
      <c r="H4098" s="399" t="n"/>
      <c r="J4098" s="392">
        <f>IFERROR(UPPER(TRIM(B4098))&amp;"|"&amp;UPPER(TRIM(C4098))&amp;"|"&amp;UPPER(TRIM(D4098)),"")</f>
        <v/>
      </c>
    </row>
    <row r="4099" ht="15.75" customHeight="1" s="217">
      <c r="A4099" s="400" t="n">
        <v>4097</v>
      </c>
      <c r="B4099" s="400" t="inlineStr">
        <is>
          <t>KH00061</t>
        </is>
      </c>
      <c r="C4099" s="401" t="inlineStr">
        <is>
          <t>Xưởng Phụng Cường - Gia Lai/ 0985.019.927</t>
        </is>
      </c>
      <c r="D4099" s="400" t="inlineStr">
        <is>
          <t>0985.019.927</t>
        </is>
      </c>
      <c r="E4099" s="402" t="n"/>
      <c r="F4099" s="401" t="inlineStr">
        <is>
          <t>195 Lê Thánh Tôn - Gia Lai</t>
        </is>
      </c>
      <c r="G4099" s="400" t="inlineStr">
        <is>
          <t>GLAI</t>
        </is>
      </c>
      <c r="H4099" s="402" t="n"/>
      <c r="J4099" s="392">
        <f>IFERROR(UPPER(TRIM(B4099))&amp;"|"&amp;UPPER(TRIM(C4099))&amp;"|"&amp;UPPER(TRIM(D4099)),"")</f>
        <v/>
      </c>
    </row>
    <row r="4100" ht="15.75" customHeight="1" s="217">
      <c r="A4100" s="397" t="n">
        <v>4098</v>
      </c>
      <c r="B4100" s="397" t="inlineStr">
        <is>
          <t>KH00057</t>
        </is>
      </c>
      <c r="C4100" s="398" t="inlineStr">
        <is>
          <t>Xưởng anh Biên - Đức Trọng/ 0978.578.757</t>
        </is>
      </c>
      <c r="D4100" s="397" t="inlineStr">
        <is>
          <t>0978578757 / 0978.578.757</t>
        </is>
      </c>
      <c r="E4100" s="399" t="n"/>
      <c r="F4100" s="398" t="inlineStr">
        <is>
          <t>Đức Trọng - Lâm Đồng</t>
        </is>
      </c>
      <c r="G4100" s="397" t="inlineStr">
        <is>
          <t>LDONG</t>
        </is>
      </c>
      <c r="H4100" s="399" t="n"/>
      <c r="J4100" s="392">
        <f>IFERROR(UPPER(TRIM(B4100))&amp;"|"&amp;UPPER(TRIM(C4100))&amp;"|"&amp;UPPER(TRIM(D4100)),"")</f>
        <v/>
      </c>
    </row>
    <row r="4101" ht="15.75" customHeight="1" s="217">
      <c r="A4101" s="400" t="n">
        <v>4099</v>
      </c>
      <c r="B4101" s="400" t="inlineStr">
        <is>
          <t>KH00058</t>
        </is>
      </c>
      <c r="C4101" s="401" t="inlineStr">
        <is>
          <t>Xưởng anh Sấm - Bảo Lộc/ 0918.249.559</t>
        </is>
      </c>
      <c r="D4101" s="400" t="inlineStr">
        <is>
          <t>0918249559 / 0918.249.559</t>
        </is>
      </c>
      <c r="E4101" s="402" t="n"/>
      <c r="F4101" s="401" t="inlineStr">
        <is>
          <t>Bảo Lộc - Lâm Đồng</t>
        </is>
      </c>
      <c r="G4101" s="400" t="inlineStr">
        <is>
          <t>LDONG</t>
        </is>
      </c>
      <c r="H4101" s="402" t="n"/>
      <c r="J4101" s="392">
        <f>IFERROR(UPPER(TRIM(B4101))&amp;"|"&amp;UPPER(TRIM(C4101))&amp;"|"&amp;UPPER(TRIM(D4101)),"")</f>
        <v/>
      </c>
    </row>
    <row r="4102" ht="15.75" customHeight="1" s="217">
      <c r="A4102" s="397" t="n">
        <v>4100</v>
      </c>
      <c r="B4102" s="397" t="inlineStr">
        <is>
          <t>KH00024</t>
        </is>
      </c>
      <c r="C4102" s="398" t="inlineStr">
        <is>
          <t>Xưởng anh Hải - Earka/ 0935.395.777 - Vo: 0932.406.779</t>
        </is>
      </c>
      <c r="D4102" s="397" t="inlineStr">
        <is>
          <t>0935395777 / 0935.395.777 / 0932.406.779</t>
        </is>
      </c>
      <c r="E4102" s="399" t="n"/>
      <c r="F4102" s="398" t="inlineStr">
        <is>
          <t>Earka - Đắk Lắk</t>
        </is>
      </c>
      <c r="G4102" s="397" t="inlineStr">
        <is>
          <t>ÐL</t>
        </is>
      </c>
      <c r="H4102" s="399" t="n"/>
      <c r="J4102" s="392">
        <f>IFERROR(UPPER(TRIM(B4102))&amp;"|"&amp;UPPER(TRIM(C4102))&amp;"|"&amp;UPPER(TRIM(D4102)),"")</f>
        <v/>
      </c>
    </row>
    <row r="4103" ht="15.75" customHeight="1" s="217">
      <c r="A4103" s="400" t="n">
        <v>4101</v>
      </c>
      <c r="B4103" s="400" t="inlineStr">
        <is>
          <t>KH00025</t>
        </is>
      </c>
      <c r="C4103" s="401" t="inlineStr">
        <is>
          <t>Cửa hàng Nam Thắng - ĐắkLắk/ 0986.451.294 - Cno: 0976.451.294/ Fax: 05003.945.090</t>
        </is>
      </c>
      <c r="D4103" s="400" t="inlineStr">
        <is>
          <t>05003.856.276 / 0986.451.294 / 0976.451.294 / 05003.945.090</t>
        </is>
      </c>
      <c r="E4103" s="402" t="n"/>
      <c r="F4103" s="401" t="inlineStr">
        <is>
          <t>122 Nguyễn Tất Thành, TP Buôn Mê Thuột, ĐăkLắk</t>
        </is>
      </c>
      <c r="G4103" s="400" t="inlineStr">
        <is>
          <t>ÐL</t>
        </is>
      </c>
      <c r="H4103" s="402" t="n"/>
      <c r="J4103" s="392">
        <f>IFERROR(UPPER(TRIM(B4103))&amp;"|"&amp;UPPER(TRIM(C4103))&amp;"|"&amp;UPPER(TRIM(D4103)),"")</f>
        <v/>
      </c>
    </row>
    <row r="4104" ht="15.75" customHeight="1" s="217">
      <c r="A4104" s="397" t="n">
        <v>4102</v>
      </c>
      <c r="B4104" s="397" t="inlineStr">
        <is>
          <t>KH00026</t>
        </is>
      </c>
      <c r="C4104" s="398" t="inlineStr">
        <is>
          <t>Cửa hàng Phúc An - Gia Lai/ 0987.777.122/ Fax: 0593.723.344</t>
        </is>
      </c>
      <c r="D4104" s="397" t="inlineStr">
        <is>
          <t>0987777122 / 0987.777.122 / 0593.723.344</t>
        </is>
      </c>
      <c r="E4104" s="399" t="n"/>
      <c r="F4104" s="398" t="inlineStr">
        <is>
          <t>61 Hai Bà Trưng - Pleiku - Gia Lai</t>
        </is>
      </c>
      <c r="G4104" s="397" t="inlineStr">
        <is>
          <t>GLAI</t>
        </is>
      </c>
      <c r="H4104" s="399" t="n"/>
      <c r="J4104" s="392">
        <f>IFERROR(UPPER(TRIM(B4104))&amp;"|"&amp;UPPER(TRIM(C4104))&amp;"|"&amp;UPPER(TRIM(D4104)),"")</f>
        <v/>
      </c>
    </row>
    <row r="4105" ht="15.75" customHeight="1" s="217">
      <c r="A4105" s="400" t="n">
        <v>4103</v>
      </c>
      <c r="B4105" s="400" t="inlineStr">
        <is>
          <t>KH00027</t>
        </is>
      </c>
      <c r="C4105" s="401" t="inlineStr">
        <is>
          <t>Cửa hàng Trúc Lan/ Quế Thông - Phú Yên/ 0979.369.469</t>
        </is>
      </c>
      <c r="D4105" s="400" t="inlineStr">
        <is>
          <t>0576.254239 / 0979.369.469</t>
        </is>
      </c>
      <c r="E4105" s="402" t="n"/>
      <c r="F4105" s="401" t="inlineStr">
        <is>
          <t>454-456 Nguyễn Tất Thành, P9, TP Tuy Hòa, T. Phú Yên</t>
        </is>
      </c>
      <c r="G4105" s="400" t="inlineStr">
        <is>
          <t>PYEN</t>
        </is>
      </c>
      <c r="H4105" s="402" t="n"/>
      <c r="J4105" s="392">
        <f>IFERROR(UPPER(TRIM(B4105))&amp;"|"&amp;UPPER(TRIM(C4105))&amp;"|"&amp;UPPER(TRIM(D4105)),"")</f>
        <v/>
      </c>
    </row>
    <row r="4106" ht="15.75" customHeight="1" s="217">
      <c r="A4106" s="397" t="n">
        <v>4104</v>
      </c>
      <c r="B4106" s="397" t="inlineStr">
        <is>
          <t>KH00028</t>
        </is>
      </c>
      <c r="C4106" s="398" t="inlineStr">
        <is>
          <t>Cửa hàng Việt Thanh - Gia Lai/ 0905.135.775</t>
        </is>
      </c>
      <c r="D4106" s="397" t="inlineStr">
        <is>
          <t>0905.135.775</t>
        </is>
      </c>
      <c r="E4106" s="399" t="n"/>
      <c r="F4106" s="398" t="inlineStr">
        <is>
          <t>03 Trần Phú nối dài - Gia Lai</t>
        </is>
      </c>
      <c r="G4106" s="397" t="inlineStr">
        <is>
          <t>GLAI</t>
        </is>
      </c>
      <c r="H4106" s="399" t="n"/>
      <c r="J4106" s="392">
        <f>IFERROR(UPPER(TRIM(B4106))&amp;"|"&amp;UPPER(TRIM(C4106))&amp;"|"&amp;UPPER(TRIM(D4106)),"")</f>
        <v/>
      </c>
    </row>
    <row r="4107" ht="15.75" customHeight="1" s="217">
      <c r="A4107" s="400" t="n">
        <v>4105</v>
      </c>
      <c r="B4107" s="400" t="inlineStr">
        <is>
          <t>KH00029</t>
        </is>
      </c>
      <c r="C4107" s="401" t="inlineStr">
        <is>
          <t>Cửa hàng Hòa Sa - ĐắkLắk/ chú Hòa 0913.487.019 - Fax: 02623.813.444</t>
        </is>
      </c>
      <c r="D4107" s="400" t="inlineStr">
        <is>
          <t>05003.851.742-05003.813.444 / 0913.487.019 / 02623.813.444</t>
        </is>
      </c>
      <c r="E4107" s="402" t="n"/>
      <c r="F4107" s="401" t="inlineStr">
        <is>
          <t>63 Hùng Vương, TP Buôn Ma Thuột, ĐăkLăk</t>
        </is>
      </c>
      <c r="G4107" s="400" t="inlineStr">
        <is>
          <t>ÐL</t>
        </is>
      </c>
      <c r="H4107" s="402" t="n"/>
      <c r="J4107" s="392">
        <f>IFERROR(UPPER(TRIM(B4107))&amp;"|"&amp;UPPER(TRIM(C4107))&amp;"|"&amp;UPPER(TRIM(D4107)),"")</f>
        <v/>
      </c>
    </row>
    <row r="4108" ht="15.75" customHeight="1" s="217">
      <c r="A4108" s="397" t="n">
        <v>4106</v>
      </c>
      <c r="B4108" s="397" t="inlineStr">
        <is>
          <t>KH00030</t>
        </is>
      </c>
      <c r="C4108" s="398" t="inlineStr">
        <is>
          <t>Công ty Nam Long - Hà Nội</t>
        </is>
      </c>
      <c r="D4108" s="399" t="n"/>
      <c r="E4108" s="399" t="n"/>
      <c r="F4108" s="398" t="inlineStr">
        <is>
          <t>Hà Nội</t>
        </is>
      </c>
      <c r="G4108" s="399" t="n"/>
      <c r="H4108" s="399" t="n"/>
      <c r="J4108" s="392">
        <f>IFERROR(UPPER(TRIM(B4108))&amp;"|"&amp;UPPER(TRIM(C4108))&amp;"|"&amp;UPPER(TRIM(D4108)),"")</f>
        <v/>
      </c>
    </row>
    <row r="4109" ht="15.75" customHeight="1" s="217">
      <c r="A4109" s="400" t="n">
        <v>4107</v>
      </c>
      <c r="B4109" s="400" t="inlineStr">
        <is>
          <t>KH00031</t>
        </is>
      </c>
      <c r="C4109" s="401" t="inlineStr">
        <is>
          <t>Cửa hàng Kim Liên - Huế/ C.Liên: 0984.745.411 - Fax: 0543.864.648</t>
        </is>
      </c>
      <c r="D4109" s="400" t="inlineStr">
        <is>
          <t>0984.745.411 / 0543.864.648</t>
        </is>
      </c>
      <c r="E4109" s="402" t="n"/>
      <c r="F4109" s="401" t="inlineStr">
        <is>
          <t>Số 4 Phạm Văn Thanh - Đô Thị Đông Nam Thủy An - TP Huế</t>
        </is>
      </c>
      <c r="G4109" s="400" t="inlineStr">
        <is>
          <t>HUE</t>
        </is>
      </c>
      <c r="H4109" s="402" t="n"/>
      <c r="J4109" s="392">
        <f>IFERROR(UPPER(TRIM(B4109))&amp;"|"&amp;UPPER(TRIM(C4109))&amp;"|"&amp;UPPER(TRIM(D4109)),"")</f>
        <v/>
      </c>
    </row>
    <row r="4110" ht="15.75" customHeight="1" s="217">
      <c r="A4110" s="397" t="n">
        <v>4108</v>
      </c>
      <c r="B4110" s="397" t="inlineStr">
        <is>
          <t>KH00032</t>
        </is>
      </c>
      <c r="C4110" s="398" t="inlineStr">
        <is>
          <t>Xưởng Hùng Dương - Bảo Lộc/ 0916.743.651</t>
        </is>
      </c>
      <c r="D4110" s="397" t="inlineStr">
        <is>
          <t>0919.093.969-0916.743.651 / 0916.743.651</t>
        </is>
      </c>
      <c r="E4110" s="399" t="n"/>
      <c r="F4110" s="398" t="inlineStr">
        <is>
          <t>903 Trần Phú - Bảo Lộc - Lâm Đồng</t>
        </is>
      </c>
      <c r="G4110" s="397" t="inlineStr">
        <is>
          <t>LDONG</t>
        </is>
      </c>
      <c r="H4110" s="399" t="n"/>
      <c r="J4110" s="392">
        <f>IFERROR(UPPER(TRIM(B4110))&amp;"|"&amp;UPPER(TRIM(C4110))&amp;"|"&amp;UPPER(TRIM(D4110)),"")</f>
        <v/>
      </c>
    </row>
    <row r="4111" ht="15.75" customHeight="1" s="217">
      <c r="A4111" s="400" t="n">
        <v>4109</v>
      </c>
      <c r="B4111" s="400" t="inlineStr">
        <is>
          <t>KH00033</t>
        </is>
      </c>
      <c r="C4111" s="401" t="inlineStr">
        <is>
          <t>Cửa hàng Kiêm Mai - ĐắkLắk/Giang: 0935.532.636 - 0905.460.146 - Fax: 05003.858.794</t>
        </is>
      </c>
      <c r="D4111" s="400" t="inlineStr">
        <is>
          <t>0935.532.636 / 0905.460.146 / 05003.858.794</t>
        </is>
      </c>
      <c r="E4111" s="402" t="n"/>
      <c r="F4111" s="401" t="inlineStr">
        <is>
          <t>Sạp 18, Khu đồ sắt - Phan Đình Giót - ĐăkLăk</t>
        </is>
      </c>
      <c r="G4111" s="400" t="inlineStr">
        <is>
          <t>ÐL</t>
        </is>
      </c>
      <c r="H4111" s="402" t="n"/>
      <c r="J4111" s="392">
        <f>IFERROR(UPPER(TRIM(B4111))&amp;"|"&amp;UPPER(TRIM(C4111))&amp;"|"&amp;UPPER(TRIM(D4111)),"")</f>
        <v/>
      </c>
    </row>
    <row r="4112" ht="15.75" customHeight="1" s="217">
      <c r="A4112" s="397" t="n">
        <v>4110</v>
      </c>
      <c r="B4112" s="397" t="inlineStr">
        <is>
          <t>KH00034</t>
        </is>
      </c>
      <c r="C4112" s="398" t="inlineStr">
        <is>
          <t>Cửa hàng anh Tùng - Ê ka/ 0914.058.463</t>
        </is>
      </c>
      <c r="D4112" s="397" t="inlineStr">
        <is>
          <t>0914058463 / 0914.058.463</t>
        </is>
      </c>
      <c r="E4112" s="399" t="n"/>
      <c r="F4112" s="398" t="inlineStr">
        <is>
          <t>Ê ka - Gia Lai</t>
        </is>
      </c>
      <c r="G4112" s="397" t="inlineStr">
        <is>
          <t>GLAI</t>
        </is>
      </c>
      <c r="H4112" s="399" t="n"/>
      <c r="J4112" s="392">
        <f>IFERROR(UPPER(TRIM(B4112))&amp;"|"&amp;UPPER(TRIM(C4112))&amp;"|"&amp;UPPER(TRIM(D4112)),"")</f>
        <v/>
      </c>
    </row>
    <row r="4113" ht="15.75" customHeight="1" s="217">
      <c r="A4113" s="400" t="n">
        <v>4111</v>
      </c>
      <c r="B4113" s="400" t="inlineStr">
        <is>
          <t>KH00035</t>
        </is>
      </c>
      <c r="C4113" s="401" t="inlineStr">
        <is>
          <t>Cửa hàng Hoàng Tuấn - ĐắkLắk/ 0949.935.566/ 0919.390.968</t>
        </is>
      </c>
      <c r="D4113" s="400" t="inlineStr">
        <is>
          <t>0949935566 / 0949.935.566 / 0919.390.968</t>
        </is>
      </c>
      <c r="E4113" s="402" t="n"/>
      <c r="F4113" s="401" t="inlineStr">
        <is>
          <t>335 Lê Thánh Tông, TP Buôn Mê Thuột, ĐăkLăk</t>
        </is>
      </c>
      <c r="G4113" s="400" t="inlineStr">
        <is>
          <t>ÐL</t>
        </is>
      </c>
      <c r="H4113" s="402" t="n"/>
      <c r="J4113" s="392">
        <f>IFERROR(UPPER(TRIM(B4113))&amp;"|"&amp;UPPER(TRIM(C4113))&amp;"|"&amp;UPPER(TRIM(D4113)),"")</f>
        <v/>
      </c>
    </row>
    <row r="4114" ht="15.75" customHeight="1" s="217">
      <c r="A4114" s="397" t="n">
        <v>4112</v>
      </c>
      <c r="B4114" s="397" t="inlineStr">
        <is>
          <t>KH00036</t>
        </is>
      </c>
      <c r="C4114" s="398" t="inlineStr">
        <is>
          <t>Cửa hàng Trung Kiên - Bảo Lộc/ 0906.717.374 - Fax: 0633.864.533 mail: ngocvan0504@gmail.com</t>
        </is>
      </c>
      <c r="D4114" s="397" t="inlineStr">
        <is>
          <t>0913743101 / 0633.864.533 / 0906.717.374</t>
        </is>
      </c>
      <c r="E4114" s="399" t="n"/>
      <c r="F4114" s="398" t="inlineStr">
        <is>
          <t>286M Trần Phú, Bảo Lộc - Lâm Đồng</t>
        </is>
      </c>
      <c r="G4114" s="397" t="inlineStr">
        <is>
          <t>LDONG</t>
        </is>
      </c>
      <c r="H4114" s="397" t="inlineStr">
        <is>
          <t>gửi công nợ vào mail</t>
        </is>
      </c>
      <c r="J4114" s="392">
        <f>IFERROR(UPPER(TRIM(B4114))&amp;"|"&amp;UPPER(TRIM(C4114))&amp;"|"&amp;UPPER(TRIM(D4114)),"")</f>
        <v/>
      </c>
    </row>
    <row r="4115" ht="15.75" customHeight="1" s="217">
      <c r="A4115" s="400" t="n">
        <v>4113</v>
      </c>
      <c r="B4115" s="400" t="inlineStr">
        <is>
          <t>KH00037</t>
        </is>
      </c>
      <c r="C4115" s="401" t="inlineStr">
        <is>
          <t>Xưởng Trung Mẫn - Phan Thiết/ 0919.187.400</t>
        </is>
      </c>
      <c r="D4115" s="400" t="inlineStr">
        <is>
          <t>06223.898.642 / 0919.187.400</t>
        </is>
      </c>
      <c r="E4115" s="402" t="n"/>
      <c r="F4115" s="401" t="inlineStr">
        <is>
          <t>Phan Thiết - Bình Thuận</t>
        </is>
      </c>
      <c r="G4115" s="400" t="inlineStr">
        <is>
          <t>BTHUAN</t>
        </is>
      </c>
      <c r="H4115" s="402" t="n"/>
      <c r="J4115" s="392">
        <f>IFERROR(UPPER(TRIM(B4115))&amp;"|"&amp;UPPER(TRIM(C4115))&amp;"|"&amp;UPPER(TRIM(D4115)),"")</f>
        <v/>
      </c>
    </row>
    <row r="4116" ht="15.75" customHeight="1" s="217">
      <c r="A4116" s="397" t="n">
        <v>4114</v>
      </c>
      <c r="B4116" s="397" t="inlineStr">
        <is>
          <t>KH00038</t>
        </is>
      </c>
      <c r="C4116" s="398" t="inlineStr">
        <is>
          <t>Cửa hàng Vĩnh Hoàng - Đà Nẵng/ 0903.522.224/ Fax: 05113.651.336</t>
        </is>
      </c>
      <c r="D4116" s="397" t="inlineStr">
        <is>
          <t>0903522224 / 0903.522.224 / 05113.651.336</t>
        </is>
      </c>
      <c r="E4116" s="399" t="n"/>
      <c r="F4116" s="398" t="inlineStr">
        <is>
          <t>83 Lý Thái Tổ, TP Đà Nẵng</t>
        </is>
      </c>
      <c r="G4116" s="397" t="inlineStr">
        <is>
          <t>DNANG</t>
        </is>
      </c>
      <c r="H4116" s="397" t="inlineStr">
        <is>
          <t>Gửi xe Bà Lệ: 0903.555.617/ Hoặc 53N-8748</t>
        </is>
      </c>
      <c r="J4116" s="392">
        <f>IFERROR(UPPER(TRIM(B4116))&amp;"|"&amp;UPPER(TRIM(C4116))&amp;"|"&amp;UPPER(TRIM(D4116)),"")</f>
        <v/>
      </c>
    </row>
    <row r="4117" ht="15.75" customHeight="1" s="217">
      <c r="A4117" s="400" t="n">
        <v>4115</v>
      </c>
      <c r="B4117" s="400" t="inlineStr">
        <is>
          <t>KH00039</t>
        </is>
      </c>
      <c r="C4117" s="401" t="inlineStr">
        <is>
          <t>Cửa hàng Hoàng Hùng - Đức Trọng/ 0914.703.870-Fax:0633.841.687</t>
        </is>
      </c>
      <c r="D4117" s="400" t="inlineStr">
        <is>
          <t>0913703870 / 0633.841.687 / 0914.703.870-</t>
        </is>
      </c>
      <c r="E4117" s="402" t="n"/>
      <c r="F4117" s="401" t="inlineStr">
        <is>
          <t>465 Quốc Lộ 20, TT Liên Nghĩa, Đức Trọng, Lâm Đồng</t>
        </is>
      </c>
      <c r="G4117" s="400" t="inlineStr">
        <is>
          <t>LDONG</t>
        </is>
      </c>
      <c r="H4117" s="402" t="n"/>
      <c r="J4117" s="392">
        <f>IFERROR(UPPER(TRIM(B4117))&amp;"|"&amp;UPPER(TRIM(C4117))&amp;"|"&amp;UPPER(TRIM(D4117)),"")</f>
        <v/>
      </c>
    </row>
    <row r="4118" ht="15.75" customHeight="1" s="217">
      <c r="A4118" s="397" t="n">
        <v>4116</v>
      </c>
      <c r="B4118" s="397" t="inlineStr">
        <is>
          <t>KH00040</t>
        </is>
      </c>
      <c r="C4118" s="398" t="inlineStr">
        <is>
          <t>Công ty cổ phần Máy và thiết bị Phú Toàn/ Mr. Khơi - 0987.557.888/ Mr. Toàn 0985.631.515</t>
        </is>
      </c>
      <c r="D4118" s="397" t="inlineStr">
        <is>
          <t>0987.557.888 / 0985.631.515</t>
        </is>
      </c>
      <c r="E4118" s="399" t="n"/>
      <c r="F4118" s="398" t="inlineStr">
        <is>
          <t>Số 15, Ngõ 1043, Giải Phóng, P.Thịnh Liệt, Q.Hoàng Mai, Hà Nội</t>
        </is>
      </c>
      <c r="G4118" s="399" t="n"/>
      <c r="H4118" s="397" t="inlineStr">
        <is>
          <t>Gửi Máy Bay tại 25A1 Cửu Long, Cty Tiến Ngọc - 0283.842.1281</t>
        </is>
      </c>
      <c r="J4118" s="392">
        <f>IFERROR(UPPER(TRIM(B4118))&amp;"|"&amp;UPPER(TRIM(C4118))&amp;"|"&amp;UPPER(TRIM(D4118)),"")</f>
        <v/>
      </c>
    </row>
    <row r="4119" ht="15.75" customHeight="1" s="217">
      <c r="A4119" s="400" t="n">
        <v>4117</v>
      </c>
      <c r="B4119" s="400" t="inlineStr">
        <is>
          <t>KH00041</t>
        </is>
      </c>
      <c r="C4119" s="401" t="inlineStr">
        <is>
          <t>Cửa hàng Ngọc Ân - Quảng Ngãi/ DĐ:0914.012.957 - CĐ:0255.3823.137</t>
        </is>
      </c>
      <c r="D4119" s="400" t="inlineStr">
        <is>
          <t>0553823137 / 0255.3823.137 / 0914.012.957</t>
        </is>
      </c>
      <c r="E4119" s="402" t="n"/>
      <c r="F4119" s="401" t="inlineStr">
        <is>
          <t>582 Quang Trung - Quảng Ngãi</t>
        </is>
      </c>
      <c r="G4119" s="400" t="inlineStr">
        <is>
          <t>QUNGAI</t>
        </is>
      </c>
      <c r="H4119" s="402" t="n"/>
      <c r="J4119" s="392">
        <f>IFERROR(UPPER(TRIM(B4119))&amp;"|"&amp;UPPER(TRIM(C4119))&amp;"|"&amp;UPPER(TRIM(D4119)),"")</f>
        <v/>
      </c>
    </row>
    <row r="4120" ht="15.75" customHeight="1" s="217">
      <c r="A4120" s="397" t="n">
        <v>4118</v>
      </c>
      <c r="B4120" s="397" t="inlineStr">
        <is>
          <t>KH00042</t>
        </is>
      </c>
      <c r="C4120" s="398" t="inlineStr">
        <is>
          <t>Xưởng Tăng Trí - Gia Lai/ A.Trí: 01647.761.404</t>
        </is>
      </c>
      <c r="D4120" s="397" t="inlineStr">
        <is>
          <t>01647761404 / 01647.761.404</t>
        </is>
      </c>
      <c r="E4120" s="399" t="n"/>
      <c r="F4120" s="398" t="inlineStr">
        <is>
          <t>79 Lê Đại Hành, TP Pleiku, Gia Lai</t>
        </is>
      </c>
      <c r="G4120" s="397" t="inlineStr">
        <is>
          <t>GLAI</t>
        </is>
      </c>
      <c r="H4120" s="399" t="n"/>
      <c r="J4120" s="392">
        <f>IFERROR(UPPER(TRIM(B4120))&amp;"|"&amp;UPPER(TRIM(C4120))&amp;"|"&amp;UPPER(TRIM(D4120)),"")</f>
        <v/>
      </c>
    </row>
    <row r="4121" ht="15.75" customHeight="1" s="217">
      <c r="A4121" s="400" t="n">
        <v>4119</v>
      </c>
      <c r="B4121" s="400" t="inlineStr">
        <is>
          <t>KH00043</t>
        </is>
      </c>
      <c r="C4121" s="401" t="inlineStr">
        <is>
          <t>Cửa hàng Hà Phùng - Quảng Ngãi/ 0914.226.839/ Fax: 0553.823.441</t>
        </is>
      </c>
      <c r="D4121" s="400" t="inlineStr">
        <is>
          <t>0914.226.839 / 0553.823.441</t>
        </is>
      </c>
      <c r="E4121" s="402" t="n"/>
      <c r="F4121" s="401" t="inlineStr">
        <is>
          <t>28 Trần Hưng Đạo - Quảng Ngãi</t>
        </is>
      </c>
      <c r="G4121" s="400" t="inlineStr">
        <is>
          <t>QUNGAI</t>
        </is>
      </c>
      <c r="H4121" s="402" t="n"/>
      <c r="J4121" s="392">
        <f>IFERROR(UPPER(TRIM(B4121))&amp;"|"&amp;UPPER(TRIM(C4121))&amp;"|"&amp;UPPER(TRIM(D4121)),"")</f>
        <v/>
      </c>
    </row>
    <row r="4122" ht="15.75" customHeight="1" s="217">
      <c r="A4122" s="397" t="n">
        <v>4120</v>
      </c>
      <c r="B4122" s="397" t="inlineStr">
        <is>
          <t>KH00044</t>
        </is>
      </c>
      <c r="C4122" s="398" t="inlineStr">
        <is>
          <t>Cửa hàng anh Phong - Phú Yên/ 0942.031.591 - fax: 0573.847.894</t>
        </is>
      </c>
      <c r="D4122" s="397" t="inlineStr">
        <is>
          <t>0942.031.591 / 0573.847.894</t>
        </is>
      </c>
      <c r="E4122" s="399" t="n"/>
      <c r="F4122" s="398" t="inlineStr">
        <is>
          <t>Km5, Thôn Phú Vang, Xã Bình Kiến, TP Tuy Hòa, Phú Yên</t>
        </is>
      </c>
      <c r="G4122" s="397" t="inlineStr">
        <is>
          <t>PYEN</t>
        </is>
      </c>
      <c r="H4122" s="399" t="n"/>
      <c r="J4122" s="392">
        <f>IFERROR(UPPER(TRIM(B4122))&amp;"|"&amp;UPPER(TRIM(C4122))&amp;"|"&amp;UPPER(TRIM(D4122)),"")</f>
        <v/>
      </c>
    </row>
    <row r="4123" ht="15.75" customHeight="1" s="217">
      <c r="A4123" s="400" t="n">
        <v>4121</v>
      </c>
      <c r="B4123" s="400" t="inlineStr">
        <is>
          <t>KH00045</t>
        </is>
      </c>
      <c r="C4123" s="401" t="inlineStr">
        <is>
          <t>Công ty TNHH 1TV làm giàu Hưng Thịnh</t>
        </is>
      </c>
      <c r="D4123" s="400" t="inlineStr">
        <is>
          <t>0612.222.801-0913.789.894</t>
        </is>
      </c>
      <c r="E4123" s="402" t="n"/>
      <c r="F4123" s="401" t="inlineStr">
        <is>
          <t>123/3A Phan Chu Trinh - Quang Vinh - BH -ĐN</t>
        </is>
      </c>
      <c r="G4123" s="402" t="n"/>
      <c r="H4123" s="402" t="n"/>
      <c r="J4123" s="392">
        <f>IFERROR(UPPER(TRIM(B4123))&amp;"|"&amp;UPPER(TRIM(C4123))&amp;"|"&amp;UPPER(TRIM(D4123)),"")</f>
        <v/>
      </c>
    </row>
    <row r="4124" ht="15.75" customHeight="1" s="217">
      <c r="A4124" s="397" t="n">
        <v>4122</v>
      </c>
      <c r="B4124" s="397" t="inlineStr">
        <is>
          <t>KH00046</t>
        </is>
      </c>
      <c r="C4124" s="398" t="inlineStr">
        <is>
          <t>Xưởng Hoàng Thiện - Gia Lai/ 01699.434.661</t>
        </is>
      </c>
      <c r="D4124" s="397" t="inlineStr">
        <is>
          <t>0593.825.175 / 01699.434.661</t>
        </is>
      </c>
      <c r="E4124" s="399" t="n"/>
      <c r="F4124" s="398" t="inlineStr">
        <is>
          <t>1018 Phạm Văn Đồng, Pleiku, Gia Lai</t>
        </is>
      </c>
      <c r="G4124" s="397" t="inlineStr">
        <is>
          <t>GLAI</t>
        </is>
      </c>
      <c r="H4124" s="399" t="n"/>
      <c r="J4124" s="392">
        <f>IFERROR(UPPER(TRIM(B4124))&amp;"|"&amp;UPPER(TRIM(C4124))&amp;"|"&amp;UPPER(TRIM(D4124)),"")</f>
        <v/>
      </c>
    </row>
    <row r="4125" ht="15.75" customHeight="1" s="217">
      <c r="A4125" s="400" t="n">
        <v>4123</v>
      </c>
      <c r="B4125" s="400" t="inlineStr">
        <is>
          <t>KH00047</t>
        </is>
      </c>
      <c r="C4125" s="401" t="inlineStr">
        <is>
          <t>Xưởng anh Chương - Quảng Ninh/ 0982.015.594</t>
        </is>
      </c>
      <c r="D4125" s="400" t="inlineStr">
        <is>
          <t>0982015594 / 0982.015.594</t>
        </is>
      </c>
      <c r="E4125" s="402" t="n"/>
      <c r="F4125" s="401" t="inlineStr">
        <is>
          <t>Quảng Ninh</t>
        </is>
      </c>
      <c r="G4125" s="402" t="n"/>
      <c r="H4125" s="402" t="n"/>
      <c r="J4125" s="392">
        <f>IFERROR(UPPER(TRIM(B4125))&amp;"|"&amp;UPPER(TRIM(C4125))&amp;"|"&amp;UPPER(TRIM(D4125)),"")</f>
        <v/>
      </c>
    </row>
    <row r="4126" ht="15.75" customHeight="1" s="217">
      <c r="A4126" s="397" t="n">
        <v>4124</v>
      </c>
      <c r="B4126" s="397" t="inlineStr">
        <is>
          <t>KH00048</t>
        </is>
      </c>
      <c r="C4126" s="398" t="inlineStr">
        <is>
          <t>Xưởng Việt Anh - Gia Lai/ 0907.862.422</t>
        </is>
      </c>
      <c r="D4126" s="397" t="inlineStr">
        <is>
          <t>0907862422 / 0907.862.422</t>
        </is>
      </c>
      <c r="E4126" s="399" t="n"/>
      <c r="F4126" s="398" t="inlineStr">
        <is>
          <t>Gia Lai</t>
        </is>
      </c>
      <c r="G4126" s="397" t="inlineStr">
        <is>
          <t>GLAI</t>
        </is>
      </c>
      <c r="H4126" s="399" t="n"/>
      <c r="J4126" s="392">
        <f>IFERROR(UPPER(TRIM(B4126))&amp;"|"&amp;UPPER(TRIM(C4126))&amp;"|"&amp;UPPER(TRIM(D4126)),"")</f>
        <v/>
      </c>
    </row>
    <row r="4127" ht="15.75" customHeight="1" s="217">
      <c r="A4127" s="400" t="n">
        <v>4125</v>
      </c>
      <c r="B4127" s="400" t="inlineStr">
        <is>
          <t>KH00049</t>
        </is>
      </c>
      <c r="C4127" s="401" t="inlineStr">
        <is>
          <t>Xưởng anh Thể - Huế/ 0905.101.031Fax: 0543.814.531</t>
        </is>
      </c>
      <c r="D4127" s="400" t="inlineStr">
        <is>
          <t>0905101031 / 0905.101.031 / 0543.814.531</t>
        </is>
      </c>
      <c r="E4127" s="402" t="n"/>
      <c r="F4127" s="401" t="inlineStr">
        <is>
          <t>Thừa Thiên Huế</t>
        </is>
      </c>
      <c r="G4127" s="400" t="inlineStr">
        <is>
          <t>HUE</t>
        </is>
      </c>
      <c r="H4127" s="402" t="n"/>
      <c r="J4127" s="392">
        <f>IFERROR(UPPER(TRIM(B4127))&amp;"|"&amp;UPPER(TRIM(C4127))&amp;"|"&amp;UPPER(TRIM(D4127)),"")</f>
        <v/>
      </c>
    </row>
    <row r="4128" ht="15.75" customHeight="1" s="217">
      <c r="A4128" s="397" t="n">
        <v>4126</v>
      </c>
      <c r="B4128" s="397" t="inlineStr">
        <is>
          <t>KH00050</t>
        </is>
      </c>
      <c r="C4128" s="398" t="inlineStr">
        <is>
          <t>Cửa Hàng Lợi Tâm- Huế/ 0905.484.818 Vo: 0987.484.818 - Fax: 0543.954.594</t>
        </is>
      </c>
      <c r="D4128" s="397" t="inlineStr">
        <is>
          <t>0905484818 / 0905.484.818 / 0987.484.818 / 0543.954.594</t>
        </is>
      </c>
      <c r="E4128" s="399" t="n"/>
      <c r="F4128" s="398" t="inlineStr">
        <is>
          <t>Thừa thiên Huế</t>
        </is>
      </c>
      <c r="G4128" s="397" t="inlineStr">
        <is>
          <t>HUE</t>
        </is>
      </c>
      <c r="H4128" s="399" t="n"/>
      <c r="J4128" s="392">
        <f>IFERROR(UPPER(TRIM(B4128))&amp;"|"&amp;UPPER(TRIM(C4128))&amp;"|"&amp;UPPER(TRIM(D4128)),"")</f>
        <v/>
      </c>
    </row>
    <row r="4129" ht="15.75" customHeight="1" s="217">
      <c r="A4129" s="400" t="n">
        <v>4127</v>
      </c>
      <c r="B4129" s="400" t="inlineStr">
        <is>
          <t>KH00051</t>
        </is>
      </c>
      <c r="C4129" s="401" t="inlineStr">
        <is>
          <t>Khách hàng</t>
        </is>
      </c>
      <c r="D4129" s="402" t="n"/>
      <c r="E4129" s="402" t="n"/>
      <c r="F4129" s="401" t="inlineStr">
        <is>
          <t>Sài Gòn</t>
        </is>
      </c>
      <c r="G4129" s="400" t="inlineStr">
        <is>
          <t>SG/HCM</t>
        </is>
      </c>
      <c r="H4129" s="402" t="n"/>
      <c r="J4129" s="392">
        <f>IFERROR(UPPER(TRIM(B4129))&amp;"|"&amp;UPPER(TRIM(C4129))&amp;"|"&amp;UPPER(TRIM(D4129)),"")</f>
        <v/>
      </c>
    </row>
    <row r="4130" ht="15.75" customHeight="1" s="217">
      <c r="A4130" s="397" t="n">
        <v>4128</v>
      </c>
      <c r="B4130" s="397" t="inlineStr">
        <is>
          <t>KH00052</t>
        </is>
      </c>
      <c r="C4130" s="398" t="inlineStr">
        <is>
          <t>Cửa hàng Quang Sáng - Đức Trọng/ 0988.404.095 - Fax: 0633.844.757</t>
        </is>
      </c>
      <c r="D4130" s="397" t="inlineStr">
        <is>
          <t>0633.245.881 / 0633.844.757 / 0988.404.095</t>
        </is>
      </c>
      <c r="E4130" s="399" t="n"/>
      <c r="F4130" s="398" t="inlineStr">
        <is>
          <t>34 Thống Nhất - Liên Nghĩa - Đức Trung - Đức trọng - Lâm Đồng</t>
        </is>
      </c>
      <c r="G4130" s="397" t="inlineStr">
        <is>
          <t>LDONG</t>
        </is>
      </c>
      <c r="H4130" s="399" t="n"/>
      <c r="J4130" s="392">
        <f>IFERROR(UPPER(TRIM(B4130))&amp;"|"&amp;UPPER(TRIM(C4130))&amp;"|"&amp;UPPER(TRIM(D4130)),"")</f>
        <v/>
      </c>
    </row>
    <row r="4131" ht="15.75" customHeight="1" s="217">
      <c r="A4131" s="400" t="n">
        <v>4129</v>
      </c>
      <c r="B4131" s="400" t="inlineStr">
        <is>
          <t>KH00053</t>
        </is>
      </c>
      <c r="C4131" s="401" t="inlineStr">
        <is>
          <t>Cửa hàng Thái Toàn - Phú Yên/ 0905.678.498</t>
        </is>
      </c>
      <c r="D4131" s="400" t="inlineStr">
        <is>
          <t>0573.828.717 / 0905.678.498</t>
        </is>
      </c>
      <c r="E4131" s="402" t="n"/>
      <c r="F4131" s="401" t="inlineStr">
        <is>
          <t>184 Nguyễn Tất Thành, P8, TP Tuy Hòa, Phú Yên</t>
        </is>
      </c>
      <c r="G4131" s="400" t="inlineStr">
        <is>
          <t>PYEN</t>
        </is>
      </c>
      <c r="H4131" s="402" t="n"/>
      <c r="J4131" s="392">
        <f>IFERROR(UPPER(TRIM(B4131))&amp;"|"&amp;UPPER(TRIM(C4131))&amp;"|"&amp;UPPER(TRIM(D4131)),"")</f>
        <v/>
      </c>
    </row>
    <row r="4132" ht="15.75" customHeight="1" s="217">
      <c r="A4132" s="397" t="n">
        <v>4130</v>
      </c>
      <c r="B4132" s="397" t="inlineStr">
        <is>
          <t>KH00054</t>
        </is>
      </c>
      <c r="C4132" s="398" t="inlineStr">
        <is>
          <t>Xưởng Ngọc Khánh - Nha Trang/ C.Hạnh: 0905.269.595 - 0582.221.439</t>
        </is>
      </c>
      <c r="D4132" s="397" t="inlineStr">
        <is>
          <t>0582221439- 0905.269.595 / 0905.269.595 / 0582.221.439</t>
        </is>
      </c>
      <c r="E4132" s="399" t="n"/>
      <c r="F4132" s="398" t="inlineStr">
        <is>
          <t>Thôn Vĩnh Xuân, xã Vĩnh Thái, Nha Trang (đường lên Phong Châu)</t>
        </is>
      </c>
      <c r="G4132" s="397" t="inlineStr">
        <is>
          <t>NTRANG</t>
        </is>
      </c>
      <c r="H4132" s="399" t="n"/>
      <c r="J4132" s="392">
        <f>IFERROR(UPPER(TRIM(B4132))&amp;"|"&amp;UPPER(TRIM(C4132))&amp;"|"&amp;UPPER(TRIM(D4132)),"")</f>
        <v/>
      </c>
    </row>
    <row r="4133" ht="15.75" customHeight="1" s="217">
      <c r="A4133" s="400" t="n">
        <v>4131</v>
      </c>
      <c r="B4133" s="400" t="inlineStr">
        <is>
          <t>KH00055</t>
        </is>
      </c>
      <c r="C4133" s="401" t="inlineStr">
        <is>
          <t>Cửa hàng Trường Thọ - Bình Dương/ 0913.757.599 - Fax: 0613.680.423</t>
        </is>
      </c>
      <c r="D4133" s="400" t="inlineStr">
        <is>
          <t>0613.680.423 / 0913.757.599</t>
        </is>
      </c>
      <c r="E4133" s="402" t="n"/>
      <c r="F4133" s="401" t="inlineStr">
        <is>
          <t>253C, Phố Hiệp Thắng, P.Bình Thắng, Dĩ An, Bình Dương</t>
        </is>
      </c>
      <c r="G4133" s="400" t="inlineStr">
        <is>
          <t>SG/HCM</t>
        </is>
      </c>
      <c r="H4133" s="402" t="n"/>
      <c r="J4133" s="392">
        <f>IFERROR(UPPER(TRIM(B4133))&amp;"|"&amp;UPPER(TRIM(C4133))&amp;"|"&amp;UPPER(TRIM(D4133)),"")</f>
        <v/>
      </c>
    </row>
    <row r="4134" ht="15.75" customHeight="1" s="217">
      <c r="A4134" s="397" t="n">
        <v>4132</v>
      </c>
      <c r="B4134" s="397" t="inlineStr">
        <is>
          <t>KH00022</t>
        </is>
      </c>
      <c r="C4134" s="398" t="inlineStr">
        <is>
          <t>Cửa hàng Hồng Xưởng - Gia Lai/ 0905.433.229/ Fax: 0593.823.621</t>
        </is>
      </c>
      <c r="D4134" s="397" t="inlineStr">
        <is>
          <t>0905433229 / 0905.433.229 / 0593.823.621</t>
        </is>
      </c>
      <c r="E4134" s="399" t="n"/>
      <c r="F4134" s="398" t="inlineStr">
        <is>
          <t>451-479 Hùng Vương, P.Phù Đổng, TP Pleiku, Gia Lai</t>
        </is>
      </c>
      <c r="G4134" s="397" t="inlineStr">
        <is>
          <t>GLAI</t>
        </is>
      </c>
      <c r="H4134" s="399" t="n"/>
      <c r="J4134" s="392">
        <f>IFERROR(UPPER(TRIM(B4134))&amp;"|"&amp;UPPER(TRIM(C4134))&amp;"|"&amp;UPPER(TRIM(D4134)),"")</f>
        <v/>
      </c>
    </row>
    <row r="4135" ht="15.75" customHeight="1" s="217">
      <c r="A4135" s="400" t="n">
        <v>4133</v>
      </c>
      <c r="B4135" s="400" t="inlineStr">
        <is>
          <t>KH00020</t>
        </is>
      </c>
      <c r="C4135" s="401" t="inlineStr">
        <is>
          <t>Anh Cường - Nha Trang/ 0961.279.415</t>
        </is>
      </c>
      <c r="D4135" s="400" t="inlineStr">
        <is>
          <t>0961.279.415</t>
        </is>
      </c>
      <c r="E4135" s="402" t="n"/>
      <c r="F4135" s="401" t="inlineStr">
        <is>
          <t>Nha Trang - Khánh Hòa</t>
        </is>
      </c>
      <c r="G4135" s="400" t="inlineStr">
        <is>
          <t>NTRANG</t>
        </is>
      </c>
      <c r="H4135" s="402" t="n"/>
      <c r="J4135" s="392">
        <f>IFERROR(UPPER(TRIM(B4135))&amp;"|"&amp;UPPER(TRIM(C4135))&amp;"|"&amp;UPPER(TRIM(D4135)),"")</f>
        <v/>
      </c>
    </row>
    <row r="4136" ht="15.75" customHeight="1" s="217">
      <c r="A4136" s="397" t="n">
        <v>4134</v>
      </c>
      <c r="B4136" s="397" t="inlineStr">
        <is>
          <t>KH00021</t>
        </is>
      </c>
      <c r="C4136" s="398" t="inlineStr">
        <is>
          <t>Cửa hàng Lâm Hải - TPHCM/SĐT:0903.699.949</t>
        </is>
      </c>
      <c r="D4136" s="397" t="inlineStr">
        <is>
          <t>0903699949 / 0903.699.949</t>
        </is>
      </c>
      <c r="E4136" s="399" t="n"/>
      <c r="F4136" s="398" t="inlineStr">
        <is>
          <t>797B, Xa lộ Hà Nội, TPHCM</t>
        </is>
      </c>
      <c r="G4136" s="397" t="inlineStr">
        <is>
          <t>SG/HCM</t>
        </is>
      </c>
      <c r="H4136" s="399" t="n"/>
      <c r="J4136" s="392">
        <f>IFERROR(UPPER(TRIM(B4136))&amp;"|"&amp;UPPER(TRIM(C4136))&amp;"|"&amp;UPPER(TRIM(D4136)),"")</f>
        <v/>
      </c>
    </row>
    <row r="4137" ht="15.75" customHeight="1" s="217">
      <c r="A4137" s="400" t="n">
        <v>4135</v>
      </c>
      <c r="B4137" s="400" t="inlineStr">
        <is>
          <t>KH00016</t>
        </is>
      </c>
      <c r="C4137" s="401" t="inlineStr">
        <is>
          <t>Anh Quyển - Kiên Giang / 0932.198.453</t>
        </is>
      </c>
      <c r="D4137" s="400" t="inlineStr">
        <is>
          <t>0932.198.453</t>
        </is>
      </c>
      <c r="E4137" s="402" t="n"/>
      <c r="F4137" s="401" t="inlineStr">
        <is>
          <t>Rạch Sỏi, Kiên Giang</t>
        </is>
      </c>
      <c r="G4137" s="400" t="inlineStr">
        <is>
          <t>KG</t>
        </is>
      </c>
      <c r="H4137" s="402" t="n"/>
      <c r="J4137" s="392">
        <f>IFERROR(UPPER(TRIM(B4137))&amp;"|"&amp;UPPER(TRIM(C4137))&amp;"|"&amp;UPPER(TRIM(D4137)),"")</f>
        <v/>
      </c>
    </row>
    <row r="4138" ht="15.75" customHeight="1" s="217">
      <c r="A4138" s="397" t="n">
        <v>4136</v>
      </c>
      <c r="B4138" s="397" t="inlineStr">
        <is>
          <t>KH00017</t>
        </is>
      </c>
      <c r="C4138" s="398" t="inlineStr">
        <is>
          <t>Công ty Thái Bình - TPHCM/ 08.3603.0864 - 0982.909.289, Fax: 6281.8493</t>
        </is>
      </c>
      <c r="D4138" s="397" t="inlineStr">
        <is>
          <t>08.3603.0864 / 0982.909.289</t>
        </is>
      </c>
      <c r="E4138" s="399" t="n"/>
      <c r="F4138" s="398" t="inlineStr">
        <is>
          <t>Thủ Đức, TPHCM</t>
        </is>
      </c>
      <c r="G4138" s="397" t="inlineStr">
        <is>
          <t>SG/HCM</t>
        </is>
      </c>
      <c r="H4138" s="399" t="n"/>
      <c r="J4138" s="392">
        <f>IFERROR(UPPER(TRIM(B4138))&amp;"|"&amp;UPPER(TRIM(C4138))&amp;"|"&amp;UPPER(TRIM(D4138)),"")</f>
        <v/>
      </c>
    </row>
    <row r="4139" ht="15.75" customHeight="1" s="217">
      <c r="A4139" s="400" t="n">
        <v>4137</v>
      </c>
      <c r="B4139" s="400" t="inlineStr">
        <is>
          <t>KH00018</t>
        </is>
      </c>
      <c r="C4139" s="401" t="inlineStr">
        <is>
          <t>Cửa hàng Phước Thạnh - Quảng Nam/ Anh Tâm - 0905.942.498- Fax:05103.834.877</t>
        </is>
      </c>
      <c r="D4139" s="400" t="inlineStr">
        <is>
          <t>05103.851.393 / 0905.942.498- / 05103.834.877</t>
        </is>
      </c>
      <c r="E4139" s="402" t="n"/>
      <c r="F4139" s="401" t="inlineStr">
        <is>
          <t>500-502 Phan Chu Trinh, TP Tam kỳ, Quảng Nam</t>
        </is>
      </c>
      <c r="G4139" s="400" t="inlineStr">
        <is>
          <t>QNAM</t>
        </is>
      </c>
      <c r="H4139" s="402" t="n"/>
      <c r="J4139" s="392">
        <f>IFERROR(UPPER(TRIM(B4139))&amp;"|"&amp;UPPER(TRIM(C4139))&amp;"|"&amp;UPPER(TRIM(D4139)),"")</f>
        <v/>
      </c>
    </row>
    <row r="4140" ht="15.75" customHeight="1" s="217">
      <c r="A4140" s="397" t="n">
        <v>4138</v>
      </c>
      <c r="B4140" s="397" t="inlineStr">
        <is>
          <t>KH00019</t>
        </is>
      </c>
      <c r="C4140" s="398" t="inlineStr">
        <is>
          <t>Cửa hàng Bình An (Vinh Sơn) - Quy Nhơn/ DĐ: 0935.492.688</t>
        </is>
      </c>
      <c r="D4140" s="397" t="inlineStr">
        <is>
          <t>0935.492.688</t>
        </is>
      </c>
      <c r="E4140" s="399" t="n"/>
      <c r="F4140" s="398" t="inlineStr">
        <is>
          <t>124 Lạc Long Quân, TP Quy Nhơn, Bình Định</t>
        </is>
      </c>
      <c r="G4140" s="397" t="inlineStr">
        <is>
          <t>BDINH</t>
        </is>
      </c>
      <c r="H4140" s="399" t="n"/>
      <c r="J4140" s="392">
        <f>IFERROR(UPPER(TRIM(B4140))&amp;"|"&amp;UPPER(TRIM(C4140))&amp;"|"&amp;UPPER(TRIM(D4140)),"")</f>
        <v/>
      </c>
    </row>
    <row r="4141" ht="15.75" customHeight="1" s="217">
      <c r="A4141" s="400" t="n">
        <v>4139</v>
      </c>
      <c r="B4141" s="400" t="inlineStr">
        <is>
          <t>KH00014</t>
        </is>
      </c>
      <c r="C4141" s="401" t="inlineStr">
        <is>
          <t>Cửa hàng Thế Vũ - Quy Nhơn/ Anh Vũ-0905.644.431</t>
        </is>
      </c>
      <c r="D4141" s="400" t="inlineStr">
        <is>
          <t>0563.824.943 / 0905.644.431</t>
        </is>
      </c>
      <c r="E4141" s="402" t="n"/>
      <c r="F4141" s="401" t="inlineStr">
        <is>
          <t>593 Trần Hưng Đạo - TP Quy Nhơn - Bình Định</t>
        </is>
      </c>
      <c r="G4141" s="400" t="inlineStr">
        <is>
          <t>BDINH</t>
        </is>
      </c>
      <c r="H4141" s="402" t="n"/>
      <c r="J4141" s="392">
        <f>IFERROR(UPPER(TRIM(B4141))&amp;"|"&amp;UPPER(TRIM(C4141))&amp;"|"&amp;UPPER(TRIM(D4141)),"")</f>
        <v/>
      </c>
    </row>
    <row r="4142" ht="15.75" customHeight="1" s="217">
      <c r="A4142" s="397" t="n">
        <v>4140</v>
      </c>
      <c r="B4142" s="397" t="inlineStr">
        <is>
          <t>KH00015</t>
        </is>
      </c>
      <c r="C4142" s="398" t="inlineStr">
        <is>
          <t>(không dùng) Anh Tý - Long An / 0944.286.667</t>
        </is>
      </c>
      <c r="D4142" s="397" t="inlineStr">
        <is>
          <t>0944.286.667</t>
        </is>
      </c>
      <c r="E4142" s="399" t="n"/>
      <c r="F4142" s="398" t="inlineStr">
        <is>
          <t>Long An</t>
        </is>
      </c>
      <c r="G4142" s="397" t="inlineStr">
        <is>
          <t>LA</t>
        </is>
      </c>
      <c r="H4142" s="399" t="n"/>
      <c r="J4142" s="392">
        <f>IFERROR(UPPER(TRIM(B4142))&amp;"|"&amp;UPPER(TRIM(C4142))&amp;"|"&amp;UPPER(TRIM(D4142)),"")</f>
        <v/>
      </c>
    </row>
    <row r="4143" ht="15.75" customHeight="1" s="217">
      <c r="A4143" s="400" t="n">
        <v>4141</v>
      </c>
      <c r="B4143" s="400" t="inlineStr">
        <is>
          <t>KH00012</t>
        </is>
      </c>
      <c r="C4143" s="401" t="inlineStr">
        <is>
          <t>Xưởng anh Đức - Nha Trang/ 0913.454.492</t>
        </is>
      </c>
      <c r="D4143" s="400" t="inlineStr">
        <is>
          <t>0913454492 / 0913.454.492</t>
        </is>
      </c>
      <c r="E4143" s="402" t="n"/>
      <c r="F4143" s="401" t="inlineStr">
        <is>
          <t>56/1 Lương Văn Can - Khu AT - P.Vĩnh Hải - TP. Nha Trang - Khánh Hòa</t>
        </is>
      </c>
      <c r="G4143" s="400" t="inlineStr">
        <is>
          <t>NTRANG</t>
        </is>
      </c>
      <c r="H4143" s="402" t="n"/>
      <c r="J4143" s="392">
        <f>IFERROR(UPPER(TRIM(B4143))&amp;"|"&amp;UPPER(TRIM(C4143))&amp;"|"&amp;UPPER(TRIM(D4143)),"")</f>
        <v/>
      </c>
    </row>
    <row r="4144" ht="15.75" customHeight="1" s="217">
      <c r="A4144" s="397" t="n">
        <v>4142</v>
      </c>
      <c r="B4144" s="397" t="inlineStr">
        <is>
          <t>KH00006</t>
        </is>
      </c>
      <c r="C4144" s="398" t="inlineStr">
        <is>
          <t>Xưởng anh Thắng - Phú Bổn/ 0905.430.817 - Fax: 0593.657.170</t>
        </is>
      </c>
      <c r="D4144" s="397" t="inlineStr">
        <is>
          <t>0905430817 / 0905.430.817 / 0593.657.170</t>
        </is>
      </c>
      <c r="E4144" s="399" t="n"/>
      <c r="F4144" s="398" t="inlineStr">
        <is>
          <t>334 Trần Hưng Đạo, TT Ayunpa, Gia Lai</t>
        </is>
      </c>
      <c r="G4144" s="397" t="inlineStr">
        <is>
          <t>GLAI</t>
        </is>
      </c>
      <c r="H4144" s="399" t="n"/>
      <c r="J4144" s="392">
        <f>IFERROR(UPPER(TRIM(B4144))&amp;"|"&amp;UPPER(TRIM(C4144))&amp;"|"&amp;UPPER(TRIM(D4144)),"")</f>
        <v/>
      </c>
    </row>
    <row r="4145" ht="15.75" customHeight="1" s="217">
      <c r="A4145" s="400" t="n">
        <v>4143</v>
      </c>
      <c r="B4145" s="400" t="inlineStr">
        <is>
          <t>KH00007</t>
        </is>
      </c>
      <c r="C4145" s="401" t="inlineStr">
        <is>
          <t>Cửa hàng Trường Phát - Nha Trang/ 0905.265.897 - cno: 0902.049.830</t>
        </is>
      </c>
      <c r="D4145" s="400" t="inlineStr">
        <is>
          <t>058.381.950 / 0905.265.897 / 0902.049.830</t>
        </is>
      </c>
      <c r="E4145" s="402" t="n"/>
      <c r="F4145" s="401" t="inlineStr">
        <is>
          <t>84, Đường 2/4, TP Nha Trang</t>
        </is>
      </c>
      <c r="G4145" s="400" t="inlineStr">
        <is>
          <t>NTRANG</t>
        </is>
      </c>
      <c r="H4145" s="402" t="n"/>
      <c r="J4145" s="392">
        <f>IFERROR(UPPER(TRIM(B4145))&amp;"|"&amp;UPPER(TRIM(C4145))&amp;"|"&amp;UPPER(TRIM(D4145)),"")</f>
        <v/>
      </c>
    </row>
    <row r="4146" ht="15.75" customHeight="1" s="217">
      <c r="A4146" s="397" t="n">
        <v>4144</v>
      </c>
      <c r="B4146" s="397" t="inlineStr">
        <is>
          <t>KH00009</t>
        </is>
      </c>
      <c r="C4146" s="398" t="inlineStr">
        <is>
          <t>Cửa hàng chị Trinh - Đà Nẵng/ 0944.955.688 FAX:05113.632.455</t>
        </is>
      </c>
      <c r="D4146" s="397" t="inlineStr">
        <is>
          <t>0913.401.611 / 0944.955.688 / 05113.632.455</t>
        </is>
      </c>
      <c r="E4146" s="399" t="n"/>
      <c r="F4146" s="398" t="inlineStr">
        <is>
          <t>106 Nguyễn Hữu Thọ - Đà Nẵng</t>
        </is>
      </c>
      <c r="G4146" s="397" t="inlineStr">
        <is>
          <t>DNANG</t>
        </is>
      </c>
      <c r="H4146" s="397" t="inlineStr">
        <is>
          <t>Gửi xe: 43H-2214 / 0935.110.995</t>
        </is>
      </c>
      <c r="J4146" s="392">
        <f>IFERROR(UPPER(TRIM(B4146))&amp;"|"&amp;UPPER(TRIM(C4146))&amp;"|"&amp;UPPER(TRIM(D4146)),"")</f>
        <v/>
      </c>
    </row>
    <row r="4147" ht="15.75" customHeight="1" s="217">
      <c r="A4147" s="400" t="n">
        <v>4145</v>
      </c>
      <c r="B4147" s="400" t="inlineStr">
        <is>
          <t>KH00010</t>
        </is>
      </c>
      <c r="C4147" s="401" t="inlineStr">
        <is>
          <t>Công ty cổ phần Thiết bị cơ giới miền Nam</t>
        </is>
      </c>
      <c r="D4147" s="400" t="inlineStr">
        <is>
          <t>08.3601.3782</t>
        </is>
      </c>
      <c r="E4147" s="402" t="n"/>
      <c r="F4147" s="401" t="inlineStr">
        <is>
          <t>319 QL13, P. Hiệp Bình Phước, Q. Thủ Đức, TPHCM</t>
        </is>
      </c>
      <c r="G4147" s="402" t="n"/>
      <c r="H4147" s="402" t="n"/>
      <c r="J4147" s="392">
        <f>IFERROR(UPPER(TRIM(B4147))&amp;"|"&amp;UPPER(TRIM(C4147))&amp;"|"&amp;UPPER(TRIM(D4147)),"")</f>
        <v/>
      </c>
    </row>
    <row r="4148" ht="15.75" customHeight="1" s="217">
      <c r="A4148" s="397" t="n">
        <v>4146</v>
      </c>
      <c r="B4148" s="397" t="inlineStr">
        <is>
          <t>KH00005</t>
        </is>
      </c>
      <c r="C4148" s="398" t="inlineStr">
        <is>
          <t>Xưởng Quang Minh - Thủ Đức/ 0903.697.208</t>
        </is>
      </c>
      <c r="D4148" s="397" t="inlineStr">
        <is>
          <t>0903697208 / 0903.697.208</t>
        </is>
      </c>
      <c r="E4148" s="399" t="n"/>
      <c r="F4148" s="398" t="inlineStr">
        <is>
          <t>647, Quốc lộ 13, KP.3, P.Hiệp Bình Phước, Q.Thủ Đức, TPHCM</t>
        </is>
      </c>
      <c r="G4148" s="397" t="inlineStr">
        <is>
          <t>SG/HCM</t>
        </is>
      </c>
      <c r="H4148" s="399" t="n"/>
      <c r="J4148" s="392">
        <f>IFERROR(UPPER(TRIM(B4148))&amp;"|"&amp;UPPER(TRIM(C4148))&amp;"|"&amp;UPPER(TRIM(D4148)),"")</f>
        <v/>
      </c>
    </row>
    <row r="4149" ht="15.75" customHeight="1" s="217">
      <c r="A4149" s="400" t="n">
        <v>4147</v>
      </c>
      <c r="B4149" s="400" t="inlineStr">
        <is>
          <t>KH00003</t>
        </is>
      </c>
      <c r="C4149" s="401" t="inlineStr">
        <is>
          <t>Cửa hàng Thanh Long - Kontum/A.Thiện 0907.473.768 - A.Toàn: 0905.231.868/ Fax: 02603.863.310</t>
        </is>
      </c>
      <c r="D4149" s="400" t="inlineStr">
        <is>
          <t>0905231868 / 0907.473.768 / 0905.231.868 / 02603.863.310</t>
        </is>
      </c>
      <c r="E4149" s="402" t="n"/>
      <c r="F4149" s="401" t="inlineStr">
        <is>
          <t>327 Lê Hồng Phong, TP Kontum</t>
        </is>
      </c>
      <c r="G4149" s="400" t="inlineStr">
        <is>
          <t>KTUM</t>
        </is>
      </c>
      <c r="H4149" s="402" t="n"/>
      <c r="J4149" s="392">
        <f>IFERROR(UPPER(TRIM(B4149))&amp;"|"&amp;UPPER(TRIM(C4149))&amp;"|"&amp;UPPER(TRIM(D4149)),"")</f>
        <v/>
      </c>
    </row>
    <row r="4150" ht="15.75" customHeight="1" s="217">
      <c r="A4150" s="397" t="n">
        <v>4148</v>
      </c>
      <c r="B4150" s="397" t="inlineStr">
        <is>
          <t>KH00004</t>
        </is>
      </c>
      <c r="C4150" s="398" t="inlineStr">
        <is>
          <t>Cửa hàng Phú Quý - Gia Lai/ 0914.141.725/ Fax: 0593.829.182</t>
        </is>
      </c>
      <c r="D4150" s="397" t="inlineStr">
        <is>
          <t>0914141725 / 0914.141.725 / 0593.829.182</t>
        </is>
      </c>
      <c r="E4150" s="399" t="n"/>
      <c r="F4150" s="398" t="inlineStr">
        <is>
          <t>131A Trần Phú - TP Pleiku - Gia Lai</t>
        </is>
      </c>
      <c r="G4150" s="397" t="inlineStr">
        <is>
          <t>GLAI</t>
        </is>
      </c>
      <c r="H4150" s="399" t="n"/>
      <c r="J4150" s="392">
        <f>IFERROR(UPPER(TRIM(B4150))&amp;"|"&amp;UPPER(TRIM(C4150))&amp;"|"&amp;UPPER(TRIM(D4150)),"")</f>
        <v/>
      </c>
    </row>
    <row r="4151" ht="15.75" customHeight="1" s="217">
      <c r="A4151" s="400" t="n">
        <v>4149</v>
      </c>
      <c r="B4151" s="400" t="inlineStr">
        <is>
          <t>KH00008</t>
        </is>
      </c>
      <c r="C4151" s="401" t="inlineStr">
        <is>
          <t>Cơ sở phụ tùng cơ giới GCCK Thọ Trương/ ĐT 0837.245.972 - Fax: 3724.5972</t>
        </is>
      </c>
      <c r="D4151" s="400" t="inlineStr">
        <is>
          <t>0917892089 / 0837.245.972</t>
        </is>
      </c>
      <c r="E4151" s="402" t="n"/>
      <c r="F4151" s="401" t="inlineStr">
        <is>
          <t>Tổ 8, KP.Trung Thắng, P.Bình Thắng, TX Dĩ An, Bình Dương</t>
        </is>
      </c>
      <c r="G4151" s="400" t="inlineStr">
        <is>
          <t>SG/HCM</t>
        </is>
      </c>
      <c r="H4151" s="402" t="n"/>
      <c r="J4151" s="392">
        <f>IFERROR(UPPER(TRIM(B4151))&amp;"|"&amp;UPPER(TRIM(C4151))&amp;"|"&amp;UPPER(TRIM(D4151)),"")</f>
        <v/>
      </c>
    </row>
    <row r="4152" ht="15.75" customHeight="1" s="217">
      <c r="J4152" s="392">
        <f>IFERROR(UPPER(TRIM(B4152))&amp;"|"&amp;UPPER(TRIM(C4152))&amp;"|"&amp;UPPER(TRIM(D4152)),"")</f>
        <v/>
      </c>
    </row>
    <row r="4153" ht="15.75" customHeight="1" s="217">
      <c r="J4153" s="392">
        <f>IFERROR(UPPER(TRIM(B4153))&amp;"|"&amp;UPPER(TRIM(C4153))&amp;"|"&amp;UPPER(TRIM(D4153)),"")</f>
        <v/>
      </c>
    </row>
    <row r="4154" ht="15.75" customHeight="1" s="217">
      <c r="J4154" s="392">
        <f>IFERROR(UPPER(TRIM(B4154))&amp;"|"&amp;UPPER(TRIM(C4154))&amp;"|"&amp;UPPER(TRIM(D4154)),"")</f>
        <v/>
      </c>
    </row>
    <row r="4155" ht="15.75" customHeight="1" s="217">
      <c r="J4155" s="392">
        <f>IFERROR(UPPER(TRIM(B4155))&amp;"|"&amp;UPPER(TRIM(C4155))&amp;"|"&amp;UPPER(TRIM(D4155)),"")</f>
        <v/>
      </c>
    </row>
    <row r="4156" ht="15.75" customHeight="1" s="217">
      <c r="J4156" s="392">
        <f>IFERROR(UPPER(TRIM(B4156))&amp;"|"&amp;UPPER(TRIM(C4156))&amp;"|"&amp;UPPER(TRIM(D4156)),"")</f>
        <v/>
      </c>
    </row>
    <row r="4157" ht="15.75" customHeight="1" s="217">
      <c r="J4157" s="392">
        <f>IFERROR(UPPER(TRIM(B4157))&amp;"|"&amp;UPPER(TRIM(C4157))&amp;"|"&amp;UPPER(TRIM(D4157)),"")</f>
        <v/>
      </c>
    </row>
    <row r="4158" ht="15.75" customHeight="1" s="217">
      <c r="J4158" s="392">
        <f>IFERROR(UPPER(TRIM(B4158))&amp;"|"&amp;UPPER(TRIM(C4158))&amp;"|"&amp;UPPER(TRIM(D4158)),"")</f>
        <v/>
      </c>
    </row>
    <row r="4159" ht="15.75" customHeight="1" s="217">
      <c r="J4159" s="392">
        <f>IFERROR(UPPER(TRIM(B4159))&amp;"|"&amp;UPPER(TRIM(C4159))&amp;"|"&amp;UPPER(TRIM(D4159)),"")</f>
        <v/>
      </c>
    </row>
    <row r="4160" ht="15.75" customHeight="1" s="217">
      <c r="J4160" s="392">
        <f>IFERROR(UPPER(TRIM(B4160))&amp;"|"&amp;UPPER(TRIM(C4160))&amp;"|"&amp;UPPER(TRIM(D4160)),"")</f>
        <v/>
      </c>
    </row>
    <row r="4161" ht="15.75" customHeight="1" s="217">
      <c r="J4161" s="392">
        <f>IFERROR(UPPER(TRIM(B4161))&amp;"|"&amp;UPPER(TRIM(C4161))&amp;"|"&amp;UPPER(TRIM(D4161)),"")</f>
        <v/>
      </c>
    </row>
    <row r="4162" ht="15.75" customHeight="1" s="217">
      <c r="J4162" s="392">
        <f>IFERROR(UPPER(TRIM(B4162))&amp;"|"&amp;UPPER(TRIM(C4162))&amp;"|"&amp;UPPER(TRIM(D4162)),"")</f>
        <v/>
      </c>
    </row>
    <row r="4163" ht="15.75" customHeight="1" s="217">
      <c r="J4163" s="392">
        <f>IFERROR(UPPER(TRIM(B4163))&amp;"|"&amp;UPPER(TRIM(C4163))&amp;"|"&amp;UPPER(TRIM(D4163)),"")</f>
        <v/>
      </c>
    </row>
    <row r="4164" ht="15.75" customHeight="1" s="217">
      <c r="J4164" s="392">
        <f>IFERROR(UPPER(TRIM(B4164))&amp;"|"&amp;UPPER(TRIM(C4164))&amp;"|"&amp;UPPER(TRIM(D4164)),"")</f>
        <v/>
      </c>
    </row>
    <row r="4165" ht="15.75" customHeight="1" s="217">
      <c r="J4165" s="392">
        <f>IFERROR(UPPER(TRIM(B4165))&amp;"|"&amp;UPPER(TRIM(C4165))&amp;"|"&amp;UPPER(TRIM(D4165)),"")</f>
        <v/>
      </c>
    </row>
    <row r="4166" ht="15.75" customHeight="1" s="217">
      <c r="J4166" s="392">
        <f>IFERROR(UPPER(TRIM(B4166))&amp;"|"&amp;UPPER(TRIM(C4166))&amp;"|"&amp;UPPER(TRIM(D4166)),"")</f>
        <v/>
      </c>
    </row>
    <row r="4167" ht="15.75" customHeight="1" s="217">
      <c r="J4167" s="392">
        <f>IFERROR(UPPER(TRIM(B4167))&amp;"|"&amp;UPPER(TRIM(C4167))&amp;"|"&amp;UPPER(TRIM(D4167)),"")</f>
        <v/>
      </c>
    </row>
    <row r="4168" ht="15.75" customHeight="1" s="217">
      <c r="J4168" s="392">
        <f>IFERROR(UPPER(TRIM(B4168))&amp;"|"&amp;UPPER(TRIM(C4168))&amp;"|"&amp;UPPER(TRIM(D4168)),"")</f>
        <v/>
      </c>
    </row>
    <row r="4169" ht="15.75" customHeight="1" s="217">
      <c r="J4169" s="392">
        <f>IFERROR(UPPER(TRIM(B4169))&amp;"|"&amp;UPPER(TRIM(C4169))&amp;"|"&amp;UPPER(TRIM(D4169)),"")</f>
        <v/>
      </c>
    </row>
    <row r="4170" ht="15.75" customHeight="1" s="217">
      <c r="J4170" s="392">
        <f>IFERROR(UPPER(TRIM(B4170))&amp;"|"&amp;UPPER(TRIM(C4170))&amp;"|"&amp;UPPER(TRIM(D4170)),"")</f>
        <v/>
      </c>
    </row>
    <row r="4171" ht="15.75" customHeight="1" s="217">
      <c r="J4171" s="392">
        <f>IFERROR(UPPER(TRIM(B4171))&amp;"|"&amp;UPPER(TRIM(C4171))&amp;"|"&amp;UPPER(TRIM(D4171)),"")</f>
        <v/>
      </c>
    </row>
    <row r="4172" ht="15.75" customHeight="1" s="217">
      <c r="J4172" s="392">
        <f>IFERROR(UPPER(TRIM(B4172))&amp;"|"&amp;UPPER(TRIM(C4172))&amp;"|"&amp;UPPER(TRIM(D4172)),"")</f>
        <v/>
      </c>
    </row>
    <row r="4173" ht="15.75" customHeight="1" s="217">
      <c r="J4173" s="392">
        <f>IFERROR(UPPER(TRIM(B4173))&amp;"|"&amp;UPPER(TRIM(C4173))&amp;"|"&amp;UPPER(TRIM(D4173)),"")</f>
        <v/>
      </c>
    </row>
    <row r="4174" ht="15.75" customHeight="1" s="217">
      <c r="J4174" s="392">
        <f>IFERROR(UPPER(TRIM(B4174))&amp;"|"&amp;UPPER(TRIM(C4174))&amp;"|"&amp;UPPER(TRIM(D4174)),"")</f>
        <v/>
      </c>
    </row>
    <row r="4175" ht="15.75" customHeight="1" s="217">
      <c r="J4175" s="392">
        <f>IFERROR(UPPER(TRIM(B4175))&amp;"|"&amp;UPPER(TRIM(C4175))&amp;"|"&amp;UPPER(TRIM(D4175)),"")</f>
        <v/>
      </c>
    </row>
    <row r="4176" ht="15.75" customHeight="1" s="217">
      <c r="J4176" s="392">
        <f>IFERROR(UPPER(TRIM(B4176))&amp;"|"&amp;UPPER(TRIM(C4176))&amp;"|"&amp;UPPER(TRIM(D4176)),"")</f>
        <v/>
      </c>
    </row>
    <row r="4177" ht="15.75" customHeight="1" s="217">
      <c r="J4177" s="392">
        <f>IFERROR(UPPER(TRIM(B4177))&amp;"|"&amp;UPPER(TRIM(C4177))&amp;"|"&amp;UPPER(TRIM(D4177)),"")</f>
        <v/>
      </c>
    </row>
    <row r="4178" ht="15.75" customHeight="1" s="217">
      <c r="J4178" s="392">
        <f>IFERROR(UPPER(TRIM(B4178))&amp;"|"&amp;UPPER(TRIM(C4178))&amp;"|"&amp;UPPER(TRIM(D4178)),"")</f>
        <v/>
      </c>
    </row>
    <row r="4179" ht="15.75" customHeight="1" s="217">
      <c r="J4179" s="392">
        <f>IFERROR(UPPER(TRIM(B4179))&amp;"|"&amp;UPPER(TRIM(C4179))&amp;"|"&amp;UPPER(TRIM(D4179)),"")</f>
        <v/>
      </c>
    </row>
    <row r="4180" ht="15.75" customHeight="1" s="217">
      <c r="J4180" s="392">
        <f>IFERROR(UPPER(TRIM(B4180))&amp;"|"&amp;UPPER(TRIM(C4180))&amp;"|"&amp;UPPER(TRIM(D4180)),"")</f>
        <v/>
      </c>
    </row>
    <row r="4181" ht="15.75" customHeight="1" s="217">
      <c r="J4181" s="392">
        <f>IFERROR(UPPER(TRIM(B4181))&amp;"|"&amp;UPPER(TRIM(C4181))&amp;"|"&amp;UPPER(TRIM(D4181)),"")</f>
        <v/>
      </c>
    </row>
    <row r="4182" ht="15.75" customHeight="1" s="217">
      <c r="J4182" s="392">
        <f>IFERROR(UPPER(TRIM(B4182))&amp;"|"&amp;UPPER(TRIM(C4182))&amp;"|"&amp;UPPER(TRIM(D4182)),"")</f>
        <v/>
      </c>
    </row>
    <row r="4183" ht="15.75" customHeight="1" s="217">
      <c r="J4183" s="392">
        <f>IFERROR(UPPER(TRIM(B4183))&amp;"|"&amp;UPPER(TRIM(C4183))&amp;"|"&amp;UPPER(TRIM(D4183)),"")</f>
        <v/>
      </c>
    </row>
    <row r="4184" ht="15.75" customHeight="1" s="217">
      <c r="J4184" s="392">
        <f>IFERROR(UPPER(TRIM(B4184))&amp;"|"&amp;UPPER(TRIM(C4184))&amp;"|"&amp;UPPER(TRIM(D4184)),"")</f>
        <v/>
      </c>
    </row>
    <row r="4185" ht="15.75" customHeight="1" s="217">
      <c r="J4185" s="392">
        <f>IFERROR(UPPER(TRIM(B4185))&amp;"|"&amp;UPPER(TRIM(C4185))&amp;"|"&amp;UPPER(TRIM(D4185)),"")</f>
        <v/>
      </c>
    </row>
    <row r="4186" ht="15.75" customHeight="1" s="217">
      <c r="J4186" s="392">
        <f>IFERROR(UPPER(TRIM(B4186))&amp;"|"&amp;UPPER(TRIM(C4186))&amp;"|"&amp;UPPER(TRIM(D4186)),"")</f>
        <v/>
      </c>
    </row>
    <row r="4187" ht="15.75" customHeight="1" s="217">
      <c r="J4187" s="392">
        <f>IFERROR(UPPER(TRIM(B4187))&amp;"|"&amp;UPPER(TRIM(C4187))&amp;"|"&amp;UPPER(TRIM(D4187)),"")</f>
        <v/>
      </c>
    </row>
    <row r="4188" ht="15.75" customHeight="1" s="217">
      <c r="J4188" s="392">
        <f>IFERROR(UPPER(TRIM(B4188))&amp;"|"&amp;UPPER(TRIM(C4188))&amp;"|"&amp;UPPER(TRIM(D4188)),"")</f>
        <v/>
      </c>
    </row>
    <row r="4189" ht="15.75" customHeight="1" s="217">
      <c r="J4189" s="392">
        <f>IFERROR(UPPER(TRIM(B4189))&amp;"|"&amp;UPPER(TRIM(C4189))&amp;"|"&amp;UPPER(TRIM(D4189)),"")</f>
        <v/>
      </c>
    </row>
    <row r="4190" ht="15.75" customHeight="1" s="217">
      <c r="J4190" s="392">
        <f>IFERROR(UPPER(TRIM(B4190))&amp;"|"&amp;UPPER(TRIM(C4190))&amp;"|"&amp;UPPER(TRIM(D4190)),"")</f>
        <v/>
      </c>
    </row>
    <row r="4191" ht="15.75" customHeight="1" s="217">
      <c r="J4191" s="392">
        <f>IFERROR(UPPER(TRIM(B4191))&amp;"|"&amp;UPPER(TRIM(C4191))&amp;"|"&amp;UPPER(TRIM(D4191)),"")</f>
        <v/>
      </c>
    </row>
    <row r="4192" ht="15.75" customHeight="1" s="217">
      <c r="J4192" s="392">
        <f>IFERROR(UPPER(TRIM(B4192))&amp;"|"&amp;UPPER(TRIM(C4192))&amp;"|"&amp;UPPER(TRIM(D4192)),"")</f>
        <v/>
      </c>
    </row>
    <row r="4193" ht="15.75" customHeight="1" s="217">
      <c r="J4193" s="392">
        <f>IFERROR(UPPER(TRIM(B4193))&amp;"|"&amp;UPPER(TRIM(C4193))&amp;"|"&amp;UPPER(TRIM(D4193)),"")</f>
        <v/>
      </c>
    </row>
    <row r="4194" ht="15.75" customHeight="1" s="217">
      <c r="J4194" s="392">
        <f>IFERROR(UPPER(TRIM(B4194))&amp;"|"&amp;UPPER(TRIM(C4194))&amp;"|"&amp;UPPER(TRIM(D4194)),"")</f>
        <v/>
      </c>
    </row>
    <row r="4195" ht="15.75" customHeight="1" s="217">
      <c r="J4195" s="392">
        <f>IFERROR(UPPER(TRIM(B4195))&amp;"|"&amp;UPPER(TRIM(C4195))&amp;"|"&amp;UPPER(TRIM(D4195)),"")</f>
        <v/>
      </c>
    </row>
    <row r="4196" ht="15.75" customHeight="1" s="217">
      <c r="J4196" s="392">
        <f>IFERROR(UPPER(TRIM(B4196))&amp;"|"&amp;UPPER(TRIM(C4196))&amp;"|"&amp;UPPER(TRIM(D4196)),"")</f>
        <v/>
      </c>
    </row>
    <row r="4197" ht="15.75" customHeight="1" s="217">
      <c r="J4197" s="392">
        <f>IFERROR(UPPER(TRIM(B4197))&amp;"|"&amp;UPPER(TRIM(C4197))&amp;"|"&amp;UPPER(TRIM(D4197)),"")</f>
        <v/>
      </c>
    </row>
    <row r="4198" ht="15.75" customHeight="1" s="217">
      <c r="J4198" s="392">
        <f>IFERROR(UPPER(TRIM(B4198))&amp;"|"&amp;UPPER(TRIM(C4198))&amp;"|"&amp;UPPER(TRIM(D4198)),"")</f>
        <v/>
      </c>
    </row>
    <row r="4199" ht="15.75" customHeight="1" s="217">
      <c r="J4199" s="392">
        <f>IFERROR(UPPER(TRIM(B4199))&amp;"|"&amp;UPPER(TRIM(C4199))&amp;"|"&amp;UPPER(TRIM(D4199)),"")</f>
        <v/>
      </c>
    </row>
    <row r="4200" ht="15.75" customHeight="1" s="217">
      <c r="J4200" s="392">
        <f>IFERROR(UPPER(TRIM(B4200))&amp;"|"&amp;UPPER(TRIM(C4200))&amp;"|"&amp;UPPER(TRIM(D4200)),"")</f>
        <v/>
      </c>
    </row>
    <row r="4201" ht="15.75" customHeight="1" s="217">
      <c r="J4201" s="392">
        <f>IFERROR(UPPER(TRIM(B4201))&amp;"|"&amp;UPPER(TRIM(C4201))&amp;"|"&amp;UPPER(TRIM(D4201)),"")</f>
        <v/>
      </c>
    </row>
    <row r="4202" ht="15.75" customHeight="1" s="217">
      <c r="J4202" s="392">
        <f>IFERROR(UPPER(TRIM(B4202))&amp;"|"&amp;UPPER(TRIM(C4202))&amp;"|"&amp;UPPER(TRIM(D4202)),"")</f>
        <v/>
      </c>
    </row>
    <row r="4203" ht="15.75" customHeight="1" s="217">
      <c r="J4203" s="392">
        <f>IFERROR(UPPER(TRIM(B4203))&amp;"|"&amp;UPPER(TRIM(C4203))&amp;"|"&amp;UPPER(TRIM(D4203)),"")</f>
        <v/>
      </c>
    </row>
    <row r="4204" ht="15.75" customHeight="1" s="217">
      <c r="J4204" s="392">
        <f>IFERROR(UPPER(TRIM(B4204))&amp;"|"&amp;UPPER(TRIM(C4204))&amp;"|"&amp;UPPER(TRIM(D4204)),"")</f>
        <v/>
      </c>
    </row>
    <row r="4205" ht="15.75" customHeight="1" s="217">
      <c r="J4205" s="392">
        <f>IFERROR(UPPER(TRIM(B4205))&amp;"|"&amp;UPPER(TRIM(C4205))&amp;"|"&amp;UPPER(TRIM(D4205)),"")</f>
        <v/>
      </c>
    </row>
    <row r="4206" ht="15.75" customHeight="1" s="217">
      <c r="J4206" s="392">
        <f>IFERROR(UPPER(TRIM(B4206))&amp;"|"&amp;UPPER(TRIM(C4206))&amp;"|"&amp;UPPER(TRIM(D4206)),"")</f>
        <v/>
      </c>
    </row>
    <row r="4207" ht="15.75" customHeight="1" s="217">
      <c r="J4207" s="392">
        <f>IFERROR(UPPER(TRIM(B4207))&amp;"|"&amp;UPPER(TRIM(C4207))&amp;"|"&amp;UPPER(TRIM(D4207)),"")</f>
        <v/>
      </c>
    </row>
    <row r="4208" ht="15.75" customHeight="1" s="217">
      <c r="J4208" s="392">
        <f>IFERROR(UPPER(TRIM(B4208))&amp;"|"&amp;UPPER(TRIM(C4208))&amp;"|"&amp;UPPER(TRIM(D4208)),"")</f>
        <v/>
      </c>
    </row>
    <row r="4209" ht="15.75" customHeight="1" s="217">
      <c r="J4209" s="392">
        <f>IFERROR(UPPER(TRIM(B4209))&amp;"|"&amp;UPPER(TRIM(C4209))&amp;"|"&amp;UPPER(TRIM(D4209)),"")</f>
        <v/>
      </c>
    </row>
    <row r="4210" ht="15.75" customHeight="1" s="217">
      <c r="J4210" s="392">
        <f>IFERROR(UPPER(TRIM(B4210))&amp;"|"&amp;UPPER(TRIM(C4210))&amp;"|"&amp;UPPER(TRIM(D4210)),"")</f>
        <v/>
      </c>
    </row>
    <row r="4211" ht="15.75" customHeight="1" s="217">
      <c r="J4211" s="392">
        <f>IFERROR(UPPER(TRIM(B4211))&amp;"|"&amp;UPPER(TRIM(C4211))&amp;"|"&amp;UPPER(TRIM(D4211)),"")</f>
        <v/>
      </c>
    </row>
    <row r="4212" ht="15.75" customHeight="1" s="217">
      <c r="J4212" s="392">
        <f>IFERROR(UPPER(TRIM(B4212))&amp;"|"&amp;UPPER(TRIM(C4212))&amp;"|"&amp;UPPER(TRIM(D4212)),"")</f>
        <v/>
      </c>
    </row>
    <row r="4213" ht="15.75" customHeight="1" s="217">
      <c r="J4213" s="392">
        <f>IFERROR(UPPER(TRIM(B4213))&amp;"|"&amp;UPPER(TRIM(C4213))&amp;"|"&amp;UPPER(TRIM(D4213)),"")</f>
        <v/>
      </c>
    </row>
    <row r="4214" ht="15.75" customHeight="1" s="217">
      <c r="J4214" s="392">
        <f>IFERROR(UPPER(TRIM(B4214))&amp;"|"&amp;UPPER(TRIM(C4214))&amp;"|"&amp;UPPER(TRIM(D4214)),"")</f>
        <v/>
      </c>
    </row>
    <row r="4215" ht="15.75" customHeight="1" s="217">
      <c r="J4215" s="392">
        <f>IFERROR(UPPER(TRIM(B4215))&amp;"|"&amp;UPPER(TRIM(C4215))&amp;"|"&amp;UPPER(TRIM(D4215)),"")</f>
        <v/>
      </c>
    </row>
    <row r="4216" ht="15.75" customHeight="1" s="217">
      <c r="J4216" s="392">
        <f>IFERROR(UPPER(TRIM(B4216))&amp;"|"&amp;UPPER(TRIM(C4216))&amp;"|"&amp;UPPER(TRIM(D4216)),"")</f>
        <v/>
      </c>
    </row>
    <row r="4217" ht="15.75" customHeight="1" s="217">
      <c r="J4217" s="392">
        <f>IFERROR(UPPER(TRIM(B4217))&amp;"|"&amp;UPPER(TRIM(C4217))&amp;"|"&amp;UPPER(TRIM(D4217)),"")</f>
        <v/>
      </c>
    </row>
    <row r="4218" ht="15.75" customHeight="1" s="217">
      <c r="J4218" s="392">
        <f>IFERROR(UPPER(TRIM(B4218))&amp;"|"&amp;UPPER(TRIM(C4218))&amp;"|"&amp;UPPER(TRIM(D4218)),"")</f>
        <v/>
      </c>
    </row>
    <row r="4219" ht="15.75" customHeight="1" s="217">
      <c r="J4219" s="392">
        <f>IFERROR(UPPER(TRIM(B4219))&amp;"|"&amp;UPPER(TRIM(C4219))&amp;"|"&amp;UPPER(TRIM(D4219)),"")</f>
        <v/>
      </c>
    </row>
    <row r="4220" ht="15.75" customHeight="1" s="217">
      <c r="J4220" s="392">
        <f>IFERROR(UPPER(TRIM(B4220))&amp;"|"&amp;UPPER(TRIM(C4220))&amp;"|"&amp;UPPER(TRIM(D4220)),"")</f>
        <v/>
      </c>
    </row>
    <row r="4221" ht="15.75" customHeight="1" s="217">
      <c r="J4221" s="392">
        <f>IFERROR(UPPER(TRIM(B4221))&amp;"|"&amp;UPPER(TRIM(C4221))&amp;"|"&amp;UPPER(TRIM(D4221)),"")</f>
        <v/>
      </c>
    </row>
    <row r="4222" ht="15.75" customHeight="1" s="217">
      <c r="J4222" s="392">
        <f>IFERROR(UPPER(TRIM(B4222))&amp;"|"&amp;UPPER(TRIM(C4222))&amp;"|"&amp;UPPER(TRIM(D4222)),"")</f>
        <v/>
      </c>
    </row>
    <row r="4223" ht="15.75" customHeight="1" s="217">
      <c r="J4223" s="392">
        <f>IFERROR(UPPER(TRIM(B4223))&amp;"|"&amp;UPPER(TRIM(C4223))&amp;"|"&amp;UPPER(TRIM(D4223)),"")</f>
        <v/>
      </c>
    </row>
    <row r="4224" ht="15.75" customHeight="1" s="217">
      <c r="J4224" s="392">
        <f>IFERROR(UPPER(TRIM(B4224))&amp;"|"&amp;UPPER(TRIM(C4224))&amp;"|"&amp;UPPER(TRIM(D4224)),"")</f>
        <v/>
      </c>
    </row>
    <row r="4225" ht="15.75" customHeight="1" s="217">
      <c r="J4225" s="392">
        <f>IFERROR(UPPER(TRIM(B4225))&amp;"|"&amp;UPPER(TRIM(C4225))&amp;"|"&amp;UPPER(TRIM(D4225)),"")</f>
        <v/>
      </c>
    </row>
    <row r="4226" ht="15.75" customHeight="1" s="217">
      <c r="J4226" s="392">
        <f>IFERROR(UPPER(TRIM(B4226))&amp;"|"&amp;UPPER(TRIM(C4226))&amp;"|"&amp;UPPER(TRIM(D4226)),"")</f>
        <v/>
      </c>
    </row>
    <row r="4227" ht="15.75" customHeight="1" s="217">
      <c r="J4227" s="392">
        <f>IFERROR(UPPER(TRIM(B4227))&amp;"|"&amp;UPPER(TRIM(C4227))&amp;"|"&amp;UPPER(TRIM(D4227)),"")</f>
        <v/>
      </c>
    </row>
    <row r="4228" ht="15.75" customHeight="1" s="217">
      <c r="J4228" s="392">
        <f>IFERROR(UPPER(TRIM(B4228))&amp;"|"&amp;UPPER(TRIM(C4228))&amp;"|"&amp;UPPER(TRIM(D4228)),"")</f>
        <v/>
      </c>
    </row>
    <row r="4229" ht="15.75" customHeight="1" s="217">
      <c r="J4229" s="392">
        <f>IFERROR(UPPER(TRIM(B4229))&amp;"|"&amp;UPPER(TRIM(C4229))&amp;"|"&amp;UPPER(TRIM(D4229)),"")</f>
        <v/>
      </c>
    </row>
    <row r="4230" ht="15.75" customHeight="1" s="217">
      <c r="J4230" s="392">
        <f>IFERROR(UPPER(TRIM(B4230))&amp;"|"&amp;UPPER(TRIM(C4230))&amp;"|"&amp;UPPER(TRIM(D4230)),"")</f>
        <v/>
      </c>
    </row>
    <row r="4231" ht="15.75" customHeight="1" s="217">
      <c r="J4231" s="392">
        <f>IFERROR(UPPER(TRIM(B4231))&amp;"|"&amp;UPPER(TRIM(C4231))&amp;"|"&amp;UPPER(TRIM(D4231)),"")</f>
        <v/>
      </c>
    </row>
    <row r="4232" ht="15.75" customHeight="1" s="217">
      <c r="J4232" s="392">
        <f>IFERROR(UPPER(TRIM(B4232))&amp;"|"&amp;UPPER(TRIM(C4232))&amp;"|"&amp;UPPER(TRIM(D4232)),"")</f>
        <v/>
      </c>
    </row>
    <row r="4233" ht="15.75" customHeight="1" s="217">
      <c r="J4233" s="392">
        <f>IFERROR(UPPER(TRIM(B4233))&amp;"|"&amp;UPPER(TRIM(C4233))&amp;"|"&amp;UPPER(TRIM(D4233)),"")</f>
        <v/>
      </c>
    </row>
    <row r="4234" ht="15.75" customHeight="1" s="217">
      <c r="J4234" s="392">
        <f>IFERROR(UPPER(TRIM(B4234))&amp;"|"&amp;UPPER(TRIM(C4234))&amp;"|"&amp;UPPER(TRIM(D4234)),"")</f>
        <v/>
      </c>
    </row>
    <row r="4235" ht="15.75" customHeight="1" s="217">
      <c r="J4235" s="392">
        <f>IFERROR(UPPER(TRIM(B4235))&amp;"|"&amp;UPPER(TRIM(C4235))&amp;"|"&amp;UPPER(TRIM(D4235)),"")</f>
        <v/>
      </c>
    </row>
    <row r="4236" ht="15.75" customHeight="1" s="217">
      <c r="J4236" s="392">
        <f>IFERROR(UPPER(TRIM(B4236))&amp;"|"&amp;UPPER(TRIM(C4236))&amp;"|"&amp;UPPER(TRIM(D4236)),"")</f>
        <v/>
      </c>
    </row>
    <row r="4237" ht="15.75" customHeight="1" s="217">
      <c r="J4237" s="392">
        <f>IFERROR(UPPER(TRIM(B4237))&amp;"|"&amp;UPPER(TRIM(C4237))&amp;"|"&amp;UPPER(TRIM(D4237)),"")</f>
        <v/>
      </c>
    </row>
    <row r="4238" ht="15.75" customHeight="1" s="217">
      <c r="J4238" s="392">
        <f>IFERROR(UPPER(TRIM(B4238))&amp;"|"&amp;UPPER(TRIM(C4238))&amp;"|"&amp;UPPER(TRIM(D4238)),"")</f>
        <v/>
      </c>
    </row>
    <row r="4239" ht="15.75" customHeight="1" s="217">
      <c r="J4239" s="392">
        <f>IFERROR(UPPER(TRIM(B4239))&amp;"|"&amp;UPPER(TRIM(C4239))&amp;"|"&amp;UPPER(TRIM(D4239)),"")</f>
        <v/>
      </c>
    </row>
    <row r="4240" ht="15.75" customHeight="1" s="217">
      <c r="J4240" s="392">
        <f>IFERROR(UPPER(TRIM(B4240))&amp;"|"&amp;UPPER(TRIM(C4240))&amp;"|"&amp;UPPER(TRIM(D4240)),"")</f>
        <v/>
      </c>
    </row>
    <row r="4241" ht="15.75" customHeight="1" s="217">
      <c r="J4241" s="392">
        <f>IFERROR(UPPER(TRIM(B4241))&amp;"|"&amp;UPPER(TRIM(C4241))&amp;"|"&amp;UPPER(TRIM(D4241)),"")</f>
        <v/>
      </c>
    </row>
    <row r="4242" ht="15.75" customHeight="1" s="217">
      <c r="J4242" s="392">
        <f>IFERROR(UPPER(TRIM(B4242))&amp;"|"&amp;UPPER(TRIM(C4242))&amp;"|"&amp;UPPER(TRIM(D4242)),"")</f>
        <v/>
      </c>
    </row>
    <row r="4243" ht="15.75" customHeight="1" s="217">
      <c r="J4243" s="392">
        <f>IFERROR(UPPER(TRIM(B4243))&amp;"|"&amp;UPPER(TRIM(C4243))&amp;"|"&amp;UPPER(TRIM(D4243)),"")</f>
        <v/>
      </c>
    </row>
    <row r="4244" ht="15.75" customHeight="1" s="217">
      <c r="J4244" s="392">
        <f>IFERROR(UPPER(TRIM(B4244))&amp;"|"&amp;UPPER(TRIM(C4244))&amp;"|"&amp;UPPER(TRIM(D4244)),"")</f>
        <v/>
      </c>
    </row>
    <row r="4245" ht="15.75" customHeight="1" s="217">
      <c r="J4245" s="392">
        <f>IFERROR(UPPER(TRIM(B4245))&amp;"|"&amp;UPPER(TRIM(C4245))&amp;"|"&amp;UPPER(TRIM(D4245)),"")</f>
        <v/>
      </c>
    </row>
    <row r="4246" ht="15.75" customHeight="1" s="217">
      <c r="J4246" s="392">
        <f>IFERROR(UPPER(TRIM(B4246))&amp;"|"&amp;UPPER(TRIM(C4246))&amp;"|"&amp;UPPER(TRIM(D4246)),"")</f>
        <v/>
      </c>
    </row>
    <row r="4247" ht="15.75" customHeight="1" s="217">
      <c r="J4247" s="392">
        <f>IFERROR(UPPER(TRIM(B4247))&amp;"|"&amp;UPPER(TRIM(C4247))&amp;"|"&amp;UPPER(TRIM(D4247)),"")</f>
        <v/>
      </c>
    </row>
    <row r="4248" ht="15.75" customHeight="1" s="217">
      <c r="J4248" s="392">
        <f>IFERROR(UPPER(TRIM(B4248))&amp;"|"&amp;UPPER(TRIM(C4248))&amp;"|"&amp;UPPER(TRIM(D4248)),"")</f>
        <v/>
      </c>
    </row>
    <row r="4249" ht="15.75" customHeight="1" s="217">
      <c r="J4249" s="392">
        <f>IFERROR(UPPER(TRIM(B4249))&amp;"|"&amp;UPPER(TRIM(C4249))&amp;"|"&amp;UPPER(TRIM(D4249)),"")</f>
        <v/>
      </c>
    </row>
    <row r="4250" ht="15.75" customHeight="1" s="217">
      <c r="J4250" s="392">
        <f>IFERROR(UPPER(TRIM(B4250))&amp;"|"&amp;UPPER(TRIM(C4250))&amp;"|"&amp;UPPER(TRIM(D4250)),"")</f>
        <v/>
      </c>
    </row>
    <row r="4251" ht="15.75" customHeight="1" s="217">
      <c r="J4251" s="392">
        <f>IFERROR(UPPER(TRIM(B4251))&amp;"|"&amp;UPPER(TRIM(C4251))&amp;"|"&amp;UPPER(TRIM(D4251)),"")</f>
        <v/>
      </c>
    </row>
    <row r="4252" ht="15.75" customHeight="1" s="217">
      <c r="J4252" s="392">
        <f>IFERROR(UPPER(TRIM(B4252))&amp;"|"&amp;UPPER(TRIM(C4252))&amp;"|"&amp;UPPER(TRIM(D4252)),"")</f>
        <v/>
      </c>
    </row>
    <row r="4253" ht="15.75" customHeight="1" s="217">
      <c r="J4253" s="392">
        <f>IFERROR(UPPER(TRIM(B4253))&amp;"|"&amp;UPPER(TRIM(C4253))&amp;"|"&amp;UPPER(TRIM(D4253)),"")</f>
        <v/>
      </c>
    </row>
    <row r="4254" ht="15.75" customHeight="1" s="217">
      <c r="J4254" s="392">
        <f>IFERROR(UPPER(TRIM(B4254))&amp;"|"&amp;UPPER(TRIM(C4254))&amp;"|"&amp;UPPER(TRIM(D4254)),"")</f>
        <v/>
      </c>
    </row>
    <row r="4255" ht="15.75" customHeight="1" s="217">
      <c r="J4255" s="392">
        <f>IFERROR(UPPER(TRIM(B4255))&amp;"|"&amp;UPPER(TRIM(C4255))&amp;"|"&amp;UPPER(TRIM(D4255)),"")</f>
        <v/>
      </c>
    </row>
    <row r="4256" ht="15.75" customHeight="1" s="217">
      <c r="J4256" s="392">
        <f>IFERROR(UPPER(TRIM(B4256))&amp;"|"&amp;UPPER(TRIM(C4256))&amp;"|"&amp;UPPER(TRIM(D4256)),"")</f>
        <v/>
      </c>
    </row>
    <row r="4257" ht="15.75" customHeight="1" s="217">
      <c r="J4257" s="392">
        <f>IFERROR(UPPER(TRIM(B4257))&amp;"|"&amp;UPPER(TRIM(C4257))&amp;"|"&amp;UPPER(TRIM(D4257)),"")</f>
        <v/>
      </c>
    </row>
    <row r="4258" ht="15.75" customHeight="1" s="217">
      <c r="J4258" s="392">
        <f>IFERROR(UPPER(TRIM(B4258))&amp;"|"&amp;UPPER(TRIM(C4258))&amp;"|"&amp;UPPER(TRIM(D4258)),"")</f>
        <v/>
      </c>
    </row>
    <row r="4259" ht="15.75" customHeight="1" s="217">
      <c r="J4259" s="392">
        <f>IFERROR(UPPER(TRIM(B4259))&amp;"|"&amp;UPPER(TRIM(C4259))&amp;"|"&amp;UPPER(TRIM(D4259)),"")</f>
        <v/>
      </c>
    </row>
    <row r="4260" ht="15.75" customHeight="1" s="217">
      <c r="J4260" s="392">
        <f>IFERROR(UPPER(TRIM(B4260))&amp;"|"&amp;UPPER(TRIM(C4260))&amp;"|"&amp;UPPER(TRIM(D4260)),"")</f>
        <v/>
      </c>
    </row>
    <row r="4261" ht="15.75" customHeight="1" s="217">
      <c r="J4261" s="392">
        <f>IFERROR(UPPER(TRIM(B4261))&amp;"|"&amp;UPPER(TRIM(C4261))&amp;"|"&amp;UPPER(TRIM(D4261)),"")</f>
        <v/>
      </c>
    </row>
    <row r="4262" ht="15.75" customHeight="1" s="217">
      <c r="J4262" s="392">
        <f>IFERROR(UPPER(TRIM(B4262))&amp;"|"&amp;UPPER(TRIM(C4262))&amp;"|"&amp;UPPER(TRIM(D4262)),"")</f>
        <v/>
      </c>
    </row>
    <row r="4263" ht="15.75" customHeight="1" s="217">
      <c r="J4263" s="392">
        <f>IFERROR(UPPER(TRIM(B4263))&amp;"|"&amp;UPPER(TRIM(C4263))&amp;"|"&amp;UPPER(TRIM(D4263)),"")</f>
        <v/>
      </c>
    </row>
    <row r="4264" ht="15.75" customHeight="1" s="217">
      <c r="J4264" s="392">
        <f>IFERROR(UPPER(TRIM(B4264))&amp;"|"&amp;UPPER(TRIM(C4264))&amp;"|"&amp;UPPER(TRIM(D4264)),"")</f>
        <v/>
      </c>
    </row>
    <row r="4265" ht="15.75" customHeight="1" s="217">
      <c r="J4265" s="392">
        <f>IFERROR(UPPER(TRIM(B4265))&amp;"|"&amp;UPPER(TRIM(C4265))&amp;"|"&amp;UPPER(TRIM(D4265)),"")</f>
        <v/>
      </c>
    </row>
    <row r="4266" ht="15.75" customHeight="1" s="217">
      <c r="J4266" s="392">
        <f>IFERROR(UPPER(TRIM(B4266))&amp;"|"&amp;UPPER(TRIM(C4266))&amp;"|"&amp;UPPER(TRIM(D4266)),"")</f>
        <v/>
      </c>
    </row>
    <row r="4267" ht="15.75" customHeight="1" s="217">
      <c r="J4267" s="392">
        <f>IFERROR(UPPER(TRIM(B4267))&amp;"|"&amp;UPPER(TRIM(C4267))&amp;"|"&amp;UPPER(TRIM(D4267)),"")</f>
        <v/>
      </c>
    </row>
    <row r="4268" ht="15.75" customHeight="1" s="217">
      <c r="J4268" s="392">
        <f>IFERROR(UPPER(TRIM(B4268))&amp;"|"&amp;UPPER(TRIM(C4268))&amp;"|"&amp;UPPER(TRIM(D4268)),"")</f>
        <v/>
      </c>
    </row>
    <row r="4269" ht="15.75" customHeight="1" s="217">
      <c r="J4269" s="392">
        <f>IFERROR(UPPER(TRIM(B4269))&amp;"|"&amp;UPPER(TRIM(C4269))&amp;"|"&amp;UPPER(TRIM(D4269)),"")</f>
        <v/>
      </c>
    </row>
    <row r="4270" ht="15.75" customHeight="1" s="217">
      <c r="J4270" s="392">
        <f>IFERROR(UPPER(TRIM(B4270))&amp;"|"&amp;UPPER(TRIM(C4270))&amp;"|"&amp;UPPER(TRIM(D4270)),"")</f>
        <v/>
      </c>
    </row>
    <row r="4271" ht="15.75" customHeight="1" s="217">
      <c r="J4271" s="392">
        <f>IFERROR(UPPER(TRIM(B4271))&amp;"|"&amp;UPPER(TRIM(C4271))&amp;"|"&amp;UPPER(TRIM(D4271)),"")</f>
        <v/>
      </c>
    </row>
    <row r="4272" ht="15.75" customHeight="1" s="217">
      <c r="J4272" s="392">
        <f>IFERROR(UPPER(TRIM(B4272))&amp;"|"&amp;UPPER(TRIM(C4272))&amp;"|"&amp;UPPER(TRIM(D4272)),"")</f>
        <v/>
      </c>
    </row>
    <row r="4273" ht="15.75" customHeight="1" s="217">
      <c r="J4273" s="392">
        <f>IFERROR(UPPER(TRIM(B4273))&amp;"|"&amp;UPPER(TRIM(C4273))&amp;"|"&amp;UPPER(TRIM(D4273)),"")</f>
        <v/>
      </c>
    </row>
    <row r="4274" ht="15.75" customHeight="1" s="217">
      <c r="J4274" s="392">
        <f>IFERROR(UPPER(TRIM(B4274))&amp;"|"&amp;UPPER(TRIM(C4274))&amp;"|"&amp;UPPER(TRIM(D4274)),"")</f>
        <v/>
      </c>
    </row>
    <row r="4275" ht="15.75" customHeight="1" s="217">
      <c r="J4275" s="392">
        <f>IFERROR(UPPER(TRIM(B4275))&amp;"|"&amp;UPPER(TRIM(C4275))&amp;"|"&amp;UPPER(TRIM(D4275)),"")</f>
        <v/>
      </c>
    </row>
    <row r="4276" ht="15.75" customHeight="1" s="217">
      <c r="J4276" s="392">
        <f>IFERROR(UPPER(TRIM(B4276))&amp;"|"&amp;UPPER(TRIM(C4276))&amp;"|"&amp;UPPER(TRIM(D4276)),"")</f>
        <v/>
      </c>
    </row>
    <row r="4277" ht="15.75" customHeight="1" s="217">
      <c r="J4277" s="392">
        <f>IFERROR(UPPER(TRIM(B4277))&amp;"|"&amp;UPPER(TRIM(C4277))&amp;"|"&amp;UPPER(TRIM(D4277)),"")</f>
        <v/>
      </c>
    </row>
    <row r="4278" ht="15.75" customHeight="1" s="217">
      <c r="J4278" s="392">
        <f>IFERROR(UPPER(TRIM(B4278))&amp;"|"&amp;UPPER(TRIM(C4278))&amp;"|"&amp;UPPER(TRIM(D4278)),"")</f>
        <v/>
      </c>
    </row>
    <row r="4279" ht="15.75" customHeight="1" s="217">
      <c r="J4279" s="392">
        <f>IFERROR(UPPER(TRIM(B4279))&amp;"|"&amp;UPPER(TRIM(C4279))&amp;"|"&amp;UPPER(TRIM(D4279)),"")</f>
        <v/>
      </c>
    </row>
    <row r="4280" ht="15.75" customHeight="1" s="217">
      <c r="J4280" s="392">
        <f>IFERROR(UPPER(TRIM(B4280))&amp;"|"&amp;UPPER(TRIM(C4280))&amp;"|"&amp;UPPER(TRIM(D4280)),"")</f>
        <v/>
      </c>
    </row>
    <row r="4281" ht="15.75" customHeight="1" s="217">
      <c r="J4281" s="392">
        <f>IFERROR(UPPER(TRIM(B4281))&amp;"|"&amp;UPPER(TRIM(C4281))&amp;"|"&amp;UPPER(TRIM(D4281)),"")</f>
        <v/>
      </c>
    </row>
    <row r="4282" ht="15.75" customHeight="1" s="217">
      <c r="J4282" s="392">
        <f>IFERROR(UPPER(TRIM(B4282))&amp;"|"&amp;UPPER(TRIM(C4282))&amp;"|"&amp;UPPER(TRIM(D4282)),"")</f>
        <v/>
      </c>
    </row>
    <row r="4283" ht="15.75" customHeight="1" s="217">
      <c r="J4283" s="392">
        <f>IFERROR(UPPER(TRIM(B4283))&amp;"|"&amp;UPPER(TRIM(C4283))&amp;"|"&amp;UPPER(TRIM(D4283)),"")</f>
        <v/>
      </c>
    </row>
    <row r="4284" ht="15.75" customHeight="1" s="217">
      <c r="J4284" s="392">
        <f>IFERROR(UPPER(TRIM(B4284))&amp;"|"&amp;UPPER(TRIM(C4284))&amp;"|"&amp;UPPER(TRIM(D4284)),"")</f>
        <v/>
      </c>
    </row>
    <row r="4285" ht="15.75" customHeight="1" s="217">
      <c r="J4285" s="392">
        <f>IFERROR(UPPER(TRIM(B4285))&amp;"|"&amp;UPPER(TRIM(C4285))&amp;"|"&amp;UPPER(TRIM(D4285)),"")</f>
        <v/>
      </c>
    </row>
    <row r="4286" ht="15.75" customHeight="1" s="217">
      <c r="J4286" s="392">
        <f>IFERROR(UPPER(TRIM(B4286))&amp;"|"&amp;UPPER(TRIM(C4286))&amp;"|"&amp;UPPER(TRIM(D4286)),"")</f>
        <v/>
      </c>
    </row>
    <row r="4287" ht="15.75" customHeight="1" s="217">
      <c r="J4287" s="392">
        <f>IFERROR(UPPER(TRIM(B4287))&amp;"|"&amp;UPPER(TRIM(C4287))&amp;"|"&amp;UPPER(TRIM(D4287)),"")</f>
        <v/>
      </c>
    </row>
    <row r="4288" ht="15.75" customHeight="1" s="217">
      <c r="J4288" s="392">
        <f>IFERROR(UPPER(TRIM(B4288))&amp;"|"&amp;UPPER(TRIM(C4288))&amp;"|"&amp;UPPER(TRIM(D4288)),"")</f>
        <v/>
      </c>
    </row>
    <row r="4289" ht="15.75" customHeight="1" s="217">
      <c r="J4289" s="392">
        <f>IFERROR(UPPER(TRIM(B4289))&amp;"|"&amp;UPPER(TRIM(C4289))&amp;"|"&amp;UPPER(TRIM(D4289)),"")</f>
        <v/>
      </c>
    </row>
    <row r="4290" ht="15.75" customHeight="1" s="217">
      <c r="J4290" s="392">
        <f>IFERROR(UPPER(TRIM(B4290))&amp;"|"&amp;UPPER(TRIM(C4290))&amp;"|"&amp;UPPER(TRIM(D4290)),"")</f>
        <v/>
      </c>
    </row>
    <row r="4291" ht="15.75" customHeight="1" s="217">
      <c r="J4291" s="392">
        <f>IFERROR(UPPER(TRIM(B4291))&amp;"|"&amp;UPPER(TRIM(C4291))&amp;"|"&amp;UPPER(TRIM(D4291)),"")</f>
        <v/>
      </c>
    </row>
    <row r="4292" ht="15.75" customHeight="1" s="217">
      <c r="J4292" s="392">
        <f>IFERROR(UPPER(TRIM(B4292))&amp;"|"&amp;UPPER(TRIM(C4292))&amp;"|"&amp;UPPER(TRIM(D4292)),"")</f>
        <v/>
      </c>
    </row>
    <row r="4293" ht="15.75" customHeight="1" s="217">
      <c r="J4293" s="392">
        <f>IFERROR(UPPER(TRIM(B4293))&amp;"|"&amp;UPPER(TRIM(C4293))&amp;"|"&amp;UPPER(TRIM(D4293)),"")</f>
        <v/>
      </c>
    </row>
    <row r="4294" ht="15.75" customHeight="1" s="217">
      <c r="J4294" s="392">
        <f>IFERROR(UPPER(TRIM(B4294))&amp;"|"&amp;UPPER(TRIM(C4294))&amp;"|"&amp;UPPER(TRIM(D4294)),"")</f>
        <v/>
      </c>
    </row>
    <row r="4295" ht="15.75" customHeight="1" s="217">
      <c r="J4295" s="392">
        <f>IFERROR(UPPER(TRIM(B4295))&amp;"|"&amp;UPPER(TRIM(C4295))&amp;"|"&amp;UPPER(TRIM(D4295)),"")</f>
        <v/>
      </c>
    </row>
    <row r="4296" ht="15.75" customHeight="1" s="217">
      <c r="J4296" s="392">
        <f>IFERROR(UPPER(TRIM(B4296))&amp;"|"&amp;UPPER(TRIM(C4296))&amp;"|"&amp;UPPER(TRIM(D4296)),"")</f>
        <v/>
      </c>
    </row>
    <row r="4297" ht="15.75" customHeight="1" s="217">
      <c r="J4297" s="392">
        <f>IFERROR(UPPER(TRIM(B4297))&amp;"|"&amp;UPPER(TRIM(C4297))&amp;"|"&amp;UPPER(TRIM(D4297)),"")</f>
        <v/>
      </c>
    </row>
    <row r="4298" ht="15.75" customHeight="1" s="217">
      <c r="J4298" s="392">
        <f>IFERROR(UPPER(TRIM(B4298))&amp;"|"&amp;UPPER(TRIM(C4298))&amp;"|"&amp;UPPER(TRIM(D4298)),"")</f>
        <v/>
      </c>
    </row>
    <row r="4299" ht="15.75" customHeight="1" s="217">
      <c r="J4299" s="392">
        <f>IFERROR(UPPER(TRIM(B4299))&amp;"|"&amp;UPPER(TRIM(C4299))&amp;"|"&amp;UPPER(TRIM(D4299)),"")</f>
        <v/>
      </c>
    </row>
    <row r="4300" ht="15.75" customHeight="1" s="217">
      <c r="J4300" s="392">
        <f>IFERROR(UPPER(TRIM(B4300))&amp;"|"&amp;UPPER(TRIM(C4300))&amp;"|"&amp;UPPER(TRIM(D4300)),"")</f>
        <v/>
      </c>
    </row>
    <row r="4301" ht="15.75" customHeight="1" s="217">
      <c r="J4301" s="392">
        <f>IFERROR(UPPER(TRIM(B4301))&amp;"|"&amp;UPPER(TRIM(C4301))&amp;"|"&amp;UPPER(TRIM(D4301)),"")</f>
        <v/>
      </c>
    </row>
    <row r="4302" ht="15.75" customHeight="1" s="217">
      <c r="J4302" s="392">
        <f>IFERROR(UPPER(TRIM(B4302))&amp;"|"&amp;UPPER(TRIM(C4302))&amp;"|"&amp;UPPER(TRIM(D4302)),"")</f>
        <v/>
      </c>
    </row>
    <row r="4303" ht="15.75" customHeight="1" s="217">
      <c r="J4303" s="392">
        <f>IFERROR(UPPER(TRIM(B4303))&amp;"|"&amp;UPPER(TRIM(C4303))&amp;"|"&amp;UPPER(TRIM(D4303)),"")</f>
        <v/>
      </c>
    </row>
    <row r="4304" ht="15.75" customHeight="1" s="217">
      <c r="J4304" s="392">
        <f>IFERROR(UPPER(TRIM(B4304))&amp;"|"&amp;UPPER(TRIM(C4304))&amp;"|"&amp;UPPER(TRIM(D4304)),"")</f>
        <v/>
      </c>
    </row>
    <row r="4305" ht="15.75" customHeight="1" s="217">
      <c r="J4305" s="392">
        <f>IFERROR(UPPER(TRIM(B4305))&amp;"|"&amp;UPPER(TRIM(C4305))&amp;"|"&amp;UPPER(TRIM(D4305)),"")</f>
        <v/>
      </c>
    </row>
    <row r="4306" ht="15.75" customHeight="1" s="217">
      <c r="J4306" s="392">
        <f>IFERROR(UPPER(TRIM(B4306))&amp;"|"&amp;UPPER(TRIM(C4306))&amp;"|"&amp;UPPER(TRIM(D4306)),"")</f>
        <v/>
      </c>
    </row>
    <row r="4307" ht="15.75" customHeight="1" s="217">
      <c r="J4307" s="392">
        <f>IFERROR(UPPER(TRIM(B4307))&amp;"|"&amp;UPPER(TRIM(C4307))&amp;"|"&amp;UPPER(TRIM(D4307)),"")</f>
        <v/>
      </c>
    </row>
    <row r="4308" ht="15.75" customHeight="1" s="217">
      <c r="J4308" s="392">
        <f>IFERROR(UPPER(TRIM(B4308))&amp;"|"&amp;UPPER(TRIM(C4308))&amp;"|"&amp;UPPER(TRIM(D4308)),"")</f>
        <v/>
      </c>
    </row>
    <row r="4309" ht="15.75" customHeight="1" s="217">
      <c r="J4309" s="392">
        <f>IFERROR(UPPER(TRIM(B4309))&amp;"|"&amp;UPPER(TRIM(C4309))&amp;"|"&amp;UPPER(TRIM(D4309)),"")</f>
        <v/>
      </c>
    </row>
    <row r="4310" ht="15.75" customHeight="1" s="217">
      <c r="J4310" s="392">
        <f>IFERROR(UPPER(TRIM(B4310))&amp;"|"&amp;UPPER(TRIM(C4310))&amp;"|"&amp;UPPER(TRIM(D4310)),"")</f>
        <v/>
      </c>
    </row>
    <row r="4311" ht="15.75" customHeight="1" s="217">
      <c r="J4311" s="392">
        <f>IFERROR(UPPER(TRIM(B4311))&amp;"|"&amp;UPPER(TRIM(C4311))&amp;"|"&amp;UPPER(TRIM(D4311)),"")</f>
        <v/>
      </c>
    </row>
    <row r="4312" ht="15.75" customHeight="1" s="217">
      <c r="J4312" s="392">
        <f>IFERROR(UPPER(TRIM(B4312))&amp;"|"&amp;UPPER(TRIM(C4312))&amp;"|"&amp;UPPER(TRIM(D4312)),"")</f>
        <v/>
      </c>
    </row>
    <row r="4313" ht="15.75" customHeight="1" s="217">
      <c r="J4313" s="392">
        <f>IFERROR(UPPER(TRIM(B4313))&amp;"|"&amp;UPPER(TRIM(C4313))&amp;"|"&amp;UPPER(TRIM(D4313)),"")</f>
        <v/>
      </c>
    </row>
    <row r="4314" ht="15.75" customHeight="1" s="217">
      <c r="J4314" s="392">
        <f>IFERROR(UPPER(TRIM(B4314))&amp;"|"&amp;UPPER(TRIM(C4314))&amp;"|"&amp;UPPER(TRIM(D4314)),"")</f>
        <v/>
      </c>
    </row>
    <row r="4315" ht="15.75" customHeight="1" s="217">
      <c r="J4315" s="392">
        <f>IFERROR(UPPER(TRIM(B4315))&amp;"|"&amp;UPPER(TRIM(C4315))&amp;"|"&amp;UPPER(TRIM(D4315)),"")</f>
        <v/>
      </c>
    </row>
    <row r="4316" ht="15.75" customHeight="1" s="217">
      <c r="J4316" s="392">
        <f>IFERROR(UPPER(TRIM(B4316))&amp;"|"&amp;UPPER(TRIM(C4316))&amp;"|"&amp;UPPER(TRIM(D4316)),"")</f>
        <v/>
      </c>
    </row>
    <row r="4317" ht="15.75" customHeight="1" s="217">
      <c r="J4317" s="392">
        <f>IFERROR(UPPER(TRIM(B4317))&amp;"|"&amp;UPPER(TRIM(C4317))&amp;"|"&amp;UPPER(TRIM(D4317)),"")</f>
        <v/>
      </c>
    </row>
    <row r="4318" ht="15.75" customHeight="1" s="217">
      <c r="J4318" s="392">
        <f>IFERROR(UPPER(TRIM(B4318))&amp;"|"&amp;UPPER(TRIM(C4318))&amp;"|"&amp;UPPER(TRIM(D4318)),"")</f>
        <v/>
      </c>
    </row>
    <row r="4319" ht="15.75" customHeight="1" s="217">
      <c r="J4319" s="392">
        <f>IFERROR(UPPER(TRIM(B4319))&amp;"|"&amp;UPPER(TRIM(C4319))&amp;"|"&amp;UPPER(TRIM(D4319)),"")</f>
        <v/>
      </c>
    </row>
    <row r="4320" ht="15.75" customHeight="1" s="217">
      <c r="J4320" s="392">
        <f>IFERROR(UPPER(TRIM(B4320))&amp;"|"&amp;UPPER(TRIM(C4320))&amp;"|"&amp;UPPER(TRIM(D4320)),"")</f>
        <v/>
      </c>
    </row>
    <row r="4321" ht="15.75" customHeight="1" s="217">
      <c r="J4321" s="392">
        <f>IFERROR(UPPER(TRIM(B4321))&amp;"|"&amp;UPPER(TRIM(C4321))&amp;"|"&amp;UPPER(TRIM(D4321)),"")</f>
        <v/>
      </c>
    </row>
    <row r="4322" ht="15.75" customHeight="1" s="217">
      <c r="J4322" s="392">
        <f>IFERROR(UPPER(TRIM(B4322))&amp;"|"&amp;UPPER(TRIM(C4322))&amp;"|"&amp;UPPER(TRIM(D4322)),"")</f>
        <v/>
      </c>
    </row>
    <row r="4323" ht="15.75" customHeight="1" s="217">
      <c r="J4323" s="392">
        <f>IFERROR(UPPER(TRIM(B4323))&amp;"|"&amp;UPPER(TRIM(C4323))&amp;"|"&amp;UPPER(TRIM(D4323)),"")</f>
        <v/>
      </c>
    </row>
    <row r="4324" ht="15.75" customHeight="1" s="217">
      <c r="J4324" s="392">
        <f>IFERROR(UPPER(TRIM(B4324))&amp;"|"&amp;UPPER(TRIM(C4324))&amp;"|"&amp;UPPER(TRIM(D4324)),"")</f>
        <v/>
      </c>
    </row>
    <row r="4325" ht="15.75" customHeight="1" s="217">
      <c r="J4325" s="392">
        <f>IFERROR(UPPER(TRIM(B4325))&amp;"|"&amp;UPPER(TRIM(C4325))&amp;"|"&amp;UPPER(TRIM(D4325)),"")</f>
        <v/>
      </c>
    </row>
    <row r="4326" ht="15.75" customHeight="1" s="217">
      <c r="J4326" s="392">
        <f>IFERROR(UPPER(TRIM(B4326))&amp;"|"&amp;UPPER(TRIM(C4326))&amp;"|"&amp;UPPER(TRIM(D4326)),"")</f>
        <v/>
      </c>
    </row>
    <row r="4327" ht="15.75" customHeight="1" s="217">
      <c r="J4327" s="392">
        <f>IFERROR(UPPER(TRIM(B4327))&amp;"|"&amp;UPPER(TRIM(C4327))&amp;"|"&amp;UPPER(TRIM(D4327)),"")</f>
        <v/>
      </c>
    </row>
    <row r="4328" ht="15.75" customHeight="1" s="217">
      <c r="J4328" s="392">
        <f>IFERROR(UPPER(TRIM(B4328))&amp;"|"&amp;UPPER(TRIM(C4328))&amp;"|"&amp;UPPER(TRIM(D4328)),"")</f>
        <v/>
      </c>
    </row>
    <row r="4329" ht="15.75" customHeight="1" s="217">
      <c r="J4329" s="392">
        <f>IFERROR(UPPER(TRIM(B4329))&amp;"|"&amp;UPPER(TRIM(C4329))&amp;"|"&amp;UPPER(TRIM(D4329)),"")</f>
        <v/>
      </c>
    </row>
    <row r="4330" ht="15.75" customHeight="1" s="217">
      <c r="J4330" s="392">
        <f>IFERROR(UPPER(TRIM(B4330))&amp;"|"&amp;UPPER(TRIM(C4330))&amp;"|"&amp;UPPER(TRIM(D4330)),"")</f>
        <v/>
      </c>
    </row>
    <row r="4331" ht="15.75" customHeight="1" s="217">
      <c r="J4331" s="392">
        <f>IFERROR(UPPER(TRIM(B4331))&amp;"|"&amp;UPPER(TRIM(C4331))&amp;"|"&amp;UPPER(TRIM(D4331)),"")</f>
        <v/>
      </c>
    </row>
    <row r="4332" ht="15.75" customHeight="1" s="217">
      <c r="J4332" s="392">
        <f>IFERROR(UPPER(TRIM(B4332))&amp;"|"&amp;UPPER(TRIM(C4332))&amp;"|"&amp;UPPER(TRIM(D4332)),"")</f>
        <v/>
      </c>
    </row>
    <row r="4333" ht="15.75" customHeight="1" s="217">
      <c r="J4333" s="392">
        <f>IFERROR(UPPER(TRIM(B4333))&amp;"|"&amp;UPPER(TRIM(C4333))&amp;"|"&amp;UPPER(TRIM(D4333)),"")</f>
        <v/>
      </c>
    </row>
    <row r="4334" ht="15.75" customHeight="1" s="217">
      <c r="J4334" s="392">
        <f>IFERROR(UPPER(TRIM(B4334))&amp;"|"&amp;UPPER(TRIM(C4334))&amp;"|"&amp;UPPER(TRIM(D4334)),"")</f>
        <v/>
      </c>
    </row>
    <row r="4335" ht="15.75" customHeight="1" s="217">
      <c r="J4335" s="392">
        <f>IFERROR(UPPER(TRIM(B4335))&amp;"|"&amp;UPPER(TRIM(C4335))&amp;"|"&amp;UPPER(TRIM(D4335)),"")</f>
        <v/>
      </c>
    </row>
    <row r="4336" ht="15.75" customHeight="1" s="217">
      <c r="J4336" s="392">
        <f>IFERROR(UPPER(TRIM(B4336))&amp;"|"&amp;UPPER(TRIM(C4336))&amp;"|"&amp;UPPER(TRIM(D4336)),"")</f>
        <v/>
      </c>
    </row>
    <row r="4337" ht="15.75" customHeight="1" s="217">
      <c r="J4337" s="392">
        <f>IFERROR(UPPER(TRIM(B4337))&amp;"|"&amp;UPPER(TRIM(C4337))&amp;"|"&amp;UPPER(TRIM(D4337)),"")</f>
        <v/>
      </c>
    </row>
    <row r="4338" ht="15.75" customHeight="1" s="217">
      <c r="J4338" s="392">
        <f>IFERROR(UPPER(TRIM(B4338))&amp;"|"&amp;UPPER(TRIM(C4338))&amp;"|"&amp;UPPER(TRIM(D4338)),"")</f>
        <v/>
      </c>
    </row>
    <row r="4339" ht="15.75" customHeight="1" s="217">
      <c r="J4339" s="392">
        <f>IFERROR(UPPER(TRIM(B4339))&amp;"|"&amp;UPPER(TRIM(C4339))&amp;"|"&amp;UPPER(TRIM(D4339)),"")</f>
        <v/>
      </c>
    </row>
    <row r="4340" ht="15.75" customHeight="1" s="217">
      <c r="J4340" s="392">
        <f>IFERROR(UPPER(TRIM(B4340))&amp;"|"&amp;UPPER(TRIM(C4340))&amp;"|"&amp;UPPER(TRIM(D4340)),"")</f>
        <v/>
      </c>
    </row>
    <row r="4341" ht="15.75" customHeight="1" s="217">
      <c r="J4341" s="392">
        <f>IFERROR(UPPER(TRIM(B4341))&amp;"|"&amp;UPPER(TRIM(C4341))&amp;"|"&amp;UPPER(TRIM(D4341)),"")</f>
        <v/>
      </c>
    </row>
    <row r="4342" ht="15.75" customHeight="1" s="217">
      <c r="J4342" s="392">
        <f>IFERROR(UPPER(TRIM(B4342))&amp;"|"&amp;UPPER(TRIM(C4342))&amp;"|"&amp;UPPER(TRIM(D4342)),"")</f>
        <v/>
      </c>
    </row>
    <row r="4343" ht="15.75" customHeight="1" s="217">
      <c r="J4343" s="392">
        <f>IFERROR(UPPER(TRIM(B4343))&amp;"|"&amp;UPPER(TRIM(C4343))&amp;"|"&amp;UPPER(TRIM(D4343)),"")</f>
        <v/>
      </c>
    </row>
    <row r="4344" ht="15.75" customHeight="1" s="217">
      <c r="J4344" s="392">
        <f>IFERROR(UPPER(TRIM(B4344))&amp;"|"&amp;UPPER(TRIM(C4344))&amp;"|"&amp;UPPER(TRIM(D4344)),"")</f>
        <v/>
      </c>
    </row>
    <row r="4345" ht="15.75" customHeight="1" s="217">
      <c r="J4345" s="392">
        <f>IFERROR(UPPER(TRIM(B4345))&amp;"|"&amp;UPPER(TRIM(C4345))&amp;"|"&amp;UPPER(TRIM(D4345)),"")</f>
        <v/>
      </c>
    </row>
    <row r="4346" ht="15.75" customHeight="1" s="217">
      <c r="J4346" s="392">
        <f>IFERROR(UPPER(TRIM(B4346))&amp;"|"&amp;UPPER(TRIM(C4346))&amp;"|"&amp;UPPER(TRIM(D4346)),"")</f>
        <v/>
      </c>
    </row>
    <row r="4347" ht="15.75" customHeight="1" s="217">
      <c r="J4347" s="392">
        <f>IFERROR(UPPER(TRIM(B4347))&amp;"|"&amp;UPPER(TRIM(C4347))&amp;"|"&amp;UPPER(TRIM(D4347)),"")</f>
        <v/>
      </c>
    </row>
    <row r="4348" ht="15.75" customHeight="1" s="217">
      <c r="J4348" s="392">
        <f>IFERROR(UPPER(TRIM(B4348))&amp;"|"&amp;UPPER(TRIM(C4348))&amp;"|"&amp;UPPER(TRIM(D4348)),"")</f>
        <v/>
      </c>
    </row>
    <row r="4349" ht="15.75" customHeight="1" s="217">
      <c r="J4349" s="392">
        <f>IFERROR(UPPER(TRIM(B4349))&amp;"|"&amp;UPPER(TRIM(C4349))&amp;"|"&amp;UPPER(TRIM(D4349)),"")</f>
        <v/>
      </c>
    </row>
    <row r="4350" ht="15.75" customHeight="1" s="217">
      <c r="J4350" s="392">
        <f>IFERROR(UPPER(TRIM(B4350))&amp;"|"&amp;UPPER(TRIM(C4350))&amp;"|"&amp;UPPER(TRIM(D4350)),"")</f>
        <v/>
      </c>
    </row>
    <row r="4351" ht="15.75" customHeight="1" s="217">
      <c r="J4351" s="392">
        <f>IFERROR(UPPER(TRIM(B4351))&amp;"|"&amp;UPPER(TRIM(C4351))&amp;"|"&amp;UPPER(TRIM(D4351)),"")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030A0"/>
    <outlinePr summaryBelow="1" summaryRight="1"/>
    <pageSetUpPr fitToPage="0"/>
  </sheetPr>
  <dimension ref="A1:F269"/>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16" min="1" max="1"/>
    <col width="30" customWidth="1" style="216" min="2" max="2"/>
    <col width="15" customWidth="1" style="216" min="3" max="3"/>
    <col width="34" customWidth="1" style="216" min="4" max="4"/>
    <col width="13" customWidth="1" style="216" min="5" max="5"/>
    <col width="24" customWidth="1" style="216" min="6" max="6"/>
  </cols>
  <sheetData>
    <row r="1" ht="37.5" customHeight="1" s="217">
      <c r="A1" s="307" t="inlineStr">
        <is>
          <t>🚌  DANH SÁCH CHÀNH XE &amp; NHÀ XE GIAO HÀNG</t>
        </is>
      </c>
    </row>
    <row r="2" ht="21.75" customHeight="1" s="217">
      <c r="A2" s="405" t="inlineStr">
        <is>
          <t>🚛 Miền Tây: 103 chành   ·   🚐 Miền Đông: 80 chành   ·   🏢 Nhà xe liên tỉnh: 50 (23 tỉnh)</t>
        </is>
      </c>
    </row>
    <row r="4" ht="24" customHeight="1" s="217">
      <c r="A4" s="406" t="inlineStr">
        <is>
          <t>📦  CHÀNH XE GIAO HÀNG</t>
        </is>
      </c>
    </row>
    <row r="5" ht="19.5" customHeight="1" s="217">
      <c r="A5" s="407" t="inlineStr">
        <is>
          <t>🚛  MIỀN TÂY   ·   103 chành</t>
        </is>
      </c>
    </row>
    <row r="6" ht="19.5" customHeight="1" s="217">
      <c r="A6" s="408" t="inlineStr">
        <is>
          <t>STT</t>
        </is>
      </c>
      <c r="B6" s="408" t="inlineStr">
        <is>
          <t>TÊN CHÀNH / NHÀ XE</t>
        </is>
      </c>
      <c r="C6" s="408" t="inlineStr">
        <is>
          <t>ĐIỆN THOẠI</t>
        </is>
      </c>
      <c r="D6" s="408" t="inlineStr">
        <is>
          <t>ĐỊA CHỈ</t>
        </is>
      </c>
      <c r="E6" s="408" t="inlineStr">
        <is>
          <t>GIỜ NHẬN</t>
        </is>
      </c>
      <c r="F6" s="408" t="inlineStr">
        <is>
          <t>GHI CHÚ</t>
        </is>
      </c>
    </row>
    <row r="7" ht="15" customHeight="1" s="217">
      <c r="A7" s="409" t="n">
        <v>1</v>
      </c>
      <c r="B7" s="410" t="inlineStr">
        <is>
          <t>10 ĐỒNG</t>
        </is>
      </c>
      <c r="C7" s="411" t="n"/>
      <c r="D7" s="412" t="n"/>
      <c r="E7" s="413" t="n"/>
      <c r="F7" s="412" t="n"/>
    </row>
    <row r="8" ht="15" customHeight="1" s="217">
      <c r="A8" s="414" t="n">
        <v>2</v>
      </c>
      <c r="B8" s="415" t="inlineStr">
        <is>
          <t>5 SANG</t>
        </is>
      </c>
      <c r="C8" s="416" t="n"/>
      <c r="D8" s="417" t="n"/>
      <c r="E8" s="418" t="inlineStr">
        <is>
          <t>&lt;9H</t>
        </is>
      </c>
      <c r="F8" s="417" t="n"/>
    </row>
    <row r="9" ht="15" customHeight="1" s="217">
      <c r="A9" s="409" t="n">
        <v>3</v>
      </c>
      <c r="B9" s="410" t="inlineStr">
        <is>
          <t>5 SỦNG</t>
        </is>
      </c>
      <c r="C9" s="411" t="n"/>
      <c r="D9" s="412" t="n"/>
      <c r="E9" s="413" t="n"/>
      <c r="F9" s="412" t="n"/>
    </row>
    <row r="10" ht="15" customHeight="1" s="217">
      <c r="A10" s="414" t="n">
        <v>4</v>
      </c>
      <c r="B10" s="415" t="inlineStr">
        <is>
          <t>7 ĐỒNG</t>
        </is>
      </c>
      <c r="C10" s="416" t="n"/>
      <c r="D10" s="417" t="n"/>
      <c r="E10" s="418" t="n"/>
      <c r="F10" s="417" t="n"/>
    </row>
    <row r="11" ht="15" customHeight="1" s="217">
      <c r="A11" s="409" t="n">
        <v>5</v>
      </c>
      <c r="B11" s="410" t="inlineStr">
        <is>
          <t>A BAL</t>
        </is>
      </c>
      <c r="C11" s="411" t="n"/>
      <c r="D11" s="412" t="n"/>
      <c r="E11" s="413" t="inlineStr">
        <is>
          <t>&lt;12H</t>
        </is>
      </c>
      <c r="F11" s="412" t="n"/>
    </row>
    <row r="12" ht="15" customHeight="1" s="217">
      <c r="A12" s="414" t="n">
        <v>6</v>
      </c>
      <c r="B12" s="415" t="inlineStr">
        <is>
          <t>A MINH(LONG AN)</t>
        </is>
      </c>
      <c r="C12" s="416" t="n"/>
      <c r="D12" s="417" t="n"/>
      <c r="E12" s="418" t="inlineStr">
        <is>
          <t>&lt;5H</t>
        </is>
      </c>
      <c r="F12" s="417" t="n"/>
    </row>
    <row r="13" ht="15" customHeight="1" s="217">
      <c r="A13" s="409" t="n">
        <v>7</v>
      </c>
      <c r="B13" s="410" t="inlineStr">
        <is>
          <t>A MINH(MỸ THO)</t>
        </is>
      </c>
      <c r="C13" s="411" t="n"/>
      <c r="D13" s="412" t="n"/>
      <c r="E13" s="413" t="inlineStr">
        <is>
          <t>&lt;5H</t>
        </is>
      </c>
      <c r="F13" s="412" t="n"/>
    </row>
    <row r="14" ht="15" customHeight="1" s="217">
      <c r="A14" s="414" t="n">
        <v>8</v>
      </c>
      <c r="B14" s="415" t="inlineStr">
        <is>
          <t>A PHƯƠNG</t>
        </is>
      </c>
      <c r="C14" s="416" t="n"/>
      <c r="D14" s="417" t="n"/>
      <c r="E14" s="418" t="inlineStr">
        <is>
          <t>&lt;2H</t>
        </is>
      </c>
      <c r="F14" s="417" t="n"/>
    </row>
    <row r="15" ht="15" customHeight="1" s="217">
      <c r="A15" s="409" t="n">
        <v>9</v>
      </c>
      <c r="B15" s="410" t="inlineStr">
        <is>
          <t>A SINH</t>
        </is>
      </c>
      <c r="C15" s="411" t="n"/>
      <c r="D15" s="412" t="n"/>
      <c r="E15" s="413" t="inlineStr">
        <is>
          <t>&lt;7H</t>
        </is>
      </c>
      <c r="F15" s="412" t="n"/>
    </row>
    <row r="16" ht="15" customHeight="1" s="217">
      <c r="A16" s="414" t="n">
        <v>10</v>
      </c>
      <c r="B16" s="415" t="inlineStr">
        <is>
          <t>A THÀNH</t>
        </is>
      </c>
      <c r="C16" s="416" t="n"/>
      <c r="D16" s="417" t="n"/>
      <c r="E16" s="418" t="n"/>
      <c r="F16" s="417" t="n"/>
    </row>
    <row r="17" ht="15" customHeight="1" s="217">
      <c r="A17" s="409" t="n">
        <v>11</v>
      </c>
      <c r="B17" s="410" t="inlineStr">
        <is>
          <t>A TUẤN( BẠC LIÊU)</t>
        </is>
      </c>
      <c r="C17" s="411" t="n"/>
      <c r="D17" s="412" t="n"/>
      <c r="E17" s="413" t="n"/>
      <c r="F17" s="412" t="n"/>
    </row>
    <row r="18" ht="15" customHeight="1" s="217">
      <c r="A18" s="414" t="n">
        <v>12</v>
      </c>
      <c r="B18" s="415" t="inlineStr">
        <is>
          <t>A TUẤN(LONG AN)</t>
        </is>
      </c>
      <c r="C18" s="416" t="n"/>
      <c r="D18" s="417" t="n"/>
      <c r="E18" s="418" t="n"/>
      <c r="F18" s="417" t="n"/>
    </row>
    <row r="19" ht="15" customHeight="1" s="217">
      <c r="A19" s="409" t="n">
        <v>13</v>
      </c>
      <c r="B19" s="410" t="inlineStr">
        <is>
          <t>A TUẤN(TÂY NINH)</t>
        </is>
      </c>
      <c r="C19" s="411" t="n"/>
      <c r="D19" s="412" t="n"/>
      <c r="E19" s="413" t="n"/>
      <c r="F19" s="412" t="n"/>
    </row>
    <row r="20" ht="15" customHeight="1" s="217">
      <c r="A20" s="414" t="n">
        <v>14</v>
      </c>
      <c r="B20" s="415" t="inlineStr">
        <is>
          <t>A TỬNG</t>
        </is>
      </c>
      <c r="C20" s="416" t="n"/>
      <c r="D20" s="417" t="n"/>
      <c r="E20" s="418" t="n"/>
      <c r="F20" s="417" t="n"/>
    </row>
    <row r="21" ht="15" customHeight="1" s="217">
      <c r="A21" s="409" t="n">
        <v>15</v>
      </c>
      <c r="B21" s="410" t="inlineStr">
        <is>
          <t>ASUA</t>
        </is>
      </c>
      <c r="C21" s="411" t="n"/>
      <c r="D21" s="412" t="n"/>
      <c r="E21" s="413" t="n"/>
      <c r="F21" s="412" t="n"/>
    </row>
    <row r="22" ht="15" customHeight="1" s="217">
      <c r="A22" s="414" t="n">
        <v>16</v>
      </c>
      <c r="B22" s="415" t="inlineStr">
        <is>
          <t>BA XỊ</t>
        </is>
      </c>
      <c r="C22" s="416" t="n"/>
      <c r="D22" s="417" t="n"/>
      <c r="E22" s="418" t="inlineStr">
        <is>
          <t>&lt;5H</t>
        </is>
      </c>
      <c r="F22" s="417" t="n"/>
    </row>
    <row r="23" ht="15" customHeight="1" s="217">
      <c r="A23" s="409" t="n">
        <v>17</v>
      </c>
      <c r="B23" s="410" t="inlineStr">
        <is>
          <t>BẢO HÂN</t>
        </is>
      </c>
      <c r="C23" s="411" t="n"/>
      <c r="D23" s="412" t="n"/>
      <c r="E23" s="413" t="n"/>
      <c r="F23" s="412" t="n"/>
    </row>
    <row r="24" ht="15" customHeight="1" s="217">
      <c r="A24" s="414" t="n">
        <v>18</v>
      </c>
      <c r="B24" s="415" t="inlineStr">
        <is>
          <t>BẢO PHƯƠNG</t>
        </is>
      </c>
      <c r="C24" s="416" t="n"/>
      <c r="D24" s="417" t="n"/>
      <c r="E24" s="418" t="n"/>
      <c r="F24" s="417" t="n"/>
    </row>
    <row r="25" ht="15" customHeight="1" s="217">
      <c r="A25" s="409" t="n">
        <v>19</v>
      </c>
      <c r="B25" s="410" t="inlineStr">
        <is>
          <t>C DUNG(TÂY NINH)</t>
        </is>
      </c>
      <c r="C25" s="411" t="n"/>
      <c r="D25" s="412" t="n"/>
      <c r="E25" s="413" t="n"/>
      <c r="F25" s="412" t="n"/>
    </row>
    <row r="26" ht="15" customHeight="1" s="217">
      <c r="A26" s="414" t="n">
        <v>20</v>
      </c>
      <c r="B26" s="415" t="inlineStr">
        <is>
          <t>C DỰ</t>
        </is>
      </c>
      <c r="C26" s="416" t="n"/>
      <c r="D26" s="417" t="n"/>
      <c r="E26" s="418" t="n"/>
      <c r="F26" s="417" t="n"/>
    </row>
    <row r="27" ht="15" customHeight="1" s="217">
      <c r="A27" s="409" t="n">
        <v>21</v>
      </c>
      <c r="B27" s="410" t="inlineStr">
        <is>
          <t>C GIA PHÚC</t>
        </is>
      </c>
      <c r="C27" s="411" t="n"/>
      <c r="D27" s="412" t="n"/>
      <c r="E27" s="413" t="n"/>
      <c r="F27" s="412" t="n"/>
    </row>
    <row r="28" ht="15" customHeight="1" s="217">
      <c r="A28" s="414" t="n">
        <v>22</v>
      </c>
      <c r="B28" s="415" t="inlineStr">
        <is>
          <t>C LŨY</t>
        </is>
      </c>
      <c r="C28" s="416" t="n"/>
      <c r="D28" s="417" t="n"/>
      <c r="E28" s="418" t="inlineStr">
        <is>
          <t>&lt;7H</t>
        </is>
      </c>
      <c r="F28" s="417" t="n"/>
    </row>
    <row r="29" ht="15" customHeight="1" s="217">
      <c r="A29" s="409" t="n">
        <v>23</v>
      </c>
      <c r="B29" s="410" t="inlineStr">
        <is>
          <t>C NGÀ</t>
        </is>
      </c>
      <c r="C29" s="411" t="n"/>
      <c r="D29" s="412" t="n"/>
      <c r="E29" s="413" t="n"/>
      <c r="F29" s="412" t="n"/>
    </row>
    <row r="30" ht="15" customHeight="1" s="217">
      <c r="A30" s="414" t="n">
        <v>24</v>
      </c>
      <c r="B30" s="415" t="inlineStr">
        <is>
          <t>C NHUNG</t>
        </is>
      </c>
      <c r="C30" s="416" t="n"/>
      <c r="D30" s="417" t="n"/>
      <c r="E30" s="418" t="n"/>
      <c r="F30" s="417" t="n"/>
    </row>
    <row r="31" ht="15" customHeight="1" s="217">
      <c r="A31" s="409" t="n">
        <v>25</v>
      </c>
      <c r="B31" s="410" t="inlineStr">
        <is>
          <t>C OẮN</t>
        </is>
      </c>
      <c r="C31" s="411" t="n"/>
      <c r="D31" s="412" t="n"/>
      <c r="E31" s="413" t="n"/>
      <c r="F31" s="412" t="n"/>
    </row>
    <row r="32" ht="15" customHeight="1" s="217">
      <c r="A32" s="414" t="n">
        <v>26</v>
      </c>
      <c r="B32" s="415" t="inlineStr">
        <is>
          <t>C PHONG(SÓC TRĂNG)</t>
        </is>
      </c>
      <c r="C32" s="416" t="n"/>
      <c r="D32" s="417" t="n"/>
      <c r="E32" s="418" t="n"/>
      <c r="F32" s="417" t="n"/>
    </row>
    <row r="33" ht="15" customHeight="1" s="217">
      <c r="A33" s="409" t="n">
        <v>27</v>
      </c>
      <c r="B33" s="410" t="inlineStr">
        <is>
          <t>C PHƯƠNG</t>
        </is>
      </c>
      <c r="C33" s="411" t="n"/>
      <c r="D33" s="412" t="n"/>
      <c r="E33" s="413" t="n"/>
      <c r="F33" s="412" t="n"/>
    </row>
    <row r="34" ht="15" customHeight="1" s="217">
      <c r="A34" s="414" t="n">
        <v>28</v>
      </c>
      <c r="B34" s="415" t="inlineStr">
        <is>
          <t>C QUY</t>
        </is>
      </c>
      <c r="C34" s="416" t="n"/>
      <c r="D34" s="417" t="n"/>
      <c r="E34" s="418" t="n"/>
      <c r="F34" s="417" t="n"/>
    </row>
    <row r="35" ht="15" customHeight="1" s="217">
      <c r="A35" s="409" t="n">
        <v>29</v>
      </c>
      <c r="B35" s="410" t="inlineStr">
        <is>
          <t>C THẢO</t>
        </is>
      </c>
      <c r="C35" s="411" t="n"/>
      <c r="D35" s="412" t="n"/>
      <c r="E35" s="413" t="inlineStr">
        <is>
          <t>&lt;3H30</t>
        </is>
      </c>
      <c r="F35" s="412" t="n"/>
    </row>
    <row r="36" ht="15" customHeight="1" s="217">
      <c r="A36" s="414" t="n">
        <v>30</v>
      </c>
      <c r="B36" s="415" t="inlineStr">
        <is>
          <t>CAO ĐẠT</t>
        </is>
      </c>
      <c r="C36" s="416" t="n"/>
      <c r="D36" s="417" t="n"/>
      <c r="E36" s="418" t="inlineStr">
        <is>
          <t>&lt;9H</t>
        </is>
      </c>
      <c r="F36" s="417" t="n"/>
    </row>
    <row r="37" ht="15" customHeight="1" s="217">
      <c r="A37" s="409" t="n">
        <v>31</v>
      </c>
      <c r="B37" s="410" t="inlineStr">
        <is>
          <t>CHÀNH 7</t>
        </is>
      </c>
      <c r="C37" s="411" t="n"/>
      <c r="D37" s="412" t="n"/>
      <c r="E37" s="413" t="n"/>
      <c r="F37" s="412" t="n"/>
    </row>
    <row r="38" ht="15" customHeight="1" s="217">
      <c r="A38" s="414" t="n">
        <v>32</v>
      </c>
      <c r="B38" s="415" t="inlineStr">
        <is>
          <t>CHÀNH CƯỜNG</t>
        </is>
      </c>
      <c r="C38" s="416" t="n"/>
      <c r="D38" s="417" t="n"/>
      <c r="E38" s="418" t="n"/>
      <c r="F38" s="417" t="n"/>
    </row>
    <row r="39" ht="15" customHeight="1" s="217">
      <c r="A39" s="409" t="n">
        <v>33</v>
      </c>
      <c r="B39" s="410" t="inlineStr">
        <is>
          <t>CHÀNH HIẾU</t>
        </is>
      </c>
      <c r="C39" s="411" t="n"/>
      <c r="D39" s="412" t="n"/>
      <c r="E39" s="413" t="n"/>
      <c r="F39" s="412" t="n"/>
    </row>
    <row r="40" ht="15" customHeight="1" s="217">
      <c r="A40" s="414" t="n">
        <v>34</v>
      </c>
      <c r="B40" s="415" t="inlineStr">
        <is>
          <t>CHÀNH HIỂN(LONG AN)</t>
        </is>
      </c>
      <c r="C40" s="416" t="n"/>
      <c r="D40" s="417" t="n"/>
      <c r="E40" s="418" t="inlineStr">
        <is>
          <t>&lt;7H</t>
        </is>
      </c>
      <c r="F40" s="417" t="n"/>
    </row>
    <row r="41" ht="15" customHeight="1" s="217">
      <c r="A41" s="409" t="n">
        <v>35</v>
      </c>
      <c r="B41" s="410" t="inlineStr">
        <is>
          <t>CHÀNH HIỂN(PHÚ QUỐC)</t>
        </is>
      </c>
      <c r="C41" s="411" t="n"/>
      <c r="D41" s="412" t="n"/>
      <c r="E41" s="413" t="n"/>
      <c r="F41" s="412" t="n"/>
    </row>
    <row r="42" ht="15" customHeight="1" s="217">
      <c r="A42" s="414" t="n">
        <v>36</v>
      </c>
      <c r="B42" s="415" t="inlineStr">
        <is>
          <t>CHÀNH HÙNG</t>
        </is>
      </c>
      <c r="C42" s="416" t="n"/>
      <c r="D42" s="417" t="n"/>
      <c r="E42" s="418" t="n"/>
      <c r="F42" s="417" t="n"/>
    </row>
    <row r="43" ht="15" customHeight="1" s="217">
      <c r="A43" s="409" t="n">
        <v>37</v>
      </c>
      <c r="B43" s="410" t="inlineStr">
        <is>
          <t>CHÀNH PHONG(VĨNH LONG)</t>
        </is>
      </c>
      <c r="C43" s="411" t="n"/>
      <c r="D43" s="412" t="n"/>
      <c r="E43" s="413" t="n"/>
      <c r="F43" s="412" t="n"/>
    </row>
    <row r="44" ht="15" customHeight="1" s="217">
      <c r="A44" s="414" t="n">
        <v>38</v>
      </c>
      <c r="B44" s="415" t="inlineStr">
        <is>
          <t>CHÀNH TOÀN</t>
        </is>
      </c>
      <c r="C44" s="416" t="n"/>
      <c r="D44" s="417" t="n"/>
      <c r="E44" s="418" t="n"/>
      <c r="F44" s="417" t="n"/>
    </row>
    <row r="45" ht="15" customHeight="1" s="217">
      <c r="A45" s="409" t="n">
        <v>39</v>
      </c>
      <c r="B45" s="410" t="inlineStr">
        <is>
          <t>CHÚ TIẾN</t>
        </is>
      </c>
      <c r="C45" s="411" t="n"/>
      <c r="D45" s="412" t="n"/>
      <c r="E45" s="413" t="inlineStr">
        <is>
          <t>&lt;11H</t>
        </is>
      </c>
      <c r="F45" s="412" t="n"/>
    </row>
    <row r="46" ht="15" customHeight="1" s="217">
      <c r="A46" s="414" t="n">
        <v>40</v>
      </c>
      <c r="B46" s="415" t="inlineStr">
        <is>
          <t>CHÚ TƯ</t>
        </is>
      </c>
      <c r="C46" s="416" t="n"/>
      <c r="D46" s="417" t="n"/>
      <c r="E46" s="418" t="n"/>
      <c r="F46" s="417" t="n"/>
    </row>
    <row r="47" ht="15" customHeight="1" s="217">
      <c r="A47" s="409" t="n">
        <v>41</v>
      </c>
      <c r="B47" s="410" t="inlineStr">
        <is>
          <t>CÔ LAN</t>
        </is>
      </c>
      <c r="C47" s="411" t="n"/>
      <c r="D47" s="412" t="n"/>
      <c r="E47" s="413" t="n"/>
      <c r="F47" s="412" t="n"/>
    </row>
    <row r="48" ht="15" customHeight="1" s="217">
      <c r="A48" s="414" t="n">
        <v>42</v>
      </c>
      <c r="B48" s="415" t="inlineStr">
        <is>
          <t>CƯỜNG QUYÊN</t>
        </is>
      </c>
      <c r="C48" s="416" t="n"/>
      <c r="D48" s="417" t="n"/>
      <c r="E48" s="418" t="n"/>
      <c r="F48" s="417" t="n"/>
    </row>
    <row r="49" ht="15" customHeight="1" s="217">
      <c r="A49" s="409" t="n">
        <v>43</v>
      </c>
      <c r="B49" s="410" t="inlineStr">
        <is>
          <t>DANH DANH</t>
        </is>
      </c>
      <c r="C49" s="411" t="n"/>
      <c r="D49" s="412" t="n"/>
      <c r="E49" s="413" t="n"/>
      <c r="F49" s="412" t="n"/>
    </row>
    <row r="50" ht="15" customHeight="1" s="217">
      <c r="A50" s="414" t="n">
        <v>44</v>
      </c>
      <c r="B50" s="415" t="inlineStr">
        <is>
          <t>DUY QUÝ</t>
        </is>
      </c>
      <c r="C50" s="416" t="n"/>
      <c r="D50" s="417" t="n"/>
      <c r="E50" s="418" t="n"/>
      <c r="F50" s="417" t="n"/>
    </row>
    <row r="51" ht="15" customHeight="1" s="217">
      <c r="A51" s="409" t="n">
        <v>45</v>
      </c>
      <c r="B51" s="410" t="inlineStr">
        <is>
          <t>DÌ HUỆ</t>
        </is>
      </c>
      <c r="C51" s="411" t="n"/>
      <c r="D51" s="412" t="n"/>
      <c r="E51" s="413" t="n"/>
      <c r="F51" s="412" t="n"/>
    </row>
    <row r="52" ht="15" customHeight="1" s="217">
      <c r="A52" s="414" t="n">
        <v>46</v>
      </c>
      <c r="B52" s="415" t="inlineStr">
        <is>
          <t>DÌ TIA</t>
        </is>
      </c>
      <c r="C52" s="416" t="n"/>
      <c r="D52" s="417" t="n"/>
      <c r="E52" s="418" t="n"/>
      <c r="F52" s="417" t="n"/>
    </row>
    <row r="53" ht="15" customHeight="1" s="217">
      <c r="A53" s="409" t="n">
        <v>47</v>
      </c>
      <c r="B53" s="410" t="inlineStr">
        <is>
          <t>GIÁO HỒNG</t>
        </is>
      </c>
      <c r="C53" s="411" t="n"/>
      <c r="D53" s="412" t="n"/>
      <c r="E53" s="413" t="n"/>
      <c r="F53" s="412" t="n"/>
    </row>
    <row r="54" ht="15" customHeight="1" s="217">
      <c r="A54" s="414" t="n">
        <v>48</v>
      </c>
      <c r="B54" s="415" t="inlineStr">
        <is>
          <t>HOÀNG KHẢI</t>
        </is>
      </c>
      <c r="C54" s="416" t="n"/>
      <c r="D54" s="417" t="n"/>
      <c r="E54" s="418" t="n"/>
      <c r="F54" s="417" t="n"/>
    </row>
    <row r="55" ht="15" customHeight="1" s="217">
      <c r="A55" s="409" t="n">
        <v>49</v>
      </c>
      <c r="B55" s="410" t="inlineStr">
        <is>
          <t>HOÀNG VINH</t>
        </is>
      </c>
      <c r="C55" s="411" t="n"/>
      <c r="D55" s="412" t="n"/>
      <c r="E55" s="413" t="n"/>
      <c r="F55" s="412" t="n"/>
    </row>
    <row r="56" ht="15" customHeight="1" s="217">
      <c r="A56" s="414" t="n">
        <v>50</v>
      </c>
      <c r="B56" s="415" t="inlineStr">
        <is>
          <t>HUỆ NGHĨA(AN GIANG)</t>
        </is>
      </c>
      <c r="C56" s="416" t="n"/>
      <c r="D56" s="417" t="n"/>
      <c r="E56" s="418" t="n"/>
      <c r="F56" s="417" t="n"/>
    </row>
    <row r="57" ht="15" customHeight="1" s="217">
      <c r="A57" s="409" t="n">
        <v>51</v>
      </c>
      <c r="B57" s="410" t="inlineStr">
        <is>
          <t>HUỆ NGHĨA(TÂY NINH)</t>
        </is>
      </c>
      <c r="C57" s="411" t="n"/>
      <c r="D57" s="412" t="n"/>
      <c r="E57" s="413" t="inlineStr">
        <is>
          <t>&lt;5H</t>
        </is>
      </c>
      <c r="F57" s="412" t="n"/>
    </row>
    <row r="58" ht="15" customHeight="1" s="217">
      <c r="A58" s="414" t="n">
        <v>52</v>
      </c>
      <c r="B58" s="415" t="inlineStr">
        <is>
          <t>HÙNG CƯỜNG</t>
        </is>
      </c>
      <c r="C58" s="416" t="n"/>
      <c r="D58" s="417" t="n"/>
      <c r="E58" s="418" t="n"/>
      <c r="F58" s="417" t="n"/>
    </row>
    <row r="59" ht="15" customHeight="1" s="217">
      <c r="A59" s="409" t="n">
        <v>53</v>
      </c>
      <c r="B59" s="410" t="inlineStr">
        <is>
          <t>HẢI CUA</t>
        </is>
      </c>
      <c r="C59" s="411" t="n"/>
      <c r="D59" s="412" t="n"/>
      <c r="E59" s="413" t="n"/>
      <c r="F59" s="412" t="n"/>
    </row>
    <row r="60" ht="15" customHeight="1" s="217">
      <c r="A60" s="414" t="n">
        <v>54</v>
      </c>
      <c r="B60" s="415" t="inlineStr">
        <is>
          <t>HẢI NAM</t>
        </is>
      </c>
      <c r="C60" s="416" t="n"/>
      <c r="D60" s="417" t="n"/>
      <c r="E60" s="418" t="n"/>
      <c r="F60" s="417" t="n"/>
    </row>
    <row r="61" ht="15" customHeight="1" s="217">
      <c r="A61" s="409" t="n">
        <v>55</v>
      </c>
      <c r="B61" s="410" t="inlineStr">
        <is>
          <t>HẢI TOÀN</t>
        </is>
      </c>
      <c r="C61" s="411" t="n"/>
      <c r="D61" s="412" t="n"/>
      <c r="E61" s="413" t="n"/>
      <c r="F61" s="412" t="n"/>
    </row>
    <row r="62" ht="15" customHeight="1" s="217">
      <c r="A62" s="414" t="n">
        <v>56</v>
      </c>
      <c r="B62" s="415" t="inlineStr">
        <is>
          <t>HỒNG NAM</t>
        </is>
      </c>
      <c r="C62" s="416" t="n"/>
      <c r="D62" s="417" t="n"/>
      <c r="E62" s="418" t="n"/>
      <c r="F62" s="417" t="n"/>
    </row>
    <row r="63" ht="15" customHeight="1" s="217">
      <c r="A63" s="409" t="n">
        <v>57</v>
      </c>
      <c r="B63" s="410" t="inlineStr">
        <is>
          <t>HỮU SÂM</t>
        </is>
      </c>
      <c r="C63" s="411" t="n"/>
      <c r="D63" s="412" t="n"/>
      <c r="E63" s="413" t="n"/>
      <c r="F63" s="412" t="n"/>
    </row>
    <row r="64" ht="15" customHeight="1" s="217">
      <c r="A64" s="414" t="n">
        <v>58</v>
      </c>
      <c r="B64" s="415" t="inlineStr">
        <is>
          <t>KIM HOÀNG</t>
        </is>
      </c>
      <c r="C64" s="416" t="n"/>
      <c r="D64" s="417" t="n"/>
      <c r="E64" s="418" t="n"/>
      <c r="F64" s="417" t="n"/>
    </row>
    <row r="65" ht="15" customHeight="1" s="217">
      <c r="A65" s="409" t="n">
        <v>59</v>
      </c>
      <c r="B65" s="410" t="inlineStr">
        <is>
          <t>KIM LAN</t>
        </is>
      </c>
      <c r="C65" s="411" t="n"/>
      <c r="D65" s="412" t="n"/>
      <c r="E65" s="413" t="inlineStr">
        <is>
          <t>&lt;8H</t>
        </is>
      </c>
      <c r="F65" s="412" t="n"/>
    </row>
    <row r="66" ht="15" customHeight="1" s="217">
      <c r="A66" s="414" t="n">
        <v>60</v>
      </c>
      <c r="B66" s="415" t="inlineStr">
        <is>
          <t>KIM MÃ</t>
        </is>
      </c>
      <c r="C66" s="416" t="n"/>
      <c r="D66" s="417" t="n"/>
      <c r="E66" s="418" t="inlineStr">
        <is>
          <t>&lt;7H</t>
        </is>
      </c>
      <c r="F66" s="417" t="n"/>
    </row>
    <row r="67" ht="15" customHeight="1" s="217">
      <c r="A67" s="409" t="n">
        <v>61</v>
      </c>
      <c r="B67" s="410" t="inlineStr">
        <is>
          <t>KIM THANH</t>
        </is>
      </c>
      <c r="C67" s="411" t="n"/>
      <c r="D67" s="412" t="n"/>
      <c r="E67" s="413" t="n"/>
      <c r="F67" s="412" t="n"/>
    </row>
    <row r="68" ht="15" customHeight="1" s="217">
      <c r="A68" s="414" t="n">
        <v>62</v>
      </c>
      <c r="B68" s="415" t="inlineStr">
        <is>
          <t>LÙNG DIỆU</t>
        </is>
      </c>
      <c r="C68" s="416" t="n"/>
      <c r="D68" s="417" t="n"/>
      <c r="E68" s="418" t="n"/>
      <c r="F68" s="417" t="n"/>
    </row>
    <row r="69" ht="15" customHeight="1" s="217">
      <c r="A69" s="409" t="n">
        <v>63</v>
      </c>
      <c r="B69" s="410" t="inlineStr">
        <is>
          <t>LỘC PHÁT</t>
        </is>
      </c>
      <c r="C69" s="411" t="n"/>
      <c r="D69" s="412" t="n"/>
      <c r="E69" s="413" t="n"/>
      <c r="F69" s="412" t="n"/>
    </row>
    <row r="70" ht="15" customHeight="1" s="217">
      <c r="A70" s="414" t="n">
        <v>64</v>
      </c>
      <c r="B70" s="415" t="inlineStr">
        <is>
          <t>MAI PHÁT</t>
        </is>
      </c>
      <c r="C70" s="416" t="n"/>
      <c r="D70" s="417" t="n"/>
      <c r="E70" s="418" t="inlineStr">
        <is>
          <t>&lt;9H</t>
        </is>
      </c>
      <c r="F70" s="417" t="n"/>
    </row>
    <row r="71" ht="15" customHeight="1" s="217">
      <c r="A71" s="409" t="n">
        <v>65</v>
      </c>
      <c r="B71" s="410" t="inlineStr">
        <is>
          <t>MAI SƠN</t>
        </is>
      </c>
      <c r="C71" s="411" t="n"/>
      <c r="D71" s="412" t="n"/>
      <c r="E71" s="413" t="inlineStr">
        <is>
          <t>&lt;1H</t>
        </is>
      </c>
      <c r="F71" s="412" t="n"/>
    </row>
    <row r="72" ht="15" customHeight="1" s="217">
      <c r="A72" s="414" t="n">
        <v>66</v>
      </c>
      <c r="B72" s="415" t="inlineStr">
        <is>
          <t>MƯỜI TÈO</t>
        </is>
      </c>
      <c r="C72" s="416" t="n"/>
      <c r="D72" s="417" t="n"/>
      <c r="E72" s="418" t="inlineStr">
        <is>
          <t>&lt;6H</t>
        </is>
      </c>
      <c r="F72" s="417" t="n"/>
    </row>
    <row r="73" ht="15" customHeight="1" s="217">
      <c r="A73" s="409" t="n">
        <v>67</v>
      </c>
      <c r="B73" s="410" t="inlineStr">
        <is>
          <t>MỸ Ý</t>
        </is>
      </c>
      <c r="C73" s="411" t="n"/>
      <c r="D73" s="412" t="n"/>
      <c r="E73" s="413" t="n"/>
      <c r="F73" s="412" t="n"/>
    </row>
    <row r="74" ht="15" customHeight="1" s="217">
      <c r="A74" s="414" t="n">
        <v>68</v>
      </c>
      <c r="B74" s="415" t="inlineStr">
        <is>
          <t>NGỌC LAN</t>
        </is>
      </c>
      <c r="C74" s="416" t="n"/>
      <c r="D74" s="417" t="n"/>
      <c r="E74" s="418" t="n"/>
      <c r="F74" s="417" t="n"/>
    </row>
    <row r="75" ht="15" customHeight="1" s="217">
      <c r="A75" s="409" t="n">
        <v>69</v>
      </c>
      <c r="B75" s="410" t="inlineStr">
        <is>
          <t>NHƯ PHÁT</t>
        </is>
      </c>
      <c r="C75" s="411" t="n"/>
      <c r="D75" s="412" t="n"/>
      <c r="E75" s="413" t="n"/>
      <c r="F75" s="412" t="n"/>
    </row>
    <row r="76" ht="15" customHeight="1" s="217">
      <c r="A76" s="414" t="n">
        <v>70</v>
      </c>
      <c r="B76" s="415" t="inlineStr">
        <is>
          <t>PHƯƠNG NHÃ</t>
        </is>
      </c>
      <c r="C76" s="416" t="n"/>
      <c r="D76" s="417" t="n"/>
      <c r="E76" s="418" t="n"/>
      <c r="F76" s="417" t="n"/>
    </row>
    <row r="77" ht="15" customHeight="1" s="217">
      <c r="A77" s="409" t="n">
        <v>71</v>
      </c>
      <c r="B77" s="410" t="inlineStr">
        <is>
          <t>PHƯƠNG TRANG</t>
        </is>
      </c>
      <c r="C77" s="411" t="n"/>
      <c r="D77" s="412" t="n"/>
      <c r="E77" s="413" t="n"/>
      <c r="F77" s="412" t="n"/>
    </row>
    <row r="78" ht="15" customHeight="1" s="217">
      <c r="A78" s="414" t="n">
        <v>72</v>
      </c>
      <c r="B78" s="415" t="inlineStr">
        <is>
          <t>PHƯƠNG TÀI</t>
        </is>
      </c>
      <c r="C78" s="416" t="n"/>
      <c r="D78" s="417" t="n"/>
      <c r="E78" s="418" t="n"/>
      <c r="F78" s="417" t="n"/>
    </row>
    <row r="79" ht="15" customHeight="1" s="217">
      <c r="A79" s="409" t="n">
        <v>73</v>
      </c>
      <c r="B79" s="410" t="inlineStr">
        <is>
          <t>QUANG MINH</t>
        </is>
      </c>
      <c r="C79" s="411" t="n"/>
      <c r="D79" s="412" t="n"/>
      <c r="E79" s="413" t="n"/>
      <c r="F79" s="412" t="n"/>
    </row>
    <row r="80" ht="15" customHeight="1" s="217">
      <c r="A80" s="414" t="n">
        <v>74</v>
      </c>
      <c r="B80" s="415" t="inlineStr">
        <is>
          <t>QUỐC ANH</t>
        </is>
      </c>
      <c r="C80" s="416" t="n"/>
      <c r="D80" s="417" t="n"/>
      <c r="E80" s="418" t="inlineStr">
        <is>
          <t>&lt;2H</t>
        </is>
      </c>
      <c r="F80" s="417" t="n"/>
    </row>
    <row r="81" ht="15" customHeight="1" s="217">
      <c r="A81" s="409" t="n">
        <v>75</v>
      </c>
      <c r="B81" s="410" t="inlineStr">
        <is>
          <t>QUỐC HOÀNG</t>
        </is>
      </c>
      <c r="C81" s="411" t="n"/>
      <c r="D81" s="412" t="n"/>
      <c r="E81" s="413" t="inlineStr">
        <is>
          <t>&lt;7H</t>
        </is>
      </c>
      <c r="F81" s="412" t="n"/>
    </row>
    <row r="82" ht="15" customHeight="1" s="217">
      <c r="A82" s="414" t="n">
        <v>76</v>
      </c>
      <c r="B82" s="415" t="inlineStr">
        <is>
          <t>QUỐC MỸ</t>
        </is>
      </c>
      <c r="C82" s="416" t="n"/>
      <c r="D82" s="417" t="n"/>
      <c r="E82" s="418" t="n"/>
      <c r="F82" s="417" t="n"/>
    </row>
    <row r="83" ht="15" customHeight="1" s="217">
      <c r="A83" s="409" t="n">
        <v>77</v>
      </c>
      <c r="B83" s="410" t="inlineStr">
        <is>
          <t>SANG THÙY</t>
        </is>
      </c>
      <c r="C83" s="411" t="n"/>
      <c r="D83" s="412" t="n"/>
      <c r="E83" s="413" t="n"/>
      <c r="F83" s="412" t="n"/>
    </row>
    <row r="84" ht="15" customHeight="1" s="217">
      <c r="A84" s="414" t="n">
        <v>78</v>
      </c>
      <c r="B84" s="415" t="inlineStr">
        <is>
          <t>SÁU QUỐC</t>
        </is>
      </c>
      <c r="C84" s="416" t="n"/>
      <c r="D84" s="417" t="n"/>
      <c r="E84" s="418" t="n"/>
      <c r="F84" s="417" t="n"/>
    </row>
    <row r="85" ht="15" customHeight="1" s="217">
      <c r="A85" s="409" t="n">
        <v>79</v>
      </c>
      <c r="B85" s="410" t="inlineStr">
        <is>
          <t>SƠN LẬP</t>
        </is>
      </c>
      <c r="C85" s="411" t="n"/>
      <c r="D85" s="412" t="n"/>
      <c r="E85" s="413" t="n"/>
      <c r="F85" s="412" t="n"/>
    </row>
    <row r="86" ht="15" customHeight="1" s="217">
      <c r="A86" s="414" t="n">
        <v>80</v>
      </c>
      <c r="B86" s="415" t="inlineStr">
        <is>
          <t>SƠN TÙNG</t>
        </is>
      </c>
      <c r="C86" s="416" t="n"/>
      <c r="D86" s="417" t="n"/>
      <c r="E86" s="418" t="inlineStr">
        <is>
          <t>&lt;7H</t>
        </is>
      </c>
      <c r="F86" s="417" t="n"/>
    </row>
    <row r="87" ht="15" customHeight="1" s="217">
      <c r="A87" s="409" t="n">
        <v>81</v>
      </c>
      <c r="B87" s="410" t="inlineStr">
        <is>
          <t>THANH BÌNH</t>
        </is>
      </c>
      <c r="C87" s="411" t="n"/>
      <c r="D87" s="412" t="n"/>
      <c r="E87" s="413" t="n"/>
      <c r="F87" s="412" t="n"/>
    </row>
    <row r="88" ht="15" customHeight="1" s="217">
      <c r="A88" s="414" t="n">
        <v>82</v>
      </c>
      <c r="B88" s="415" t="inlineStr">
        <is>
          <t>THANH TÙNG</t>
        </is>
      </c>
      <c r="C88" s="416" t="n"/>
      <c r="D88" s="417" t="n"/>
      <c r="E88" s="418" t="n"/>
      <c r="F88" s="417" t="n"/>
    </row>
    <row r="89" ht="15" customHeight="1" s="217">
      <c r="A89" s="409" t="n">
        <v>83</v>
      </c>
      <c r="B89" s="410" t="inlineStr">
        <is>
          <t>THIÊN PHÚC</t>
        </is>
      </c>
      <c r="C89" s="411" t="n"/>
      <c r="D89" s="412" t="n"/>
      <c r="E89" s="413" t="n"/>
      <c r="F89" s="412" t="n"/>
    </row>
    <row r="90" ht="15" customHeight="1" s="217">
      <c r="A90" s="414" t="n">
        <v>84</v>
      </c>
      <c r="B90" s="415" t="inlineStr">
        <is>
          <t>THIÊN ĐỨC</t>
        </is>
      </c>
      <c r="C90" s="416" t="n"/>
      <c r="D90" s="417" t="n"/>
      <c r="E90" s="418" t="n"/>
      <c r="F90" s="417" t="n"/>
    </row>
    <row r="91" ht="15" customHeight="1" s="217">
      <c r="A91" s="409" t="n">
        <v>85</v>
      </c>
      <c r="B91" s="410" t="inlineStr">
        <is>
          <t>THUẬN PHÁT</t>
        </is>
      </c>
      <c r="C91" s="411" t="n"/>
      <c r="D91" s="412" t="n"/>
      <c r="E91" s="413" t="n"/>
      <c r="F91" s="412" t="n"/>
    </row>
    <row r="92" ht="15" customHeight="1" s="217">
      <c r="A92" s="414" t="n">
        <v>86</v>
      </c>
      <c r="B92" s="415" t="inlineStr">
        <is>
          <t>THÀNH BƯỞI</t>
        </is>
      </c>
      <c r="C92" s="416" t="n"/>
      <c r="D92" s="417" t="n"/>
      <c r="E92" s="418" t="n"/>
      <c r="F92" s="417" t="n"/>
    </row>
    <row r="93" ht="15" customHeight="1" s="217">
      <c r="A93" s="409" t="n">
        <v>87</v>
      </c>
      <c r="B93" s="410" t="inlineStr">
        <is>
          <t>THÀNH HẢI</t>
        </is>
      </c>
      <c r="C93" s="411" t="n"/>
      <c r="D93" s="412" t="n"/>
      <c r="E93" s="413" t="n"/>
      <c r="F93" s="412" t="n"/>
    </row>
    <row r="94" ht="15" customHeight="1" s="217">
      <c r="A94" s="414" t="n">
        <v>88</v>
      </c>
      <c r="B94" s="415" t="inlineStr">
        <is>
          <t>THÁI DIỆU</t>
        </is>
      </c>
      <c r="C94" s="416" t="n"/>
      <c r="D94" s="417" t="n"/>
      <c r="E94" s="418" t="n"/>
      <c r="F94" s="417" t="n"/>
    </row>
    <row r="95" ht="15" customHeight="1" s="217">
      <c r="A95" s="409" t="n">
        <v>89</v>
      </c>
      <c r="B95" s="410" t="inlineStr">
        <is>
          <t>THÁI HƯNG(PHÚ QUỐC)</t>
        </is>
      </c>
      <c r="C95" s="411" t="n"/>
      <c r="D95" s="412" t="n"/>
      <c r="E95" s="413" t="n"/>
      <c r="F95" s="412" t="n"/>
    </row>
    <row r="96" ht="15" customHeight="1" s="217">
      <c r="A96" s="414" t="n">
        <v>90</v>
      </c>
      <c r="B96" s="415" t="inlineStr">
        <is>
          <t>TRIỆU QUYÊN</t>
        </is>
      </c>
      <c r="C96" s="416" t="n"/>
      <c r="D96" s="417" t="n"/>
      <c r="E96" s="418" t="n"/>
      <c r="F96" s="417" t="n"/>
    </row>
    <row r="97" ht="15" customHeight="1" s="217">
      <c r="A97" s="409" t="n">
        <v>91</v>
      </c>
      <c r="B97" s="410" t="inlineStr">
        <is>
          <t>TRUNG THẢO</t>
        </is>
      </c>
      <c r="C97" s="411" t="n"/>
      <c r="D97" s="412" t="n"/>
      <c r="E97" s="413" t="n"/>
      <c r="F97" s="412" t="n"/>
    </row>
    <row r="98" ht="15" customHeight="1" s="217">
      <c r="A98" s="414" t="n">
        <v>92</v>
      </c>
      <c r="B98" s="415" t="inlineStr">
        <is>
          <t>TRÚC PHƯƠNG</t>
        </is>
      </c>
      <c r="C98" s="416" t="n"/>
      <c r="D98" s="417" t="n"/>
      <c r="E98" s="418" t="n"/>
      <c r="F98" s="417" t="n"/>
    </row>
    <row r="99" ht="15" customHeight="1" s="217">
      <c r="A99" s="409" t="n">
        <v>93</v>
      </c>
      <c r="B99" s="410" t="inlineStr">
        <is>
          <t>TUẤN HƯNG</t>
        </is>
      </c>
      <c r="C99" s="411" t="n"/>
      <c r="D99" s="412" t="n"/>
      <c r="E99" s="413" t="n"/>
      <c r="F99" s="412" t="n"/>
    </row>
    <row r="100" ht="15" customHeight="1" s="217">
      <c r="A100" s="414" t="n">
        <v>94</v>
      </c>
      <c r="B100" s="415" t="inlineStr">
        <is>
          <t>TÂN LẬP THÀNH</t>
        </is>
      </c>
      <c r="C100" s="416" t="n"/>
      <c r="D100" s="417" t="n"/>
      <c r="E100" s="418" t="n"/>
      <c r="F100" s="417" t="n"/>
    </row>
    <row r="101" ht="15" customHeight="1" s="217">
      <c r="A101" s="409" t="n">
        <v>95</v>
      </c>
      <c r="B101" s="410" t="inlineStr">
        <is>
          <t>TƯ BIA</t>
        </is>
      </c>
      <c r="C101" s="411" t="n"/>
      <c r="D101" s="412" t="n"/>
      <c r="E101" s="413" t="n"/>
      <c r="F101" s="412" t="n"/>
    </row>
    <row r="102" ht="15" customHeight="1" s="217">
      <c r="A102" s="414" t="n">
        <v>96</v>
      </c>
      <c r="B102" s="415" t="inlineStr">
        <is>
          <t>TƯ CU(SÁNG CHIỀU)</t>
        </is>
      </c>
      <c r="C102" s="416" t="n"/>
      <c r="D102" s="417" t="n"/>
      <c r="E102" s="418" t="inlineStr">
        <is>
          <t>3H ,7H30</t>
        </is>
      </c>
      <c r="F102" s="417" t="n"/>
    </row>
    <row r="103" ht="15" customHeight="1" s="217">
      <c r="A103" s="409" t="n">
        <v>97</v>
      </c>
      <c r="B103" s="410" t="inlineStr">
        <is>
          <t>VIỆT NHẬT</t>
        </is>
      </c>
      <c r="C103" s="411" t="n"/>
      <c r="D103" s="412" t="n"/>
      <c r="E103" s="413" t="n"/>
      <c r="F103" s="412" t="n"/>
    </row>
    <row r="104" ht="15" customHeight="1" s="217">
      <c r="A104" s="414" t="n">
        <v>98</v>
      </c>
      <c r="B104" s="415" t="inlineStr">
        <is>
          <t>XE HÒA (HUẾ)</t>
        </is>
      </c>
      <c r="C104" s="416" t="n"/>
      <c r="D104" s="417" t="n"/>
      <c r="E104" s="418" t="n"/>
      <c r="F104" s="417" t="n"/>
    </row>
    <row r="105" ht="15" customHeight="1" s="217">
      <c r="A105" s="409" t="n">
        <v>99</v>
      </c>
      <c r="B105" s="410" t="inlineStr">
        <is>
          <t>XE HÒA(BÌNH PHƯỚC)</t>
        </is>
      </c>
      <c r="C105" s="411" t="n"/>
      <c r="D105" s="412" t="n"/>
      <c r="E105" s="413" t="n"/>
      <c r="F105" s="412" t="n"/>
    </row>
    <row r="106" ht="15" customHeight="1" s="217">
      <c r="A106" s="414" t="n">
        <v>100</v>
      </c>
      <c r="B106" s="415" t="inlineStr">
        <is>
          <t>XÓM ĐẤT</t>
        </is>
      </c>
      <c r="C106" s="416" t="n"/>
      <c r="D106" s="417" t="n"/>
      <c r="E106" s="418" t="n"/>
      <c r="F106" s="417" t="n"/>
    </row>
    <row r="107" ht="15" customHeight="1" s="217">
      <c r="A107" s="409" t="n">
        <v>101</v>
      </c>
      <c r="B107" s="410" t="inlineStr">
        <is>
          <t>ÚT NHÃ</t>
        </is>
      </c>
      <c r="C107" s="411" t="n"/>
      <c r="D107" s="412" t="n"/>
      <c r="E107" s="413" t="n"/>
      <c r="F107" s="412" t="n"/>
    </row>
    <row r="108" ht="15" customHeight="1" s="217">
      <c r="A108" s="414" t="n">
        <v>102</v>
      </c>
      <c r="B108" s="415" t="inlineStr">
        <is>
          <t>ĐỨC NGUYÊN</t>
        </is>
      </c>
      <c r="C108" s="416" t="n"/>
      <c r="D108" s="417" t="n"/>
      <c r="E108" s="418" t="n"/>
      <c r="F108" s="417" t="n"/>
    </row>
    <row r="109" ht="15" customHeight="1" s="217">
      <c r="A109" s="409" t="n">
        <v>103</v>
      </c>
      <c r="B109" s="410" t="inlineStr">
        <is>
          <t>ĐỨC NHUNG</t>
        </is>
      </c>
      <c r="C109" s="411" t="n"/>
      <c r="D109" s="412" t="n"/>
      <c r="E109" s="413" t="n"/>
      <c r="F109" s="412" t="n"/>
    </row>
    <row r="111" ht="19.5" customHeight="1" s="217">
      <c r="A111" s="419" t="inlineStr">
        <is>
          <t>🚐  MIỀN ĐÔNG   ·   80 chành</t>
        </is>
      </c>
    </row>
    <row r="112" ht="19.5" customHeight="1" s="217">
      <c r="A112" s="420" t="inlineStr">
        <is>
          <t>STT</t>
        </is>
      </c>
      <c r="B112" s="420" t="inlineStr">
        <is>
          <t>TÊN CHÀNH / NHÀ XE</t>
        </is>
      </c>
      <c r="C112" s="420" t="inlineStr">
        <is>
          <t>ĐIỆN THOẠI</t>
        </is>
      </c>
      <c r="D112" s="420" t="inlineStr">
        <is>
          <t>ĐỊA CHỈ</t>
        </is>
      </c>
      <c r="E112" s="420" t="inlineStr">
        <is>
          <t>GIỜ NHẬN</t>
        </is>
      </c>
      <c r="F112" s="420" t="inlineStr">
        <is>
          <t>GHI CHÚ</t>
        </is>
      </c>
    </row>
    <row r="113" ht="15" customHeight="1" s="217">
      <c r="A113" s="409" t="n">
        <v>1</v>
      </c>
      <c r="B113" s="421" t="inlineStr">
        <is>
          <t>A PHỤNG</t>
        </is>
      </c>
      <c r="C113" s="411" t="n"/>
      <c r="D113" s="412" t="n"/>
      <c r="E113" s="413" t="inlineStr">
        <is>
          <t>&lt;8H</t>
        </is>
      </c>
      <c r="F113" s="412" t="n"/>
    </row>
    <row r="114" ht="15" customHeight="1" s="217">
      <c r="A114" s="422" t="n">
        <v>2</v>
      </c>
      <c r="B114" s="423" t="inlineStr">
        <is>
          <t>A TUYÊN</t>
        </is>
      </c>
      <c r="C114" s="424" t="n"/>
      <c r="D114" s="425" t="n"/>
      <c r="E114" s="426" t="n"/>
      <c r="F114" s="425" t="n"/>
    </row>
    <row r="115" ht="15" customHeight="1" s="217">
      <c r="A115" s="409" t="n">
        <v>3</v>
      </c>
      <c r="B115" s="421" t="inlineStr">
        <is>
          <t>AN ANH</t>
        </is>
      </c>
      <c r="C115" s="411" t="n"/>
      <c r="D115" s="412" t="n"/>
      <c r="E115" s="413" t="n"/>
      <c r="F115" s="412" t="n"/>
    </row>
    <row r="116" ht="15" customHeight="1" s="217">
      <c r="A116" s="422" t="n">
        <v>4</v>
      </c>
      <c r="B116" s="423" t="inlineStr">
        <is>
          <t>BÌNH TÂM</t>
        </is>
      </c>
      <c r="C116" s="424" t="n"/>
      <c r="D116" s="425" t="n"/>
      <c r="E116" s="426" t="inlineStr">
        <is>
          <t>&lt;4H30</t>
        </is>
      </c>
      <c r="F116" s="425" t="n"/>
    </row>
    <row r="117" ht="15" customHeight="1" s="217">
      <c r="A117" s="409" t="n">
        <v>5</v>
      </c>
      <c r="B117" s="421" t="inlineStr">
        <is>
          <t>CHÍN NGHĨA</t>
        </is>
      </c>
      <c r="C117" s="411" t="n"/>
      <c r="D117" s="412" t="n"/>
      <c r="E117" s="413" t="inlineStr">
        <is>
          <t>&lt;3H</t>
        </is>
      </c>
      <c r="F117" s="412" t="n"/>
    </row>
    <row r="118" ht="15" customHeight="1" s="217">
      <c r="A118" s="422" t="n">
        <v>6</v>
      </c>
      <c r="B118" s="423" t="inlineStr">
        <is>
          <t>CÔ BÔNG</t>
        </is>
      </c>
      <c r="C118" s="424" t="n"/>
      <c r="D118" s="425" t="n"/>
      <c r="E118" s="426" t="inlineStr">
        <is>
          <t>&lt;11h sáng</t>
        </is>
      </c>
      <c r="F118" s="425" t="n"/>
    </row>
    <row r="119" ht="15" customHeight="1" s="217">
      <c r="A119" s="409" t="n">
        <v>7</v>
      </c>
      <c r="B119" s="421" t="inlineStr">
        <is>
          <t>CÚC TÙNG</t>
        </is>
      </c>
      <c r="C119" s="411" t="n"/>
      <c r="D119" s="412" t="n"/>
      <c r="E119" s="413" t="inlineStr">
        <is>
          <t>&lt;7h</t>
        </is>
      </c>
      <c r="F119" s="412" t="n"/>
    </row>
    <row r="120" ht="15" customHeight="1" s="217">
      <c r="A120" s="422" t="n">
        <v>8</v>
      </c>
      <c r="B120" s="423" t="inlineStr">
        <is>
          <t>CÚC TƯ</t>
        </is>
      </c>
      <c r="C120" s="424" t="n"/>
      <c r="D120" s="425" t="n"/>
      <c r="E120" s="426" t="inlineStr">
        <is>
          <t>&lt;6H</t>
        </is>
      </c>
      <c r="F120" s="425" t="n"/>
    </row>
    <row r="121" ht="15" customHeight="1" s="217">
      <c r="A121" s="409" t="n">
        <v>9</v>
      </c>
      <c r="B121" s="421" t="inlineStr">
        <is>
          <t>CƯỜNG THỦY</t>
        </is>
      </c>
      <c r="C121" s="411" t="n"/>
      <c r="D121" s="412" t="n"/>
      <c r="E121" s="413" t="inlineStr">
        <is>
          <t>&lt;5H</t>
        </is>
      </c>
      <c r="F121" s="412" t="n"/>
    </row>
    <row r="122" ht="15" customHeight="1" s="217">
      <c r="A122" s="422" t="n">
        <v>10</v>
      </c>
      <c r="B122" s="423" t="inlineStr">
        <is>
          <t>DUYÊN HÀ</t>
        </is>
      </c>
      <c r="C122" s="424" t="n"/>
      <c r="D122" s="425" t="n"/>
      <c r="E122" s="426" t="inlineStr">
        <is>
          <t>&lt;7H</t>
        </is>
      </c>
      <c r="F122" s="425" t="n"/>
    </row>
    <row r="123" ht="15" customHeight="1" s="217">
      <c r="A123" s="409" t="n">
        <v>11</v>
      </c>
      <c r="B123" s="421" t="inlineStr">
        <is>
          <t>DŨNG THỦY</t>
        </is>
      </c>
      <c r="C123" s="411" t="n"/>
      <c r="D123" s="412" t="n"/>
      <c r="E123" s="413" t="inlineStr">
        <is>
          <t>&lt;5H</t>
        </is>
      </c>
      <c r="F123" s="412" t="n"/>
    </row>
    <row r="124" ht="15" customHeight="1" s="217">
      <c r="A124" s="422" t="n">
        <v>12</v>
      </c>
      <c r="B124" s="423" t="inlineStr">
        <is>
          <t>GIA PHÚC</t>
        </is>
      </c>
      <c r="C124" s="424" t="n"/>
      <c r="D124" s="425" t="n"/>
      <c r="E124" s="426" t="inlineStr">
        <is>
          <t>&lt;6H30</t>
        </is>
      </c>
      <c r="F124" s="425" t="n"/>
    </row>
    <row r="125" ht="15" customHeight="1" s="217">
      <c r="A125" s="409" t="n">
        <v>13</v>
      </c>
      <c r="B125" s="421" t="inlineStr">
        <is>
          <t>HAI TRÂM</t>
        </is>
      </c>
      <c r="C125" s="411" t="n"/>
      <c r="D125" s="412" t="n"/>
      <c r="E125" s="413" t="inlineStr">
        <is>
          <t>&lt;8H</t>
        </is>
      </c>
      <c r="F125" s="412" t="n"/>
    </row>
    <row r="126" ht="15" customHeight="1" s="217">
      <c r="A126" s="422" t="n">
        <v>14</v>
      </c>
      <c r="B126" s="423" t="inlineStr">
        <is>
          <t>HOÀNG HẢI</t>
        </is>
      </c>
      <c r="C126" s="424" t="n"/>
      <c r="D126" s="425" t="n"/>
      <c r="E126" s="426" t="inlineStr">
        <is>
          <t>&lt;3H30</t>
        </is>
      </c>
      <c r="F126" s="425" t="n"/>
    </row>
    <row r="127" ht="15" customHeight="1" s="217">
      <c r="A127" s="409" t="n">
        <v>15</v>
      </c>
      <c r="B127" s="421" t="inlineStr">
        <is>
          <t>HOÀNG VIỆT</t>
        </is>
      </c>
      <c r="C127" s="411" t="n"/>
      <c r="D127" s="412" t="n"/>
      <c r="E127" s="413" t="n"/>
      <c r="F127" s="412" t="n"/>
    </row>
    <row r="128" ht="15" customHeight="1" s="217">
      <c r="A128" s="422" t="n">
        <v>16</v>
      </c>
      <c r="B128" s="423" t="inlineStr">
        <is>
          <t>HOÀNG YẾN</t>
        </is>
      </c>
      <c r="C128" s="424" t="n"/>
      <c r="D128" s="425" t="n"/>
      <c r="E128" s="426" t="n"/>
      <c r="F128" s="425" t="n"/>
    </row>
    <row r="129" ht="15" customHeight="1" s="217">
      <c r="A129" s="409" t="n">
        <v>17</v>
      </c>
      <c r="B129" s="421" t="inlineStr">
        <is>
          <t>HÒA LIÊM</t>
        </is>
      </c>
      <c r="C129" s="411" t="n"/>
      <c r="D129" s="412" t="n"/>
      <c r="E129" s="413" t="inlineStr">
        <is>
          <t>nhận hàng sau 5h-7H</t>
        </is>
      </c>
      <c r="F129" s="412" t="n"/>
    </row>
    <row r="130" ht="15" customHeight="1" s="217">
      <c r="A130" s="422" t="n">
        <v>18</v>
      </c>
      <c r="B130" s="423" t="inlineStr">
        <is>
          <t>HÙNG NGA</t>
        </is>
      </c>
      <c r="C130" s="424" t="n"/>
      <c r="D130" s="425" t="n"/>
      <c r="E130" s="426" t="inlineStr">
        <is>
          <t>&lt;7h</t>
        </is>
      </c>
      <c r="F130" s="425" t="n"/>
    </row>
    <row r="131" ht="15" customHeight="1" s="217">
      <c r="A131" s="409" t="n">
        <v>19</v>
      </c>
      <c r="B131" s="421" t="inlineStr">
        <is>
          <t>HỒNG HẢI</t>
        </is>
      </c>
      <c r="C131" s="411" t="n"/>
      <c r="D131" s="412" t="n"/>
      <c r="E131" s="413" t="inlineStr">
        <is>
          <t>&lt;7H</t>
        </is>
      </c>
      <c r="F131" s="412" t="n"/>
    </row>
    <row r="132" ht="15" customHeight="1" s="217">
      <c r="A132" s="422" t="n">
        <v>20</v>
      </c>
      <c r="B132" s="423" t="inlineStr">
        <is>
          <t>HỒNG SƠN</t>
        </is>
      </c>
      <c r="C132" s="424" t="n"/>
      <c r="D132" s="425" t="n"/>
      <c r="E132" s="426" t="inlineStr">
        <is>
          <t>&lt;6H</t>
        </is>
      </c>
      <c r="F132" s="425" t="n"/>
    </row>
    <row r="133" ht="15" customHeight="1" s="217">
      <c r="A133" s="409" t="n">
        <v>21</v>
      </c>
      <c r="B133" s="421" t="inlineStr">
        <is>
          <t>HỮU KHÁNH</t>
        </is>
      </c>
      <c r="C133" s="411" t="n"/>
      <c r="D133" s="412" t="n"/>
      <c r="E133" s="413" t="n"/>
      <c r="F133" s="412" t="n"/>
    </row>
    <row r="134" ht="15" customHeight="1" s="217">
      <c r="A134" s="422" t="n">
        <v>22</v>
      </c>
      <c r="B134" s="423" t="inlineStr">
        <is>
          <t>KIM ANH</t>
        </is>
      </c>
      <c r="C134" s="424" t="n"/>
      <c r="D134" s="425" t="n"/>
      <c r="E134" s="426" t="n"/>
      <c r="F134" s="425" t="n"/>
    </row>
    <row r="135" ht="15" customHeight="1" s="217">
      <c r="A135" s="409" t="n">
        <v>23</v>
      </c>
      <c r="B135" s="421" t="inlineStr">
        <is>
          <t>KIM LÝ</t>
        </is>
      </c>
      <c r="C135" s="411" t="n"/>
      <c r="D135" s="412" t="n"/>
      <c r="E135" s="413" t="inlineStr">
        <is>
          <t>&lt;6H,8H</t>
        </is>
      </c>
      <c r="F135" s="412" t="n"/>
    </row>
    <row r="136" ht="15" customHeight="1" s="217">
      <c r="A136" s="422" t="n">
        <v>24</v>
      </c>
      <c r="B136" s="423" t="inlineStr">
        <is>
          <t>KIM MẠNH HÙNG</t>
        </is>
      </c>
      <c r="C136" s="424" t="n"/>
      <c r="D136" s="425" t="n"/>
      <c r="E136" s="426" t="inlineStr">
        <is>
          <t>&lt;5H</t>
        </is>
      </c>
      <c r="F136" s="425" t="n"/>
    </row>
    <row r="137" ht="15" customHeight="1" s="217">
      <c r="A137" s="409" t="n">
        <v>25</v>
      </c>
      <c r="B137" s="421" t="inlineStr">
        <is>
          <t>KIM NGÂN</t>
        </is>
      </c>
      <c r="C137" s="411" t="n"/>
      <c r="D137" s="412" t="n"/>
      <c r="E137" s="413" t="inlineStr">
        <is>
          <t>&lt;7H</t>
        </is>
      </c>
      <c r="F137" s="412" t="n"/>
    </row>
    <row r="138" ht="15" customHeight="1" s="217">
      <c r="A138" s="422" t="n">
        <v>26</v>
      </c>
      <c r="B138" s="423" t="inlineStr">
        <is>
          <t>KUMHO</t>
        </is>
      </c>
      <c r="C138" s="424" t="n"/>
      <c r="D138" s="425" t="n"/>
      <c r="E138" s="426" t="inlineStr">
        <is>
          <t>&lt;8H</t>
        </is>
      </c>
      <c r="F138" s="425" t="n"/>
    </row>
    <row r="139" ht="15" customHeight="1" s="217">
      <c r="A139" s="409" t="n">
        <v>27</v>
      </c>
      <c r="B139" s="421" t="inlineStr">
        <is>
          <t>LIÊN HƯNG</t>
        </is>
      </c>
      <c r="C139" s="411" t="n"/>
      <c r="D139" s="412" t="n"/>
      <c r="E139" s="413" t="inlineStr">
        <is>
          <t>6h bx thành công</t>
        </is>
      </c>
      <c r="F139" s="412" t="n"/>
    </row>
    <row r="140" ht="15" customHeight="1" s="217">
      <c r="A140" s="422" t="n">
        <v>28</v>
      </c>
      <c r="B140" s="423" t="inlineStr">
        <is>
          <t>LÊ CƯƠNG</t>
        </is>
      </c>
      <c r="C140" s="424" t="n"/>
      <c r="D140" s="425" t="n"/>
      <c r="E140" s="426" t="inlineStr">
        <is>
          <t>&lt;6H</t>
        </is>
      </c>
      <c r="F140" s="425" t="n"/>
    </row>
    <row r="141" ht="15" customHeight="1" s="217">
      <c r="A141" s="409" t="n">
        <v>29</v>
      </c>
      <c r="B141" s="421" t="inlineStr">
        <is>
          <t>LÊ TUẤN</t>
        </is>
      </c>
      <c r="C141" s="411" t="n"/>
      <c r="D141" s="412" t="n"/>
      <c r="E141" s="413" t="n"/>
      <c r="F141" s="412" t="n"/>
    </row>
    <row r="142" ht="15" customHeight="1" s="217">
      <c r="A142" s="422" t="n">
        <v>30</v>
      </c>
      <c r="B142" s="423" t="inlineStr">
        <is>
          <t>MAI LINH</t>
        </is>
      </c>
      <c r="C142" s="424" t="n"/>
      <c r="D142" s="425" t="n"/>
      <c r="E142" s="426" t="inlineStr">
        <is>
          <t>&lt;7H</t>
        </is>
      </c>
      <c r="F142" s="425" t="n"/>
    </row>
    <row r="143" ht="15" customHeight="1" s="217">
      <c r="A143" s="409" t="n">
        <v>31</v>
      </c>
      <c r="B143" s="421" t="inlineStr">
        <is>
          <t>MINH CHÁNH</t>
        </is>
      </c>
      <c r="C143" s="411" t="n"/>
      <c r="D143" s="412" t="n"/>
      <c r="E143" s="413" t="inlineStr">
        <is>
          <t>&lt;6H</t>
        </is>
      </c>
      <c r="F143" s="412" t="n"/>
    </row>
    <row r="144" ht="15" customHeight="1" s="217">
      <c r="A144" s="422" t="n">
        <v>32</v>
      </c>
      <c r="B144" s="423" t="inlineStr">
        <is>
          <t>MINH NGHĨA</t>
        </is>
      </c>
      <c r="C144" s="424" t="n"/>
      <c r="D144" s="425" t="n"/>
      <c r="E144" s="426" t="n"/>
      <c r="F144" s="425" t="n"/>
    </row>
    <row r="145" ht="15" customHeight="1" s="217">
      <c r="A145" s="409" t="n">
        <v>33</v>
      </c>
      <c r="B145" s="421" t="inlineStr">
        <is>
          <t>MINH PHƯỢNG</t>
        </is>
      </c>
      <c r="C145" s="411" t="n"/>
      <c r="D145" s="412" t="n"/>
      <c r="E145" s="413" t="inlineStr">
        <is>
          <t>12 h và 3h đón cx`12</t>
        </is>
      </c>
      <c r="F145" s="412" t="n"/>
    </row>
    <row r="146" ht="15" customHeight="1" s="217">
      <c r="A146" s="422" t="n">
        <v>34</v>
      </c>
      <c r="B146" s="423" t="inlineStr">
        <is>
          <t>MINH QUỐC</t>
        </is>
      </c>
      <c r="C146" s="424" t="n"/>
      <c r="D146" s="425" t="n"/>
      <c r="E146" s="426" t="inlineStr">
        <is>
          <t>&lt;6H</t>
        </is>
      </c>
      <c r="F146" s="425" t="n"/>
    </row>
    <row r="147" ht="15" customHeight="1" s="217">
      <c r="A147" s="409" t="n">
        <v>35</v>
      </c>
      <c r="B147" s="421" t="inlineStr">
        <is>
          <t>MẠNH HÙNG</t>
        </is>
      </c>
      <c r="C147" s="411" t="n"/>
      <c r="D147" s="412" t="n"/>
      <c r="E147" s="413" t="inlineStr">
        <is>
          <t>&lt;7h</t>
        </is>
      </c>
      <c r="F147" s="412" t="n"/>
    </row>
    <row r="148" ht="15" customHeight="1" s="217">
      <c r="A148" s="422" t="n">
        <v>36</v>
      </c>
      <c r="B148" s="423" t="inlineStr">
        <is>
          <t>MẠNH MÙI</t>
        </is>
      </c>
      <c r="C148" s="424" t="n"/>
      <c r="D148" s="425" t="n"/>
      <c r="E148" s="426" t="inlineStr">
        <is>
          <t>&lt;6h30</t>
        </is>
      </c>
      <c r="F148" s="425" t="n"/>
    </row>
    <row r="149" ht="15" customHeight="1" s="217">
      <c r="A149" s="409" t="n">
        <v>37</v>
      </c>
      <c r="B149" s="421" t="inlineStr">
        <is>
          <t>NGỌC QUÝ</t>
        </is>
      </c>
      <c r="C149" s="411" t="n"/>
      <c r="D149" s="412" t="n"/>
      <c r="E149" s="413" t="inlineStr">
        <is>
          <t>&lt;3H</t>
        </is>
      </c>
      <c r="F149" s="412" t="n"/>
    </row>
    <row r="150" ht="15" customHeight="1" s="217">
      <c r="A150" s="422" t="n">
        <v>38</v>
      </c>
      <c r="B150" s="423" t="inlineStr">
        <is>
          <t>NGỌC ÁNH</t>
        </is>
      </c>
      <c r="C150" s="424" t="n"/>
      <c r="D150" s="425" t="n"/>
      <c r="E150" s="426" t="inlineStr">
        <is>
          <t>&lt;6H</t>
        </is>
      </c>
      <c r="F150" s="425" t="n"/>
    </row>
    <row r="151" ht="15" customHeight="1" s="217">
      <c r="A151" s="409" t="n">
        <v>39</v>
      </c>
      <c r="B151" s="421" t="inlineStr">
        <is>
          <t>NHẬT TÂN</t>
        </is>
      </c>
      <c r="C151" s="411" t="n"/>
      <c r="D151" s="412" t="n"/>
      <c r="E151" s="413" t="inlineStr">
        <is>
          <t>&lt;5H</t>
        </is>
      </c>
      <c r="F151" s="412" t="n"/>
    </row>
    <row r="152" ht="15" customHeight="1" s="217">
      <c r="A152" s="422" t="n">
        <v>40</v>
      </c>
      <c r="B152" s="423" t="inlineStr">
        <is>
          <t>PETRO</t>
        </is>
      </c>
      <c r="C152" s="424" t="n"/>
      <c r="D152" s="425" t="n"/>
      <c r="E152" s="426" t="n"/>
      <c r="F152" s="425" t="n"/>
    </row>
    <row r="153" ht="15" customHeight="1" s="217">
      <c r="A153" s="409" t="n">
        <v>41</v>
      </c>
      <c r="B153" s="421" t="inlineStr">
        <is>
          <t>PHI HIỆP</t>
        </is>
      </c>
      <c r="C153" s="411" t="n"/>
      <c r="D153" s="412" t="n"/>
      <c r="E153" s="413" t="inlineStr">
        <is>
          <t>&lt;4H30</t>
        </is>
      </c>
      <c r="F153" s="412" t="n"/>
    </row>
    <row r="154" ht="15" customHeight="1" s="217">
      <c r="A154" s="422" t="n">
        <v>42</v>
      </c>
      <c r="B154" s="423" t="inlineStr">
        <is>
          <t>PHÚC HẢI</t>
        </is>
      </c>
      <c r="C154" s="424" t="n"/>
      <c r="D154" s="425" t="n"/>
      <c r="E154" s="426" t="inlineStr">
        <is>
          <t>&lt;2H30 gửi phúc long</t>
        </is>
      </c>
      <c r="F154" s="425" t="n"/>
    </row>
    <row r="155" ht="15" customHeight="1" s="217">
      <c r="A155" s="409" t="n">
        <v>43</v>
      </c>
      <c r="B155" s="421" t="inlineStr">
        <is>
          <t>PHÚC LỘC</t>
        </is>
      </c>
      <c r="C155" s="411" t="n"/>
      <c r="D155" s="412" t="n"/>
      <c r="E155" s="413" t="n"/>
      <c r="F155" s="412" t="n"/>
    </row>
    <row r="156" ht="15" customHeight="1" s="217">
      <c r="A156" s="422" t="n">
        <v>44</v>
      </c>
      <c r="B156" s="423" t="inlineStr">
        <is>
          <t>PHƯƠNG TRINH</t>
        </is>
      </c>
      <c r="C156" s="424" t="n"/>
      <c r="D156" s="425" t="n"/>
      <c r="E156" s="426" t="inlineStr">
        <is>
          <t>sáng 10h30 chiều 3h</t>
        </is>
      </c>
      <c r="F156" s="425" t="n"/>
    </row>
    <row r="157" ht="15" customHeight="1" s="217">
      <c r="A157" s="409" t="n">
        <v>45</v>
      </c>
      <c r="B157" s="421" t="inlineStr">
        <is>
          <t>PHƯỚC HƯNG</t>
        </is>
      </c>
      <c r="C157" s="411" t="n"/>
      <c r="D157" s="412" t="n"/>
      <c r="E157" s="413" t="inlineStr">
        <is>
          <t>&lt;5H</t>
        </is>
      </c>
      <c r="F157" s="412" t="n"/>
    </row>
    <row r="158" ht="15" customHeight="1" s="217">
      <c r="A158" s="422" t="n">
        <v>46</v>
      </c>
      <c r="B158" s="423" t="inlineStr">
        <is>
          <t>PHƯỢNG THU</t>
        </is>
      </c>
      <c r="C158" s="424" t="n"/>
      <c r="D158" s="425" t="n"/>
      <c r="E158" s="426" t="inlineStr">
        <is>
          <t>5H,6H</t>
        </is>
      </c>
      <c r="F158" s="425" t="n"/>
    </row>
    <row r="159" ht="15" customHeight="1" s="217">
      <c r="A159" s="409" t="n">
        <v>47</v>
      </c>
      <c r="B159" s="421" t="inlineStr">
        <is>
          <t>QUANG BÉ</t>
        </is>
      </c>
      <c r="C159" s="411" t="n"/>
      <c r="D159" s="412" t="n"/>
      <c r="E159" s="413" t="inlineStr">
        <is>
          <t>&lt;9h sáng</t>
        </is>
      </c>
      <c r="F159" s="412" t="n"/>
    </row>
    <row r="160" ht="15" customHeight="1" s="217">
      <c r="A160" s="422" t="n">
        <v>48</v>
      </c>
      <c r="B160" s="423" t="inlineStr">
        <is>
          <t>QUANG HẠNH</t>
        </is>
      </c>
      <c r="C160" s="424" t="n"/>
      <c r="D160" s="425" t="n"/>
      <c r="E160" s="426" t="inlineStr">
        <is>
          <t>6h gửi bến xe thành công</t>
        </is>
      </c>
      <c r="F160" s="425" t="n"/>
    </row>
    <row r="161" ht="15" customHeight="1" s="217">
      <c r="A161" s="409" t="n">
        <v>49</v>
      </c>
      <c r="B161" s="421" t="inlineStr">
        <is>
          <t>QUỐC PHÁT</t>
        </is>
      </c>
      <c r="C161" s="411" t="n"/>
      <c r="D161" s="412" t="n"/>
      <c r="E161" s="413" t="n"/>
      <c r="F161" s="412" t="n"/>
    </row>
    <row r="162" ht="15" customHeight="1" s="217">
      <c r="A162" s="422" t="n">
        <v>50</v>
      </c>
      <c r="B162" s="423" t="inlineStr">
        <is>
          <t>QUỲNH HƯƠNG</t>
        </is>
      </c>
      <c r="C162" s="424" t="n"/>
      <c r="D162" s="425" t="n"/>
      <c r="E162" s="426" t="inlineStr">
        <is>
          <t>&lt;7H</t>
        </is>
      </c>
      <c r="F162" s="425" t="n"/>
    </row>
    <row r="163" ht="15" customHeight="1" s="217">
      <c r="A163" s="409" t="n">
        <v>51</v>
      </c>
      <c r="B163" s="421" t="inlineStr">
        <is>
          <t>SINH DIÊN HỒNG</t>
        </is>
      </c>
      <c r="C163" s="411" t="n"/>
      <c r="D163" s="412" t="n"/>
      <c r="E163" s="413" t="inlineStr">
        <is>
          <t>&lt;6H</t>
        </is>
      </c>
      <c r="F163" s="412" t="n"/>
    </row>
    <row r="164" ht="15" customHeight="1" s="217">
      <c r="A164" s="422" t="n">
        <v>52</v>
      </c>
      <c r="B164" s="423" t="inlineStr">
        <is>
          <t>SÁU BẢN</t>
        </is>
      </c>
      <c r="C164" s="424" t="n"/>
      <c r="D164" s="425" t="n"/>
      <c r="E164" s="426" t="n"/>
      <c r="F164" s="425" t="n"/>
    </row>
    <row r="165" ht="15" customHeight="1" s="217">
      <c r="A165" s="409" t="n">
        <v>53</v>
      </c>
      <c r="B165" s="421" t="inlineStr">
        <is>
          <t>THANH HƯƠNG</t>
        </is>
      </c>
      <c r="C165" s="411" t="n"/>
      <c r="D165" s="412" t="n"/>
      <c r="E165" s="413" t="inlineStr">
        <is>
          <t>&lt;6h</t>
        </is>
      </c>
      <c r="F165" s="412" t="n"/>
    </row>
    <row r="166" ht="15" customHeight="1" s="217">
      <c r="A166" s="422" t="n">
        <v>54</v>
      </c>
      <c r="B166" s="423" t="inlineStr">
        <is>
          <t>THANH TRÂN</t>
        </is>
      </c>
      <c r="C166" s="424" t="n"/>
      <c r="D166" s="425" t="n"/>
      <c r="E166" s="426" t="inlineStr">
        <is>
          <t>&lt;8H</t>
        </is>
      </c>
      <c r="F166" s="425" t="n"/>
    </row>
    <row r="167" ht="15" customHeight="1" s="217">
      <c r="A167" s="409" t="n">
        <v>55</v>
      </c>
      <c r="B167" s="421" t="inlineStr">
        <is>
          <t>THIỆN NGA</t>
        </is>
      </c>
      <c r="C167" s="411" t="n"/>
      <c r="D167" s="412" t="n"/>
      <c r="E167" s="413" t="inlineStr">
        <is>
          <t>&lt;6H</t>
        </is>
      </c>
      <c r="F167" s="412" t="n"/>
    </row>
    <row r="168" ht="15" customHeight="1" s="217">
      <c r="A168" s="422" t="n">
        <v>56</v>
      </c>
      <c r="B168" s="423" t="inlineStr">
        <is>
          <t>THU HÀ</t>
        </is>
      </c>
      <c r="C168" s="424" t="n"/>
      <c r="D168" s="425" t="n"/>
      <c r="E168" s="426" t="inlineStr">
        <is>
          <t>&lt;6H</t>
        </is>
      </c>
      <c r="F168" s="425" t="n"/>
    </row>
    <row r="169" ht="15" customHeight="1" s="217">
      <c r="A169" s="409" t="n">
        <v>57</v>
      </c>
      <c r="B169" s="421" t="inlineStr">
        <is>
          <t>THUẬN PHÁT</t>
        </is>
      </c>
      <c r="C169" s="411" t="n"/>
      <c r="D169" s="412" t="n"/>
      <c r="E169" s="413" t="inlineStr">
        <is>
          <t>&lt;5H</t>
        </is>
      </c>
      <c r="F169" s="412" t="n"/>
    </row>
    <row r="170" ht="15" customHeight="1" s="217">
      <c r="A170" s="422" t="n">
        <v>58</v>
      </c>
      <c r="B170" s="423" t="inlineStr">
        <is>
          <t>THÀNH CÔNG</t>
        </is>
      </c>
      <c r="C170" s="424" t="n"/>
      <c r="D170" s="425" t="n"/>
      <c r="E170" s="426" t="n"/>
      <c r="F170" s="425" t="n"/>
    </row>
    <row r="171" ht="15" customHeight="1" s="217">
      <c r="A171" s="409" t="n">
        <v>59</v>
      </c>
      <c r="B171" s="421" t="inlineStr">
        <is>
          <t>THÀNH TRUNG</t>
        </is>
      </c>
      <c r="C171" s="411" t="n"/>
      <c r="D171" s="412" t="n"/>
      <c r="E171" s="413" t="inlineStr">
        <is>
          <t>&lt;3H</t>
        </is>
      </c>
      <c r="F171" s="412" t="n"/>
    </row>
    <row r="172" ht="15" customHeight="1" s="217">
      <c r="A172" s="422" t="n">
        <v>60</v>
      </c>
      <c r="B172" s="423" t="inlineStr">
        <is>
          <t>TOÀN THẮNG</t>
        </is>
      </c>
      <c r="C172" s="424" t="n"/>
      <c r="D172" s="425" t="n"/>
      <c r="E172" s="426" t="n"/>
      <c r="F172" s="425" t="n"/>
    </row>
    <row r="173" ht="15" customHeight="1" s="217">
      <c r="A173" s="409" t="n">
        <v>61</v>
      </c>
      <c r="B173" s="421" t="inlineStr">
        <is>
          <t>TRƯỜNG THÀNH</t>
        </is>
      </c>
      <c r="C173" s="411" t="n"/>
      <c r="D173" s="412" t="n"/>
      <c r="E173" s="413" t="inlineStr">
        <is>
          <t>&lt;6H</t>
        </is>
      </c>
      <c r="F173" s="412" t="n"/>
    </row>
    <row r="174" ht="15" customHeight="1" s="217">
      <c r="A174" s="422" t="n">
        <v>62</v>
      </c>
      <c r="B174" s="423" t="inlineStr">
        <is>
          <t>TRỌNG LIÊN</t>
        </is>
      </c>
      <c r="C174" s="424" t="n"/>
      <c r="D174" s="425" t="n"/>
      <c r="E174" s="426" t="inlineStr">
        <is>
          <t>&lt;6h</t>
        </is>
      </c>
      <c r="F174" s="425" t="n"/>
    </row>
    <row r="175" ht="15" customHeight="1" s="217">
      <c r="A175" s="409" t="n">
        <v>63</v>
      </c>
      <c r="B175" s="421" t="inlineStr">
        <is>
          <t>TUẤN TRUNG</t>
        </is>
      </c>
      <c r="C175" s="411" t="n"/>
      <c r="D175" s="412" t="n"/>
      <c r="E175" s="413" t="inlineStr">
        <is>
          <t>&lt;8H</t>
        </is>
      </c>
      <c r="F175" s="412" t="n"/>
    </row>
    <row r="176" ht="15" customHeight="1" s="217">
      <c r="A176" s="422" t="n">
        <v>64</v>
      </c>
      <c r="B176" s="423" t="inlineStr">
        <is>
          <t>TUẤN TÚ( QUẢNG NGÃI)</t>
        </is>
      </c>
      <c r="C176" s="424" t="n"/>
      <c r="D176" s="425" t="n"/>
      <c r="E176" s="426" t="inlineStr">
        <is>
          <t>&lt;7H</t>
        </is>
      </c>
      <c r="F176" s="425" t="n"/>
    </row>
    <row r="177" ht="15" customHeight="1" s="217">
      <c r="A177" s="409" t="n">
        <v>65</v>
      </c>
      <c r="B177" s="421" t="inlineStr">
        <is>
          <t>TUẤN TÚ(NINH THUẬN)</t>
        </is>
      </c>
      <c r="C177" s="411" t="n"/>
      <c r="D177" s="412" t="n"/>
      <c r="E177" s="413" t="n"/>
      <c r="F177" s="412" t="n"/>
    </row>
    <row r="178" ht="15" customHeight="1" s="217">
      <c r="A178" s="422" t="n">
        <v>66</v>
      </c>
      <c r="B178" s="423" t="inlineStr">
        <is>
          <t>TÂN ANH ( KON TUM)</t>
        </is>
      </c>
      <c r="C178" s="424" t="n"/>
      <c r="D178" s="425" t="n"/>
      <c r="E178" s="426" t="inlineStr">
        <is>
          <t>6H</t>
        </is>
      </c>
      <c r="F178" s="425" t="n"/>
    </row>
    <row r="179" ht="15" customHeight="1" s="217">
      <c r="A179" s="409" t="n">
        <v>67</v>
      </c>
      <c r="B179" s="421" t="inlineStr">
        <is>
          <t>TÂN ANH (NGỌC HỒI)</t>
        </is>
      </c>
      <c r="C179" s="411" t="n"/>
      <c r="D179" s="412" t="n"/>
      <c r="E179" s="413" t="inlineStr">
        <is>
          <t>&lt;5H30</t>
        </is>
      </c>
      <c r="F179" s="412" t="n"/>
    </row>
    <row r="180" ht="15" customHeight="1" s="217">
      <c r="A180" s="422" t="n">
        <v>68</v>
      </c>
      <c r="B180" s="423" t="inlineStr">
        <is>
          <t>TÂN HOA CHÂU</t>
        </is>
      </c>
      <c r="C180" s="424" t="n"/>
      <c r="D180" s="425" t="n"/>
      <c r="E180" s="426" t="inlineStr">
        <is>
          <t>&lt;3H</t>
        </is>
      </c>
      <c r="F180" s="425" t="n"/>
    </row>
    <row r="181" ht="15" customHeight="1" s="217">
      <c r="A181" s="409" t="n">
        <v>69</v>
      </c>
      <c r="B181" s="421" t="inlineStr">
        <is>
          <t>TẤN HƯNG</t>
        </is>
      </c>
      <c r="C181" s="411" t="n"/>
      <c r="D181" s="412" t="n"/>
      <c r="E181" s="413" t="inlineStr">
        <is>
          <t>&lt;5H</t>
        </is>
      </c>
      <c r="F181" s="412" t="n"/>
    </row>
    <row r="182" ht="15" customHeight="1" s="217">
      <c r="A182" s="422" t="n">
        <v>70</v>
      </c>
      <c r="B182" s="423" t="inlineStr">
        <is>
          <t>VIỆT TÂN PHÁT</t>
        </is>
      </c>
      <c r="C182" s="424" t="n"/>
      <c r="D182" s="425" t="n"/>
      <c r="E182" s="426" t="n"/>
      <c r="F182" s="425" t="n"/>
    </row>
    <row r="183" ht="15" customHeight="1" s="217">
      <c r="A183" s="409" t="n">
        <v>71</v>
      </c>
      <c r="B183" s="421" t="inlineStr">
        <is>
          <t>VƯƠNG TẤN DŨNG</t>
        </is>
      </c>
      <c r="C183" s="411" t="n"/>
      <c r="D183" s="412" t="n"/>
      <c r="E183" s="413" t="inlineStr">
        <is>
          <t>&lt;5h</t>
        </is>
      </c>
      <c r="F183" s="412" t="n"/>
    </row>
    <row r="184" ht="15" customHeight="1" s="217">
      <c r="A184" s="422" t="n">
        <v>72</v>
      </c>
      <c r="B184" s="423" t="inlineStr">
        <is>
          <t>XE TÈO</t>
        </is>
      </c>
      <c r="C184" s="424" t="n"/>
      <c r="D184" s="425" t="n"/>
      <c r="E184" s="426" t="inlineStr">
        <is>
          <t>&lt;10h sáng</t>
        </is>
      </c>
      <c r="F184" s="425" t="n"/>
    </row>
    <row r="185" ht="15" customHeight="1" s="217">
      <c r="A185" s="409" t="n">
        <v>73</v>
      </c>
      <c r="B185" s="421" t="inlineStr">
        <is>
          <t>XUÂN PHÚC</t>
        </is>
      </c>
      <c r="C185" s="411" t="n"/>
      <c r="D185" s="412" t="n"/>
      <c r="E185" s="413" t="inlineStr">
        <is>
          <t>&lt;5H</t>
        </is>
      </c>
      <c r="F185" s="412" t="n"/>
    </row>
    <row r="186" ht="15" customHeight="1" s="217">
      <c r="A186" s="422" t="n">
        <v>74</v>
      </c>
      <c r="B186" s="423" t="inlineStr">
        <is>
          <t>ÚT MINH</t>
        </is>
      </c>
      <c r="C186" s="424" t="n"/>
      <c r="D186" s="425" t="n"/>
      <c r="E186" s="426" t="inlineStr">
        <is>
          <t>đón cx12</t>
        </is>
      </c>
      <c r="F186" s="425" t="n"/>
    </row>
    <row r="187" ht="15" customHeight="1" s="217">
      <c r="A187" s="409" t="n">
        <v>75</v>
      </c>
      <c r="B187" s="421" t="inlineStr">
        <is>
          <t>ĐIỀN LINH</t>
        </is>
      </c>
      <c r="C187" s="411" t="n"/>
      <c r="D187" s="412" t="n"/>
      <c r="E187" s="413" t="n"/>
      <c r="F187" s="412" t="n"/>
    </row>
    <row r="188" ht="15" customHeight="1" s="217">
      <c r="A188" s="422" t="n">
        <v>76</v>
      </c>
      <c r="B188" s="423" t="inlineStr">
        <is>
          <t>ĐÔNG HƯNG</t>
        </is>
      </c>
      <c r="C188" s="424" t="n"/>
      <c r="D188" s="425" t="n"/>
      <c r="E188" s="426" t="inlineStr">
        <is>
          <t>&lt;7H</t>
        </is>
      </c>
      <c r="F188" s="425" t="n"/>
    </row>
    <row r="189" ht="15" customHeight="1" s="217">
      <c r="A189" s="409" t="n">
        <v>77</v>
      </c>
      <c r="B189" s="421" t="inlineStr">
        <is>
          <t>ĐẠI NGHĨA</t>
        </is>
      </c>
      <c r="C189" s="411" t="n"/>
      <c r="D189" s="412" t="n"/>
      <c r="E189" s="413" t="inlineStr">
        <is>
          <t>&lt;8H</t>
        </is>
      </c>
      <c r="F189" s="412" t="n"/>
    </row>
    <row r="190" ht="15" customHeight="1" s="217">
      <c r="A190" s="422" t="n">
        <v>78</v>
      </c>
      <c r="B190" s="423" t="inlineStr">
        <is>
          <t>ĐỆ NHẤT'</t>
        </is>
      </c>
      <c r="C190" s="424" t="n"/>
      <c r="D190" s="425" t="n"/>
      <c r="E190" s="426" t="inlineStr">
        <is>
          <t>&lt;4H</t>
        </is>
      </c>
      <c r="F190" s="425" t="n"/>
    </row>
    <row r="191" ht="15" customHeight="1" s="217">
      <c r="A191" s="409" t="n">
        <v>79</v>
      </c>
      <c r="B191" s="421" t="inlineStr">
        <is>
          <t>ĐỨC PHONG</t>
        </is>
      </c>
      <c r="C191" s="411" t="n"/>
      <c r="D191" s="412" t="n"/>
      <c r="E191" s="413" t="inlineStr">
        <is>
          <t>&lt;8H</t>
        </is>
      </c>
      <c r="F191" s="412" t="n"/>
    </row>
    <row r="192" ht="15" customHeight="1" s="217">
      <c r="A192" s="422" t="n">
        <v>80</v>
      </c>
      <c r="B192" s="423" t="inlineStr">
        <is>
          <t>ĐỨC ĐẠT</t>
        </is>
      </c>
      <c r="C192" s="424" t="n"/>
      <c r="D192" s="425" t="n"/>
      <c r="E192" s="426" t="inlineStr">
        <is>
          <t>&lt;7h</t>
        </is>
      </c>
      <c r="F192" s="425" t="n"/>
    </row>
    <row r="195" ht="24" customHeight="1" s="217">
      <c r="A195" s="406" t="inlineStr">
        <is>
          <t>🏢  NHÀ XE LIÊN TỈNH  (theo tỉnh A→Z)</t>
        </is>
      </c>
    </row>
    <row r="196" ht="19.5" customHeight="1" s="217">
      <c r="A196" s="427" t="inlineStr">
        <is>
          <t>STT</t>
        </is>
      </c>
      <c r="B196" s="427" t="inlineStr">
        <is>
          <t>TÊN CHÀNH / NHÀ XE</t>
        </is>
      </c>
      <c r="C196" s="427" t="inlineStr">
        <is>
          <t>ĐIỆN THOẠI</t>
        </is>
      </c>
      <c r="D196" s="427" t="inlineStr">
        <is>
          <t>ĐỊA CHỈ</t>
        </is>
      </c>
      <c r="E196" s="427" t="inlineStr">
        <is>
          <t>GIỜ NHẬN</t>
        </is>
      </c>
      <c r="F196" s="427" t="inlineStr">
        <is>
          <t>GHI CHÚ</t>
        </is>
      </c>
    </row>
    <row r="197" ht="19.5" customHeight="1" s="217">
      <c r="A197" s="428" t="inlineStr">
        <is>
          <t>📍  BÌNH DƯƠNG   ·   2 nhà xe</t>
        </is>
      </c>
    </row>
    <row r="198" ht="15" customHeight="1" s="217">
      <c r="A198" s="409" t="n">
        <v>1</v>
      </c>
      <c r="B198" s="421" t="inlineStr">
        <is>
          <t>XE THÀNH TRUNG</t>
        </is>
      </c>
      <c r="C198" s="411" t="inlineStr">
        <is>
          <t>0918.009.649</t>
        </is>
      </c>
      <c r="D198" s="412" t="n"/>
      <c r="E198" s="413" t="n"/>
      <c r="F198" s="412" t="n"/>
    </row>
    <row r="199" ht="15" customHeight="1" s="217">
      <c r="A199" s="429" t="n">
        <v>2</v>
      </c>
      <c r="B199" s="430" t="inlineStr">
        <is>
          <t>NHÀ XE NGỌC QUÝ</t>
        </is>
      </c>
      <c r="C199" s="431" t="inlineStr">
        <is>
          <t>0913.621.344</t>
        </is>
      </c>
      <c r="D199" s="432" t="n"/>
      <c r="E199" s="433" t="n"/>
      <c r="F199" s="432" t="n"/>
    </row>
    <row r="200" ht="19.5" customHeight="1" s="217">
      <c r="A200" s="428" t="inlineStr">
        <is>
          <t>📍  BÌNH PHƯỚC   ·   1 nhà xe</t>
        </is>
      </c>
    </row>
    <row r="201" ht="15" customHeight="1" s="217">
      <c r="A201" s="409" t="n">
        <v>1</v>
      </c>
      <c r="B201" s="421" t="inlineStr">
        <is>
          <t>Xe khách đăng khoa</t>
        </is>
      </c>
      <c r="C201" s="411" t="n"/>
      <c r="D201" s="412" t="inlineStr">
        <is>
          <t>BẾN XE MIỀN ĐÔNG</t>
        </is>
      </c>
      <c r="E201" s="413" t="n"/>
      <c r="F201" s="412" t="inlineStr">
        <is>
          <t>tấn tài bình phước</t>
        </is>
      </c>
    </row>
    <row r="202" ht="19.5" customHeight="1" s="217">
      <c r="A202" s="428" t="inlineStr">
        <is>
          <t>📍  BÌNH THUẬN   ·   1 nhà xe</t>
        </is>
      </c>
    </row>
    <row r="203" ht="15" customHeight="1" s="217">
      <c r="A203" s="409" t="n">
        <v>1</v>
      </c>
      <c r="B203" s="421" t="inlineStr">
        <is>
          <t>XE SÀI -GÒN</t>
        </is>
      </c>
      <c r="C203" s="411" t="inlineStr">
        <is>
          <t>0383.113.711</t>
        </is>
      </c>
      <c r="D203" s="412" t="inlineStr">
        <is>
          <t>CHỢ ĐẦU MỐI THỦ ĐỨC</t>
        </is>
      </c>
      <c r="E203" s="413" t="inlineStr">
        <is>
          <t>12h:</t>
        </is>
      </c>
      <c r="F203" s="412" t="n"/>
    </row>
    <row r="204" ht="19.5" customHeight="1" s="217">
      <c r="A204" s="428" t="inlineStr">
        <is>
          <t>📍  BÌNH ĐỊNH - QUY NHƠN   ·   3 nhà xe</t>
        </is>
      </c>
    </row>
    <row r="205" ht="15" customHeight="1" s="217">
      <c r="A205" s="409" t="n">
        <v>1</v>
      </c>
      <c r="B205" s="421" t="inlineStr">
        <is>
          <t>NHÀ XE MẠNH HÙNG</t>
        </is>
      </c>
      <c r="C205" s="411" t="n"/>
      <c r="D205" s="412" t="inlineStr">
        <is>
          <t>BẾN XE MIỀN ĐÔNG</t>
        </is>
      </c>
      <c r="E205" s="413" t="n"/>
      <c r="F205" s="412" t="n"/>
    </row>
    <row r="206" ht="15" customHeight="1" s="217">
      <c r="A206" s="429" t="n">
        <v>2</v>
      </c>
      <c r="B206" s="430" t="inlineStr">
        <is>
          <t>NHÀ XE HOA NHO</t>
        </is>
      </c>
      <c r="C206" s="431" t="n"/>
      <c r="D206" s="432" t="n"/>
      <c r="E206" s="433" t="n"/>
      <c r="F206" s="432" t="n"/>
    </row>
    <row r="207" ht="15" customHeight="1" s="217">
      <c r="A207" s="409" t="n">
        <v>3</v>
      </c>
      <c r="B207" s="421" t="inlineStr">
        <is>
          <t>XE TẢI</t>
        </is>
      </c>
      <c r="C207" s="411" t="inlineStr">
        <is>
          <t>0905.221.038</t>
        </is>
      </c>
      <c r="D207" s="412" t="inlineStr">
        <is>
          <t>1126 Quốc Lộ 1 A</t>
        </is>
      </c>
      <c r="E207" s="413" t="n"/>
      <c r="F207" s="412" t="n"/>
    </row>
    <row r="208" ht="19.5" customHeight="1" s="217">
      <c r="A208" s="428" t="inlineStr">
        <is>
          <t>📍  BẾN TRE   ·   2 nhà xe</t>
        </is>
      </c>
    </row>
    <row r="209" ht="15" customHeight="1" s="217">
      <c r="A209" s="409" t="n">
        <v>1</v>
      </c>
      <c r="B209" s="421" t="inlineStr">
        <is>
          <t>XE KHÁCH HOÀNG KHẢI</t>
        </is>
      </c>
      <c r="C209" s="411" t="n"/>
      <c r="D209" s="412" t="inlineStr">
        <is>
          <t>50Đ ,NGUYỄN CHI THANH , P2 ,Q10,HCM</t>
        </is>
      </c>
      <c r="E209" s="413" t="n"/>
      <c r="F209" s="412" t="inlineStr">
        <is>
          <t>A Trường - Ba Tri</t>
        </is>
      </c>
    </row>
    <row r="210" ht="15" customHeight="1" s="217">
      <c r="A210" s="429" t="n">
        <v>2</v>
      </c>
      <c r="B210" s="430" t="inlineStr">
        <is>
          <t>CHÀNH TÁM LỆ ( HIỆP THANH)</t>
        </is>
      </c>
      <c r="C210" s="431" t="inlineStr">
        <is>
          <t>0947.994.272</t>
        </is>
      </c>
      <c r="D210" s="432" t="inlineStr">
        <is>
          <t>SỐ 23 ĐƯỜNG 23 ,KHU BÌNH PHÚ , Q 10 ,HCM</t>
        </is>
      </c>
      <c r="E210" s="433" t="n"/>
      <c r="F210" s="432" t="inlineStr">
        <is>
          <t>A Shin</t>
        </is>
      </c>
    </row>
    <row r="211" ht="19.5" customHeight="1" s="217">
      <c r="A211" s="428" t="inlineStr">
        <is>
          <t>📍  CHƯA XÁC ĐỊNH   ·   2 nhà xe</t>
        </is>
      </c>
    </row>
    <row r="212" ht="15" customHeight="1" s="217">
      <c r="A212" s="409" t="n">
        <v>1</v>
      </c>
      <c r="B212" s="421" t="inlineStr">
        <is>
          <t>NHÀ XE KIM MẠNH HÙNG</t>
        </is>
      </c>
      <c r="C212" s="411" t="n"/>
      <c r="D212" s="412" t="inlineStr">
        <is>
          <t>QUẬN 5</t>
        </is>
      </c>
      <c r="E212" s="413" t="n"/>
      <c r="F212" s="412" t="n"/>
    </row>
    <row r="213" ht="15" customHeight="1" s="217">
      <c r="A213" s="429" t="n">
        <v>2</v>
      </c>
      <c r="B213" s="430" t="inlineStr">
        <is>
          <t>xe tuấn thắng</t>
        </is>
      </c>
      <c r="C213" s="431" t="n"/>
      <c r="D213" s="432" t="inlineStr">
        <is>
          <t>46 nguyễn thế truyện</t>
        </is>
      </c>
      <c r="E213" s="433" t="n"/>
      <c r="F213" s="432" t="inlineStr">
        <is>
          <t>Turbo Quang Tuấn</t>
        </is>
      </c>
    </row>
    <row r="214" ht="19.5" customHeight="1" s="217">
      <c r="A214" s="428" t="inlineStr">
        <is>
          <t>📍  HUẾ   ·   4 nhà xe</t>
        </is>
      </c>
    </row>
    <row r="215" ht="15" customHeight="1" s="217">
      <c r="A215" s="409" t="n">
        <v>1</v>
      </c>
      <c r="B215" s="421" t="inlineStr">
        <is>
          <t>XE TẢI KHẢ THIỆN</t>
        </is>
      </c>
      <c r="C215" s="411" t="inlineStr">
        <is>
          <t>0935.480.686</t>
        </is>
      </c>
      <c r="D215" s="412" t="inlineStr">
        <is>
          <t>Tân phú , Hồ Chí Minh</t>
        </is>
      </c>
      <c r="E215" s="413" t="n"/>
      <c r="F215" s="412" t="n"/>
    </row>
    <row r="216" ht="15" customHeight="1" s="217">
      <c r="A216" s="429" t="n">
        <v>2</v>
      </c>
      <c r="B216" s="430" t="inlineStr">
        <is>
          <t>XE TẢI HÒA - HUẾ</t>
        </is>
      </c>
      <c r="C216" s="431" t="inlineStr">
        <is>
          <t>0908.209.875</t>
        </is>
      </c>
      <c r="D216" s="432" t="inlineStr">
        <is>
          <t>Lô I.9/1/ Đường số 5 khu công nghiệp vĩnh lộc
,Phường Bình Hưng Hoà B Quận Bình Tân</t>
        </is>
      </c>
      <c r="E216" s="433" t="n"/>
      <c r="F216" s="432" t="n"/>
    </row>
    <row r="217" ht="15" customHeight="1" s="217">
      <c r="A217" s="409" t="n">
        <v>3</v>
      </c>
      <c r="B217" s="421" t="inlineStr">
        <is>
          <t>XE MINH  PHƯƠNG</t>
        </is>
      </c>
      <c r="C217" s="411" t="n"/>
      <c r="D217" s="412" t="inlineStr">
        <is>
          <t>BXMD</t>
        </is>
      </c>
      <c r="E217" s="413" t="inlineStr">
        <is>
          <t>sáng</t>
        </is>
      </c>
      <c r="F217" s="412" t="n"/>
    </row>
    <row r="218" ht="15" customHeight="1" s="217">
      <c r="A218" s="429" t="n">
        <v>4</v>
      </c>
      <c r="B218" s="430" t="inlineStr">
        <is>
          <t>XE SƠN TÙNG</t>
        </is>
      </c>
      <c r="C218" s="431" t="n"/>
      <c r="D218" s="432" t="inlineStr">
        <is>
          <t>MIỀN TẤY</t>
        </is>
      </c>
      <c r="E218" s="433" t="inlineStr">
        <is>
          <t>buổi tối</t>
        </is>
      </c>
      <c r="F218" s="432" t="n"/>
    </row>
    <row r="219" ht="19.5" customHeight="1" s="217">
      <c r="A219" s="428" t="inlineStr">
        <is>
          <t>📍  HÀ NỘI   ·   1 nhà xe</t>
        </is>
      </c>
    </row>
    <row r="220" ht="15" customHeight="1" s="217">
      <c r="A220" s="409" t="n">
        <v>1</v>
      </c>
      <c r="B220" s="421" t="inlineStr">
        <is>
          <t>XE HIỀN PHƯỚC</t>
        </is>
      </c>
      <c r="C220" s="411" t="inlineStr">
        <is>
          <t>0842.277.358</t>
        </is>
      </c>
      <c r="D220" s="412" t="n"/>
      <c r="E220" s="413" t="inlineStr">
        <is>
          <t>17H</t>
        </is>
      </c>
      <c r="F220" s="412" t="inlineStr">
        <is>
          <t>chạy dọc tuyến QL1A</t>
        </is>
      </c>
    </row>
    <row r="221" ht="19.5" customHeight="1" s="217">
      <c r="A221" s="428" t="inlineStr">
        <is>
          <t>📍  HÀNG KHÔNG   ·   2 nhà xe</t>
        </is>
      </c>
    </row>
    <row r="222" ht="15" customHeight="1" s="217">
      <c r="A222" s="409" t="n">
        <v>1</v>
      </c>
      <c r="B222" s="421" t="inlineStr">
        <is>
          <t>CTY GIAO NHẬN HÀNG KHÔNG AAL</t>
        </is>
      </c>
      <c r="C222" s="411" t="n"/>
      <c r="D222" s="412" t="inlineStr">
        <is>
          <t>TẠI HÀ NỘI: SỐ 82 TRẦN KHÁT CHÂN, PHƯỜNG BẠCH ĐẰNG, QUẬN HAI BÀ TRƯNG</t>
        </is>
      </c>
      <c r="E222" s="413" t="n"/>
      <c r="F222" s="412" t="inlineStr">
        <is>
          <t>Phú Toàn</t>
        </is>
      </c>
    </row>
    <row r="223" ht="15" customHeight="1" s="217">
      <c r="A223" s="429" t="n">
        <v>2</v>
      </c>
      <c r="B223" s="430" t="inlineStr">
        <is>
          <t>A ĐẢO  DỊCH VỤ HÀNG KHÔNG</t>
        </is>
      </c>
      <c r="C223" s="431" t="inlineStr">
        <is>
          <t>0906.137.733</t>
        </is>
      </c>
      <c r="D223" s="432" t="n"/>
      <c r="E223" s="433" t="n"/>
      <c r="F223" s="432" t="n"/>
    </row>
    <row r="224" ht="19.5" customHeight="1" s="217">
      <c r="A224" s="428" t="inlineStr">
        <is>
          <t>📍  KON TUM   ·   3 nhà xe</t>
        </is>
      </c>
    </row>
    <row r="225" ht="15" customHeight="1" s="217">
      <c r="A225" s="409" t="n">
        <v>1</v>
      </c>
      <c r="B225" s="421" t="inlineStr">
        <is>
          <t>NHÀ XE PHƯỢNG THU</t>
        </is>
      </c>
      <c r="C225" s="411" t="inlineStr">
        <is>
          <t>0372.771.881</t>
        </is>
      </c>
      <c r="D225" s="412" t="inlineStr">
        <is>
          <t>BẾN XE MIỀN ĐÔNG</t>
        </is>
      </c>
      <c r="E225" s="413" t="n"/>
      <c r="F225" s="412" t="n"/>
    </row>
    <row r="226" ht="15" customHeight="1" s="217">
      <c r="A226" s="429" t="n">
        <v>2</v>
      </c>
      <c r="B226" s="430" t="inlineStr">
        <is>
          <t>NHÀ XE TÂN ANH</t>
        </is>
      </c>
      <c r="C226" s="431" t="n"/>
      <c r="D226" s="432" t="inlineStr">
        <is>
          <t>BẾN XE MIỀN ĐÔNG</t>
        </is>
      </c>
      <c r="E226" s="433" t="inlineStr">
        <is>
          <t>18:00 tối</t>
        </is>
      </c>
      <c r="F226" s="432" t="n"/>
    </row>
    <row r="227" ht="15" customHeight="1" s="217">
      <c r="A227" s="409" t="n">
        <v>3</v>
      </c>
      <c r="B227" s="421" t="inlineStr">
        <is>
          <t>XE MINH QUỐC</t>
        </is>
      </c>
      <c r="C227" s="411" t="n"/>
      <c r="D227" s="412" t="inlineStr">
        <is>
          <t>BẾN XE MIỀN ĐÔNG</t>
        </is>
      </c>
      <c r="E227" s="413" t="n"/>
      <c r="F227" s="412" t="n"/>
    </row>
    <row r="228" ht="19.5" customHeight="1" s="217">
      <c r="A228" s="428" t="inlineStr">
        <is>
          <t>📍  LONG AN   ·   1 nhà xe</t>
        </is>
      </c>
    </row>
    <row r="229" ht="15" customHeight="1" s="217">
      <c r="A229" s="409" t="n">
        <v>1</v>
      </c>
      <c r="B229" s="421" t="inlineStr">
        <is>
          <t>CHÀNH XE CƯỜNG QUYÊN</t>
        </is>
      </c>
      <c r="C229" s="411" t="inlineStr">
        <is>
          <t>0913.728.356</t>
        </is>
      </c>
      <c r="D229" s="412" t="inlineStr">
        <is>
          <t>546 Đ. HỒNG BÀNG, PHƯỜNG 16, QUẬN 11, HCM</t>
        </is>
      </c>
      <c r="E229" s="413" t="n"/>
      <c r="F229" s="412" t="n"/>
    </row>
    <row r="230" ht="19.5" customHeight="1" s="217">
      <c r="A230" s="428" t="inlineStr">
        <is>
          <t>📍  LONG XUYÊN - AN GIANG   ·   2 nhà xe</t>
        </is>
      </c>
    </row>
    <row r="231" ht="15" customHeight="1" s="217">
      <c r="A231" s="409" t="n">
        <v>1</v>
      </c>
      <c r="B231" s="421" t="inlineStr">
        <is>
          <t>CHÀNH NGỌC SƠN</t>
        </is>
      </c>
      <c r="C231" s="411" t="n"/>
      <c r="D231" s="412" t="n"/>
      <c r="E231" s="413" t="n"/>
      <c r="F231" s="412" t="inlineStr">
        <is>
          <t>Tất Cả Các Khách Ở Long Xuyên</t>
        </is>
      </c>
    </row>
    <row r="232" ht="15" customHeight="1" s="217">
      <c r="A232" s="429" t="n">
        <v>2</v>
      </c>
      <c r="B232" s="430" t="inlineStr">
        <is>
          <t>CHÀNH KIM LAN</t>
        </is>
      </c>
      <c r="C232" s="431" t="n"/>
      <c r="D232" s="432" t="n"/>
      <c r="E232" s="433" t="n"/>
      <c r="F232" s="432" t="n"/>
    </row>
    <row r="233" ht="19.5" customHeight="1" s="217">
      <c r="A233" s="428" t="inlineStr">
        <is>
          <t>📍  LÂM ĐỒNG - ĐÀ LẠT   ·   7 nhà xe</t>
        </is>
      </c>
    </row>
    <row r="234" ht="15" customHeight="1" s="217">
      <c r="A234" s="409" t="n">
        <v>1</v>
      </c>
      <c r="B234" s="421" t="inlineStr">
        <is>
          <t>NHÀ XE ĐIỀN LINH</t>
        </is>
      </c>
      <c r="C234" s="411" t="n"/>
      <c r="D234" s="412" t="n"/>
      <c r="E234" s="413" t="n"/>
      <c r="F234" s="412" t="n"/>
    </row>
    <row r="235" ht="15" customHeight="1" s="217">
      <c r="A235" s="429" t="n">
        <v>2</v>
      </c>
      <c r="B235" s="430" t="inlineStr">
        <is>
          <t>CHÀNH ÚT NHÃ</t>
        </is>
      </c>
      <c r="C235" s="431" t="inlineStr">
        <is>
          <t>0878.417.483</t>
        </is>
      </c>
      <c r="D235" s="432" t="n"/>
      <c r="E235" s="433" t="n"/>
      <c r="F235" s="432" t="n"/>
    </row>
    <row r="236" ht="15" customHeight="1" s="217">
      <c r="A236" s="409" t="n">
        <v>3</v>
      </c>
      <c r="B236" s="421" t="inlineStr">
        <is>
          <t>XE MINH NHẬT - ĐẠ TẺ -LÂM ĐỒNG</t>
        </is>
      </c>
      <c r="C236" s="411" t="inlineStr">
        <is>
          <t>0919.152.049</t>
        </is>
      </c>
      <c r="D236" s="412" t="inlineStr">
        <is>
          <t>BẾN XE NGÃ TƯ GA</t>
        </is>
      </c>
      <c r="E236" s="413" t="inlineStr">
        <is>
          <t>17:30 Chiều</t>
        </is>
      </c>
      <c r="F236" s="412" t="inlineStr">
        <is>
          <t>Ch  Bình Thi</t>
        </is>
      </c>
    </row>
    <row r="237" ht="15" customHeight="1" s="217">
      <c r="A237" s="429" t="n">
        <v>4</v>
      </c>
      <c r="B237" s="430" t="inlineStr">
        <is>
          <t>XE DUY QUANG</t>
        </is>
      </c>
      <c r="C237" s="431" t="n"/>
      <c r="D237" s="432" t="inlineStr">
        <is>
          <t>CTY CƠ  GIỚI MIỀN NAM</t>
        </is>
      </c>
      <c r="E237" s="433" t="inlineStr">
        <is>
          <t>18:00 -20:00 Tối</t>
        </is>
      </c>
      <c r="F237" s="432" t="n"/>
    </row>
    <row r="238" ht="15" customHeight="1" s="217">
      <c r="A238" s="409" t="n">
        <v>5</v>
      </c>
      <c r="B238" s="421" t="inlineStr">
        <is>
          <t>XE NGỌC ÁNH</t>
        </is>
      </c>
      <c r="C238" s="411" t="inlineStr">
        <is>
          <t>0988.050.060</t>
        </is>
      </c>
      <c r="D238" s="412" t="n"/>
      <c r="E238" s="413" t="n"/>
      <c r="F238" s="412" t="n"/>
    </row>
    <row r="239" ht="15" customHeight="1" s="217">
      <c r="A239" s="429" t="n">
        <v>6</v>
      </c>
      <c r="B239" s="430" t="inlineStr">
        <is>
          <t>XE VŨ DUY</t>
        </is>
      </c>
      <c r="C239" s="431" t="n"/>
      <c r="D239" s="432" t="inlineStr">
        <is>
          <t>CTY CƠ  GIỚI MIỀN NAM</t>
        </is>
      </c>
      <c r="E239" s="433" t="inlineStr">
        <is>
          <t>13:00_14:00 Chiều</t>
        </is>
      </c>
      <c r="F239" s="432" t="n"/>
    </row>
    <row r="240" ht="15" customHeight="1" s="217">
      <c r="A240" s="409" t="n">
        <v>7</v>
      </c>
      <c r="B240" s="421" t="inlineStr">
        <is>
          <t>XE PHƯƠNG TRINH</t>
        </is>
      </c>
      <c r="C240" s="411" t="inlineStr">
        <is>
          <t>0915.616.002</t>
        </is>
      </c>
      <c r="D240" s="412" t="inlineStr">
        <is>
          <t>BẾN XE NGÃ TƯ GA</t>
        </is>
      </c>
      <c r="E240" s="413" t="inlineStr">
        <is>
          <t>9:00 sáng</t>
        </is>
      </c>
      <c r="F240" s="412" t="n"/>
    </row>
    <row r="241" ht="19.5" customHeight="1" s="217">
      <c r="A241" s="428" t="inlineStr">
        <is>
          <t>📍  NGHỆ AN   ·   1 nhà xe</t>
        </is>
      </c>
    </row>
    <row r="242" ht="15" customHeight="1" s="217">
      <c r="A242" s="409" t="n">
        <v>1</v>
      </c>
      <c r="B242" s="421" t="inlineStr">
        <is>
          <t>Hàng không</t>
        </is>
      </c>
      <c r="C242" s="411" t="inlineStr">
        <is>
          <t>0969.101.424</t>
        </is>
      </c>
      <c r="D242" s="412" t="inlineStr">
        <is>
          <t>49 Trường Sơn (f2 quận Tân Bình cũ) phường Tân Sơn Hoà</t>
        </is>
      </c>
      <c r="E242" s="413" t="n"/>
      <c r="F242" s="412" t="inlineStr">
        <is>
          <t>KỲ - Nhệ An</t>
        </is>
      </c>
    </row>
    <row r="243" ht="19.5" customHeight="1" s="217">
      <c r="A243" s="428" t="inlineStr">
        <is>
          <t>📍  NHA TRANG - KHÁNH HÒA   ·   3 nhà xe</t>
        </is>
      </c>
    </row>
    <row r="244" ht="15" customHeight="1" s="217">
      <c r="A244" s="409" t="n">
        <v>1</v>
      </c>
      <c r="B244" s="421" t="inlineStr">
        <is>
          <t>NHÀ XE VIỆT NHẬT</t>
        </is>
      </c>
      <c r="C244" s="411" t="n"/>
      <c r="D244" s="412" t="n"/>
      <c r="E244" s="413" t="n"/>
      <c r="F244" s="412" t="n"/>
    </row>
    <row r="245" ht="15" customHeight="1" s="217">
      <c r="A245" s="429" t="n">
        <v>2</v>
      </c>
      <c r="B245" s="430" t="inlineStr">
        <is>
          <t>NHÀ XE QUANG HẠNH</t>
        </is>
      </c>
      <c r="C245" s="431" t="n"/>
      <c r="D245" s="432" t="n"/>
      <c r="E245" s="433" t="n"/>
      <c r="F245" s="432" t="n"/>
    </row>
    <row r="246" ht="15" customHeight="1" s="217">
      <c r="A246" s="409" t="n">
        <v>3</v>
      </c>
      <c r="B246" s="421" t="inlineStr">
        <is>
          <t>NHÀ XE HUỆ NGHĨA</t>
        </is>
      </c>
      <c r="C246" s="411" t="n"/>
      <c r="D246" s="412" t="inlineStr">
        <is>
          <t>BX AN SƯƠNG</t>
        </is>
      </c>
      <c r="E246" s="413" t="n"/>
      <c r="F246" s="412" t="n"/>
    </row>
    <row r="247" ht="19.5" customHeight="1" s="217">
      <c r="A247" s="428" t="inlineStr">
        <is>
          <t>📍  PLEIKU - GIA LAI   ·   3 nhà xe</t>
        </is>
      </c>
    </row>
    <row r="248" ht="15" customHeight="1" s="217">
      <c r="A248" s="409" t="n">
        <v>1</v>
      </c>
      <c r="B248" s="421" t="inlineStr">
        <is>
          <t>NHÀ XE THUẬN TIẾN</t>
        </is>
      </c>
      <c r="C248" s="411" t="inlineStr">
        <is>
          <t>0931.620.808</t>
        </is>
      </c>
      <c r="D248" s="412" t="inlineStr">
        <is>
          <t>BẾN XE MIỀN ĐÔNG</t>
        </is>
      </c>
      <c r="E248" s="413" t="n"/>
      <c r="F248" s="412" t="n"/>
    </row>
    <row r="249" ht="15" customHeight="1" s="217">
      <c r="A249" s="429" t="n">
        <v>2</v>
      </c>
      <c r="B249" s="430" t="inlineStr">
        <is>
          <t>XE GIA PHÚ</t>
        </is>
      </c>
      <c r="C249" s="431" t="n"/>
      <c r="D249" s="432" t="inlineStr">
        <is>
          <t>BẾN XE MIỀN ĐÔNG</t>
        </is>
      </c>
      <c r="E249" s="433" t="inlineStr">
        <is>
          <t>xuất bến lúc 19H</t>
        </is>
      </c>
      <c r="F249" s="432" t="n"/>
    </row>
    <row r="250" ht="15" customHeight="1" s="217">
      <c r="A250" s="409" t="n">
        <v>3</v>
      </c>
      <c r="B250" s="421" t="inlineStr">
        <is>
          <t>Chành xe A ÚT</t>
        </is>
      </c>
      <c r="C250" s="411" t="inlineStr">
        <is>
          <t>0914.234.520</t>
        </is>
      </c>
      <c r="D250" s="412" t="n"/>
      <c r="E250" s="413" t="n"/>
      <c r="F250" s="412" t="n"/>
    </row>
    <row r="251" ht="19.5" customHeight="1" s="217">
      <c r="A251" s="428" t="inlineStr">
        <is>
          <t>📍  SÓC TRĂNG   ·   1 nhà xe</t>
        </is>
      </c>
    </row>
    <row r="252" ht="15" customHeight="1" s="217">
      <c r="A252" s="409" t="n">
        <v>1</v>
      </c>
      <c r="B252" s="421" t="inlineStr">
        <is>
          <t>CHÀNH XE THÁI DIỆU.</t>
        </is>
      </c>
      <c r="C252" s="411" t="inlineStr">
        <is>
          <t>0918.218.556</t>
        </is>
      </c>
      <c r="D252" s="412" t="n"/>
      <c r="E252" s="413" t="n"/>
      <c r="F252" s="412" t="n"/>
    </row>
    <row r="253" ht="19.5" customHeight="1" s="217">
      <c r="A253" s="428" t="inlineStr">
        <is>
          <t>📍  THANH HÓA   ·   2 nhà xe</t>
        </is>
      </c>
    </row>
    <row r="254" ht="15" customHeight="1" s="217">
      <c r="A254" s="409" t="n">
        <v>1</v>
      </c>
      <c r="B254" s="421" t="inlineStr">
        <is>
          <t>NHÀ XE QUANG THÀNH</t>
        </is>
      </c>
      <c r="C254" s="411" t="inlineStr">
        <is>
          <t>0903.999.639</t>
        </is>
      </c>
      <c r="D254" s="412" t="inlineStr">
        <is>
          <t>BÃI XE TÂY BẮC , 3/6 QUỐC LỘ 22  HOOC MÔN</t>
        </is>
      </c>
      <c r="E254" s="413" t="n"/>
      <c r="F254" s="412" t="inlineStr">
        <is>
          <t>Thành Thái Thanh Hóa</t>
        </is>
      </c>
    </row>
    <row r="255" ht="15" customHeight="1" s="217">
      <c r="A255" s="429" t="n">
        <v>2</v>
      </c>
      <c r="B255" s="430" t="inlineStr">
        <is>
          <t>KHO HÀNG TUẤN THẮNG</t>
        </is>
      </c>
      <c r="C255" s="431" t="inlineStr">
        <is>
          <t>0912.959.509</t>
        </is>
      </c>
      <c r="D255" s="432" t="inlineStr">
        <is>
          <t>96 NGUYỄN THẾ TRUYỆN, P TÂN SƠN NHÌ , TÂN PHÚ</t>
        </is>
      </c>
      <c r="E255" s="433" t="inlineStr">
        <is>
          <t>nhận hàng 8 h tối</t>
        </is>
      </c>
      <c r="F255" s="432" t="inlineStr">
        <is>
          <t>Turbo Quang Tuấn</t>
        </is>
      </c>
    </row>
    <row r="256" ht="19.5" customHeight="1" s="217">
      <c r="A256" s="428" t="inlineStr">
        <is>
          <t>📍  TIỀN GIANG   ·   1 nhà xe</t>
        </is>
      </c>
    </row>
    <row r="257" ht="15" customHeight="1" s="217">
      <c r="A257" s="409" t="n">
        <v>1</v>
      </c>
      <c r="B257" s="421" t="inlineStr">
        <is>
          <t>CHÀNH GIANG</t>
        </is>
      </c>
      <c r="C257" s="411" t="inlineStr">
        <is>
          <t>0399900536</t>
        </is>
      </c>
      <c r="D257" s="412" t="inlineStr">
        <is>
          <t>115 Văn Thân - P8 - Q.6</t>
        </is>
      </c>
      <c r="E257" s="413" t="n"/>
      <c r="F257" s="412" t="n"/>
    </row>
    <row r="258" ht="19.5" customHeight="1" s="217">
      <c r="A258" s="428" t="inlineStr">
        <is>
          <t>📍  TUY HÒA - PHÚ YÊN   ·   1 nhà xe</t>
        </is>
      </c>
    </row>
    <row r="259" ht="15" customHeight="1" s="217">
      <c r="A259" s="409" t="n">
        <v>1</v>
      </c>
      <c r="B259" s="421" t="inlineStr">
        <is>
          <t>XE HỒNG SƠN</t>
        </is>
      </c>
      <c r="C259" s="411" t="n"/>
      <c r="D259" s="412" t="n"/>
      <c r="E259" s="413" t="n"/>
      <c r="F259" s="412" t="n"/>
    </row>
    <row r="260" ht="19.5" customHeight="1" s="217">
      <c r="A260" s="428" t="inlineStr">
        <is>
          <t>📍  VĨNH LONG   ·   1 nhà xe</t>
        </is>
      </c>
    </row>
    <row r="261" ht="15" customHeight="1" s="217">
      <c r="A261" s="409" t="n">
        <v>1</v>
      </c>
      <c r="B261" s="421" t="inlineStr">
        <is>
          <t>CHÀNH KIM MÃ</t>
        </is>
      </c>
      <c r="C261" s="411" t="n"/>
      <c r="D261" s="412" t="n"/>
      <c r="E261" s="413" t="n"/>
      <c r="F261" s="412" t="n"/>
    </row>
    <row r="262" ht="19.5" customHeight="1" s="217">
      <c r="A262" s="428" t="inlineStr">
        <is>
          <t>📍  ĐÀ NẴNG   ·   3 nhà xe</t>
        </is>
      </c>
    </row>
    <row r="263" ht="15" customHeight="1" s="217">
      <c r="A263" s="409" t="n">
        <v>1</v>
      </c>
      <c r="B263" s="421" t="inlineStr">
        <is>
          <t>VẬN TẢI THANH CƯỜNG</t>
        </is>
      </c>
      <c r="C263" s="411" t="inlineStr">
        <is>
          <t>0983.897.392</t>
        </is>
      </c>
      <c r="D263" s="412" t="inlineStr">
        <is>
          <t>TP HỒ CHÍ MINH</t>
        </is>
      </c>
      <c r="E263" s="413" t="n"/>
      <c r="F263" s="412" t="n"/>
    </row>
    <row r="264" ht="15" customHeight="1" s="217">
      <c r="A264" s="429" t="n">
        <v>2</v>
      </c>
      <c r="B264" s="430" t="inlineStr">
        <is>
          <t>XE PHI HIỆP</t>
        </is>
      </c>
      <c r="C264" s="431" t="n"/>
      <c r="D264" s="432" t="n"/>
      <c r="E264" s="433" t="inlineStr">
        <is>
          <t>13:30 và 16:30</t>
        </is>
      </c>
      <c r="F264" s="432" t="n"/>
    </row>
    <row r="265" ht="15" customHeight="1" s="217">
      <c r="A265" s="409" t="n">
        <v>3</v>
      </c>
      <c r="B265" s="421" t="inlineStr">
        <is>
          <t>XE TÂM MINH PHƯƠNG</t>
        </is>
      </c>
      <c r="C265" s="411" t="n"/>
      <c r="D265" s="412" t="n"/>
      <c r="E265" s="413" t="n"/>
      <c r="F265" s="412" t="n"/>
    </row>
    <row r="266" ht="19.5" customHeight="1" s="217">
      <c r="A266" s="428" t="inlineStr">
        <is>
          <t>📍  ĐĂK LĂK   ·   3 nhà xe</t>
        </is>
      </c>
    </row>
    <row r="267" ht="15" customHeight="1" s="217">
      <c r="A267" s="409" t="n">
        <v>1</v>
      </c>
      <c r="B267" s="421" t="inlineStr">
        <is>
          <t>XE HOA LIÊM</t>
        </is>
      </c>
      <c r="C267" s="411" t="inlineStr">
        <is>
          <t>0973.469.469</t>
        </is>
      </c>
      <c r="D267" s="412" t="inlineStr">
        <is>
          <t>BẾN XE MIỀN ĐÔNG</t>
        </is>
      </c>
      <c r="E267" s="413" t="n"/>
      <c r="F267" s="412" t="n"/>
    </row>
    <row r="268" ht="15" customHeight="1" s="217">
      <c r="A268" s="429" t="n">
        <v>2</v>
      </c>
      <c r="B268" s="430" t="inlineStr">
        <is>
          <t>Nhà xe A Tèo - Dầu Tiếng</t>
        </is>
      </c>
      <c r="C268" s="431" t="inlineStr">
        <is>
          <t>0918 144 987</t>
        </is>
      </c>
      <c r="D268" s="432" t="inlineStr">
        <is>
          <t>BẾN XE MIỀN ĐÔNG</t>
        </is>
      </c>
      <c r="E268" s="433" t="inlineStr">
        <is>
          <t>10H30 Phút tới quả cầu bình dương</t>
        </is>
      </c>
      <c r="F268" s="432" t="n"/>
    </row>
    <row r="269" ht="15" customHeight="1" s="217">
      <c r="A269" s="409" t="n">
        <v>3</v>
      </c>
      <c r="B269" s="421" t="inlineStr">
        <is>
          <t>NHÀ XE 9219</t>
        </is>
      </c>
      <c r="C269" s="411" t="n"/>
      <c r="D269" s="412" t="n"/>
      <c r="E269" s="413" t="n"/>
      <c r="F269" s="412" t="n"/>
    </row>
  </sheetData>
  <mergeCells count="29">
    <mergeCell ref="A243:F243"/>
    <mergeCell ref="A221:F221"/>
    <mergeCell ref="A208:F208"/>
    <mergeCell ref="A233:F233"/>
    <mergeCell ref="A214:F214"/>
    <mergeCell ref="A195:F195"/>
    <mergeCell ref="A2:F2"/>
    <mergeCell ref="A204:F204"/>
    <mergeCell ref="A251:F251"/>
    <mergeCell ref="A247:F247"/>
    <mergeCell ref="A5:F5"/>
    <mergeCell ref="A219:F219"/>
    <mergeCell ref="A4:F4"/>
    <mergeCell ref="A224:F224"/>
    <mergeCell ref="A262:F262"/>
    <mergeCell ref="A253:F253"/>
    <mergeCell ref="A200:F200"/>
    <mergeCell ref="A230:F230"/>
    <mergeCell ref="A211:F211"/>
    <mergeCell ref="A111:F111"/>
    <mergeCell ref="A202:F202"/>
    <mergeCell ref="A258:F258"/>
    <mergeCell ref="A266:F266"/>
    <mergeCell ref="A260:F260"/>
    <mergeCell ref="A1:F1"/>
    <mergeCell ref="A197:F197"/>
    <mergeCell ref="A241:F241"/>
    <mergeCell ref="A228:F228"/>
    <mergeCell ref="A256:F25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2026-04-17T03:14:00Z</dcterms:created>
  <dcterms:modified xmlns:dcterms="http://purl.org/dc/terms/" xmlns:xsi="http://www.w3.org/2001/XMLSchema-instance" xsi:type="dcterms:W3CDTF">2026-05-30T07:00:22Z</dcterms:modified>
  <cp:lastModifiedBy>win10</cp:lastModifiedBy>
  <cp:revision>0</cp:revision>
</cp:coreProperties>
</file>

<file path=docProps/custom.xml><?xml version="1.0" encoding="utf-8"?>
<Properties xmlns="http://schemas.openxmlformats.org/officeDocument/2006/custom-properties">
  <property name="CalculationRule" fmtid="{D5CDD505-2E9C-101B-9397-08002B2CF9AE}" pid="2">
    <vt:i4 xmlns:vt="http://schemas.openxmlformats.org/officeDocument/2006/docPropsVTypes">0</vt:i4>
  </property>
  <property name="ICV" fmtid="{D5CDD505-2E9C-101B-9397-08002B2CF9AE}" pid="3">
    <vt:lpwstr xmlns:vt="http://schemas.openxmlformats.org/officeDocument/2006/docPropsVTypes">21E9E77294624AD9A975AE3FA67E44E0_12</vt:lpwstr>
  </property>
  <property name="KSOProductBuildVer" fmtid="{D5CDD505-2E9C-101B-9397-08002B2CF9AE}" pid="4">
    <vt:lpwstr xmlns:vt="http://schemas.openxmlformats.org/officeDocument/2006/docPropsVTypes">1033-12.1.0.26372</vt:lpwstr>
  </property>
</Properties>
</file>