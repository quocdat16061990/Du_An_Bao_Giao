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 tabRatio="500" activeTab="2"/>
  </bookViews>
  <sheets>
    <sheet name="🚗 BÁO GIÁ TURBO " sheetId="1" r:id="rId1"/>
    <sheet name="🔧 RUỘT TURBO (CHRA) " sheetId="2" r:id="rId2"/>
    <sheet name="🔩 SÒ &amp; LINH KIỆ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<sst xmlns="http://schemas.openxmlformats.org/spreadsheetml/2006/main" count="6750" uniqueCount="2528">
  <si>
    <t>🚗 BÁO GIÁ TURBO — TRA CỨU THEO HÃNG MÁY</t>
  </si>
  <si>
    <t>🟡 Vàng=biến thể cùng PARNO · 🟠 Cam=khác thương hiệu cùng PARNO · 🟧 Cam nhạt nghiêng=MÃ MỚI cần kiểm · 🟨 Vàng đậm=CHƯA NHẬP (anh điền sau)</t>
  </si>
  <si>
    <t>HÃNG MÁY</t>
  </si>
  <si>
    <t>MÃ VT</t>
  </si>
  <si>
    <t>HÃNG SX</t>
  </si>
  <si>
    <t>MODEL TURBO</t>
  </si>
  <si>
    <t>MÃ ĐỘNG CƠ</t>
  </si>
  <si>
    <t>OEM PART NO</t>
  </si>
  <si>
    <t>ĐẶC ĐIỂM</t>
  </si>
  <si>
    <t>ỨNG DỤNG</t>
  </si>
  <si>
    <t>GHI CHÚ</t>
  </si>
  <si>
    <t>THƯƠNG HIỆU</t>
  </si>
  <si>
    <t>🟢 VIP</t>
  </si>
  <si>
    <t>🟡 Ưu đãi</t>
  </si>
  <si>
    <t>🔵 Đại lý</t>
  </si>
  <si>
    <t>🟣 Gara</t>
  </si>
  <si>
    <t>CG Ø DƯỚI</t>
  </si>
  <si>
    <t>CG Ø ĐỈNH</t>
  </si>
  <si>
    <t>CG SỐ</t>
  </si>
  <si>
    <t>CL Ø DƯỚI</t>
  </si>
  <si>
    <t>CL Ø ĐỈNH</t>
  </si>
  <si>
    <t>CL SỐ</t>
  </si>
  <si>
    <t>🏭 CAT · 36 mã</t>
  </si>
  <si>
    <t>CAT</t>
  </si>
  <si>
    <t>HH0626</t>
  </si>
  <si>
    <t>Garrett</t>
  </si>
  <si>
    <t>T04B91</t>
  </si>
  <si>
    <t>409410-0002/8G04-100-155</t>
  </si>
  <si>
    <t>Tâm lỗ bu lông 70 x 82</t>
  </si>
  <si>
    <t>SL</t>
  </si>
  <si>
    <t>8/8</t>
  </si>
  <si>
    <t>└─ CAT</t>
  </si>
  <si>
    <t>HH075384</t>
  </si>
  <si>
    <t>JRONE</t>
  </si>
  <si>
    <t>HH075289</t>
  </si>
  <si>
    <t>Mitsubishi</t>
  </si>
  <si>
    <t>TE06H-16M</t>
  </si>
  <si>
    <t>S6KT</t>
  </si>
  <si>
    <t>49179-02230/8M06-100-235</t>
  </si>
  <si>
    <t>Tâm lỗ bu lông 44 x 86</t>
  </si>
  <si>
    <t>E320B</t>
  </si>
  <si>
    <t>HH071811</t>
  </si>
  <si>
    <t>HH081733</t>
  </si>
  <si>
    <t>TD06H-14C</t>
  </si>
  <si>
    <t>S6KT/S4KT</t>
  </si>
  <si>
    <t>49179-00451/49179-00451 | 49179-00450 | 4917900451 | 4917900450 | 5I-5015 | 5I5015/8M06-100-056/49179-00450/5I501549179-09830/49179-00451/4917900451/317013/49179-00450/4917900450/49S79-00451/49S7900451/(ruột)</t>
  </si>
  <si>
    <t>E200B/E120B</t>
  </si>
  <si>
    <t>TBS</t>
  </si>
  <si>
    <t>HH075110</t>
  </si>
  <si>
    <t>HH075385</t>
  </si>
  <si>
    <t>T04B65</t>
  </si>
  <si>
    <t>3204</t>
  </si>
  <si>
    <t>465088-0001/8G04-100-269</t>
  </si>
  <si>
    <t>HH077414</t>
  </si>
  <si>
    <t>GT4594</t>
  </si>
  <si>
    <t>S6A/ CAT 3306</t>
  </si>
  <si>
    <t>17C95-0182</t>
  </si>
  <si>
    <t>Tâm lỗ bu lông 70* 113</t>
  </si>
  <si>
    <t>ráp sang 6D22 đời 1990</t>
  </si>
  <si>
    <t>MX</t>
  </si>
  <si>
    <t>HH075397</t>
  </si>
  <si>
    <t>BorgWarner</t>
  </si>
  <si>
    <t>S410G</t>
  </si>
  <si>
    <t>CAT 3406/ C15</t>
  </si>
  <si>
    <t>177148/169227/704604-0007/466445-0018/471142-0005/471142-0003/466445-0015/466445-0021/170354/137-4832/OR7152/167-9271/196-5951/OR6989/124-3035/141-8939/146-4328/136-6390/8S04-200-B71</t>
  </si>
  <si>
    <t>7/7</t>
  </si>
  <si>
    <t>HH071942</t>
  </si>
  <si>
    <t>SR4/S3A</t>
  </si>
  <si>
    <t>3306</t>
  </si>
  <si>
    <t>7C8632</t>
  </si>
  <si>
    <t>tâm lỗ 82 × 69</t>
  </si>
  <si>
    <t>Cat D6</t>
  </si>
  <si>
    <t>HH075396</t>
  </si>
  <si>
    <t>S200G</t>
  </si>
  <si>
    <t>PERKINS 1106C/C7.1</t>
  </si>
  <si>
    <t>1270-970-0133/4314572/8S02-200-E66/431-4572/13J17-0007</t>
  </si>
  <si>
    <t>E320D</t>
  </si>
  <si>
    <t>HH084199</t>
  </si>
  <si>
    <t>S200AG</t>
  </si>
  <si>
    <t>C7/3126B</t>
  </si>
  <si>
    <t>171860/178475/8S02-200-E65</t>
  </si>
  <si>
    <t>3126B/325C</t>
  </si>
  <si>
    <t>EE</t>
  </si>
  <si>
    <t>HH077152</t>
  </si>
  <si>
    <t>HH080116</t>
  </si>
  <si>
    <t>IHI</t>
  </si>
  <si>
    <t>RHF4</t>
  </si>
  <si>
    <t>VT10</t>
  </si>
  <si>
    <t>VA420088/1515A029/1515A030/VT11/VA420101/VB420088/VB420101/VC420088/VC420101/F41CAT-S0088B/F41CAT-S0088G/VF420088/VG420088A1/49179-08540</t>
  </si>
  <si>
    <t>L200 2.5D</t>
  </si>
  <si>
    <t>5/5</t>
  </si>
  <si>
    <t>HH077425</t>
  </si>
  <si>
    <t>GTA4502BLS</t>
  </si>
  <si>
    <t>C13</t>
  </si>
  <si>
    <t>750432-0005/8G45-200-B61</t>
  </si>
  <si>
    <t>HH083051</t>
  </si>
  <si>
    <t>GT47</t>
  </si>
  <si>
    <t>C15/3406E</t>
  </si>
  <si>
    <t>1679271</t>
  </si>
  <si>
    <t>6/6</t>
  </si>
  <si>
    <t>10</t>
  </si>
  <si>
    <t>HH082163</t>
  </si>
  <si>
    <t>GT2560S</t>
  </si>
  <si>
    <t>PERKINS CAT C4.4</t>
  </si>
  <si>
    <t>833908-0017/`8G22-200-E62</t>
  </si>
  <si>
    <t>HH082164</t>
  </si>
  <si>
    <t>TD06H-14K</t>
  </si>
  <si>
    <t>D06FR/C6.4</t>
  </si>
  <si>
    <t>49179-06210/49S79-06210/8M06-100-L61</t>
  </si>
  <si>
    <t>Sany 245</t>
  </si>
  <si>
    <t>HH079580</t>
  </si>
  <si>
    <t>F-302</t>
  </si>
  <si>
    <t>4W0210/8S03-100-N78</t>
  </si>
  <si>
    <t>HH079357</t>
  </si>
  <si>
    <t>S310G</t>
  </si>
  <si>
    <t>C9</t>
  </si>
  <si>
    <t>2167815</t>
  </si>
  <si>
    <t>Khác chiều quay với S310G Jrone</t>
  </si>
  <si>
    <t>Xe đào</t>
  </si>
  <si>
    <t>HH077150</t>
  </si>
  <si>
    <t>C7/3126</t>
  </si>
  <si>
    <t>178482/174201/174202/8S02-200-D84</t>
  </si>
  <si>
    <t>HH082165</t>
  </si>
  <si>
    <t>CAT C7/ 3126B</t>
  </si>
  <si>
    <t>178474/171859/8S02-200-A50</t>
  </si>
  <si>
    <t>(điều tốc hướng dưới cổ gang)</t>
  </si>
  <si>
    <t>HH081913</t>
  </si>
  <si>
    <t>Cat E320D/C6.4/ TD06H</t>
  </si>
  <si>
    <t>49179-02910/8M06-100-E63</t>
  </si>
  <si>
    <t>VIDARIR</t>
  </si>
  <si>
    <t>HH077147</t>
  </si>
  <si>
    <t>HH072352</t>
  </si>
  <si>
    <t>S4D</t>
  </si>
  <si>
    <t>330C/C9</t>
  </si>
  <si>
    <t>10R2355</t>
  </si>
  <si>
    <t>HH071949</t>
  </si>
  <si>
    <t>S2E</t>
  </si>
  <si>
    <t>3116/3126</t>
  </si>
  <si>
    <t>4P4677</t>
  </si>
  <si>
    <t>HH082681</t>
  </si>
  <si>
    <t>S2E GL</t>
  </si>
  <si>
    <t>CAT 3116</t>
  </si>
  <si>
    <t>167302/1055059/0R6865</t>
  </si>
  <si>
    <t>HH080646</t>
  </si>
  <si>
    <t>RHC7</t>
  </si>
  <si>
    <t>DB58</t>
  </si>
  <si>
    <t>VA250098</t>
  </si>
  <si>
    <t>Tâm lỗ bu lông 70 x 83
cổ gang ra bắt 4 bulon</t>
  </si>
  <si>
    <t>DH130-3/SOLAR 130W</t>
  </si>
  <si>
    <t>FIRE</t>
  </si>
  <si>
    <t>HH075291</t>
  </si>
  <si>
    <t>TD06H-16M</t>
  </si>
  <si>
    <t>3066/S6KT</t>
  </si>
  <si>
    <t>8M06-100-E68/49S79-A2340/4917902260/49179-02260/49179-02220/49179-02230/4917902220/49S79-02220/4917902230/4917900260/49S7902220/49S79-A2260/49S79A2260/49179-00260/49S79A2340</t>
  </si>
  <si>
    <t>E320C/312</t>
  </si>
  <si>
    <t>HH079127</t>
  </si>
  <si>
    <t>178485/174978/8S03-200-B70</t>
  </si>
  <si>
    <t>máy đào</t>
  </si>
  <si>
    <t>HH077151</t>
  </si>
  <si>
    <t>S200AG048</t>
  </si>
  <si>
    <t>D6</t>
  </si>
  <si>
    <t>178472/171770/8S02-200-D86</t>
  </si>
  <si>
    <t>Tâm lỗ bu lông 45 x 85</t>
  </si>
  <si>
    <t>CAT C9</t>
  </si>
  <si>
    <t>HH070130</t>
  </si>
  <si>
    <t>S2A</t>
  </si>
  <si>
    <t>317817/8S03-100-J37</t>
  </si>
  <si>
    <t>8S03-100-J37</t>
  </si>
  <si>
    <t>HH075393</t>
  </si>
  <si>
    <t>TF035</t>
  </si>
  <si>
    <t>4M40-T</t>
  </si>
  <si>
    <t>49135-03320/49135-03301/03300/8M35-200-J12</t>
  </si>
  <si>
    <t>Có điều tốc (Chân tam giác)</t>
  </si>
  <si>
    <t>CAT mini excavator</t>
  </si>
  <si>
    <t>Turbo TF035/ Mitsu 4M40, CAT 307D, 308D (49135-03320)/ 8M35-200-J12-0001 - JRONE</t>
  </si>
  <si>
    <t>HH074358</t>
  </si>
  <si>
    <t>S4DS</t>
  </si>
  <si>
    <t>196543/7C7579/0R6340(core:7C7596)</t>
  </si>
  <si>
    <t>Tâm lỗ 113 x 70</t>
  </si>
  <si>
    <t>E330B / Xe ủi</t>
  </si>
  <si>
    <t>Turbo CAT S4DS/E330B/3306 (196543) - SL UK</t>
  </si>
  <si>
    <t>HH084191</t>
  </si>
  <si>
    <t>175183</t>
  </si>
  <si>
    <t>Turbo CAT B2G/ Cat C9, D6R/ 175183/ BW035 - EE</t>
  </si>
  <si>
    <t>HH083877</t>
  </si>
  <si>
    <t>172493</t>
  </si>
  <si>
    <t>Turbo 3LM/ CAT 3306/ 8S03-100-B64 (172493) - JRONE</t>
  </si>
  <si>
    <t>🏭 CUMMINS · 44 mã</t>
  </si>
  <si>
    <t>CUMMINS</t>
  </si>
  <si>
    <t>HH080913</t>
  </si>
  <si>
    <t>Holset</t>
  </si>
  <si>
    <t>WH1C</t>
  </si>
  <si>
    <t>6BT</t>
  </si>
  <si>
    <t>4035199/4035202</t>
  </si>
  <si>
    <t>4035202 - VIDARIR DN-1105</t>
  </si>
  <si>
    <t>HH081912</t>
  </si>
  <si>
    <t>HX50W</t>
  </si>
  <si>
    <t>WP10</t>
  </si>
  <si>
    <t>4045951</t>
  </si>
  <si>
    <t>cổ gang ra tròn bắt 6 bu lon</t>
  </si>
  <si>
    <t>HH080644</t>
  </si>
  <si>
    <t>HX50W/ HE400WG</t>
  </si>
  <si>
    <t>612600118895/3790063</t>
  </si>
  <si>
    <t>HE400WG</t>
  </si>
  <si>
    <t>Weichai Sino truck, 3790063 - VIDARIR</t>
  </si>
  <si>
    <t>HH080923</t>
  </si>
  <si>
    <t>TBP417</t>
  </si>
  <si>
    <t>S6D108 WA400</t>
  </si>
  <si>
    <t>6222-81-8310</t>
  </si>
  <si>
    <t>có điều tốc</t>
  </si>
  <si>
    <t>HH075140</t>
  </si>
  <si>
    <t>BHT3B</t>
  </si>
  <si>
    <t>NT855/N14</t>
  </si>
  <si>
    <t>3529032/3803108</t>
  </si>
  <si>
    <t>Tâm lỗ bu lông 57x 109</t>
  </si>
  <si>
    <r>
      <rPr>
        <sz val="11"/>
        <rFont val="Arial"/>
        <charset val="134"/>
      </rPr>
      <t>8/8</t>
    </r>
    <r>
      <rPr>
        <sz val="11"/>
        <rFont val="Noto Sans CJK SC"/>
        <charset val="134"/>
      </rPr>
      <t>反</t>
    </r>
  </si>
  <si>
    <r>
      <rPr>
        <sz val="11"/>
        <rFont val="Arial"/>
        <charset val="134"/>
      </rPr>
      <t>12</t>
    </r>
    <r>
      <rPr>
        <sz val="11"/>
        <rFont val="Noto Sans CJK SC"/>
        <charset val="134"/>
      </rPr>
      <t>反</t>
    </r>
  </si>
  <si>
    <t>HH077027</t>
  </si>
  <si>
    <t>HX55W</t>
  </si>
  <si>
    <t>ISM11</t>
  </si>
  <si>
    <t>4024822</t>
  </si>
  <si>
    <t>HH077138</t>
  </si>
  <si>
    <t>3592778/3592779/4046030</t>
  </si>
  <si>
    <t>ISM11
HX55W</t>
  </si>
  <si>
    <t>4046030 - JRONE 8C05-200-C66</t>
  </si>
  <si>
    <t>HH077028</t>
  </si>
  <si>
    <t>HX80</t>
  </si>
  <si>
    <t>KTA19</t>
  </si>
  <si>
    <t>3594118/3594134/3594117</t>
  </si>
  <si>
    <t>Cummins KTA19</t>
  </si>
  <si>
    <t>HH081620</t>
  </si>
  <si>
    <t>HOWO A7</t>
  </si>
  <si>
    <t>3776573/VG1034110054</t>
  </si>
  <si>
    <t>cổ gió loe</t>
  </si>
  <si>
    <t>Huyndai 320-7</t>
  </si>
  <si>
    <t>đá bán sang ngang 3776572/KA100-1118100 cho quân thọ trương chưa ráp chek tiếp</t>
  </si>
  <si>
    <t>HH081335</t>
  </si>
  <si>
    <t>HOWO 420</t>
  </si>
  <si>
    <t>VG1246110020/3776422</t>
  </si>
  <si>
    <t>HH080921</t>
  </si>
  <si>
    <t>M11/ QSM4 / QSM2</t>
  </si>
  <si>
    <t>4089862</t>
  </si>
  <si>
    <t>HH080315</t>
  </si>
  <si>
    <t>CA6DM2/ FAW 350PS</t>
  </si>
  <si>
    <t>1118010BM01-074A</t>
  </si>
  <si>
    <t>HH071950</t>
  </si>
  <si>
    <t>HX55</t>
  </si>
  <si>
    <t>M11/ 6B5.9</t>
  </si>
  <si>
    <t>3800471/3800471RX/3803938</t>
  </si>
  <si>
    <t>Tâm lỗ bu lông 90 x 92</t>
  </si>
  <si>
    <t>Bomag/Cumins M11</t>
  </si>
  <si>
    <t>HH078999</t>
  </si>
  <si>
    <t>HX40W</t>
  </si>
  <si>
    <t>DV11</t>
  </si>
  <si>
    <t>4048072/61.09100-7209/65091007209</t>
  </si>
  <si>
    <t>Tâm lỗ bu lông 113 x 70
sò gang bắt 6 lỗ bu lon
cổ gió loe</t>
  </si>
  <si>
    <t>HH081915</t>
  </si>
  <si>
    <t>2839663 612601110966</t>
  </si>
  <si>
    <t>(cổ gang ra bắt thêm vành tròn), tâm lỗ 45*86, nhỏ bằng HX40</t>
  </si>
  <si>
    <t>HH080312</t>
  </si>
  <si>
    <t>GE12TIS /DE12</t>
  </si>
  <si>
    <t>4040662/65.09100-7070A/69091007070A</t>
  </si>
  <si>
    <t>HH081911</t>
  </si>
  <si>
    <t>6CT/ C260</t>
  </si>
  <si>
    <t>4051184/4051323</t>
  </si>
  <si>
    <t>Cổ gió loe
Tâm lỗ bu lông 69 x 82
dây van điều tốc lắp vào sò gió</t>
  </si>
  <si>
    <t>Giống PC300-7, chỉ khác dây van điều tốc</t>
  </si>
  <si>
    <t>HH080918</t>
  </si>
  <si>
    <t>HX40/ H1E</t>
  </si>
  <si>
    <t>4029153</t>
  </si>
  <si>
    <t>Tâm lỗ 45*85
cổ gang ra bắt 6 bu lông</t>
  </si>
  <si>
    <t>HH071943</t>
  </si>
  <si>
    <t>HX30W</t>
  </si>
  <si>
    <t>4BT/4B3.9</t>
  </si>
  <si>
    <t>3592318/3592317/3598814</t>
  </si>
  <si>
    <t>Tâm lỗ bu lông 44.5 x 86
cổ nhôm loe ra</t>
  </si>
  <si>
    <t>CÓ H/A SL</t>
  </si>
  <si>
    <t>HH072356</t>
  </si>
  <si>
    <t>3592121/3802906/3592122/3592123/3592124/3537751/3537753</t>
  </si>
  <si>
    <t>Tâm lỗ bu lông 44.5 x 86
cổ nhôm không loe</t>
  </si>
  <si>
    <t>HH083054</t>
  </si>
  <si>
    <t>HX27W</t>
  </si>
  <si>
    <t>ISF3.8</t>
  </si>
  <si>
    <t>3779951/2843674</t>
  </si>
  <si>
    <t>Cummins ISF3.8</t>
  </si>
  <si>
    <t>HH081739</t>
  </si>
  <si>
    <t>HX25W</t>
  </si>
  <si>
    <t>3598723</t>
  </si>
  <si>
    <t>HH082792</t>
  </si>
  <si>
    <t>HE551V/ CUMMINS ISX</t>
  </si>
  <si>
    <t>4036666</t>
  </si>
  <si>
    <t>HH077598</t>
  </si>
  <si>
    <t>HE400G/ S300G</t>
  </si>
  <si>
    <t>3787729/13809700027/8C04-200-M05</t>
  </si>
  <si>
    <t>HH082364</t>
  </si>
  <si>
    <t>HE351VE</t>
  </si>
  <si>
    <t>FREIGHTLINER-</t>
  </si>
  <si>
    <t>4955397/3776805/2835095, 2840775, 3769171, 3773435, 4031002, 403100200, 403100200H, 4031002H, 4031002HX, 4031003, 403100300, 4031003H, 4031205, 403120500H, 4031205H, 4031205HX, 4031239, 40312NX, 40312RX, 40313HX, 4046514, 4046515, 4046516, 4046517, 4046518, 4047365, 4047366, 4047367, 4047368, 4047369, 4048068, 4048069/20941931/20941933/21012875/21012876/21012877/21080078/21080079/21080080/21178032/21178033/21178034/21424404/21424405/21424406/21424419/21592749/21592750/21592751/21597914/22014294/22014295/22014296/22883059/22883060</t>
  </si>
  <si>
    <t>HH080920</t>
  </si>
  <si>
    <t>HE300WG/HE351W</t>
  </si>
  <si>
    <t>ISDe6.7</t>
  </si>
  <si>
    <t>3776568/3776569/3960478/A3960478/3960479/A3960479/3971920/2839319/4035253/4047757/4047758/4029159/4029160</t>
  </si>
  <si>
    <t>HH079270</t>
  </si>
  <si>
    <t>HE221W</t>
  </si>
  <si>
    <t>3774225/3777896/2836258/3794988/3794989/3774196/3768000/3789077/3767999/3774193/3796173</t>
  </si>
  <si>
    <t>có điều tốc cổ gió loe
cổ gang bắt 5 lỗ bu lon</t>
  </si>
  <si>
    <t>HH083053</t>
  </si>
  <si>
    <t>HE200WG</t>
  </si>
  <si>
    <t>5324825/5455135</t>
  </si>
  <si>
    <t>HH079269</t>
  </si>
  <si>
    <t>3772741 | 3772742 | 2840684 | 2840685 | 3796165</t>
  </si>
  <si>
    <t>Tâm lỗ bu lông 73 x 40</t>
  </si>
  <si>
    <t>└─ CUMMINS</t>
  </si>
  <si>
    <t>HH083505</t>
  </si>
  <si>
    <t>HH079268</t>
  </si>
  <si>
    <t>H2D</t>
  </si>
  <si>
    <t>6CTA</t>
  </si>
  <si>
    <t>3538623</t>
  </si>
  <si>
    <t>MÁY THỦY</t>
  </si>
  <si>
    <t>HH079271</t>
  </si>
  <si>
    <t>H1E</t>
  </si>
  <si>
    <t>3802303/3524034/3528777/316468/3535457</t>
  </si>
  <si>
    <t>Tâm lỗ bu lông 69 x 82</t>
  </si>
  <si>
    <t>xem hình ảnh ( phessio)</t>
  </si>
  <si>
    <t>HH083834</t>
  </si>
  <si>
    <t>HH078578</t>
  </si>
  <si>
    <t>DL08</t>
  </si>
  <si>
    <t>4039319</t>
  </si>
  <si>
    <t>sò lửa , sò gió hướng cùng phía
Tâm lỗ bu lông 40 x 81</t>
  </si>
  <si>
    <t>có h/a sl</t>
  </si>
  <si>
    <t>HH078579</t>
  </si>
  <si>
    <t>4033345/4039318</t>
  </si>
  <si>
    <t>(sò gió, sò lửa hướng vuông góc)
Tâm lỗ bu lông 40 x 81</t>
  </si>
  <si>
    <t>HH081914</t>
  </si>
  <si>
    <t>DE08-Tis</t>
  </si>
  <si>
    <t>4036244/65.09100-7095</t>
  </si>
  <si>
    <t>Xe tải Deawoo, Cổ gang ra tròn, bắt 6 bu lông / Cổ gang ra tròn, bắt 6 bu lông</t>
  </si>
  <si>
    <t>Xe tải Deawoo,</t>
  </si>
  <si>
    <t>HH080317</t>
  </si>
  <si>
    <t>TBP4</t>
  </si>
  <si>
    <t>6BTA</t>
  </si>
  <si>
    <t>3971920</t>
  </si>
  <si>
    <t>DONGFENG</t>
  </si>
  <si>
    <t>HH081062</t>
  </si>
  <si>
    <t>NT855</t>
  </si>
  <si>
    <t>HT3B</t>
  </si>
  <si>
    <t>3522865/3522866</t>
  </si>
  <si>
    <t>HH077023</t>
  </si>
  <si>
    <t>HT60</t>
  </si>
  <si>
    <t>N14/ NT855/ Volvo N14 NE1</t>
  </si>
  <si>
    <t>3537074/3804502/3537074 | 3592512 | 3592678 | 3804502 | 3804502RX | 3592512 | 3592678 | 3804632 | 3804808 | 3538396 | 3538401 | 3803585 | 3803585RX | 3804308 | 3536263 | 3536095 | 3531733 | 3531267</t>
  </si>
  <si>
    <t>HH082877</t>
  </si>
  <si>
    <t>BV45</t>
  </si>
  <si>
    <t>ISF2.8</t>
  </si>
  <si>
    <t>1745-970-0001</t>
  </si>
  <si>
    <t>HH083184</t>
  </si>
  <si>
    <t>HX60W</t>
  </si>
  <si>
    <t>QSX15</t>
  </si>
  <si>
    <t>3598762</t>
  </si>
  <si>
    <t>HX60W
QSX15</t>
  </si>
  <si>
    <t>HH083958</t>
  </si>
  <si>
    <t>Turbo (Cummins) HE221W/ 8C02-200-J45 (GAZ/ ISF 3.8/ 3767997) - JRONE</t>
  </si>
  <si>
    <t>8C02-200-J45/3767997/3774193</t>
  </si>
  <si>
    <t>GAZ</t>
  </si>
  <si>
    <t>HH075640</t>
  </si>
  <si>
    <t>HX50/H2C</t>
  </si>
  <si>
    <t>M11</t>
  </si>
  <si>
    <t>3537037</t>
  </si>
  <si>
    <t>Tâm lỗ bu lông 90 x 70
ko có đường nước làm mát</t>
  </si>
  <si>
    <t>HH079779</t>
  </si>
  <si>
    <t>6CTA/QSB5.9</t>
  </si>
  <si>
    <t>3536310/3536309</t>
  </si>
  <si>
    <t>Ko loe, dây điều tốc từ động cơ</t>
  </si>
  <si>
    <t>🏭 DETROIT · 1 mã</t>
  </si>
  <si>
    <t>DETROIT</t>
  </si>
  <si>
    <t>HH077424</t>
  </si>
  <si>
    <t>K31/ DETROIT S60</t>
  </si>
  <si>
    <t>8B31-200-J32/172743</t>
  </si>
  <si>
    <t>🏭 DEUTZ · 17 mã</t>
  </si>
  <si>
    <t>DEUTZ</t>
  </si>
  <si>
    <t>HH082796</t>
  </si>
  <si>
    <t>TCD2012L6-2V</t>
  </si>
  <si>
    <t>1263-970-0000/04294368/20999737/04294368KZ/1263-710-0000</t>
  </si>
  <si>
    <t>có điều tốc cổ gió loe
cổ gang bắt 4 lỗ bu lon</t>
  </si>
  <si>
    <t>HH077154</t>
  </si>
  <si>
    <t>TCD2013L6/D7E</t>
  </si>
  <si>
    <t>04294676/1270-970-0013/8S02-200-L43</t>
  </si>
  <si>
    <t>điều tốc</t>
  </si>
  <si>
    <t>Volvo EC290</t>
  </si>
  <si>
    <t>└─ DEUTZ</t>
  </si>
  <si>
    <t>HH080648</t>
  </si>
  <si>
    <t>HH078402</t>
  </si>
  <si>
    <t>S2B</t>
  </si>
  <si>
    <t>BF6M1013EC</t>
  </si>
  <si>
    <t>04204169KZ/316702/313931/313933/316721/316722/314075/316733/313932/316711/313934/316732/314819/316706/317378/315348/316716/04253832KZ/04204498KZ/04202972KZ/04207660KZ/04207864KZ/04204490KZ/4253832KZ/4204169KZ/4204490KZ/4204498KZ/04253832/4204498/4204169/4202972/4207660/4207864</t>
  </si>
  <si>
    <t>tâm lỗ 86 × 45</t>
  </si>
  <si>
    <t>HH078401</t>
  </si>
  <si>
    <t>BF4M1013</t>
  </si>
  <si>
    <t>04204837KZ</t>
  </si>
  <si>
    <t>HH081334</t>
  </si>
  <si>
    <t>S100/ BF4M2011</t>
  </si>
  <si>
    <t>319261</t>
  </si>
  <si>
    <t>HH082043</t>
  </si>
  <si>
    <t>K04</t>
  </si>
  <si>
    <t>TCD2012L4-2V</t>
  </si>
  <si>
    <t>53049880087/53049700087/5304-970-0087/5304-988-0087/5304/988/0087/970|04299166/04298276/04299166KZ/04298276KZ/21092582/21075166/04298663</t>
  </si>
  <si>
    <t>cổ gió loe ,có điều tốc</t>
  </si>
  <si>
    <t>1831</t>
  </si>
  <si>
    <t>HH073999</t>
  </si>
  <si>
    <t>K27</t>
  </si>
  <si>
    <t>BF6L913</t>
  </si>
  <si>
    <t>53279706441/5327-988-6072/53279806441/53279806072/5327-988-6440/310769/5327-988-6070/53279906440/53279906070/53279766441/53279886070/1946 36/53279806440/5327-980-6070/5327-970-6070/313769/5327-970-6440/53279886441/5327-990-6440/5327-990-6072/5327-980-6440/5327970 6441/53279706440/5327-988-6441/53279706072/169145/5327-990-6441/53279746441/5327-990-6070/53279906441/53279886440/5327-980-60 72/5327-970-6441/53279706070/5327-980-6441/313050/53279886072/5327-970-6072/53279906072/53279806070/466646-0005/466646-12/4653 66-0016/465366-5017S/465366-2/465366-13/465366-8/465366-1/465366-17/465366-0018/465366-3/466646-0012/465366-18/465366-5/46536 6-0004/466646-5/465366-12/465366-0010/465366-0017/466646-2/465366-0008/465366-0013/465366-4/465366-10/465366-0011/466646-1/46 5366-6/465366-11/466646-14/465366-0007/465366-0012/465366-0006/465366-0003/465366-16/465366-0015/466646-0014/466646-0002/4653 66-7/465366-0001/465366-9/465366-0005/465366-15/465366-5007S/465366-5013S/465366-0002/466646-0001/465366-0009/3580266/4033167H/3520966599/352096429980/A352096429980/A3520964299/352096439980/A3520 96439980/A3520964399/352096489980/A352096629980/A3520966299/A35209653 99/352096629980/A3520966399/352096659980/352096639980/A352096639980/352096669980/A352096669980/A352096659980/A3520966599/A352096679980/A3 520966799/A3520966699/352096679980/A352096499980/352096499980/A35209 64899/A352096489980/A3520965099/A352096509980/352096509980/A352096499 9/352096529980/A3520965199/A352096519980/352096519980/A352096539980/3 52096539980/A3520965299/A352096529980/A3660960199/366096029980/A36609 6029980/A3660960299/A366096009980/A3660960099/366096019980/A36609601 9980/A366096049980/A3660960499/366096069980/A366096069980/36609603998 0/A366096039980/A3660960399/366096049980/A3520968299/A352096829980/A 352096839980/352096839980/A352096689980/352096689980/352096829980/A35 20966899/A352096859980/352096859980/366096009980/A3520968599/3520968 49980/A3520968399/A3520968499/A352096849980/366096159980/A36609615998 0/A366096149980/A3660961499/A3660961399/366096149980/A3660961699/3660 96139980/A366096139980/A3660963699/A366096199980/A3660961899/A3660961 999/A366096189980/366096199980/A366096169980/366096189980/A366096159 9/366096169980/366096099980/A3660960899/A366096089980/366096089980/A3 660960799/A366096079980/366096079980/A3660960699/A3660961299/A366096 129980/366096129980/A3660961099/A366096109980/366096109980/A366096099 9/A366096099980/A3760960699/A376096009980/376096009980/376096039980/A3760960099/A3760960399/A376096039980/A376096069980/376096069980/A366 0962799/366096289980/A366096289980/A3660962899/366096309980/A36609630 9980/A3660963099/366096369980/366096229980/A366096229980/A3660962299/366096269980/A366096269980/A3660962699/366096279980/A366096279980/36 60964199/3660960899/3520965299/3520965399/3520966899/3660961399/37609 60099/3760960399/3660960299/3660960999/3660961099/3660960799/3660961699/3660961499/3660961299/3660961899/3660961999/3660962799/3660963099/3660963699/3660960699/3520968399/3520968299/3760960699/3520964999/3520968599/3520968499/3520964899/3520964399/3520965099/3520966399/3520 966299/3520966699/3520966799/3660961599/3660960099/3660960199/3660960399/3660960499/3660962699/3660962899/3660962299/3520964299/3520965199</t>
  </si>
  <si>
    <t>tâm lỗ 86 × 45
( cổ gang bắt 4 lỗ bu lon)</t>
  </si>
  <si>
    <t>12</t>
  </si>
  <si>
    <t>HH075394</t>
  </si>
  <si>
    <t>S200/ TAD720</t>
  </si>
  <si>
    <t>BF6M1013</t>
  </si>
  <si>
    <t>318729/318844/20500295/3802178/8S02-100-B57/4259487/03048634KZ/04259487KZ/3048634/4284837/04284837KZ/4282199/04259450KZ/4259501/04259501KZ/04282199KZ/4259315/04259315KZ/4259450/3048634/3802178/20500295/20470372/20500295/3802178 1200-980-0010/12009900010/12009700010/12009880010/318844/1200-988-0010/12009800010/1200-990-0010/1200-970-0010</t>
  </si>
  <si>
    <t>tâm lỗ 86 × 45 ( cổ gang bắt 4 lỗ bulon)</t>
  </si>
  <si>
    <t>VOLVO
DEUTZ BF6M1013</t>
  </si>
  <si>
    <t>HH077153</t>
  </si>
  <si>
    <t>TCD2012L6 / D6E</t>
  </si>
  <si>
    <t>8S02-200-H79/5620-197-0023/20873313</t>
  </si>
  <si>
    <t>EC210B</t>
  </si>
  <si>
    <t>HH077149</t>
  </si>
  <si>
    <t>S200</t>
  </si>
  <si>
    <t>BF6M2012C/ D6D</t>
  </si>
  <si>
    <t>8S02-100-976/318706/20515585/3802132/04258679KZ/04258309KZ/04282637KZ/3050491/04282622KZ/4282637/4282622/4258679/4258309/03050491KZ/3050491/4282637/20515585/20492757/20492757/20515585 318680/318706/319303</t>
  </si>
  <si>
    <t>không điều tốc ,cổ gió loe</t>
  </si>
  <si>
    <t>HH077136</t>
  </si>
  <si>
    <t>B1G-2471</t>
  </si>
  <si>
    <t>TCD2013L04 2V</t>
  </si>
  <si>
    <t>8B01-200-B43/1158-970-0000/1158-970-0002/0003/0008/298830/04298830KZ/04299152KZ/4299152/4294688/04294688KZ/04298284KZ/4298284/04294689KZ/4294689/4298278/04298278KZ/4297800/04297800KZ/4294260/04294260KZ/21179874/21092586</t>
  </si>
  <si>
    <t>Tâm lỗ bu lông 38 x 76
Có điều tốc</t>
  </si>
  <si>
    <t>Borg Warner 2013 11621013063</t>
  </si>
  <si>
    <t>HH081410</t>
  </si>
  <si>
    <t>S259</t>
  </si>
  <si>
    <t>BFM2012</t>
  </si>
  <si>
    <t>04195745KZ</t>
  </si>
  <si>
    <t>HH075587</t>
  </si>
  <si>
    <t>TO4E55</t>
  </si>
  <si>
    <t>D1146/DE08</t>
  </si>
  <si>
    <t>65.09100-7082/730505-0002/65.09100/65091007082/65091007137/730505-0001/730505-1/730505-5001S/8G04-100-H81</t>
  </si>
  <si>
    <t>Tâm lỗ bu lông 45 x 86
Cổ gió không loe</t>
  </si>
  <si>
    <t>DH300-7 / DH300-7/SOLA300 /SOLA300-7</t>
  </si>
  <si>
    <t>HH070618</t>
  </si>
  <si>
    <t>D1146</t>
  </si>
  <si>
    <t>466721-0012/65.09100-7087/7098</t>
  </si>
  <si>
    <t>Tâm lỗ bu lông 45 x 86
Cổ gió loe</t>
  </si>
  <si>
    <t>DH300-5</t>
  </si>
  <si>
    <t>HH080252</t>
  </si>
  <si>
    <t>S100</t>
  </si>
  <si>
    <t>Hamm 3410 / BF4M2012C</t>
  </si>
  <si>
    <t>04258199KZ</t>
  </si>
  <si>
    <t>Turbo S100/ Deutz BF4M2012/TD420/ 04258199KZ - VIDARIR DN-0167</t>
  </si>
  <si>
    <t>HH079024</t>
  </si>
  <si>
    <t>S100G</t>
  </si>
  <si>
    <t>BF4M2012/ TAD420</t>
  </si>
  <si>
    <t>04258205KZ/S053-1</t>
  </si>
  <si>
    <t>🏭 DOOSAN · 6 mã</t>
  </si>
  <si>
    <t>DOOSAN</t>
  </si>
  <si>
    <t>HH0636</t>
  </si>
  <si>
    <t>TV48</t>
  </si>
  <si>
    <t>65-09100-7206</t>
  </si>
  <si>
    <t>Máy phát điện Doosan</t>
  </si>
  <si>
    <t>HH082687</t>
  </si>
  <si>
    <t>D2848/ DV15</t>
  </si>
  <si>
    <t>5327-970-6502</t>
  </si>
  <si>
    <t>HH00531</t>
  </si>
  <si>
    <t>HX35</t>
  </si>
  <si>
    <t>DB58T</t>
  </si>
  <si>
    <t>3539679/4035455/4033596H/3593185/3591461/3539678/4033596/65.09100-7060/65091007060/65.09100-7093/65091007093/65091007197/65.09100-7197/65091007040/65.09100-7040</t>
  </si>
  <si>
    <t>Tâm lỗ bu lông 45 x 86</t>
  </si>
  <si>
    <t>DH220-5/DX225/DX225LCA/ SOLA 255 /LC SOLA230 SOLA220/SOLA225/DX140W</t>
  </si>
  <si>
    <t>CÓ H/A jrone</t>
  </si>
  <si>
    <t>HH075711</t>
  </si>
  <si>
    <t>GT42</t>
  </si>
  <si>
    <t>DE12TIS/D2366-DHI</t>
  </si>
  <si>
    <t>701139-0001/65091007119/65091007196/434251-0024</t>
  </si>
  <si>
    <t>có điều tốc
sò gang có 6 lỗ bu lon</t>
  </si>
  <si>
    <t>Xe tải Deawoo, Máy xúc DH400/Lốc đỏ</t>
  </si>
  <si>
    <t>HH072674</t>
  </si>
  <si>
    <t>TA45</t>
  </si>
  <si>
    <t>D2366</t>
  </si>
  <si>
    <t>710223-0001/65091007050/(65.09100-7050)/441398-0172</t>
  </si>
  <si>
    <t>Tâm lỗ bu lông 70 x 113</t>
  </si>
  <si>
    <t>HH075104</t>
  </si>
  <si>
    <t>8C03-100-H86</t>
  </si>
  <si>
    <t>Turbo (Daewoo) HX35/ 8C03-100-H86 (DB58T/DH220-5) - JRONE</t>
  </si>
  <si>
    <t>🏭 FORD · 15 mã</t>
  </si>
  <si>
    <t>FORD</t>
  </si>
  <si>
    <t>HH077906</t>
  </si>
  <si>
    <t>RHF5/VJ33</t>
  </si>
  <si>
    <t>VJ26/ WL84/WL85</t>
  </si>
  <si>
    <t>VA430013/8I05-200-580/VB430012/VC430089/VA430090/8971228843/XN349G348AB/VB430013 | VC430013 | VD430013 | VE430013 | VF430013 | S0013B | F51CAT-S0089B | 8971228843/VA430089 | VB430089 | VC430089 | VD430089 | VI430089 | VA430090 | VB430090 | VC430090 | VD430090 | VE430090 | VF430090 | F51CADS0013G | F51CAD-S0013G | 3608377 | 3892427 | 4155051 | MF7J13700D | MS7J13700D | WL1113700/3M35-9G438-AB | 3M35-9G438-AC | 4573957 | 4945478</t>
  </si>
  <si>
    <t>điều tốc cơ</t>
  </si>
  <si>
    <t>Ranger 2.5L WL84</t>
  </si>
  <si>
    <t>└─ FORD</t>
  </si>
  <si>
    <t>HH078001</t>
  </si>
  <si>
    <t>HH079548</t>
  </si>
  <si>
    <t>GTD2056VZK</t>
  </si>
  <si>
    <t>FORD RANGER 3.2</t>
  </si>
  <si>
    <t>822182-0009/22182-0013/822182-5013S/822182-4/889939-5001W/889939-0001/822182-5010S/822182-5008S/822182-0008/822182-0004/889939-1/822182-8/822182-0010/822182-10/822182-5004S/822182-13/FB3Q-6K682DC/FB3Q-6K682-DE/FB3Q6K682DF/FB3Q-6K682-DF/2213393/FB3Q6K682DE/FB3Q6K682DC/2002583/FB3Q-6K682-DB/FB3Q-6K682-DD/FB3Q6K682DB/FB3Q6K682DD/1886559/1945797/2420479/1894011</t>
  </si>
  <si>
    <t>cổ sò gió có ren mờ , dắt điện ở giữa</t>
  </si>
  <si>
    <t>EURO 6</t>
  </si>
  <si>
    <t>9</t>
  </si>
  <si>
    <t>HH082047</t>
  </si>
  <si>
    <t>2.2 Duratorq TDCi</t>
  </si>
  <si>
    <t>cổ sò gió có ren mờ</t>
  </si>
  <si>
    <t>1599X</t>
  </si>
  <si>
    <t>HH082678</t>
  </si>
  <si>
    <t>GTD1449VKZ/GTD1449V</t>
  </si>
  <si>
    <t>FB3Q6K682AB/FB3Q-6K682-AB/831157-0003/831157-0002/889938-0001/831157-5002S/889938-0001/831157-0006/889938-5001W/831157-0002/831157-5004S/831157-6/889938-1/831157-4/831157-5006S/831157-2/831157-0004/FB3Q6K682AC/1894010/FB3Q6K682AD/FB3Q-6K682-AD/2213392/FB3Q-6K682-AC/FB3Q-6K682-AB/FB3Q6K682AB/1886560/2420469</t>
  </si>
  <si>
    <t>điều tốc điện
dắt điện ở vị trí giữa</t>
  </si>
  <si>
    <t>Everest 2.2 / BT-50 – 2.2L &amp; 3.2L
(Đời 2013 → 2018)</t>
  </si>
  <si>
    <t>HH081409</t>
  </si>
  <si>
    <t>GTD1444VZ</t>
  </si>
  <si>
    <t>GK2Q6K682BB/GK2Q6K682BA/GK3Q6K682AB/GK26K682BA/2022277/2011903/2303089/838417-0002/838417-0001/838417-0003</t>
  </si>
  <si>
    <t>điều tốc dắt cắm điện chọc lên trời
cánh (billet)</t>
  </si>
  <si>
    <t>Transit 2015 (2.0)
(billet)</t>
  </si>
  <si>
    <t>8</t>
  </si>
  <si>
    <t>HH078869</t>
  </si>
  <si>
    <t>GTB2256VK</t>
  </si>
  <si>
    <t>P5AT</t>
  </si>
  <si>
    <t>BK3Q6K682AB/812971-0002/BK3Q-6K682-AB/BK3Q-6K682-AC/BK3Q-6K682-RB/BK3Q-6K682-RC/812971/798166-5007S/812971-0002 | 812971-0006 | 812971-2 | 812971-6 | 812971-5002S | 812971-5006S | 798166-0007 | 798166-7 | 798166-5007S | BK3Q6K682AB | BK3Q6K682AC | BK3Q6K682RC | BK3Q-6K682-AB | BK3Q-6K682-AC | BK3Q-6K682-RC | B5254T3</t>
  </si>
  <si>
    <t>dắt điện ở vĩ trí ngoài cùng</t>
  </si>
  <si>
    <t>Wildtrak / XLS / XLT – 2.2L &amp; 3.2L
Everest – 2.2L &amp; 3.2L (Đời 2016 → 2018)
BT-50 – 2.2L &amp; 3.2L (Đời 2013 → 2018)</t>
  </si>
  <si>
    <t>HH080731</t>
  </si>
  <si>
    <t>GTB1749VK</t>
  </si>
  <si>
    <t>FORD 2.2</t>
  </si>
  <si>
    <t>BK3Q6K682DA/BK3Q6K682CB/787556-0015 | 787556-15 |787556-5015S | 787556-0016 | 787556-16 787556-5016S | 787556-0017 | 787556-17 787556-5017S | 787556-0022 | 787556-22 |787556-5022S | 854800-0001 | 854800-1 |854800-5001S | 854800-5001W | BK3Q-6K682-CB | RM-BK3Q-6K682-CB |RMBK3Q6K682CB | BK3Q-6K682-CC |BK3Q6K682CC | BK3Q-6K682-DA BK3Q6K682DA | BK3Q-6K682-HA | BK3Q6K682HA | BK3Q-6K682-PB | BK3Q6K682PB | BK3Q-6K682-PC BK3Q6K682PC | 1717628 | 1719695 | 1730759 1760759 | 1863278 | 1899517 | 2175582</t>
  </si>
  <si>
    <t>Ranger 2.2 / BT50 2.2 (14 – 18)
Transit 2006 /2.2</t>
  </si>
  <si>
    <t>HH082803</t>
  </si>
  <si>
    <t>HH077148</t>
  </si>
  <si>
    <t>TF035HM-12T-4</t>
  </si>
  <si>
    <t>Transit 2.4</t>
  </si>
  <si>
    <t>49135-06015/8M35-20M-025/3C1Q-6K682-EB/3C1Q6K682EB/3C1Q-6K682-EA/3C1Q6K682EA/49135-06000/06017/06035/06037/49S35-06015</t>
  </si>
  <si>
    <t>turbo liền cổ xả</t>
  </si>
  <si>
    <t>Ford Transit 2.4/ 2006</t>
  </si>
  <si>
    <t>HH083830</t>
  </si>
  <si>
    <t>BW027-2/B03G-RS2</t>
  </si>
  <si>
    <t>JB3Q-96438-AA/1635-970-0030/B03G-RS2/mã đang check theo gemini ( JB3Q-9G438-AA/JB3Z6K682F/JB3Z6K682B/JB3Z6K682D)</t>
  </si>
  <si>
    <t>Turbo liền cổ xả ( loại bé)</t>
  </si>
  <si>
    <t>Ford 2.0 Eco, 4x4, 2018</t>
  </si>
  <si>
    <t>turbo kép trong ford ranger 2,4 ( turbo bi) có hàng E&amp;E</t>
  </si>
  <si>
    <t>HH083831</t>
  </si>
  <si>
    <t>HH077426</t>
  </si>
  <si>
    <t>8M03-200-585/6C1Q-6K682-DF/2004574/6C1Q-6K682-D/6C1Q-6K682-DD/6C1Q-6K682-DC/6C1Q6K82DE/RE6C1Q-6K682-DF/RE6C1Q6K682DF/6C1Q-6K682-DE/6C1Q6K682DE/6C1Q6K682DC/6C1Q-6K82-DE/1372799/1406162/1449608/1567328/6C1Q6K682D/6C1Q6K682DD/6C1Q6K682DF/4913105400/902356-0001/49S31-05400/49S3105402/49131-05400/49131-05452/014TC19011000/49131-05403/4913105 402/49S31-05402/49131-05401/49S31-05403/4913105452/902356-1/49S3105403/4913105401/49131-05402/4913105403</t>
  </si>
  <si>
    <t>FORD TRANSIT 2.4 (2006-2014)</t>
  </si>
  <si>
    <t>HH079177</t>
  </si>
  <si>
    <t>RHV4/VJ38</t>
  </si>
  <si>
    <t>WL/16V</t>
  </si>
  <si>
    <t>WE01-13-700D/4943873/VJ380703 | VAD20011 | VBD20011 | VCD20011 | VDD20011 | VED20011 | VFD20011 | VGD20011 | VHD20011 | VID20011 | VJD20011 | VAD20021 | VBD20021 | VCD20021 | VDD20021 | VED20021 | VFD20021 | VGD20021 | VHD20021 | VID20021 | 03051M | 1355080 | 4573957 | 4945478 | WE01 | WE0113700D | WE0113700F | 3M359G438AA | 3M359G438AB | 3M359G438AC | 3M35-9G438-AA | 3M35-9G438-AB | 3M35-9G438-AC/6M34 9G438 AC</t>
  </si>
  <si>
    <t>điều tốc cơ / quay ngang cùng chiều sò gió</t>
  </si>
  <si>
    <t>Ranger /BT50 ( 2009-2012) / Everest 2.5</t>
  </si>
  <si>
    <t>Turbo Ford RHV4/VJ38/WL 16V (WE01-13-700D) - SL UK</t>
  </si>
  <si>
    <t>HH074829</t>
  </si>
  <si>
    <t>752610-0015</t>
  </si>
  <si>
    <t>Turbo (Ford) GT2052V/ 8G20-300-160 (TRANSIT/ 752610-0015) ĐT điện - JRONE</t>
  </si>
  <si>
    <t>🏭 FOTON · 2 mã</t>
  </si>
  <si>
    <t>FOTON</t>
  </si>
  <si>
    <t>HH080910</t>
  </si>
  <si>
    <t>TD07S</t>
  </si>
  <si>
    <t>D6114</t>
  </si>
  <si>
    <t>49187-02710</t>
  </si>
  <si>
    <t>HH079175</t>
  </si>
  <si>
    <t>TB28</t>
  </si>
  <si>
    <t>CY4108</t>
  </si>
  <si>
    <t>711229-0003/711229-3/711229-5003S/839309-0001/839309-1/839309-5001S</t>
  </si>
  <si>
    <t>Tâm lỗ 40 x 73</t>
  </si>
  <si>
    <t>🏭 HINO · 15 mã</t>
  </si>
  <si>
    <t>HINO</t>
  </si>
  <si>
    <t>HH078433</t>
  </si>
  <si>
    <t>WH2D</t>
  </si>
  <si>
    <t>K13C</t>
  </si>
  <si>
    <t>3533263/3533261/262/24100-2920B/24100-2920A/2920C</t>
  </si>
  <si>
    <t>HH080316</t>
  </si>
  <si>
    <t>GT2259LS</t>
  </si>
  <si>
    <t>N04C
W04D</t>
  </si>
  <si>
    <t>T74801002</t>
  </si>
  <si>
    <t>điều tốc
Khác chiều quay với W04D của SL</t>
  </si>
  <si>
    <t>HH078434</t>
  </si>
  <si>
    <t>RHG6</t>
  </si>
  <si>
    <t>P11C</t>
  </si>
  <si>
    <t>17201-E0220/S1760-E0121</t>
  </si>
  <si>
    <t>tâm lỗ 86 × 82</t>
  </si>
  <si>
    <t>SK460-8 /SK480-8/HINO 700</t>
  </si>
  <si>
    <t>HH081333</t>
  </si>
  <si>
    <t>RHE8</t>
  </si>
  <si>
    <t>24100-3131</t>
  </si>
  <si>
    <t>HH080912</t>
  </si>
  <si>
    <t>RHE7</t>
  </si>
  <si>
    <t>24100-2751B</t>
  </si>
  <si>
    <t>HH082797</t>
  </si>
  <si>
    <t>RHC61A</t>
  </si>
  <si>
    <t>W04CT</t>
  </si>
  <si>
    <t>24100-2940A/24100-1541</t>
  </si>
  <si>
    <t>11</t>
  </si>
  <si>
    <t>HH079068</t>
  </si>
  <si>
    <t>N04C/W04D</t>
  </si>
  <si>
    <t>17201-E0080</t>
  </si>
  <si>
    <t>HH082125</t>
  </si>
  <si>
    <t>GTB3578KLNRV</t>
  </si>
  <si>
    <t>17201-E0E61</t>
  </si>
  <si>
    <t>Hino 500 Euro 4</t>
  </si>
  <si>
    <t>HH081731</t>
  </si>
  <si>
    <t>GT3576</t>
  </si>
  <si>
    <t>J08C</t>
  </si>
  <si>
    <t>24100-3251C/8G35-200-161/479016-0002</t>
  </si>
  <si>
    <t>Tâm lỗ bu lông 70 x 82.5</t>
  </si>
  <si>
    <t>Xe tải Hino</t>
  </si>
  <si>
    <t>└─ HINO</t>
  </si>
  <si>
    <t>HH075111</t>
  </si>
  <si>
    <t>HH084193</t>
  </si>
  <si>
    <t>GT3271S</t>
  </si>
  <si>
    <t>J05C</t>
  </si>
  <si>
    <t>704409-0001/704409-0002/0007/24100-3400/3530/3781/4370/8G32-200-745/24100-3530/24100-3781/17201-E0330/700291-0001</t>
  </si>
  <si>
    <t>Xe tải Hino 5 tấn</t>
  </si>
  <si>
    <t>HH072354</t>
  </si>
  <si>
    <t>GT2556L</t>
  </si>
  <si>
    <t>W04D</t>
  </si>
  <si>
    <t>17201-E0680/786363-0004/786363-4 | 786363-5004S 7863630004/7863634/7863635004S 7863635004/17201E0680A/17201-E0680A</t>
  </si>
  <si>
    <t>Xe tải Hino 300</t>
  </si>
  <si>
    <t>HH075531</t>
  </si>
  <si>
    <t>RHC6 /RHC62W</t>
  </si>
  <si>
    <t>H07C-T</t>
  </si>
  <si>
    <t>24100-2201A/241002203A/24100-2204A/VA240039/VC240039/VD240039/VG240039/VH240039</t>
  </si>
  <si>
    <t>Tâm lỗ bu lông 44.5 x 86
làm mát bằng nước + nhớt</t>
  </si>
  <si>
    <t>Xe tải Hino Truck H07CT with H07C-T(YF20)</t>
  </si>
  <si>
    <t>HH075589</t>
  </si>
  <si>
    <t>8G22-200-H82</t>
  </si>
  <si>
    <t>Turbo (HINO) GT2259L/J05E/SK200-8 (8G22-200-H82) - JRONE</t>
  </si>
  <si>
    <t>HH084388</t>
  </si>
  <si>
    <t>GT3271</t>
  </si>
  <si>
    <t>704409-0001</t>
  </si>
  <si>
    <t>🏭 HITACHI · 26 mã</t>
  </si>
  <si>
    <t>HITACHI</t>
  </si>
  <si>
    <t>HH077422</t>
  </si>
  <si>
    <t>TF08</t>
  </si>
  <si>
    <t>6SD1</t>
  </si>
  <si>
    <t>49134-00020</t>
  </si>
  <si>
    <t>(sò gió lớn)</t>
  </si>
  <si>
    <t>EX300-5</t>
  </si>
  <si>
    <t>HH078446</t>
  </si>
  <si>
    <t>TD08H</t>
  </si>
  <si>
    <t>6WF1/6WG1</t>
  </si>
  <si>
    <t>49188-01811/49188-01813/114400-3742, 1-14400374-2, 1144003742, 114400-3743, 1-14400374-3, 1144003743</t>
  </si>
  <si>
    <t>làm mát bằng nước + nhớt</t>
  </si>
  <si>
    <t>HH078440</t>
  </si>
  <si>
    <t>6WG1</t>
  </si>
  <si>
    <t>49188-01832</t>
  </si>
  <si>
    <t>ZX450-3</t>
  </si>
  <si>
    <t>HH082683</t>
  </si>
  <si>
    <t>TD04HL-15G</t>
  </si>
  <si>
    <t>4BG1/ 4BD1</t>
  </si>
  <si>
    <t>49189-00511/49189-00530 49189-00540/8970114741/8971159720/960817125/49189-00550/4918900540 | 4918900550 | 4918900511/8-97115-972-0 | 8-97011-474-1 | 8971159720 | 8970114741 | 960817125 | 5I-7585 | 5I-7952 | 5I7585 | 5I7952</t>
  </si>
  <si>
    <t>Tâm lỗ bu lông 40 x 73</t>
  </si>
  <si>
    <t>SK100/SK120/EX120-5/E312B/Caterpillar 318C, 320, 320 L, 320B, 320B L, 320B N, 320N</t>
  </si>
  <si>
    <t>HH070605</t>
  </si>
  <si>
    <t>RHC6/TB4154</t>
  </si>
  <si>
    <t>6BG1/6BD1</t>
  </si>
  <si>
    <t>114400-2720/VA240044/716236-0001/VA240044/02800132/1144002720</t>
  </si>
  <si>
    <t>Tâm lỗ bu lông 70 x 83
cổ gang bắt 4 lỗ bulon</t>
  </si>
  <si>
    <t>EX200-2/3
EX200-5 / SH200-1</t>
  </si>
  <si>
    <t>HH079552</t>
  </si>
  <si>
    <t>RHG9</t>
  </si>
  <si>
    <t>6WF1</t>
  </si>
  <si>
    <t>114400-4011/1144004011</t>
  </si>
  <si>
    <t>DN-1197</t>
  </si>
  <si>
    <t>HH071472</t>
  </si>
  <si>
    <t>RHF55</t>
  </si>
  <si>
    <t>4HK1</t>
  </si>
  <si>
    <t>VB440031/897362-8390/8984851941/8984851940/8980302170/8I05-100-920/8973628390</t>
  </si>
  <si>
    <t>Ko điều tốc</t>
  </si>
  <si>
    <t>ZX200/ZX240/ZX270 / ZX225
ZX190W / ZX220W</t>
  </si>
  <si>
    <t>└─ HITACHI</t>
  </si>
  <si>
    <t>HH075387</t>
  </si>
  <si>
    <t>HH075279</t>
  </si>
  <si>
    <t>RHF5</t>
  </si>
  <si>
    <t>4JG2</t>
  </si>
  <si>
    <t>8971297081</t>
  </si>
  <si>
    <t>Tâm lỗ bu lông 69 x 84</t>
  </si>
  <si>
    <t>HH080253</t>
  </si>
  <si>
    <t>4JJ1-T</t>
  </si>
  <si>
    <t>8980976860/8980976861/8980540111</t>
  </si>
  <si>
    <t>(cổ sò gió bắt bu lông) làm mát bằng nước + nhớt</t>
  </si>
  <si>
    <t>Xe tải, xe công trình</t>
  </si>
  <si>
    <t>có H/A VIDARIR</t>
  </si>
  <si>
    <t>HH080917</t>
  </si>
  <si>
    <t>HH078835</t>
  </si>
  <si>
    <t>RHE6</t>
  </si>
  <si>
    <t>6BG1</t>
  </si>
  <si>
    <t>114400-3332/114400-3350/114400332 114400331 6T611</t>
  </si>
  <si>
    <t>cổ gang bắt ống</t>
  </si>
  <si>
    <t>EX200-6/EX200-5/EX125W</t>
  </si>
  <si>
    <t>máy nhập châu âu</t>
  </si>
  <si>
    <t>HH078435</t>
  </si>
  <si>
    <t>RHC92</t>
  </si>
  <si>
    <t>114400-3830/1-14400383-0</t>
  </si>
  <si>
    <t>Tâm lỗ bu lông 70 x 112</t>
  </si>
  <si>
    <t>ZX450/ ZX460/ZX480</t>
  </si>
  <si>
    <t>HH075732</t>
  </si>
  <si>
    <t>ISUZU</t>
  </si>
  <si>
    <t>HH070607</t>
  </si>
  <si>
    <t>114400-3140/A290021 VB290021/7T546</t>
  </si>
  <si>
    <t>Tâm lỗ bu lông 69 x 83
cổ gang bắt 4 lỗ bu lon</t>
  </si>
  <si>
    <t>EX300-2/3</t>
  </si>
  <si>
    <t>HH079069</t>
  </si>
  <si>
    <t>RHB5</t>
  </si>
  <si>
    <t>8970385180/VI95 VA180027 VD180027 VE180027/8970385181</t>
  </si>
  <si>
    <t>HH070608</t>
  </si>
  <si>
    <t>TA5108</t>
  </si>
  <si>
    <t>6RB1</t>
  </si>
  <si>
    <t>114400-2080/466860-0005</t>
  </si>
  <si>
    <t>EX400-1</t>
  </si>
  <si>
    <t>HH070622</t>
  </si>
  <si>
    <t>114400-3770/1144003770/ 114400-3770/CICZ/ VB570031/ G61CNDS0031G/ G61CNDS0031B</t>
  </si>
  <si>
    <t>Tâm lỗ bu lông 69 x 84
(cổ ra bắt 4 bulon )</t>
  </si>
  <si>
    <t>EX200-5/6/ZX200/EX230-6 / ZX230</t>
  </si>
  <si>
    <t>nắp lẫn (114400-3890) khác chiều quay .có hình ảnh</t>
  </si>
  <si>
    <t>HH075112</t>
  </si>
  <si>
    <t>114400-3770/8I06-100-H31/1144003770/ 114400-3770/CICZ/ VB570031/ G61CNDS0031G/ G61CNDS0031B</t>
  </si>
  <si>
    <t>HH076952</t>
  </si>
  <si>
    <t>114400-3320/VA720015 CIBC/114400332/114400331</t>
  </si>
  <si>
    <t>Sò lửa ra bắt ống</t>
  </si>
  <si>
    <t>EX200-5(âu mỹ) EX125WD-5
EX220USR / SH200-2</t>
  </si>
  <si>
    <t>HH078718</t>
  </si>
  <si>
    <t>6HK1</t>
  </si>
  <si>
    <t>114400-0820</t>
  </si>
  <si>
    <t>Tâm lỗ bu lông 70 x 112
Điều tốc dạng ống tuy ô
Sò lửa khác các đời khác</t>
  </si>
  <si>
    <t>HH077140</t>
  </si>
  <si>
    <t>RHF3</t>
  </si>
  <si>
    <t>4LE2</t>
  </si>
  <si>
    <t>8980928220/8I03-100-L62/VB410146/VA410146/VC410146/VD410146/VI8980928220/VI8980928220R/CIGF/F31CNDS0146G/VA410146/F31CNDS0146B</t>
  </si>
  <si>
    <t>chân tam giác ,cổ gang bắt 4 lỗ bulon</t>
  </si>
  <si>
    <t>ZX160-3/ZX70/ZX75/SK70SR-2</t>
  </si>
  <si>
    <t>HH075391</t>
  </si>
  <si>
    <t>TD04HL-15T</t>
  </si>
  <si>
    <t>8M04-100-H35/49189-00580/49189-00570/08130/02320/897223-4280/49S89-00580/897222-1720/ME080904/897222-1720</t>
  </si>
  <si>
    <t>ZX120-1 /ZX135US/EX120/SK120/E312B
ruột dùng chung ME080904
49189-00511</t>
  </si>
  <si>
    <t>8M04-100-H35 sò gió lớn hơn 49189-00501 xíu có thể ráp lẫn ,ráp lẫn khác nhau chút chiều quay</t>
  </si>
  <si>
    <t>HH074023</t>
  </si>
  <si>
    <t>114400-4380/114400-4420/8I06-100-E93/114400-4050</t>
  </si>
  <si>
    <t>ZX330/ZX350-3/ EX300-7</t>
  </si>
  <si>
    <t>HH075039</t>
  </si>
  <si>
    <t>114400-3900/CIDB-VA570033/8I06-100-E92</t>
  </si>
  <si>
    <t>Cổ gang xả ra bắt 4 bu lông</t>
  </si>
  <si>
    <t>ZX330/ZX350H/ZX350LCH/ZX370MTH/ZX350K /ZX370/6HK1/RHG6</t>
  </si>
  <si>
    <t>HH075388</t>
  </si>
  <si>
    <t>8981851941/8I05-100-L63/VA430101/VB430101/VC430101/VD430101/8981851941/8980198930/8981851940</t>
  </si>
  <si>
    <t>Không điều tốc</t>
  </si>
  <si>
    <t>ZX160-3</t>
  </si>
  <si>
    <t>🏭 HOWO · 9 mã</t>
  </si>
  <si>
    <t>HOWO</t>
  </si>
  <si>
    <t>HH079181</t>
  </si>
  <si>
    <t>WD615</t>
  </si>
  <si>
    <t>4051391/HG1540119037/HG1540119036/VG1095110097/VG1034110071/VG1034110061/VG1095110074/VG1095110073/VG1560118228/VG1560118229</t>
  </si>
  <si>
    <t>Tâm lỗ 70 x 113
cổ gang đút ống</t>
  </si>
  <si>
    <t>HH079180</t>
  </si>
  <si>
    <t>HX50</t>
  </si>
  <si>
    <t>4049426/VG1560118227</t>
  </si>
  <si>
    <t>HH083044</t>
  </si>
  <si>
    <t>GT42/GT4288</t>
  </si>
  <si>
    <t>723117-0004/723117-4/723117-5004S/61560116227/615600116227/434251-0071</t>
  </si>
  <si>
    <t>HH080919</t>
  </si>
  <si>
    <t>J90S-2C</t>
  </si>
  <si>
    <t>WD615/ WD10</t>
  </si>
  <si>
    <t>612601110973/61560113227</t>
  </si>
  <si>
    <t>Tâm lỗ 70 x 113
cổ gió loe
cổ gang bắt 6 lỗ bu lon</t>
  </si>
  <si>
    <t>HH082658</t>
  </si>
  <si>
    <t>J80S</t>
  </si>
  <si>
    <t>612601110433</t>
  </si>
  <si>
    <t>HH080911</t>
  </si>
  <si>
    <t>GTA42</t>
  </si>
  <si>
    <t>WP12</t>
  </si>
  <si>
    <t>612630110597/800992-0003</t>
  </si>
  <si>
    <t>Foton</t>
  </si>
  <si>
    <t>HH083689</t>
  </si>
  <si>
    <t>K29</t>
  </si>
  <si>
    <t>WD616</t>
  </si>
  <si>
    <t>612601111081</t>
  </si>
  <si>
    <t>└─ HOWO</t>
  </si>
  <si>
    <t>HH00709</t>
  </si>
  <si>
    <t>HH084390</t>
  </si>
  <si>
    <t>HE500WG</t>
  </si>
  <si>
    <t>MC11</t>
  </si>
  <si>
    <t>5330192/3790082</t>
  </si>
  <si>
    <t>SINOTRUCK</t>
  </si>
  <si>
    <t>🏭 HYUNDAI · 59 mã</t>
  </si>
  <si>
    <t>HYUNDAI</t>
  </si>
  <si>
    <t>HH081340</t>
  </si>
  <si>
    <t>TF08L-28M-18</t>
  </si>
  <si>
    <t>D6AC</t>
  </si>
  <si>
    <t>49134-00130/28200-83401</t>
  </si>
  <si>
    <t>HH078438</t>
  </si>
  <si>
    <t>TF08L-28M</t>
  </si>
  <si>
    <t>D6CB/ D6CA</t>
  </si>
  <si>
    <t>28200-84401/49134-00230</t>
  </si>
  <si>
    <t>tâm lỗ 82 × 69 (Điều tốc)</t>
  </si>
  <si>
    <t>Trargo HD270/HD320/HD1000</t>
  </si>
  <si>
    <t>28200-84401 &amp; 28200-84601 ( khác nhau xíu chiều quay)</t>
  </si>
  <si>
    <t>HH078437</t>
  </si>
  <si>
    <t>D6CB/ D6CC</t>
  </si>
  <si>
    <t>28200-84601</t>
  </si>
  <si>
    <t>HH079780</t>
  </si>
  <si>
    <t>TF035HM-12T</t>
  </si>
  <si>
    <t>D4BH / 4D56</t>
  </si>
  <si>
    <t>28200-4A200/28200-42540/MD194845/MR355225</t>
  </si>
  <si>
    <t>HH084183</t>
  </si>
  <si>
    <t>TF035HM</t>
  </si>
  <si>
    <t>28200-4X650/49135-04361</t>
  </si>
  <si>
    <t>Có chụp lỗ cánh gió</t>
  </si>
  <si>
    <t>Bongo III 2.9</t>
  </si>
  <si>
    <t>HH077665</t>
  </si>
  <si>
    <t>D4BH</t>
  </si>
  <si>
    <t>28200-42650/49135-04300</t>
  </si>
  <si>
    <t>Starex/Libero</t>
  </si>
  <si>
    <t>HH079550</t>
  </si>
  <si>
    <t>D4EB 2.2</t>
  </si>
  <si>
    <t>28231-27800/49135-07100/49135-07300/07301/07302</t>
  </si>
  <si>
    <t>Santafe 2.2 D4EB( 2006 - 2010)
Santa Fe 2.2 CRDI 150 CV</t>
  </si>
  <si>
    <t>HH078436</t>
  </si>
  <si>
    <t>TD08H-28M</t>
  </si>
  <si>
    <t>6D22T/ D6AB</t>
  </si>
  <si>
    <t>28200-83901/49188-03020</t>
  </si>
  <si>
    <t>└─ HYUNDAI</t>
  </si>
  <si>
    <t>HH077024</t>
  </si>
  <si>
    <t>HH083875</t>
  </si>
  <si>
    <t>TD05H-14G-6</t>
  </si>
  <si>
    <t>D4DA/ D4DD/4D34T4 | D4DA | 4D34TI</t>
  </si>
  <si>
    <t>28230-45000/49178-03140 | 4917803140 | 49178-03128 | 4917803128 | 49178-03122 | 4917803122 | 2823045000</t>
  </si>
  <si>
    <t>HH071946</t>
  </si>
  <si>
    <t>TD05H-14G</t>
  </si>
  <si>
    <t>4D34T/D4DA/D4DB</t>
  </si>
  <si>
    <t>28230-45100/28230-45500/49178-03123/-03122/03123/02190/02123/02150/02155/02170/02325/02340/02345/02385/02386/-02391/01700/49378-01710/49178-02130/02135/4-02136/02315/49178-02335/49178-02336/49178-02386/ME014881, 49178-02385,49178023886</t>
  </si>
  <si>
    <t>cánh gió 44.5</t>
  </si>
  <si>
    <t>Mighty II / HD65/HD72 /COUTY</t>
  </si>
  <si>
    <t>HH083055</t>
  </si>
  <si>
    <t>TD04</t>
  </si>
  <si>
    <t>D4GA</t>
  </si>
  <si>
    <t>28210-48000/49189-07701/49189-07720/49491-22801/28210-48001</t>
  </si>
  <si>
    <t>110S 110SL 11XL W11S /11XL W11S NEW Mighty 110S / County W11S 7 tấn xe tải</t>
  </si>
  <si>
    <t>HH072313</t>
  </si>
  <si>
    <t>4D56T/ 4D56/ D4BH</t>
  </si>
  <si>
    <t>28200-4A210/28200-4A201</t>
  </si>
  <si>
    <t>Hyundai Starex/Libero</t>
  </si>
  <si>
    <t>ruột dung chung</t>
  </si>
  <si>
    <t>HH078404</t>
  </si>
  <si>
    <t>TD03L4</t>
  </si>
  <si>
    <t>D4CB</t>
  </si>
  <si>
    <t>28231-4A800/28231-4A850/28231-4A780/49590-45607/90130-01040/49131-03600/90120-01080/8M03-200-707</t>
  </si>
  <si>
    <t>K200/PORTE2/K250/ N250/Bongo III</t>
  </si>
  <si>
    <t>HH075721</t>
  </si>
  <si>
    <t>HH078868</t>
  </si>
  <si>
    <t>TD03L</t>
  </si>
  <si>
    <t>28231-4A850/49590-45607</t>
  </si>
  <si>
    <t>Porter</t>
  </si>
  <si>
    <t>HH075427</t>
  </si>
  <si>
    <t>BV43</t>
  </si>
  <si>
    <t>28231-4A700/28231-4A701/53039700353/53039880226/53039700226/53039880353</t>
  </si>
  <si>
    <t>Starex</t>
  </si>
  <si>
    <t>HH079941</t>
  </si>
  <si>
    <t>Kia J3</t>
  </si>
  <si>
    <t>28201-4X610/28201-4X600</t>
  </si>
  <si>
    <t>KIA Bongo 3( 2006-2009 )
New porterII</t>
  </si>
  <si>
    <t>chú ý coi cổ gió ở trên</t>
  </si>
  <si>
    <t>HH083835</t>
  </si>
  <si>
    <t>GTB1449V</t>
  </si>
  <si>
    <t>28231-4A600/28231-4A610/823665-0001/282314A600/282314A610/823665-0009</t>
  </si>
  <si>
    <t>điều tốc điện</t>
  </si>
  <si>
    <t>Hyundai
SOLATY</t>
  </si>
  <si>
    <t>HH079170</t>
  </si>
  <si>
    <t>D6DA</t>
  </si>
  <si>
    <t>28230-8Y000/28230-8Y010/716677-5001S/716677-0001 | 716677-1 | 716677-5001 | 282308Y000 | 716677-0002 | 716677-2 | 716677-5002S | 716677-5002 |</t>
  </si>
  <si>
    <t>HD120 5 Ton /HD270 D6DA</t>
  </si>
  <si>
    <t>3273</t>
  </si>
  <si>
    <t>HH079691</t>
  </si>
  <si>
    <t>GT2052S</t>
  </si>
  <si>
    <t>D4AL</t>
  </si>
  <si>
    <t>28230-41710/28230-41711/702213-0001/702213-5001S</t>
  </si>
  <si>
    <t>HYUNDAI H350</t>
  </si>
  <si>
    <t>HH082798</t>
  </si>
  <si>
    <t>HH083048</t>
  </si>
  <si>
    <t>GT2052LS / GT2052LS/D4AL/MIGHTY 3.3</t>
  </si>
  <si>
    <t>28230-41431/28230-41440/28230-41450/703389-0002/8G20-200-015</t>
  </si>
  <si>
    <t>MIGHTY 3.3 HD65, HD72, HD78</t>
  </si>
  <si>
    <t>HH076427</t>
  </si>
  <si>
    <t>HH083047</t>
  </si>
  <si>
    <t>GT1752</t>
  </si>
  <si>
    <t>28200-4A001/28200-4A101/28230-41422/41421/710060-0001/710060-5001S/433352-0032</t>
  </si>
  <si>
    <t>Hyundai H-1 CRDI, Starex CRDI D4CB Euro-3</t>
  </si>
  <si>
    <t>HH076623</t>
  </si>
  <si>
    <t>HH079000</t>
  </si>
  <si>
    <t>HH080329</t>
  </si>
  <si>
    <t>GT1749V</t>
  </si>
  <si>
    <t>D4EA</t>
  </si>
  <si>
    <t>28231-27900</t>
  </si>
  <si>
    <t>SantaFe Gold (2000-2005 )
Hyundai Santa Fe 2.0L CRDi Engine D4EA-V</t>
  </si>
  <si>
    <t>HH079360</t>
  </si>
  <si>
    <t>GT1749S</t>
  </si>
  <si>
    <t>28230-41720/28230-41730/708337-0002/708337-0001/8G17-200-100</t>
  </si>
  <si>
    <t>MIGHTY 2</t>
  </si>
  <si>
    <t>CÓ H/A jrone ( thực tế)</t>
  </si>
  <si>
    <t>HH074828</t>
  </si>
  <si>
    <t>HH071945</t>
  </si>
  <si>
    <t>4D56T</t>
  </si>
  <si>
    <t>28200-42700/715924/28200-42610/28200-43160</t>
  </si>
  <si>
    <t>Porter 2 (2006-2012 )</t>
  </si>
  <si>
    <t>HH078720</t>
  </si>
  <si>
    <t>28200-42600/715843-5001S/715843-1</t>
  </si>
  <si>
    <t>libero ( béc cơ )</t>
  </si>
  <si>
    <t>HH074748</t>
  </si>
  <si>
    <t>GT1752S</t>
  </si>
  <si>
    <t>28200-4A350/732340/28200-4A361/282004A350/732340-0001</t>
  </si>
  <si>
    <t>Starex 2.5 CDRI</t>
  </si>
  <si>
    <t>Porter II</t>
  </si>
  <si>
    <t>HH077289</t>
  </si>
  <si>
    <t>28200-4A380</t>
  </si>
  <si>
    <t>HH083046</t>
  </si>
  <si>
    <t>28200-4A500</t>
  </si>
  <si>
    <t>HH071944</t>
  </si>
  <si>
    <t>D4AE</t>
  </si>
  <si>
    <t>28230-41401/28230-41402/28230-41411/28230-41412</t>
  </si>
  <si>
    <t>Hyundai H350/Mighty II</t>
  </si>
  <si>
    <t>HH081246</t>
  </si>
  <si>
    <t>28230-4A701</t>
  </si>
  <si>
    <t>Starex H1</t>
  </si>
  <si>
    <t>HH075103</t>
  </si>
  <si>
    <t>53039880127 | 53039700127 | 53039710127 | 53039880145 | 53039700145 | 5303 988 0127 | 5303 970 0127 | 5303 971 0127 | 5303 988 0145 | 5303 970 0145 | 5303-988-0127 | 5303-970-0127 | 5303-971-0127 | 5303-988-0145 | 5303-970-0145 | 282004A480 | 28200-4A480</t>
  </si>
  <si>
    <t>HH083052</t>
  </si>
  <si>
    <t>28200-4A421</t>
  </si>
  <si>
    <t>2.5CRDi</t>
  </si>
  <si>
    <t>Sorento</t>
  </si>
  <si>
    <t>HH081638</t>
  </si>
  <si>
    <t>TF08L-28M-22</t>
  </si>
  <si>
    <t>6D24 TI</t>
  </si>
  <si>
    <t>28200-84011</t>
  </si>
  <si>
    <t>HH083396</t>
  </si>
  <si>
    <t>GTB1752VLK</t>
  </si>
  <si>
    <t>28231-2F100/780502-5001S/282312F100</t>
  </si>
  <si>
    <t>(Sedona, Sorento 2.2) G430S - EE</t>
  </si>
  <si>
    <t>HH083398</t>
  </si>
  <si>
    <t>GTB1244VZ</t>
  </si>
  <si>
    <t>28201-2A850</t>
  </si>
  <si>
    <t>(Sportage 2.0) G780 - EE</t>
  </si>
  <si>
    <t>HH0367</t>
  </si>
  <si>
    <t>TE06H-20</t>
  </si>
  <si>
    <t>D6GA</t>
  </si>
  <si>
    <t>28210-52003/2821052003/49185-04601/28210-52000/49185-04606</t>
  </si>
  <si>
    <t>49185-04601
28210-52000
28210-52003</t>
  </si>
  <si>
    <t>Hyundai 5 tấn/ R300-9/HD120/ROBEX 140W</t>
  </si>
  <si>
    <t>HH079488</t>
  </si>
  <si>
    <t>GTB1649V/ Hyudai Kia D4EA</t>
  </si>
  <si>
    <t>757886-0004/28231-27450</t>
  </si>
  <si>
    <t>HH073983</t>
  </si>
  <si>
    <t>TD025M</t>
  </si>
  <si>
    <t>28231-27000/49173-02412/49173-02401</t>
  </si>
  <si>
    <t>D4EA, Santafe, Tucson 2.0) M016S - EE</t>
  </si>
  <si>
    <t>HH083400</t>
  </si>
  <si>
    <t>28200-4X400</t>
  </si>
  <si>
    <t>Hyu, Terracan 2.9, 4X700 I165 - EE</t>
  </si>
  <si>
    <t>HH083408</t>
  </si>
  <si>
    <t>HH01037</t>
  </si>
  <si>
    <t>GTD1749</t>
  </si>
  <si>
    <t>D4CC</t>
  </si>
  <si>
    <t>28211-4C001/835406-0012</t>
  </si>
  <si>
    <t>Mighty EX8/N650</t>
  </si>
  <si>
    <t>HH083397</t>
  </si>
  <si>
    <t>GTB1752VK</t>
  </si>
  <si>
    <t>D4HA</t>
  </si>
  <si>
    <t>28231-2F001/282312F001/28231-2F000/784114-0002/784114-5003S</t>
  </si>
  <si>
    <t>Santafe 2.0 D4HA
máy dầu 2009 - 2012.</t>
  </si>
  <si>
    <t>282352F200 ( mã dù điện )</t>
  </si>
  <si>
    <t>HH083502</t>
  </si>
  <si>
    <t>HH074614</t>
  </si>
  <si>
    <t>28200-42560/28200-4A200</t>
  </si>
  <si>
    <t>Có điều tốc</t>
  </si>
  <si>
    <t>Hyundai Libero/Starex</t>
  </si>
  <si>
    <t>HH079182</t>
  </si>
  <si>
    <t>28200-4A201</t>
  </si>
  <si>
    <t>Turbo TF035HM-12T/ Hyundai D4BH/STAREX (28200-4A201) điều tốc - SL UK</t>
  </si>
  <si>
    <t>HH078210</t>
  </si>
  <si>
    <t>TF035H/GT1749S</t>
  </si>
  <si>
    <t>28200-42800</t>
  </si>
  <si>
    <t>Turbo TF035H/GT1749S/ Hyundai D4BH/ 28200-42800- SL UK</t>
  </si>
  <si>
    <t>HH079183</t>
  </si>
  <si>
    <t>28230-45500</t>
  </si>
  <si>
    <t>Turbo TD05H-12G/ Hyundai 4D34T/D4DD/ 28230-45500- SL UK</t>
  </si>
  <si>
    <t>HH076951</t>
  </si>
  <si>
    <t>D4BF</t>
  </si>
  <si>
    <t>28200-4B151</t>
  </si>
  <si>
    <t>Hyundai Porter/Starex /VEAM 2,5 tấn</t>
  </si>
  <si>
    <t>HH084401</t>
  </si>
  <si>
    <t>28200-4A380/G078</t>
  </si>
  <si>
    <t>HH084402</t>
  </si>
  <si>
    <t>GT1752LS</t>
  </si>
  <si>
    <t>28200-4A001/G244-1</t>
  </si>
  <si>
    <t>HH084403</t>
  </si>
  <si>
    <t>28200-42560/G432-1</t>
  </si>
  <si>
    <t>HH084404</t>
  </si>
  <si>
    <t>28200-42600/G083-1S</t>
  </si>
  <si>
    <t>🏭 ISUZU · 36 mã</t>
  </si>
  <si>
    <t>RHF55V</t>
  </si>
  <si>
    <t>4JJ1</t>
  </si>
  <si>
    <t>8980830411/8980830414</t>
  </si>
  <si>
    <t>Cổ gió bắt 3 bu lon.điều tốc nằm dưới sò gang</t>
  </si>
  <si>
    <t>Isuzu NQR -EURO 4 / QKR270</t>
  </si>
  <si>
    <t>Mã 414 là mã đời mới thay thế cho 411,
( Bán chạy ) ô tô 88</t>
  </si>
  <si>
    <t>HH081068</t>
  </si>
  <si>
    <t>4HK1-TCC</t>
  </si>
  <si>
    <t>8983224810/8975260060, 8983520881/F5BVED-S0014G/14037516101</t>
  </si>
  <si>
    <t>Isuzu Npr75/Euro 4</t>
  </si>
  <si>
    <t>bán chạy ô tô 88</t>
  </si>
  <si>
    <t>HH078717</t>
  </si>
  <si>
    <t>RHF4/4HK1</t>
  </si>
  <si>
    <t>8981941890</t>
  </si>
  <si>
    <t>Cổ gió bắt 3 bu lông</t>
  </si>
  <si>
    <t>HH078715</t>
  </si>
  <si>
    <t>4JB1TC/4HK1</t>
  </si>
  <si>
    <t>897331-1850/8973311851/8-97331185-2/8973311852/8I04-200-047/| VA420076 | VB420076 | VC420076 | VD420076 | 8973311850 | 8973311851 | 8-97331-1850 | 8-97331-1851 | 897331-1850 | 897331-1851 | 4T505 | 4T-505 | F41CADS0076B | F41CAD-S0076B | F41CADS0076G | F41CAD-S0076G | 1118010802 | 1118010-802 | 3047087</t>
  </si>
  <si>
    <t>Tâm lỗ bu lông 48 x 48
làm mát bằng nước + nhớt</t>
  </si>
  <si>
    <t>Xe tải QRK</t>
  </si>
  <si>
    <t>HH078449</t>
  </si>
  <si>
    <t>8980787791</t>
  </si>
  <si>
    <t>(xe tải 15 TẤN FVM)</t>
  </si>
  <si>
    <t>└─ ISUZU</t>
  </si>
  <si>
    <t>HH083506</t>
  </si>
  <si>
    <t>HH079690</t>
  </si>
  <si>
    <t>H06C</t>
  </si>
  <si>
    <t>8943944573/VC250094/8943944572/VA250072/8-94394-4572</t>
  </si>
  <si>
    <t>Tâm lỗ 71 x 83</t>
  </si>
  <si>
    <t>Xe tải ISUZU</t>
  </si>
  <si>
    <t>HH080922</t>
  </si>
  <si>
    <t>GT22/JP60T/ TB25</t>
  </si>
  <si>
    <t>BJ493ZQ/4JB1</t>
  </si>
  <si>
    <t>720618-0001</t>
  </si>
  <si>
    <t>Tâm lỗ 40 x 73
cổ gang bắt 5 lỗ bulon</t>
  </si>
  <si>
    <t>JMC</t>
  </si>
  <si>
    <t>HH079545</t>
  </si>
  <si>
    <t>4JB1/4JA1</t>
  </si>
  <si>
    <t>8971760801</t>
  </si>
  <si>
    <t>HH082049</t>
  </si>
  <si>
    <t>4JB1</t>
  </si>
  <si>
    <t>8971195672</t>
  </si>
  <si>
    <t>Highlander</t>
  </si>
  <si>
    <t>0675</t>
  </si>
  <si>
    <t>HH077142</t>
  </si>
  <si>
    <t>RHV5</t>
  </si>
  <si>
    <t>VD30013-VIEZ/8I05-300-A26</t>
  </si>
  <si>
    <t>Xe bán tải Isuzu Dmax</t>
  </si>
  <si>
    <t>Isuzu DMAX</t>
  </si>
  <si>
    <t>HH079125</t>
  </si>
  <si>
    <t>4JA1</t>
  </si>
  <si>
    <t>VC420037-VIDA/8I04-200-980</t>
  </si>
  <si>
    <t>HH082884</t>
  </si>
  <si>
    <t>4JJ1-TC</t>
  </si>
  <si>
    <t>VBD30013/8980115293/VFD30013 | VBD30013 | VED30013 | 8980115293 | 8980115294/8980115295 | 8980115296 | 8980115297 | 8-98011-5293 | 8-98011-5294 | 8-98011-5295 | 8-98011-5296 | 8-98011-5297</t>
  </si>
  <si>
    <t>điều tốc xoay cùng chiều cổ gió</t>
  </si>
  <si>
    <t>CÓ H/A TBS</t>
  </si>
  <si>
    <t>HH082050</t>
  </si>
  <si>
    <t>4JH1-TC</t>
  </si>
  <si>
    <t>VB430093/8973544234/8973659480/VA430084 VB430084 VC430084 24123A/8973659481/8973659482/8973544233/| VA430084 | VB430084 | VC430084 | 24123A | 5T-643 | 8973544233 | 8973659482 | F51CADS0084B | F51CADS0084G | VIEK | VA430093 | VB430093 |</t>
  </si>
  <si>
    <t>làm mát bằng nước + nhớt
cổ gang bắt 5 lỗ bulon</t>
  </si>
  <si>
    <t>Isuzu DMAX ,Isuzu D-MAX, Pickup 3.0L TD
Isuzu KB 3.0L TD / Isuzu Rodeo 3.0L TD</t>
  </si>
  <si>
    <t>1756</t>
  </si>
  <si>
    <t>HH082087</t>
  </si>
  <si>
    <t>HH081331</t>
  </si>
  <si>
    <t>8973132920/VA420084</t>
  </si>
  <si>
    <t>HH071948</t>
  </si>
  <si>
    <t>GT2560LS</t>
  </si>
  <si>
    <t>4HE1 / 4HK1</t>
  </si>
  <si>
    <t>700716-0009/700716-0003/700716-0001/700716-0004/700716-0005/700716-0006/8G25-200-184/700716-0001 | 700716-0003 | 700716-0004 | 700716-0005 | 700716-0006 | 700716-0009 | 700716-1 | 700716-3 | 700716-4 | 700716-5 | 700716-6 | 700716-9 | 700716-5001S | 700716-5003S | 700716-5004S | 700716-5005S | 700716-5006S | 700716-5009S | 8971894520 | 8972089661 | 8972089663 | 8-97189-452-0 | 8-97208-966-1 | 8-97208-966-3</t>
  </si>
  <si>
    <t>có điều tốc
cổ gang bắt 5 bulon</t>
  </si>
  <si>
    <t>xe tải EURO 2</t>
  </si>
  <si>
    <t>Dùng chung hình dạng như nhau</t>
  </si>
  <si>
    <t>HH074861</t>
  </si>
  <si>
    <t>GT22</t>
  </si>
  <si>
    <t>JX493/4JB1</t>
  </si>
  <si>
    <t>736210-0009 | 736210-9 | 736210-5009S | 736210-5009 | 1118300DL/1118300DL</t>
  </si>
  <si>
    <t>Chân tam giác
làm mát bằng nước + nhớt</t>
  </si>
  <si>
    <t>HH082052</t>
  </si>
  <si>
    <t>493 / BJ493ZQ</t>
  </si>
  <si>
    <t>738769-0001</t>
  </si>
  <si>
    <t>Chân chữ nhật
cổ gang bắt 4 lỗ bulon</t>
  </si>
  <si>
    <t>CA498 ( đang check chỗ sơn kim)</t>
  </si>
  <si>
    <t>1579</t>
  </si>
  <si>
    <t>HH073015</t>
  </si>
  <si>
    <t>736210-0005 | 736210-5 | 736210-5005S | 736210-5005 | 736210-0003 | 736210-3 | 736210-5003S | 736210-5003 | 1118300SZ | IC30035S</t>
  </si>
  <si>
    <t>Chân tam giác</t>
  </si>
  <si>
    <t>HH079940</t>
  </si>
  <si>
    <t>JX493/4JB1/493ZLQ3</t>
  </si>
  <si>
    <t>822158-0002/822158-5002S</t>
  </si>
  <si>
    <t>Chân tam giác,cổ gang 4 lỗ cân
( làm mát bằng nước nhớt)</t>
  </si>
  <si>
    <t>JMC/Đô Thành</t>
  </si>
  <si>
    <t>HH084194</t>
  </si>
  <si>
    <t>GT1752/GT22</t>
  </si>
  <si>
    <t>1118300ABY</t>
  </si>
  <si>
    <t>Chân tam giác ( làm mát bằng nước nhớt)</t>
  </si>
  <si>
    <t>CÓ HÀNG E&amp;E</t>
  </si>
  <si>
    <t>HH077664</t>
  </si>
  <si>
    <t>114400-3394</t>
  </si>
  <si>
    <t>HH077141</t>
  </si>
  <si>
    <t>VE180027-VI95/8I05-200-521/8943212010/8943853831/8970385181/8970700290</t>
  </si>
  <si>
    <t>HH071947</t>
  </si>
  <si>
    <t>GT2256M</t>
  </si>
  <si>
    <t>4HG1T</t>
  </si>
  <si>
    <t>8973267520/703136-0003 704136-0003/704136-0001 704136-0002/8973267520/B161202088/8972083520/8971784860</t>
  </si>
  <si>
    <t>chân tam giác
gắn liền cổ xả lửa</t>
  </si>
  <si>
    <t>Isuzu NPR</t>
  </si>
  <si>
    <t>HH070614</t>
  </si>
  <si>
    <t>TB2518</t>
  </si>
  <si>
    <t>4BD1/4BD2T</t>
  </si>
  <si>
    <t>466898-0006/466898</t>
  </si>
  <si>
    <t>HH077514</t>
  </si>
  <si>
    <t>4KH1</t>
  </si>
  <si>
    <t>1118010850/1118010-850</t>
  </si>
  <si>
    <t>có ha</t>
  </si>
  <si>
    <t>HH083507</t>
  </si>
  <si>
    <t>GT3576D</t>
  </si>
  <si>
    <t>6HK1, 6HH1, 6HE1</t>
  </si>
  <si>
    <t>704407-0007</t>
  </si>
  <si>
    <t>xe tải 15T</t>
  </si>
  <si>
    <t>Isu, 6HK1, 6HH1, 6HE1 xe tải 15T, - TBS</t>
  </si>
  <si>
    <t>HH084196</t>
  </si>
  <si>
    <t>8980277720</t>
  </si>
  <si>
    <t>Turbo RHF55V/ Isuzu 4HK1-TCC, VIET/ 8980277720/ I047 - EE</t>
  </si>
  <si>
    <t>HH084180</t>
  </si>
  <si>
    <t>8980118923</t>
  </si>
  <si>
    <t>Turbo RHF4H/ Isuzu 4JJ1, Dmax/ 8980118923 - SL UK</t>
  </si>
  <si>
    <t>HH080809</t>
  </si>
  <si>
    <t>8971397243</t>
  </si>
  <si>
    <t>Turbo RHF4/ Isuzu 4JB1/ 4JG2 (8971397243) - SL UK</t>
  </si>
  <si>
    <t>HH078054</t>
  </si>
  <si>
    <t>VA420081/VB420081/F41CAD-S0081G/F41CAD-S0081B/0104-890-012/2389349/238-9349|2390230/2825179/3082308/3170981/3240237/4429826/135756180/13575-6180/135.756.180/1357561801/1357561802/634220</t>
  </si>
  <si>
    <t>DH55</t>
  </si>
  <si>
    <t>Turbo RHF4/ Isuzu 4JB1, DH55 (VA420081 VB420081) - SL UK</t>
  </si>
  <si>
    <t>HH070604</t>
  </si>
  <si>
    <t>114400-2100</t>
  </si>
  <si>
    <t>Turbo RHC7/ Isuzu 6BD1, EX200-1 (114400-2100) - SL UK</t>
  </si>
  <si>
    <t>HH083859</t>
  </si>
  <si>
    <t>Turbo (Isuzu) RHF55/ 8I05-100-H33 (4HK1/SH200-5/VA440051) - JRONE</t>
  </si>
  <si>
    <t>HH076867</t>
  </si>
  <si>
    <t>1-87618329-0</t>
  </si>
  <si>
    <t>ZX450 / ZX470</t>
  </si>
  <si>
    <t>Turbo TD08H/6WG1/ZX450/ZX470/1-87618329-0 - ISP ISUZU</t>
  </si>
  <si>
    <t>HH084387</t>
  </si>
  <si>
    <t>HH084391</t>
  </si>
  <si>
    <t>1144003720</t>
  </si>
  <si>
    <t>Có đường nước</t>
  </si>
  <si>
    <t>🏭 JAC · 1 mã</t>
  </si>
  <si>
    <t>JAC</t>
  </si>
  <si>
    <t>HH083503</t>
  </si>
  <si>
    <t>HP55</t>
  </si>
  <si>
    <t>55X4505-00-1</t>
  </si>
  <si>
    <t>JAC 2.8L, JAC HP55, 55X4505-00-1 - TBS</t>
  </si>
  <si>
    <t>🏭 KAMAZ · 2 mã</t>
  </si>
  <si>
    <t>KAMAZ</t>
  </si>
  <si>
    <t>HH079356</t>
  </si>
  <si>
    <t>K27-145</t>
  </si>
  <si>
    <t>399-0023-145/TKP/7-08.09</t>
  </si>
  <si>
    <t>lắp lẫn cho đời sò gang 4 lỗ bu lông</t>
  </si>
  <si>
    <t>HH074831</t>
  </si>
  <si>
    <t>KAMAZ 740</t>
  </si>
  <si>
    <t>1274-970-0003/8S02-100-E14</t>
  </si>
  <si>
    <t>🏭 KOBELCO · 19 mã</t>
  </si>
  <si>
    <t>KOBELCO</t>
  </si>
  <si>
    <t>HH071475</t>
  </si>
  <si>
    <t>TE06</t>
  </si>
  <si>
    <t>6D31T</t>
  </si>
  <si>
    <t>49185-01010/ME088725</t>
  </si>
  <si>
    <t>Tâm lỗ bu lông 44.5 x 86
cổ gang ra dài</t>
  </si>
  <si>
    <t>xe đào KATO/ xe tải MITSU/SK200-5</t>
  </si>
  <si>
    <t>HH071476</t>
  </si>
  <si>
    <t>6D34T</t>
  </si>
  <si>
    <t>49185-01030/49185-01020/4918501020/49S8501020/49S85-01020/49185-01031/ME440895/ME088846/ME088840/8M06-100-M11</t>
  </si>
  <si>
    <t>Tâm lỗ bu lông 44.5 x 86
(cổ gang ra bắt bu lông)</t>
  </si>
  <si>
    <t>SK200-5/6</t>
  </si>
  <si>
    <t>└─ KOBELCO</t>
  </si>
  <si>
    <t>HH075592</t>
  </si>
  <si>
    <t>HH070610</t>
  </si>
  <si>
    <t>TD08H-21D/22</t>
  </si>
  <si>
    <t>6D22T/6D24T</t>
  </si>
  <si>
    <t>49188-01262/49188-03062/49188-01263/ME035940/ME053934</t>
  </si>
  <si>
    <t>Tâm lỗ 70 x 82.5
(cổ gang lớn 98)</t>
  </si>
  <si>
    <t>Kobelco/Sumitomo</t>
  </si>
  <si>
    <t>HH070616</t>
  </si>
  <si>
    <t>TD06-17C</t>
  </si>
  <si>
    <t>6D31</t>
  </si>
  <si>
    <t>49179-02110/49179-09400/ME088256</t>
  </si>
  <si>
    <t>Tâm lỗ bu lông 67 x 73
(Chân vuông)</t>
  </si>
  <si>
    <t>SK07/SK07-N2</t>
  </si>
  <si>
    <t>HH070620</t>
  </si>
  <si>
    <t>TD06</t>
  </si>
  <si>
    <t>6D14/6D31</t>
  </si>
  <si>
    <t>ME037701/49179-00110/49179-02100/ME070460</t>
  </si>
  <si>
    <t>Chân tam giác tâm lỗ 66</t>
  </si>
  <si>
    <t>SK07</t>
  </si>
  <si>
    <t>HH070615</t>
  </si>
  <si>
    <t>TA3134</t>
  </si>
  <si>
    <t>ME088488/409172-0096/466129-0001</t>
  </si>
  <si>
    <t>Tâm lỗ bu lông 44.5 x 86
Cổ gang bắt ống</t>
  </si>
  <si>
    <t>SK200-1/-2/ 3/-5 (thông dụng)
Lắp lẫn S4D95</t>
  </si>
  <si>
    <t>HH082802</t>
  </si>
  <si>
    <t>T04E73</t>
  </si>
  <si>
    <t>6D16T</t>
  </si>
  <si>
    <t>7047794-0002/ME078871/8G04-100-M12/ME078660</t>
  </si>
  <si>
    <t>Tâm lỗ bu lông 44.5 x 86</t>
  </si>
  <si>
    <t>SK330-6</t>
  </si>
  <si>
    <t>lắp lẫn pc200-3
chỉ khác sò lửa to hơn xíu</t>
  </si>
  <si>
    <t>HH076057</t>
  </si>
  <si>
    <t>704794-1/704794-5001S/704794-0001/ME078871/8G04-100-M12/ME078660</t>
  </si>
  <si>
    <t>Tâm lỗ bu lông 44.5 x 86
( ko có điều tốc)</t>
  </si>
  <si>
    <t>HH081360</t>
  </si>
  <si>
    <t>GTA4082</t>
  </si>
  <si>
    <t>789003-5009S</t>
  </si>
  <si>
    <t>SK350-9</t>
  </si>
  <si>
    <t>GARRETT</t>
  </si>
  <si>
    <t>HH081702</t>
  </si>
  <si>
    <t>GTA3576KLNV</t>
  </si>
  <si>
    <t>789209-5012S</t>
  </si>
  <si>
    <t>SK200-9</t>
  </si>
  <si>
    <t>HH071467</t>
  </si>
  <si>
    <t>GT2259L</t>
  </si>
  <si>
    <t>J05E</t>
  </si>
  <si>
    <t>761916-0003/17201-E0521/B161202088/761916-0006/8G22-200-H82</t>
  </si>
  <si>
    <t>SK200-8</t>
  </si>
  <si>
    <t>HH070617</t>
  </si>
  <si>
    <t>GT32/GT3271LS</t>
  </si>
  <si>
    <t>J08E</t>
  </si>
  <si>
    <t>764267-0001/24100-4640/S1760-E0200/VHS1760E0200</t>
  </si>
  <si>
    <t>SK330-8 / SK350-8</t>
  </si>
  <si>
    <t>HH080645</t>
  </si>
  <si>
    <t>TD07-22A</t>
  </si>
  <si>
    <t>6D14T/ 6D15T</t>
  </si>
  <si>
    <t>49175-00428/ME032938</t>
  </si>
  <si>
    <t>Tâm lỗ 70 x 82.5
Chân vuông</t>
  </si>
  <si>
    <t>KATO</t>
  </si>
  <si>
    <t>HH075591</t>
  </si>
  <si>
    <t>49185-01041/8M06-100-J03</t>
  </si>
  <si>
    <t>SK235SR/KATO HD830</t>
  </si>
  <si>
    <t>HH077143</t>
  </si>
  <si>
    <t>TD04HL4-11</t>
  </si>
  <si>
    <t>D04FR</t>
  </si>
  <si>
    <t>49189-02750/8M04-100-L60</t>
  </si>
  <si>
    <t>SK125SR</t>
  </si>
  <si>
    <t>HH071952</t>
  </si>
  <si>
    <t>TD0890/TD08-22D</t>
  </si>
  <si>
    <t>6D22T</t>
  </si>
  <si>
    <t>ME157215/49174-00566/49174-09200</t>
  </si>
  <si>
    <t>Tâm lỗ 70 x 82.5
(cổ gang nhỏ 90)</t>
  </si>
  <si>
    <t>Kobelco/Fuso</t>
  </si>
  <si>
    <t>HH070612</t>
  </si>
  <si>
    <t>RHB6</t>
  </si>
  <si>
    <t>4BD1/4BG1/4CH</t>
  </si>
  <si>
    <t>894418-3200/NE190022/CI38/NB190027</t>
  </si>
  <si>
    <t>Tâm lỗ bu lông: 34 x 73</t>
  </si>
  <si>
    <t>SH100/EX120-1
SK04/5/EX150</t>
  </si>
  <si>
    <t>HH075720</t>
  </si>
  <si>
    <t>GT3271LS</t>
  </si>
  <si>
    <t>8G32-200-H45/787846-0001/24100-4640</t>
  </si>
  <si>
    <t>SK300-8 / 350-8</t>
  </si>
  <si>
    <t>🏭 KOMATSU · 41 mã</t>
  </si>
  <si>
    <t>KOMATSU</t>
  </si>
  <si>
    <t>HH070599</t>
  </si>
  <si>
    <t>TO4B59</t>
  </si>
  <si>
    <t>S6D95/4D105</t>
  </si>
  <si>
    <t>465044-0051/312875/6207-81-8210/6207-81-8220</t>
  </si>
  <si>
    <t>Tâm lỗ bu lông 69 x 83</t>
  </si>
  <si>
    <t>PC200-5</t>
  </si>
  <si>
    <t>HH070600</t>
  </si>
  <si>
    <t>S6D105-1/4D105/S6D110</t>
  </si>
  <si>
    <t>6137-82-8200/465269-0002/465269-0001/465269-0004/465269-0006/465269-0007</t>
  </si>
  <si>
    <t>Tâm lỗ bu lông 69 x 83
cổ gang bắt bulon 90 mm</t>
  </si>
  <si>
    <t>PC200-3/-5</t>
  </si>
  <si>
    <t>HH071951</t>
  </si>
  <si>
    <t>TA4532</t>
  </si>
  <si>
    <t>S6D125</t>
  </si>
  <si>
    <t>465105-0002/8G04-100-394/6152818310/441398-0052/6152-81-8310/6152-81-8210/6152-81-8300/6152-82-8300/6152-81-8110/6152-82-8110/6152-81-8370</t>
  </si>
  <si>
    <t>Tâm lỗ bu lông 70 x 112.7
(cổ xả ra bắt ống)</t>
  </si>
  <si>
    <t>PC400-1/3/5/6</t>
  </si>
  <si>
    <t>└─ KOMATSU</t>
  </si>
  <si>
    <t>HH074826</t>
  </si>
  <si>
    <t>HH070601</t>
  </si>
  <si>
    <t>TA3137</t>
  </si>
  <si>
    <t>S6D95</t>
  </si>
  <si>
    <t>6207-81-8331</t>
  </si>
  <si>
    <t>PC200-6</t>
  </si>
  <si>
    <t>HH083207</t>
  </si>
  <si>
    <t>S500</t>
  </si>
  <si>
    <t>6240-81-8600/319167</t>
  </si>
  <si>
    <t>EX1200</t>
  </si>
  <si>
    <t>HH075280</t>
  </si>
  <si>
    <t>KTR100</t>
  </si>
  <si>
    <t>S4D120/S4D130</t>
  </si>
  <si>
    <t>6501-11-3100</t>
  </si>
  <si>
    <t>HH079171</t>
  </si>
  <si>
    <t>KTR90</t>
  </si>
  <si>
    <t>S6D125E-5</t>
  </si>
  <si>
    <t>6506-21-5020</t>
  </si>
  <si>
    <t>Tâm lỗ bu lông 70 x 113
(cổ xả bắt bulon)</t>
  </si>
  <si>
    <t>PC400-8/PC450-8</t>
  </si>
  <si>
    <t>1815</t>
  </si>
  <si>
    <t>HH070603</t>
  </si>
  <si>
    <t>S6D114E-2A</t>
  </si>
  <si>
    <t>6743-81-8040/8C04-200-H34/4038421 4038425/4090015/6743818040/4089189</t>
  </si>
  <si>
    <t>Tâm lỗ bu lông 69 x 82
Cổ gió loe
dây van điều tốc lắp vào động cơ</t>
  </si>
  <si>
    <t>PC300-7</t>
  </si>
  <si>
    <t>HH075105</t>
  </si>
  <si>
    <t>HH076790</t>
  </si>
  <si>
    <t>KTR130</t>
  </si>
  <si>
    <t>S6D155</t>
  </si>
  <si>
    <t>6502-10-9004/6502-12-9003</t>
  </si>
  <si>
    <t>HH083045</t>
  </si>
  <si>
    <t>6502-12-9005/319032</t>
  </si>
  <si>
    <t>HH078403</t>
  </si>
  <si>
    <t>KTR110</t>
  </si>
  <si>
    <t>S6D140/SAA12V140/D155A</t>
  </si>
  <si>
    <t>6505-67-5040/6505-67-5030</t>
  </si>
  <si>
    <t>Cổ gang ra bắt bu lông
làm mát bằng nước + nhớt</t>
  </si>
  <si>
    <r>
      <rPr>
        <sz val="11"/>
        <rFont val="Arial"/>
        <charset val="134"/>
      </rPr>
      <t>9/9</t>
    </r>
    <r>
      <rPr>
        <sz val="11"/>
        <rFont val="Noto Sans CJK SC"/>
        <charset val="134"/>
      </rPr>
      <t>反</t>
    </r>
  </si>
  <si>
    <r>
      <rPr>
        <sz val="11"/>
        <rFont val="Arial"/>
        <charset val="134"/>
      </rPr>
      <t>11</t>
    </r>
    <r>
      <rPr>
        <sz val="11"/>
        <rFont val="Noto Sans CJK SC"/>
        <charset val="134"/>
      </rPr>
      <t>反</t>
    </r>
  </si>
  <si>
    <t>HH077186</t>
  </si>
  <si>
    <t>KTR110/KTR113</t>
  </si>
  <si>
    <t>S6D140E-3/SAA6D170E-3A/3B/3D / SAA6D170</t>
  </si>
  <si>
    <t>6505-61-5030</t>
  </si>
  <si>
    <t>Tâm lỗ bu lông 70 x 112.7
Cổ gang ra bắt bu lông</t>
  </si>
  <si>
    <t>PC600-6 / WA600-3</t>
  </si>
  <si>
    <r>
      <rPr>
        <sz val="11"/>
        <rFont val="Arial"/>
        <charset val="134"/>
      </rPr>
      <t>8/8</t>
    </r>
    <r>
      <rPr>
        <sz val="11"/>
        <rFont val="Noto Sans CJK SC"/>
        <charset val="134"/>
      </rPr>
      <t>（反）</t>
    </r>
  </si>
  <si>
    <r>
      <rPr>
        <sz val="11"/>
        <rFont val="Arial"/>
        <charset val="134"/>
      </rPr>
      <t>11</t>
    </r>
    <r>
      <rPr>
        <sz val="11"/>
        <rFont val="Noto Sans CJK SC"/>
        <charset val="134"/>
      </rPr>
      <t>（反）</t>
    </r>
  </si>
  <si>
    <t>HH071777</t>
  </si>
  <si>
    <t>S6D140E-1/-2C/2B/2D</t>
  </si>
  <si>
    <t>6505-52-5410</t>
  </si>
  <si>
    <t>PC600</t>
  </si>
  <si>
    <t>HH082352</t>
  </si>
  <si>
    <t>S4D107/SAA4D107E/QSB4.5</t>
  </si>
  <si>
    <t>49477-02600</t>
  </si>
  <si>
    <t>Điều tốc điện</t>
  </si>
  <si>
    <t>PC200-10/HB205/Hybrid</t>
  </si>
  <si>
    <t>CHÍNH</t>
  </si>
  <si>
    <t>HH083868</t>
  </si>
  <si>
    <t>4051033/8C04-200-H36/3783430/3787181H/3785224/3787181/4048335/6745-81-8040/3783604 | 3787175 | 4956108 | 2836441 | 3773210 | 3784580 | 3788609 | 4051033 | 4033160 | 5329180 | 4051032 | 4049358 | 4046383 | 4046498 | 4047354 | 4051384 | 4051430 | 2836411</t>
  </si>
  <si>
    <t>Tâm lỗ bu lông: 45 x 85</t>
  </si>
  <si>
    <t>PC300-8/PC350-8/HOWO 15 TẤN
L375</t>
  </si>
  <si>
    <t>HH081574</t>
  </si>
  <si>
    <t>HH075106</t>
  </si>
  <si>
    <t>HH079267</t>
  </si>
  <si>
    <t>6CT</t>
  </si>
  <si>
    <t>4029184</t>
  </si>
  <si>
    <t>cổ gió không loe</t>
  </si>
  <si>
    <t>HH074022</t>
  </si>
  <si>
    <t>HX35W</t>
  </si>
  <si>
    <t>4035253/8C03-200-E61/3960478/4033937H/4033937/4035254/4035253</t>
  </si>
  <si>
    <t>(cổ gió loe) có điều tốc</t>
  </si>
  <si>
    <t>PC200-8</t>
  </si>
  <si>
    <t>HH074021</t>
  </si>
  <si>
    <t>QSB/S6D107</t>
  </si>
  <si>
    <t>8C03-200-B80/6754-81-8190/6754-81-8120/4038597/4039630/4033282/4033282H/4955479/4039330/4039963/4043679/4043802/4046265/4955156/4038209/4042667</t>
  </si>
  <si>
    <t>Tâm lỗ bu lông 44.5 x 86
(cổ gió loe) có điều tốc</t>
  </si>
  <si>
    <t>PC200-8/PC220-8</t>
  </si>
  <si>
    <t>HH075719</t>
  </si>
  <si>
    <t>QSB/S6D107/DL06</t>
  </si>
  <si>
    <t>8C03-100-B81/6754-81-8090/4955155/4037469</t>
  </si>
  <si>
    <t>cổ gió loe, đít dài,
ko điều tốc</t>
  </si>
  <si>
    <t>HH070598</t>
  </si>
  <si>
    <t>HX30</t>
  </si>
  <si>
    <t>S4D102</t>
  </si>
  <si>
    <t>6732-81-8102/3539803/3539846/3539803/3539846/3590022/6732-81-8052/3590022</t>
  </si>
  <si>
    <t>PC100-6/PC100 PC120-6/ PC100-5
samsung MX6, MX8</t>
  </si>
  <si>
    <t>HH078442</t>
  </si>
  <si>
    <t>S4D107 / QSB4.5/4B3.9</t>
  </si>
  <si>
    <t>4038790/3599355 | 3599356 | 4038791 4089714</t>
  </si>
  <si>
    <t>R140LC-9/PC100/200/128US</t>
  </si>
  <si>
    <t>HH083259</t>
  </si>
  <si>
    <t>HH082516</t>
  </si>
  <si>
    <t>ISDE4/ ISB4.5/ S4D107</t>
  </si>
  <si>
    <t>4956031/2835143 | 4043978 | 2835144 | 2835142 | 4033969</t>
  </si>
  <si>
    <t>HH082517</t>
  </si>
  <si>
    <t>ISDE 140/ 4.5/ S4D107</t>
  </si>
  <si>
    <t>3781989</t>
  </si>
  <si>
    <t>HH074615</t>
  </si>
  <si>
    <t>H1C</t>
  </si>
  <si>
    <t>3528741/3522777 3522778/3802289/J919121/J907029/J919117/J907028/J919115/J919113/J907026/3528742/3535414/3535419/3535417/3535418/3535416/3538188/3535415/3535420/3535454/3530714/3535421/3528741/3530772</t>
  </si>
  <si>
    <t>Tâm lỗ bu lông 44.5 x 86
sò lửa/gió lớn</t>
  </si>
  <si>
    <t>PC200-6/7 Komatsu Mỹ
PC200/PC220-6</t>
  </si>
  <si>
    <t>HH082044</t>
  </si>
  <si>
    <t>4BT3.9</t>
  </si>
  <si>
    <t>3535381</t>
  </si>
  <si>
    <t>Tâm lỗ bu lông 44.5 x 86
(Sò gang lớn)</t>
  </si>
  <si>
    <t>0265</t>
  </si>
  <si>
    <t>HH075383</t>
  </si>
  <si>
    <t>S4D107/QSB4.5</t>
  </si>
  <si>
    <t>318714/318632/6751-81-8050/8C02-200-H85</t>
  </si>
  <si>
    <t>có thể thay thế cho HX25W 4038792</t>
  </si>
  <si>
    <t>HH075792</t>
  </si>
  <si>
    <t>TD04L-10T</t>
  </si>
  <si>
    <t>S4D95 LE/ B3.3</t>
  </si>
  <si>
    <t>49377-01601/49177-08500 (ruột)/6205-81-8270/3800880/4089794/4089795/6205-81-8214/6205-81-8212/8M04-200-H91/49377-01500/49377-01502/49377-01503/49377-01504/49377-01510/49377-01511/49377-01512/49377-01520/49377-01522/49377-01530/49377-01531/49377-01541/49377-01550/49377-01590/49177-92702/6205818270/6205-81-8270 4937701601/49377-01600/49T77-01601/49T7701601/49377-01601/4937701600</t>
  </si>
  <si>
    <t>Cổ gió không bắt bu lông</t>
  </si>
  <si>
    <t>PC130-7</t>
  </si>
  <si>
    <t>HH075390</t>
  </si>
  <si>
    <t>TD04L-10</t>
  </si>
  <si>
    <t>S4D95LE</t>
  </si>
  <si>
    <t>49377-01611/49377-01610/6208-81-8100/6205-81-8250/8M04-200-892</t>
  </si>
  <si>
    <t>Cổ gió bắt bu lông</t>
  </si>
  <si>
    <t>PC130-8</t>
  </si>
  <si>
    <t>HH079486</t>
  </si>
  <si>
    <t>TB4130</t>
  </si>
  <si>
    <t>6151-81-8400</t>
  </si>
  <si>
    <t>PC300-3</t>
  </si>
  <si>
    <t>có hàng fire</t>
  </si>
  <si>
    <t>HH070597</t>
  </si>
  <si>
    <t>TA3103</t>
  </si>
  <si>
    <t>S4D95/S6D95</t>
  </si>
  <si>
    <t>6205-81-8150/6205-81-8110/6205-81-8120/465636-0117/465636-0206/465636-0209/465636-0216</t>
  </si>
  <si>
    <t>PC100-1/2/3/5 /6 / PC150-3
PC120-6/ PC128UU-1
PC130-6/ PW130-6</t>
  </si>
  <si>
    <t>HH074827</t>
  </si>
  <si>
    <t>T04E15</t>
  </si>
  <si>
    <t>S6D108</t>
  </si>
  <si>
    <t>466670-0013/8G04-100-B74/6222-81-8210/6222-83-8171</t>
  </si>
  <si>
    <t>Tâm lỗ bu lông 70 x 83</t>
  </si>
  <si>
    <t>PC300-6
lắp lẫn PC300-5</t>
  </si>
  <si>
    <t>HH075791</t>
  </si>
  <si>
    <t>T04E08</t>
  </si>
  <si>
    <t>D65EX-12</t>
  </si>
  <si>
    <t>466704-0213/8G04-100-M10/6151-82-8500/466704-0213</t>
  </si>
  <si>
    <t>Cổ gang ra bắt bu lông</t>
  </si>
  <si>
    <t>HH071470</t>
  </si>
  <si>
    <t>S6D102</t>
  </si>
  <si>
    <t>3539697/6735-81-8201/6735-81-8301/6735-81-8401/3580902/3539697/3787001/3539700/3804877/8C03-100-B77</t>
  </si>
  <si>
    <t>Tâm lỗ bu lông 44.5 x 86
cổ gang dài</t>
  </si>
  <si>
    <t>PC200-6 ( nội địa nhật)
PC200/PC220-6</t>
  </si>
  <si>
    <t>HH077137</t>
  </si>
  <si>
    <t>HH073735</t>
  </si>
  <si>
    <t>4038471/6738-81-8181</t>
  </si>
  <si>
    <t>Turbo HX35W/Komatsu PC220-7 (4038471/6738-81-8181) cổ gió loe - SL UK</t>
  </si>
  <si>
    <t>HH00706</t>
  </si>
  <si>
    <t>🏭 KUBOTA · 11 mã</t>
  </si>
  <si>
    <t>KUBOTA</t>
  </si>
  <si>
    <t>HH077144</t>
  </si>
  <si>
    <t>TD04HL4</t>
  </si>
  <si>
    <t>4M50T</t>
  </si>
  <si>
    <t>49389-02140/ME444897/8M04-200-H83</t>
  </si>
  <si>
    <t>Kubota V3800
Mitsu 4M50T</t>
  </si>
  <si>
    <t>HH080916</t>
  </si>
  <si>
    <t>TD04HL-13G</t>
  </si>
  <si>
    <t>V3800</t>
  </si>
  <si>
    <t>49189-00910</t>
  </si>
  <si>
    <t>HH079266</t>
  </si>
  <si>
    <t>TD04-12T</t>
  </si>
  <si>
    <t>V3300</t>
  </si>
  <si>
    <t>49177-03130</t>
  </si>
  <si>
    <t>PAJERO</t>
  </si>
  <si>
    <t>HH078443</t>
  </si>
  <si>
    <t>TD03-7</t>
  </si>
  <si>
    <t>V2003</t>
  </si>
  <si>
    <t>49131-02030/1G622-17012/17012-1G622</t>
  </si>
  <si>
    <t>( chân vuông)</t>
  </si>
  <si>
    <t>Máy đào Kubota V2003</t>
  </si>
  <si>
    <t>HH079688</t>
  </si>
  <si>
    <t>TD03-07T /SJ440Q</t>
  </si>
  <si>
    <t>V2003 /QC480ZLQ</t>
  </si>
  <si>
    <t>49173-04100/49173-04000/8935279050949</t>
  </si>
  <si>
    <t>(Chân sò lửa tam giác) cổ
nhỏ</t>
  </si>
  <si>
    <t>Kubota V2003
xúc lật WS300A</t>
  </si>
  <si>
    <t>HH079126</t>
  </si>
  <si>
    <t>TD025</t>
  </si>
  <si>
    <t>V1505</t>
  </si>
  <si>
    <t>49373-01100/49173-03010/03100/ME444897/8M02-200-N02/49173-03400</t>
  </si>
  <si>
    <t>Kubota V1505</t>
  </si>
  <si>
    <t>HH078444</t>
  </si>
  <si>
    <t>V2607</t>
  </si>
  <si>
    <t>1J700-17010</t>
  </si>
  <si>
    <t>Kubota V2607</t>
  </si>
  <si>
    <t>HH073982</t>
  </si>
  <si>
    <t>4D87</t>
  </si>
  <si>
    <t>1G491-17011/VA410164</t>
  </si>
  <si>
    <t>cánh nhỏ</t>
  </si>
  <si>
    <t>PC56-7 / V2403/DC60</t>
  </si>
  <si>
    <t>4/4</t>
  </si>
  <si>
    <t>└─ KUBOTA</t>
  </si>
  <si>
    <t>HH081337</t>
  </si>
  <si>
    <t>HH083399</t>
  </si>
  <si>
    <t>1G924-17011</t>
  </si>
  <si>
    <t>cánh lớn</t>
  </si>
  <si>
    <t>PC56-7 / V2403/DC70</t>
  </si>
  <si>
    <t>HH00705</t>
  </si>
  <si>
    <t>49131-02060</t>
  </si>
  <si>
    <t>Turbo TD03L4/ Kubota V3307 DI/ 49131-02060 - FIRE</t>
  </si>
  <si>
    <t>🏭 MAXXFORCE · 1 mã</t>
  </si>
  <si>
    <t>MAXXFORCE</t>
  </si>
  <si>
    <t>HH078004</t>
  </si>
  <si>
    <t>B1UG</t>
  </si>
  <si>
    <t>1155-990-0047/8S01-200-J36</t>
  </si>
  <si>
    <t>Maxxforce 7.6, Đầu kéo Iternational - Jrone 8S01-200-J36</t>
  </si>
  <si>
    <t>🏭 MERCEDES · 6 mã</t>
  </si>
  <si>
    <t>MERCEDES</t>
  </si>
  <si>
    <t>HH082513</t>
  </si>
  <si>
    <t>OM906</t>
  </si>
  <si>
    <t>5327-970-7120</t>
  </si>
  <si>
    <t>Mercedes-Benz</t>
  </si>
  <si>
    <t>HH081967</t>
  </si>
  <si>
    <t>GT1852V</t>
  </si>
  <si>
    <t>709836-0001/A6110961599</t>
  </si>
  <si>
    <t>Mercedes SPRINTER</t>
  </si>
  <si>
    <t>HH083049</t>
  </si>
  <si>
    <t>GT2538C</t>
  </si>
  <si>
    <t>OM602</t>
  </si>
  <si>
    <t>6020900880</t>
  </si>
  <si>
    <t>Sprinter</t>
  </si>
  <si>
    <t>HH083050</t>
  </si>
  <si>
    <t>GT2256V</t>
  </si>
  <si>
    <t>OM612</t>
  </si>
  <si>
    <t>709838-0001</t>
  </si>
  <si>
    <t>HH081247</t>
  </si>
  <si>
    <t>4LGZ</t>
  </si>
  <si>
    <t>OM355</t>
  </si>
  <si>
    <t>5232-970-3296/0020961399/0010968399/5232-710-0011</t>
  </si>
  <si>
    <t>HH084177</t>
  </si>
  <si>
    <t>A6620903280</t>
  </si>
  <si>
    <t>Turbo GT2052S/ Mercedes OM662, Ssang Yong/ A6620903280 - SL UK</t>
  </si>
  <si>
    <t>🏭 MITSUBISHI · 10 mã</t>
  </si>
  <si>
    <t>MITSUBISHI</t>
  </si>
  <si>
    <t>HH078445</t>
  </si>
  <si>
    <t>4D34T / 4D34T/ 6D16T</t>
  </si>
  <si>
    <t>49179-00260/4917900260/49179-00261/49179-00270/49179-00280/49179-00290</t>
  </si>
  <si>
    <t>Mitsubishi Canter / Mitsubishi Canter</t>
  </si>
  <si>
    <t>HH083120</t>
  </si>
  <si>
    <t>4D34T</t>
  </si>
  <si>
    <t>49189-02350/49S89-02320/49S89-02340/49189-08020/ME080904/ME217235/ME441592/VAME217235</t>
  </si>
  <si>
    <t>Kato HD510, HD512, HD513
Mitsubishi Fuso Truck, Buse
SH135</t>
  </si>
  <si>
    <t>ruột dùng chung ME080904
49189-00511</t>
  </si>
  <si>
    <t>HH077662</t>
  </si>
  <si>
    <t>GT22S</t>
  </si>
  <si>
    <t>836254-0002/A4300900080</t>
  </si>
  <si>
    <t>tâm lỗ 75×57</t>
  </si>
  <si>
    <t>Fuso Canter</t>
  </si>
  <si>
    <t>HH071812</t>
  </si>
  <si>
    <t>S6K/3066</t>
  </si>
  <si>
    <t>49179-02300</t>
  </si>
  <si>
    <t>E320C</t>
  </si>
  <si>
    <t>Mitsu</t>
  </si>
  <si>
    <t>HH083056</t>
  </si>
  <si>
    <t>4M40</t>
  </si>
  <si>
    <t>49377-03040/ME200898/ME201258/49377-08130</t>
  </si>
  <si>
    <t>HH084198</t>
  </si>
  <si>
    <t>TF035HL</t>
  </si>
  <si>
    <t>49335-01412/M144S</t>
  </si>
  <si>
    <t>Mitsu Triton</t>
  </si>
  <si>
    <t>HH076953</t>
  </si>
  <si>
    <t>49187-00271</t>
  </si>
  <si>
    <t>Tâm lỗ bu lông 70 x 83
có điều tốc</t>
  </si>
  <si>
    <t>HH070609</t>
  </si>
  <si>
    <t>49179-00451</t>
  </si>
  <si>
    <t>HH084192</t>
  </si>
  <si>
    <t>TD06-7</t>
  </si>
  <si>
    <t>6M60</t>
  </si>
  <si>
    <t>49179-02710</t>
  </si>
  <si>
    <t>└─ MITSUBISHI</t>
  </si>
  <si>
    <t>HH084389</t>
  </si>
  <si>
    <t>FUSO</t>
  </si>
  <si>
    <t>🏭 NISSAN · 12 mã</t>
  </si>
  <si>
    <t>NISSAN</t>
  </si>
  <si>
    <t>HH080808</t>
  </si>
  <si>
    <t>TD04L</t>
  </si>
  <si>
    <t>QD32T</t>
  </si>
  <si>
    <t>14411-7T600/49377-02600</t>
  </si>
  <si>
    <t>HH081341</t>
  </si>
  <si>
    <t>PD6-T</t>
  </si>
  <si>
    <t>406130-0005</t>
  </si>
  <si>
    <t>HH083042</t>
  </si>
  <si>
    <t>HT12-19</t>
  </si>
  <si>
    <t>ZD30</t>
  </si>
  <si>
    <t>14411-9S000</t>
  </si>
  <si>
    <t>HH081736</t>
  </si>
  <si>
    <t>GT2056V</t>
  </si>
  <si>
    <t>751243-0002/14411-EB300</t>
  </si>
  <si>
    <t>Navara</t>
  </si>
  <si>
    <t>HH082505</t>
  </si>
  <si>
    <t>5303-970-0337</t>
  </si>
  <si>
    <t>HH079544</t>
  </si>
  <si>
    <t>TB2505</t>
  </si>
  <si>
    <t>FD46</t>
  </si>
  <si>
    <t>471024-7B/14411-24D00</t>
  </si>
  <si>
    <t>HH081067</t>
  </si>
  <si>
    <t>14411-VZ20A</t>
  </si>
  <si>
    <t>HH075590</t>
  </si>
  <si>
    <t>GT3576DL</t>
  </si>
  <si>
    <t>FE6T</t>
  </si>
  <si>
    <t>702172-0012/8G35-200-744/702172-0002/0003/0005/0006/14201-Z5905</t>
  </si>
  <si>
    <t>HH078405</t>
  </si>
  <si>
    <t>YD25</t>
  </si>
  <si>
    <t>14111-EB70A/14411-EB70B/14411-EB70C/14411-EB70D/14411-EC00B/14411-EC00C/14411-EC00E/769708-0001/769708-0002/769708-0003/769708-0004/764327-0001</t>
  </si>
  <si>
    <t>Navara 2019</t>
  </si>
  <si>
    <t>HH084181</t>
  </si>
  <si>
    <t>GT2056S</t>
  </si>
  <si>
    <t>775629-0005</t>
  </si>
  <si>
    <t>HH084195</t>
  </si>
  <si>
    <t>775629-0002</t>
  </si>
  <si>
    <t>HH072353</t>
  </si>
  <si>
    <t>RHC6</t>
  </si>
  <si>
    <t>FE6</t>
  </si>
  <si>
    <t>24201 - Z5613</t>
  </si>
  <si>
    <t>🏭 PERKINS · 13 mã</t>
  </si>
  <si>
    <t>PERKINS</t>
  </si>
  <si>
    <t>HH082799</t>
  </si>
  <si>
    <t>TBP419</t>
  </si>
  <si>
    <t>PERKINS 1106</t>
  </si>
  <si>
    <t>2674A059/452089-0003</t>
  </si>
  <si>
    <t>HH082794</t>
  </si>
  <si>
    <t>2674A027</t>
  </si>
  <si>
    <t>HH079070</t>
  </si>
  <si>
    <t>TB2558</t>
  </si>
  <si>
    <t>Perkins 4.0115Ti</t>
  </si>
  <si>
    <t>452065-0003</t>
  </si>
  <si>
    <t>HH081639</t>
  </si>
  <si>
    <t>GT3571S</t>
  </si>
  <si>
    <t>Perkins 1106</t>
  </si>
  <si>
    <t>709942-0008/2674A349</t>
  </si>
  <si>
    <t>Perkins 1106, 2674A349</t>
  </si>
  <si>
    <t>HH082045</t>
  </si>
  <si>
    <t>2674A342</t>
  </si>
  <si>
    <t>2410</t>
  </si>
  <si>
    <t>HH079174</t>
  </si>
  <si>
    <t>GT2556S</t>
  </si>
  <si>
    <t>PERKINS 4.4</t>
  </si>
  <si>
    <t>711736-0026/2674A226/8G25-200-737</t>
  </si>
  <si>
    <t>└─ PERKINS</t>
  </si>
  <si>
    <t>HH076778</t>
  </si>
  <si>
    <t>HH082670</t>
  </si>
  <si>
    <t>Perkins 1004</t>
  </si>
  <si>
    <t>727266-0001</t>
  </si>
  <si>
    <t>HH079272</t>
  </si>
  <si>
    <t>2674A323</t>
  </si>
  <si>
    <t>HH075386</t>
  </si>
  <si>
    <t>711736-0024/711736-0023/8G25-200-H84</t>
  </si>
  <si>
    <t>Tâm lỗ bu lông 40 x 73
như nhau khác nhau chiều quay</t>
  </si>
  <si>
    <t>HH075395</t>
  </si>
  <si>
    <t>B2G</t>
  </si>
  <si>
    <t>8S02-200-835/2674A256/315-9810/1070-197-0002</t>
  </si>
  <si>
    <t>điều tốc ở giữa 2 sò</t>
  </si>
  <si>
    <t>8S02-200-835, điều tốc ở giữa 2 sò</t>
  </si>
  <si>
    <t>HH084184</t>
  </si>
  <si>
    <t>711736-0025</t>
  </si>
  <si>
    <t>sò gió, lửa cùng phía</t>
  </si>
  <si>
    <t>HH083858</t>
  </si>
  <si>
    <t>711736-5010S/8G25-200-H54</t>
  </si>
  <si>
    <t>🏭 SUMITOMO · 7 mã</t>
  </si>
  <si>
    <t>SUMITOMO</t>
  </si>
  <si>
    <t>HH084185</t>
  </si>
  <si>
    <t>4D31</t>
  </si>
  <si>
    <t>ME013734/49179-00230</t>
  </si>
  <si>
    <t>có H/A</t>
  </si>
  <si>
    <t>HH070621</t>
  </si>
  <si>
    <t>TD05-10A</t>
  </si>
  <si>
    <t>4D31T/4D56Q</t>
  </si>
  <si>
    <t>49178-00500/49178-00510/49178-00520/49178-00530/49178-00540/49178-00550/M013134/ME080098</t>
  </si>
  <si>
    <t>Chân tam giác tâm lỗ 70
(cổ turbo 3 chân)</t>
  </si>
  <si>
    <t>SH120/HD450/SH260/SH265</t>
  </si>
  <si>
    <t>└─ SUMITOMO</t>
  </si>
  <si>
    <t>HH081735</t>
  </si>
  <si>
    <t>HH073014</t>
  </si>
  <si>
    <t>TD04H-13G</t>
  </si>
  <si>
    <t>4D31T</t>
  </si>
  <si>
    <t>ME080442/49189-00800/49189-00810/ME080443</t>
  </si>
  <si>
    <t>Tâm lỗ bu lông 41 x 73
(cổ turbo 4 chân)
Lỗ bu lông 10mm</t>
  </si>
  <si>
    <t>SH260/SH265/HD450-7
E312C</t>
  </si>
  <si>
    <t>HH070613</t>
  </si>
  <si>
    <t>TB4150/RHB7</t>
  </si>
  <si>
    <t>6BD1</t>
  </si>
  <si>
    <t>114400-1070/VA150021/447450-0209 | 447450-209 | 447450-5209S | VA830011 | 705739-0001 | 705739-1 | 705739-5001S | CI12 | CI-12 | RHB7CI12 | NN170020 | VA150021 | VB150021 | VC150021 | 114400-1070 | 1144001070 | 1-14400-107-0 | 114400-1071 | 1144001071 | 1-14400-107-1 | 7T-533 | 318732 | B71CND-S0021B | B71CND-S0021G</t>
  </si>
  <si>
    <t>Tâm lỗ bu lông: 70 x 82.5</t>
  </si>
  <si>
    <t>EX280/ S280 / SH280
EX200LCK/UH07-7</t>
  </si>
  <si>
    <t>HH081576</t>
  </si>
  <si>
    <t>HH00703</t>
  </si>
  <si>
    <t>TD04H</t>
  </si>
  <si>
    <t>49178-00500</t>
  </si>
  <si>
    <t>SH260/SH265 đời tam giác</t>
  </si>
  <si>
    <t>SH260/SH265</t>
  </si>
  <si>
    <t>🏭 TOYOTA · 6 mã</t>
  </si>
  <si>
    <t>TOYOTA</t>
  </si>
  <si>
    <t>HH082355</t>
  </si>
  <si>
    <t>CT16</t>
  </si>
  <si>
    <t>2KD-FTV</t>
  </si>
  <si>
    <t>17201-OL030/17202-0L030</t>
  </si>
  <si>
    <t>ko làm mát nước</t>
  </si>
  <si>
    <t>HILUX</t>
  </si>
  <si>
    <t>HH078577</t>
  </si>
  <si>
    <t>17201-30080</t>
  </si>
  <si>
    <t>Hiace</t>
  </si>
  <si>
    <t>xem hình trên TBS</t>
  </si>
  <si>
    <t>HH079002</t>
  </si>
  <si>
    <t>CT16V</t>
  </si>
  <si>
    <t>1KD</t>
  </si>
  <si>
    <t>17201-0L040/17201-30101/17201-30110/17202-90040</t>
  </si>
  <si>
    <t>Hilux / Fortuner 2013-2015/ Prado
D-4D 1KD-FTV 3.0L</t>
  </si>
  <si>
    <t>HH081332</t>
  </si>
  <si>
    <t>2GD-FTV</t>
  </si>
  <si>
    <t>17201-11070</t>
  </si>
  <si>
    <t>Hilux</t>
  </si>
  <si>
    <t>HH084197</t>
  </si>
  <si>
    <t>VB31</t>
  </si>
  <si>
    <t>2KD-FTV | 2KD</t>
  </si>
  <si>
    <t>17201-0L070 | 17201-0L071 | 17201-OL070 | 17201-OL071 | 172010L070 | 172010L071 | 17201OL070 | 17201OL071</t>
  </si>
  <si>
    <t>chưa nhập xem hình trên TBS</t>
  </si>
  <si>
    <t>└─ TOYOTA</t>
  </si>
  <si>
    <t>HH069930</t>
  </si>
  <si>
    <t>🏭 WEICHAI · 1 mã</t>
  </si>
  <si>
    <t>WEICHAI</t>
  </si>
  <si>
    <t>HH080650</t>
  </si>
  <si>
    <t>H1F</t>
  </si>
  <si>
    <t>BF6L913/BF4L913</t>
  </si>
  <si>
    <t>3826322</t>
  </si>
  <si>
    <t>🏭 XICHAI · 1 mã</t>
  </si>
  <si>
    <t>XICHAI</t>
  </si>
  <si>
    <t>HH080318</t>
  </si>
  <si>
    <t>CA4113/CA4110</t>
  </si>
  <si>
    <t>111801014BKZ/711380-0010</t>
  </si>
  <si>
    <t>cổ gang ra 3 lỗ</t>
  </si>
  <si>
    <t>🏭 YANMAR · 4 mã</t>
  </si>
  <si>
    <t>YANMAR</t>
  </si>
  <si>
    <t>HH077146</t>
  </si>
  <si>
    <t>4TNV98T</t>
  </si>
  <si>
    <t>VA430075/8I05-200-M09/F51CADS0075/12990818011/123945-18020/129908-18010/12990818010</t>
  </si>
  <si>
    <t>HH00710</t>
  </si>
  <si>
    <t>RHB52</t>
  </si>
  <si>
    <t>4TNV100/C240/W04DT</t>
  </si>
  <si>
    <t>241001880A/24100-1511/24100-1510A</t>
  </si>
  <si>
    <t>cổ gang bắt 3 lỗ bulon</t>
  </si>
  <si>
    <t>máy thủy nhiều</t>
  </si>
  <si>
    <t>HH078450</t>
  </si>
  <si>
    <t>RHB31</t>
  </si>
  <si>
    <t>Yanmar 78/82/84</t>
  </si>
  <si>
    <t>129403-18050/129189-18010</t>
  </si>
  <si>
    <t>HH071477</t>
  </si>
  <si>
    <t>129137-18010</t>
  </si>
  <si>
    <t>🏭 YUCHAI · 3 mã</t>
  </si>
  <si>
    <t>YUCHAI</t>
  </si>
  <si>
    <t>HH080314</t>
  </si>
  <si>
    <t>YC4110ZQ/YC4108</t>
  </si>
  <si>
    <t>1575-1118020A</t>
  </si>
  <si>
    <t>cổ gang bắt 5 lỗ bulon</t>
  </si>
  <si>
    <t>HH080807</t>
  </si>
  <si>
    <t>JP60S/TB28</t>
  </si>
  <si>
    <t>CA498</t>
  </si>
  <si>
    <t>708353-0001/1118010X3</t>
  </si>
  <si>
    <t>cổ gang bắt 5 lỗ bulon,làm mắt bằng nước nhớt</t>
  </si>
  <si>
    <t>HH079173</t>
  </si>
  <si>
    <t>CY4102</t>
  </si>
  <si>
    <t>702365-0018/702365-18/702365-5018S/702365-50185</t>
  </si>
  <si>
    <t>cổ gang bắt 5 lỗ bulo</t>
  </si>
  <si>
    <t>🏭 CHƯA RÕ · 38 mã</t>
  </si>
  <si>
    <t>HH0627</t>
  </si>
  <si>
    <t>GT2252S</t>
  </si>
  <si>
    <t>BD30T</t>
  </si>
  <si>
    <t>14411-69T00/452187-0001 | 452187-0003 | 452187-0005 | 452187-0006 | 452187-1 | 452187-3 | 452187-5 | 452187-6 | 452187-5001S | 452187-5003S | 452187-5005S | 452187-5006S | 14411-69T00 | 14411-69500 | 14411-69500</t>
  </si>
  <si>
    <t>Làm mát bằng nhớt/h/a có tanboress</t>
  </si>
  <si>
    <t>HH00715</t>
  </si>
  <si>
    <t>GT1544S</t>
  </si>
  <si>
    <t>S4Q</t>
  </si>
  <si>
    <t>758096-0001</t>
  </si>
  <si>
    <t>mới nhập</t>
  </si>
  <si>
    <t>HH081734</t>
  </si>
  <si>
    <t>465044-0037/6137-82-8200</t>
  </si>
  <si>
    <t>Turbo TO4B59/S6D105/PC200-3 (465044-0037/6137-82-8200) - TBS</t>
  </si>
  <si>
    <t>HH080313</t>
  </si>
  <si>
    <t>TD04L-10 GKRC-5</t>
  </si>
  <si>
    <t>S4D95 LE/SAA4D95LE</t>
  </si>
  <si>
    <t>49377-01611/49377-01610/6208-81-8100/6205-81-8250/8M04-200-892/6205-81-8250/6205818250/6208-81-8100/6208818100</t>
  </si>
  <si>
    <t>cổ gió bắt bu lông</t>
  </si>
  <si>
    <t>HH082951</t>
  </si>
  <si>
    <t>S4D107/ SAA4D107E-3</t>
  </si>
  <si>
    <t>6753-81-8290</t>
  </si>
  <si>
    <t>Chính hãng</t>
  </si>
  <si>
    <t>HH071941</t>
  </si>
  <si>
    <t>S400</t>
  </si>
  <si>
    <t>6156-81-8170</t>
  </si>
  <si>
    <t>PC400-7</t>
  </si>
  <si>
    <t>HH073736</t>
  </si>
  <si>
    <t>HX35W/6BTA</t>
  </si>
  <si>
    <t>3536971</t>
  </si>
  <si>
    <t>Turbo HX35W/6BTA/ R220 (3536971) cổ gió không loe - SL UK</t>
  </si>
  <si>
    <t>Maxxfore</t>
  </si>
  <si>
    <t>HH0679</t>
  </si>
  <si>
    <t>GTA3782BD</t>
  </si>
  <si>
    <t>DT466</t>
  </si>
  <si>
    <t>183047C93 -</t>
  </si>
  <si>
    <t>R220</t>
  </si>
  <si>
    <t>CHƯA RÕ</t>
  </si>
  <si>
    <t>HH083393</t>
  </si>
  <si>
    <t>8G22-300-E88</t>
  </si>
  <si>
    <t>Turbo GT2260V/ 8G22-300-E88 (BMW X3) - JRONE</t>
  </si>
  <si>
    <t>HH079172</t>
  </si>
  <si>
    <t>17201-E0640/732409-0012</t>
  </si>
  <si>
    <t>có điểu tốc</t>
  </si>
  <si>
    <t>HH070606</t>
  </si>
  <si>
    <t>EP100</t>
  </si>
  <si>
    <t>24100-1440</t>
  </si>
  <si>
    <t>EX300-1</t>
  </si>
  <si>
    <t>HH081339</t>
  </si>
  <si>
    <t>4BD1</t>
  </si>
  <si>
    <t>HH00704</t>
  </si>
  <si>
    <t>4D18E-001/ QC-480-ZLQ</t>
  </si>
  <si>
    <t>HH075288</t>
  </si>
  <si>
    <t>8G04-100-543</t>
  </si>
  <si>
    <t>HH083683</t>
  </si>
  <si>
    <t>4043648/8C05-100-A73</t>
  </si>
  <si>
    <t>HH078441</t>
  </si>
  <si>
    <t>TA5131/TA5136</t>
  </si>
  <si>
    <t>466569-5001S/114400-3400/114400-3360</t>
  </si>
  <si>
    <t>EX400-3/5 / EX450-5</t>
  </si>
  <si>
    <t>HH072355</t>
  </si>
  <si>
    <t>H06CT</t>
  </si>
  <si>
    <t>24100-1870B</t>
  </si>
  <si>
    <t>HH080647</t>
  </si>
  <si>
    <t>TD08F</t>
  </si>
  <si>
    <t>D6CC</t>
  </si>
  <si>
    <t>28200-84801/28210-52302</t>
  </si>
  <si>
    <t>HD500</t>
  </si>
  <si>
    <t>HH078447</t>
  </si>
  <si>
    <t>TD08-5</t>
  </si>
  <si>
    <t>8DC9T</t>
  </si>
  <si>
    <t>49174-00592</t>
  </si>
  <si>
    <t>HH073734</t>
  </si>
  <si>
    <t>S6D102E</t>
  </si>
  <si>
    <t>6738-82-8220</t>
  </si>
  <si>
    <t>cổ gió loe, cổ xả dài -</t>
  </si>
  <si>
    <t>PC200-7</t>
  </si>
  <si>
    <t>⚠️ CHƯA NHẬP MÃ VT · 60 dòng — ANH ĐIỀN MÃ + DỮ LIỆU SAU</t>
  </si>
  <si>
    <t>CHEVROLET</t>
  </si>
  <si>
    <t>GTB1549VK</t>
  </si>
  <si>
    <t>762463-0006/762463-0001 | 762463-0002 | 762463-0003 | 762463-0004 | 762463-0006 | 762463-1 | 762463-2 | 762463-3 | 762463-4 | 762463-6 | 762463-5001S | 762463-5002S | 762463-5003S | 762463-5004S | 762463-5006S | 96440365 | 4805337 | 805337 | 440365/96440365/4805337</t>
  </si>
  <si>
    <t>Chevrolet Captiva 2.0 D / Z20S</t>
  </si>
  <si>
    <t>HX25</t>
  </si>
  <si>
    <t>1000-020-153</t>
  </si>
  <si>
    <t>có bộ ruột</t>
  </si>
  <si>
    <t>HH075399</t>
  </si>
  <si>
    <t>3596065/3596067</t>
  </si>
  <si>
    <t>HH077124</t>
  </si>
  <si>
    <t>3537127/3537128/3537129/3537130/3538856/3538857/3539208/3802810/3802909/4044187/4044188/4044990/76192751/3535631/3535632/3535634/3535635/3535636/3535638/3535638H/3535640/3535641/3802651/76192436/1304937H91/6742-01-5049/6742015049/J802651/J535635</t>
  </si>
  <si>
    <t>chưa nhập</t>
  </si>
  <si>
    <t>3802784/3536404 3537287 3537288 3537289 3539312 3593565</t>
  </si>
  <si>
    <t>4038613/4038616/3594236</t>
  </si>
  <si>
    <t>HH080651</t>
  </si>
  <si>
    <t>HH081338</t>
  </si>
  <si>
    <t>T04E55</t>
  </si>
  <si>
    <t>65.09100-7206</t>
  </si>
  <si>
    <t>TBL4 T04E55</t>
  </si>
  <si>
    <t>DE08</t>
  </si>
  <si>
    <t>730505-0001</t>
  </si>
  <si>
    <t>FAW</t>
  </si>
  <si>
    <t>CA6113BKZ</t>
  </si>
  <si>
    <t>111801OS-BKZ</t>
  </si>
  <si>
    <t>tháo nắp cổ gang ra để bán sang 720669-5002</t>
  </si>
  <si>
    <t>FB30-6K682-DF</t>
  </si>
  <si>
    <t>BT50 3.2 ( 4*4) 2014
Ranger 3.2</t>
  </si>
  <si>
    <t>chưa nhập ⚠️ CHƯA NHẬP MÃ VT</t>
  </si>
  <si>
    <t>Transit 2.2</t>
  </si>
  <si>
    <t>LC1Q6K682AA</t>
  </si>
  <si>
    <t>Transit 2.2
2021 – 2023</t>
  </si>
  <si>
    <t>⚠️ CHƯA NHẬP MÃ VT</t>
  </si>
  <si>
    <t>HH079579</t>
  </si>
  <si>
    <t>BK3Q6K682NC/8M03-200-D11/BK3Q-6K682-NA/BK3Q6K682NB/49131-06320/49131-06300/49131-06340/BK3Q-6K682-NC/2030487/BK3Q6K682NA/49131-06300 | 49131-06320 | 49131-06340 | 2030487 | 1206120236 | BK3Q-6K682-NA | BK3Q-6K682-NB | BK3Q-6K682-NC</t>
  </si>
  <si>
    <t>dắt cắm điều tốc trên đỉnh hình tam giác</t>
  </si>
  <si>
    <t>Ford Ranger 2.2 2012 – 2016 / Everest – 2.2L &amp; 3.2L ( 2016 → 2018)
Ranger 2.2/ BT50 2.2 ( 2013 - 2014)</t>
  </si>
  <si>
    <t>HH075389</t>
  </si>
  <si>
    <t>24100-2780A</t>
  </si>
  <si>
    <t>Đổi chiều quay sò gió lắp cho RHC6/H06C-T</t>
  </si>
  <si>
    <t>RHG7</t>
  </si>
  <si>
    <t>24100-4011 17201-E0480</t>
  </si>
  <si>
    <t>H06CT /H06CTI</t>
  </si>
  <si>
    <t>241001870B/CX35/VA250029/VA250027/NH170049</t>
  </si>
  <si>
    <t>EX220-1/EX270-1</t>
  </si>
  <si>
    <t>24100-1440/VC250019/VA250019/24100-1440B</t>
  </si>
  <si>
    <t>RHG7V</t>
  </si>
  <si>
    <t>6UZ1</t>
  </si>
  <si>
    <t>8983698700/14400-4634</t>
  </si>
  <si>
    <t>ZX470-5 ( đời điện )</t>
  </si>
  <si>
    <t>chưa nhập ,có hình ảnh chính hãng ⚠️ CHƯA NHẬP MÃ VT</t>
  </si>
  <si>
    <t>D4HB 2.2L</t>
  </si>
  <si>
    <t>28231-2F650/53039880430/5303-970-0430</t>
  </si>
  <si>
    <t>Santafe 2016 /Kia Sorento 2.2CRDI</t>
  </si>
  <si>
    <t>D6CB/D6HA</t>
  </si>
  <si>
    <t>28200-82700</t>
  </si>
  <si>
    <t>Universe</t>
  </si>
  <si>
    <t>GT1544V</t>
  </si>
  <si>
    <t>740611-0002/28201-2A400/740611-5002W/740611-5002S</t>
  </si>
  <si>
    <t>RHF5-2B</t>
  </si>
  <si>
    <t>28200-4X700</t>
  </si>
  <si>
    <t>HYUNDAI Terracan 2.9 CRDi</t>
  </si>
  <si>
    <t>HH080643</t>
  </si>
  <si>
    <t>Terracan 2.9 CRDi</t>
  </si>
  <si>
    <t>RHV4 / VT16</t>
  </si>
  <si>
    <t>4D56</t>
  </si>
  <si>
    <t>1515A170</t>
  </si>
  <si>
    <t>for Mitsubishi Triton 2.5</t>
  </si>
  <si>
    <t>HH078439</t>
  </si>
  <si>
    <t>HH080642</t>
  </si>
  <si>
    <t>TD05H</t>
  </si>
  <si>
    <t>D4DA/ D4DD</t>
  </si>
  <si>
    <t>28230-45000/28230-45500</t>
  </si>
  <si>
    <t>COUNTY/ MIGHTY II</t>
  </si>
  <si>
    <t>TD05H-12G</t>
  </si>
  <si>
    <t>4D34T/D4DD</t>
  </si>
  <si>
    <t>County/HD65</t>
  </si>
  <si>
    <t>HH081577</t>
  </si>
  <si>
    <t>4D34T/ D4DA</t>
  </si>
  <si>
    <t>28230-45000/28230-45100</t>
  </si>
  <si>
    <t>28200-42800/28200-42810/49135-04350 | 49497-66101 | 4913504350 | 4949766101 | 2820042800</t>
  </si>
  <si>
    <t>Porter/Starex / huyndai H-1</t>
  </si>
  <si>
    <t>HH080641</t>
  </si>
  <si>
    <t>HH075392</t>
  </si>
  <si>
    <t>STAREX</t>
  </si>
  <si>
    <t>HH077139</t>
  </si>
  <si>
    <t>GT25</t>
  </si>
  <si>
    <t>4HE1/ 4HK1</t>
  </si>
  <si>
    <t>Điều tốc</t>
  </si>
  <si>
    <t>NQR xe tải</t>
  </si>
  <si>
    <t>HH078321</t>
  </si>
  <si>
    <t>4JB1/4JG2</t>
  </si>
  <si>
    <t>HH075109</t>
  </si>
  <si>
    <t>QRK</t>
  </si>
  <si>
    <t>8982435610</t>
  </si>
  <si>
    <t>NQR -EURO 4 / QKR270/QKR55E</t>
  </si>
  <si>
    <t>4HE1-T/4HE1T</t>
  </si>
  <si>
    <t>8971038570/8971038571/VA440012 VB440012 VC440012 VD440012 VA440013/VC440012-VIBA</t>
  </si>
  <si>
    <t>có điều tốc ,cổ gang bắt bulon 5 lỗ</t>
  </si>
  <si>
    <t>TF035HL4</t>
  </si>
  <si>
    <t>D04EG</t>
  </si>
  <si>
    <t>49335-00760</t>
  </si>
  <si>
    <t>SK135</t>
  </si>
  <si>
    <t>TF07-13M | TE06H</t>
  </si>
  <si>
    <t>6D34 | 6D34T</t>
  </si>
  <si>
    <t>49186-00360/4918600360/49186-00370/4918600370/ME088865/ME441218</t>
  </si>
  <si>
    <t>Tâm lỗ bu lông 85 x 70
(cổ gang ra đút ống 90 mm )</t>
  </si>
  <si>
    <t>SK230-6</t>
  </si>
  <si>
    <t>chưa nhập , check kĩ tâm lỗ
,chưa đo thực tế ⚠️ CHƯA NHẬP MÃ VT</t>
  </si>
  <si>
    <t>4BT 3.9/6B5.9</t>
  </si>
  <si>
    <t>3522900/3802290</t>
  </si>
  <si>
    <t>D41-6</t>
  </si>
  <si>
    <t>3531696</t>
  </si>
  <si>
    <t>4BTA</t>
  </si>
  <si>
    <t>3523743</t>
  </si>
  <si>
    <t>HE351W</t>
  </si>
  <si>
    <t>6BTAA, ISB, ISDE6</t>
  </si>
  <si>
    <t>4043980/2837188/4955908/4043982/2834176/4032737</t>
  </si>
  <si>
    <t>chưa nhập có hình ảnh sl ⚠️ CHƯA NHẬP MÃ VT</t>
  </si>
  <si>
    <t>Tâm lỗ bu lông 44.5 x 86
(cổ gió loe, cổ xả dài ,ko có điều tốc )</t>
  </si>
  <si>
    <t>3960454/3960408</t>
  </si>
  <si>
    <t>R210-7</t>
  </si>
  <si>
    <t>S6D102E-2</t>
  </si>
  <si>
    <t>4038471/3596629/6738-81-8181/6738-81-8190</t>
  </si>
  <si>
    <t>có điều tốc
(cổ gió loe)</t>
  </si>
  <si>
    <t>PC200-7/PC220-7</t>
  </si>
  <si>
    <t>3802761</t>
  </si>
  <si>
    <t>R200/R210-3/R220-5</t>
  </si>
  <si>
    <t>3536971/3536972/3536973/3536974/3536975</t>
  </si>
  <si>
    <t>Tâm lỗ bu lông 44.5 x 87
cổ gió không loe</t>
  </si>
  <si>
    <t>ROBEX R220</t>
  </si>
  <si>
    <t>HH079176</t>
  </si>
  <si>
    <t>V3307</t>
  </si>
  <si>
    <t>49131-02606</t>
  </si>
  <si>
    <t>HH079781</t>
  </si>
  <si>
    <t>TD13</t>
  </si>
  <si>
    <t>S6R</t>
  </si>
  <si>
    <t>49182-03520</t>
  </si>
  <si>
    <t>Tâm lỗ 113 x</t>
  </si>
  <si>
    <t>24100-5613</t>
  </si>
  <si>
    <t>TA4507</t>
  </si>
  <si>
    <t>PE6T</t>
  </si>
  <si>
    <t>466314-0002</t>
  </si>
  <si>
    <t>⚠️ Trùng HH078448 (xem dòng trên)</t>
  </si>
  <si>
    <t>HH078448</t>
  </si>
  <si>
    <t>QUANCHAI</t>
  </si>
  <si>
    <t>JP50</t>
  </si>
  <si>
    <t>1408506300103</t>
  </si>
  <si>
    <t>VA440051, 8980302170, 8980302171</t>
  </si>
  <si>
    <t>CH210-IS-5, SH210, SH240/SH200-5</t>
  </si>
  <si>
    <t>có hàng jrone ⚠️ CHƯA NHẬP MÃ VT</t>
  </si>
  <si>
    <t>GT2359V</t>
  </si>
  <si>
    <t>775095-0001/17201-51010</t>
  </si>
  <si>
    <t>Land Cruiser 70 Seires 1VD-FTV Euro 4</t>
  </si>
  <si>
    <t>4TNA78 3TN82/3TE82/84/3T84</t>
  </si>
  <si>
    <t>MY61 Yanmar</t>
  </si>
  <si>
    <t>TA4514</t>
  </si>
  <si>
    <t>6CH</t>
  </si>
  <si>
    <t>466822-5001</t>
  </si>
  <si>
    <t>chưa nhập ( mã miền tây)</t>
  </si>
  <si>
    <t>YC6108ZQ / (475D)</t>
  </si>
  <si>
    <t>720669-5002/S150123042</t>
  </si>
  <si>
    <t>cổ gang bắt 6 lỗ bulon</t>
  </si>
  <si>
    <t>🔧 RUỘT TURBO (CHRA) — TRA CỨU THEO HÃNG MÁY</t>
  </si>
  <si>
    <t>🏭 CAT · 4 mã</t>
  </si>
  <si>
    <t>HH080117</t>
  </si>
  <si>
    <t>HH079980</t>
  </si>
  <si>
    <t>HH079979</t>
  </si>
  <si>
    <t>HH081544</t>
  </si>
  <si>
    <t>🏭 CUMMINS · 24 mã</t>
  </si>
  <si>
    <t>HH080330</t>
  </si>
  <si>
    <t>HH081336</t>
  </si>
  <si>
    <t>HH080745</t>
  </si>
  <si>
    <t>HH080326</t>
  </si>
  <si>
    <t>HH080741</t>
  </si>
  <si>
    <t>HH080742</t>
  </si>
  <si>
    <t>HH077595</t>
  </si>
  <si>
    <t>HH080327</t>
  </si>
  <si>
    <t>H2C</t>
  </si>
  <si>
    <t>L10</t>
  </si>
  <si>
    <t>3519095</t>
  </si>
  <si>
    <t>HH081615</t>
  </si>
  <si>
    <t>HH080740</t>
  </si>
  <si>
    <t>HH082365</t>
  </si>
  <si>
    <t>HH079359</t>
  </si>
  <si>
    <t>HH079970</t>
  </si>
  <si>
    <t>HH079178</t>
  </si>
  <si>
    <t>HH082366</t>
  </si>
  <si>
    <t>HH081616</t>
  </si>
  <si>
    <t>HH083504</t>
  </si>
  <si>
    <t>HH082883</t>
  </si>
  <si>
    <t>HH074862</t>
  </si>
  <si>
    <t>HH079971</t>
  </si>
  <si>
    <t>HH082878</t>
  </si>
  <si>
    <t>HH079989</t>
  </si>
  <si>
    <t>Bộ ruột (CHRA) Turbo HX35W/Cummins 6BTA/R220 (3536971) - SL UK</t>
  </si>
  <si>
    <t>HH083248</t>
  </si>
  <si>
    <t>3539071</t>
  </si>
  <si>
    <t>Bộ ruột (CHRA) Turbo HX25W/ 3539071 (Cummins/ HX25/ S4D107/ ISF 3.8) - SL UK</t>
  </si>
  <si>
    <t>HH079988</t>
  </si>
  <si>
    <t>4038928</t>
  </si>
  <si>
    <t>Bộ ruột (CHRA) Turbo HE221W/ Cummins S4D107/ 4038928 - SL UK</t>
  </si>
  <si>
    <t>🏭 DETROIT · 3 mã</t>
  </si>
  <si>
    <t>HH077593</t>
  </si>
  <si>
    <t>GTA4502V</t>
  </si>
  <si>
    <t>DETROIT S60 14L</t>
  </si>
  <si>
    <t>758160-0007/758160-0009/0006/1000-010-579T</t>
  </si>
  <si>
    <t>HH077594</t>
  </si>
  <si>
    <t>758204-0008</t>
  </si>
  <si>
    <t>Bộ ruột Turbo GTA4502V/ 758204-0008/ DETROIT S60 12.7L - Jrone 1000-010-582T</t>
  </si>
  <si>
    <t>HH077592</t>
  </si>
  <si>
    <t>714788-0009</t>
  </si>
  <si>
    <t>Bộ ruột Turbo GTA4294B/ 714788-0009/ DETROIT S60 12.7L - Jrone 1000-010-518T</t>
  </si>
  <si>
    <t>🏭 DEUTZ · 1 mã</t>
  </si>
  <si>
    <t>HH079977</t>
  </si>
  <si>
    <t>🏭 DOOSAN · 3 mã</t>
  </si>
  <si>
    <t>HH082686</t>
  </si>
  <si>
    <t>HH077905</t>
  </si>
  <si>
    <t>HH078208</t>
  </si>
  <si>
    <t>🏭 FORD · 14 mã</t>
  </si>
  <si>
    <t>HH080492</t>
  </si>
  <si>
    <t>HH081330</t>
  </si>
  <si>
    <t>HH082084</t>
  </si>
  <si>
    <t>HH083797</t>
  </si>
  <si>
    <t>cánh billet</t>
  </si>
  <si>
    <t>HH0625</t>
  </si>
  <si>
    <t>HH082677</t>
  </si>
  <si>
    <t>HH078870</t>
  </si>
  <si>
    <t>HH081325</t>
  </si>
  <si>
    <t>HH082081</t>
  </si>
  <si>
    <t>49131-05400 | 49131-05401 | 49131-05402 | 49131-05403 | 49131-05452 | 49S31-05400 | 49S31-05402 | 49S31-05403 | 1372799 | 1406162 | 1449608 | 1567328 | 6C1Q6K682DC | 6C1Q6K682DD | 6C1Q6K682DE | 6C1Q6K682DF | 6C1Q-6K682-DC | 6C1Q-6K682-DD | 6C1Q-6K682-DE | 6C1Q-6K682-DF</t>
  </si>
  <si>
    <t>Transit 2.4
(2006-2014)</t>
  </si>
  <si>
    <t>HH082358</t>
  </si>
  <si>
    <t>GT2052V</t>
  </si>
  <si>
    <t>Transit</t>
  </si>
  <si>
    <t>752610-0015/752610-0009 | 752610-0010 | 752610-0012 | 752610-0013 | 752610-0025 | 752610-0026 | 752610-0029 |/752610-0032 | 752610-9 | 752610-10 | 752610-12 | 752610-13 | 752610-15 | 752610-25 | 752610-26 | 752610-29 | 752610-32 | 752610-5009S | 752610-5010S | 752610-5012S | 752610-5013S | 752610-5015S | 752610-5025S | 752610-5026S | 752610-5029S | 752610-5032S | 6C1Q6K682EE | 6C1Q6K682EF | 6C1Q6K682EG | 6C1Q6K682EH | 6C1Q6K682EJ | 6C1Q6K682E | 6C1Q6K682EL | 6C1Q6K682EM | 6C1Q6K682EN | 6C1Q6K682FA | 6C1Q-6K682-EE | 6C1Q-6K682-EF | 6C1Q-6K682-EG | 6C1Q-6K682-EH | 6C1Q-6K682-EJ | 6C1Q-6K682-EK | 6C1Q-6K682-EL | 6C1Q-6K682-EM | 6C1Q-6K682-EN | 6C1Q-6K682-FA | RM6C1Q6K682EN | YC1Q6K682AE | YC1Q6K682BF | YC1Q6K682DA | 3C1Q6K682FA | 1020183 | 1219310 | 1355059 | 1355066 | 1430766 | 1435057 | 1445932 | 1456075 | 1477185 | 1497698 | 1521490 | 1569638 | 1669557 | 1670472 | 1686389 | LR004821 | LR006869 | LR008203 | LR012858 | LR018396 | LR018497 | LR021013 | LR042752 | LR010138/1000-010-168-0001</t>
  </si>
  <si>
    <t>Ford Transit 2013-2016</t>
  </si>
  <si>
    <t>HH083832</t>
  </si>
  <si>
    <t>HH083833</t>
  </si>
  <si>
    <t>HH083876</t>
  </si>
  <si>
    <t>1000-050-006</t>
  </si>
  <si>
    <t>Bộ ruột (CHRA) Turbo TF035HM-12T-4/ Ford Transit 2.4/ 1000-050-006- JRONE</t>
  </si>
  <si>
    <t>HH083654</t>
  </si>
  <si>
    <t>WE01-13-700D</t>
  </si>
  <si>
    <t>Bộ ruột (CHRA) Turbo Ford RHV4/VJ38/WL 16V (WE01-13-700D) - SL UK</t>
  </si>
  <si>
    <t>🏭 HINO · 7 mã</t>
  </si>
  <si>
    <t>HH080640</t>
  </si>
  <si>
    <t>HH078576</t>
  </si>
  <si>
    <t>HH082688</t>
  </si>
  <si>
    <t>HH080024</t>
  </si>
  <si>
    <t>HH080736</t>
  </si>
  <si>
    <t>HH080288</t>
  </si>
  <si>
    <t>HH083247</t>
  </si>
  <si>
    <t>17201-E0740</t>
  </si>
  <si>
    <t>Bộ ruột (CHRA) Turbo GT2263KLNV/ Hino N04C (17201-E0740) - SL UK</t>
  </si>
  <si>
    <t>🏭 HITACHI · 12 mã</t>
  </si>
  <si>
    <t>HH082055</t>
  </si>
  <si>
    <t>HH080025</t>
  </si>
  <si>
    <t>HH078719</t>
  </si>
  <si>
    <t>HH078003</t>
  </si>
  <si>
    <t>24100-2780A/8I06-200-C63</t>
  </si>
  <si>
    <t>đời máy đào HITACHI</t>
  </si>
  <si>
    <t>( quay sò gió để lắp
RHC6/ H06C-T/ EX220-5)
dây điều tốc ngắn lên bảo bảy xoay hộ /có HA</t>
  </si>
  <si>
    <t>HH083318</t>
  </si>
  <si>
    <t>TD04H-15G</t>
  </si>
  <si>
    <t>4BD1/4BG1</t>
  </si>
  <si>
    <t>49189-00501/8943675161</t>
  </si>
  <si>
    <t>SK120/EX120-2 /3/5 E312B</t>
  </si>
  <si>
    <t>HH080011</t>
  </si>
  <si>
    <t>cánh đúc</t>
  </si>
  <si>
    <t>HH083253</t>
  </si>
  <si>
    <t>SK120/EX120-5/E312B/Caterpillar 318C, 320, 320 L, 320B, 320B L, 320B N, 320N</t>
  </si>
  <si>
    <t>HH080006</t>
  </si>
  <si>
    <t>HH080738</t>
  </si>
  <si>
    <t>HH079981</t>
  </si>
  <si>
    <t>EX100 / EX200-1</t>
  </si>
  <si>
    <t>HH080734</t>
  </si>
  <si>
    <t>HH080322</t>
  </si>
  <si>
    <t>🏭 HOWO · 3 mã</t>
  </si>
  <si>
    <t>HH080320</t>
  </si>
  <si>
    <t>HH080321</t>
  </si>
  <si>
    <t>cổ gang đút ống</t>
  </si>
  <si>
    <t>HH084383</t>
  </si>
  <si>
    <t>🏭 HYUNDAI · 48 mã</t>
  </si>
  <si>
    <t>HH080022</t>
  </si>
  <si>
    <t>TF08L</t>
  </si>
  <si>
    <t>28200-85000/49134-00414</t>
  </si>
  <si>
    <t>có đường nước dẫn vào điều tốc</t>
  </si>
  <si>
    <t>HH082149</t>
  </si>
  <si>
    <t>TD08L-26M-8</t>
  </si>
  <si>
    <t>28200-838102</t>
  </si>
  <si>
    <t>HH082235</t>
  </si>
  <si>
    <t>D6DB</t>
  </si>
  <si>
    <t>28230-87000</t>
  </si>
  <si>
    <t>HH079990</t>
  </si>
  <si>
    <t>HH081539</t>
  </si>
  <si>
    <t>HH083649</t>
  </si>
  <si>
    <t>D6CD</t>
  </si>
  <si>
    <t>28200-84713</t>
  </si>
  <si>
    <t>HD1000, Universe</t>
  </si>
  <si>
    <t>HH079683</t>
  </si>
  <si>
    <t>HH079994</t>
  </si>
  <si>
    <t>HH079355</t>
  </si>
  <si>
    <t>HH078867</t>
  </si>
  <si>
    <t>HH080494</t>
  </si>
  <si>
    <t>HH079179</t>
  </si>
  <si>
    <t>HH083650</t>
  </si>
  <si>
    <t>HH082148</t>
  </si>
  <si>
    <t>HH083836</t>
  </si>
  <si>
    <t>HH079968</t>
  </si>
  <si>
    <t>TF08L-28</t>
  </si>
  <si>
    <t>6D24T/D6CA</t>
  </si>
  <si>
    <t>28200-84000/49134-00240/49174-22600</t>
  </si>
  <si>
    <t>HH080729</t>
  </si>
  <si>
    <t>HH082363</t>
  </si>
  <si>
    <t>HH080339</t>
  </si>
  <si>
    <t>HH080018</t>
  </si>
  <si>
    <t>HH077026</t>
  </si>
  <si>
    <t>HH079067</t>
  </si>
  <si>
    <t>HH077663</t>
  </si>
  <si>
    <t>HH082143</t>
  </si>
  <si>
    <t>28200-4X300/VR12A VR15 VA430036 KHF5-1A/OK55113700/OK59A13700</t>
  </si>
  <si>
    <t>Kia 2.9TDI/ Carnival</t>
  </si>
  <si>
    <t>HH079992</t>
  </si>
  <si>
    <t>HH080004</t>
  </si>
  <si>
    <t>HH079967</t>
  </si>
  <si>
    <t>HH080003</t>
  </si>
  <si>
    <t>HH079985</t>
  </si>
  <si>
    <t>28200-4B151/28200-4B160/1328579/3C1Q6K682EA/700273/700273-5002S/700273-5001S/700273-0002/700273-0001/282004B160/282004B151</t>
  </si>
  <si>
    <t>Porter/Starex</t>
  </si>
  <si>
    <t>HH079991</t>
  </si>
  <si>
    <t>HH080016</t>
  </si>
  <si>
    <t>HH080015</t>
  </si>
  <si>
    <t>HH077025</t>
  </si>
  <si>
    <t>HH083311</t>
  </si>
  <si>
    <t>HH083410</t>
  </si>
  <si>
    <t>HH078866</t>
  </si>
  <si>
    <t>HH083441</t>
  </si>
  <si>
    <t>HH080021</t>
  </si>
  <si>
    <t>HH083409</t>
  </si>
  <si>
    <t>HH081327</t>
  </si>
  <si>
    <t>28201-2A770</t>
  </si>
  <si>
    <t>Bộ ruột Turbo Hyundai Kia I30 I20 I10/ 28201-2A770 - SL UK</t>
  </si>
  <si>
    <t>HH079547</t>
  </si>
  <si>
    <t>28200-84800</t>
  </si>
  <si>
    <t>Bộ ruột (CHRA) Turbo TF08L-30/ Hyundai D6CC/28200-84800 - SL UK</t>
  </si>
  <si>
    <t>HH079976</t>
  </si>
  <si>
    <t>Bộ ruột (CHRA) Turbo TF035H/ GT1749S/ Hyundai D4BH/ 28200-42800- SL UK</t>
  </si>
  <si>
    <t>HH080493</t>
  </si>
  <si>
    <t>Bộ ruột (CHRA) Turbo TD05H-12G/ Hyundai 4D34T/D4DD/ 28230-45500- SL UK</t>
  </si>
  <si>
    <t>HH00713</t>
  </si>
  <si>
    <t>28231-4A750</t>
  </si>
  <si>
    <t>Bộ ruột (CHRA) Turbo TD03L4/ Hyundai D4CB, STAREX/ 28231-4A750 - SL UK</t>
  </si>
  <si>
    <t>HH079001</t>
  </si>
  <si>
    <t>28230-41422</t>
  </si>
  <si>
    <t>Bộ ruột (CHRA) Turbo GT1749S/Hyundai D4AE, Mighty II/28230-41422- SL UK</t>
  </si>
  <si>
    <t>HH080743</t>
  </si>
  <si>
    <t>28200-4A350</t>
  </si>
  <si>
    <t>Bộ ruột (CHRA) Turbo GT1749S/ Hyundai D4CB/Porter/ 28200-4A350- SL UK</t>
  </si>
  <si>
    <t>HH084224</t>
  </si>
  <si>
    <t>28231-2R100</t>
  </si>
  <si>
    <t>Bộ ruột (CHRA MFS) Turbo BV43/ Hyundai D4HE 2.2/ Santafe, Sedona/ 28231-2R100- SL UK</t>
  </si>
  <si>
    <t>HH082080</t>
  </si>
  <si>
    <t>28231-2F650</t>
  </si>
  <si>
    <t>Bộ ruột (CHRA MFS) Turbo BV43/ Hyundai D4HB 2.2/ Santafe, Sorento/ 28231-2F650- SL UK</t>
  </si>
  <si>
    <t>🏭 ISUZU · 21 mã</t>
  </si>
  <si>
    <t>HH081963</t>
  </si>
  <si>
    <t>HH079975</t>
  </si>
  <si>
    <t>HH082230</t>
  </si>
  <si>
    <t>RHF5V</t>
  </si>
  <si>
    <t>4JJ1/4JJ1-N</t>
  </si>
  <si>
    <t>8973815072/VFA30023 | VEA30023 | VDA30023 | VCA30023 | VBA30023 | VAA30023 | 8973815070 | 8973815073 | 8973815074 | 897-381-5-070 | 897-381-5-072 | 897-381-5-073 | 897-381-5-074</t>
  </si>
  <si>
    <t>Cổ gió bắt 3 lỗ bu lon</t>
  </si>
  <si>
    <t>NKR 3.0</t>
  </si>
  <si>
    <t>mới về có ruột</t>
  </si>
  <si>
    <t>HH081405</t>
  </si>
  <si>
    <t>HH080739</t>
  </si>
  <si>
    <t>HH079993</t>
  </si>
  <si>
    <t>HH080325</t>
  </si>
  <si>
    <t>HH079986</t>
  </si>
  <si>
    <t>736210-0009/1118300DL</t>
  </si>
  <si>
    <t>HH083440</t>
  </si>
  <si>
    <t>cổ gió bắt 3 bu lon.điều tốc nằm dưới sò gang</t>
  </si>
  <si>
    <t>HH081406</t>
  </si>
  <si>
    <t>HH082359</t>
  </si>
  <si>
    <t>HH079972</t>
  </si>
  <si>
    <t>897331-1850/8I04-200-047/| VA420076 | VB420076 | VC420076 | VD420076 | 8973311850 | 8973311851 | 8-97331-1850 | 8-97331-1851 | 897331-1850 | 897331-1851 | 4T505 | 4T-505 | F41CADS0076B | F41CAD-S0076B | F41CADS0076G | F41CAD-S0076G | 1118010802 | 1118010-802 | 3047087</t>
  </si>
  <si>
    <t>HH078632</t>
  </si>
  <si>
    <t>8981320703</t>
  </si>
  <si>
    <t>Bộ ruột (CHRA) Turbo RHV4/ Isuzu DMAX/ 8981320703 - SL UK</t>
  </si>
  <si>
    <t>HH079982</t>
  </si>
  <si>
    <t>114400-3770</t>
  </si>
  <si>
    <t>Bộ ruột (CHRA) Turbo RHG6/Isuzu 6BG1/EX200-6 (114400-3770) SL UK</t>
  </si>
  <si>
    <t>HH081407</t>
  </si>
  <si>
    <t>8983476130</t>
  </si>
  <si>
    <t>Bộ ruột (CHRA) Turbo RHF55V/ Isuzu FRR/ 8983476130 - SL UK</t>
  </si>
  <si>
    <t>HH081326</t>
  </si>
  <si>
    <t>8980976861/8980976860</t>
  </si>
  <si>
    <t>Bộ ruột (CHRA) Turbo RHF5/ Isuzu 4JJ1 (8980976861/ 8980976860) - SL UK</t>
  </si>
  <si>
    <t>HH0634</t>
  </si>
  <si>
    <t>Bộ ruột (CHRA) Turbo RHF4H/ Isuzu Dmax/ 8980118923 - SL UK</t>
  </si>
  <si>
    <t>HH079978</t>
  </si>
  <si>
    <t>VA420081/VB420081</t>
  </si>
  <si>
    <t>Bộ ruột (CHRA) Turbo RHF4/Isuzu 4JB1/DH55 (VA420081 VB420081) - SL UK</t>
  </si>
  <si>
    <t>HH079983</t>
  </si>
  <si>
    <t>114400-3140</t>
  </si>
  <si>
    <t>Bộ ruột (CHRA) Turbo RHC7/ Isuzu 6SD1, EX300-2/ 114400-3140- SL UK</t>
  </si>
  <si>
    <t>HH079987</t>
  </si>
  <si>
    <t>736210-0005</t>
  </si>
  <si>
    <t>Bộ ruột (CHRA) Turbo GT22/ Isuzu JX493, 4JB1/ 736210-0005- SL UK</t>
  </si>
  <si>
    <t>HH084384</t>
  </si>
  <si>
    <t>🏭 KAMAZ · 1 mã</t>
  </si>
  <si>
    <t>HH084056</t>
  </si>
  <si>
    <t>🏭 KOBELCO · 8 mã</t>
  </si>
  <si>
    <t>HH080020</t>
  </si>
  <si>
    <t>HH079974</t>
  </si>
  <si>
    <t>HH080013</t>
  </si>
  <si>
    <t>HH080737</t>
  </si>
  <si>
    <t>HH080012</t>
  </si>
  <si>
    <t>HH079969</t>
  </si>
  <si>
    <t>HH079966</t>
  </si>
  <si>
    <t>HH080014</t>
  </si>
  <si>
    <t>🏭 KOMATSU · 19 mã</t>
  </si>
  <si>
    <t>HH082162</t>
  </si>
  <si>
    <t>HH080007</t>
  </si>
  <si>
    <t>HH080002</t>
  </si>
  <si>
    <t>HH078713</t>
  </si>
  <si>
    <t>HH082672</t>
  </si>
  <si>
    <t>HH082673</t>
  </si>
  <si>
    <t>HH079999</t>
  </si>
  <si>
    <t>HH080001</t>
  </si>
  <si>
    <t>HH080017</t>
  </si>
  <si>
    <t>HH079996</t>
  </si>
  <si>
    <t>HH082882</t>
  </si>
  <si>
    <t>S6D125E-3</t>
  </si>
  <si>
    <t>Tâm lỗ bu lông 70 x 113
( cổ xả đút ống )</t>
  </si>
  <si>
    <t>HH080733</t>
  </si>
  <si>
    <t>HH079973</t>
  </si>
  <si>
    <t>HH080118</t>
  </si>
  <si>
    <t>HH083442</t>
  </si>
  <si>
    <t>HH080732</t>
  </si>
  <si>
    <t>HH080023</t>
  </si>
  <si>
    <t>6222-81-8210</t>
  </si>
  <si>
    <t>Bộ ruột (CHRA) Turbo TO4E08/Komatsu S6D108/PC300-5/PC300-6 (6222-81-8210) - SL UK</t>
  </si>
  <si>
    <t>HH079998</t>
  </si>
  <si>
    <t>465044-0037</t>
  </si>
  <si>
    <t>Bộ ruột (CHRA) Turbo TO4B59/Komatsu S6D105/PC200-3 (465044-0037) - SL UK</t>
  </si>
  <si>
    <t>HH080000</t>
  </si>
  <si>
    <t>3539697</t>
  </si>
  <si>
    <t>Bộ ruột (CHRA) Turbo HX35/Komatsu S6D102- 6BT/ PC200-6/-7/-8 (3539697)- SL UK</t>
  </si>
  <si>
    <t>🏭 KUBOTA · 6 mã</t>
  </si>
  <si>
    <t>HH081575</t>
  </si>
  <si>
    <t>HH081618</t>
  </si>
  <si>
    <t>HH080914</t>
  </si>
  <si>
    <t>HH080005</t>
  </si>
  <si>
    <t>HH079003</t>
  </si>
  <si>
    <t>HH080744</t>
  </si>
  <si>
    <t>🏭 MAXXFORCE · 2 mã</t>
  </si>
  <si>
    <t>HH077597</t>
  </si>
  <si>
    <t>HH084396</t>
  </si>
  <si>
    <t>B2XG</t>
  </si>
  <si>
    <t>MaxxForce 13</t>
  </si>
  <si>
    <t>1270-970-0075/B2-015</t>
  </si>
  <si>
    <t>🏭 MERCEDES · 3 mã</t>
  </si>
  <si>
    <t>HH082514</t>
  </si>
  <si>
    <t>HH080810</t>
  </si>
  <si>
    <t>HH084178</t>
  </si>
  <si>
    <t>Bộ ruột (CHRA) Turbo GT2052S/ Mercedes OM662, Ssang Yong/ A6620903280 - SL UK</t>
  </si>
  <si>
    <t>🏭 MITSUBISHI · 6 mã</t>
  </si>
  <si>
    <t>HH078002</t>
  </si>
  <si>
    <t>HH083121</t>
  </si>
  <si>
    <t>HH083057</t>
  </si>
  <si>
    <t>HH080019</t>
  </si>
  <si>
    <t>49182-03520/49182-03120</t>
  </si>
  <si>
    <t>Tâm lỗ bu lông 115 x 87</t>
  </si>
  <si>
    <t>máy thủy</t>
  </si>
  <si>
    <t>10/10</t>
  </si>
  <si>
    <t>HH078209</t>
  </si>
  <si>
    <t>49187-00271/49187-00270/49187-00250/4918700271/4918700270/4918700250/ME073935</t>
  </si>
  <si>
    <t>Tâm lỗ 83 x 70
có điều tốc</t>
  </si>
  <si>
    <t>Fuso FM657</t>
  </si>
  <si>
    <t>HH084190</t>
  </si>
  <si>
    <t>49335-01412/TF035-VG12B</t>
  </si>
  <si>
    <t>Bộ ruột (CHRA MFS) Turbo TF035HL/ Mitsu Triton/ 49335-01412/ TF035-VG12B - EE</t>
  </si>
  <si>
    <t>🏭 NISSAN · 8 mã</t>
  </si>
  <si>
    <t>HH081737</t>
  </si>
  <si>
    <t>HH081248</t>
  </si>
  <si>
    <t>HH082506</t>
  </si>
  <si>
    <t>HH083043</t>
  </si>
  <si>
    <t>HH082679</t>
  </si>
  <si>
    <t>HH079995</t>
  </si>
  <si>
    <t>HH082795</t>
  </si>
  <si>
    <t>5303-970-0262</t>
  </si>
  <si>
    <t>Bộ ruột (CHRA-MFS) Turbo Nissan Navara/ BV45/ 5303-970-0262 (billet) - SL UK</t>
  </si>
  <si>
    <t>HH084182</t>
  </si>
  <si>
    <t>Bộ ruột (CHRA) Turbo GT2056S/ Nissan ZD30/ 775629-0005 - SL UK</t>
  </si>
  <si>
    <t>🏭 PERKINS · 1 mã</t>
  </si>
  <si>
    <t>HH082046</t>
  </si>
  <si>
    <t>02G-2410</t>
  </si>
  <si>
    <t>🏭 SUMITOMO · 3 mã</t>
  </si>
  <si>
    <t>HH080008</t>
  </si>
  <si>
    <t>SH120/HD450</t>
  </si>
  <si>
    <t>HH080009</t>
  </si>
  <si>
    <t>HH080010</t>
  </si>
  <si>
    <t>🏭 TOYOTA · 5 mã</t>
  </si>
  <si>
    <t>HH082676</t>
  </si>
  <si>
    <t>HH080319</t>
  </si>
  <si>
    <t>HH079549</t>
  </si>
  <si>
    <t>HH069931</t>
  </si>
  <si>
    <t>HH084189</t>
  </si>
  <si>
    <t>17201-UM010</t>
  </si>
  <si>
    <t>Bộ ruột (CHRA-MFS) Turbo CT20/ Toyota Hilux, 1KD/ 17201-UM010/ CT-VNT6B - EE</t>
  </si>
  <si>
    <t>HH083864</t>
  </si>
  <si>
    <t>🏭 YANMAR · 2 mã</t>
  </si>
  <si>
    <t>HH082627</t>
  </si>
  <si>
    <t>1000-040-204</t>
  </si>
  <si>
    <t>Bộ ruột Turbo (Yanmar) RHF5/ 1000-040-204 (4TNV98) - JRONE</t>
  </si>
  <si>
    <t>HH078716</t>
  </si>
  <si>
    <t>129403-18050</t>
  </si>
  <si>
    <t>Bộ ruột (CHRA) Turbo RHB31/ Yanmar 78/82/84 (129403-18050) - VIDARIR DN-1108</t>
  </si>
  <si>
    <t>🏭 YUCHAI · 1 mã</t>
  </si>
  <si>
    <t>HH083795</t>
  </si>
  <si>
    <t>🏭 CHƯA RÕ · 27 mã</t>
  </si>
  <si>
    <t>HH068758</t>
  </si>
  <si>
    <t>HH082082</t>
  </si>
  <si>
    <t>CIDB-VA570033</t>
  </si>
  <si>
    <t>Bộ ruột Turbo ZX330/6HK1/RHG6 (CIDB-VA570033)- SL UK</t>
  </si>
  <si>
    <t>HH082142</t>
  </si>
  <si>
    <t>114400-4380/VA570090</t>
  </si>
  <si>
    <t>Bộ ruột Turbo RHG6/6HK1/ZX330 (114400-4380/VA570090) - SL UK</t>
  </si>
  <si>
    <t>HH077145</t>
  </si>
  <si>
    <t>1000-070-106</t>
  </si>
  <si>
    <t>Bộ ruột Turbo PC400/SA6D125E-2/ S3A - JRONE 1000-070-106</t>
  </si>
  <si>
    <t>HH081404</t>
  </si>
  <si>
    <t>3537557</t>
  </si>
  <si>
    <t>Bộ ruột Turbo HX40/H1E/3537557 - SL UK</t>
  </si>
  <si>
    <t>HH081408</t>
  </si>
  <si>
    <t>789773-0006</t>
  </si>
  <si>
    <t>Bộ ruột Turbo GTB2056V/ FUSO/ 789773-0006 - SL UK</t>
  </si>
  <si>
    <t>HH081329</t>
  </si>
  <si>
    <t>28230-4A702</t>
  </si>
  <si>
    <t>Bộ ruột Turbo BV43/ Starex H1/ 28230-4A702 - SL UK</t>
  </si>
  <si>
    <t>HH074825</t>
  </si>
  <si>
    <t>Bộ ruột Turbo 6506-21-5010/KTR90/PC400-8 (Cánh gió 95, cảnh lửa 91.3) - Jrone 1000-090-004</t>
  </si>
  <si>
    <t>HH074822</t>
  </si>
  <si>
    <t>Bộ ruột Turbo (KUB) RHF3/ 1000-040-137 (1G924-17011/V2403/DC70) - JRONE</t>
  </si>
  <si>
    <t>HH084225</t>
  </si>
  <si>
    <t>5303-970-0514</t>
  </si>
  <si>
    <t>Bộ ruột (CHRA-MFS) Turbo K03/ Iveco F5C/ 5303-970-0514 - SL UK</t>
  </si>
  <si>
    <t>HH069929</t>
  </si>
  <si>
    <t>465225-0004</t>
  </si>
  <si>
    <t>Bộ ruột (CHRA) Turbo TO4E17/ Man Maxxfore DT466/ 465225-0004 - SL UK</t>
  </si>
  <si>
    <t>HH080324</t>
  </si>
  <si>
    <t>Bộ ruột (CHRA) Turbo TF035HM-12T/ D4BH/ STAREX (28200-4A201) - SL UK</t>
  </si>
  <si>
    <t>HH082360</t>
  </si>
  <si>
    <t>300006281502</t>
  </si>
  <si>
    <t>Bộ ruột (CHRA) Turbo TD13/ S6R/ (SL no. 300006281502) - SL UK</t>
  </si>
  <si>
    <t>HH074824</t>
  </si>
  <si>
    <t>Bộ ruột (CHRA) Turbo TD08H-31M/6WG1/ZX450 - JRONE 1000-050-202T</t>
  </si>
  <si>
    <t>HH083794</t>
  </si>
  <si>
    <t>702365-0009</t>
  </si>
  <si>
    <t>Bộ ruột (CHRA) Turbo TB28/CY-4102/702365-0009 (60.2 42.5 6/6; 53 46.2 10)- SL UK</t>
  </si>
  <si>
    <t>HH083796</t>
  </si>
  <si>
    <t>711229-0004</t>
  </si>
  <si>
    <t>Bộ ruột (CHRA) Turbo TB28/CY 4110, 4108/711229-0004 (60.1 44.6 6/6; 53 46.2 12) - SL UK</t>
  </si>
  <si>
    <t>HH079984</t>
  </si>
  <si>
    <t>114400-2080</t>
  </si>
  <si>
    <t>Bộ ruột (CHRA) Turbo TA5108/EX400-1/6RB1(114400-2080) - SL UK</t>
  </si>
  <si>
    <t>HH084179</t>
  </si>
  <si>
    <t>8981506883</t>
  </si>
  <si>
    <t>Bộ ruột (CHRA) Turbo RHF5/ 4JK1, Dmax/ 8981506883 - SL UK</t>
  </si>
  <si>
    <t>HH081245</t>
  </si>
  <si>
    <t>3597180</t>
  </si>
  <si>
    <t>Bộ ruột (CHRA) Turbo HX35W/ IVECO/ 3597180 (CW 78/54 7/7) - SL UK</t>
  </si>
  <si>
    <t>HH079997</t>
  </si>
  <si>
    <t>6732-81-8102</t>
  </si>
  <si>
    <t>Bộ ruột (CHRA) Turbo HX30/ Kom S4D102/4BT/PC120-6/ 6732-81-8102- SL UK</t>
  </si>
  <si>
    <t>HH082668</t>
  </si>
  <si>
    <t>3803058</t>
  </si>
  <si>
    <t>Bộ ruột (CHRA) Turbo HT4CT/ NTA50/3803058 - SL UK</t>
  </si>
  <si>
    <t>HH069928</t>
  </si>
  <si>
    <t>183047C93</t>
  </si>
  <si>
    <t>Bộ ruột (CHRA) Turbo GTA3782BD/ Man Maxxfore DT466/ 183047C93 - SL UK</t>
  </si>
  <si>
    <t>HH069117</t>
  </si>
  <si>
    <t>A6620903880</t>
  </si>
  <si>
    <t>Bộ ruột (CHRA) Turbo GT2052S/ OM662/ A6620903880 - SL UK</t>
  </si>
  <si>
    <t>HH080323</t>
  </si>
  <si>
    <t>Bộ ruột (CHRA) Turbo EX300-1/EP100(24100-1440) SL UK</t>
  </si>
  <si>
    <t>HH080735</t>
  </si>
  <si>
    <t>49179-02110</t>
  </si>
  <si>
    <t>Bộ ruột (CHRA) Turbo 6D31-T/TD06-17C/SK07 (49179-02110) chân vuông -SL UK</t>
  </si>
  <si>
    <t>HH083655</t>
  </si>
  <si>
    <t>1158-970-0024</t>
  </si>
  <si>
    <t>Bộ ruột (CHRA) Turbo (Vol) B1G/ TCD2013L04-2V/ 1158-970-0024 - SL UK</t>
  </si>
  <si>
    <t>HH078597</t>
  </si>
  <si>
    <t>Bộ ruột Turbo HX25W/ HX25 - JRONE 1000-020-153</t>
  </si>
  <si>
    <t>Có điều tốc(Chân tam giác)</t>
  </si>
  <si>
    <t>E330B /Xe ủi</t>
  </si>
  <si>
    <t>tnc là hx25 ⚠️ CHƯA NHẬP MÃ VT</t>
  </si>
  <si>
    <t>Hamm 3410/ BF4M2012C</t>
  </si>
  <si>
    <t>Máy phát điện</t>
  </si>
  <si>
    <t>DH55 /Subaru ST445 N844L 2.2T 45 HP | New Hollander | Yanmar | Perkins 404C-22T 404D-22</t>
  </si>
  <si>
    <t>Daewoo Excavator DE08</t>
  </si>
  <si>
    <t>111801OS-BKZ (tháo nắp cổ gang ra để bán sang 720669-5002
có hình ảnh châu phú ⚠️ CHƯA NHẬP MÃ VT</t>
  </si>
  <si>
    <t>điều tốc cơ
quay ngang cùng chiều sò gió</t>
  </si>
  <si>
    <t>Ranger /BT50 ( 2009-2012)
Everest 2.5</t>
  </si>
  <si>
    <t>check vin hoặc mã màu đỏ ⚠️ CHƯA NHẬP MÃ VT</t>
  </si>
  <si>
    <t>TA5131</t>
  </si>
  <si>
    <t>466569-5001S</t>
  </si>
  <si>
    <t>EX400-3/5</t>
  </si>
  <si>
    <t>EX400-3/5
EX450-5</t>
  </si>
  <si>
    <t>24100-1870B/CX35/VA250029/VA250027/NH170049</t>
  </si>
  <si>
    <t>TD08</t>
  </si>
  <si>
    <t>ZX450</t>
  </si>
  <si>
    <t>28200-84801/28210-52302)/(mã trên thùng</t>
  </si>
  <si>
    <t>Trago HD500</t>
  </si>
  <si>
    <t>28201-2A400</t>
  </si>
  <si>
    <t>Hyundai Verna/Aceent 1.5 Diesel / Hyundai Verna/Aceent 1.5 Diesel</t>
  </si>
  <si>
    <t>28231-27860</t>
  </si>
  <si>
    <t>Santafe 2.0 động cơ D4EA
đời 2006 - 2011.</t>
  </si>
  <si>
    <t>28231-2B760/1639-970-0016/1639-970-0010</t>
  </si>
  <si>
    <t>Tucson 2019</t>
  </si>
  <si>
    <t>⚠️ CHƯA NHẬP TÊN</t>
  </si>
  <si>
    <t>➕ MÃ MỚI TỪ ECOUNT · 4 mã — có giá, chờ điền model/OEM</t>
  </si>
  <si>
    <t>HH069118</t>
  </si>
  <si>
    <t>Bộ ruột (CHRA) GT1544S/Mitsu S4Q - SL UK</t>
  </si>
  <si>
    <t>HH081617</t>
  </si>
  <si>
    <t>Bộ ruột Turbo RHE6/6HK1 (xe tải) - VIDARIR</t>
  </si>
  <si>
    <t>HH081621</t>
  </si>
  <si>
    <t>Bộ ruột Turbo HX55W/Howo A7 - VIDARIR</t>
  </si>
  <si>
    <t>AUDI</t>
  </si>
  <si>
    <t>HH079123</t>
  </si>
  <si>
    <t>5439-970-0017</t>
  </si>
  <si>
    <t>Bộ ruột Turbo KP39A/5439-970-0017/AUDI - JRONE</t>
  </si>
  <si>
    <t>🔩 SÒ LỬA / SÒ GIÓ &amp; LINH KIỆN TURBO</t>
  </si>
  <si>
    <t>🟧 Cam nhạt nghiêng=MÃ MỚI cần kiểm</t>
  </si>
  <si>
    <t>🏭 CUMMINS · 3 mã</t>
  </si>
  <si>
    <t>HH079072</t>
  </si>
  <si>
    <t>HH081916</t>
  </si>
  <si>
    <t>HH079685</t>
  </si>
  <si>
    <t>🏭 DOOSAN · 1 mã</t>
  </si>
  <si>
    <t>HH082879</t>
  </si>
  <si>
    <t>🏭 FORD · 1 mã</t>
  </si>
  <si>
    <t>HH081918</t>
  </si>
  <si>
    <t>Cánh gió (Compressor wheel) Turbo Ford RHV4/VJ38/WL 16V (WE01-13-700D) - SL UK</t>
  </si>
  <si>
    <t>🏭 HITACHI · 1 mã</t>
  </si>
  <si>
    <t>HH070624</t>
  </si>
  <si>
    <t>🏭 HYUNDAI · 5 mã</t>
  </si>
  <si>
    <t>HH080915</t>
  </si>
  <si>
    <t>nhìn cổ gió xoay xíu dùng chung</t>
  </si>
  <si>
    <t>HH083510</t>
  </si>
  <si>
    <t>HH081585</t>
  </si>
  <si>
    <t>HH082880</t>
  </si>
  <si>
    <t>HH081965</t>
  </si>
  <si>
    <t>🏭 ISUZU · 4 mã</t>
  </si>
  <si>
    <t>HH081729</t>
  </si>
  <si>
    <t>HH082675</t>
  </si>
  <si>
    <t>HH082512</t>
  </si>
  <si>
    <t>HH078994</t>
  </si>
  <si>
    <t>114400-3830/DN-0431</t>
  </si>
  <si>
    <t>Cánh gió (Comp. wheel)</t>
  </si>
  <si>
    <t>🏭 MITSUBISHI · 2 mã</t>
  </si>
  <si>
    <t>HH081730</t>
  </si>
  <si>
    <t>HH081412</t>
  </si>
  <si>
    <t>🏭 NISSAN · 2 mã</t>
  </si>
  <si>
    <t>HH082507</t>
  </si>
  <si>
    <t>HH081921</t>
  </si>
  <si>
    <t>🏭 TOYOTA · 1 mã</t>
  </si>
  <si>
    <t>HH079487</t>
  </si>
  <si>
    <t>(hàng mẫu) Turbo Toyota Hilux Prado Fortuner/CT16V/17201-11080 - SL UK</t>
  </si>
  <si>
    <t>🏭 CHƯA RÕ · 14 mã</t>
  </si>
  <si>
    <t>HH082089</t>
  </si>
  <si>
    <t>Sò lửa (turbo housing) Turbo TO4B59/S6D105/PC200-3 (6137-82-8200) - SL UK</t>
  </si>
  <si>
    <t>HH078295</t>
  </si>
  <si>
    <t>Cổ bô lửa 4JB1 (đời không turbo)</t>
  </si>
  <si>
    <t>HH082669</t>
  </si>
  <si>
    <t>Cánh gió (Compressor wheel) Turbo TD08 (92-67.6-7/7) - SL UK</t>
  </si>
  <si>
    <t>HH078714</t>
  </si>
  <si>
    <t>Cánh gió (compressor wheel) Turbo HX80 (141/91.6) - SL UK</t>
  </si>
  <si>
    <t>HH079686</t>
  </si>
  <si>
    <t>Bộ ron turbo E200B/ E120B - SL UK</t>
  </si>
  <si>
    <t>HH081587</t>
  </si>
  <si>
    <t>Bộ căn trục (Thrust Bearing, Sleeve) Turbo TA3137/S6D95/PC200-6 (6207-81-8331) - SL UK</t>
  </si>
  <si>
    <t>HH080161</t>
  </si>
  <si>
    <t>BLOCK (LỐC) MÁY 4TNV98 - T (đời turbo)</t>
  </si>
  <si>
    <t>HH070619</t>
  </si>
  <si>
    <t>(chuyển sang Jrone) Turbo DH300-7/D1146(65.09100-7082/7137) SL UK</t>
  </si>
  <si>
    <t>HH070611</t>
  </si>
  <si>
    <t>(Chuyển sang Jrone) Turbo 6CT/HX40W/PC300-8 SL UK</t>
  </si>
  <si>
    <t>HH070602</t>
  </si>
  <si>
    <t>(chuyển sang hàng Jrone) Turbo PC300-5/PC300-6/TO4E08/S6D108 SL UK</t>
  </si>
  <si>
    <t>HH070623</t>
  </si>
  <si>
    <t>(chuyển sang dùng Jrone) Turbo DH55/4JB1(897331-1850) SL UK</t>
  </si>
  <si>
    <t>HH082876</t>
  </si>
  <si>
    <t>Bộ căn (Thrust bearing, collar, spacer) Turbo BV43/ D4HB 2.2CDRI/ Santafe, Sorento/ 28231-2F650 - SL UK</t>
  </si>
  <si>
    <t>HH084397</t>
  </si>
  <si>
    <t>B2XG/ S200</t>
  </si>
  <si>
    <t>1270-970-0075/CW-0776B</t>
  </si>
  <si>
    <t>Cánh gió Billet (Comp. wheel)</t>
  </si>
  <si>
    <t>HH084398</t>
  </si>
  <si>
    <t>1270-970-0075/CW-0776-1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</si>
</sst>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2">
    <font>
      <sz val="11"/>
      <color theme="1"/>
      <name val="Calibri"/>
      <charset val="1"/>
    </font>
    <font>
      <b/>
      <sz val="14"/>
      <color rgb="FFFFFFFF"/>
      <name val="Arial"/>
      <charset val="134"/>
    </font>
    <font>
      <i/>
      <sz val="10"/>
      <color rgb="FF595959"/>
      <name val="Arial"/>
      <charset val="134"/>
    </font>
    <font>
      <b/>
      <sz val="11"/>
      <color rgb="FFFFFFFF"/>
      <name val="Arial"/>
      <charset val="134"/>
    </font>
    <font>
      <b/>
      <sz val="12"/>
      <color rgb="FF1F4E79"/>
      <name val="Times New Roman"/>
      <charset val="134"/>
    </font>
    <font>
      <sz val="11"/>
      <name val="Arial"/>
      <charset val="134"/>
    </font>
    <font>
      <i/>
      <sz val="11"/>
      <color rgb="FFC55A11"/>
      <name val="Arial"/>
      <charset val="1"/>
    </font>
    <font>
      <b/>
      <sz val="11"/>
      <color theme="0"/>
      <name val="Calibri"/>
      <charset val="1"/>
    </font>
    <font>
      <sz val="12"/>
      <color theme="1"/>
      <name val="Calibri"/>
      <charset val="1"/>
    </font>
    <font>
      <b/>
      <sz val="12"/>
      <color theme="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Noto Sans CJK SC"/>
      <charset val="134"/>
    </font>
  </fonts>
  <fills count="4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6F9FC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DEEAF6"/>
      </patternFill>
    </fill>
    <fill>
      <patternFill patternType="solid">
        <fgColor rgb="FFF6F9FC"/>
        <bgColor rgb="FFF2F2F2"/>
      </patternFill>
    </fill>
    <fill>
      <patternFill patternType="solid">
        <fgColor rgb="FFFBE4E4"/>
        <bgColor rgb="FFFDF0E3"/>
      </patternFill>
    </fill>
    <fill>
      <patternFill patternType="solid">
        <fgColor rgb="FFDEEAF6"/>
        <bgColor rgb="FFDDEBF7"/>
      </patternFill>
    </fill>
    <fill>
      <patternFill patternType="solid">
        <fgColor rgb="FFE2EFDA"/>
        <bgColor rgb="FFDEEAF6"/>
      </patternFill>
    </fill>
    <fill>
      <patternFill patternType="solid">
        <fgColor rgb="FFFFF2CC"/>
        <bgColor rgb="FFFDF0E3"/>
      </patternFill>
    </fill>
    <fill>
      <patternFill patternType="solid">
        <fgColor rgb="FFFDF0E3"/>
        <bgColor rgb="FFFFF2CC"/>
      </patternFill>
    </fill>
    <fill>
      <patternFill patternType="solid">
        <fgColor rgb="FF92D050"/>
        <bgColor rgb="FF969696"/>
      </patternFill>
    </fill>
    <fill>
      <patternFill patternType="solid">
        <fgColor rgb="FFFFFFFF"/>
        <bgColor rgb="FFF6F9F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 style="thin">
        <color rgb="FF8EA9DB"/>
      </right>
      <top style="medium">
        <color rgb="FF1F4E79"/>
      </top>
      <bottom style="thin">
        <color rgb="FF8EA9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Border="0" applyAlignment="0" applyProtection="0"/>
    <xf numFmtId="44" fontId="10" fillId="0" borderId="0" applyBorder="0" applyAlignment="0" applyProtection="0"/>
    <xf numFmtId="9" fontId="10" fillId="0" borderId="0" applyBorder="0" applyAlignment="0" applyProtection="0"/>
    <xf numFmtId="41" fontId="10" fillId="0" borderId="0" applyBorder="0" applyAlignment="0" applyProtection="0"/>
    <xf numFmtId="42" fontId="10" fillId="0" borderId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4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5" borderId="7" applyNumberFormat="0" applyAlignment="0" applyProtection="0">
      <alignment vertical="center"/>
    </xf>
    <xf numFmtId="0" fontId="21" fillId="16" borderId="8" applyNumberFormat="0" applyAlignment="0" applyProtection="0">
      <alignment vertical="center"/>
    </xf>
    <xf numFmtId="0" fontId="22" fillId="16" borderId="7" applyNumberFormat="0" applyAlignment="0" applyProtection="0">
      <alignment vertical="center"/>
    </xf>
    <xf numFmtId="0" fontId="23" fillId="17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3" fontId="5" fillId="7" borderId="2" xfId="0" applyNumberFormat="1" applyFont="1" applyFill="1" applyBorder="1" applyAlignment="1">
      <alignment horizontal="right" vertical="center"/>
    </xf>
    <xf numFmtId="3" fontId="5" fillId="8" borderId="2" xfId="0" applyNumberFormat="1" applyFont="1" applyFill="1" applyBorder="1" applyAlignment="1">
      <alignment horizontal="righ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3" fontId="5" fillId="9" borderId="2" xfId="0" applyNumberFormat="1" applyFont="1" applyFill="1" applyBorder="1" applyAlignment="1">
      <alignment horizontal="right" vertical="center"/>
    </xf>
    <xf numFmtId="3" fontId="5" fillId="10" borderId="2" xfId="0" applyNumberFormat="1" applyFont="1" applyFill="1" applyBorder="1" applyAlignment="1">
      <alignment horizontal="right" vertical="center"/>
    </xf>
    <xf numFmtId="3" fontId="5" fillId="11" borderId="2" xfId="0" applyNumberFormat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3" fontId="5" fillId="6" borderId="2" xfId="0" applyNumberFormat="1" applyFont="1" applyFill="1" applyBorder="1" applyAlignment="1">
      <alignment horizontal="left" vertical="center" wrapText="1"/>
    </xf>
    <xf numFmtId="3" fontId="5" fillId="6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left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3" fontId="4" fillId="5" borderId="3" xfId="0" applyNumberFormat="1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7" fillId="0" borderId="0" xfId="0" applyFont="1" applyAlignment="1"/>
    <xf numFmtId="0" fontId="0" fillId="12" borderId="0" xfId="0" applyFill="1" applyAlignment="1"/>
    <xf numFmtId="0" fontId="0" fillId="13" borderId="0" xfId="0" applyFill="1" applyAlignment="1"/>
    <xf numFmtId="0" fontId="8" fillId="0" borderId="0" xfId="0" applyFont="1" applyAlignment="1"/>
    <xf numFmtId="0" fontId="9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6F9FC"/>
      <rgbColor rgb="00808080"/>
      <rgbColor rgb="008EA9DB"/>
      <rgbColor rgb="00993366"/>
      <rgbColor rgb="00FFF2CC"/>
      <rgbColor rgb="00DDEBF7"/>
      <rgbColor rgb="00660066"/>
      <rgbColor rgb="00FF8080"/>
      <rgbColor rgb="000066CC"/>
      <rgbColor rgb="00F2F2F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E2EFDA"/>
      <rgbColor rgb="00FDF0E3"/>
      <rgbColor rgb="0099CCFF"/>
      <rgbColor rgb="00FF99CC"/>
      <rgbColor rgb="00CC99FF"/>
      <rgbColor rgb="00FBE4E4"/>
      <rgbColor rgb="002E75B6"/>
      <rgbColor rgb="0033CCCC"/>
      <rgbColor rgb="0092D050"/>
      <rgbColor rgb="00FFCC00"/>
      <rgbColor rgb="00FF9900"/>
      <rgbColor rgb="00C55A11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9"/>
      <rgbColor rgb="00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U682"/>
  <sheetViews>
    <sheetView showGridLines="0" workbookViewId="0">
      <pane ySplit="3" topLeftCell="A239" activePane="bottomLeft" state="frozen"/>
      <selection/>
      <selection pane="bottomLeft" activeCell="B239" sqref="B239"/>
    </sheetView>
  </sheetViews>
  <sheetFormatPr defaultColWidth="8.67619047619048" defaultRowHeight="15.75"/>
  <cols>
    <col min="1" max="1" width="15" style="1" customWidth="1"/>
    <col min="2" max="3" width="13" style="26" customWidth="1"/>
    <col min="4" max="4" width="17" style="26" customWidth="1"/>
    <col min="5" max="5" width="23.2857142857143" style="26" customWidth="1"/>
    <col min="6" max="6" width="32" style="26" customWidth="1"/>
    <col min="7" max="7" width="30" style="26" customWidth="1"/>
    <col min="8" max="8" width="22" style="26" customWidth="1"/>
    <col min="9" max="9" width="26" style="26" customWidth="1"/>
    <col min="10" max="14" width="13" style="26" customWidth="1"/>
    <col min="15" max="16" width="11" style="26" customWidth="1"/>
    <col min="17" max="17" width="10" style="26" customWidth="1"/>
    <col min="18" max="19" width="11" style="26" customWidth="1"/>
    <col min="20" max="20" width="10" style="26" customWidth="1"/>
    <col min="21" max="21" width="13" style="26" customWidth="1"/>
  </cols>
  <sheetData>
    <row r="1" ht="30" customHeight="1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9.5" customHeight="1" spans="1:2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="23" customFormat="1" ht="33.75" customHeight="1" spans="1:2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27"/>
    </row>
    <row r="4" ht="21.75" customHeight="1" spans="1:21">
      <c r="A4" s="5" t="s">
        <v>22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28.5" customHeight="1" spans="1:21">
      <c r="A5" s="6" t="s">
        <v>23</v>
      </c>
      <c r="B5" s="6" t="s">
        <v>24</v>
      </c>
      <c r="C5" s="6" t="s">
        <v>25</v>
      </c>
      <c r="D5" s="6" t="s">
        <v>26</v>
      </c>
      <c r="E5" s="6">
        <v>3304</v>
      </c>
      <c r="F5" s="7" t="s">
        <v>27</v>
      </c>
      <c r="G5" s="7" t="s">
        <v>28</v>
      </c>
      <c r="H5" s="7"/>
      <c r="I5" s="7"/>
      <c r="J5" s="6" t="s">
        <v>29</v>
      </c>
      <c r="K5" s="12">
        <v>2500000</v>
      </c>
      <c r="L5" s="13">
        <v>2700000</v>
      </c>
      <c r="M5" s="14">
        <v>2900000</v>
      </c>
      <c r="N5" s="9">
        <f t="shared" ref="N5:N40" si="0">IF($M5="","",ROUND($M5*1.1,0))</f>
        <v>3190000</v>
      </c>
      <c r="O5" s="6">
        <v>70</v>
      </c>
      <c r="P5" s="6">
        <v>48.4</v>
      </c>
      <c r="Q5" s="6" t="s">
        <v>30</v>
      </c>
      <c r="R5" s="6">
        <v>74.3</v>
      </c>
      <c r="S5" s="6">
        <v>64.6</v>
      </c>
      <c r="T5" s="6">
        <v>11</v>
      </c>
    </row>
    <row r="6" ht="28.5" customHeight="1" spans="1:21">
      <c r="A6" s="10" t="s">
        <v>31</v>
      </c>
      <c r="B6" s="10" t="s">
        <v>32</v>
      </c>
      <c r="C6" s="10" t="s">
        <v>25</v>
      </c>
      <c r="D6" s="10" t="s">
        <v>26</v>
      </c>
      <c r="E6" s="10">
        <v>3304</v>
      </c>
      <c r="F6" s="11" t="s">
        <v>27</v>
      </c>
      <c r="G6" s="11" t="s">
        <v>28</v>
      </c>
      <c r="H6" s="11"/>
      <c r="I6" s="11"/>
      <c r="J6" s="10" t="s">
        <v>33</v>
      </c>
      <c r="K6" s="12">
        <v>2900000</v>
      </c>
      <c r="L6" s="13">
        <v>3100000</v>
      </c>
      <c r="M6" s="14">
        <v>3300000</v>
      </c>
      <c r="N6" s="9">
        <f t="shared" si="0"/>
        <v>3630000</v>
      </c>
      <c r="O6" s="10">
        <v>70</v>
      </c>
      <c r="P6" s="10">
        <v>48.4</v>
      </c>
      <c r="Q6" s="10" t="s">
        <v>30</v>
      </c>
      <c r="R6" s="10">
        <v>74.3</v>
      </c>
      <c r="S6" s="10">
        <v>64.6</v>
      </c>
      <c r="T6" s="10">
        <v>11</v>
      </c>
    </row>
    <row r="7" ht="28.5" customHeight="1" spans="1:21">
      <c r="A7" s="6" t="s">
        <v>23</v>
      </c>
      <c r="B7" s="6" t="s">
        <v>34</v>
      </c>
      <c r="C7" s="6" t="s">
        <v>35</v>
      </c>
      <c r="D7" s="6" t="s">
        <v>36</v>
      </c>
      <c r="E7" s="6" t="s">
        <v>37</v>
      </c>
      <c r="F7" s="7" t="s">
        <v>38</v>
      </c>
      <c r="G7" s="7" t="s">
        <v>39</v>
      </c>
      <c r="H7" s="7" t="s">
        <v>40</v>
      </c>
      <c r="I7" s="7"/>
      <c r="J7" s="6" t="s">
        <v>33</v>
      </c>
      <c r="K7" s="12">
        <v>2900000</v>
      </c>
      <c r="L7" s="13">
        <v>3050000</v>
      </c>
      <c r="M7" s="14">
        <v>3250000</v>
      </c>
      <c r="N7" s="9">
        <f t="shared" si="0"/>
        <v>3575000</v>
      </c>
      <c r="O7" s="6"/>
      <c r="P7" s="6"/>
      <c r="Q7" s="6"/>
      <c r="R7" s="6"/>
      <c r="S7" s="6"/>
      <c r="T7" s="6"/>
    </row>
    <row r="8" ht="28.5" customHeight="1" spans="1:21">
      <c r="A8" s="10" t="s">
        <v>31</v>
      </c>
      <c r="B8" s="10" t="s">
        <v>41</v>
      </c>
      <c r="C8" s="10" t="s">
        <v>35</v>
      </c>
      <c r="D8" s="10" t="s">
        <v>36</v>
      </c>
      <c r="E8" s="10" t="s">
        <v>37</v>
      </c>
      <c r="F8" s="11" t="s">
        <v>38</v>
      </c>
      <c r="G8" s="11" t="s">
        <v>39</v>
      </c>
      <c r="H8" s="11" t="s">
        <v>40</v>
      </c>
      <c r="I8" s="11"/>
      <c r="J8" s="10" t="s">
        <v>29</v>
      </c>
      <c r="K8" s="12">
        <v>2600000</v>
      </c>
      <c r="L8" s="13">
        <v>2800000</v>
      </c>
      <c r="M8" s="14">
        <v>3000000</v>
      </c>
      <c r="N8" s="9">
        <f t="shared" si="0"/>
        <v>3300000</v>
      </c>
      <c r="O8" s="10"/>
      <c r="P8" s="10"/>
      <c r="Q8" s="10"/>
      <c r="R8" s="10"/>
      <c r="S8" s="10"/>
      <c r="T8" s="10"/>
    </row>
    <row r="9" ht="128.25" customHeight="1" spans="1:21">
      <c r="A9" s="6" t="s">
        <v>23</v>
      </c>
      <c r="B9" s="6" t="s">
        <v>42</v>
      </c>
      <c r="C9" s="6" t="s">
        <v>35</v>
      </c>
      <c r="D9" s="6" t="s">
        <v>43</v>
      </c>
      <c r="E9" s="6" t="s">
        <v>44</v>
      </c>
      <c r="F9" s="7" t="s">
        <v>45</v>
      </c>
      <c r="G9" s="7" t="s">
        <v>39</v>
      </c>
      <c r="H9" s="7" t="s">
        <v>46</v>
      </c>
      <c r="I9" s="7"/>
      <c r="J9" s="6" t="s">
        <v>47</v>
      </c>
      <c r="K9" s="8"/>
      <c r="L9" s="8"/>
      <c r="M9" s="8"/>
      <c r="N9" s="9" t="str">
        <f t="shared" si="0"/>
        <v/>
      </c>
      <c r="O9" s="6"/>
      <c r="P9" s="6"/>
      <c r="Q9" s="6"/>
      <c r="R9" s="6"/>
      <c r="S9" s="6"/>
      <c r="T9" s="6"/>
    </row>
    <row r="10" ht="128.25" customHeight="1" spans="1:21">
      <c r="A10" s="10" t="s">
        <v>31</v>
      </c>
      <c r="B10" s="10" t="s">
        <v>48</v>
      </c>
      <c r="C10" s="10" t="s">
        <v>35</v>
      </c>
      <c r="D10" s="10" t="s">
        <v>43</v>
      </c>
      <c r="E10" s="10" t="s">
        <v>44</v>
      </c>
      <c r="F10" s="11" t="s">
        <v>45</v>
      </c>
      <c r="G10" s="11" t="s">
        <v>39</v>
      </c>
      <c r="H10" s="11" t="s">
        <v>46</v>
      </c>
      <c r="I10" s="11"/>
      <c r="J10" s="10" t="s">
        <v>33</v>
      </c>
      <c r="K10" s="12">
        <v>2400000</v>
      </c>
      <c r="L10" s="13">
        <v>2600000</v>
      </c>
      <c r="M10" s="14">
        <v>2800000</v>
      </c>
      <c r="N10" s="9">
        <f t="shared" si="0"/>
        <v>3080000</v>
      </c>
      <c r="O10" s="10"/>
      <c r="P10" s="10"/>
      <c r="Q10" s="10"/>
      <c r="R10" s="10"/>
      <c r="S10" s="10"/>
      <c r="T10" s="10"/>
    </row>
    <row r="11" ht="28.5" customHeight="1" spans="1:21">
      <c r="A11" s="6" t="s">
        <v>23</v>
      </c>
      <c r="B11" s="6" t="s">
        <v>49</v>
      </c>
      <c r="C11" s="6" t="s">
        <v>25</v>
      </c>
      <c r="D11" s="6" t="s">
        <v>50</v>
      </c>
      <c r="E11" s="6" t="s">
        <v>51</v>
      </c>
      <c r="F11" s="7" t="s">
        <v>52</v>
      </c>
      <c r="G11" s="7"/>
      <c r="H11" s="7"/>
      <c r="I11" s="7"/>
      <c r="J11" s="6" t="s">
        <v>33</v>
      </c>
      <c r="K11" s="8"/>
      <c r="L11" s="8"/>
      <c r="M11" s="14">
        <v>3200000</v>
      </c>
      <c r="N11" s="9">
        <f t="shared" si="0"/>
        <v>3520000</v>
      </c>
      <c r="O11" s="6"/>
      <c r="P11" s="6"/>
      <c r="Q11" s="6"/>
      <c r="R11" s="6"/>
      <c r="S11" s="6"/>
      <c r="T11" s="6"/>
    </row>
    <row r="12" ht="41.25" customHeight="1" spans="1:21">
      <c r="A12" s="10" t="s">
        <v>23</v>
      </c>
      <c r="B12" s="10" t="s">
        <v>53</v>
      </c>
      <c r="C12" s="10" t="s">
        <v>25</v>
      </c>
      <c r="D12" s="10" t="s">
        <v>54</v>
      </c>
      <c r="E12" s="10" t="s">
        <v>55</v>
      </c>
      <c r="F12" s="11" t="s">
        <v>56</v>
      </c>
      <c r="G12" s="11" t="s">
        <v>57</v>
      </c>
      <c r="H12" s="11"/>
      <c r="I12" s="11" t="s">
        <v>58</v>
      </c>
      <c r="J12" s="10" t="s">
        <v>59</v>
      </c>
      <c r="K12" s="12">
        <v>5900000</v>
      </c>
      <c r="L12" s="13">
        <v>6300000</v>
      </c>
      <c r="M12" s="14">
        <v>6700000</v>
      </c>
      <c r="N12" s="9">
        <f t="shared" si="0"/>
        <v>7370000</v>
      </c>
      <c r="O12" s="10"/>
      <c r="P12" s="10"/>
      <c r="Q12" s="10"/>
      <c r="R12" s="10"/>
      <c r="S12" s="10"/>
      <c r="T12" s="10"/>
    </row>
    <row r="13" ht="156.75" customHeight="1" spans="1:21">
      <c r="A13" s="6" t="s">
        <v>23</v>
      </c>
      <c r="B13" s="6" t="s">
        <v>60</v>
      </c>
      <c r="C13" s="6" t="s">
        <v>61</v>
      </c>
      <c r="D13" s="6" t="s">
        <v>62</v>
      </c>
      <c r="E13" s="6" t="s">
        <v>63</v>
      </c>
      <c r="F13" s="7" t="s">
        <v>64</v>
      </c>
      <c r="G13" s="7"/>
      <c r="H13" s="7"/>
      <c r="I13" s="7"/>
      <c r="J13" s="6" t="s">
        <v>33</v>
      </c>
      <c r="K13" s="8"/>
      <c r="L13" s="8"/>
      <c r="M13" s="14">
        <v>8000000</v>
      </c>
      <c r="N13" s="9">
        <f t="shared" si="0"/>
        <v>8800000</v>
      </c>
      <c r="O13" s="6">
        <v>105.4</v>
      </c>
      <c r="P13" s="6">
        <v>74.6</v>
      </c>
      <c r="Q13" s="6" t="s">
        <v>65</v>
      </c>
      <c r="R13" s="6">
        <v>91.5</v>
      </c>
      <c r="S13" s="6">
        <v>81.7</v>
      </c>
      <c r="T13" s="6">
        <v>10</v>
      </c>
    </row>
    <row r="14" ht="27.75" customHeight="1" spans="1:21">
      <c r="A14" s="10" t="s">
        <v>23</v>
      </c>
      <c r="B14" s="10" t="s">
        <v>66</v>
      </c>
      <c r="C14" s="10" t="s">
        <v>61</v>
      </c>
      <c r="D14" s="10" t="s">
        <v>67</v>
      </c>
      <c r="E14" s="10" t="s">
        <v>68</v>
      </c>
      <c r="F14" s="11" t="s">
        <v>69</v>
      </c>
      <c r="G14" s="11" t="s">
        <v>70</v>
      </c>
      <c r="H14" s="11" t="s">
        <v>71</v>
      </c>
      <c r="I14" s="11"/>
      <c r="J14" s="10" t="s">
        <v>29</v>
      </c>
      <c r="K14" s="12">
        <v>4300000</v>
      </c>
      <c r="L14" s="13">
        <v>4700000</v>
      </c>
      <c r="M14" s="14">
        <v>5000000</v>
      </c>
      <c r="N14" s="9">
        <f t="shared" si="0"/>
        <v>5500000</v>
      </c>
      <c r="O14" s="10">
        <v>86.4</v>
      </c>
      <c r="P14" s="10">
        <v>58.6</v>
      </c>
      <c r="Q14" s="10" t="s">
        <v>65</v>
      </c>
      <c r="R14" s="10">
        <v>82.8</v>
      </c>
      <c r="S14" s="10">
        <v>74.6</v>
      </c>
      <c r="T14" s="10">
        <v>11</v>
      </c>
    </row>
    <row r="15" ht="42.75" customHeight="1" spans="1:21">
      <c r="A15" s="6" t="s">
        <v>23</v>
      </c>
      <c r="B15" s="6" t="s">
        <v>72</v>
      </c>
      <c r="C15" s="6" t="s">
        <v>61</v>
      </c>
      <c r="D15" s="6" t="s">
        <v>73</v>
      </c>
      <c r="E15" s="6" t="s">
        <v>74</v>
      </c>
      <c r="F15" s="7" t="s">
        <v>75</v>
      </c>
      <c r="G15" s="7"/>
      <c r="H15" s="7" t="s">
        <v>76</v>
      </c>
      <c r="I15" s="7"/>
      <c r="J15" s="6" t="s">
        <v>33</v>
      </c>
      <c r="K15" s="12">
        <v>4500000</v>
      </c>
      <c r="L15" s="13">
        <v>4750000</v>
      </c>
      <c r="M15" s="14">
        <v>5000000</v>
      </c>
      <c r="N15" s="9">
        <f t="shared" si="0"/>
        <v>5500000</v>
      </c>
      <c r="O15" s="6">
        <v>80</v>
      </c>
      <c r="P15" s="6">
        <v>53.2</v>
      </c>
      <c r="Q15" s="6" t="s">
        <v>65</v>
      </c>
      <c r="R15" s="6">
        <v>69.6</v>
      </c>
      <c r="S15" s="6">
        <v>55.9</v>
      </c>
      <c r="T15" s="6">
        <v>10</v>
      </c>
    </row>
    <row r="16" ht="28.5" customHeight="1" spans="1:21">
      <c r="A16" s="10" t="s">
        <v>23</v>
      </c>
      <c r="B16" s="10" t="s">
        <v>77</v>
      </c>
      <c r="C16" s="10" t="s">
        <v>61</v>
      </c>
      <c r="D16" s="10" t="s">
        <v>78</v>
      </c>
      <c r="E16" s="10" t="s">
        <v>79</v>
      </c>
      <c r="F16" s="11" t="s">
        <v>80</v>
      </c>
      <c r="G16" s="11"/>
      <c r="H16" s="11" t="s">
        <v>81</v>
      </c>
      <c r="I16" s="11"/>
      <c r="J16" s="10" t="s">
        <v>82</v>
      </c>
      <c r="K16" s="8"/>
      <c r="L16" s="8"/>
      <c r="M16" s="8"/>
      <c r="N16" s="9" t="str">
        <f t="shared" si="0"/>
        <v/>
      </c>
      <c r="O16" s="10"/>
      <c r="P16" s="10"/>
      <c r="Q16" s="10"/>
      <c r="R16" s="10"/>
      <c r="S16" s="10"/>
      <c r="T16" s="10"/>
    </row>
    <row r="17" ht="28.5" customHeight="1" spans="1:20">
      <c r="A17" s="6" t="s">
        <v>31</v>
      </c>
      <c r="B17" s="6" t="s">
        <v>83</v>
      </c>
      <c r="C17" s="6" t="s">
        <v>61</v>
      </c>
      <c r="D17" s="6" t="s">
        <v>78</v>
      </c>
      <c r="E17" s="6" t="s">
        <v>79</v>
      </c>
      <c r="F17" s="7" t="s">
        <v>80</v>
      </c>
      <c r="G17" s="7"/>
      <c r="H17" s="7" t="s">
        <v>81</v>
      </c>
      <c r="I17" s="7"/>
      <c r="J17" s="6" t="s">
        <v>33</v>
      </c>
      <c r="K17" s="12">
        <v>5800000</v>
      </c>
      <c r="L17" s="13">
        <v>6000000</v>
      </c>
      <c r="M17" s="14">
        <v>6500000</v>
      </c>
      <c r="N17" s="9">
        <f t="shared" si="0"/>
        <v>7150000</v>
      </c>
      <c r="O17" s="6"/>
      <c r="P17" s="6"/>
      <c r="Q17" s="6"/>
      <c r="R17" s="6"/>
      <c r="S17" s="6"/>
      <c r="T17" s="6"/>
    </row>
    <row r="18" ht="99.75" customHeight="1" spans="1:20">
      <c r="A18" s="10" t="s">
        <v>23</v>
      </c>
      <c r="B18" s="10" t="s">
        <v>84</v>
      </c>
      <c r="C18" s="10" t="s">
        <v>85</v>
      </c>
      <c r="D18" s="10" t="s">
        <v>86</v>
      </c>
      <c r="E18" s="10" t="s">
        <v>87</v>
      </c>
      <c r="F18" s="11" t="s">
        <v>88</v>
      </c>
      <c r="G18" s="11"/>
      <c r="H18" s="11" t="s">
        <v>89</v>
      </c>
      <c r="I18" s="11"/>
      <c r="J18" s="10" t="s">
        <v>29</v>
      </c>
      <c r="K18" s="12">
        <v>2300000</v>
      </c>
      <c r="L18" s="13">
        <v>2450000</v>
      </c>
      <c r="M18" s="14">
        <v>2600000</v>
      </c>
      <c r="N18" s="9">
        <f t="shared" si="0"/>
        <v>2860000</v>
      </c>
      <c r="O18" s="10">
        <v>50</v>
      </c>
      <c r="P18" s="10">
        <v>37.4</v>
      </c>
      <c r="Q18" s="10" t="s">
        <v>90</v>
      </c>
      <c r="R18" s="10">
        <v>45.2</v>
      </c>
      <c r="S18" s="10">
        <v>36.6</v>
      </c>
      <c r="T18" s="10">
        <v>9</v>
      </c>
    </row>
    <row r="19" ht="28.5" customHeight="1" spans="1:20">
      <c r="A19" s="6" t="s">
        <v>23</v>
      </c>
      <c r="B19" s="6" t="s">
        <v>91</v>
      </c>
      <c r="C19" s="6" t="s">
        <v>25</v>
      </c>
      <c r="D19" s="6" t="s">
        <v>92</v>
      </c>
      <c r="E19" s="6" t="s">
        <v>93</v>
      </c>
      <c r="F19" s="7" t="s">
        <v>94</v>
      </c>
      <c r="G19" s="7"/>
      <c r="H19" s="7"/>
      <c r="I19" s="7"/>
      <c r="J19" s="6" t="s">
        <v>33</v>
      </c>
      <c r="K19" s="12">
        <v>9600000</v>
      </c>
      <c r="L19" s="13">
        <v>9900000</v>
      </c>
      <c r="M19" s="14">
        <v>10600000</v>
      </c>
      <c r="N19" s="9">
        <f t="shared" si="0"/>
        <v>11660000</v>
      </c>
      <c r="O19" s="6"/>
      <c r="P19" s="6"/>
      <c r="Q19" s="6"/>
      <c r="R19" s="6"/>
      <c r="S19" s="6"/>
      <c r="T19" s="6"/>
    </row>
    <row r="20" ht="27.75" customHeight="1" spans="1:20">
      <c r="A20" s="10" t="s">
        <v>23</v>
      </c>
      <c r="B20" s="10" t="s">
        <v>95</v>
      </c>
      <c r="C20" s="10" t="s">
        <v>25</v>
      </c>
      <c r="D20" s="10" t="s">
        <v>96</v>
      </c>
      <c r="E20" s="10" t="s">
        <v>97</v>
      </c>
      <c r="F20" s="11" t="s">
        <v>98</v>
      </c>
      <c r="G20" s="11"/>
      <c r="H20" s="11"/>
      <c r="I20" s="11"/>
      <c r="J20" s="10" t="s">
        <v>29</v>
      </c>
      <c r="K20" s="8"/>
      <c r="L20" s="8"/>
      <c r="M20" s="8"/>
      <c r="N20" s="9" t="str">
        <f t="shared" si="0"/>
        <v/>
      </c>
      <c r="O20" s="10">
        <v>102.4</v>
      </c>
      <c r="P20" s="10">
        <v>74.7</v>
      </c>
      <c r="Q20" s="10" t="s">
        <v>99</v>
      </c>
      <c r="R20" s="10">
        <v>94</v>
      </c>
      <c r="S20" s="10">
        <v>84</v>
      </c>
      <c r="T20" s="10" t="s">
        <v>100</v>
      </c>
    </row>
    <row r="21" ht="28.5" customHeight="1" spans="1:20">
      <c r="A21" s="6" t="s">
        <v>23</v>
      </c>
      <c r="B21" s="6" t="s">
        <v>101</v>
      </c>
      <c r="C21" s="6" t="s">
        <v>25</v>
      </c>
      <c r="D21" s="6" t="s">
        <v>102</v>
      </c>
      <c r="E21" s="6" t="s">
        <v>103</v>
      </c>
      <c r="F21" s="7" t="s">
        <v>104</v>
      </c>
      <c r="G21" s="7"/>
      <c r="H21" s="7"/>
      <c r="I21" s="7"/>
      <c r="J21" s="6" t="s">
        <v>33</v>
      </c>
      <c r="K21" s="8"/>
      <c r="L21" s="8"/>
      <c r="M21" s="8"/>
      <c r="N21" s="9" t="str">
        <f t="shared" si="0"/>
        <v/>
      </c>
      <c r="O21" s="6"/>
      <c r="P21" s="6"/>
      <c r="Q21" s="6"/>
      <c r="R21" s="6"/>
      <c r="S21" s="6"/>
      <c r="T21" s="6"/>
    </row>
    <row r="22" ht="28.5" customHeight="1" spans="1:20">
      <c r="A22" s="10" t="s">
        <v>23</v>
      </c>
      <c r="B22" s="10" t="s">
        <v>105</v>
      </c>
      <c r="C22" s="10" t="s">
        <v>35</v>
      </c>
      <c r="D22" s="10" t="s">
        <v>106</v>
      </c>
      <c r="E22" s="10" t="s">
        <v>107</v>
      </c>
      <c r="F22" s="11" t="s">
        <v>108</v>
      </c>
      <c r="G22" s="11"/>
      <c r="H22" s="11" t="s">
        <v>109</v>
      </c>
      <c r="I22" s="11"/>
      <c r="J22" s="10" t="s">
        <v>33</v>
      </c>
      <c r="K22" s="8"/>
      <c r="L22" s="8"/>
      <c r="M22" s="8"/>
      <c r="N22" s="9" t="str">
        <f t="shared" si="0"/>
        <v/>
      </c>
      <c r="O22" s="10"/>
      <c r="P22" s="10"/>
      <c r="Q22" s="10"/>
      <c r="R22" s="10"/>
      <c r="S22" s="10"/>
      <c r="T22" s="10"/>
    </row>
    <row r="23" ht="28.5" customHeight="1" spans="1:20">
      <c r="A23" s="6" t="s">
        <v>23</v>
      </c>
      <c r="B23" s="6" t="s">
        <v>110</v>
      </c>
      <c r="C23" s="6" t="s">
        <v>61</v>
      </c>
      <c r="D23" s="6" t="s">
        <v>111</v>
      </c>
      <c r="E23" s="6">
        <v>3306</v>
      </c>
      <c r="F23" s="7" t="s">
        <v>112</v>
      </c>
      <c r="G23" s="7"/>
      <c r="H23" s="7"/>
      <c r="I23" s="7"/>
      <c r="J23" s="6" t="s">
        <v>33</v>
      </c>
      <c r="K23" s="12">
        <v>7100000</v>
      </c>
      <c r="L23" s="13">
        <v>7500000</v>
      </c>
      <c r="M23" s="14">
        <v>8000000</v>
      </c>
      <c r="N23" s="9">
        <f t="shared" si="0"/>
        <v>8800000</v>
      </c>
      <c r="O23" s="6"/>
      <c r="P23" s="6"/>
      <c r="Q23" s="6"/>
      <c r="R23" s="6"/>
      <c r="S23" s="6"/>
      <c r="T23" s="6"/>
    </row>
    <row r="24" ht="28.5" customHeight="1" spans="1:20">
      <c r="A24" s="10" t="s">
        <v>23</v>
      </c>
      <c r="B24" s="10" t="s">
        <v>113</v>
      </c>
      <c r="C24" s="10" t="s">
        <v>61</v>
      </c>
      <c r="D24" s="10" t="s">
        <v>114</v>
      </c>
      <c r="E24" s="10" t="s">
        <v>115</v>
      </c>
      <c r="F24" s="11" t="s">
        <v>116</v>
      </c>
      <c r="G24" s="11" t="s">
        <v>117</v>
      </c>
      <c r="H24" s="11" t="s">
        <v>118</v>
      </c>
      <c r="I24" s="11"/>
      <c r="J24" s="10" t="s">
        <v>29</v>
      </c>
      <c r="K24" s="12">
        <v>4500000</v>
      </c>
      <c r="L24" s="13">
        <v>4800000</v>
      </c>
      <c r="M24" s="14">
        <v>5100000</v>
      </c>
      <c r="N24" s="9">
        <f t="shared" si="0"/>
        <v>5610000</v>
      </c>
      <c r="O24" s="10">
        <v>61.6</v>
      </c>
      <c r="P24" s="10">
        <v>88.324</v>
      </c>
      <c r="Q24" s="10" t="s">
        <v>65</v>
      </c>
      <c r="R24" s="10">
        <v>79.7</v>
      </c>
      <c r="S24" s="10">
        <v>73.4</v>
      </c>
      <c r="T24" s="10" t="s">
        <v>100</v>
      </c>
    </row>
    <row r="25" ht="28.5" customHeight="1" spans="1:20">
      <c r="A25" s="6" t="s">
        <v>23</v>
      </c>
      <c r="B25" s="6" t="s">
        <v>119</v>
      </c>
      <c r="C25" s="6" t="s">
        <v>61</v>
      </c>
      <c r="D25" s="6" t="s">
        <v>78</v>
      </c>
      <c r="E25" s="6" t="s">
        <v>120</v>
      </c>
      <c r="F25" s="7" t="s">
        <v>121</v>
      </c>
      <c r="G25" s="7"/>
      <c r="H25" s="7"/>
      <c r="I25" s="7"/>
      <c r="J25" s="6" t="s">
        <v>33</v>
      </c>
      <c r="K25" s="12">
        <v>5800000</v>
      </c>
      <c r="L25" s="13">
        <v>6000000</v>
      </c>
      <c r="M25" s="14">
        <v>6400000</v>
      </c>
      <c r="N25" s="9">
        <f t="shared" si="0"/>
        <v>7040000</v>
      </c>
      <c r="O25" s="6"/>
      <c r="P25" s="6"/>
      <c r="Q25" s="6"/>
      <c r="R25" s="6"/>
      <c r="S25" s="6"/>
      <c r="T25" s="6"/>
    </row>
    <row r="26" ht="28.5" customHeight="1" spans="1:20">
      <c r="A26" s="10" t="s">
        <v>23</v>
      </c>
      <c r="B26" s="10" t="s">
        <v>122</v>
      </c>
      <c r="C26" s="10" t="s">
        <v>61</v>
      </c>
      <c r="D26" s="10" t="s">
        <v>78</v>
      </c>
      <c r="E26" s="10" t="s">
        <v>123</v>
      </c>
      <c r="F26" s="11" t="s">
        <v>124</v>
      </c>
      <c r="G26" s="11" t="s">
        <v>125</v>
      </c>
      <c r="H26" s="11"/>
      <c r="I26" s="11"/>
      <c r="J26" s="10" t="s">
        <v>33</v>
      </c>
      <c r="K26" s="8"/>
      <c r="L26" s="8"/>
      <c r="M26" s="8"/>
      <c r="N26" s="9" t="str">
        <f t="shared" si="0"/>
        <v/>
      </c>
      <c r="O26" s="10"/>
      <c r="P26" s="10"/>
      <c r="Q26" s="10"/>
      <c r="R26" s="10"/>
      <c r="S26" s="10"/>
      <c r="T26" s="10"/>
    </row>
    <row r="27" ht="28.5" customHeight="1" spans="1:20">
      <c r="A27" s="6" t="s">
        <v>23</v>
      </c>
      <c r="B27" s="6" t="s">
        <v>126</v>
      </c>
      <c r="C27" s="6"/>
      <c r="D27" s="6" t="s">
        <v>127</v>
      </c>
      <c r="E27" s="6"/>
      <c r="F27" s="7" t="s">
        <v>128</v>
      </c>
      <c r="G27" s="7"/>
      <c r="H27" s="7"/>
      <c r="I27" s="7"/>
      <c r="J27" s="6" t="s">
        <v>129</v>
      </c>
      <c r="K27" s="8"/>
      <c r="L27" s="8"/>
      <c r="M27" s="8"/>
      <c r="N27" s="9" t="str">
        <f t="shared" si="0"/>
        <v/>
      </c>
      <c r="O27" s="6"/>
      <c r="P27" s="6"/>
      <c r="Q27" s="6"/>
      <c r="R27" s="6"/>
      <c r="S27" s="6"/>
      <c r="T27" s="6"/>
    </row>
    <row r="28" ht="28.5" customHeight="1" spans="1:20">
      <c r="A28" s="10" t="s">
        <v>31</v>
      </c>
      <c r="B28" s="10" t="s">
        <v>130</v>
      </c>
      <c r="C28" s="10"/>
      <c r="D28" s="10" t="s">
        <v>127</v>
      </c>
      <c r="E28" s="10"/>
      <c r="F28" s="11" t="s">
        <v>128</v>
      </c>
      <c r="G28" s="11"/>
      <c r="H28" s="11"/>
      <c r="I28" s="11"/>
      <c r="J28" s="10" t="s">
        <v>33</v>
      </c>
      <c r="K28" s="12">
        <v>2900000</v>
      </c>
      <c r="L28" s="13">
        <v>3100000</v>
      </c>
      <c r="M28" s="14">
        <v>3300000</v>
      </c>
      <c r="N28" s="9">
        <f t="shared" si="0"/>
        <v>3630000</v>
      </c>
      <c r="O28" s="10"/>
      <c r="P28" s="10"/>
      <c r="Q28" s="10"/>
      <c r="R28" s="10"/>
      <c r="S28" s="10"/>
      <c r="T28" s="10"/>
    </row>
    <row r="29" customHeight="1" spans="1:20">
      <c r="A29" s="6" t="s">
        <v>23</v>
      </c>
      <c r="B29" s="6" t="s">
        <v>131</v>
      </c>
      <c r="C29" s="6" t="s">
        <v>61</v>
      </c>
      <c r="D29" s="6" t="s">
        <v>132</v>
      </c>
      <c r="E29" s="6" t="s">
        <v>133</v>
      </c>
      <c r="F29" s="7" t="s">
        <v>134</v>
      </c>
      <c r="G29" s="7"/>
      <c r="H29" s="7"/>
      <c r="I29" s="7"/>
      <c r="J29" s="6" t="s">
        <v>29</v>
      </c>
      <c r="K29" s="12">
        <v>5000000</v>
      </c>
      <c r="L29" s="13">
        <v>5250000</v>
      </c>
      <c r="M29" s="14">
        <v>5500000</v>
      </c>
      <c r="N29" s="9">
        <f t="shared" si="0"/>
        <v>6050000</v>
      </c>
      <c r="O29" s="6">
        <v>61.6</v>
      </c>
      <c r="P29" s="6">
        <v>88.324</v>
      </c>
      <c r="Q29" s="6" t="s">
        <v>65</v>
      </c>
      <c r="R29" s="6">
        <v>79.7</v>
      </c>
      <c r="S29" s="6">
        <v>73.4</v>
      </c>
      <c r="T29" s="6" t="s">
        <v>100</v>
      </c>
    </row>
    <row r="30" customHeight="1" spans="1:20">
      <c r="A30" s="10" t="s">
        <v>23</v>
      </c>
      <c r="B30" s="10" t="s">
        <v>135</v>
      </c>
      <c r="C30" s="10" t="s">
        <v>61</v>
      </c>
      <c r="D30" s="10" t="s">
        <v>136</v>
      </c>
      <c r="E30" s="10" t="s">
        <v>137</v>
      </c>
      <c r="F30" s="11" t="s">
        <v>138</v>
      </c>
      <c r="G30" s="11"/>
      <c r="H30" s="11"/>
      <c r="I30" s="11"/>
      <c r="J30" s="10"/>
      <c r="K30" s="12">
        <v>3700000</v>
      </c>
      <c r="L30" s="13">
        <v>4000000</v>
      </c>
      <c r="M30" s="14">
        <v>4300000</v>
      </c>
      <c r="N30" s="9">
        <f t="shared" si="0"/>
        <v>4730000</v>
      </c>
      <c r="O30" s="10">
        <v>76.2</v>
      </c>
      <c r="P30" s="10">
        <v>48.2</v>
      </c>
      <c r="Q30" s="10" t="s">
        <v>65</v>
      </c>
      <c r="R30" s="10">
        <v>74.4</v>
      </c>
      <c r="S30" s="10">
        <v>64.6</v>
      </c>
      <c r="T30" s="10">
        <v>11</v>
      </c>
    </row>
    <row r="31" ht="42.75" customHeight="1" spans="1:20">
      <c r="A31" s="6" t="s">
        <v>23</v>
      </c>
      <c r="B31" s="6" t="s">
        <v>139</v>
      </c>
      <c r="C31" s="6" t="s">
        <v>61</v>
      </c>
      <c r="D31" s="6" t="s">
        <v>140</v>
      </c>
      <c r="E31" s="6" t="s">
        <v>141</v>
      </c>
      <c r="F31" s="7" t="s">
        <v>142</v>
      </c>
      <c r="G31" s="7"/>
      <c r="H31" s="7"/>
      <c r="I31" s="7"/>
      <c r="J31" s="6" t="s">
        <v>29</v>
      </c>
      <c r="K31" s="8"/>
      <c r="L31" s="8"/>
      <c r="M31" s="8"/>
      <c r="N31" s="9" t="str">
        <f t="shared" si="0"/>
        <v/>
      </c>
      <c r="O31" s="6"/>
      <c r="P31" s="6"/>
      <c r="Q31" s="6"/>
      <c r="R31" s="6"/>
      <c r="S31" s="6"/>
      <c r="T31" s="6"/>
    </row>
    <row r="32" ht="28.5" customHeight="1" spans="1:20">
      <c r="A32" s="10" t="s">
        <v>23</v>
      </c>
      <c r="B32" s="10" t="s">
        <v>143</v>
      </c>
      <c r="C32" s="10" t="s">
        <v>85</v>
      </c>
      <c r="D32" s="10" t="s">
        <v>144</v>
      </c>
      <c r="E32" s="10" t="s">
        <v>145</v>
      </c>
      <c r="F32" s="11" t="s">
        <v>146</v>
      </c>
      <c r="G32" s="11" t="s">
        <v>147</v>
      </c>
      <c r="H32" s="11" t="s">
        <v>148</v>
      </c>
      <c r="I32" s="11"/>
      <c r="J32" s="10" t="s">
        <v>149</v>
      </c>
      <c r="K32" s="12">
        <v>3000000</v>
      </c>
      <c r="L32" s="13">
        <v>3150000</v>
      </c>
      <c r="M32" s="14">
        <v>3300000</v>
      </c>
      <c r="N32" s="9">
        <f t="shared" si="0"/>
        <v>3630000</v>
      </c>
      <c r="O32" s="10"/>
      <c r="P32" s="10"/>
      <c r="Q32" s="10"/>
      <c r="R32" s="10"/>
      <c r="S32" s="10"/>
      <c r="T32" s="10"/>
    </row>
    <row r="33" ht="114" customHeight="1" spans="1:20">
      <c r="A33" s="6" t="s">
        <v>23</v>
      </c>
      <c r="B33" s="6" t="s">
        <v>150</v>
      </c>
      <c r="C33" s="6" t="s">
        <v>35</v>
      </c>
      <c r="D33" s="6" t="s">
        <v>151</v>
      </c>
      <c r="E33" s="6" t="s">
        <v>152</v>
      </c>
      <c r="F33" s="7" t="s">
        <v>153</v>
      </c>
      <c r="G33" s="7"/>
      <c r="H33" s="7" t="s">
        <v>154</v>
      </c>
      <c r="I33" s="7"/>
      <c r="J33" s="6" t="s">
        <v>33</v>
      </c>
      <c r="K33" s="12">
        <v>2900000</v>
      </c>
      <c r="L33" s="13">
        <v>3100000</v>
      </c>
      <c r="M33" s="14">
        <v>3300000</v>
      </c>
      <c r="N33" s="9">
        <f t="shared" si="0"/>
        <v>3630000</v>
      </c>
      <c r="O33" s="6"/>
      <c r="P33" s="6"/>
      <c r="Q33" s="6"/>
      <c r="R33" s="6"/>
      <c r="S33" s="6"/>
      <c r="T33" s="6"/>
    </row>
    <row r="34" ht="42.75" customHeight="1" spans="1:20">
      <c r="A34" s="10" t="s">
        <v>23</v>
      </c>
      <c r="B34" s="10" t="s">
        <v>155</v>
      </c>
      <c r="C34" s="10" t="s">
        <v>61</v>
      </c>
      <c r="D34" s="10" t="s">
        <v>114</v>
      </c>
      <c r="E34" s="10" t="s">
        <v>115</v>
      </c>
      <c r="F34" s="11" t="s">
        <v>156</v>
      </c>
      <c r="G34" s="11"/>
      <c r="H34" s="11" t="s">
        <v>157</v>
      </c>
      <c r="I34" s="11"/>
      <c r="J34" s="10" t="s">
        <v>33</v>
      </c>
      <c r="K34" s="12">
        <v>6900000</v>
      </c>
      <c r="L34" s="13">
        <v>7300000</v>
      </c>
      <c r="M34" s="14">
        <v>7800000</v>
      </c>
      <c r="N34" s="9">
        <f t="shared" si="0"/>
        <v>8580000</v>
      </c>
      <c r="O34" s="10"/>
      <c r="P34" s="10"/>
      <c r="Q34" s="10"/>
      <c r="R34" s="10"/>
      <c r="S34" s="10"/>
      <c r="T34" s="10"/>
    </row>
    <row r="35" ht="28.5" customHeight="1" spans="1:20">
      <c r="A35" s="6" t="s">
        <v>23</v>
      </c>
      <c r="B35" s="6" t="s">
        <v>158</v>
      </c>
      <c r="C35" s="6" t="s">
        <v>61</v>
      </c>
      <c r="D35" s="6" t="s">
        <v>159</v>
      </c>
      <c r="E35" s="6" t="s">
        <v>160</v>
      </c>
      <c r="F35" s="7" t="s">
        <v>161</v>
      </c>
      <c r="G35" s="7" t="s">
        <v>162</v>
      </c>
      <c r="H35" s="7" t="s">
        <v>163</v>
      </c>
      <c r="I35" s="7"/>
      <c r="J35" s="6" t="s">
        <v>33</v>
      </c>
      <c r="K35" s="12">
        <v>6200000</v>
      </c>
      <c r="L35" s="13">
        <v>6600000</v>
      </c>
      <c r="M35" s="14">
        <v>7100000</v>
      </c>
      <c r="N35" s="9">
        <f t="shared" si="0"/>
        <v>7810000</v>
      </c>
      <c r="O35" s="6"/>
      <c r="P35" s="6"/>
      <c r="Q35" s="6"/>
      <c r="R35" s="6"/>
      <c r="S35" s="6"/>
      <c r="T35" s="6"/>
    </row>
    <row r="36" ht="27.75" customHeight="1" spans="1:20">
      <c r="A36" s="10" t="s">
        <v>23</v>
      </c>
      <c r="B36" s="10" t="s">
        <v>164</v>
      </c>
      <c r="C36" s="10" t="s">
        <v>61</v>
      </c>
      <c r="D36" s="10" t="s">
        <v>165</v>
      </c>
      <c r="E36" s="10">
        <v>3114</v>
      </c>
      <c r="F36" s="11" t="s">
        <v>166</v>
      </c>
      <c r="G36" s="11"/>
      <c r="H36" s="11"/>
      <c r="I36" s="11" t="s">
        <v>167</v>
      </c>
      <c r="J36" s="10" t="s">
        <v>33</v>
      </c>
      <c r="K36" s="12">
        <v>3800000</v>
      </c>
      <c r="L36" s="13">
        <v>4050000</v>
      </c>
      <c r="M36" s="14">
        <v>4300000</v>
      </c>
      <c r="N36" s="9">
        <f t="shared" si="0"/>
        <v>4730000</v>
      </c>
      <c r="O36" s="10"/>
      <c r="P36" s="10"/>
      <c r="Q36" s="10"/>
      <c r="R36" s="10"/>
      <c r="S36" s="10"/>
      <c r="T36" s="10"/>
    </row>
    <row r="37" ht="57" customHeight="1" spans="1:20">
      <c r="A37" s="6" t="s">
        <v>23</v>
      </c>
      <c r="B37" s="6" t="s">
        <v>168</v>
      </c>
      <c r="C37" s="6" t="s">
        <v>35</v>
      </c>
      <c r="D37" s="6" t="s">
        <v>169</v>
      </c>
      <c r="E37" s="6" t="s">
        <v>170</v>
      </c>
      <c r="F37" s="22" t="s">
        <v>171</v>
      </c>
      <c r="G37" s="7" t="s">
        <v>172</v>
      </c>
      <c r="H37" s="7" t="s">
        <v>173</v>
      </c>
      <c r="I37" s="7" t="s">
        <v>174</v>
      </c>
      <c r="J37" s="6" t="s">
        <v>33</v>
      </c>
      <c r="K37" s="12">
        <v>2800000</v>
      </c>
      <c r="L37" s="13">
        <v>2960000</v>
      </c>
      <c r="M37" s="14">
        <v>3160000</v>
      </c>
      <c r="N37" s="9">
        <f t="shared" si="0"/>
        <v>3476000</v>
      </c>
      <c r="O37" s="6"/>
      <c r="P37" s="6"/>
      <c r="Q37" s="6"/>
      <c r="R37" s="6"/>
      <c r="S37" s="6"/>
      <c r="T37" s="6"/>
    </row>
    <row r="38" ht="42.75" customHeight="1" spans="1:20">
      <c r="A38" s="10" t="s">
        <v>23</v>
      </c>
      <c r="B38" s="10" t="s">
        <v>175</v>
      </c>
      <c r="C38" s="10" t="s">
        <v>61</v>
      </c>
      <c r="D38" s="10" t="s">
        <v>176</v>
      </c>
      <c r="E38" s="10" t="s">
        <v>68</v>
      </c>
      <c r="F38" s="21" t="s">
        <v>177</v>
      </c>
      <c r="G38" s="11" t="s">
        <v>178</v>
      </c>
      <c r="H38" s="11" t="s">
        <v>179</v>
      </c>
      <c r="I38" s="11" t="s">
        <v>180</v>
      </c>
      <c r="J38" s="10" t="s">
        <v>29</v>
      </c>
      <c r="K38" s="12">
        <v>5100000</v>
      </c>
      <c r="L38" s="13">
        <v>5300000</v>
      </c>
      <c r="M38" s="14">
        <v>5600000</v>
      </c>
      <c r="N38" s="9">
        <f t="shared" si="0"/>
        <v>6160000</v>
      </c>
      <c r="O38" s="10"/>
      <c r="P38" s="10"/>
      <c r="Q38" s="10"/>
      <c r="R38" s="10"/>
      <c r="S38" s="10"/>
      <c r="T38" s="10"/>
    </row>
    <row r="39" ht="28.5" customHeight="1" spans="1:20">
      <c r="A39" s="6" t="s">
        <v>23</v>
      </c>
      <c r="B39" s="6" t="s">
        <v>181</v>
      </c>
      <c r="C39" s="6"/>
      <c r="D39" s="6"/>
      <c r="E39" s="6"/>
      <c r="F39" s="22" t="s">
        <v>182</v>
      </c>
      <c r="G39" s="7"/>
      <c r="H39" s="7"/>
      <c r="I39" s="7" t="s">
        <v>183</v>
      </c>
      <c r="J39" s="6" t="s">
        <v>82</v>
      </c>
      <c r="K39" s="8"/>
      <c r="L39" s="8"/>
      <c r="M39" s="8"/>
      <c r="N39" s="9" t="str">
        <f t="shared" si="0"/>
        <v/>
      </c>
      <c r="O39" s="6"/>
      <c r="P39" s="6"/>
      <c r="Q39" s="6"/>
      <c r="R39" s="6"/>
      <c r="S39" s="6"/>
      <c r="T39" s="6"/>
    </row>
    <row r="40" ht="43.5" customHeight="1" spans="1:20">
      <c r="A40" s="10" t="s">
        <v>23</v>
      </c>
      <c r="B40" s="10" t="s">
        <v>184</v>
      </c>
      <c r="C40" s="10"/>
      <c r="D40" s="10"/>
      <c r="E40" s="10"/>
      <c r="F40" s="21" t="s">
        <v>185</v>
      </c>
      <c r="G40" s="11"/>
      <c r="H40" s="11"/>
      <c r="I40" s="11" t="s">
        <v>186</v>
      </c>
      <c r="J40" s="10" t="s">
        <v>33</v>
      </c>
      <c r="K40" s="8"/>
      <c r="L40" s="8"/>
      <c r="M40" s="8"/>
      <c r="N40" s="9" t="str">
        <f t="shared" si="0"/>
        <v/>
      </c>
      <c r="O40" s="10"/>
      <c r="P40" s="10"/>
      <c r="Q40" s="10"/>
      <c r="R40" s="10"/>
      <c r="S40" s="10"/>
      <c r="T40" s="10"/>
    </row>
    <row r="41" ht="21.75" customHeight="1" spans="1:20">
      <c r="A41" s="5" t="s">
        <v>187</v>
      </c>
      <c r="B41" s="5"/>
      <c r="C41" s="5"/>
      <c r="D41" s="5"/>
      <c r="E41" s="5"/>
      <c r="F41" s="5"/>
      <c r="G41" s="5"/>
      <c r="H41" s="5"/>
      <c r="I41" s="5"/>
      <c r="J41" s="5"/>
      <c r="K41" s="20"/>
      <c r="L41" s="20"/>
      <c r="M41" s="20"/>
      <c r="N41" s="20"/>
      <c r="O41" s="5"/>
      <c r="P41" s="5"/>
      <c r="Q41" s="5"/>
      <c r="R41" s="5"/>
      <c r="S41" s="5"/>
      <c r="T41" s="5"/>
    </row>
    <row r="42" ht="28.5" customHeight="1" spans="1:20">
      <c r="A42" s="6" t="s">
        <v>188</v>
      </c>
      <c r="B42" s="6" t="s">
        <v>189</v>
      </c>
      <c r="C42" s="6" t="s">
        <v>190</v>
      </c>
      <c r="D42" s="6" t="s">
        <v>191</v>
      </c>
      <c r="E42" s="6" t="s">
        <v>192</v>
      </c>
      <c r="F42" s="7" t="s">
        <v>193</v>
      </c>
      <c r="G42" s="7" t="s">
        <v>191</v>
      </c>
      <c r="H42" s="7"/>
      <c r="I42" s="7" t="s">
        <v>194</v>
      </c>
      <c r="J42" s="6" t="s">
        <v>129</v>
      </c>
      <c r="K42" s="12">
        <v>3050000</v>
      </c>
      <c r="L42" s="13">
        <v>3200000</v>
      </c>
      <c r="M42" s="14">
        <v>3450000</v>
      </c>
      <c r="N42" s="9">
        <f t="shared" ref="N42:N85" si="1">IF($M42="","",ROUND($M42*1.1,0))</f>
        <v>3795000</v>
      </c>
      <c r="O42" s="6"/>
      <c r="P42" s="6"/>
      <c r="Q42" s="6"/>
      <c r="R42" s="6"/>
      <c r="S42" s="6"/>
      <c r="T42" s="6"/>
    </row>
    <row r="43" ht="41.25" customHeight="1" spans="1:20">
      <c r="A43" s="10" t="s">
        <v>188</v>
      </c>
      <c r="B43" s="10" t="s">
        <v>195</v>
      </c>
      <c r="C43" s="10" t="s">
        <v>190</v>
      </c>
      <c r="D43" s="10" t="s">
        <v>196</v>
      </c>
      <c r="E43" s="10" t="s">
        <v>197</v>
      </c>
      <c r="F43" s="11" t="s">
        <v>198</v>
      </c>
      <c r="G43" s="11" t="s">
        <v>199</v>
      </c>
      <c r="H43" s="11"/>
      <c r="I43" s="11"/>
      <c r="J43" s="10" t="s">
        <v>129</v>
      </c>
      <c r="K43" s="8"/>
      <c r="L43" s="8"/>
      <c r="M43" s="8"/>
      <c r="N43" s="9" t="str">
        <f t="shared" si="1"/>
        <v/>
      </c>
      <c r="O43" s="10"/>
      <c r="P43" s="10"/>
      <c r="Q43" s="10"/>
      <c r="R43" s="10"/>
      <c r="S43" s="10"/>
      <c r="T43" s="10"/>
    </row>
    <row r="44" ht="28.5" customHeight="1" spans="1:20">
      <c r="A44" s="6" t="s">
        <v>188</v>
      </c>
      <c r="B44" s="6" t="s">
        <v>200</v>
      </c>
      <c r="C44" s="6" t="s">
        <v>190</v>
      </c>
      <c r="D44" s="6" t="s">
        <v>201</v>
      </c>
      <c r="E44" s="6"/>
      <c r="F44" s="7" t="s">
        <v>202</v>
      </c>
      <c r="G44" s="7" t="s">
        <v>203</v>
      </c>
      <c r="H44" s="7" t="s">
        <v>196</v>
      </c>
      <c r="I44" s="7" t="s">
        <v>204</v>
      </c>
      <c r="J44" s="6" t="s">
        <v>129</v>
      </c>
      <c r="K44" s="12">
        <v>3500000</v>
      </c>
      <c r="L44" s="13">
        <v>3700000</v>
      </c>
      <c r="M44" s="14">
        <v>3900000</v>
      </c>
      <c r="N44" s="9">
        <f t="shared" si="1"/>
        <v>4290000</v>
      </c>
      <c r="O44" s="6"/>
      <c r="P44" s="6"/>
      <c r="Q44" s="6"/>
      <c r="R44" s="6"/>
      <c r="S44" s="6"/>
      <c r="T44" s="6"/>
    </row>
    <row r="45" ht="27.75" customHeight="1" spans="1:20">
      <c r="A45" s="10" t="s">
        <v>188</v>
      </c>
      <c r="B45" s="10" t="s">
        <v>205</v>
      </c>
      <c r="C45" s="10" t="s">
        <v>25</v>
      </c>
      <c r="D45" s="10" t="s">
        <v>206</v>
      </c>
      <c r="E45" s="10" t="s">
        <v>207</v>
      </c>
      <c r="F45" s="11" t="s">
        <v>208</v>
      </c>
      <c r="G45" s="11" t="s">
        <v>209</v>
      </c>
      <c r="H45" s="11"/>
      <c r="I45" s="11"/>
      <c r="J45" s="10" t="s">
        <v>47</v>
      </c>
      <c r="K45" s="12">
        <v>3800000</v>
      </c>
      <c r="L45" s="13">
        <v>4100000</v>
      </c>
      <c r="M45" s="14">
        <v>4400000</v>
      </c>
      <c r="N45" s="9">
        <f t="shared" si="1"/>
        <v>4840000</v>
      </c>
      <c r="O45" s="10"/>
      <c r="P45" s="10"/>
      <c r="Q45" s="10"/>
      <c r="R45" s="10"/>
      <c r="S45" s="10"/>
      <c r="T45" s="10"/>
    </row>
    <row r="46" ht="28.5" customHeight="1" spans="1:20">
      <c r="A46" s="6" t="s">
        <v>188</v>
      </c>
      <c r="B46" s="6" t="s">
        <v>210</v>
      </c>
      <c r="C46" s="6" t="s">
        <v>190</v>
      </c>
      <c r="D46" s="6" t="s">
        <v>211</v>
      </c>
      <c r="E46" s="6" t="s">
        <v>212</v>
      </c>
      <c r="F46" s="7" t="s">
        <v>213</v>
      </c>
      <c r="G46" s="7" t="s">
        <v>214</v>
      </c>
      <c r="H46" s="7"/>
      <c r="I46" s="7"/>
      <c r="J46" s="6" t="s">
        <v>29</v>
      </c>
      <c r="K46" s="12">
        <v>5000000</v>
      </c>
      <c r="L46" s="13">
        <v>5300000</v>
      </c>
      <c r="M46" s="14">
        <v>5600000</v>
      </c>
      <c r="N46" s="9">
        <f t="shared" si="1"/>
        <v>6160000</v>
      </c>
      <c r="O46" s="6">
        <v>109</v>
      </c>
      <c r="P46" s="6">
        <v>74.5</v>
      </c>
      <c r="Q46" s="6" t="s">
        <v>215</v>
      </c>
      <c r="R46" s="6">
        <v>97</v>
      </c>
      <c r="S46" s="6">
        <v>86.36</v>
      </c>
      <c r="T46" s="6" t="s">
        <v>216</v>
      </c>
    </row>
    <row r="47" ht="27.75" customHeight="1" spans="1:20">
      <c r="A47" s="10" t="s">
        <v>188</v>
      </c>
      <c r="B47" s="10" t="s">
        <v>217</v>
      </c>
      <c r="C47" s="10" t="s">
        <v>190</v>
      </c>
      <c r="D47" s="10" t="s">
        <v>218</v>
      </c>
      <c r="E47" s="10" t="s">
        <v>219</v>
      </c>
      <c r="F47" s="11" t="s">
        <v>220</v>
      </c>
      <c r="G47" s="11"/>
      <c r="H47" s="11"/>
      <c r="I47" s="11"/>
      <c r="J47" s="10" t="s">
        <v>29</v>
      </c>
      <c r="K47" s="12">
        <v>4900000</v>
      </c>
      <c r="L47" s="13">
        <v>5200000</v>
      </c>
      <c r="M47" s="14">
        <v>5500000</v>
      </c>
      <c r="N47" s="9">
        <f t="shared" si="1"/>
        <v>6050000</v>
      </c>
      <c r="O47" s="10">
        <v>99</v>
      </c>
      <c r="P47" s="10">
        <v>65</v>
      </c>
      <c r="Q47" s="10" t="s">
        <v>65</v>
      </c>
      <c r="R47" s="10">
        <v>86</v>
      </c>
      <c r="S47" s="10">
        <v>77</v>
      </c>
      <c r="T47" s="10">
        <v>12</v>
      </c>
    </row>
    <row r="48" ht="42.75" customHeight="1" spans="1:20">
      <c r="A48" s="6" t="s">
        <v>188</v>
      </c>
      <c r="B48" s="6" t="s">
        <v>221</v>
      </c>
      <c r="C48" s="6" t="s">
        <v>190</v>
      </c>
      <c r="D48" s="6" t="s">
        <v>218</v>
      </c>
      <c r="E48" s="6" t="s">
        <v>219</v>
      </c>
      <c r="F48" s="7" t="s">
        <v>222</v>
      </c>
      <c r="G48" s="7"/>
      <c r="H48" s="7" t="s">
        <v>223</v>
      </c>
      <c r="I48" s="7" t="s">
        <v>224</v>
      </c>
      <c r="J48" s="6" t="s">
        <v>33</v>
      </c>
      <c r="K48" s="12">
        <v>8000000</v>
      </c>
      <c r="L48" s="13">
        <v>8300000</v>
      </c>
      <c r="M48" s="14">
        <v>8700000</v>
      </c>
      <c r="N48" s="9">
        <f t="shared" si="1"/>
        <v>9570000</v>
      </c>
      <c r="O48" s="6">
        <v>99</v>
      </c>
      <c r="P48" s="6">
        <v>65</v>
      </c>
      <c r="Q48" s="6" t="s">
        <v>65</v>
      </c>
      <c r="R48" s="6">
        <v>86</v>
      </c>
      <c r="S48" s="6">
        <v>77</v>
      </c>
      <c r="T48" s="6">
        <v>12</v>
      </c>
    </row>
    <row r="49" ht="42.75" customHeight="1" spans="1:20">
      <c r="A49" s="10" t="s">
        <v>188</v>
      </c>
      <c r="B49" s="10" t="s">
        <v>225</v>
      </c>
      <c r="C49" s="10" t="s">
        <v>190</v>
      </c>
      <c r="D49" s="10" t="s">
        <v>226</v>
      </c>
      <c r="E49" s="10" t="s">
        <v>227</v>
      </c>
      <c r="F49" s="11" t="s">
        <v>228</v>
      </c>
      <c r="G49" s="11"/>
      <c r="H49" s="11" t="s">
        <v>226</v>
      </c>
      <c r="I49" s="11" t="s">
        <v>229</v>
      </c>
      <c r="J49" s="10" t="s">
        <v>29</v>
      </c>
      <c r="K49" s="12">
        <v>6300000</v>
      </c>
      <c r="L49" s="13">
        <v>6650000</v>
      </c>
      <c r="M49" s="14">
        <v>7100000</v>
      </c>
      <c r="N49" s="9">
        <f t="shared" si="1"/>
        <v>7810000</v>
      </c>
      <c r="O49" s="10">
        <v>141</v>
      </c>
      <c r="P49" s="10">
        <v>91.6</v>
      </c>
      <c r="Q49" s="10" t="s">
        <v>30</v>
      </c>
      <c r="R49" s="10">
        <v>129</v>
      </c>
      <c r="S49" s="10">
        <v>95.85</v>
      </c>
      <c r="T49" s="10">
        <v>11</v>
      </c>
    </row>
    <row r="50" ht="57" customHeight="1" spans="1:20">
      <c r="A50" s="6" t="s">
        <v>188</v>
      </c>
      <c r="B50" s="6" t="s">
        <v>230</v>
      </c>
      <c r="C50" s="6" t="s">
        <v>190</v>
      </c>
      <c r="D50" s="6" t="s">
        <v>218</v>
      </c>
      <c r="E50" s="6" t="s">
        <v>231</v>
      </c>
      <c r="F50" s="7" t="s">
        <v>232</v>
      </c>
      <c r="G50" s="7" t="s">
        <v>233</v>
      </c>
      <c r="H50" s="7" t="s">
        <v>234</v>
      </c>
      <c r="I50" s="7" t="s">
        <v>235</v>
      </c>
      <c r="J50" s="6" t="s">
        <v>129</v>
      </c>
      <c r="K50" s="8"/>
      <c r="L50" s="8"/>
      <c r="M50" s="8"/>
      <c r="N50" s="9" t="str">
        <f t="shared" si="1"/>
        <v/>
      </c>
      <c r="O50" s="6"/>
      <c r="P50" s="6"/>
      <c r="Q50" s="6"/>
      <c r="R50" s="6"/>
      <c r="S50" s="6"/>
      <c r="T50" s="6"/>
    </row>
    <row r="51" ht="27.75" customHeight="1" spans="1:20">
      <c r="A51" s="10" t="s">
        <v>188</v>
      </c>
      <c r="B51" s="10" t="s">
        <v>236</v>
      </c>
      <c r="C51" s="10" t="s">
        <v>190</v>
      </c>
      <c r="D51" s="10" t="s">
        <v>218</v>
      </c>
      <c r="E51" s="10" t="s">
        <v>237</v>
      </c>
      <c r="F51" s="11" t="s">
        <v>238</v>
      </c>
      <c r="G51" s="11"/>
      <c r="H51" s="11"/>
      <c r="I51" s="11"/>
      <c r="J51" s="10" t="s">
        <v>129</v>
      </c>
      <c r="K51" s="12">
        <v>4200000</v>
      </c>
      <c r="L51" s="13">
        <v>4400000</v>
      </c>
      <c r="M51" s="14">
        <v>4700000</v>
      </c>
      <c r="N51" s="9">
        <f t="shared" si="1"/>
        <v>5170000</v>
      </c>
      <c r="O51" s="10"/>
      <c r="P51" s="10"/>
      <c r="Q51" s="10"/>
      <c r="R51" s="10"/>
      <c r="S51" s="10"/>
      <c r="T51" s="10"/>
    </row>
    <row r="52" ht="28.5" customHeight="1" spans="1:20">
      <c r="A52" s="6" t="s">
        <v>188</v>
      </c>
      <c r="B52" s="6" t="s">
        <v>239</v>
      </c>
      <c r="C52" s="6" t="s">
        <v>190</v>
      </c>
      <c r="D52" s="6" t="s">
        <v>218</v>
      </c>
      <c r="E52" s="6" t="s">
        <v>240</v>
      </c>
      <c r="F52" s="7" t="s">
        <v>241</v>
      </c>
      <c r="G52" s="7"/>
      <c r="H52" s="7"/>
      <c r="I52" s="7"/>
      <c r="J52" s="6" t="s">
        <v>47</v>
      </c>
      <c r="K52" s="12">
        <v>6200000</v>
      </c>
      <c r="L52" s="13">
        <v>6600000</v>
      </c>
      <c r="M52" s="14">
        <v>7000000</v>
      </c>
      <c r="N52" s="9">
        <f t="shared" si="1"/>
        <v>7700000</v>
      </c>
      <c r="O52" s="6"/>
      <c r="P52" s="6"/>
      <c r="Q52" s="6"/>
      <c r="R52" s="6"/>
      <c r="S52" s="6"/>
      <c r="T52" s="6"/>
    </row>
    <row r="53" ht="28.5" customHeight="1" spans="1:20">
      <c r="A53" s="10" t="s">
        <v>188</v>
      </c>
      <c r="B53" s="10" t="s">
        <v>242</v>
      </c>
      <c r="C53" s="10" t="s">
        <v>190</v>
      </c>
      <c r="D53" s="10" t="s">
        <v>218</v>
      </c>
      <c r="E53" s="10" t="s">
        <v>243</v>
      </c>
      <c r="F53" s="11" t="s">
        <v>244</v>
      </c>
      <c r="G53" s="11"/>
      <c r="H53" s="11"/>
      <c r="I53" s="11"/>
      <c r="J53" s="10" t="s">
        <v>29</v>
      </c>
      <c r="K53" s="12">
        <v>4850000</v>
      </c>
      <c r="L53" s="13">
        <v>5200000</v>
      </c>
      <c r="M53" s="14">
        <v>5500000</v>
      </c>
      <c r="N53" s="9">
        <f t="shared" si="1"/>
        <v>6050000</v>
      </c>
      <c r="O53" s="10">
        <v>99</v>
      </c>
      <c r="P53" s="10">
        <v>65</v>
      </c>
      <c r="Q53" s="10" t="s">
        <v>65</v>
      </c>
      <c r="R53" s="10">
        <v>86</v>
      </c>
      <c r="S53" s="10">
        <v>77</v>
      </c>
      <c r="T53" s="10">
        <v>12</v>
      </c>
    </row>
    <row r="54" ht="42.75" customHeight="1" spans="1:20">
      <c r="A54" s="6" t="s">
        <v>188</v>
      </c>
      <c r="B54" s="6" t="s">
        <v>245</v>
      </c>
      <c r="C54" s="6" t="s">
        <v>190</v>
      </c>
      <c r="D54" s="6" t="s">
        <v>246</v>
      </c>
      <c r="E54" s="6" t="s">
        <v>247</v>
      </c>
      <c r="F54" s="7" t="s">
        <v>248</v>
      </c>
      <c r="G54" s="7" t="s">
        <v>249</v>
      </c>
      <c r="H54" s="7" t="s">
        <v>250</v>
      </c>
      <c r="I54" s="7"/>
      <c r="J54" s="6"/>
      <c r="K54" s="12">
        <v>4500000</v>
      </c>
      <c r="L54" s="13">
        <v>4800000</v>
      </c>
      <c r="M54" s="14">
        <v>5100000</v>
      </c>
      <c r="N54" s="9">
        <f t="shared" si="1"/>
        <v>5610000</v>
      </c>
      <c r="O54" s="6">
        <v>99</v>
      </c>
      <c r="P54" s="6">
        <v>65</v>
      </c>
      <c r="Q54" s="6" t="s">
        <v>65</v>
      </c>
      <c r="R54" s="6">
        <v>86</v>
      </c>
      <c r="S54" s="6">
        <v>77</v>
      </c>
      <c r="T54" s="6">
        <v>12</v>
      </c>
    </row>
    <row r="55" ht="42.75" customHeight="1" spans="1:20">
      <c r="A55" s="10" t="s">
        <v>188</v>
      </c>
      <c r="B55" s="10" t="s">
        <v>251</v>
      </c>
      <c r="C55" s="10" t="s">
        <v>190</v>
      </c>
      <c r="D55" s="10" t="s">
        <v>252</v>
      </c>
      <c r="E55" s="10" t="s">
        <v>253</v>
      </c>
      <c r="F55" s="11" t="s">
        <v>254</v>
      </c>
      <c r="G55" s="11" t="s">
        <v>255</v>
      </c>
      <c r="H55" s="11"/>
      <c r="I55" s="11"/>
      <c r="J55" s="10" t="s">
        <v>29</v>
      </c>
      <c r="K55" s="12">
        <v>4350000</v>
      </c>
      <c r="L55" s="13">
        <v>4500000</v>
      </c>
      <c r="M55" s="14">
        <v>4800000</v>
      </c>
      <c r="N55" s="9">
        <f t="shared" si="1"/>
        <v>5280000</v>
      </c>
      <c r="O55" s="10">
        <v>99</v>
      </c>
      <c r="P55" s="10">
        <v>65</v>
      </c>
      <c r="Q55" s="10" t="s">
        <v>65</v>
      </c>
      <c r="R55" s="10">
        <v>86</v>
      </c>
      <c r="S55" s="10">
        <v>77</v>
      </c>
      <c r="T55" s="10">
        <v>12</v>
      </c>
    </row>
    <row r="56" ht="42.75" customHeight="1" spans="1:20">
      <c r="A56" s="6" t="s">
        <v>188</v>
      </c>
      <c r="B56" s="6" t="s">
        <v>256</v>
      </c>
      <c r="C56" s="6" t="s">
        <v>190</v>
      </c>
      <c r="D56" s="6" t="s">
        <v>196</v>
      </c>
      <c r="E56" s="6" t="s">
        <v>197</v>
      </c>
      <c r="F56" s="7" t="s">
        <v>257</v>
      </c>
      <c r="G56" s="7" t="s">
        <v>258</v>
      </c>
      <c r="H56" s="7"/>
      <c r="I56" s="7"/>
      <c r="J56" s="6" t="s">
        <v>129</v>
      </c>
      <c r="K56" s="8"/>
      <c r="L56" s="8"/>
      <c r="M56" s="8"/>
      <c r="N56" s="9" t="str">
        <f t="shared" si="1"/>
        <v/>
      </c>
      <c r="O56" s="6"/>
      <c r="P56" s="6"/>
      <c r="Q56" s="6"/>
      <c r="R56" s="6"/>
      <c r="S56" s="6"/>
      <c r="T56" s="6"/>
    </row>
    <row r="57" ht="42.75" customHeight="1" spans="1:20">
      <c r="A57" s="10" t="s">
        <v>188</v>
      </c>
      <c r="B57" s="10" t="s">
        <v>259</v>
      </c>
      <c r="C57" s="10" t="s">
        <v>190</v>
      </c>
      <c r="D57" s="10" t="s">
        <v>196</v>
      </c>
      <c r="E57" s="10" t="s">
        <v>260</v>
      </c>
      <c r="F57" s="11" t="s">
        <v>261</v>
      </c>
      <c r="G57" s="11"/>
      <c r="H57" s="11"/>
      <c r="I57" s="11"/>
      <c r="J57" s="10" t="s">
        <v>29</v>
      </c>
      <c r="K57" s="12">
        <v>4800000</v>
      </c>
      <c r="L57" s="13">
        <v>5100000</v>
      </c>
      <c r="M57" s="14">
        <v>5400000</v>
      </c>
      <c r="N57" s="9">
        <f t="shared" si="1"/>
        <v>5940000</v>
      </c>
      <c r="O57" s="10">
        <v>94</v>
      </c>
      <c r="P57" s="10">
        <v>61.6</v>
      </c>
      <c r="Q57" s="10" t="s">
        <v>30</v>
      </c>
      <c r="R57" s="10">
        <v>85.2</v>
      </c>
      <c r="S57" s="10">
        <v>72</v>
      </c>
      <c r="T57" s="10">
        <v>12</v>
      </c>
    </row>
    <row r="58" ht="42.75" customHeight="1" spans="1:20">
      <c r="A58" s="6" t="s">
        <v>188</v>
      </c>
      <c r="B58" s="6" t="s">
        <v>262</v>
      </c>
      <c r="C58" s="6" t="s">
        <v>190</v>
      </c>
      <c r="D58" s="6" t="s">
        <v>252</v>
      </c>
      <c r="E58" s="6" t="s">
        <v>263</v>
      </c>
      <c r="F58" s="7" t="s">
        <v>264</v>
      </c>
      <c r="G58" s="7" t="s">
        <v>265</v>
      </c>
      <c r="H58" s="7" t="s">
        <v>266</v>
      </c>
      <c r="I58" s="7"/>
      <c r="J58" s="6" t="s">
        <v>129</v>
      </c>
      <c r="K58" s="8"/>
      <c r="L58" s="8"/>
      <c r="M58" s="8"/>
      <c r="N58" s="9" t="str">
        <f t="shared" si="1"/>
        <v/>
      </c>
      <c r="O58" s="6"/>
      <c r="P58" s="6"/>
      <c r="Q58" s="6"/>
      <c r="R58" s="6"/>
      <c r="S58" s="6"/>
      <c r="T58" s="6"/>
    </row>
    <row r="59" ht="28.5" customHeight="1" spans="1:20">
      <c r="A59" s="10" t="s">
        <v>188</v>
      </c>
      <c r="B59" s="10" t="s">
        <v>267</v>
      </c>
      <c r="C59" s="10" t="s">
        <v>190</v>
      </c>
      <c r="D59" s="10" t="s">
        <v>268</v>
      </c>
      <c r="E59" s="10"/>
      <c r="F59" s="11" t="s">
        <v>269</v>
      </c>
      <c r="G59" s="11" t="s">
        <v>270</v>
      </c>
      <c r="H59" s="11"/>
      <c r="I59" s="11"/>
      <c r="J59" s="10" t="s">
        <v>47</v>
      </c>
      <c r="K59" s="12">
        <v>2900000</v>
      </c>
      <c r="L59" s="13">
        <v>3100000</v>
      </c>
      <c r="M59" s="14">
        <v>3300000</v>
      </c>
      <c r="N59" s="9">
        <f t="shared" si="1"/>
        <v>3630000</v>
      </c>
      <c r="O59" s="10"/>
      <c r="P59" s="10"/>
      <c r="Q59" s="10"/>
      <c r="R59" s="10"/>
      <c r="S59" s="10"/>
      <c r="T59" s="10"/>
    </row>
    <row r="60" ht="28.5" customHeight="1" spans="1:20">
      <c r="A60" s="6" t="s">
        <v>188</v>
      </c>
      <c r="B60" s="6" t="s">
        <v>271</v>
      </c>
      <c r="C60" s="6" t="s">
        <v>190</v>
      </c>
      <c r="D60" s="6" t="s">
        <v>272</v>
      </c>
      <c r="E60" s="6" t="s">
        <v>273</v>
      </c>
      <c r="F60" s="7" t="s">
        <v>274</v>
      </c>
      <c r="G60" s="7" t="s">
        <v>275</v>
      </c>
      <c r="H60" s="7"/>
      <c r="I60" s="7" t="s">
        <v>276</v>
      </c>
      <c r="J60" s="6"/>
      <c r="K60" s="12">
        <v>2900000</v>
      </c>
      <c r="L60" s="13">
        <v>3100000</v>
      </c>
      <c r="M60" s="14">
        <v>3300000</v>
      </c>
      <c r="N60" s="9">
        <f t="shared" si="1"/>
        <v>3630000</v>
      </c>
      <c r="O60" s="6">
        <v>73</v>
      </c>
      <c r="P60" s="6">
        <v>44</v>
      </c>
      <c r="Q60" s="6" t="s">
        <v>99</v>
      </c>
      <c r="R60" s="6">
        <v>65.4</v>
      </c>
      <c r="S60" s="6">
        <v>52</v>
      </c>
      <c r="T60" s="6">
        <v>12</v>
      </c>
    </row>
    <row r="61" ht="42.75" customHeight="1" spans="1:20">
      <c r="A61" s="10" t="s">
        <v>188</v>
      </c>
      <c r="B61" s="10" t="s">
        <v>277</v>
      </c>
      <c r="C61" s="10" t="s">
        <v>190</v>
      </c>
      <c r="D61" s="10" t="s">
        <v>272</v>
      </c>
      <c r="E61" s="10" t="s">
        <v>273</v>
      </c>
      <c r="F61" s="11" t="s">
        <v>278</v>
      </c>
      <c r="G61" s="11" t="s">
        <v>279</v>
      </c>
      <c r="H61" s="11"/>
      <c r="I61" s="11"/>
      <c r="J61" s="10" t="s">
        <v>29</v>
      </c>
      <c r="K61" s="12">
        <v>2800000</v>
      </c>
      <c r="L61" s="13">
        <v>2960000</v>
      </c>
      <c r="M61" s="14">
        <v>3160000</v>
      </c>
      <c r="N61" s="9">
        <f t="shared" si="1"/>
        <v>3476000</v>
      </c>
      <c r="O61" s="10">
        <v>69</v>
      </c>
      <c r="P61" s="10">
        <v>40.2</v>
      </c>
      <c r="Q61" s="10" t="s">
        <v>99</v>
      </c>
      <c r="R61" s="10">
        <v>65.4</v>
      </c>
      <c r="S61" s="10">
        <v>52</v>
      </c>
      <c r="T61" s="10">
        <v>12</v>
      </c>
    </row>
    <row r="62" ht="28.5" customHeight="1" spans="1:20">
      <c r="A62" s="6" t="s">
        <v>188</v>
      </c>
      <c r="B62" s="6" t="s">
        <v>280</v>
      </c>
      <c r="C62" s="6" t="s">
        <v>190</v>
      </c>
      <c r="D62" s="6" t="s">
        <v>281</v>
      </c>
      <c r="E62" s="6" t="s">
        <v>282</v>
      </c>
      <c r="F62" s="7" t="s">
        <v>283</v>
      </c>
      <c r="G62" s="7"/>
      <c r="H62" s="7" t="s">
        <v>281</v>
      </c>
      <c r="I62" s="7" t="s">
        <v>284</v>
      </c>
      <c r="J62" s="6" t="s">
        <v>29</v>
      </c>
      <c r="K62" s="8"/>
      <c r="L62" s="8"/>
      <c r="M62" s="8"/>
      <c r="N62" s="9" t="str">
        <f t="shared" si="1"/>
        <v/>
      </c>
      <c r="O62" s="6">
        <v>56</v>
      </c>
      <c r="P62" s="6">
        <v>40.8</v>
      </c>
      <c r="Q62" s="6" t="s">
        <v>99</v>
      </c>
      <c r="R62" s="6">
        <v>52</v>
      </c>
      <c r="S62" s="6">
        <v>45.6</v>
      </c>
      <c r="T62" s="6">
        <v>12</v>
      </c>
    </row>
    <row r="63" customHeight="1" spans="1:20">
      <c r="A63" s="10" t="s">
        <v>188</v>
      </c>
      <c r="B63" s="10" t="s">
        <v>285</v>
      </c>
      <c r="C63" s="10" t="s">
        <v>190</v>
      </c>
      <c r="D63" s="10" t="s">
        <v>286</v>
      </c>
      <c r="E63" s="10" t="s">
        <v>282</v>
      </c>
      <c r="F63" s="11" t="s">
        <v>287</v>
      </c>
      <c r="G63" s="11"/>
      <c r="H63" s="11"/>
      <c r="I63" s="11"/>
      <c r="J63" s="10" t="s">
        <v>47</v>
      </c>
      <c r="K63" s="8"/>
      <c r="L63" s="8"/>
      <c r="M63" s="8"/>
      <c r="N63" s="9" t="str">
        <f t="shared" si="1"/>
        <v/>
      </c>
      <c r="O63" s="10">
        <v>56</v>
      </c>
      <c r="P63" s="10">
        <v>38.4</v>
      </c>
      <c r="Q63" s="10" t="s">
        <v>99</v>
      </c>
      <c r="R63" s="10">
        <v>52</v>
      </c>
      <c r="S63" s="10">
        <v>45.6</v>
      </c>
      <c r="T63" s="10">
        <v>12</v>
      </c>
    </row>
    <row r="64" ht="28.5" customHeight="1" spans="1:20">
      <c r="A64" s="6" t="s">
        <v>188</v>
      </c>
      <c r="B64" s="6" t="s">
        <v>288</v>
      </c>
      <c r="C64" s="6" t="s">
        <v>190</v>
      </c>
      <c r="D64" s="6" t="s">
        <v>289</v>
      </c>
      <c r="E64" s="6"/>
      <c r="F64" s="7" t="s">
        <v>290</v>
      </c>
      <c r="G64" s="7"/>
      <c r="H64" s="7"/>
      <c r="I64" s="7"/>
      <c r="J64" s="6" t="s">
        <v>29</v>
      </c>
      <c r="K64" s="8"/>
      <c r="L64" s="8"/>
      <c r="M64" s="8"/>
      <c r="N64" s="9" t="str">
        <f t="shared" si="1"/>
        <v/>
      </c>
      <c r="O64" s="6">
        <v>108.8</v>
      </c>
      <c r="P64" s="6">
        <v>71.8</v>
      </c>
      <c r="Q64" s="6" t="s">
        <v>30</v>
      </c>
      <c r="R64" s="6">
        <v>85.8</v>
      </c>
      <c r="S64" s="6">
        <v>75</v>
      </c>
      <c r="T64" s="6">
        <v>12</v>
      </c>
    </row>
    <row r="65" ht="28.5" customHeight="1" spans="1:20">
      <c r="A65" s="10" t="s">
        <v>188</v>
      </c>
      <c r="B65" s="10" t="s">
        <v>291</v>
      </c>
      <c r="C65" s="10" t="s">
        <v>190</v>
      </c>
      <c r="D65" s="10" t="s">
        <v>292</v>
      </c>
      <c r="E65" s="10"/>
      <c r="F65" s="11" t="s">
        <v>293</v>
      </c>
      <c r="G65" s="11"/>
      <c r="H65" s="11"/>
      <c r="I65" s="11"/>
      <c r="J65" s="10" t="s">
        <v>33</v>
      </c>
      <c r="K65" s="12">
        <v>6000000</v>
      </c>
      <c r="L65" s="13">
        <v>6400000</v>
      </c>
      <c r="M65" s="14">
        <v>6800000</v>
      </c>
      <c r="N65" s="9">
        <f t="shared" si="1"/>
        <v>7480000</v>
      </c>
      <c r="O65" s="10">
        <v>93</v>
      </c>
      <c r="P65" s="10">
        <v>64</v>
      </c>
      <c r="Q65" s="10" t="s">
        <v>65</v>
      </c>
      <c r="R65" s="10">
        <v>75.8</v>
      </c>
      <c r="S65" s="10">
        <v>67</v>
      </c>
      <c r="T65" s="10">
        <v>12</v>
      </c>
    </row>
    <row r="66" ht="327.75" customHeight="1" spans="1:20">
      <c r="A66" s="6" t="s">
        <v>188</v>
      </c>
      <c r="B66" s="6" t="s">
        <v>294</v>
      </c>
      <c r="C66" s="6" t="s">
        <v>190</v>
      </c>
      <c r="D66" s="6" t="s">
        <v>295</v>
      </c>
      <c r="E66" s="6" t="s">
        <v>296</v>
      </c>
      <c r="F66" s="7" t="s">
        <v>297</v>
      </c>
      <c r="G66" s="7"/>
      <c r="H66" s="7"/>
      <c r="I66" s="7"/>
      <c r="J66" s="6" t="s">
        <v>29</v>
      </c>
      <c r="K66" s="8"/>
      <c r="L66" s="8"/>
      <c r="M66" s="8"/>
      <c r="N66" s="9" t="str">
        <f t="shared" si="1"/>
        <v/>
      </c>
      <c r="O66" s="6">
        <v>85</v>
      </c>
      <c r="P66" s="6">
        <v>56</v>
      </c>
      <c r="Q66" s="6" t="s">
        <v>65</v>
      </c>
      <c r="R66" s="6">
        <v>69.8</v>
      </c>
      <c r="S66" s="6">
        <v>60</v>
      </c>
      <c r="T66" s="6">
        <v>12</v>
      </c>
    </row>
    <row r="67" ht="85.5" customHeight="1" spans="1:20">
      <c r="A67" s="10" t="s">
        <v>188</v>
      </c>
      <c r="B67" s="10" t="s">
        <v>298</v>
      </c>
      <c r="C67" s="10" t="s">
        <v>190</v>
      </c>
      <c r="D67" s="10" t="s">
        <v>299</v>
      </c>
      <c r="E67" s="10" t="s">
        <v>300</v>
      </c>
      <c r="F67" s="11" t="s">
        <v>301</v>
      </c>
      <c r="G67" s="11"/>
      <c r="H67" s="11"/>
      <c r="I67" s="11"/>
      <c r="J67" s="10" t="s">
        <v>47</v>
      </c>
      <c r="K67" s="12">
        <v>3100000</v>
      </c>
      <c r="L67" s="13">
        <v>3300000</v>
      </c>
      <c r="M67" s="14">
        <v>3550000</v>
      </c>
      <c r="N67" s="9">
        <f t="shared" si="1"/>
        <v>3905000</v>
      </c>
      <c r="O67" s="10">
        <v>78</v>
      </c>
      <c r="P67" s="10">
        <v>54</v>
      </c>
      <c r="Q67" s="10" t="s">
        <v>65</v>
      </c>
      <c r="R67" s="10">
        <v>70</v>
      </c>
      <c r="S67" s="10">
        <v>60</v>
      </c>
      <c r="T67" s="10">
        <v>12</v>
      </c>
    </row>
    <row r="68" ht="156.75" customHeight="1" spans="1:20">
      <c r="A68" s="6" t="s">
        <v>188</v>
      </c>
      <c r="B68" s="6" t="s">
        <v>302</v>
      </c>
      <c r="C68" s="6" t="s">
        <v>190</v>
      </c>
      <c r="D68" s="6" t="s">
        <v>303</v>
      </c>
      <c r="E68" s="6" t="s">
        <v>282</v>
      </c>
      <c r="F68" s="7" t="s">
        <v>304</v>
      </c>
      <c r="G68" s="7" t="s">
        <v>305</v>
      </c>
      <c r="H68" s="7"/>
      <c r="I68" s="7"/>
      <c r="J68" s="6" t="s">
        <v>129</v>
      </c>
      <c r="K68" s="12">
        <v>2900000</v>
      </c>
      <c r="L68" s="13">
        <v>3100000</v>
      </c>
      <c r="M68" s="14">
        <v>3300000</v>
      </c>
      <c r="N68" s="9">
        <f t="shared" si="1"/>
        <v>3630000</v>
      </c>
      <c r="O68" s="6">
        <v>56</v>
      </c>
      <c r="P68" s="6">
        <v>43</v>
      </c>
      <c r="Q68" s="6" t="s">
        <v>99</v>
      </c>
      <c r="R68" s="6">
        <v>47.2</v>
      </c>
      <c r="S68" s="6">
        <v>41.2</v>
      </c>
      <c r="T68" s="6">
        <v>11</v>
      </c>
    </row>
    <row r="69" ht="27.75" customHeight="1" spans="1:20">
      <c r="A69" s="10" t="s">
        <v>188</v>
      </c>
      <c r="B69" s="10" t="s">
        <v>306</v>
      </c>
      <c r="C69" s="10" t="s">
        <v>190</v>
      </c>
      <c r="D69" s="10" t="s">
        <v>307</v>
      </c>
      <c r="E69" s="10" t="s">
        <v>282</v>
      </c>
      <c r="F69" s="11" t="s">
        <v>308</v>
      </c>
      <c r="G69" s="11"/>
      <c r="H69" s="11"/>
      <c r="I69" s="11"/>
      <c r="J69" s="10" t="s">
        <v>29</v>
      </c>
      <c r="K69" s="8"/>
      <c r="L69" s="8"/>
      <c r="M69" s="8"/>
      <c r="N69" s="9" t="str">
        <f t="shared" si="1"/>
        <v/>
      </c>
      <c r="O69" s="10">
        <v>55</v>
      </c>
      <c r="P69" s="10">
        <v>40.5</v>
      </c>
      <c r="Q69" s="10" t="s">
        <v>99</v>
      </c>
      <c r="R69" s="10">
        <v>49</v>
      </c>
      <c r="S69" s="10">
        <v>40</v>
      </c>
      <c r="T69" s="10">
        <v>11</v>
      </c>
    </row>
    <row r="70" ht="28.5" customHeight="1" spans="1:20">
      <c r="A70" s="6" t="s">
        <v>188</v>
      </c>
      <c r="B70" s="6" t="s">
        <v>309</v>
      </c>
      <c r="C70" s="6" t="s">
        <v>190</v>
      </c>
      <c r="D70" s="6" t="s">
        <v>307</v>
      </c>
      <c r="E70" s="6" t="s">
        <v>282</v>
      </c>
      <c r="F70" s="7" t="s">
        <v>310</v>
      </c>
      <c r="G70" s="7" t="s">
        <v>311</v>
      </c>
      <c r="H70" s="7"/>
      <c r="I70" s="7"/>
      <c r="J70" s="6" t="s">
        <v>129</v>
      </c>
      <c r="K70" s="12">
        <v>3200000</v>
      </c>
      <c r="L70" s="13">
        <v>3400000</v>
      </c>
      <c r="M70" s="14">
        <v>3600000</v>
      </c>
      <c r="N70" s="9">
        <f t="shared" si="1"/>
        <v>3960000</v>
      </c>
      <c r="O70" s="6">
        <v>58</v>
      </c>
      <c r="P70" s="6">
        <v>41</v>
      </c>
      <c r="Q70" s="6" t="s">
        <v>99</v>
      </c>
      <c r="R70" s="6">
        <v>49</v>
      </c>
      <c r="S70" s="6">
        <v>44</v>
      </c>
      <c r="T70" s="6">
        <v>11</v>
      </c>
    </row>
    <row r="71" ht="28.5" customHeight="1" spans="1:20">
      <c r="A71" s="10" t="s">
        <v>312</v>
      </c>
      <c r="B71" s="10" t="s">
        <v>313</v>
      </c>
      <c r="C71" s="10" t="s">
        <v>190</v>
      </c>
      <c r="D71" s="10" t="s">
        <v>307</v>
      </c>
      <c r="E71" s="10" t="s">
        <v>282</v>
      </c>
      <c r="F71" s="11" t="s">
        <v>310</v>
      </c>
      <c r="G71" s="11" t="s">
        <v>311</v>
      </c>
      <c r="H71" s="11"/>
      <c r="I71" s="11"/>
      <c r="J71" s="10" t="s">
        <v>47</v>
      </c>
      <c r="K71" s="8"/>
      <c r="L71" s="8"/>
      <c r="M71" s="8"/>
      <c r="N71" s="9" t="str">
        <f t="shared" si="1"/>
        <v/>
      </c>
      <c r="O71" s="10">
        <v>58</v>
      </c>
      <c r="P71" s="10">
        <v>41</v>
      </c>
      <c r="Q71" s="10" t="s">
        <v>99</v>
      </c>
      <c r="R71" s="10">
        <v>49</v>
      </c>
      <c r="S71" s="10">
        <v>44</v>
      </c>
      <c r="T71" s="10">
        <v>11</v>
      </c>
    </row>
    <row r="72" ht="27.75" customHeight="1" spans="1:20">
      <c r="A72" s="6" t="s">
        <v>188</v>
      </c>
      <c r="B72" s="6" t="s">
        <v>314</v>
      </c>
      <c r="C72" s="6" t="s">
        <v>190</v>
      </c>
      <c r="D72" s="6" t="s">
        <v>315</v>
      </c>
      <c r="E72" s="6" t="s">
        <v>316</v>
      </c>
      <c r="F72" s="7" t="s">
        <v>317</v>
      </c>
      <c r="G72" s="7"/>
      <c r="H72" s="7"/>
      <c r="I72" s="7" t="s">
        <v>318</v>
      </c>
      <c r="J72" s="6" t="s">
        <v>129</v>
      </c>
      <c r="K72" s="12">
        <v>5700000</v>
      </c>
      <c r="L72" s="13">
        <v>6050000</v>
      </c>
      <c r="M72" s="14">
        <v>6450000</v>
      </c>
      <c r="N72" s="9">
        <f t="shared" si="1"/>
        <v>7095000</v>
      </c>
      <c r="O72" s="6"/>
      <c r="P72" s="6"/>
      <c r="Q72" s="6"/>
      <c r="R72" s="6"/>
      <c r="S72" s="6"/>
      <c r="T72" s="6"/>
    </row>
    <row r="73" ht="71.25" customHeight="1" spans="1:20">
      <c r="A73" s="10" t="s">
        <v>188</v>
      </c>
      <c r="B73" s="10" t="s">
        <v>319</v>
      </c>
      <c r="C73" s="10" t="s">
        <v>190</v>
      </c>
      <c r="D73" s="10" t="s">
        <v>320</v>
      </c>
      <c r="E73" s="10" t="s">
        <v>316</v>
      </c>
      <c r="F73" s="11" t="s">
        <v>321</v>
      </c>
      <c r="G73" s="11" t="s">
        <v>322</v>
      </c>
      <c r="H73" s="11"/>
      <c r="I73" s="11" t="s">
        <v>323</v>
      </c>
      <c r="J73" s="10" t="s">
        <v>129</v>
      </c>
      <c r="K73" s="12">
        <v>3200000</v>
      </c>
      <c r="L73" s="13">
        <v>3400000</v>
      </c>
      <c r="M73" s="14">
        <v>3600000</v>
      </c>
      <c r="N73" s="9">
        <f t="shared" si="1"/>
        <v>3960000</v>
      </c>
      <c r="O73" s="10">
        <v>83</v>
      </c>
      <c r="P73" s="10">
        <v>54</v>
      </c>
      <c r="Q73" s="10" t="s">
        <v>30</v>
      </c>
      <c r="R73" s="10">
        <v>76</v>
      </c>
      <c r="S73" s="10">
        <v>66.7</v>
      </c>
      <c r="T73" s="10">
        <v>12</v>
      </c>
    </row>
    <row r="74" ht="71.25" customHeight="1" spans="1:20">
      <c r="A74" s="6" t="s">
        <v>312</v>
      </c>
      <c r="B74" s="6" t="s">
        <v>324</v>
      </c>
      <c r="C74" s="6" t="s">
        <v>190</v>
      </c>
      <c r="D74" s="6" t="s">
        <v>320</v>
      </c>
      <c r="E74" s="6" t="s">
        <v>316</v>
      </c>
      <c r="F74" s="7" t="s">
        <v>321</v>
      </c>
      <c r="G74" s="7" t="s">
        <v>322</v>
      </c>
      <c r="H74" s="7"/>
      <c r="I74" s="7" t="s">
        <v>323</v>
      </c>
      <c r="J74" s="6" t="s">
        <v>82</v>
      </c>
      <c r="K74" s="8"/>
      <c r="L74" s="8"/>
      <c r="M74" s="8"/>
      <c r="N74" s="9" t="str">
        <f t="shared" si="1"/>
        <v/>
      </c>
      <c r="O74" s="6">
        <v>83</v>
      </c>
      <c r="P74" s="6">
        <v>54</v>
      </c>
      <c r="Q74" s="6" t="s">
        <v>30</v>
      </c>
      <c r="R74" s="6">
        <v>76</v>
      </c>
      <c r="S74" s="6">
        <v>66.7</v>
      </c>
      <c r="T74" s="6">
        <v>12</v>
      </c>
    </row>
    <row r="75" ht="42.75" customHeight="1" spans="1:20">
      <c r="A75" s="10" t="s">
        <v>188</v>
      </c>
      <c r="B75" s="10" t="s">
        <v>325</v>
      </c>
      <c r="C75" s="10" t="s">
        <v>190</v>
      </c>
      <c r="D75" s="10" t="s">
        <v>252</v>
      </c>
      <c r="E75" s="10" t="s">
        <v>326</v>
      </c>
      <c r="F75" s="11" t="s">
        <v>327</v>
      </c>
      <c r="G75" s="11" t="s">
        <v>328</v>
      </c>
      <c r="H75" s="11"/>
      <c r="I75" s="11" t="s">
        <v>329</v>
      </c>
      <c r="J75" s="10" t="s">
        <v>29</v>
      </c>
      <c r="K75" s="12">
        <v>3300000</v>
      </c>
      <c r="L75" s="13">
        <v>3500000</v>
      </c>
      <c r="M75" s="14">
        <v>3700000</v>
      </c>
      <c r="N75" s="9">
        <f t="shared" si="1"/>
        <v>4070000</v>
      </c>
      <c r="O75" s="10">
        <v>86</v>
      </c>
      <c r="P75" s="10">
        <v>56</v>
      </c>
      <c r="Q75" s="10" t="s">
        <v>65</v>
      </c>
      <c r="R75" s="10">
        <v>76</v>
      </c>
      <c r="S75" s="10">
        <v>64</v>
      </c>
      <c r="T75" s="10">
        <v>12</v>
      </c>
    </row>
    <row r="76" ht="42.75" customHeight="1" spans="1:20">
      <c r="A76" s="6" t="s">
        <v>188</v>
      </c>
      <c r="B76" s="6" t="s">
        <v>330</v>
      </c>
      <c r="C76" s="6" t="s">
        <v>190</v>
      </c>
      <c r="D76" s="6" t="s">
        <v>252</v>
      </c>
      <c r="E76" s="6" t="s">
        <v>326</v>
      </c>
      <c r="F76" s="7" t="s">
        <v>331</v>
      </c>
      <c r="G76" s="7" t="s">
        <v>332</v>
      </c>
      <c r="H76" s="7"/>
      <c r="I76" s="7" t="s">
        <v>329</v>
      </c>
      <c r="J76" s="6" t="s">
        <v>29</v>
      </c>
      <c r="K76" s="12">
        <v>3300000</v>
      </c>
      <c r="L76" s="13">
        <v>3500000</v>
      </c>
      <c r="M76" s="14">
        <v>3700000</v>
      </c>
      <c r="N76" s="9">
        <f t="shared" si="1"/>
        <v>4070000</v>
      </c>
      <c r="O76" s="6">
        <v>86</v>
      </c>
      <c r="P76" s="6">
        <v>56</v>
      </c>
      <c r="Q76" s="6" t="s">
        <v>65</v>
      </c>
      <c r="R76" s="6">
        <v>76</v>
      </c>
      <c r="S76" s="6">
        <v>64</v>
      </c>
      <c r="T76" s="6">
        <v>12</v>
      </c>
    </row>
    <row r="77" ht="42.75" customHeight="1" spans="1:20">
      <c r="A77" s="10" t="s">
        <v>188</v>
      </c>
      <c r="B77" s="10" t="s">
        <v>333</v>
      </c>
      <c r="C77" s="10" t="s">
        <v>190</v>
      </c>
      <c r="D77" s="10" t="s">
        <v>252</v>
      </c>
      <c r="E77" s="10" t="s">
        <v>334</v>
      </c>
      <c r="F77" s="11" t="s">
        <v>335</v>
      </c>
      <c r="G77" s="11" t="s">
        <v>336</v>
      </c>
      <c r="H77" s="11" t="s">
        <v>337</v>
      </c>
      <c r="I77" s="11"/>
      <c r="J77" s="10" t="s">
        <v>129</v>
      </c>
      <c r="K77" s="8"/>
      <c r="L77" s="8"/>
      <c r="M77" s="8"/>
      <c r="N77" s="9" t="str">
        <f t="shared" si="1"/>
        <v/>
      </c>
      <c r="O77" s="10"/>
      <c r="P77" s="10"/>
      <c r="Q77" s="10"/>
      <c r="R77" s="10"/>
      <c r="S77" s="10"/>
      <c r="T77" s="10"/>
    </row>
    <row r="78" customHeight="1" spans="1:20">
      <c r="A78" s="6" t="s">
        <v>188</v>
      </c>
      <c r="B78" s="6" t="s">
        <v>338</v>
      </c>
      <c r="C78" s="6" t="s">
        <v>25</v>
      </c>
      <c r="D78" s="6" t="s">
        <v>339</v>
      </c>
      <c r="E78" s="6" t="s">
        <v>340</v>
      </c>
      <c r="F78" s="7" t="s">
        <v>341</v>
      </c>
      <c r="G78" s="7"/>
      <c r="H78" s="7" t="s">
        <v>342</v>
      </c>
      <c r="I78" s="7"/>
      <c r="J78" s="6" t="s">
        <v>29</v>
      </c>
      <c r="K78" s="12">
        <v>2750000</v>
      </c>
      <c r="L78" s="13">
        <v>2900000</v>
      </c>
      <c r="M78" s="14">
        <v>3100000</v>
      </c>
      <c r="N78" s="9">
        <f t="shared" si="1"/>
        <v>3410000</v>
      </c>
      <c r="O78" s="6">
        <v>78</v>
      </c>
      <c r="P78" s="6">
        <v>54</v>
      </c>
      <c r="Q78" s="6" t="s">
        <v>65</v>
      </c>
      <c r="R78" s="6">
        <v>70</v>
      </c>
      <c r="S78" s="6">
        <v>60</v>
      </c>
      <c r="T78" s="6">
        <v>12</v>
      </c>
    </row>
    <row r="79" ht="28.5" customHeight="1" spans="1:20">
      <c r="A79" s="10" t="s">
        <v>188</v>
      </c>
      <c r="B79" s="10" t="s">
        <v>343</v>
      </c>
      <c r="C79" s="10" t="s">
        <v>190</v>
      </c>
      <c r="D79" s="10" t="s">
        <v>344</v>
      </c>
      <c r="E79" s="10" t="s">
        <v>345</v>
      </c>
      <c r="F79" s="11" t="s">
        <v>346</v>
      </c>
      <c r="G79" s="11"/>
      <c r="H79" s="11"/>
      <c r="I79" s="11"/>
      <c r="J79" s="10" t="s">
        <v>29</v>
      </c>
      <c r="K79" s="12">
        <v>5050000</v>
      </c>
      <c r="L79" s="13">
        <v>5350000</v>
      </c>
      <c r="M79" s="14">
        <v>5650000</v>
      </c>
      <c r="N79" s="9">
        <f t="shared" si="1"/>
        <v>6215000</v>
      </c>
      <c r="O79" s="10"/>
      <c r="P79" s="10"/>
      <c r="Q79" s="10"/>
      <c r="R79" s="10"/>
      <c r="S79" s="10"/>
      <c r="T79" s="10"/>
    </row>
    <row r="80" ht="114" customHeight="1" spans="1:20">
      <c r="A80" s="6" t="s">
        <v>188</v>
      </c>
      <c r="B80" s="6" t="s">
        <v>347</v>
      </c>
      <c r="C80" s="6" t="s">
        <v>190</v>
      </c>
      <c r="D80" s="6" t="s">
        <v>348</v>
      </c>
      <c r="E80" s="6" t="s">
        <v>349</v>
      </c>
      <c r="F80" s="7" t="s">
        <v>350</v>
      </c>
      <c r="G80" s="7"/>
      <c r="H80" s="7"/>
      <c r="I80" s="7"/>
      <c r="J80" s="6" t="s">
        <v>29</v>
      </c>
      <c r="K80" s="12">
        <v>5200000</v>
      </c>
      <c r="L80" s="13">
        <v>5550000</v>
      </c>
      <c r="M80" s="14">
        <v>5900000</v>
      </c>
      <c r="N80" s="9">
        <f t="shared" si="1"/>
        <v>6490000</v>
      </c>
      <c r="O80" s="6">
        <v>109</v>
      </c>
      <c r="P80" s="6">
        <v>73.5</v>
      </c>
      <c r="Q80" s="6" t="s">
        <v>215</v>
      </c>
      <c r="R80" s="6">
        <v>97</v>
      </c>
      <c r="S80" s="6">
        <v>86.36</v>
      </c>
      <c r="T80" s="6" t="s">
        <v>216</v>
      </c>
    </row>
    <row r="81" customHeight="1" spans="1:20">
      <c r="A81" s="10" t="s">
        <v>188</v>
      </c>
      <c r="B81" s="10" t="s">
        <v>351</v>
      </c>
      <c r="C81" s="10" t="s">
        <v>61</v>
      </c>
      <c r="D81" s="10" t="s">
        <v>352</v>
      </c>
      <c r="E81" s="10" t="s">
        <v>353</v>
      </c>
      <c r="F81" s="11" t="s">
        <v>354</v>
      </c>
      <c r="G81" s="11"/>
      <c r="H81" s="11"/>
      <c r="I81" s="11"/>
      <c r="J81" s="10" t="s">
        <v>29</v>
      </c>
      <c r="K81" s="8"/>
      <c r="L81" s="8"/>
      <c r="M81" s="8"/>
      <c r="N81" s="9" t="str">
        <f t="shared" si="1"/>
        <v/>
      </c>
      <c r="O81" s="10">
        <v>53</v>
      </c>
      <c r="P81" s="10">
        <v>40.3</v>
      </c>
      <c r="Q81" s="10" t="s">
        <v>99</v>
      </c>
      <c r="R81" s="10">
        <v>45</v>
      </c>
      <c r="S81" s="10">
        <v>42.3</v>
      </c>
      <c r="T81" s="10">
        <v>10</v>
      </c>
    </row>
    <row r="82" ht="28.5" customHeight="1" spans="1:20">
      <c r="A82" s="6" t="s">
        <v>188</v>
      </c>
      <c r="B82" s="6" t="s">
        <v>355</v>
      </c>
      <c r="C82" s="6" t="s">
        <v>190</v>
      </c>
      <c r="D82" s="6" t="s">
        <v>356</v>
      </c>
      <c r="E82" s="6" t="s">
        <v>357</v>
      </c>
      <c r="F82" s="7" t="s">
        <v>358</v>
      </c>
      <c r="G82" s="7"/>
      <c r="H82" s="7" t="s">
        <v>359</v>
      </c>
      <c r="I82" s="7" t="s">
        <v>188</v>
      </c>
      <c r="J82" s="6" t="s">
        <v>59</v>
      </c>
      <c r="K82" s="8"/>
      <c r="L82" s="8"/>
      <c r="M82" s="8"/>
      <c r="N82" s="9" t="str">
        <f t="shared" si="1"/>
        <v/>
      </c>
      <c r="O82" s="6"/>
      <c r="P82" s="6"/>
      <c r="Q82" s="6"/>
      <c r="R82" s="6"/>
      <c r="S82" s="6"/>
      <c r="T82" s="6"/>
    </row>
    <row r="83" ht="99.75" customHeight="1" spans="1:20">
      <c r="A83" s="10" t="s">
        <v>188</v>
      </c>
      <c r="B83" s="10" t="s">
        <v>360</v>
      </c>
      <c r="C83" s="10" t="s">
        <v>190</v>
      </c>
      <c r="D83" s="10" t="s">
        <v>303</v>
      </c>
      <c r="E83" s="10" t="s">
        <v>361</v>
      </c>
      <c r="F83" s="11" t="s">
        <v>362</v>
      </c>
      <c r="G83" s="11"/>
      <c r="H83" s="11" t="s">
        <v>363</v>
      </c>
      <c r="I83" s="11" t="s">
        <v>33</v>
      </c>
      <c r="J83" s="10" t="s">
        <v>33</v>
      </c>
      <c r="K83" s="8"/>
      <c r="L83" s="8"/>
      <c r="M83" s="8"/>
      <c r="N83" s="9" t="str">
        <f t="shared" si="1"/>
        <v/>
      </c>
      <c r="O83" s="10">
        <v>56</v>
      </c>
      <c r="P83" s="10">
        <v>43</v>
      </c>
      <c r="Q83" s="10" t="s">
        <v>99</v>
      </c>
      <c r="R83" s="10">
        <v>47.2</v>
      </c>
      <c r="S83" s="10">
        <v>41.2</v>
      </c>
      <c r="T83" s="10">
        <v>11</v>
      </c>
    </row>
    <row r="84" ht="28.5" customHeight="1" spans="1:20">
      <c r="A84" s="6" t="s">
        <v>188</v>
      </c>
      <c r="B84" s="6" t="s">
        <v>364</v>
      </c>
      <c r="C84" s="6" t="s">
        <v>190</v>
      </c>
      <c r="D84" s="6" t="s">
        <v>365</v>
      </c>
      <c r="E84" s="6" t="s">
        <v>366</v>
      </c>
      <c r="F84" s="7" t="s">
        <v>367</v>
      </c>
      <c r="G84" s="7" t="s">
        <v>368</v>
      </c>
      <c r="H84" s="7"/>
      <c r="I84" s="7"/>
      <c r="J84" s="6"/>
      <c r="K84" s="12">
        <v>4000000</v>
      </c>
      <c r="L84" s="13">
        <v>4250000</v>
      </c>
      <c r="M84" s="14">
        <v>4500000</v>
      </c>
      <c r="N84" s="9">
        <f t="shared" si="1"/>
        <v>4950000</v>
      </c>
      <c r="O84" s="6"/>
      <c r="P84" s="6"/>
      <c r="Q84" s="6"/>
      <c r="R84" s="6"/>
      <c r="S84" s="6"/>
      <c r="T84" s="6"/>
    </row>
    <row r="85" ht="16.5" customHeight="1" spans="1:20">
      <c r="A85" s="10" t="s">
        <v>188</v>
      </c>
      <c r="B85" s="10" t="s">
        <v>369</v>
      </c>
      <c r="C85" s="10" t="s">
        <v>190</v>
      </c>
      <c r="D85" s="10" t="s">
        <v>252</v>
      </c>
      <c r="E85" s="10" t="s">
        <v>370</v>
      </c>
      <c r="F85" s="11" t="s">
        <v>371</v>
      </c>
      <c r="G85" s="11" t="s">
        <v>372</v>
      </c>
      <c r="H85" s="11"/>
      <c r="I85" s="11"/>
      <c r="J85" s="10" t="s">
        <v>82</v>
      </c>
      <c r="K85" s="12">
        <v>3750000</v>
      </c>
      <c r="L85" s="13">
        <v>4000000</v>
      </c>
      <c r="M85" s="14">
        <v>4250000</v>
      </c>
      <c r="N85" s="9">
        <f t="shared" si="1"/>
        <v>4675000</v>
      </c>
      <c r="O85" s="10">
        <v>83</v>
      </c>
      <c r="P85" s="10">
        <v>58</v>
      </c>
      <c r="Q85" s="10" t="s">
        <v>30</v>
      </c>
      <c r="R85" s="10">
        <v>76</v>
      </c>
      <c r="S85" s="10">
        <v>64</v>
      </c>
      <c r="T85" s="10">
        <v>12</v>
      </c>
    </row>
    <row r="86" ht="21.75" customHeight="1" spans="1:20">
      <c r="A86" s="5" t="s">
        <v>373</v>
      </c>
      <c r="B86" s="5"/>
      <c r="C86" s="5"/>
      <c r="D86" s="5"/>
      <c r="E86" s="5"/>
      <c r="F86" s="5"/>
      <c r="G86" s="5"/>
      <c r="H86" s="5"/>
      <c r="I86" s="5"/>
      <c r="J86" s="5"/>
      <c r="K86" s="20"/>
      <c r="L86" s="20"/>
      <c r="M86" s="20"/>
      <c r="N86" s="20"/>
      <c r="O86" s="5"/>
      <c r="P86" s="5"/>
      <c r="Q86" s="5"/>
      <c r="R86" s="5"/>
      <c r="S86" s="5"/>
      <c r="T86" s="5"/>
    </row>
    <row r="87" ht="29.25" customHeight="1" spans="1:20">
      <c r="A87" s="6" t="s">
        <v>374</v>
      </c>
      <c r="B87" s="6" t="s">
        <v>375</v>
      </c>
      <c r="C87" s="6" t="s">
        <v>61</v>
      </c>
      <c r="D87" s="6" t="s">
        <v>376</v>
      </c>
      <c r="E87" s="6"/>
      <c r="F87" s="7" t="s">
        <v>377</v>
      </c>
      <c r="G87" s="7"/>
      <c r="H87" s="7"/>
      <c r="I87" s="7"/>
      <c r="J87" s="6" t="s">
        <v>33</v>
      </c>
      <c r="K87" s="12">
        <v>8000000</v>
      </c>
      <c r="L87" s="13">
        <v>8500000</v>
      </c>
      <c r="M87" s="14">
        <v>9000000</v>
      </c>
      <c r="N87" s="9">
        <f>IF($M87="","",ROUND($M87*1.1,0))</f>
        <v>9900000</v>
      </c>
      <c r="O87" s="6"/>
      <c r="P87" s="6"/>
      <c r="Q87" s="6"/>
      <c r="R87" s="6"/>
      <c r="S87" s="6"/>
      <c r="T87" s="6"/>
    </row>
    <row r="88" ht="21.75" customHeight="1" spans="1:20">
      <c r="A88" s="5" t="s">
        <v>378</v>
      </c>
      <c r="B88" s="5"/>
      <c r="C88" s="5"/>
      <c r="D88" s="5"/>
      <c r="E88" s="5"/>
      <c r="F88" s="5"/>
      <c r="G88" s="5"/>
      <c r="H88" s="5"/>
      <c r="I88" s="5"/>
      <c r="J88" s="5"/>
      <c r="K88" s="20"/>
      <c r="L88" s="20"/>
      <c r="M88" s="20"/>
      <c r="N88" s="20"/>
      <c r="O88" s="5"/>
      <c r="P88" s="5"/>
      <c r="Q88" s="5"/>
      <c r="R88" s="5"/>
      <c r="S88" s="5"/>
      <c r="T88" s="5"/>
    </row>
    <row r="89" ht="42.75" customHeight="1" spans="1:20">
      <c r="A89" s="6" t="s">
        <v>379</v>
      </c>
      <c r="B89" s="6" t="s">
        <v>380</v>
      </c>
      <c r="C89" s="6" t="s">
        <v>61</v>
      </c>
      <c r="D89" s="6" t="s">
        <v>73</v>
      </c>
      <c r="E89" s="6" t="s">
        <v>381</v>
      </c>
      <c r="F89" s="7" t="s">
        <v>382</v>
      </c>
      <c r="G89" s="7" t="s">
        <v>383</v>
      </c>
      <c r="H89" s="7"/>
      <c r="I89" s="7"/>
      <c r="J89" s="6" t="s">
        <v>29</v>
      </c>
      <c r="K89" s="8"/>
      <c r="L89" s="8"/>
      <c r="M89" s="8"/>
      <c r="N89" s="9" t="str">
        <f t="shared" ref="N89:N105" si="2">IF($M89="","",ROUND($M89*1.1,0))</f>
        <v/>
      </c>
      <c r="O89" s="6">
        <v>73</v>
      </c>
      <c r="P89" s="6">
        <v>50.1</v>
      </c>
      <c r="Q89" s="6" t="s">
        <v>65</v>
      </c>
      <c r="R89" s="6">
        <v>63.3</v>
      </c>
      <c r="S89" s="6">
        <v>51.8</v>
      </c>
      <c r="T89" s="6">
        <v>10</v>
      </c>
    </row>
    <row r="90" ht="42.75" customHeight="1" spans="1:20">
      <c r="A90" s="10" t="s">
        <v>379</v>
      </c>
      <c r="B90" s="10" t="s">
        <v>384</v>
      </c>
      <c r="C90" s="10" t="s">
        <v>61</v>
      </c>
      <c r="D90" s="10" t="s">
        <v>73</v>
      </c>
      <c r="E90" s="10" t="s">
        <v>385</v>
      </c>
      <c r="F90" s="11" t="s">
        <v>386</v>
      </c>
      <c r="G90" s="11" t="s">
        <v>387</v>
      </c>
      <c r="H90" s="11" t="s">
        <v>388</v>
      </c>
      <c r="I90" s="11"/>
      <c r="J90" s="10" t="s">
        <v>33</v>
      </c>
      <c r="K90" s="12">
        <v>5600000</v>
      </c>
      <c r="L90" s="13">
        <v>5900000</v>
      </c>
      <c r="M90" s="14">
        <v>6300000</v>
      </c>
      <c r="N90" s="9">
        <f t="shared" si="2"/>
        <v>6930000</v>
      </c>
      <c r="O90" s="10"/>
      <c r="P90" s="10"/>
      <c r="Q90" s="10"/>
      <c r="R90" s="10"/>
      <c r="S90" s="10"/>
      <c r="T90" s="10"/>
    </row>
    <row r="91" ht="42.75" customHeight="1" spans="1:20">
      <c r="A91" s="6" t="s">
        <v>389</v>
      </c>
      <c r="B91" s="6" t="s">
        <v>390</v>
      </c>
      <c r="C91" s="6" t="s">
        <v>61</v>
      </c>
      <c r="D91" s="6" t="s">
        <v>73</v>
      </c>
      <c r="E91" s="6" t="s">
        <v>385</v>
      </c>
      <c r="F91" s="7" t="s">
        <v>386</v>
      </c>
      <c r="G91" s="7" t="s">
        <v>387</v>
      </c>
      <c r="H91" s="7" t="s">
        <v>388</v>
      </c>
      <c r="I91" s="7"/>
      <c r="J91" s="6" t="s">
        <v>149</v>
      </c>
      <c r="K91" s="12">
        <v>3700000</v>
      </c>
      <c r="L91" s="13">
        <v>3900000</v>
      </c>
      <c r="M91" s="14">
        <v>4200000</v>
      </c>
      <c r="N91" s="9">
        <f t="shared" si="2"/>
        <v>4620000</v>
      </c>
      <c r="O91" s="6"/>
      <c r="P91" s="6"/>
      <c r="Q91" s="6"/>
      <c r="R91" s="6"/>
      <c r="S91" s="6"/>
      <c r="T91" s="6"/>
    </row>
    <row r="92" ht="213.75" customHeight="1" spans="1:20">
      <c r="A92" s="10" t="s">
        <v>379</v>
      </c>
      <c r="B92" s="10" t="s">
        <v>391</v>
      </c>
      <c r="C92" s="10" t="s">
        <v>61</v>
      </c>
      <c r="D92" s="10" t="s">
        <v>392</v>
      </c>
      <c r="E92" s="10" t="s">
        <v>393</v>
      </c>
      <c r="F92" s="11" t="s">
        <v>394</v>
      </c>
      <c r="G92" s="11" t="s">
        <v>395</v>
      </c>
      <c r="H92" s="11"/>
      <c r="I92" s="11"/>
      <c r="J92" s="10" t="s">
        <v>29</v>
      </c>
      <c r="K92" s="12">
        <v>3100000</v>
      </c>
      <c r="L92" s="13">
        <v>3300000</v>
      </c>
      <c r="M92" s="14">
        <v>3500000</v>
      </c>
      <c r="N92" s="9">
        <f t="shared" si="2"/>
        <v>3850000</v>
      </c>
      <c r="O92" s="10">
        <v>76.2</v>
      </c>
      <c r="P92" s="10">
        <v>52</v>
      </c>
      <c r="Q92" s="10" t="s">
        <v>65</v>
      </c>
      <c r="R92" s="10">
        <v>74.4</v>
      </c>
      <c r="S92" s="10">
        <v>64.6</v>
      </c>
      <c r="T92" s="10">
        <v>11</v>
      </c>
    </row>
    <row r="93" ht="27.75" customHeight="1" spans="1:20">
      <c r="A93" s="6" t="s">
        <v>379</v>
      </c>
      <c r="B93" s="6" t="s">
        <v>396</v>
      </c>
      <c r="C93" s="6" t="s">
        <v>61</v>
      </c>
      <c r="D93" s="6" t="s">
        <v>165</v>
      </c>
      <c r="E93" s="6" t="s">
        <v>397</v>
      </c>
      <c r="F93" s="7" t="s">
        <v>398</v>
      </c>
      <c r="G93" s="7"/>
      <c r="H93" s="7"/>
      <c r="I93" s="7"/>
      <c r="J93" s="6" t="s">
        <v>29</v>
      </c>
      <c r="K93" s="12">
        <v>3100000</v>
      </c>
      <c r="L93" s="13">
        <v>3300000</v>
      </c>
      <c r="M93" s="14">
        <v>3500000</v>
      </c>
      <c r="N93" s="9">
        <f t="shared" si="2"/>
        <v>3850000</v>
      </c>
      <c r="O93" s="6">
        <v>61</v>
      </c>
      <c r="P93" s="6">
        <v>40.7</v>
      </c>
      <c r="Q93" s="6" t="s">
        <v>65</v>
      </c>
      <c r="R93" s="6">
        <v>61</v>
      </c>
      <c r="S93" s="6">
        <v>53</v>
      </c>
      <c r="T93" s="6">
        <v>10</v>
      </c>
    </row>
    <row r="94" ht="27.75" customHeight="1" spans="1:20">
      <c r="A94" s="10" t="s">
        <v>379</v>
      </c>
      <c r="B94" s="10" t="s">
        <v>399</v>
      </c>
      <c r="C94" s="10" t="s">
        <v>61</v>
      </c>
      <c r="D94" s="10" t="s">
        <v>400</v>
      </c>
      <c r="E94" s="10"/>
      <c r="F94" s="11" t="s">
        <v>401</v>
      </c>
      <c r="G94" s="11"/>
      <c r="H94" s="11"/>
      <c r="I94" s="11"/>
      <c r="J94" s="10" t="s">
        <v>129</v>
      </c>
      <c r="K94" s="12">
        <v>2100000</v>
      </c>
      <c r="L94" s="13">
        <v>2200000</v>
      </c>
      <c r="M94" s="14">
        <v>2350000</v>
      </c>
      <c r="N94" s="9">
        <f t="shared" si="2"/>
        <v>2585000</v>
      </c>
      <c r="O94" s="10"/>
      <c r="P94" s="10"/>
      <c r="Q94" s="10"/>
      <c r="R94" s="10"/>
      <c r="S94" s="10"/>
      <c r="T94" s="10"/>
    </row>
    <row r="95" ht="99.75" customHeight="1" spans="1:20">
      <c r="A95" s="6" t="s">
        <v>379</v>
      </c>
      <c r="B95" s="6" t="s">
        <v>402</v>
      </c>
      <c r="C95" s="6" t="s">
        <v>61</v>
      </c>
      <c r="D95" s="6" t="s">
        <v>403</v>
      </c>
      <c r="E95" s="6" t="s">
        <v>404</v>
      </c>
      <c r="F95" s="7" t="s">
        <v>405</v>
      </c>
      <c r="G95" s="7" t="s">
        <v>406</v>
      </c>
      <c r="H95" s="7"/>
      <c r="I95" s="7"/>
      <c r="J95" s="6" t="s">
        <v>407</v>
      </c>
      <c r="K95" s="8"/>
      <c r="L95" s="8"/>
      <c r="M95" s="8"/>
      <c r="N95" s="9" t="str">
        <f t="shared" si="2"/>
        <v/>
      </c>
      <c r="O95" s="6"/>
      <c r="P95" s="6"/>
      <c r="Q95" s="6"/>
      <c r="R95" s="6"/>
      <c r="S95" s="6"/>
      <c r="T95" s="6"/>
    </row>
    <row r="96" ht="409.5" customHeight="1" spans="1:20">
      <c r="A96" s="10" t="s">
        <v>379</v>
      </c>
      <c r="B96" s="10" t="s">
        <v>408</v>
      </c>
      <c r="C96" s="10" t="s">
        <v>61</v>
      </c>
      <c r="D96" s="10" t="s">
        <v>409</v>
      </c>
      <c r="E96" s="10" t="s">
        <v>410</v>
      </c>
      <c r="F96" s="11" t="s">
        <v>411</v>
      </c>
      <c r="G96" s="11" t="s">
        <v>412</v>
      </c>
      <c r="H96" s="11"/>
      <c r="I96" s="11"/>
      <c r="J96" s="10" t="s">
        <v>29</v>
      </c>
      <c r="K96" s="12">
        <v>2650000</v>
      </c>
      <c r="L96" s="13">
        <v>2850000</v>
      </c>
      <c r="M96" s="14">
        <v>3050000</v>
      </c>
      <c r="N96" s="9">
        <f t="shared" si="2"/>
        <v>3355000</v>
      </c>
      <c r="O96" s="10">
        <v>74</v>
      </c>
      <c r="P96" s="10">
        <v>47.3</v>
      </c>
      <c r="Q96" s="10" t="s">
        <v>65</v>
      </c>
      <c r="R96" s="10">
        <v>70</v>
      </c>
      <c r="S96" s="10">
        <v>63</v>
      </c>
      <c r="T96" s="10" t="s">
        <v>413</v>
      </c>
    </row>
    <row r="97" ht="199.5" customHeight="1" spans="1:20">
      <c r="A97" s="6" t="s">
        <v>379</v>
      </c>
      <c r="B97" s="6" t="s">
        <v>414</v>
      </c>
      <c r="C97" s="6" t="s">
        <v>61</v>
      </c>
      <c r="D97" s="6" t="s">
        <v>415</v>
      </c>
      <c r="E97" s="6" t="s">
        <v>416</v>
      </c>
      <c r="F97" s="7" t="s">
        <v>417</v>
      </c>
      <c r="G97" s="7" t="s">
        <v>418</v>
      </c>
      <c r="H97" s="7" t="s">
        <v>419</v>
      </c>
      <c r="I97" s="7"/>
      <c r="J97" s="6" t="s">
        <v>33</v>
      </c>
      <c r="K97" s="12">
        <v>3300000</v>
      </c>
      <c r="L97" s="13">
        <v>3500000</v>
      </c>
      <c r="M97" s="14">
        <v>3750000</v>
      </c>
      <c r="N97" s="9">
        <f t="shared" si="2"/>
        <v>4125000</v>
      </c>
      <c r="O97" s="6">
        <v>80.3</v>
      </c>
      <c r="P97" s="6">
        <v>52</v>
      </c>
      <c r="Q97" s="6" t="s">
        <v>65</v>
      </c>
      <c r="R97" s="6">
        <v>74</v>
      </c>
      <c r="S97" s="6">
        <v>64.1</v>
      </c>
      <c r="T97" s="6">
        <v>11</v>
      </c>
    </row>
    <row r="98" ht="42.75" customHeight="1" spans="1:20">
      <c r="A98" s="10" t="s">
        <v>379</v>
      </c>
      <c r="B98" s="10" t="s">
        <v>420</v>
      </c>
      <c r="C98" s="10" t="s">
        <v>61</v>
      </c>
      <c r="D98" s="10" t="s">
        <v>73</v>
      </c>
      <c r="E98" s="10" t="s">
        <v>421</v>
      </c>
      <c r="F98" s="11" t="s">
        <v>422</v>
      </c>
      <c r="G98" s="11" t="s">
        <v>387</v>
      </c>
      <c r="H98" s="11" t="s">
        <v>423</v>
      </c>
      <c r="I98" s="11"/>
      <c r="J98" s="10"/>
      <c r="K98" s="12">
        <v>5300000</v>
      </c>
      <c r="L98" s="13">
        <v>5600000</v>
      </c>
      <c r="M98" s="14">
        <v>6000000</v>
      </c>
      <c r="N98" s="9">
        <f t="shared" si="2"/>
        <v>6600000</v>
      </c>
      <c r="O98" s="10"/>
      <c r="P98" s="10"/>
      <c r="Q98" s="10"/>
      <c r="R98" s="10"/>
      <c r="S98" s="10"/>
      <c r="T98" s="10"/>
    </row>
    <row r="99" ht="114" customHeight="1" spans="1:20">
      <c r="A99" s="6" t="s">
        <v>379</v>
      </c>
      <c r="B99" s="6" t="s">
        <v>424</v>
      </c>
      <c r="C99" s="6" t="s">
        <v>61</v>
      </c>
      <c r="D99" s="6" t="s">
        <v>425</v>
      </c>
      <c r="E99" s="6" t="s">
        <v>426</v>
      </c>
      <c r="F99" s="7" t="s">
        <v>427</v>
      </c>
      <c r="G99" s="7" t="s">
        <v>428</v>
      </c>
      <c r="H99" s="7"/>
      <c r="I99" s="7"/>
      <c r="J99" s="6" t="s">
        <v>33</v>
      </c>
      <c r="K99" s="12">
        <v>3950000</v>
      </c>
      <c r="L99" s="13">
        <v>4200000</v>
      </c>
      <c r="M99" s="14">
        <v>4500000</v>
      </c>
      <c r="N99" s="9">
        <f t="shared" si="2"/>
        <v>4950000</v>
      </c>
      <c r="O99" s="6"/>
      <c r="P99" s="6"/>
      <c r="Q99" s="6"/>
      <c r="R99" s="6"/>
      <c r="S99" s="6"/>
      <c r="T99" s="6"/>
    </row>
    <row r="100" ht="114" customHeight="1" spans="1:20">
      <c r="A100" s="10" t="s">
        <v>379</v>
      </c>
      <c r="B100" s="10" t="s">
        <v>429</v>
      </c>
      <c r="C100" s="10" t="s">
        <v>61</v>
      </c>
      <c r="D100" s="10" t="s">
        <v>430</v>
      </c>
      <c r="E100" s="10" t="s">
        <v>431</v>
      </c>
      <c r="F100" s="11" t="s">
        <v>432</v>
      </c>
      <c r="G100" s="11" t="s">
        <v>433</v>
      </c>
      <c r="H100" s="11" t="s">
        <v>434</v>
      </c>
      <c r="I100" s="11"/>
      <c r="J100" s="10"/>
      <c r="K100" s="12">
        <v>4700000</v>
      </c>
      <c r="L100" s="13">
        <v>5000000</v>
      </c>
      <c r="M100" s="14">
        <v>5300000</v>
      </c>
      <c r="N100" s="9">
        <f t="shared" si="2"/>
        <v>5830000</v>
      </c>
      <c r="O100" s="10"/>
      <c r="P100" s="10"/>
      <c r="Q100" s="10"/>
      <c r="R100" s="10"/>
      <c r="S100" s="10"/>
      <c r="T100" s="10"/>
    </row>
    <row r="101" customHeight="1" spans="1:20">
      <c r="A101" s="6" t="s">
        <v>379</v>
      </c>
      <c r="B101" s="6" t="s">
        <v>435</v>
      </c>
      <c r="C101" s="6" t="s">
        <v>61</v>
      </c>
      <c r="D101" s="6" t="s">
        <v>436</v>
      </c>
      <c r="E101" s="6" t="s">
        <v>437</v>
      </c>
      <c r="F101" s="7" t="s">
        <v>438</v>
      </c>
      <c r="G101" s="7"/>
      <c r="H101" s="7" t="s">
        <v>82</v>
      </c>
      <c r="I101" s="7"/>
      <c r="J101" s="6" t="s">
        <v>82</v>
      </c>
      <c r="K101" s="12">
        <v>2600000</v>
      </c>
      <c r="L101" s="13">
        <v>2750000</v>
      </c>
      <c r="M101" s="14">
        <v>2950000</v>
      </c>
      <c r="N101" s="9">
        <f t="shared" si="2"/>
        <v>3245000</v>
      </c>
      <c r="O101" s="6"/>
      <c r="P101" s="6"/>
      <c r="Q101" s="6"/>
      <c r="R101" s="6"/>
      <c r="S101" s="6"/>
      <c r="T101" s="6"/>
    </row>
    <row r="102" ht="85.5" customHeight="1" spans="1:20">
      <c r="A102" s="10" t="s">
        <v>379</v>
      </c>
      <c r="B102" s="10" t="s">
        <v>439</v>
      </c>
      <c r="C102" s="10" t="s">
        <v>25</v>
      </c>
      <c r="D102" s="10" t="s">
        <v>440</v>
      </c>
      <c r="E102" s="10" t="s">
        <v>441</v>
      </c>
      <c r="F102" s="11" t="s">
        <v>442</v>
      </c>
      <c r="G102" s="11" t="s">
        <v>443</v>
      </c>
      <c r="H102" s="11" t="s">
        <v>444</v>
      </c>
      <c r="I102" s="11"/>
      <c r="J102" s="10" t="s">
        <v>33</v>
      </c>
      <c r="K102" s="12">
        <v>2900000</v>
      </c>
      <c r="L102" s="13">
        <v>3100000</v>
      </c>
      <c r="M102" s="14">
        <v>3300000</v>
      </c>
      <c r="N102" s="9">
        <f t="shared" si="2"/>
        <v>3630000</v>
      </c>
      <c r="O102" s="10">
        <v>76.1</v>
      </c>
      <c r="P102" s="10">
        <v>52.8</v>
      </c>
      <c r="Q102" s="10" t="s">
        <v>99</v>
      </c>
      <c r="R102" s="10">
        <v>74.26</v>
      </c>
      <c r="S102" s="10">
        <v>64.6</v>
      </c>
      <c r="T102" s="10">
        <v>11</v>
      </c>
    </row>
    <row r="103" ht="42.75" customHeight="1" spans="1:20">
      <c r="A103" s="6" t="s">
        <v>379</v>
      </c>
      <c r="B103" s="6" t="s">
        <v>445</v>
      </c>
      <c r="C103" s="6" t="s">
        <v>25</v>
      </c>
      <c r="D103" s="6" t="s">
        <v>440</v>
      </c>
      <c r="E103" s="6" t="s">
        <v>446</v>
      </c>
      <c r="F103" s="7" t="s">
        <v>447</v>
      </c>
      <c r="G103" s="7" t="s">
        <v>448</v>
      </c>
      <c r="H103" s="7" t="s">
        <v>449</v>
      </c>
      <c r="I103" s="7"/>
      <c r="J103" s="6" t="s">
        <v>29</v>
      </c>
      <c r="K103" s="12">
        <v>3000000</v>
      </c>
      <c r="L103" s="13">
        <v>3200000</v>
      </c>
      <c r="M103" s="14">
        <v>3400000</v>
      </c>
      <c r="N103" s="9">
        <f t="shared" si="2"/>
        <v>3740000</v>
      </c>
      <c r="O103" s="6">
        <v>76.1</v>
      </c>
      <c r="P103" s="6">
        <v>52.8</v>
      </c>
      <c r="Q103" s="6" t="s">
        <v>99</v>
      </c>
      <c r="R103" s="6">
        <v>74.26</v>
      </c>
      <c r="S103" s="6">
        <v>64.6</v>
      </c>
      <c r="T103" s="6">
        <v>11</v>
      </c>
    </row>
    <row r="104" ht="63" customHeight="1" spans="1:20">
      <c r="A104" s="10" t="s">
        <v>379</v>
      </c>
      <c r="B104" s="10" t="s">
        <v>450</v>
      </c>
      <c r="C104" s="10" t="s">
        <v>61</v>
      </c>
      <c r="D104" s="10" t="s">
        <v>451</v>
      </c>
      <c r="E104" s="10" t="s">
        <v>452</v>
      </c>
      <c r="F104" s="21" t="s">
        <v>453</v>
      </c>
      <c r="G104" s="11"/>
      <c r="H104" s="11"/>
      <c r="I104" s="11" t="s">
        <v>454</v>
      </c>
      <c r="J104" s="10" t="s">
        <v>129</v>
      </c>
      <c r="K104" s="12">
        <v>2000000</v>
      </c>
      <c r="L104" s="13">
        <v>2100000</v>
      </c>
      <c r="M104" s="14">
        <v>2200000</v>
      </c>
      <c r="N104" s="9">
        <f t="shared" si="2"/>
        <v>2420000</v>
      </c>
      <c r="O104" s="10"/>
      <c r="P104" s="10"/>
      <c r="Q104" s="10"/>
      <c r="R104" s="10"/>
      <c r="S104" s="10"/>
      <c r="T104" s="10"/>
    </row>
    <row r="105" ht="28.5" customHeight="1" spans="1:20">
      <c r="A105" s="6" t="s">
        <v>379</v>
      </c>
      <c r="B105" s="6" t="s">
        <v>455</v>
      </c>
      <c r="C105" s="6" t="s">
        <v>61</v>
      </c>
      <c r="D105" s="6" t="s">
        <v>456</v>
      </c>
      <c r="E105" s="6" t="s">
        <v>457</v>
      </c>
      <c r="F105" s="7" t="s">
        <v>458</v>
      </c>
      <c r="G105" s="7"/>
      <c r="H105" s="7"/>
      <c r="I105" s="7"/>
      <c r="J105" s="6" t="s">
        <v>82</v>
      </c>
      <c r="K105" s="8"/>
      <c r="L105" s="8"/>
      <c r="M105" s="8"/>
      <c r="N105" s="9" t="str">
        <f t="shared" si="2"/>
        <v/>
      </c>
      <c r="O105" s="6"/>
      <c r="P105" s="6"/>
      <c r="Q105" s="6"/>
      <c r="R105" s="6"/>
      <c r="S105" s="6"/>
      <c r="T105" s="6"/>
    </row>
    <row r="106" ht="48" customHeight="1" spans="1:20">
      <c r="A106" s="5" t="s">
        <v>459</v>
      </c>
      <c r="B106" s="5"/>
      <c r="C106" s="5"/>
      <c r="D106" s="5"/>
      <c r="E106" s="5"/>
      <c r="F106" s="5"/>
      <c r="G106" s="5"/>
      <c r="H106" s="5"/>
      <c r="I106" s="5"/>
      <c r="J106" s="5"/>
      <c r="K106" s="20"/>
      <c r="L106" s="20"/>
      <c r="M106" s="20"/>
      <c r="N106" s="20"/>
      <c r="O106" s="5"/>
      <c r="P106" s="5"/>
      <c r="Q106" s="5"/>
      <c r="R106" s="5"/>
      <c r="S106" s="5"/>
      <c r="T106" s="5"/>
    </row>
    <row r="107" ht="21.75" customHeight="1" spans="1:20">
      <c r="A107" s="6" t="s">
        <v>460</v>
      </c>
      <c r="B107" s="6" t="s">
        <v>461</v>
      </c>
      <c r="C107" s="6" t="s">
        <v>25</v>
      </c>
      <c r="D107" s="6" t="s">
        <v>462</v>
      </c>
      <c r="E107" s="6"/>
      <c r="F107" s="7" t="s">
        <v>463</v>
      </c>
      <c r="G107" s="7"/>
      <c r="H107" s="7" t="s">
        <v>462</v>
      </c>
      <c r="I107" s="7" t="s">
        <v>464</v>
      </c>
      <c r="J107" s="6" t="s">
        <v>149</v>
      </c>
      <c r="K107" s="12">
        <v>4500000</v>
      </c>
      <c r="L107" s="13">
        <v>4800000</v>
      </c>
      <c r="M107" s="14">
        <v>5100000</v>
      </c>
      <c r="N107" s="9">
        <f t="shared" ref="N107:N112" si="3">IF($M107="","",ROUND($M107*1.1,0))</f>
        <v>5610000</v>
      </c>
      <c r="O107" s="6"/>
      <c r="P107" s="6"/>
      <c r="Q107" s="6"/>
      <c r="R107" s="6"/>
      <c r="S107" s="6"/>
      <c r="T107" s="6"/>
    </row>
    <row r="108" ht="27.75" customHeight="1" spans="1:20">
      <c r="A108" s="10" t="s">
        <v>460</v>
      </c>
      <c r="B108" s="10" t="s">
        <v>465</v>
      </c>
      <c r="C108" s="10" t="s">
        <v>61</v>
      </c>
      <c r="D108" s="10" t="s">
        <v>409</v>
      </c>
      <c r="E108" s="10" t="s">
        <v>466</v>
      </c>
      <c r="F108" s="11" t="s">
        <v>467</v>
      </c>
      <c r="G108" s="11"/>
      <c r="H108" s="11"/>
      <c r="I108" s="11"/>
      <c r="J108" s="10" t="s">
        <v>29</v>
      </c>
      <c r="K108" s="8"/>
      <c r="L108" s="8"/>
      <c r="M108" s="8"/>
      <c r="N108" s="9" t="str">
        <f t="shared" si="3"/>
        <v/>
      </c>
      <c r="O108" s="10"/>
      <c r="P108" s="10"/>
      <c r="Q108" s="10"/>
      <c r="R108" s="10"/>
      <c r="S108" s="10"/>
      <c r="T108" s="10"/>
    </row>
    <row r="109" ht="27.75" customHeight="1" spans="1:20">
      <c r="A109" s="6" t="s">
        <v>460</v>
      </c>
      <c r="B109" s="6" t="s">
        <v>468</v>
      </c>
      <c r="C109" s="6" t="s">
        <v>190</v>
      </c>
      <c r="D109" s="6" t="s">
        <v>469</v>
      </c>
      <c r="E109" s="6" t="s">
        <v>470</v>
      </c>
      <c r="F109" s="7" t="s">
        <v>471</v>
      </c>
      <c r="G109" s="7" t="s">
        <v>472</v>
      </c>
      <c r="H109" s="7" t="s">
        <v>473</v>
      </c>
      <c r="I109" s="7" t="s">
        <v>474</v>
      </c>
      <c r="J109" s="6" t="s">
        <v>29</v>
      </c>
      <c r="K109" s="12">
        <v>2750000</v>
      </c>
      <c r="L109" s="13">
        <v>2900000</v>
      </c>
      <c r="M109" s="14">
        <v>3100000</v>
      </c>
      <c r="N109" s="9">
        <f t="shared" si="3"/>
        <v>3410000</v>
      </c>
      <c r="O109" s="6">
        <v>83</v>
      </c>
      <c r="P109" s="6">
        <v>52</v>
      </c>
      <c r="Q109" s="6" t="s">
        <v>30</v>
      </c>
      <c r="R109" s="6">
        <v>70</v>
      </c>
      <c r="S109" s="6">
        <v>60</v>
      </c>
      <c r="T109" s="6">
        <v>12</v>
      </c>
    </row>
    <row r="110" ht="128.25" customHeight="1" spans="1:20">
      <c r="A110" s="10" t="s">
        <v>460</v>
      </c>
      <c r="B110" s="10" t="s">
        <v>475</v>
      </c>
      <c r="C110" s="10" t="s">
        <v>25</v>
      </c>
      <c r="D110" s="10" t="s">
        <v>476</v>
      </c>
      <c r="E110" s="10" t="s">
        <v>477</v>
      </c>
      <c r="F110" s="11" t="s">
        <v>478</v>
      </c>
      <c r="G110" s="11" t="s">
        <v>479</v>
      </c>
      <c r="H110" s="11" t="s">
        <v>480</v>
      </c>
      <c r="I110" s="11"/>
      <c r="J110" s="10" t="s">
        <v>29</v>
      </c>
      <c r="K110" s="12">
        <v>4350000</v>
      </c>
      <c r="L110" s="13">
        <v>4650000</v>
      </c>
      <c r="M110" s="14">
        <v>4950000</v>
      </c>
      <c r="N110" s="9">
        <f t="shared" si="3"/>
        <v>5445000</v>
      </c>
      <c r="O110" s="10">
        <v>88</v>
      </c>
      <c r="P110" s="10">
        <v>60.8</v>
      </c>
      <c r="Q110" s="10" t="s">
        <v>99</v>
      </c>
      <c r="R110" s="10">
        <v>82</v>
      </c>
      <c r="S110" s="10">
        <v>72.4</v>
      </c>
      <c r="T110" s="10">
        <v>10</v>
      </c>
    </row>
    <row r="111" ht="57" customHeight="1" spans="1:20">
      <c r="A111" s="6" t="s">
        <v>460</v>
      </c>
      <c r="B111" s="6" t="s">
        <v>481</v>
      </c>
      <c r="C111" s="6" t="s">
        <v>25</v>
      </c>
      <c r="D111" s="6" t="s">
        <v>482</v>
      </c>
      <c r="E111" s="6" t="s">
        <v>483</v>
      </c>
      <c r="F111" s="7" t="s">
        <v>484</v>
      </c>
      <c r="G111" s="7" t="s">
        <v>485</v>
      </c>
      <c r="H111" s="7"/>
      <c r="I111" s="7"/>
      <c r="J111" s="6" t="s">
        <v>29</v>
      </c>
      <c r="K111" s="12">
        <v>2960000</v>
      </c>
      <c r="L111" s="13">
        <v>3150000</v>
      </c>
      <c r="M111" s="14">
        <v>3350000</v>
      </c>
      <c r="N111" s="9">
        <f t="shared" si="3"/>
        <v>3685000</v>
      </c>
      <c r="O111" s="6"/>
      <c r="P111" s="6"/>
      <c r="Q111" s="6"/>
      <c r="R111" s="6"/>
      <c r="S111" s="6"/>
      <c r="T111" s="6"/>
    </row>
    <row r="112" ht="57" customHeight="1" spans="1:20">
      <c r="A112" s="10" t="s">
        <v>460</v>
      </c>
      <c r="B112" s="10" t="s">
        <v>486</v>
      </c>
      <c r="C112" s="10"/>
      <c r="D112" s="10"/>
      <c r="E112" s="10"/>
      <c r="F112" s="21" t="s">
        <v>487</v>
      </c>
      <c r="G112" s="11"/>
      <c r="H112" s="11"/>
      <c r="I112" s="11" t="s">
        <v>488</v>
      </c>
      <c r="J112" s="10" t="s">
        <v>33</v>
      </c>
      <c r="K112" s="12">
        <v>3000000</v>
      </c>
      <c r="L112" s="13">
        <v>3150000</v>
      </c>
      <c r="M112" s="14">
        <v>3300000</v>
      </c>
      <c r="N112" s="9">
        <f t="shared" si="3"/>
        <v>3630000</v>
      </c>
      <c r="O112" s="10"/>
      <c r="P112" s="10"/>
      <c r="Q112" s="10"/>
      <c r="R112" s="10"/>
      <c r="S112" s="10"/>
      <c r="T112" s="10"/>
    </row>
    <row r="113" ht="57.75" customHeight="1" spans="1:20">
      <c r="A113" s="5" t="s">
        <v>489</v>
      </c>
      <c r="B113" s="5"/>
      <c r="C113" s="5"/>
      <c r="D113" s="5"/>
      <c r="E113" s="5"/>
      <c r="F113" s="5"/>
      <c r="G113" s="5"/>
      <c r="H113" s="5"/>
      <c r="I113" s="5"/>
      <c r="J113" s="5"/>
      <c r="K113" s="20"/>
      <c r="L113" s="20"/>
      <c r="M113" s="20"/>
      <c r="N113" s="20"/>
      <c r="O113" s="5"/>
      <c r="P113" s="5"/>
      <c r="Q113" s="5"/>
      <c r="R113" s="5"/>
      <c r="S113" s="5"/>
      <c r="T113" s="5"/>
    </row>
    <row r="114" ht="21.75" customHeight="1" spans="1:20">
      <c r="A114" s="6" t="s">
        <v>490</v>
      </c>
      <c r="B114" s="6" t="s">
        <v>491</v>
      </c>
      <c r="C114" s="6" t="s">
        <v>85</v>
      </c>
      <c r="D114" s="6" t="s">
        <v>492</v>
      </c>
      <c r="E114" s="6" t="s">
        <v>493</v>
      </c>
      <c r="F114" s="7" t="s">
        <v>494</v>
      </c>
      <c r="G114" s="7" t="s">
        <v>495</v>
      </c>
      <c r="H114" s="7" t="s">
        <v>496</v>
      </c>
      <c r="I114" s="7"/>
      <c r="J114" s="6" t="s">
        <v>29</v>
      </c>
      <c r="K114" s="12">
        <v>2700000</v>
      </c>
      <c r="L114" s="13">
        <v>2900000</v>
      </c>
      <c r="M114" s="14">
        <v>3100000</v>
      </c>
      <c r="N114" s="9">
        <f t="shared" ref="N114:N128" si="4">IF($M114="","",ROUND($M114*1.1,0))</f>
        <v>3410000</v>
      </c>
      <c r="O114" s="6">
        <v>52.5</v>
      </c>
      <c r="P114" s="6">
        <v>36.1</v>
      </c>
      <c r="Q114" s="6" t="s">
        <v>100</v>
      </c>
      <c r="R114" s="6">
        <v>44.3</v>
      </c>
      <c r="S114" s="6">
        <v>39.8</v>
      </c>
      <c r="T114" s="6">
        <v>8</v>
      </c>
    </row>
    <row r="115" ht="285" customHeight="1" spans="1:20">
      <c r="A115" s="10" t="s">
        <v>497</v>
      </c>
      <c r="B115" s="10" t="s">
        <v>498</v>
      </c>
      <c r="C115" s="10" t="s">
        <v>85</v>
      </c>
      <c r="D115" s="10" t="s">
        <v>492</v>
      </c>
      <c r="E115" s="10" t="s">
        <v>493</v>
      </c>
      <c r="F115" s="11" t="s">
        <v>494</v>
      </c>
      <c r="G115" s="11" t="s">
        <v>495</v>
      </c>
      <c r="H115" s="11" t="s">
        <v>496</v>
      </c>
      <c r="I115" s="11"/>
      <c r="J115" s="10" t="s">
        <v>33</v>
      </c>
      <c r="K115" s="12">
        <v>3300000</v>
      </c>
      <c r="L115" s="13">
        <v>3500000</v>
      </c>
      <c r="M115" s="14">
        <v>3800000</v>
      </c>
      <c r="N115" s="9">
        <f t="shared" si="4"/>
        <v>4180000</v>
      </c>
      <c r="O115" s="10">
        <v>52.5</v>
      </c>
      <c r="P115" s="10">
        <v>36.1</v>
      </c>
      <c r="Q115" s="10" t="s">
        <v>100</v>
      </c>
      <c r="R115" s="10">
        <v>44.3</v>
      </c>
      <c r="S115" s="10">
        <v>39.8</v>
      </c>
      <c r="T115" s="10">
        <v>8</v>
      </c>
    </row>
    <row r="116" ht="285" customHeight="1" spans="1:20">
      <c r="A116" s="6" t="s">
        <v>490</v>
      </c>
      <c r="B116" s="6" t="s">
        <v>499</v>
      </c>
      <c r="C116" s="6" t="s">
        <v>25</v>
      </c>
      <c r="D116" s="6" t="s">
        <v>500</v>
      </c>
      <c r="E116" s="6" t="s">
        <v>501</v>
      </c>
      <c r="F116" s="7" t="s">
        <v>502</v>
      </c>
      <c r="G116" s="7" t="s">
        <v>503</v>
      </c>
      <c r="H116" s="7" t="s">
        <v>504</v>
      </c>
      <c r="I116" s="7"/>
      <c r="J116" s="6" t="s">
        <v>29</v>
      </c>
      <c r="K116" s="12">
        <v>6000000</v>
      </c>
      <c r="L116" s="13">
        <v>6300000</v>
      </c>
      <c r="M116" s="14">
        <v>6500000</v>
      </c>
      <c r="N116" s="9">
        <f t="shared" si="4"/>
        <v>7150000</v>
      </c>
      <c r="O116" s="6">
        <v>57.9</v>
      </c>
      <c r="P116" s="6">
        <v>38</v>
      </c>
      <c r="Q116" s="6" t="s">
        <v>505</v>
      </c>
      <c r="R116" s="6">
        <v>47</v>
      </c>
      <c r="S116" s="6">
        <v>43</v>
      </c>
      <c r="T116" s="6">
        <v>9</v>
      </c>
    </row>
    <row r="117" ht="242.25" customHeight="1" spans="1:20">
      <c r="A117" s="10" t="s">
        <v>497</v>
      </c>
      <c r="B117" s="10" t="s">
        <v>506</v>
      </c>
      <c r="C117" s="10" t="s">
        <v>25</v>
      </c>
      <c r="D117" s="10" t="s">
        <v>500</v>
      </c>
      <c r="E117" s="10" t="s">
        <v>507</v>
      </c>
      <c r="F117" s="11" t="s">
        <v>502</v>
      </c>
      <c r="G117" s="11" t="s">
        <v>508</v>
      </c>
      <c r="H117" s="11" t="s">
        <v>504</v>
      </c>
      <c r="I117" s="11"/>
      <c r="J117" s="10" t="s">
        <v>509</v>
      </c>
      <c r="K117" s="8"/>
      <c r="L117" s="8"/>
      <c r="M117" s="8"/>
      <c r="N117" s="9" t="str">
        <f t="shared" si="4"/>
        <v/>
      </c>
      <c r="O117" s="10">
        <v>57.9</v>
      </c>
      <c r="P117" s="10">
        <v>38</v>
      </c>
      <c r="Q117" s="10" t="s">
        <v>505</v>
      </c>
      <c r="R117" s="10">
        <v>47</v>
      </c>
      <c r="S117" s="10">
        <v>43</v>
      </c>
      <c r="T117" s="10">
        <v>9</v>
      </c>
    </row>
    <row r="118" ht="242.25" customHeight="1" spans="1:20">
      <c r="A118" s="6" t="s">
        <v>490</v>
      </c>
      <c r="B118" s="6" t="s">
        <v>510</v>
      </c>
      <c r="C118" s="6" t="s">
        <v>25</v>
      </c>
      <c r="D118" s="6" t="s">
        <v>511</v>
      </c>
      <c r="E118" s="6" t="s">
        <v>507</v>
      </c>
      <c r="F118" s="7" t="s">
        <v>512</v>
      </c>
      <c r="G118" s="7" t="s">
        <v>513</v>
      </c>
      <c r="H118" s="7" t="s">
        <v>514</v>
      </c>
      <c r="I118" s="7"/>
      <c r="J118" s="6" t="s">
        <v>29</v>
      </c>
      <c r="K118" s="8"/>
      <c r="L118" s="8"/>
      <c r="M118" s="8"/>
      <c r="N118" s="9" t="str">
        <f t="shared" si="4"/>
        <v/>
      </c>
      <c r="O118" s="6">
        <v>50.85</v>
      </c>
      <c r="P118" s="6">
        <v>33.9</v>
      </c>
      <c r="Q118" s="6">
        <v>8</v>
      </c>
      <c r="R118" s="6">
        <v>39</v>
      </c>
      <c r="S118" s="6">
        <v>35.8</v>
      </c>
      <c r="T118" s="6">
        <v>9</v>
      </c>
    </row>
    <row r="119" ht="213.75" customHeight="1" spans="1:20">
      <c r="A119" s="10" t="s">
        <v>490</v>
      </c>
      <c r="B119" s="10" t="s">
        <v>515</v>
      </c>
      <c r="C119" s="10" t="s">
        <v>25</v>
      </c>
      <c r="D119" s="10" t="s">
        <v>516</v>
      </c>
      <c r="E119" s="10"/>
      <c r="F119" s="11" t="s">
        <v>517</v>
      </c>
      <c r="G119" s="11" t="s">
        <v>518</v>
      </c>
      <c r="H119" s="11" t="s">
        <v>519</v>
      </c>
      <c r="I119" s="11"/>
      <c r="J119" s="10" t="s">
        <v>29</v>
      </c>
      <c r="K119" s="12">
        <v>6300000</v>
      </c>
      <c r="L119" s="13">
        <v>6700000</v>
      </c>
      <c r="M119" s="14">
        <v>7100000</v>
      </c>
      <c r="N119" s="9">
        <f t="shared" si="4"/>
        <v>7810000</v>
      </c>
      <c r="O119" s="10">
        <v>45.5</v>
      </c>
      <c r="P119" s="10">
        <v>33.2</v>
      </c>
      <c r="Q119" s="10" t="s">
        <v>520</v>
      </c>
      <c r="R119" s="10">
        <v>39</v>
      </c>
      <c r="S119" s="10">
        <v>35.8</v>
      </c>
      <c r="T119" s="10">
        <v>9</v>
      </c>
    </row>
    <row r="120" ht="71.25" customHeight="1" spans="1:20">
      <c r="A120" s="6" t="s">
        <v>490</v>
      </c>
      <c r="B120" s="6" t="s">
        <v>521</v>
      </c>
      <c r="C120" s="6" t="s">
        <v>25</v>
      </c>
      <c r="D120" s="6" t="s">
        <v>522</v>
      </c>
      <c r="E120" s="6" t="s">
        <v>523</v>
      </c>
      <c r="F120" s="7" t="s">
        <v>524</v>
      </c>
      <c r="G120" s="7" t="s">
        <v>525</v>
      </c>
      <c r="H120" s="7" t="s">
        <v>526</v>
      </c>
      <c r="I120" s="7"/>
      <c r="J120" s="6" t="s">
        <v>29</v>
      </c>
      <c r="K120" s="12">
        <v>6000000</v>
      </c>
      <c r="L120" s="13">
        <v>6300000</v>
      </c>
      <c r="M120" s="14">
        <v>6500000</v>
      </c>
      <c r="N120" s="9">
        <f t="shared" si="4"/>
        <v>7150000</v>
      </c>
      <c r="O120" s="6">
        <v>56</v>
      </c>
      <c r="P120" s="6">
        <v>39.6</v>
      </c>
      <c r="Q120" s="6" t="s">
        <v>99</v>
      </c>
      <c r="R120" s="6">
        <v>50</v>
      </c>
      <c r="S120" s="6">
        <v>43</v>
      </c>
      <c r="T120" s="6">
        <v>9</v>
      </c>
    </row>
    <row r="121" ht="199.5" customHeight="1" spans="1:20">
      <c r="A121" s="10" t="s">
        <v>490</v>
      </c>
      <c r="B121" s="10" t="s">
        <v>527</v>
      </c>
      <c r="C121" s="10" t="s">
        <v>25</v>
      </c>
      <c r="D121" s="10" t="s">
        <v>528</v>
      </c>
      <c r="E121" s="10" t="s">
        <v>529</v>
      </c>
      <c r="F121" s="11" t="s">
        <v>530</v>
      </c>
      <c r="G121" s="11" t="s">
        <v>525</v>
      </c>
      <c r="H121" s="11" t="s">
        <v>531</v>
      </c>
      <c r="I121" s="11"/>
      <c r="J121" s="10" t="s">
        <v>29</v>
      </c>
      <c r="K121" s="12">
        <v>5200000</v>
      </c>
      <c r="L121" s="13">
        <v>5500000</v>
      </c>
      <c r="M121" s="14">
        <v>5850000</v>
      </c>
      <c r="N121" s="9">
        <f t="shared" si="4"/>
        <v>6435000</v>
      </c>
      <c r="O121" s="10">
        <v>49</v>
      </c>
      <c r="P121" s="10">
        <v>34.6</v>
      </c>
      <c r="Q121" s="10" t="s">
        <v>99</v>
      </c>
      <c r="R121" s="10">
        <v>43</v>
      </c>
      <c r="S121" s="10">
        <v>38</v>
      </c>
      <c r="T121" s="10">
        <v>9</v>
      </c>
    </row>
    <row r="122" ht="285" customHeight="1" spans="1:20">
      <c r="A122" s="6" t="s">
        <v>497</v>
      </c>
      <c r="B122" s="6" t="s">
        <v>532</v>
      </c>
      <c r="C122" s="6" t="s">
        <v>25</v>
      </c>
      <c r="D122" s="6" t="s">
        <v>528</v>
      </c>
      <c r="E122" s="6" t="s">
        <v>529</v>
      </c>
      <c r="F122" s="7" t="s">
        <v>530</v>
      </c>
      <c r="G122" s="7" t="s">
        <v>525</v>
      </c>
      <c r="H122" s="7" t="s">
        <v>531</v>
      </c>
      <c r="I122" s="7"/>
      <c r="J122" s="6" t="s">
        <v>47</v>
      </c>
      <c r="K122" s="8"/>
      <c r="L122" s="8"/>
      <c r="M122" s="8"/>
      <c r="N122" s="9" t="str">
        <f t="shared" si="4"/>
        <v/>
      </c>
      <c r="O122" s="6">
        <v>49</v>
      </c>
      <c r="P122" s="6">
        <v>34.6</v>
      </c>
      <c r="Q122" s="6" t="s">
        <v>99</v>
      </c>
      <c r="R122" s="6">
        <v>43</v>
      </c>
      <c r="S122" s="6">
        <v>38</v>
      </c>
      <c r="T122" s="6">
        <v>9</v>
      </c>
    </row>
    <row r="123" ht="285" customHeight="1" spans="1:20">
      <c r="A123" s="10" t="s">
        <v>490</v>
      </c>
      <c r="B123" s="10" t="s">
        <v>533</v>
      </c>
      <c r="C123" s="10" t="s">
        <v>35</v>
      </c>
      <c r="D123" s="10" t="s">
        <v>534</v>
      </c>
      <c r="E123" s="10" t="s">
        <v>535</v>
      </c>
      <c r="F123" s="11" t="s">
        <v>536</v>
      </c>
      <c r="G123" s="11" t="s">
        <v>537</v>
      </c>
      <c r="H123" s="11" t="s">
        <v>538</v>
      </c>
      <c r="I123" s="11"/>
      <c r="J123" s="10" t="s">
        <v>33</v>
      </c>
      <c r="K123" s="8"/>
      <c r="L123" s="13">
        <v>4750000</v>
      </c>
      <c r="M123" s="14">
        <v>5000000</v>
      </c>
      <c r="N123" s="9">
        <f t="shared" si="4"/>
        <v>5500000</v>
      </c>
      <c r="O123" s="10">
        <v>49</v>
      </c>
      <c r="P123" s="10">
        <v>34.4</v>
      </c>
      <c r="Q123" s="10" t="s">
        <v>99</v>
      </c>
      <c r="R123" s="10">
        <v>44.4</v>
      </c>
      <c r="S123" s="10">
        <v>37.6</v>
      </c>
      <c r="T123" s="10" t="s">
        <v>505</v>
      </c>
    </row>
    <row r="124" ht="156.75" customHeight="1" spans="1:20">
      <c r="A124" s="6" t="s">
        <v>490</v>
      </c>
      <c r="B124" s="6" t="s">
        <v>539</v>
      </c>
      <c r="C124" s="6" t="s">
        <v>61</v>
      </c>
      <c r="D124" s="6" t="s">
        <v>540</v>
      </c>
      <c r="E124" s="6"/>
      <c r="F124" s="7" t="s">
        <v>541</v>
      </c>
      <c r="G124" s="7" t="s">
        <v>542</v>
      </c>
      <c r="H124" s="7" t="s">
        <v>543</v>
      </c>
      <c r="I124" s="7" t="s">
        <v>544</v>
      </c>
      <c r="J124" s="6"/>
      <c r="K124" s="8"/>
      <c r="L124" s="8"/>
      <c r="M124" s="8"/>
      <c r="N124" s="9" t="str">
        <f t="shared" si="4"/>
        <v/>
      </c>
      <c r="O124" s="6"/>
      <c r="P124" s="6"/>
      <c r="Q124" s="6"/>
      <c r="R124" s="6"/>
      <c r="S124" s="6"/>
      <c r="T124" s="6"/>
    </row>
    <row r="125" ht="85.5" customHeight="1" spans="1:20">
      <c r="A125" s="10" t="s">
        <v>497</v>
      </c>
      <c r="B125" s="10" t="s">
        <v>545</v>
      </c>
      <c r="C125" s="10" t="s">
        <v>61</v>
      </c>
      <c r="D125" s="10" t="s">
        <v>540</v>
      </c>
      <c r="E125" s="10"/>
      <c r="F125" s="11" t="s">
        <v>541</v>
      </c>
      <c r="G125" s="11" t="s">
        <v>542</v>
      </c>
      <c r="H125" s="11" t="s">
        <v>543</v>
      </c>
      <c r="I125" s="11" t="s">
        <v>544</v>
      </c>
      <c r="J125" s="10"/>
      <c r="K125" s="8"/>
      <c r="L125" s="8"/>
      <c r="M125" s="8"/>
      <c r="N125" s="9" t="str">
        <f t="shared" si="4"/>
        <v/>
      </c>
      <c r="O125" s="10"/>
      <c r="P125" s="10"/>
      <c r="Q125" s="10"/>
      <c r="R125" s="10"/>
      <c r="S125" s="10"/>
      <c r="T125" s="10"/>
    </row>
    <row r="126" ht="85.5" customHeight="1" spans="1:20">
      <c r="A126" s="6" t="s">
        <v>490</v>
      </c>
      <c r="B126" s="6" t="s">
        <v>546</v>
      </c>
      <c r="C126" s="6"/>
      <c r="D126" s="6"/>
      <c r="E126" s="6"/>
      <c r="F126" s="7" t="s">
        <v>547</v>
      </c>
      <c r="G126" s="7"/>
      <c r="H126" s="7" t="s">
        <v>548</v>
      </c>
      <c r="I126" s="7"/>
      <c r="J126" s="6" t="s">
        <v>33</v>
      </c>
      <c r="K126" s="12">
        <v>3000000</v>
      </c>
      <c r="L126" s="13">
        <v>3200000</v>
      </c>
      <c r="M126" s="14">
        <v>3500000</v>
      </c>
      <c r="N126" s="9">
        <f t="shared" si="4"/>
        <v>3850000</v>
      </c>
      <c r="O126" s="6"/>
      <c r="P126" s="6"/>
      <c r="Q126" s="6"/>
      <c r="R126" s="6"/>
      <c r="S126" s="6"/>
      <c r="T126" s="6"/>
    </row>
    <row r="127" ht="313.5" customHeight="1" spans="1:20">
      <c r="A127" s="10" t="s">
        <v>490</v>
      </c>
      <c r="B127" s="10" t="s">
        <v>549</v>
      </c>
      <c r="C127" s="10" t="s">
        <v>85</v>
      </c>
      <c r="D127" s="10" t="s">
        <v>550</v>
      </c>
      <c r="E127" s="10" t="s">
        <v>551</v>
      </c>
      <c r="F127" s="21" t="s">
        <v>552</v>
      </c>
      <c r="G127" s="11" t="s">
        <v>553</v>
      </c>
      <c r="H127" s="11" t="s">
        <v>554</v>
      </c>
      <c r="I127" s="11" t="s">
        <v>555</v>
      </c>
      <c r="J127" s="10" t="s">
        <v>29</v>
      </c>
      <c r="K127" s="12">
        <v>5150000</v>
      </c>
      <c r="L127" s="13">
        <v>5450000</v>
      </c>
      <c r="M127" s="14">
        <v>5850000</v>
      </c>
      <c r="N127" s="9">
        <f t="shared" si="4"/>
        <v>6435000</v>
      </c>
      <c r="O127" s="10"/>
      <c r="P127" s="10"/>
      <c r="Q127" s="10"/>
      <c r="R127" s="10"/>
      <c r="S127" s="10"/>
      <c r="T127" s="10"/>
    </row>
    <row r="128" ht="42.75" customHeight="1" spans="1:20">
      <c r="A128" s="6" t="s">
        <v>490</v>
      </c>
      <c r="B128" s="6" t="s">
        <v>556</v>
      </c>
      <c r="C128" s="6"/>
      <c r="D128" s="6"/>
      <c r="E128" s="6"/>
      <c r="F128" s="22" t="s">
        <v>557</v>
      </c>
      <c r="G128" s="7"/>
      <c r="H128" s="7"/>
      <c r="I128" s="7" t="s">
        <v>558</v>
      </c>
      <c r="J128" s="6" t="s">
        <v>33</v>
      </c>
      <c r="K128" s="8"/>
      <c r="L128" s="8"/>
      <c r="M128" s="8"/>
      <c r="N128" s="9" t="str">
        <f t="shared" si="4"/>
        <v/>
      </c>
      <c r="O128" s="6"/>
      <c r="P128" s="6"/>
      <c r="Q128" s="6"/>
      <c r="R128" s="6"/>
      <c r="S128" s="6"/>
      <c r="T128" s="6"/>
    </row>
    <row r="129" ht="57.75" customHeight="1" spans="1:20">
      <c r="A129" s="5" t="s">
        <v>559</v>
      </c>
      <c r="B129" s="5"/>
      <c r="C129" s="5"/>
      <c r="D129" s="5"/>
      <c r="E129" s="5"/>
      <c r="F129" s="5"/>
      <c r="G129" s="5"/>
      <c r="H129" s="5"/>
      <c r="I129" s="5"/>
      <c r="J129" s="5"/>
      <c r="K129" s="20"/>
      <c r="L129" s="20"/>
      <c r="M129" s="20"/>
      <c r="N129" s="20"/>
      <c r="O129" s="5"/>
      <c r="P129" s="5"/>
      <c r="Q129" s="5"/>
      <c r="R129" s="5"/>
      <c r="S129" s="5"/>
      <c r="T129" s="5"/>
    </row>
    <row r="130" ht="21.75" customHeight="1" spans="1:20">
      <c r="A130" s="6" t="s">
        <v>560</v>
      </c>
      <c r="B130" s="6" t="s">
        <v>561</v>
      </c>
      <c r="C130" s="6" t="s">
        <v>35</v>
      </c>
      <c r="D130" s="6" t="s">
        <v>562</v>
      </c>
      <c r="E130" s="6" t="s">
        <v>563</v>
      </c>
      <c r="F130" s="7" t="s">
        <v>564</v>
      </c>
      <c r="G130" s="7"/>
      <c r="H130" s="7"/>
      <c r="I130" s="7"/>
      <c r="J130" s="6" t="s">
        <v>129</v>
      </c>
      <c r="K130" s="12">
        <v>3450000</v>
      </c>
      <c r="L130" s="13">
        <v>3650000</v>
      </c>
      <c r="M130" s="14">
        <v>3900000</v>
      </c>
      <c r="N130" s="9">
        <f>IF($M130="","",ROUND($M130*1.1,0))</f>
        <v>4290000</v>
      </c>
      <c r="O130" s="6"/>
      <c r="P130" s="6"/>
      <c r="Q130" s="6"/>
      <c r="R130" s="6"/>
      <c r="S130" s="6"/>
      <c r="T130" s="6"/>
    </row>
    <row r="131" ht="27.75" customHeight="1" spans="1:20">
      <c r="A131" s="10" t="s">
        <v>560</v>
      </c>
      <c r="B131" s="10" t="s">
        <v>565</v>
      </c>
      <c r="C131" s="10" t="s">
        <v>25</v>
      </c>
      <c r="D131" s="10" t="s">
        <v>566</v>
      </c>
      <c r="E131" s="10" t="s">
        <v>567</v>
      </c>
      <c r="F131" s="11" t="s">
        <v>568</v>
      </c>
      <c r="G131" s="11" t="s">
        <v>569</v>
      </c>
      <c r="H131" s="11"/>
      <c r="I131" s="11"/>
      <c r="J131" s="10" t="s">
        <v>47</v>
      </c>
      <c r="K131" s="12">
        <v>2300000</v>
      </c>
      <c r="L131" s="13">
        <v>2400000</v>
      </c>
      <c r="M131" s="14">
        <v>2600000</v>
      </c>
      <c r="N131" s="9">
        <f>IF($M131="","",ROUND($M131*1.1,0))</f>
        <v>2860000</v>
      </c>
      <c r="O131" s="10"/>
      <c r="P131" s="10"/>
      <c r="Q131" s="10"/>
      <c r="R131" s="10"/>
      <c r="S131" s="10"/>
      <c r="T131" s="10"/>
    </row>
    <row r="132" ht="57.75" customHeight="1" spans="1:20">
      <c r="A132" s="5" t="s">
        <v>570</v>
      </c>
      <c r="B132" s="5"/>
      <c r="C132" s="5"/>
      <c r="D132" s="5"/>
      <c r="E132" s="5"/>
      <c r="F132" s="5"/>
      <c r="G132" s="5"/>
      <c r="H132" s="5"/>
      <c r="I132" s="5"/>
      <c r="J132" s="5"/>
      <c r="K132" s="20"/>
      <c r="L132" s="20"/>
      <c r="M132" s="20"/>
      <c r="N132" s="20"/>
      <c r="O132" s="5"/>
      <c r="P132" s="5"/>
      <c r="Q132" s="5"/>
      <c r="R132" s="5"/>
      <c r="S132" s="5"/>
      <c r="T132" s="5"/>
    </row>
    <row r="133" ht="21.75" customHeight="1" spans="1:20">
      <c r="A133" s="6" t="s">
        <v>571</v>
      </c>
      <c r="B133" s="6" t="s">
        <v>572</v>
      </c>
      <c r="C133" s="6" t="s">
        <v>190</v>
      </c>
      <c r="D133" s="6" t="s">
        <v>573</v>
      </c>
      <c r="E133" s="6" t="s">
        <v>574</v>
      </c>
      <c r="F133" s="7" t="s">
        <v>575</v>
      </c>
      <c r="G133" s="7"/>
      <c r="H133" s="7"/>
      <c r="I133" s="7"/>
      <c r="J133" s="6" t="s">
        <v>129</v>
      </c>
      <c r="K133" s="12">
        <v>6000000</v>
      </c>
      <c r="L133" s="13">
        <v>6350000</v>
      </c>
      <c r="M133" s="14">
        <v>6700000</v>
      </c>
      <c r="N133" s="9">
        <f t="shared" ref="N133:N147" si="5">IF($M133="","",ROUND($M133*1.1,0))</f>
        <v>7370000</v>
      </c>
      <c r="O133" s="6"/>
      <c r="P133" s="6"/>
      <c r="Q133" s="6"/>
      <c r="R133" s="6"/>
      <c r="S133" s="6"/>
      <c r="T133" s="6"/>
    </row>
    <row r="134" ht="71.25" customHeight="1" spans="1:20">
      <c r="A134" s="10" t="s">
        <v>571</v>
      </c>
      <c r="B134" s="10" t="s">
        <v>576</v>
      </c>
      <c r="C134" s="10" t="s">
        <v>25</v>
      </c>
      <c r="D134" s="10" t="s">
        <v>577</v>
      </c>
      <c r="E134" s="10" t="s">
        <v>578</v>
      </c>
      <c r="F134" s="11" t="s">
        <v>579</v>
      </c>
      <c r="G134" s="11" t="s">
        <v>580</v>
      </c>
      <c r="H134" s="11"/>
      <c r="I134" s="11"/>
      <c r="J134" s="10" t="s">
        <v>29</v>
      </c>
      <c r="K134" s="12">
        <v>2400000</v>
      </c>
      <c r="L134" s="13">
        <v>2600000</v>
      </c>
      <c r="M134" s="14">
        <v>2750000</v>
      </c>
      <c r="N134" s="9">
        <f t="shared" si="5"/>
        <v>3025000</v>
      </c>
      <c r="O134" s="10">
        <v>60</v>
      </c>
      <c r="P134" s="10">
        <v>39.1</v>
      </c>
      <c r="Q134" s="10" t="s">
        <v>99</v>
      </c>
      <c r="R134" s="10">
        <v>57.9</v>
      </c>
      <c r="S134" s="10">
        <v>47</v>
      </c>
      <c r="T134" s="10">
        <v>11</v>
      </c>
    </row>
    <row r="135" ht="42.75" customHeight="1" spans="1:20">
      <c r="A135" s="6" t="s">
        <v>571</v>
      </c>
      <c r="B135" s="6" t="s">
        <v>581</v>
      </c>
      <c r="C135" s="6" t="s">
        <v>85</v>
      </c>
      <c r="D135" s="6" t="s">
        <v>582</v>
      </c>
      <c r="E135" s="6" t="s">
        <v>583</v>
      </c>
      <c r="F135" s="7" t="s">
        <v>584</v>
      </c>
      <c r="G135" s="7" t="s">
        <v>585</v>
      </c>
      <c r="H135" s="7" t="s">
        <v>586</v>
      </c>
      <c r="I135" s="7"/>
      <c r="J135" s="6" t="s">
        <v>129</v>
      </c>
      <c r="K135" s="12">
        <v>3500000</v>
      </c>
      <c r="L135" s="13">
        <v>3700000</v>
      </c>
      <c r="M135" s="14">
        <v>3900000</v>
      </c>
      <c r="N135" s="9">
        <f t="shared" si="5"/>
        <v>4290000</v>
      </c>
      <c r="O135" s="6"/>
      <c r="P135" s="6"/>
      <c r="Q135" s="6"/>
      <c r="R135" s="6"/>
      <c r="S135" s="6"/>
      <c r="T135" s="6"/>
    </row>
    <row r="136" ht="28.5" customHeight="1" spans="1:20">
      <c r="A136" s="10" t="s">
        <v>571</v>
      </c>
      <c r="B136" s="10" t="s">
        <v>587</v>
      </c>
      <c r="C136" s="10" t="s">
        <v>85</v>
      </c>
      <c r="D136" s="10" t="s">
        <v>588</v>
      </c>
      <c r="E136" s="10" t="s">
        <v>574</v>
      </c>
      <c r="F136" s="11" t="s">
        <v>589</v>
      </c>
      <c r="G136" s="11"/>
      <c r="H136" s="11"/>
      <c r="I136" s="11"/>
      <c r="J136" s="10" t="s">
        <v>129</v>
      </c>
      <c r="K136" s="12">
        <v>4150000</v>
      </c>
      <c r="L136" s="13">
        <v>4450000</v>
      </c>
      <c r="M136" s="14">
        <v>4750000</v>
      </c>
      <c r="N136" s="9">
        <f t="shared" si="5"/>
        <v>5225000</v>
      </c>
      <c r="O136" s="10"/>
      <c r="P136" s="10"/>
      <c r="Q136" s="10"/>
      <c r="R136" s="10"/>
      <c r="S136" s="10"/>
      <c r="T136" s="10"/>
    </row>
    <row r="137" ht="27.75" customHeight="1" spans="1:20">
      <c r="A137" s="6" t="s">
        <v>571</v>
      </c>
      <c r="B137" s="6" t="s">
        <v>590</v>
      </c>
      <c r="C137" s="6" t="s">
        <v>85</v>
      </c>
      <c r="D137" s="6" t="s">
        <v>591</v>
      </c>
      <c r="E137" s="6" t="s">
        <v>583</v>
      </c>
      <c r="F137" s="7" t="s">
        <v>592</v>
      </c>
      <c r="G137" s="7"/>
      <c r="H137" s="7"/>
      <c r="I137" s="7"/>
      <c r="J137" s="6" t="s">
        <v>129</v>
      </c>
      <c r="K137" s="12">
        <v>4050000</v>
      </c>
      <c r="L137" s="13">
        <v>4350000</v>
      </c>
      <c r="M137" s="14">
        <v>4650000</v>
      </c>
      <c r="N137" s="9">
        <f t="shared" si="5"/>
        <v>5115000</v>
      </c>
      <c r="O137" s="6"/>
      <c r="P137" s="6"/>
      <c r="Q137" s="6"/>
      <c r="R137" s="6"/>
      <c r="S137" s="6"/>
      <c r="T137" s="6"/>
    </row>
    <row r="138" ht="27.75" customHeight="1" spans="1:20">
      <c r="A138" s="10" t="s">
        <v>571</v>
      </c>
      <c r="B138" s="10" t="s">
        <v>593</v>
      </c>
      <c r="C138" s="10" t="s">
        <v>85</v>
      </c>
      <c r="D138" s="10" t="s">
        <v>594</v>
      </c>
      <c r="E138" s="10" t="s">
        <v>595</v>
      </c>
      <c r="F138" s="11" t="s">
        <v>596</v>
      </c>
      <c r="G138" s="11"/>
      <c r="H138" s="11"/>
      <c r="I138" s="11"/>
      <c r="J138" s="10" t="s">
        <v>29</v>
      </c>
      <c r="K138" s="8"/>
      <c r="L138" s="8"/>
      <c r="M138" s="8"/>
      <c r="N138" s="9" t="str">
        <f t="shared" si="5"/>
        <v/>
      </c>
      <c r="O138" s="10">
        <v>65</v>
      </c>
      <c r="P138" s="10">
        <v>41.6</v>
      </c>
      <c r="Q138" s="10" t="s">
        <v>90</v>
      </c>
      <c r="R138" s="10">
        <v>62</v>
      </c>
      <c r="S138" s="10">
        <v>48.6</v>
      </c>
      <c r="T138" s="10" t="s">
        <v>597</v>
      </c>
    </row>
    <row r="139" ht="28.5" customHeight="1" spans="1:20">
      <c r="A139" s="6" t="s">
        <v>571</v>
      </c>
      <c r="B139" s="6" t="s">
        <v>598</v>
      </c>
      <c r="C139" s="6" t="s">
        <v>25</v>
      </c>
      <c r="D139" s="6" t="s">
        <v>577</v>
      </c>
      <c r="E139" s="6" t="s">
        <v>599</v>
      </c>
      <c r="F139" s="7" t="s">
        <v>600</v>
      </c>
      <c r="G139" s="7" t="s">
        <v>387</v>
      </c>
      <c r="H139" s="7"/>
      <c r="I139" s="7"/>
      <c r="J139" s="6" t="s">
        <v>29</v>
      </c>
      <c r="K139" s="12">
        <v>2950000</v>
      </c>
      <c r="L139" s="13">
        <v>3150000</v>
      </c>
      <c r="M139" s="14">
        <v>3350000</v>
      </c>
      <c r="N139" s="9">
        <f t="shared" si="5"/>
        <v>3685000</v>
      </c>
      <c r="O139" s="6">
        <v>59.4</v>
      </c>
      <c r="P139" s="6">
        <v>41.96</v>
      </c>
      <c r="Q139" s="6" t="s">
        <v>99</v>
      </c>
      <c r="R139" s="6">
        <v>50.5</v>
      </c>
      <c r="S139" s="6">
        <v>42.8</v>
      </c>
      <c r="T139" s="6" t="s">
        <v>505</v>
      </c>
    </row>
    <row r="140" customHeight="1" spans="1:20">
      <c r="A140" s="10" t="s">
        <v>571</v>
      </c>
      <c r="B140" s="10" t="s">
        <v>601</v>
      </c>
      <c r="C140" s="10" t="s">
        <v>25</v>
      </c>
      <c r="D140" s="10" t="s">
        <v>602</v>
      </c>
      <c r="E140" s="10"/>
      <c r="F140" s="11" t="s">
        <v>603</v>
      </c>
      <c r="G140" s="11"/>
      <c r="H140" s="11" t="s">
        <v>604</v>
      </c>
      <c r="I140" s="11"/>
      <c r="J140" s="10"/>
      <c r="K140" s="8"/>
      <c r="L140" s="8"/>
      <c r="M140" s="8"/>
      <c r="N140" s="9" t="str">
        <f t="shared" si="5"/>
        <v/>
      </c>
      <c r="O140" s="10"/>
      <c r="P140" s="10"/>
      <c r="Q140" s="10"/>
      <c r="R140" s="10"/>
      <c r="S140" s="10"/>
      <c r="T140" s="10"/>
    </row>
    <row r="141" ht="26.25" customHeight="1" spans="1:20">
      <c r="A141" s="6" t="s">
        <v>571</v>
      </c>
      <c r="B141" s="6" t="s">
        <v>605</v>
      </c>
      <c r="C141" s="6" t="s">
        <v>25</v>
      </c>
      <c r="D141" s="6" t="s">
        <v>606</v>
      </c>
      <c r="E141" s="6" t="s">
        <v>607</v>
      </c>
      <c r="F141" s="7" t="s">
        <v>608</v>
      </c>
      <c r="G141" s="7" t="s">
        <v>609</v>
      </c>
      <c r="H141" s="7" t="s">
        <v>610</v>
      </c>
      <c r="I141" s="7"/>
      <c r="J141" s="6" t="s">
        <v>47</v>
      </c>
      <c r="K141" s="8"/>
      <c r="L141" s="8"/>
      <c r="M141" s="8"/>
      <c r="N141" s="9" t="str">
        <f t="shared" si="5"/>
        <v/>
      </c>
      <c r="O141" s="6">
        <v>76.2</v>
      </c>
      <c r="P141" s="6">
        <v>57</v>
      </c>
      <c r="Q141" s="6" t="s">
        <v>99</v>
      </c>
      <c r="R141" s="6">
        <v>68</v>
      </c>
      <c r="S141" s="6">
        <v>60</v>
      </c>
      <c r="T141" s="6">
        <v>10</v>
      </c>
    </row>
    <row r="142" ht="42.75" customHeight="1" spans="1:20">
      <c r="A142" s="10" t="s">
        <v>611</v>
      </c>
      <c r="B142" s="10" t="s">
        <v>612</v>
      </c>
      <c r="C142" s="10" t="s">
        <v>25</v>
      </c>
      <c r="D142" s="10" t="s">
        <v>606</v>
      </c>
      <c r="E142" s="10" t="s">
        <v>607</v>
      </c>
      <c r="F142" s="11" t="s">
        <v>608</v>
      </c>
      <c r="G142" s="11" t="s">
        <v>609</v>
      </c>
      <c r="H142" s="11" t="s">
        <v>610</v>
      </c>
      <c r="I142" s="11"/>
      <c r="J142" s="10" t="s">
        <v>33</v>
      </c>
      <c r="K142" s="12">
        <v>4200000</v>
      </c>
      <c r="L142" s="13">
        <v>4450000</v>
      </c>
      <c r="M142" s="14">
        <v>4750000</v>
      </c>
      <c r="N142" s="9">
        <f t="shared" si="5"/>
        <v>5225000</v>
      </c>
      <c r="O142" s="10">
        <v>76.2</v>
      </c>
      <c r="P142" s="10">
        <v>57</v>
      </c>
      <c r="Q142" s="10" t="s">
        <v>99</v>
      </c>
      <c r="R142" s="10">
        <v>68</v>
      </c>
      <c r="S142" s="10">
        <v>60</v>
      </c>
      <c r="T142" s="10">
        <v>10</v>
      </c>
    </row>
    <row r="143" ht="42.75" customHeight="1" spans="1:20">
      <c r="A143" s="6" t="s">
        <v>571</v>
      </c>
      <c r="B143" s="6" t="s">
        <v>613</v>
      </c>
      <c r="C143" s="6" t="s">
        <v>25</v>
      </c>
      <c r="D143" s="6" t="s">
        <v>614</v>
      </c>
      <c r="E143" s="6" t="s">
        <v>615</v>
      </c>
      <c r="F143" s="7" t="s">
        <v>616</v>
      </c>
      <c r="G143" s="7" t="s">
        <v>609</v>
      </c>
      <c r="H143" s="7" t="s">
        <v>617</v>
      </c>
      <c r="I143" s="7"/>
      <c r="J143" s="6" t="s">
        <v>82</v>
      </c>
      <c r="K143" s="8"/>
      <c r="L143" s="8"/>
      <c r="M143" s="8"/>
      <c r="N143" s="9" t="str">
        <f t="shared" si="5"/>
        <v/>
      </c>
      <c r="O143" s="6">
        <v>71</v>
      </c>
      <c r="P143" s="6">
        <v>51.1</v>
      </c>
      <c r="Q143" s="6" t="s">
        <v>99</v>
      </c>
      <c r="R143" s="6">
        <v>61.3</v>
      </c>
      <c r="S143" s="6">
        <v>52.1</v>
      </c>
      <c r="T143" s="6">
        <v>10</v>
      </c>
    </row>
    <row r="144" ht="85.5" customHeight="1" spans="1:20">
      <c r="A144" s="10" t="s">
        <v>571</v>
      </c>
      <c r="B144" s="10" t="s">
        <v>618</v>
      </c>
      <c r="C144" s="10" t="s">
        <v>25</v>
      </c>
      <c r="D144" s="10" t="s">
        <v>619</v>
      </c>
      <c r="E144" s="10" t="s">
        <v>620</v>
      </c>
      <c r="F144" s="11" t="s">
        <v>621</v>
      </c>
      <c r="G144" s="11"/>
      <c r="H144" s="11" t="s">
        <v>622</v>
      </c>
      <c r="I144" s="11"/>
      <c r="J144" s="10" t="s">
        <v>29</v>
      </c>
      <c r="K144" s="12">
        <v>2800000</v>
      </c>
      <c r="L144" s="13">
        <v>3000000</v>
      </c>
      <c r="M144" s="14">
        <v>3200000</v>
      </c>
      <c r="N144" s="9">
        <f t="shared" si="5"/>
        <v>3520000</v>
      </c>
      <c r="O144" s="10">
        <v>59.4</v>
      </c>
      <c r="P144" s="10">
        <v>41.96</v>
      </c>
      <c r="Q144" s="10" t="s">
        <v>99</v>
      </c>
      <c r="R144" s="10">
        <v>53.9</v>
      </c>
      <c r="S144" s="10">
        <v>45.7</v>
      </c>
      <c r="T144" s="10">
        <v>9</v>
      </c>
    </row>
    <row r="145" ht="99.75" customHeight="1" spans="1:20">
      <c r="A145" s="6" t="s">
        <v>571</v>
      </c>
      <c r="B145" s="6" t="s">
        <v>623</v>
      </c>
      <c r="C145" s="6" t="s">
        <v>85</v>
      </c>
      <c r="D145" s="6" t="s">
        <v>624</v>
      </c>
      <c r="E145" s="6" t="s">
        <v>625</v>
      </c>
      <c r="F145" s="7" t="s">
        <v>626</v>
      </c>
      <c r="G145" s="7" t="s">
        <v>627</v>
      </c>
      <c r="H145" s="7" t="s">
        <v>628</v>
      </c>
      <c r="I145" s="7"/>
      <c r="J145" s="6" t="s">
        <v>29</v>
      </c>
      <c r="K145" s="12">
        <v>2950000</v>
      </c>
      <c r="L145" s="13">
        <v>3150000</v>
      </c>
      <c r="M145" s="14">
        <v>3350000</v>
      </c>
      <c r="N145" s="9">
        <f t="shared" si="5"/>
        <v>3685000</v>
      </c>
      <c r="O145" s="6"/>
      <c r="P145" s="6"/>
      <c r="Q145" s="6"/>
      <c r="R145" s="6"/>
      <c r="S145" s="6"/>
      <c r="T145" s="6"/>
    </row>
    <row r="146" ht="57" customHeight="1" spans="1:20">
      <c r="A146" s="10" t="s">
        <v>571</v>
      </c>
      <c r="B146" s="10" t="s">
        <v>629</v>
      </c>
      <c r="C146" s="10"/>
      <c r="D146" s="10"/>
      <c r="E146" s="10"/>
      <c r="F146" s="21" t="s">
        <v>630</v>
      </c>
      <c r="G146" s="11"/>
      <c r="H146" s="11"/>
      <c r="I146" s="11" t="s">
        <v>631</v>
      </c>
      <c r="J146" s="10" t="s">
        <v>33</v>
      </c>
      <c r="K146" s="12">
        <v>3000000</v>
      </c>
      <c r="L146" s="13">
        <v>3200000</v>
      </c>
      <c r="M146" s="14">
        <v>3400000</v>
      </c>
      <c r="N146" s="9">
        <f t="shared" si="5"/>
        <v>3740000</v>
      </c>
      <c r="O146" s="10"/>
      <c r="P146" s="10"/>
      <c r="Q146" s="10"/>
      <c r="R146" s="10"/>
      <c r="S146" s="10"/>
      <c r="T146" s="10"/>
    </row>
    <row r="147" ht="42.75" customHeight="1" spans="1:20">
      <c r="A147" s="6" t="s">
        <v>571</v>
      </c>
      <c r="B147" s="6" t="s">
        <v>632</v>
      </c>
      <c r="C147" s="6" t="s">
        <v>25</v>
      </c>
      <c r="D147" s="6" t="s">
        <v>633</v>
      </c>
      <c r="E147" s="6" t="s">
        <v>615</v>
      </c>
      <c r="F147" s="7" t="s">
        <v>634</v>
      </c>
      <c r="G147" s="7" t="s">
        <v>609</v>
      </c>
      <c r="H147" s="7" t="s">
        <v>617</v>
      </c>
      <c r="I147" s="7"/>
      <c r="J147" s="6" t="s">
        <v>129</v>
      </c>
      <c r="K147" s="8"/>
      <c r="L147" s="8"/>
      <c r="M147" s="8"/>
      <c r="N147" s="9" t="str">
        <f t="shared" si="5"/>
        <v/>
      </c>
      <c r="O147" s="6"/>
      <c r="P147" s="6"/>
      <c r="Q147" s="6"/>
      <c r="R147" s="6"/>
      <c r="S147" s="6"/>
      <c r="T147" s="6"/>
    </row>
    <row r="148" ht="16.5" customHeight="1" spans="1:20">
      <c r="A148" s="5" t="s">
        <v>635</v>
      </c>
      <c r="B148" s="5"/>
      <c r="C148" s="5"/>
      <c r="D148" s="5"/>
      <c r="E148" s="5"/>
      <c r="F148" s="5"/>
      <c r="G148" s="5"/>
      <c r="H148" s="5"/>
      <c r="I148" s="5"/>
      <c r="J148" s="5"/>
      <c r="K148" s="20"/>
      <c r="L148" s="20"/>
      <c r="M148" s="20"/>
      <c r="N148" s="20"/>
      <c r="O148" s="5"/>
      <c r="P148" s="5"/>
      <c r="Q148" s="5"/>
      <c r="R148" s="5"/>
      <c r="S148" s="5"/>
      <c r="T148" s="5"/>
    </row>
    <row r="149" ht="21.75" customHeight="1" spans="1:20">
      <c r="A149" s="6" t="s">
        <v>636</v>
      </c>
      <c r="B149" s="6" t="s">
        <v>637</v>
      </c>
      <c r="C149" s="6" t="s">
        <v>35</v>
      </c>
      <c r="D149" s="6" t="s">
        <v>638</v>
      </c>
      <c r="E149" s="6" t="s">
        <v>639</v>
      </c>
      <c r="F149" s="7" t="s">
        <v>640</v>
      </c>
      <c r="G149" s="7" t="s">
        <v>641</v>
      </c>
      <c r="H149" s="7" t="s">
        <v>642</v>
      </c>
      <c r="I149" s="7"/>
      <c r="J149" s="6" t="s">
        <v>59</v>
      </c>
      <c r="K149" s="12">
        <v>3700000</v>
      </c>
      <c r="L149" s="13">
        <v>3900000</v>
      </c>
      <c r="M149" s="14">
        <v>4100000</v>
      </c>
      <c r="N149" s="9">
        <f t="shared" ref="N149:N174" si="6">IF($M149="","",ROUND($M149*1.1,0))</f>
        <v>4510000</v>
      </c>
      <c r="O149" s="6"/>
      <c r="P149" s="6"/>
      <c r="Q149" s="6"/>
      <c r="R149" s="6"/>
      <c r="S149" s="6"/>
      <c r="T149" s="6"/>
    </row>
    <row r="150" ht="27.75" customHeight="1" spans="1:20">
      <c r="A150" s="10" t="s">
        <v>636</v>
      </c>
      <c r="B150" s="10" t="s">
        <v>643</v>
      </c>
      <c r="C150" s="10" t="s">
        <v>35</v>
      </c>
      <c r="D150" s="10" t="s">
        <v>644</v>
      </c>
      <c r="E150" s="10" t="s">
        <v>645</v>
      </c>
      <c r="F150" s="11" t="s">
        <v>646</v>
      </c>
      <c r="G150" s="11" t="s">
        <v>647</v>
      </c>
      <c r="H150" s="11"/>
      <c r="I150" s="11"/>
      <c r="J150" s="10" t="s">
        <v>129</v>
      </c>
      <c r="K150" s="12">
        <v>3000000</v>
      </c>
      <c r="L150" s="13">
        <v>3200000</v>
      </c>
      <c r="M150" s="14">
        <v>3500000</v>
      </c>
      <c r="N150" s="9">
        <f t="shared" si="6"/>
        <v>3850000</v>
      </c>
      <c r="O150" s="10"/>
      <c r="P150" s="10"/>
      <c r="Q150" s="10"/>
      <c r="R150" s="10"/>
      <c r="S150" s="10"/>
      <c r="T150" s="10"/>
    </row>
    <row r="151" ht="57" customHeight="1" spans="1:20">
      <c r="A151" s="6" t="s">
        <v>636</v>
      </c>
      <c r="B151" s="6" t="s">
        <v>648</v>
      </c>
      <c r="C151" s="6" t="s">
        <v>35</v>
      </c>
      <c r="D151" s="6" t="s">
        <v>644</v>
      </c>
      <c r="E151" s="6" t="s">
        <v>649</v>
      </c>
      <c r="F151" s="7" t="s">
        <v>650</v>
      </c>
      <c r="G151" s="7"/>
      <c r="H151" s="7" t="s">
        <v>651</v>
      </c>
      <c r="I151" s="7"/>
      <c r="J151" s="6" t="s">
        <v>129</v>
      </c>
      <c r="K151" s="12">
        <v>3000000</v>
      </c>
      <c r="L151" s="13">
        <v>3200000</v>
      </c>
      <c r="M151" s="14">
        <v>3500000</v>
      </c>
      <c r="N151" s="9">
        <f t="shared" si="6"/>
        <v>3850000</v>
      </c>
      <c r="O151" s="6"/>
      <c r="P151" s="6"/>
      <c r="Q151" s="6"/>
      <c r="R151" s="6"/>
      <c r="S151" s="6"/>
      <c r="T151" s="6"/>
    </row>
    <row r="152" ht="27.75" customHeight="1" spans="1:20">
      <c r="A152" s="10" t="s">
        <v>636</v>
      </c>
      <c r="B152" s="10" t="s">
        <v>652</v>
      </c>
      <c r="C152" s="10" t="s">
        <v>35</v>
      </c>
      <c r="D152" s="10" t="s">
        <v>653</v>
      </c>
      <c r="E152" s="10" t="s">
        <v>654</v>
      </c>
      <c r="F152" s="11" t="s">
        <v>655</v>
      </c>
      <c r="G152" s="11" t="s">
        <v>656</v>
      </c>
      <c r="H152" s="11" t="s">
        <v>657</v>
      </c>
      <c r="I152" s="11"/>
      <c r="J152" s="10" t="s">
        <v>29</v>
      </c>
      <c r="K152" s="8"/>
      <c r="L152" s="8"/>
      <c r="M152" s="8"/>
      <c r="N152" s="9" t="str">
        <f t="shared" si="6"/>
        <v/>
      </c>
      <c r="O152" s="10">
        <v>56</v>
      </c>
      <c r="P152" s="10">
        <v>43</v>
      </c>
      <c r="Q152" s="10" t="s">
        <v>99</v>
      </c>
      <c r="R152" s="10">
        <v>52</v>
      </c>
      <c r="S152" s="10">
        <v>45.6</v>
      </c>
      <c r="T152" s="10">
        <v>12</v>
      </c>
    </row>
    <row r="153" ht="156.75" customHeight="1" spans="1:20">
      <c r="A153" s="6" t="s">
        <v>636</v>
      </c>
      <c r="B153" s="6" t="s">
        <v>658</v>
      </c>
      <c r="C153" s="6" t="s">
        <v>85</v>
      </c>
      <c r="D153" s="6" t="s">
        <v>659</v>
      </c>
      <c r="E153" s="6" t="s">
        <v>660</v>
      </c>
      <c r="F153" s="7" t="s">
        <v>661</v>
      </c>
      <c r="G153" s="7" t="s">
        <v>662</v>
      </c>
      <c r="H153" s="7" t="s">
        <v>663</v>
      </c>
      <c r="I153" s="7"/>
      <c r="J153" s="6" t="s">
        <v>29</v>
      </c>
      <c r="K153" s="12">
        <v>2400000</v>
      </c>
      <c r="L153" s="13">
        <v>2600000</v>
      </c>
      <c r="M153" s="14">
        <v>2800000</v>
      </c>
      <c r="N153" s="9">
        <f t="shared" si="6"/>
        <v>3080000</v>
      </c>
      <c r="O153" s="6">
        <v>70</v>
      </c>
      <c r="P153" s="6">
        <v>55.3</v>
      </c>
      <c r="Q153" s="6" t="s">
        <v>30</v>
      </c>
      <c r="R153" s="6">
        <v>74.2</v>
      </c>
      <c r="S153" s="6">
        <v>64.5</v>
      </c>
      <c r="T153" s="6">
        <v>11</v>
      </c>
    </row>
    <row r="154" ht="57" customHeight="1" spans="1:20">
      <c r="A154" s="10" t="s">
        <v>636</v>
      </c>
      <c r="B154" s="10" t="s">
        <v>664</v>
      </c>
      <c r="C154" s="10" t="s">
        <v>85</v>
      </c>
      <c r="D154" s="10" t="s">
        <v>665</v>
      </c>
      <c r="E154" s="10" t="s">
        <v>666</v>
      </c>
      <c r="F154" s="11" t="s">
        <v>667</v>
      </c>
      <c r="G154" s="11"/>
      <c r="H154" s="11"/>
      <c r="I154" s="11"/>
      <c r="J154" s="10" t="s">
        <v>668</v>
      </c>
      <c r="K154" s="12">
        <v>6900000</v>
      </c>
      <c r="L154" s="13">
        <v>7300000</v>
      </c>
      <c r="M154" s="14">
        <v>7700000</v>
      </c>
      <c r="N154" s="9">
        <f t="shared" si="6"/>
        <v>8470000</v>
      </c>
      <c r="O154" s="10"/>
      <c r="P154" s="10"/>
      <c r="Q154" s="10"/>
      <c r="R154" s="10"/>
      <c r="S154" s="10"/>
      <c r="T154" s="10"/>
    </row>
    <row r="155" ht="51.75" customHeight="1" spans="1:20">
      <c r="A155" s="6" t="s">
        <v>636</v>
      </c>
      <c r="B155" s="6" t="s">
        <v>669</v>
      </c>
      <c r="C155" s="6" t="s">
        <v>85</v>
      </c>
      <c r="D155" s="6" t="s">
        <v>670</v>
      </c>
      <c r="E155" s="6" t="s">
        <v>671</v>
      </c>
      <c r="F155" s="7" t="s">
        <v>672</v>
      </c>
      <c r="G155" s="7" t="s">
        <v>673</v>
      </c>
      <c r="H155" s="7" t="s">
        <v>674</v>
      </c>
      <c r="I155" s="7"/>
      <c r="J155" s="6" t="s">
        <v>29</v>
      </c>
      <c r="K155" s="12">
        <v>2650000</v>
      </c>
      <c r="L155" s="13">
        <v>2800000</v>
      </c>
      <c r="M155" s="14">
        <v>3000000</v>
      </c>
      <c r="N155" s="9">
        <f t="shared" si="6"/>
        <v>3300000</v>
      </c>
      <c r="O155" s="6">
        <v>60</v>
      </c>
      <c r="P155" s="6">
        <v>42.9</v>
      </c>
      <c r="Q155" s="6" t="s">
        <v>99</v>
      </c>
      <c r="R155" s="6">
        <v>57.5</v>
      </c>
      <c r="S155" s="6">
        <v>51</v>
      </c>
      <c r="T155" s="6">
        <v>11</v>
      </c>
    </row>
    <row r="156" ht="57" customHeight="1" spans="1:20">
      <c r="A156" s="10" t="s">
        <v>675</v>
      </c>
      <c r="B156" s="10" t="s">
        <v>676</v>
      </c>
      <c r="C156" s="10" t="s">
        <v>85</v>
      </c>
      <c r="D156" s="10" t="s">
        <v>670</v>
      </c>
      <c r="E156" s="10" t="s">
        <v>671</v>
      </c>
      <c r="F156" s="11" t="s">
        <v>672</v>
      </c>
      <c r="G156" s="11" t="s">
        <v>673</v>
      </c>
      <c r="H156" s="11" t="s">
        <v>674</v>
      </c>
      <c r="I156" s="11"/>
      <c r="J156" s="10" t="s">
        <v>33</v>
      </c>
      <c r="K156" s="12">
        <v>2800000</v>
      </c>
      <c r="L156" s="13">
        <v>3000000</v>
      </c>
      <c r="M156" s="14">
        <v>3200000</v>
      </c>
      <c r="N156" s="9">
        <f t="shared" si="6"/>
        <v>3520000</v>
      </c>
      <c r="O156" s="10">
        <v>60</v>
      </c>
      <c r="P156" s="10">
        <v>42.9</v>
      </c>
      <c r="Q156" s="10" t="s">
        <v>99</v>
      </c>
      <c r="R156" s="10">
        <v>57.5</v>
      </c>
      <c r="S156" s="10">
        <v>51</v>
      </c>
      <c r="T156" s="10">
        <v>11</v>
      </c>
    </row>
    <row r="157" ht="57" customHeight="1" spans="1:20">
      <c r="A157" s="6" t="s">
        <v>636</v>
      </c>
      <c r="B157" s="6" t="s">
        <v>677</v>
      </c>
      <c r="C157" s="6" t="s">
        <v>85</v>
      </c>
      <c r="D157" s="6" t="s">
        <v>678</v>
      </c>
      <c r="E157" s="6" t="s">
        <v>679</v>
      </c>
      <c r="F157" s="7" t="s">
        <v>680</v>
      </c>
      <c r="G157" s="7" t="s">
        <v>681</v>
      </c>
      <c r="H157" s="7"/>
      <c r="I157" s="7"/>
      <c r="J157" s="6" t="s">
        <v>29</v>
      </c>
      <c r="K157" s="12">
        <v>2600000</v>
      </c>
      <c r="L157" s="13">
        <v>2750000</v>
      </c>
      <c r="M157" s="14">
        <v>2900000</v>
      </c>
      <c r="N157" s="9">
        <f t="shared" si="6"/>
        <v>3190000</v>
      </c>
      <c r="O157" s="6">
        <v>48</v>
      </c>
      <c r="P157" s="6">
        <v>37.2</v>
      </c>
      <c r="Q157" s="6" t="s">
        <v>99</v>
      </c>
      <c r="R157" s="6">
        <v>44.4</v>
      </c>
      <c r="S157" s="6">
        <v>37.6</v>
      </c>
      <c r="T157" s="6">
        <v>8</v>
      </c>
    </row>
    <row r="158" ht="26.25" customHeight="1" spans="1:20">
      <c r="A158" s="10" t="s">
        <v>636</v>
      </c>
      <c r="B158" s="10" t="s">
        <v>682</v>
      </c>
      <c r="C158" s="10" t="s">
        <v>85</v>
      </c>
      <c r="D158" s="10" t="s">
        <v>678</v>
      </c>
      <c r="E158" s="10" t="s">
        <v>683</v>
      </c>
      <c r="F158" s="11" t="s">
        <v>684</v>
      </c>
      <c r="G158" s="11" t="s">
        <v>685</v>
      </c>
      <c r="H158" s="11" t="s">
        <v>686</v>
      </c>
      <c r="I158" s="11" t="s">
        <v>687</v>
      </c>
      <c r="J158" s="10" t="s">
        <v>129</v>
      </c>
      <c r="K158" s="12">
        <v>2900000</v>
      </c>
      <c r="L158" s="13">
        <v>3100000</v>
      </c>
      <c r="M158" s="14">
        <v>3300000</v>
      </c>
      <c r="N158" s="9">
        <f t="shared" si="6"/>
        <v>3630000</v>
      </c>
      <c r="O158" s="10">
        <v>52.5</v>
      </c>
      <c r="P158" s="10">
        <v>39.3</v>
      </c>
      <c r="Q158" s="10" t="s">
        <v>99</v>
      </c>
      <c r="R158" s="10">
        <v>44.3</v>
      </c>
      <c r="S158" s="10">
        <v>36.2</v>
      </c>
      <c r="T158" s="10">
        <v>8</v>
      </c>
    </row>
    <row r="159" ht="42.75" customHeight="1" spans="1:20">
      <c r="A159" s="6" t="s">
        <v>675</v>
      </c>
      <c r="B159" s="6" t="s">
        <v>688</v>
      </c>
      <c r="C159" s="6" t="s">
        <v>85</v>
      </c>
      <c r="D159" s="6" t="s">
        <v>678</v>
      </c>
      <c r="E159" s="6" t="s">
        <v>683</v>
      </c>
      <c r="F159" s="7" t="s">
        <v>684</v>
      </c>
      <c r="G159" s="7" t="s">
        <v>685</v>
      </c>
      <c r="H159" s="7" t="s">
        <v>686</v>
      </c>
      <c r="I159" s="7" t="s">
        <v>687</v>
      </c>
      <c r="J159" s="6" t="s">
        <v>47</v>
      </c>
      <c r="K159" s="12">
        <v>2800000</v>
      </c>
      <c r="L159" s="13">
        <v>3000000</v>
      </c>
      <c r="M159" s="14">
        <v>3200000</v>
      </c>
      <c r="N159" s="9">
        <f t="shared" si="6"/>
        <v>3520000</v>
      </c>
      <c r="O159" s="6">
        <v>52.5</v>
      </c>
      <c r="P159" s="6">
        <v>39.3</v>
      </c>
      <c r="Q159" s="6" t="s">
        <v>99</v>
      </c>
      <c r="R159" s="6">
        <v>44.3</v>
      </c>
      <c r="S159" s="6">
        <v>36.2</v>
      </c>
      <c r="T159" s="6">
        <v>8</v>
      </c>
    </row>
    <row r="160" ht="42.75" customHeight="1" spans="1:20">
      <c r="A160" s="10" t="s">
        <v>636</v>
      </c>
      <c r="B160" s="10" t="s">
        <v>689</v>
      </c>
      <c r="C160" s="10" t="s">
        <v>85</v>
      </c>
      <c r="D160" s="10" t="s">
        <v>690</v>
      </c>
      <c r="E160" s="10" t="s">
        <v>691</v>
      </c>
      <c r="F160" s="11" t="s">
        <v>692</v>
      </c>
      <c r="G160" s="11" t="s">
        <v>693</v>
      </c>
      <c r="H160" s="11" t="s">
        <v>694</v>
      </c>
      <c r="I160" s="11" t="s">
        <v>695</v>
      </c>
      <c r="J160" s="10" t="s">
        <v>59</v>
      </c>
      <c r="K160" s="12">
        <v>4100000</v>
      </c>
      <c r="L160" s="13">
        <v>4400000</v>
      </c>
      <c r="M160" s="14">
        <v>4700000</v>
      </c>
      <c r="N160" s="9">
        <f t="shared" si="6"/>
        <v>5170000</v>
      </c>
      <c r="O160" s="10"/>
      <c r="P160" s="10"/>
      <c r="Q160" s="10"/>
      <c r="R160" s="10"/>
      <c r="S160" s="10"/>
      <c r="T160" s="10"/>
    </row>
    <row r="161" ht="42.75" customHeight="1" spans="1:20">
      <c r="A161" s="6" t="s">
        <v>636</v>
      </c>
      <c r="B161" s="6" t="s">
        <v>696</v>
      </c>
      <c r="C161" s="6" t="s">
        <v>85</v>
      </c>
      <c r="D161" s="6" t="s">
        <v>697</v>
      </c>
      <c r="E161" s="6" t="s">
        <v>649</v>
      </c>
      <c r="F161" s="7" t="s">
        <v>698</v>
      </c>
      <c r="G161" s="7" t="s">
        <v>699</v>
      </c>
      <c r="H161" s="7" t="s">
        <v>700</v>
      </c>
      <c r="I161" s="7"/>
      <c r="J161" s="6" t="s">
        <v>129</v>
      </c>
      <c r="K161" s="12">
        <v>4200000</v>
      </c>
      <c r="L161" s="13">
        <v>4500000</v>
      </c>
      <c r="M161" s="14">
        <v>4800000</v>
      </c>
      <c r="N161" s="9">
        <f t="shared" si="6"/>
        <v>5280000</v>
      </c>
      <c r="O161" s="6"/>
      <c r="P161" s="6">
        <v>74.5</v>
      </c>
      <c r="Q161" s="6" t="s">
        <v>99</v>
      </c>
      <c r="R161" s="6"/>
      <c r="S161" s="6">
        <v>84</v>
      </c>
      <c r="T161" s="6">
        <v>11</v>
      </c>
    </row>
    <row r="162" ht="28.5" customHeight="1" spans="1:20">
      <c r="A162" s="10" t="s">
        <v>675</v>
      </c>
      <c r="B162" s="10" t="s">
        <v>701</v>
      </c>
      <c r="C162" s="10" t="s">
        <v>85</v>
      </c>
      <c r="D162" s="10" t="s">
        <v>697</v>
      </c>
      <c r="E162" s="10" t="s">
        <v>649</v>
      </c>
      <c r="F162" s="11" t="s">
        <v>698</v>
      </c>
      <c r="G162" s="11" t="s">
        <v>699</v>
      </c>
      <c r="H162" s="11" t="s">
        <v>700</v>
      </c>
      <c r="I162" s="11"/>
      <c r="J162" s="10" t="s">
        <v>702</v>
      </c>
      <c r="K162" s="8"/>
      <c r="L162" s="13">
        <v>23000000</v>
      </c>
      <c r="M162" s="14">
        <v>23500000</v>
      </c>
      <c r="N162" s="9">
        <f t="shared" si="6"/>
        <v>25850000</v>
      </c>
      <c r="O162" s="10"/>
      <c r="P162" s="10">
        <v>74.5</v>
      </c>
      <c r="Q162" s="10" t="s">
        <v>99</v>
      </c>
      <c r="R162" s="10"/>
      <c r="S162" s="10">
        <v>84</v>
      </c>
      <c r="T162" s="10">
        <v>11</v>
      </c>
    </row>
    <row r="163" ht="28.5" customHeight="1" spans="1:20">
      <c r="A163" s="6" t="s">
        <v>636</v>
      </c>
      <c r="B163" s="6" t="s">
        <v>703</v>
      </c>
      <c r="C163" s="6" t="s">
        <v>85</v>
      </c>
      <c r="D163" s="6" t="s">
        <v>144</v>
      </c>
      <c r="E163" s="6" t="s">
        <v>639</v>
      </c>
      <c r="F163" s="7" t="s">
        <v>704</v>
      </c>
      <c r="G163" s="7" t="s">
        <v>705</v>
      </c>
      <c r="H163" s="7" t="s">
        <v>706</v>
      </c>
      <c r="I163" s="7"/>
      <c r="J163" s="6" t="s">
        <v>29</v>
      </c>
      <c r="K163" s="12">
        <v>3350000</v>
      </c>
      <c r="L163" s="13">
        <v>3550000</v>
      </c>
      <c r="M163" s="14">
        <v>3750000</v>
      </c>
      <c r="N163" s="9">
        <f t="shared" si="6"/>
        <v>4125000</v>
      </c>
      <c r="O163" s="6">
        <v>77.6</v>
      </c>
      <c r="P163" s="6">
        <v>59</v>
      </c>
      <c r="Q163" s="6" t="s">
        <v>99</v>
      </c>
      <c r="R163" s="6">
        <v>74</v>
      </c>
      <c r="S163" s="6">
        <v>67</v>
      </c>
      <c r="T163" s="6">
        <v>11</v>
      </c>
    </row>
    <row r="164" ht="42.75" customHeight="1" spans="1:20">
      <c r="A164" s="10" t="s">
        <v>636</v>
      </c>
      <c r="B164" s="10" t="s">
        <v>707</v>
      </c>
      <c r="C164" s="10" t="s">
        <v>85</v>
      </c>
      <c r="D164" s="10" t="s">
        <v>708</v>
      </c>
      <c r="E164" s="10" t="s">
        <v>679</v>
      </c>
      <c r="F164" s="11" t="s">
        <v>709</v>
      </c>
      <c r="G164" s="11" t="s">
        <v>647</v>
      </c>
      <c r="H164" s="11"/>
      <c r="I164" s="11"/>
      <c r="J164" s="10" t="s">
        <v>29</v>
      </c>
      <c r="K164" s="12">
        <v>2550000</v>
      </c>
      <c r="L164" s="13">
        <v>2700000</v>
      </c>
      <c r="M164" s="14">
        <v>2850000</v>
      </c>
      <c r="N164" s="9">
        <f t="shared" si="6"/>
        <v>3135000</v>
      </c>
      <c r="O164" s="10">
        <v>52.5</v>
      </c>
      <c r="P164" s="10">
        <v>38.6</v>
      </c>
      <c r="Q164" s="10" t="s">
        <v>90</v>
      </c>
      <c r="R164" s="10">
        <v>52.5</v>
      </c>
      <c r="S164" s="10">
        <v>44</v>
      </c>
      <c r="T164" s="10">
        <v>12</v>
      </c>
    </row>
    <row r="165" ht="42.75" customHeight="1" spans="1:20">
      <c r="A165" s="6" t="s">
        <v>636</v>
      </c>
      <c r="B165" s="6" t="s">
        <v>710</v>
      </c>
      <c r="C165" s="6" t="s">
        <v>25</v>
      </c>
      <c r="D165" s="6" t="s">
        <v>711</v>
      </c>
      <c r="E165" s="6" t="s">
        <v>712</v>
      </c>
      <c r="F165" s="7" t="s">
        <v>713</v>
      </c>
      <c r="G165" s="7" t="s">
        <v>699</v>
      </c>
      <c r="H165" s="7" t="s">
        <v>714</v>
      </c>
      <c r="I165" s="7"/>
      <c r="J165" s="6" t="s">
        <v>29</v>
      </c>
      <c r="K165" s="12">
        <v>3400000</v>
      </c>
      <c r="L165" s="13">
        <v>3600000</v>
      </c>
      <c r="M165" s="14">
        <v>3800000</v>
      </c>
      <c r="N165" s="9">
        <f t="shared" si="6"/>
        <v>4180000</v>
      </c>
      <c r="O165" s="6">
        <v>91</v>
      </c>
      <c r="P165" s="6">
        <v>64.2</v>
      </c>
      <c r="Q165" s="6" t="s">
        <v>99</v>
      </c>
      <c r="R165" s="6">
        <v>88.4</v>
      </c>
      <c r="S165" s="6">
        <v>77.2</v>
      </c>
      <c r="T165" s="6">
        <v>11</v>
      </c>
    </row>
    <row r="166" ht="51" customHeight="1" spans="1:20">
      <c r="A166" s="10" t="s">
        <v>636</v>
      </c>
      <c r="B166" s="10" t="s">
        <v>715</v>
      </c>
      <c r="C166" s="10" t="s">
        <v>85</v>
      </c>
      <c r="D166" s="10" t="s">
        <v>582</v>
      </c>
      <c r="E166" s="10" t="s">
        <v>691</v>
      </c>
      <c r="F166" s="11" t="s">
        <v>716</v>
      </c>
      <c r="G166" s="11" t="s">
        <v>717</v>
      </c>
      <c r="H166" s="11" t="s">
        <v>718</v>
      </c>
      <c r="I166" s="11" t="s">
        <v>719</v>
      </c>
      <c r="J166" s="10" t="s">
        <v>29</v>
      </c>
      <c r="K166" s="12">
        <v>2800000</v>
      </c>
      <c r="L166" s="13">
        <v>3000000</v>
      </c>
      <c r="M166" s="14">
        <v>3200000</v>
      </c>
      <c r="N166" s="9">
        <f t="shared" si="6"/>
        <v>3520000</v>
      </c>
      <c r="O166" s="10">
        <v>75</v>
      </c>
      <c r="P166" s="10">
        <v>53</v>
      </c>
      <c r="Q166" s="10" t="s">
        <v>99</v>
      </c>
      <c r="R166" s="10">
        <v>69.3</v>
      </c>
      <c r="S166" s="10">
        <v>64</v>
      </c>
      <c r="T166" s="10" t="s">
        <v>597</v>
      </c>
    </row>
    <row r="167" ht="42.75" customHeight="1" spans="1:20">
      <c r="A167" s="6" t="s">
        <v>675</v>
      </c>
      <c r="B167" s="6" t="s">
        <v>720</v>
      </c>
      <c r="C167" s="6" t="s">
        <v>85</v>
      </c>
      <c r="D167" s="6" t="s">
        <v>582</v>
      </c>
      <c r="E167" s="6" t="s">
        <v>691</v>
      </c>
      <c r="F167" s="7" t="s">
        <v>721</v>
      </c>
      <c r="G167" s="7" t="s">
        <v>717</v>
      </c>
      <c r="H167" s="7" t="s">
        <v>718</v>
      </c>
      <c r="I167" s="7" t="s">
        <v>719</v>
      </c>
      <c r="J167" s="6" t="s">
        <v>33</v>
      </c>
      <c r="K167" s="12">
        <v>3100000</v>
      </c>
      <c r="L167" s="13">
        <v>3300000</v>
      </c>
      <c r="M167" s="14">
        <v>3500000</v>
      </c>
      <c r="N167" s="9">
        <f t="shared" si="6"/>
        <v>3850000</v>
      </c>
      <c r="O167" s="6">
        <v>75</v>
      </c>
      <c r="P167" s="6">
        <v>53</v>
      </c>
      <c r="Q167" s="6" t="s">
        <v>99</v>
      </c>
      <c r="R167" s="6">
        <v>69.3</v>
      </c>
      <c r="S167" s="6">
        <v>64</v>
      </c>
      <c r="T167" s="6" t="s">
        <v>597</v>
      </c>
    </row>
    <row r="168" ht="42.75" customHeight="1" spans="1:20">
      <c r="A168" s="10" t="s">
        <v>636</v>
      </c>
      <c r="B168" s="10" t="s">
        <v>722</v>
      </c>
      <c r="C168" s="10" t="s">
        <v>85</v>
      </c>
      <c r="D168" s="10" t="s">
        <v>690</v>
      </c>
      <c r="E168" s="10" t="s">
        <v>691</v>
      </c>
      <c r="F168" s="11" t="s">
        <v>723</v>
      </c>
      <c r="G168" s="11" t="s">
        <v>724</v>
      </c>
      <c r="H168" s="11" t="s">
        <v>725</v>
      </c>
      <c r="I168" s="11"/>
      <c r="J168" s="10" t="s">
        <v>29</v>
      </c>
      <c r="K168" s="12">
        <v>2950000</v>
      </c>
      <c r="L168" s="13">
        <v>3100000</v>
      </c>
      <c r="M168" s="14">
        <v>3300000</v>
      </c>
      <c r="N168" s="9">
        <f t="shared" si="6"/>
        <v>3630000</v>
      </c>
      <c r="O168" s="10">
        <v>70</v>
      </c>
      <c r="P168" s="10">
        <v>52.4</v>
      </c>
      <c r="Q168" s="10" t="s">
        <v>99</v>
      </c>
      <c r="R168" s="10">
        <v>63.15</v>
      </c>
      <c r="S168" s="10">
        <v>61.6</v>
      </c>
      <c r="T168" s="10" t="s">
        <v>597</v>
      </c>
    </row>
    <row r="169" ht="42.75" customHeight="1" spans="1:20">
      <c r="A169" s="6" t="s">
        <v>636</v>
      </c>
      <c r="B169" s="6" t="s">
        <v>726</v>
      </c>
      <c r="C169" s="6"/>
      <c r="D169" s="6"/>
      <c r="E169" s="6" t="s">
        <v>727</v>
      </c>
      <c r="F169" s="7" t="s">
        <v>728</v>
      </c>
      <c r="G169" s="7" t="s">
        <v>729</v>
      </c>
      <c r="H169" s="7"/>
      <c r="I169" s="7" t="s">
        <v>687</v>
      </c>
      <c r="J169" s="6" t="s">
        <v>129</v>
      </c>
      <c r="K169" s="12">
        <v>3400000</v>
      </c>
      <c r="L169" s="13">
        <v>3600000</v>
      </c>
      <c r="M169" s="14">
        <v>3800000</v>
      </c>
      <c r="N169" s="9">
        <f t="shared" si="6"/>
        <v>4180000</v>
      </c>
      <c r="O169" s="6"/>
      <c r="P169" s="6"/>
      <c r="Q169" s="6"/>
      <c r="R169" s="6"/>
      <c r="S169" s="6"/>
      <c r="T169" s="6"/>
    </row>
    <row r="170" ht="42.75" customHeight="1" spans="1:20">
      <c r="A170" s="10" t="s">
        <v>636</v>
      </c>
      <c r="B170" s="10" t="s">
        <v>730</v>
      </c>
      <c r="C170" s="10" t="s">
        <v>85</v>
      </c>
      <c r="D170" s="10" t="s">
        <v>731</v>
      </c>
      <c r="E170" s="10" t="s">
        <v>732</v>
      </c>
      <c r="F170" s="11" t="s">
        <v>733</v>
      </c>
      <c r="G170" s="11" t="s">
        <v>734</v>
      </c>
      <c r="H170" s="11" t="s">
        <v>735</v>
      </c>
      <c r="I170" s="11"/>
      <c r="J170" s="10" t="s">
        <v>33</v>
      </c>
      <c r="K170" s="12">
        <v>2500000</v>
      </c>
      <c r="L170" s="13">
        <v>2650000</v>
      </c>
      <c r="M170" s="14">
        <v>2800000</v>
      </c>
      <c r="N170" s="9">
        <f t="shared" si="6"/>
        <v>3080000</v>
      </c>
      <c r="O170" s="10"/>
      <c r="P170" s="10"/>
      <c r="Q170" s="10"/>
      <c r="R170" s="10"/>
      <c r="S170" s="10"/>
      <c r="T170" s="10"/>
    </row>
    <row r="171" ht="85.5" customHeight="1" spans="1:20">
      <c r="A171" s="6" t="s">
        <v>636</v>
      </c>
      <c r="B171" s="6" t="s">
        <v>736</v>
      </c>
      <c r="C171" s="6" t="s">
        <v>35</v>
      </c>
      <c r="D171" s="6" t="s">
        <v>737</v>
      </c>
      <c r="E171" s="6" t="s">
        <v>654</v>
      </c>
      <c r="F171" s="7" t="s">
        <v>738</v>
      </c>
      <c r="G171" s="7" t="s">
        <v>656</v>
      </c>
      <c r="H171" s="7" t="s">
        <v>739</v>
      </c>
      <c r="I171" s="7" t="s">
        <v>740</v>
      </c>
      <c r="J171" s="6" t="s">
        <v>33</v>
      </c>
      <c r="K171" s="12">
        <v>2350000</v>
      </c>
      <c r="L171" s="13">
        <v>2500000</v>
      </c>
      <c r="M171" s="14">
        <v>2700000</v>
      </c>
      <c r="N171" s="9">
        <f t="shared" si="6"/>
        <v>2970000</v>
      </c>
      <c r="O171" s="6">
        <v>56</v>
      </c>
      <c r="P171" s="6">
        <v>43.2</v>
      </c>
      <c r="Q171" s="6" t="s">
        <v>99</v>
      </c>
      <c r="R171" s="6">
        <v>52</v>
      </c>
      <c r="S171" s="6">
        <v>45.6</v>
      </c>
      <c r="T171" s="6">
        <v>12</v>
      </c>
    </row>
    <row r="172" ht="85.5" customHeight="1" spans="1:20">
      <c r="A172" s="10" t="s">
        <v>636</v>
      </c>
      <c r="B172" s="10" t="s">
        <v>741</v>
      </c>
      <c r="C172" s="10" t="s">
        <v>85</v>
      </c>
      <c r="D172" s="10" t="s">
        <v>582</v>
      </c>
      <c r="E172" s="10" t="s">
        <v>727</v>
      </c>
      <c r="F172" s="11" t="s">
        <v>742</v>
      </c>
      <c r="G172" s="11"/>
      <c r="H172" s="11" t="s">
        <v>743</v>
      </c>
      <c r="I172" s="11"/>
      <c r="J172" s="10" t="s">
        <v>33</v>
      </c>
      <c r="K172" s="12">
        <v>3350000</v>
      </c>
      <c r="L172" s="13">
        <v>3600000</v>
      </c>
      <c r="M172" s="14">
        <v>3800000</v>
      </c>
      <c r="N172" s="9">
        <f t="shared" si="6"/>
        <v>4180000</v>
      </c>
      <c r="O172" s="10">
        <v>75</v>
      </c>
      <c r="P172" s="10">
        <v>50.5</v>
      </c>
      <c r="Q172" s="10" t="s">
        <v>99</v>
      </c>
      <c r="R172" s="10">
        <v>64.8</v>
      </c>
      <c r="S172" s="10">
        <v>53</v>
      </c>
      <c r="T172" s="10">
        <v>11</v>
      </c>
    </row>
    <row r="173" ht="28.5" customHeight="1" spans="1:20">
      <c r="A173" s="6" t="s">
        <v>636</v>
      </c>
      <c r="B173" s="6" t="s">
        <v>744</v>
      </c>
      <c r="C173" s="6" t="s">
        <v>85</v>
      </c>
      <c r="D173" s="6" t="s">
        <v>582</v>
      </c>
      <c r="E173" s="6" t="s">
        <v>727</v>
      </c>
      <c r="F173" s="7" t="s">
        <v>745</v>
      </c>
      <c r="G173" s="7" t="s">
        <v>746</v>
      </c>
      <c r="H173" s="7" t="s">
        <v>747</v>
      </c>
      <c r="I173" s="7"/>
      <c r="J173" s="6" t="s">
        <v>33</v>
      </c>
      <c r="K173" s="12">
        <v>3850000</v>
      </c>
      <c r="L173" s="13">
        <v>4100000</v>
      </c>
      <c r="M173" s="14">
        <v>4350000</v>
      </c>
      <c r="N173" s="9">
        <f t="shared" si="6"/>
        <v>4785000</v>
      </c>
      <c r="O173" s="6">
        <v>75.4</v>
      </c>
      <c r="P173" s="6">
        <v>53</v>
      </c>
      <c r="Q173" s="6" t="s">
        <v>99</v>
      </c>
      <c r="R173" s="6">
        <v>68.4</v>
      </c>
      <c r="S173" s="6">
        <v>62</v>
      </c>
      <c r="T173" s="6">
        <v>11</v>
      </c>
    </row>
    <row r="174" ht="42.75" customHeight="1" spans="1:20">
      <c r="A174" s="10" t="s">
        <v>636</v>
      </c>
      <c r="B174" s="10" t="s">
        <v>748</v>
      </c>
      <c r="C174" s="10" t="s">
        <v>85</v>
      </c>
      <c r="D174" s="10" t="s">
        <v>678</v>
      </c>
      <c r="E174" s="10" t="s">
        <v>683</v>
      </c>
      <c r="F174" s="11" t="s">
        <v>749</v>
      </c>
      <c r="G174" s="11" t="s">
        <v>750</v>
      </c>
      <c r="H174" s="11" t="s">
        <v>751</v>
      </c>
      <c r="I174" s="11"/>
      <c r="J174" s="10" t="s">
        <v>33</v>
      </c>
      <c r="K174" s="12">
        <v>3000000</v>
      </c>
      <c r="L174" s="13">
        <v>3200000</v>
      </c>
      <c r="M174" s="14">
        <v>3400000</v>
      </c>
      <c r="N174" s="9">
        <f t="shared" si="6"/>
        <v>3740000</v>
      </c>
      <c r="O174" s="10"/>
      <c r="P174" s="10"/>
      <c r="Q174" s="10"/>
      <c r="R174" s="10"/>
      <c r="S174" s="10"/>
      <c r="T174" s="10"/>
    </row>
    <row r="175" ht="86.25" customHeight="1" spans="1:20">
      <c r="A175" s="5" t="s">
        <v>752</v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ht="21.75" customHeight="1" spans="1:20">
      <c r="A176" s="6" t="s">
        <v>753</v>
      </c>
      <c r="B176" s="6" t="s">
        <v>754</v>
      </c>
      <c r="C176" s="6" t="s">
        <v>190</v>
      </c>
      <c r="D176" s="6" t="s">
        <v>196</v>
      </c>
      <c r="E176" s="6" t="s">
        <v>755</v>
      </c>
      <c r="F176" s="7" t="s">
        <v>756</v>
      </c>
      <c r="G176" s="7" t="s">
        <v>757</v>
      </c>
      <c r="H176" s="7"/>
      <c r="I176" s="7"/>
      <c r="J176" s="6" t="s">
        <v>29</v>
      </c>
      <c r="K176" s="12">
        <v>4050000</v>
      </c>
      <c r="L176" s="13">
        <v>4300000</v>
      </c>
      <c r="M176" s="14">
        <v>4600000</v>
      </c>
      <c r="N176" s="9">
        <f t="shared" ref="N176:N184" si="7">IF($M176="","",ROUND($M176*1.1,0))</f>
        <v>5060000</v>
      </c>
      <c r="O176" s="6">
        <v>99</v>
      </c>
      <c r="P176" s="6">
        <v>63</v>
      </c>
      <c r="Q176" s="6" t="s">
        <v>65</v>
      </c>
      <c r="R176" s="6">
        <v>86</v>
      </c>
      <c r="S176" s="6">
        <v>72</v>
      </c>
      <c r="T176" s="6">
        <v>12</v>
      </c>
    </row>
    <row r="177" ht="99.75" customHeight="1" spans="1:20">
      <c r="A177" s="10" t="s">
        <v>753</v>
      </c>
      <c r="B177" s="10" t="s">
        <v>758</v>
      </c>
      <c r="C177" s="10" t="s">
        <v>190</v>
      </c>
      <c r="D177" s="10" t="s">
        <v>759</v>
      </c>
      <c r="E177" s="10" t="s">
        <v>755</v>
      </c>
      <c r="F177" s="11" t="s">
        <v>760</v>
      </c>
      <c r="G177" s="11" t="s">
        <v>178</v>
      </c>
      <c r="H177" s="11"/>
      <c r="I177" s="11"/>
      <c r="J177" s="10" t="s">
        <v>29</v>
      </c>
      <c r="K177" s="12">
        <v>3800000</v>
      </c>
      <c r="L177" s="13">
        <v>4000000</v>
      </c>
      <c r="M177" s="14">
        <v>4200000</v>
      </c>
      <c r="N177" s="9">
        <f t="shared" si="7"/>
        <v>4620000</v>
      </c>
      <c r="O177" s="10">
        <v>99</v>
      </c>
      <c r="P177" s="10">
        <v>63</v>
      </c>
      <c r="Q177" s="10" t="s">
        <v>65</v>
      </c>
      <c r="R177" s="10">
        <v>86</v>
      </c>
      <c r="S177" s="10">
        <v>72</v>
      </c>
      <c r="T177" s="10">
        <v>12</v>
      </c>
    </row>
    <row r="178" ht="28.5" customHeight="1" spans="1:20">
      <c r="A178" s="6" t="s">
        <v>753</v>
      </c>
      <c r="B178" s="6" t="s">
        <v>761</v>
      </c>
      <c r="C178" s="6" t="s">
        <v>25</v>
      </c>
      <c r="D178" s="6" t="s">
        <v>762</v>
      </c>
      <c r="E178" s="6" t="s">
        <v>755</v>
      </c>
      <c r="F178" s="7" t="s">
        <v>763</v>
      </c>
      <c r="G178" s="7"/>
      <c r="H178" s="7"/>
      <c r="I178" s="7"/>
      <c r="J178" s="6" t="s">
        <v>29</v>
      </c>
      <c r="K178" s="8"/>
      <c r="L178" s="8"/>
      <c r="M178" s="8"/>
      <c r="N178" s="9" t="str">
        <f t="shared" si="7"/>
        <v/>
      </c>
      <c r="O178" s="6"/>
      <c r="P178" s="6"/>
      <c r="Q178" s="6"/>
      <c r="R178" s="6"/>
      <c r="S178" s="6"/>
      <c r="T178" s="6"/>
    </row>
    <row r="179" ht="42.75" customHeight="1" spans="1:20">
      <c r="A179" s="10" t="s">
        <v>753</v>
      </c>
      <c r="B179" s="10" t="s">
        <v>764</v>
      </c>
      <c r="C179" s="10" t="s">
        <v>61</v>
      </c>
      <c r="D179" s="10" t="s">
        <v>765</v>
      </c>
      <c r="E179" s="10" t="s">
        <v>766</v>
      </c>
      <c r="F179" s="11" t="s">
        <v>767</v>
      </c>
      <c r="G179" s="11" t="s">
        <v>768</v>
      </c>
      <c r="H179" s="11"/>
      <c r="I179" s="11"/>
      <c r="J179" s="10" t="s">
        <v>47</v>
      </c>
      <c r="K179" s="12">
        <v>3050000</v>
      </c>
      <c r="L179" s="13">
        <v>3250000</v>
      </c>
      <c r="M179" s="14">
        <v>3450000</v>
      </c>
      <c r="N179" s="9">
        <f t="shared" si="7"/>
        <v>3795000</v>
      </c>
      <c r="O179" s="10"/>
      <c r="P179" s="10"/>
      <c r="Q179" s="10"/>
      <c r="R179" s="10"/>
      <c r="S179" s="10"/>
      <c r="T179" s="10"/>
    </row>
    <row r="180" ht="42.75" customHeight="1" spans="1:20">
      <c r="A180" s="6" t="s">
        <v>753</v>
      </c>
      <c r="B180" s="6" t="s">
        <v>769</v>
      </c>
      <c r="C180" s="6" t="s">
        <v>61</v>
      </c>
      <c r="D180" s="6" t="s">
        <v>770</v>
      </c>
      <c r="E180" s="6" t="s">
        <v>755</v>
      </c>
      <c r="F180" s="7" t="s">
        <v>771</v>
      </c>
      <c r="G180" s="7"/>
      <c r="H180" s="7"/>
      <c r="I180" s="7"/>
      <c r="J180" s="6" t="s">
        <v>59</v>
      </c>
      <c r="K180" s="8"/>
      <c r="L180" s="8"/>
      <c r="M180" s="8"/>
      <c r="N180" s="9" t="str">
        <f t="shared" si="7"/>
        <v/>
      </c>
      <c r="O180" s="6"/>
      <c r="P180" s="6"/>
      <c r="Q180" s="6"/>
      <c r="R180" s="6"/>
      <c r="S180" s="6"/>
      <c r="T180" s="6"/>
    </row>
    <row r="181" customHeight="1" spans="1:20">
      <c r="A181" s="10" t="s">
        <v>753</v>
      </c>
      <c r="B181" s="10" t="s">
        <v>772</v>
      </c>
      <c r="C181" s="10" t="s">
        <v>25</v>
      </c>
      <c r="D181" s="10" t="s">
        <v>773</v>
      </c>
      <c r="E181" s="10" t="s">
        <v>774</v>
      </c>
      <c r="F181" s="11" t="s">
        <v>775</v>
      </c>
      <c r="G181" s="11"/>
      <c r="H181" s="11" t="s">
        <v>776</v>
      </c>
      <c r="I181" s="11"/>
      <c r="J181" s="10" t="s">
        <v>129</v>
      </c>
      <c r="K181" s="12">
        <v>3900000</v>
      </c>
      <c r="L181" s="13">
        <v>4200000</v>
      </c>
      <c r="M181" s="14">
        <v>4500000</v>
      </c>
      <c r="N181" s="9">
        <f t="shared" si="7"/>
        <v>4950000</v>
      </c>
      <c r="O181" s="10"/>
      <c r="P181" s="10"/>
      <c r="Q181" s="10"/>
      <c r="R181" s="10"/>
      <c r="S181" s="10"/>
      <c r="T181" s="10"/>
    </row>
    <row r="182" ht="28.5" customHeight="1" spans="1:20">
      <c r="A182" s="6" t="s">
        <v>753</v>
      </c>
      <c r="B182" s="6" t="s">
        <v>777</v>
      </c>
      <c r="C182" s="6" t="s">
        <v>61</v>
      </c>
      <c r="D182" s="6" t="s">
        <v>778</v>
      </c>
      <c r="E182" s="6" t="s">
        <v>779</v>
      </c>
      <c r="F182" s="7" t="s">
        <v>780</v>
      </c>
      <c r="G182" s="7"/>
      <c r="H182" s="7"/>
      <c r="I182" s="7"/>
      <c r="J182" s="6" t="s">
        <v>129</v>
      </c>
      <c r="K182" s="8"/>
      <c r="L182" s="8"/>
      <c r="M182" s="8"/>
      <c r="N182" s="9" t="str">
        <f t="shared" si="7"/>
        <v/>
      </c>
      <c r="O182" s="6"/>
      <c r="P182" s="6"/>
      <c r="Q182" s="6"/>
      <c r="R182" s="6"/>
      <c r="S182" s="6"/>
      <c r="T182" s="6"/>
    </row>
    <row r="183" ht="27.75" customHeight="1" spans="1:20">
      <c r="A183" s="10" t="s">
        <v>781</v>
      </c>
      <c r="B183" s="10" t="s">
        <v>782</v>
      </c>
      <c r="C183" s="10" t="s">
        <v>61</v>
      </c>
      <c r="D183" s="10" t="s">
        <v>778</v>
      </c>
      <c r="E183" s="10" t="s">
        <v>779</v>
      </c>
      <c r="F183" s="11" t="s">
        <v>780</v>
      </c>
      <c r="G183" s="11"/>
      <c r="H183" s="11"/>
      <c r="I183" s="11"/>
      <c r="J183" s="10" t="s">
        <v>59</v>
      </c>
      <c r="K183" s="12">
        <v>3300000</v>
      </c>
      <c r="L183" s="13">
        <v>3500000</v>
      </c>
      <c r="M183" s="14">
        <v>3800000</v>
      </c>
      <c r="N183" s="9">
        <f t="shared" si="7"/>
        <v>4180000</v>
      </c>
      <c r="O183" s="10"/>
      <c r="P183" s="10"/>
      <c r="Q183" s="10"/>
      <c r="R183" s="10"/>
      <c r="S183" s="10"/>
      <c r="T183" s="10"/>
    </row>
    <row r="184" ht="27.75" customHeight="1" spans="1:20">
      <c r="A184" s="6" t="s">
        <v>753</v>
      </c>
      <c r="B184" s="6" t="s">
        <v>783</v>
      </c>
      <c r="C184" s="6" t="s">
        <v>190</v>
      </c>
      <c r="D184" s="6" t="s">
        <v>784</v>
      </c>
      <c r="E184" s="6" t="s">
        <v>785</v>
      </c>
      <c r="F184" s="7" t="s">
        <v>786</v>
      </c>
      <c r="G184" s="7"/>
      <c r="H184" s="7" t="s">
        <v>787</v>
      </c>
      <c r="I184" s="7"/>
      <c r="J184" s="6" t="s">
        <v>129</v>
      </c>
      <c r="K184" s="12">
        <v>6250000</v>
      </c>
      <c r="L184" s="13">
        <v>6670000</v>
      </c>
      <c r="M184" s="14">
        <v>7100000</v>
      </c>
      <c r="N184" s="9">
        <f t="shared" si="7"/>
        <v>7810000</v>
      </c>
      <c r="O184" s="6"/>
      <c r="P184" s="6"/>
      <c r="Q184" s="6"/>
      <c r="R184" s="6"/>
      <c r="S184" s="6"/>
      <c r="T184" s="6"/>
    </row>
    <row r="185" ht="29.25" customHeight="1" spans="1:20">
      <c r="A185" s="5" t="s">
        <v>788</v>
      </c>
      <c r="B185" s="5"/>
      <c r="C185" s="5"/>
      <c r="D185" s="5"/>
      <c r="E185" s="5"/>
      <c r="F185" s="5"/>
      <c r="G185" s="5"/>
      <c r="H185" s="5"/>
      <c r="I185" s="5"/>
      <c r="J185" s="5"/>
      <c r="K185" s="20"/>
      <c r="L185" s="20"/>
      <c r="M185" s="20"/>
      <c r="N185" s="20"/>
      <c r="O185" s="5"/>
      <c r="P185" s="5"/>
      <c r="Q185" s="5"/>
      <c r="R185" s="5"/>
      <c r="S185" s="5"/>
      <c r="T185" s="5"/>
    </row>
    <row r="186" ht="21.75" customHeight="1" spans="1:20">
      <c r="A186" s="6" t="s">
        <v>789</v>
      </c>
      <c r="B186" s="6" t="s">
        <v>790</v>
      </c>
      <c r="C186" s="6" t="s">
        <v>35</v>
      </c>
      <c r="D186" s="6" t="s">
        <v>791</v>
      </c>
      <c r="E186" s="6" t="s">
        <v>792</v>
      </c>
      <c r="F186" s="7" t="s">
        <v>793</v>
      </c>
      <c r="G186" s="7"/>
      <c r="H186" s="7"/>
      <c r="I186" s="7"/>
      <c r="J186" s="6" t="s">
        <v>149</v>
      </c>
      <c r="K186" s="12">
        <v>4200000</v>
      </c>
      <c r="L186" s="13">
        <v>4400000</v>
      </c>
      <c r="M186" s="14">
        <v>4700000</v>
      </c>
      <c r="N186" s="9">
        <f t="shared" ref="N186:N244" si="8">IF($M186="","",ROUND($M186*1.1,0))</f>
        <v>5170000</v>
      </c>
      <c r="O186" s="6"/>
      <c r="P186" s="6"/>
      <c r="Q186" s="6"/>
      <c r="R186" s="6"/>
      <c r="S186" s="6"/>
      <c r="T186" s="6"/>
    </row>
    <row r="187" ht="28.5" customHeight="1" spans="1:20">
      <c r="A187" s="10" t="s">
        <v>789</v>
      </c>
      <c r="B187" s="10" t="s">
        <v>794</v>
      </c>
      <c r="C187" s="10" t="s">
        <v>35</v>
      </c>
      <c r="D187" s="10" t="s">
        <v>795</v>
      </c>
      <c r="E187" s="10" t="s">
        <v>796</v>
      </c>
      <c r="F187" s="11" t="s">
        <v>797</v>
      </c>
      <c r="G187" s="11" t="s">
        <v>798</v>
      </c>
      <c r="H187" s="11" t="s">
        <v>799</v>
      </c>
      <c r="I187" s="11" t="s">
        <v>800</v>
      </c>
      <c r="J187" s="10" t="s">
        <v>129</v>
      </c>
      <c r="K187" s="12">
        <v>3150000</v>
      </c>
      <c r="L187" s="13">
        <v>3350000</v>
      </c>
      <c r="M187" s="14">
        <v>3550000</v>
      </c>
      <c r="N187" s="9">
        <f t="shared" si="8"/>
        <v>3905000</v>
      </c>
      <c r="O187" s="10"/>
      <c r="P187" s="10"/>
      <c r="Q187" s="10"/>
      <c r="R187" s="10"/>
      <c r="S187" s="10"/>
      <c r="T187" s="10"/>
    </row>
    <row r="188" ht="42.75" customHeight="1" spans="1:20">
      <c r="A188" s="6" t="s">
        <v>789</v>
      </c>
      <c r="B188" s="6" t="s">
        <v>801</v>
      </c>
      <c r="C188" s="6" t="s">
        <v>35</v>
      </c>
      <c r="D188" s="6" t="s">
        <v>795</v>
      </c>
      <c r="E188" s="6" t="s">
        <v>802</v>
      </c>
      <c r="F188" s="7" t="s">
        <v>803</v>
      </c>
      <c r="G188" s="7" t="s">
        <v>798</v>
      </c>
      <c r="H188" s="7" t="s">
        <v>799</v>
      </c>
      <c r="I188" s="7" t="s">
        <v>800</v>
      </c>
      <c r="J188" s="6" t="s">
        <v>129</v>
      </c>
      <c r="K188" s="12">
        <v>3150000</v>
      </c>
      <c r="L188" s="13">
        <v>3350000</v>
      </c>
      <c r="M188" s="14">
        <v>3550000</v>
      </c>
      <c r="N188" s="9">
        <f t="shared" si="8"/>
        <v>3905000</v>
      </c>
      <c r="O188" s="6"/>
      <c r="P188" s="6"/>
      <c r="Q188" s="6"/>
      <c r="R188" s="6"/>
      <c r="S188" s="6"/>
      <c r="T188" s="6"/>
    </row>
    <row r="189" ht="42.75" customHeight="1" spans="1:20">
      <c r="A189" s="10" t="s">
        <v>789</v>
      </c>
      <c r="B189" s="10" t="s">
        <v>804</v>
      </c>
      <c r="C189" s="10" t="s">
        <v>35</v>
      </c>
      <c r="D189" s="10" t="s">
        <v>805</v>
      </c>
      <c r="E189" s="10" t="s">
        <v>806</v>
      </c>
      <c r="F189" s="11" t="s">
        <v>807</v>
      </c>
      <c r="G189" s="11"/>
      <c r="H189" s="11"/>
      <c r="I189" s="11"/>
      <c r="J189" s="10" t="s">
        <v>29</v>
      </c>
      <c r="K189" s="12">
        <v>2400000</v>
      </c>
      <c r="L189" s="13">
        <v>2500000</v>
      </c>
      <c r="M189" s="14">
        <v>2600000</v>
      </c>
      <c r="N189" s="9">
        <f t="shared" si="8"/>
        <v>2860000</v>
      </c>
      <c r="O189" s="10">
        <v>49</v>
      </c>
      <c r="P189" s="10">
        <v>37.8</v>
      </c>
      <c r="Q189" s="10" t="s">
        <v>99</v>
      </c>
      <c r="R189" s="10">
        <v>43.1</v>
      </c>
      <c r="S189" s="10">
        <v>36</v>
      </c>
      <c r="T189" s="10">
        <v>11</v>
      </c>
    </row>
    <row r="190" ht="57" customHeight="1" spans="1:20">
      <c r="A190" s="6" t="s">
        <v>789</v>
      </c>
      <c r="B190" s="6" t="s">
        <v>808</v>
      </c>
      <c r="C190" s="6" t="s">
        <v>35</v>
      </c>
      <c r="D190" s="6" t="s">
        <v>809</v>
      </c>
      <c r="E190" s="6"/>
      <c r="F190" s="7" t="s">
        <v>810</v>
      </c>
      <c r="G190" s="7" t="s">
        <v>811</v>
      </c>
      <c r="H190" s="7" t="s">
        <v>812</v>
      </c>
      <c r="I190" s="7"/>
      <c r="J190" s="6" t="s">
        <v>29</v>
      </c>
      <c r="K190" s="8"/>
      <c r="L190" s="8"/>
      <c r="M190" s="8"/>
      <c r="N190" s="9" t="str">
        <f t="shared" si="8"/>
        <v/>
      </c>
      <c r="O190" s="6">
        <v>51</v>
      </c>
      <c r="P190" s="6">
        <v>38.3</v>
      </c>
      <c r="Q190" s="6" t="s">
        <v>99</v>
      </c>
      <c r="R190" s="6">
        <v>43.1</v>
      </c>
      <c r="S190" s="6">
        <v>36</v>
      </c>
      <c r="T190" s="6">
        <v>11</v>
      </c>
    </row>
    <row r="191" ht="41.25" customHeight="1" spans="1:20">
      <c r="A191" s="10" t="s">
        <v>789</v>
      </c>
      <c r="B191" s="10" t="s">
        <v>813</v>
      </c>
      <c r="C191" s="10" t="s">
        <v>35</v>
      </c>
      <c r="D191" s="10" t="s">
        <v>169</v>
      </c>
      <c r="E191" s="10" t="s">
        <v>814</v>
      </c>
      <c r="F191" s="11" t="s">
        <v>815</v>
      </c>
      <c r="G191" s="11" t="s">
        <v>811</v>
      </c>
      <c r="H191" s="11" t="s">
        <v>816</v>
      </c>
      <c r="I191" s="11"/>
      <c r="J191" s="10" t="s">
        <v>29</v>
      </c>
      <c r="K191" s="12">
        <v>2750000</v>
      </c>
      <c r="L191" s="13">
        <v>2900000</v>
      </c>
      <c r="M191" s="14">
        <v>3100000</v>
      </c>
      <c r="N191" s="9">
        <f t="shared" si="8"/>
        <v>3410000</v>
      </c>
      <c r="O191" s="10">
        <v>49</v>
      </c>
      <c r="P191" s="10">
        <v>35.5</v>
      </c>
      <c r="Q191" s="10" t="s">
        <v>99</v>
      </c>
      <c r="R191" s="10">
        <v>43.1</v>
      </c>
      <c r="S191" s="10">
        <v>36</v>
      </c>
      <c r="T191" s="10">
        <v>11</v>
      </c>
    </row>
    <row r="192" ht="28.5" customHeight="1" spans="1:20">
      <c r="A192" s="6" t="s">
        <v>789</v>
      </c>
      <c r="B192" s="6" t="s">
        <v>817</v>
      </c>
      <c r="C192" s="6" t="s">
        <v>35</v>
      </c>
      <c r="D192" s="6" t="s">
        <v>169</v>
      </c>
      <c r="E192" s="6" t="s">
        <v>818</v>
      </c>
      <c r="F192" s="7" t="s">
        <v>819</v>
      </c>
      <c r="G192" s="7"/>
      <c r="H192" s="7" t="s">
        <v>820</v>
      </c>
      <c r="I192" s="7"/>
      <c r="J192" s="6" t="s">
        <v>29</v>
      </c>
      <c r="K192" s="12">
        <v>4150000</v>
      </c>
      <c r="L192" s="13">
        <v>4400000</v>
      </c>
      <c r="M192" s="14">
        <v>4550000</v>
      </c>
      <c r="N192" s="9">
        <f t="shared" si="8"/>
        <v>5005000</v>
      </c>
      <c r="O192" s="6">
        <v>51</v>
      </c>
      <c r="P192" s="6">
        <v>36.4</v>
      </c>
      <c r="Q192" s="6" t="s">
        <v>99</v>
      </c>
      <c r="R192" s="6">
        <v>43.2</v>
      </c>
      <c r="S192" s="6">
        <v>37.7</v>
      </c>
      <c r="T192" s="6">
        <v>11</v>
      </c>
    </row>
    <row r="193" ht="57" customHeight="1" spans="1:20">
      <c r="A193" s="10" t="s">
        <v>789</v>
      </c>
      <c r="B193" s="10" t="s">
        <v>821</v>
      </c>
      <c r="C193" s="10" t="s">
        <v>35</v>
      </c>
      <c r="D193" s="10" t="s">
        <v>822</v>
      </c>
      <c r="E193" s="10" t="s">
        <v>823</v>
      </c>
      <c r="F193" s="11" t="s">
        <v>824</v>
      </c>
      <c r="G193" s="11"/>
      <c r="H193" s="11"/>
      <c r="I193" s="11"/>
      <c r="J193" s="10" t="s">
        <v>129</v>
      </c>
      <c r="K193" s="12">
        <v>3100000</v>
      </c>
      <c r="L193" s="13">
        <v>3300000</v>
      </c>
      <c r="M193" s="14">
        <v>3500000</v>
      </c>
      <c r="N193" s="9">
        <f t="shared" si="8"/>
        <v>3850000</v>
      </c>
      <c r="O193" s="10">
        <v>92</v>
      </c>
      <c r="P193" s="10">
        <v>66.8</v>
      </c>
      <c r="Q193" s="10" t="s">
        <v>65</v>
      </c>
      <c r="R193" s="10">
        <v>90</v>
      </c>
      <c r="S193" s="10">
        <v>79</v>
      </c>
      <c r="T193" s="10">
        <v>12</v>
      </c>
    </row>
    <row r="194" ht="28.5" customHeight="1" spans="1:20">
      <c r="A194" s="6" t="s">
        <v>825</v>
      </c>
      <c r="B194" s="6" t="s">
        <v>826</v>
      </c>
      <c r="C194" s="6" t="s">
        <v>35</v>
      </c>
      <c r="D194" s="6" t="s">
        <v>822</v>
      </c>
      <c r="E194" s="6" t="s">
        <v>823</v>
      </c>
      <c r="F194" s="7" t="s">
        <v>824</v>
      </c>
      <c r="G194" s="7"/>
      <c r="H194" s="7"/>
      <c r="I194" s="7"/>
      <c r="J194" s="6" t="s">
        <v>29</v>
      </c>
      <c r="K194" s="12">
        <v>4100000</v>
      </c>
      <c r="L194" s="13">
        <v>4200000</v>
      </c>
      <c r="M194" s="14">
        <v>4500000</v>
      </c>
      <c r="N194" s="9">
        <f t="shared" si="8"/>
        <v>4950000</v>
      </c>
      <c r="O194" s="6">
        <v>92</v>
      </c>
      <c r="P194" s="6">
        <v>66.8</v>
      </c>
      <c r="Q194" s="6" t="s">
        <v>65</v>
      </c>
      <c r="R194" s="6">
        <v>90</v>
      </c>
      <c r="S194" s="6">
        <v>79</v>
      </c>
      <c r="T194" s="6">
        <v>12</v>
      </c>
    </row>
    <row r="195" ht="28.5" customHeight="1" spans="1:20">
      <c r="A195" s="10" t="s">
        <v>789</v>
      </c>
      <c r="B195" s="10" t="s">
        <v>827</v>
      </c>
      <c r="C195" s="10" t="s">
        <v>35</v>
      </c>
      <c r="D195" s="10" t="s">
        <v>828</v>
      </c>
      <c r="E195" s="10" t="s">
        <v>829</v>
      </c>
      <c r="F195" s="11" t="s">
        <v>830</v>
      </c>
      <c r="G195" s="11"/>
      <c r="H195" s="11"/>
      <c r="I195" s="11"/>
      <c r="J195" s="10" t="s">
        <v>47</v>
      </c>
      <c r="K195" s="8"/>
      <c r="L195" s="8"/>
      <c r="M195" s="8"/>
      <c r="N195" s="9" t="str">
        <f t="shared" si="8"/>
        <v/>
      </c>
      <c r="O195" s="10">
        <v>60</v>
      </c>
      <c r="P195" s="10">
        <v>44.5</v>
      </c>
      <c r="Q195" s="10" t="s">
        <v>99</v>
      </c>
      <c r="R195" s="10">
        <v>56</v>
      </c>
      <c r="S195" s="10">
        <v>49</v>
      </c>
      <c r="T195" s="10">
        <v>12</v>
      </c>
    </row>
    <row r="196" ht="57" customHeight="1" spans="1:20">
      <c r="A196" s="6" t="s">
        <v>789</v>
      </c>
      <c r="B196" s="6" t="s">
        <v>831</v>
      </c>
      <c r="C196" s="6" t="s">
        <v>35</v>
      </c>
      <c r="D196" s="6" t="s">
        <v>832</v>
      </c>
      <c r="E196" s="6" t="s">
        <v>833</v>
      </c>
      <c r="F196" s="7" t="s">
        <v>834</v>
      </c>
      <c r="G196" s="7" t="s">
        <v>835</v>
      </c>
      <c r="H196" s="7" t="s">
        <v>836</v>
      </c>
      <c r="I196" s="7"/>
      <c r="J196" s="6" t="s">
        <v>29</v>
      </c>
      <c r="K196" s="12">
        <v>2500000</v>
      </c>
      <c r="L196" s="13">
        <v>2650000</v>
      </c>
      <c r="M196" s="14">
        <v>2800000</v>
      </c>
      <c r="N196" s="9">
        <f t="shared" si="8"/>
        <v>3080000</v>
      </c>
      <c r="O196" s="6">
        <v>60</v>
      </c>
      <c r="P196" s="6">
        <v>44.5</v>
      </c>
      <c r="Q196" s="6" t="s">
        <v>99</v>
      </c>
      <c r="R196" s="6">
        <v>56</v>
      </c>
      <c r="S196" s="6">
        <v>49</v>
      </c>
      <c r="T196" s="6">
        <v>12</v>
      </c>
    </row>
    <row r="197" ht="156.75" customHeight="1" spans="1:20">
      <c r="A197" s="10" t="s">
        <v>789</v>
      </c>
      <c r="B197" s="10" t="s">
        <v>837</v>
      </c>
      <c r="C197" s="10" t="s">
        <v>35</v>
      </c>
      <c r="D197" s="10" t="s">
        <v>838</v>
      </c>
      <c r="E197" s="10" t="s">
        <v>839</v>
      </c>
      <c r="F197" s="11" t="s">
        <v>840</v>
      </c>
      <c r="G197" s="11"/>
      <c r="H197" s="11" t="s">
        <v>841</v>
      </c>
      <c r="I197" s="11"/>
      <c r="J197" s="10" t="s">
        <v>29</v>
      </c>
      <c r="K197" s="8"/>
      <c r="L197" s="8"/>
      <c r="M197" s="8"/>
      <c r="N197" s="9" t="str">
        <f t="shared" si="8"/>
        <v/>
      </c>
      <c r="O197" s="10">
        <v>56</v>
      </c>
      <c r="P197" s="10">
        <v>40.8</v>
      </c>
      <c r="Q197" s="10" t="s">
        <v>65</v>
      </c>
      <c r="R197" s="10">
        <v>52</v>
      </c>
      <c r="S197" s="10">
        <v>45.6</v>
      </c>
      <c r="T197" s="10">
        <v>12</v>
      </c>
    </row>
    <row r="198" ht="71.25" customHeight="1" spans="1:20">
      <c r="A198" s="6" t="s">
        <v>789</v>
      </c>
      <c r="B198" s="6" t="s">
        <v>842</v>
      </c>
      <c r="C198" s="6" t="s">
        <v>35</v>
      </c>
      <c r="D198" s="6" t="s">
        <v>838</v>
      </c>
      <c r="E198" s="6" t="s">
        <v>843</v>
      </c>
      <c r="F198" s="7" t="s">
        <v>844</v>
      </c>
      <c r="G198" s="7"/>
      <c r="H198" s="7" t="s">
        <v>845</v>
      </c>
      <c r="I198" s="7" t="s">
        <v>846</v>
      </c>
      <c r="J198" s="6" t="s">
        <v>29</v>
      </c>
      <c r="K198" s="12">
        <v>2300000</v>
      </c>
      <c r="L198" s="13">
        <v>2400000</v>
      </c>
      <c r="M198" s="14">
        <v>2600000</v>
      </c>
      <c r="N198" s="9">
        <f t="shared" si="8"/>
        <v>2860000</v>
      </c>
      <c r="O198" s="6">
        <v>49</v>
      </c>
      <c r="P198" s="6">
        <v>37.8</v>
      </c>
      <c r="Q198" s="6" t="s">
        <v>99</v>
      </c>
      <c r="R198" s="6">
        <v>43.1</v>
      </c>
      <c r="S198" s="6">
        <v>36</v>
      </c>
      <c r="T198" s="6">
        <v>11</v>
      </c>
    </row>
    <row r="199" ht="28.5" customHeight="1" spans="1:20">
      <c r="A199" s="10" t="s">
        <v>789</v>
      </c>
      <c r="B199" s="10" t="s">
        <v>847</v>
      </c>
      <c r="C199" s="10" t="s">
        <v>35</v>
      </c>
      <c r="D199" s="10" t="s">
        <v>848</v>
      </c>
      <c r="E199" s="10" t="s">
        <v>849</v>
      </c>
      <c r="F199" s="11" t="s">
        <v>850</v>
      </c>
      <c r="G199" s="11" t="s">
        <v>811</v>
      </c>
      <c r="H199" s="11" t="s">
        <v>851</v>
      </c>
      <c r="I199" s="11"/>
      <c r="J199" s="10" t="s">
        <v>29</v>
      </c>
      <c r="K199" s="12">
        <v>2600000</v>
      </c>
      <c r="L199" s="13">
        <v>2780000</v>
      </c>
      <c r="M199" s="14">
        <v>2960000</v>
      </c>
      <c r="N199" s="9">
        <f t="shared" si="8"/>
        <v>3256000</v>
      </c>
      <c r="O199" s="10">
        <v>46</v>
      </c>
      <c r="P199" s="10">
        <v>35.6</v>
      </c>
      <c r="Q199" s="10" t="s">
        <v>99</v>
      </c>
      <c r="R199" s="10">
        <v>40.2</v>
      </c>
      <c r="S199" s="10">
        <v>35.1</v>
      </c>
      <c r="T199" s="10">
        <v>11</v>
      </c>
    </row>
    <row r="200" ht="57" customHeight="1" spans="1:20">
      <c r="A200" s="6" t="s">
        <v>825</v>
      </c>
      <c r="B200" s="6" t="s">
        <v>852</v>
      </c>
      <c r="C200" s="6" t="s">
        <v>35</v>
      </c>
      <c r="D200" s="6" t="s">
        <v>848</v>
      </c>
      <c r="E200" s="6" t="s">
        <v>849</v>
      </c>
      <c r="F200" s="7" t="s">
        <v>850</v>
      </c>
      <c r="G200" s="7" t="s">
        <v>811</v>
      </c>
      <c r="H200" s="7" t="s">
        <v>851</v>
      </c>
      <c r="I200" s="7"/>
      <c r="J200" s="6" t="s">
        <v>33</v>
      </c>
      <c r="K200" s="12">
        <v>2800000</v>
      </c>
      <c r="L200" s="13">
        <v>3000000</v>
      </c>
      <c r="M200" s="14">
        <v>3200000</v>
      </c>
      <c r="N200" s="9">
        <f t="shared" si="8"/>
        <v>3520000</v>
      </c>
      <c r="O200" s="6">
        <v>46</v>
      </c>
      <c r="P200" s="6">
        <v>35.6</v>
      </c>
      <c r="Q200" s="6" t="s">
        <v>99</v>
      </c>
      <c r="R200" s="6">
        <v>40.2</v>
      </c>
      <c r="S200" s="6">
        <v>35.1</v>
      </c>
      <c r="T200" s="6">
        <v>11</v>
      </c>
    </row>
    <row r="201" ht="57" customHeight="1" spans="1:20">
      <c r="A201" s="10" t="s">
        <v>789</v>
      </c>
      <c r="B201" s="10" t="s">
        <v>853</v>
      </c>
      <c r="C201" s="10" t="s">
        <v>35</v>
      </c>
      <c r="D201" s="10" t="s">
        <v>854</v>
      </c>
      <c r="E201" s="10" t="s">
        <v>849</v>
      </c>
      <c r="F201" s="11" t="s">
        <v>855</v>
      </c>
      <c r="G201" s="11"/>
      <c r="H201" s="11" t="s">
        <v>856</v>
      </c>
      <c r="I201" s="11"/>
      <c r="J201" s="10" t="s">
        <v>29</v>
      </c>
      <c r="K201" s="12">
        <v>2600000</v>
      </c>
      <c r="L201" s="13">
        <v>2750000</v>
      </c>
      <c r="M201" s="14">
        <v>2950000</v>
      </c>
      <c r="N201" s="9">
        <f t="shared" si="8"/>
        <v>3245000</v>
      </c>
      <c r="O201" s="10">
        <v>46</v>
      </c>
      <c r="P201" s="10">
        <v>35.6</v>
      </c>
      <c r="Q201" s="10" t="s">
        <v>99</v>
      </c>
      <c r="R201" s="10">
        <v>40.2</v>
      </c>
      <c r="S201" s="10">
        <v>35.1</v>
      </c>
      <c r="T201" s="10">
        <v>11</v>
      </c>
    </row>
    <row r="202" ht="27.75" customHeight="1" spans="1:20">
      <c r="A202" s="6" t="s">
        <v>789</v>
      </c>
      <c r="B202" s="6" t="s">
        <v>857</v>
      </c>
      <c r="C202" s="6" t="s">
        <v>61</v>
      </c>
      <c r="D202" s="6" t="s">
        <v>858</v>
      </c>
      <c r="E202" s="6" t="s">
        <v>849</v>
      </c>
      <c r="F202" s="7" t="s">
        <v>859</v>
      </c>
      <c r="G202" s="7"/>
      <c r="H202" s="7" t="s">
        <v>860</v>
      </c>
      <c r="I202" s="7"/>
      <c r="J202" s="6" t="s">
        <v>29</v>
      </c>
      <c r="K202" s="12">
        <v>4700000</v>
      </c>
      <c r="L202" s="13">
        <v>4500000</v>
      </c>
      <c r="M202" s="14">
        <v>4300000</v>
      </c>
      <c r="N202" s="9">
        <f t="shared" si="8"/>
        <v>4730000</v>
      </c>
      <c r="O202" s="6">
        <v>52.8</v>
      </c>
      <c r="P202" s="6">
        <v>36.7</v>
      </c>
      <c r="Q202" s="6" t="s">
        <v>99</v>
      </c>
      <c r="R202" s="6">
        <v>42.5</v>
      </c>
      <c r="S202" s="6">
        <v>37.8</v>
      </c>
      <c r="T202" s="6" t="s">
        <v>505</v>
      </c>
    </row>
    <row r="203" ht="85.5" customHeight="1" spans="1:20">
      <c r="A203" s="10" t="s">
        <v>789</v>
      </c>
      <c r="B203" s="10" t="s">
        <v>861</v>
      </c>
      <c r="C203" s="10" t="s">
        <v>85</v>
      </c>
      <c r="D203" s="10" t="s">
        <v>678</v>
      </c>
      <c r="E203" s="10" t="s">
        <v>862</v>
      </c>
      <c r="F203" s="11" t="s">
        <v>863</v>
      </c>
      <c r="G203" s="11"/>
      <c r="H203" s="11" t="s">
        <v>864</v>
      </c>
      <c r="I203" s="11" t="s">
        <v>865</v>
      </c>
      <c r="J203" s="10" t="s">
        <v>129</v>
      </c>
      <c r="K203" s="12">
        <v>2770000</v>
      </c>
      <c r="L203" s="13">
        <v>2950000</v>
      </c>
      <c r="M203" s="14">
        <v>3150000</v>
      </c>
      <c r="N203" s="9">
        <f t="shared" si="8"/>
        <v>3465000</v>
      </c>
      <c r="O203" s="10">
        <v>52.5</v>
      </c>
      <c r="P203" s="10">
        <v>39.2</v>
      </c>
      <c r="Q203" s="10" t="s">
        <v>99</v>
      </c>
      <c r="R203" s="10">
        <v>44.4</v>
      </c>
      <c r="S203" s="10">
        <v>37.6</v>
      </c>
      <c r="T203" s="10">
        <v>8</v>
      </c>
    </row>
    <row r="204" ht="42.75" customHeight="1" spans="1:20">
      <c r="A204" s="6" t="s">
        <v>789</v>
      </c>
      <c r="B204" s="6" t="s">
        <v>866</v>
      </c>
      <c r="C204" s="6" t="s">
        <v>25</v>
      </c>
      <c r="D204" s="6" t="s">
        <v>867</v>
      </c>
      <c r="E204" s="6" t="s">
        <v>849</v>
      </c>
      <c r="F204" s="7" t="s">
        <v>868</v>
      </c>
      <c r="G204" s="7" t="s">
        <v>869</v>
      </c>
      <c r="H204" s="7" t="s">
        <v>870</v>
      </c>
      <c r="I204" s="7"/>
      <c r="J204" s="6" t="s">
        <v>82</v>
      </c>
      <c r="K204" s="8"/>
      <c r="L204" s="8"/>
      <c r="M204" s="8"/>
      <c r="N204" s="9" t="str">
        <f t="shared" si="8"/>
        <v/>
      </c>
      <c r="O204" s="6"/>
      <c r="P204" s="6"/>
      <c r="Q204" s="6"/>
      <c r="R204" s="6"/>
      <c r="S204" s="6"/>
      <c r="T204" s="6"/>
    </row>
    <row r="205" ht="85.5" customHeight="1" spans="1:20">
      <c r="A205" s="10" t="s">
        <v>789</v>
      </c>
      <c r="B205" s="10" t="s">
        <v>871</v>
      </c>
      <c r="C205" s="10" t="s">
        <v>25</v>
      </c>
      <c r="D205" s="10" t="s">
        <v>633</v>
      </c>
      <c r="E205" s="10" t="s">
        <v>872</v>
      </c>
      <c r="F205" s="11" t="s">
        <v>873</v>
      </c>
      <c r="G205" s="11"/>
      <c r="H205" s="11" t="s">
        <v>874</v>
      </c>
      <c r="I205" s="11"/>
      <c r="J205" s="10" t="s">
        <v>875</v>
      </c>
      <c r="K205" s="12">
        <v>4500000</v>
      </c>
      <c r="L205" s="13">
        <v>4700000</v>
      </c>
      <c r="M205" s="14">
        <v>4900000</v>
      </c>
      <c r="N205" s="9">
        <f t="shared" si="8"/>
        <v>5390000</v>
      </c>
      <c r="O205" s="10">
        <v>71</v>
      </c>
      <c r="P205" s="10">
        <v>51.2</v>
      </c>
      <c r="Q205" s="10" t="s">
        <v>99</v>
      </c>
      <c r="R205" s="10">
        <v>64.4</v>
      </c>
      <c r="S205" s="10">
        <v>54.6</v>
      </c>
      <c r="T205" s="10">
        <v>10</v>
      </c>
    </row>
    <row r="206" ht="99.75" customHeight="1" spans="1:20">
      <c r="A206" s="6" t="s">
        <v>789</v>
      </c>
      <c r="B206" s="6" t="s">
        <v>876</v>
      </c>
      <c r="C206" s="6" t="s">
        <v>25</v>
      </c>
      <c r="D206" s="6" t="s">
        <v>877</v>
      </c>
      <c r="E206" s="6" t="s">
        <v>878</v>
      </c>
      <c r="F206" s="7" t="s">
        <v>879</v>
      </c>
      <c r="G206" s="7"/>
      <c r="H206" s="7" t="s">
        <v>880</v>
      </c>
      <c r="I206" s="7"/>
      <c r="J206" s="6" t="s">
        <v>129</v>
      </c>
      <c r="K206" s="12">
        <v>2600000</v>
      </c>
      <c r="L206" s="13">
        <v>2800000</v>
      </c>
      <c r="M206" s="14">
        <v>3000000</v>
      </c>
      <c r="N206" s="9">
        <f t="shared" si="8"/>
        <v>3300000</v>
      </c>
      <c r="O206" s="6">
        <v>52</v>
      </c>
      <c r="P206" s="6">
        <v>38.5</v>
      </c>
      <c r="Q206" s="6" t="s">
        <v>99</v>
      </c>
      <c r="R206" s="6">
        <v>44.4</v>
      </c>
      <c r="S206" s="6">
        <v>37.6</v>
      </c>
      <c r="T206" s="6" t="s">
        <v>505</v>
      </c>
    </row>
    <row r="207" ht="28.5" customHeight="1" spans="1:20">
      <c r="A207" s="10" t="s">
        <v>825</v>
      </c>
      <c r="B207" s="10" t="s">
        <v>881</v>
      </c>
      <c r="C207" s="10" t="s">
        <v>25</v>
      </c>
      <c r="D207" s="10" t="s">
        <v>877</v>
      </c>
      <c r="E207" s="10" t="s">
        <v>878</v>
      </c>
      <c r="F207" s="11" t="s">
        <v>879</v>
      </c>
      <c r="G207" s="11"/>
      <c r="H207" s="11" t="s">
        <v>880</v>
      </c>
      <c r="I207" s="11"/>
      <c r="J207" s="10" t="s">
        <v>29</v>
      </c>
      <c r="K207" s="8"/>
      <c r="L207" s="8"/>
      <c r="M207" s="8"/>
      <c r="N207" s="9" t="str">
        <f t="shared" si="8"/>
        <v/>
      </c>
      <c r="O207" s="10">
        <v>52</v>
      </c>
      <c r="P207" s="10">
        <v>38.5</v>
      </c>
      <c r="Q207" s="10" t="s">
        <v>99</v>
      </c>
      <c r="R207" s="10">
        <v>44.4</v>
      </c>
      <c r="S207" s="10">
        <v>37.6</v>
      </c>
      <c r="T207" s="10" t="s">
        <v>505</v>
      </c>
    </row>
    <row r="208" ht="28.5" customHeight="1" spans="1:20">
      <c r="A208" s="6" t="s">
        <v>789</v>
      </c>
      <c r="B208" s="6" t="s">
        <v>882</v>
      </c>
      <c r="C208" s="6" t="s">
        <v>25</v>
      </c>
      <c r="D208" s="6" t="s">
        <v>883</v>
      </c>
      <c r="E208" s="6" t="s">
        <v>878</v>
      </c>
      <c r="F208" s="7" t="s">
        <v>884</v>
      </c>
      <c r="G208" s="7" t="s">
        <v>647</v>
      </c>
      <c r="H208" s="7" t="s">
        <v>885</v>
      </c>
      <c r="I208" s="7"/>
      <c r="J208" s="6" t="s">
        <v>29</v>
      </c>
      <c r="K208" s="8"/>
      <c r="L208" s="8"/>
      <c r="M208" s="8"/>
      <c r="N208" s="9" t="str">
        <f t="shared" si="8"/>
        <v/>
      </c>
      <c r="O208" s="6">
        <v>52.2</v>
      </c>
      <c r="P208" s="6">
        <v>38.2</v>
      </c>
      <c r="Q208" s="6" t="s">
        <v>99</v>
      </c>
      <c r="R208" s="6">
        <v>47</v>
      </c>
      <c r="S208" s="6">
        <v>38.4</v>
      </c>
      <c r="T208" s="6" t="s">
        <v>505</v>
      </c>
    </row>
    <row r="209" ht="71.25" customHeight="1" spans="1:20">
      <c r="A209" s="10" t="s">
        <v>825</v>
      </c>
      <c r="B209" s="10" t="s">
        <v>886</v>
      </c>
      <c r="C209" s="10" t="s">
        <v>25</v>
      </c>
      <c r="D209" s="10" t="s">
        <v>883</v>
      </c>
      <c r="E209" s="10" t="s">
        <v>878</v>
      </c>
      <c r="F209" s="11" t="s">
        <v>884</v>
      </c>
      <c r="G209" s="11" t="s">
        <v>647</v>
      </c>
      <c r="H209" s="11" t="s">
        <v>885</v>
      </c>
      <c r="I209" s="11"/>
      <c r="J209" s="10" t="s">
        <v>33</v>
      </c>
      <c r="K209" s="12">
        <v>2800000</v>
      </c>
      <c r="L209" s="13">
        <v>2950000</v>
      </c>
      <c r="M209" s="14">
        <v>3100000</v>
      </c>
      <c r="N209" s="9">
        <f t="shared" si="8"/>
        <v>3410000</v>
      </c>
      <c r="O209" s="10">
        <v>52.2</v>
      </c>
      <c r="P209" s="10">
        <v>38.2</v>
      </c>
      <c r="Q209" s="10" t="s">
        <v>99</v>
      </c>
      <c r="R209" s="10">
        <v>47</v>
      </c>
      <c r="S209" s="10">
        <v>38.4</v>
      </c>
      <c r="T209" s="10" t="s">
        <v>505</v>
      </c>
    </row>
    <row r="210" ht="71.25" customHeight="1" spans="1:20">
      <c r="A210" s="6" t="s">
        <v>789</v>
      </c>
      <c r="B210" s="6" t="s">
        <v>887</v>
      </c>
      <c r="C210" s="6" t="s">
        <v>25</v>
      </c>
      <c r="D210" s="6" t="s">
        <v>888</v>
      </c>
      <c r="E210" s="6" t="s">
        <v>849</v>
      </c>
      <c r="F210" s="7" t="s">
        <v>889</v>
      </c>
      <c r="G210" s="7"/>
      <c r="H210" s="7" t="s">
        <v>890</v>
      </c>
      <c r="I210" s="7"/>
      <c r="J210" s="6" t="s">
        <v>29</v>
      </c>
      <c r="K210" s="8"/>
      <c r="L210" s="8"/>
      <c r="M210" s="8"/>
      <c r="N210" s="9" t="str">
        <f t="shared" si="8"/>
        <v/>
      </c>
      <c r="O210" s="6">
        <v>52</v>
      </c>
      <c r="P210" s="6">
        <v>38.4</v>
      </c>
      <c r="Q210" s="6" t="s">
        <v>99</v>
      </c>
      <c r="R210" s="6">
        <v>43</v>
      </c>
      <c r="S210" s="6">
        <v>37.5</v>
      </c>
      <c r="T210" s="6" t="s">
        <v>505</v>
      </c>
    </row>
    <row r="211" ht="57" customHeight="1" spans="1:20">
      <c r="A211" s="10" t="s">
        <v>825</v>
      </c>
      <c r="B211" s="10" t="s">
        <v>891</v>
      </c>
      <c r="C211" s="10" t="s">
        <v>25</v>
      </c>
      <c r="D211" s="10" t="s">
        <v>888</v>
      </c>
      <c r="E211" s="10" t="s">
        <v>849</v>
      </c>
      <c r="F211" s="11" t="s">
        <v>889</v>
      </c>
      <c r="G211" s="11"/>
      <c r="H211" s="11" t="s">
        <v>890</v>
      </c>
      <c r="I211" s="11"/>
      <c r="J211" s="10" t="s">
        <v>29</v>
      </c>
      <c r="K211" s="12">
        <v>2500000</v>
      </c>
      <c r="L211" s="13">
        <v>2700000</v>
      </c>
      <c r="M211" s="14">
        <v>2900000</v>
      </c>
      <c r="N211" s="9">
        <f t="shared" si="8"/>
        <v>3190000</v>
      </c>
      <c r="O211" s="10">
        <v>52</v>
      </c>
      <c r="P211" s="10">
        <v>38.4</v>
      </c>
      <c r="Q211" s="10" t="s">
        <v>99</v>
      </c>
      <c r="R211" s="10">
        <v>43</v>
      </c>
      <c r="S211" s="10">
        <v>37.5</v>
      </c>
      <c r="T211" s="10" t="s">
        <v>505</v>
      </c>
    </row>
    <row r="212" ht="57" customHeight="1" spans="1:20">
      <c r="A212" s="6" t="s">
        <v>825</v>
      </c>
      <c r="B212" s="6" t="s">
        <v>892</v>
      </c>
      <c r="C212" s="6" t="s">
        <v>25</v>
      </c>
      <c r="D212" s="6" t="s">
        <v>888</v>
      </c>
      <c r="E212" s="6" t="s">
        <v>849</v>
      </c>
      <c r="F212" s="7" t="s">
        <v>889</v>
      </c>
      <c r="G212" s="7"/>
      <c r="H212" s="7" t="s">
        <v>890</v>
      </c>
      <c r="I212" s="7"/>
      <c r="J212" s="6" t="s">
        <v>29</v>
      </c>
      <c r="K212" s="12">
        <v>2350000</v>
      </c>
      <c r="L212" s="13">
        <v>2500000</v>
      </c>
      <c r="M212" s="14">
        <v>2650000</v>
      </c>
      <c r="N212" s="9">
        <f t="shared" si="8"/>
        <v>2915000</v>
      </c>
      <c r="O212" s="6">
        <v>52</v>
      </c>
      <c r="P212" s="6">
        <v>38.4</v>
      </c>
      <c r="Q212" s="6" t="s">
        <v>99</v>
      </c>
      <c r="R212" s="6">
        <v>43</v>
      </c>
      <c r="S212" s="6">
        <v>37.5</v>
      </c>
      <c r="T212" s="6" t="s">
        <v>505</v>
      </c>
    </row>
    <row r="213" ht="57" customHeight="1" spans="1:20">
      <c r="A213" s="10" t="s">
        <v>789</v>
      </c>
      <c r="B213" s="10" t="s">
        <v>893</v>
      </c>
      <c r="C213" s="10" t="s">
        <v>25</v>
      </c>
      <c r="D213" s="10" t="s">
        <v>894</v>
      </c>
      <c r="E213" s="10" t="s">
        <v>895</v>
      </c>
      <c r="F213" s="11" t="s">
        <v>896</v>
      </c>
      <c r="G213" s="11"/>
      <c r="H213" s="11" t="s">
        <v>897</v>
      </c>
      <c r="I213" s="11"/>
      <c r="J213" s="10" t="s">
        <v>29</v>
      </c>
      <c r="K213" s="12">
        <v>3700000</v>
      </c>
      <c r="L213" s="13">
        <v>3900000</v>
      </c>
      <c r="M213" s="14">
        <v>4100000</v>
      </c>
      <c r="N213" s="9">
        <f t="shared" si="8"/>
        <v>4510000</v>
      </c>
      <c r="O213" s="10">
        <v>49</v>
      </c>
      <c r="P213" s="10">
        <v>34.6</v>
      </c>
      <c r="Q213" s="10" t="s">
        <v>99</v>
      </c>
      <c r="R213" s="10">
        <v>43</v>
      </c>
      <c r="S213" s="10">
        <v>36</v>
      </c>
      <c r="T213" s="10" t="s">
        <v>505</v>
      </c>
    </row>
    <row r="214" ht="57" customHeight="1" spans="1:20">
      <c r="A214" s="6" t="s">
        <v>789</v>
      </c>
      <c r="B214" s="6" t="s">
        <v>898</v>
      </c>
      <c r="C214" s="6" t="s">
        <v>25</v>
      </c>
      <c r="D214" s="6" t="s">
        <v>899</v>
      </c>
      <c r="E214" s="6" t="s">
        <v>878</v>
      </c>
      <c r="F214" s="7" t="s">
        <v>900</v>
      </c>
      <c r="G214" s="7" t="s">
        <v>647</v>
      </c>
      <c r="H214" s="7" t="s">
        <v>901</v>
      </c>
      <c r="I214" s="7" t="s">
        <v>902</v>
      </c>
      <c r="J214" s="6" t="s">
        <v>29</v>
      </c>
      <c r="K214" s="12">
        <v>2550000</v>
      </c>
      <c r="L214" s="13">
        <v>2700000</v>
      </c>
      <c r="M214" s="14">
        <v>2900000</v>
      </c>
      <c r="N214" s="9">
        <f t="shared" si="8"/>
        <v>3190000</v>
      </c>
      <c r="O214" s="6">
        <v>49</v>
      </c>
      <c r="P214" s="6">
        <v>38</v>
      </c>
      <c r="Q214" s="6" t="s">
        <v>99</v>
      </c>
      <c r="R214" s="6">
        <v>44.4</v>
      </c>
      <c r="S214" s="6">
        <v>37.6</v>
      </c>
      <c r="T214" s="6" t="s">
        <v>505</v>
      </c>
    </row>
    <row r="215" ht="42.75" customHeight="1" spans="1:20">
      <c r="A215" s="10" t="s">
        <v>825</v>
      </c>
      <c r="B215" s="10" t="s">
        <v>903</v>
      </c>
      <c r="C215" s="10" t="s">
        <v>25</v>
      </c>
      <c r="D215" s="10" t="s">
        <v>899</v>
      </c>
      <c r="E215" s="10" t="s">
        <v>878</v>
      </c>
      <c r="F215" s="11" t="s">
        <v>900</v>
      </c>
      <c r="G215" s="11" t="s">
        <v>647</v>
      </c>
      <c r="H215" s="11" t="s">
        <v>901</v>
      </c>
      <c r="I215" s="11" t="s">
        <v>902</v>
      </c>
      <c r="J215" s="10" t="s">
        <v>33</v>
      </c>
      <c r="K215" s="8"/>
      <c r="L215" s="8"/>
      <c r="M215" s="8"/>
      <c r="N215" s="9" t="str">
        <f t="shared" si="8"/>
        <v/>
      </c>
      <c r="O215" s="10">
        <v>49</v>
      </c>
      <c r="P215" s="10">
        <v>38</v>
      </c>
      <c r="Q215" s="10" t="s">
        <v>99</v>
      </c>
      <c r="R215" s="10">
        <v>44.4</v>
      </c>
      <c r="S215" s="10">
        <v>37.6</v>
      </c>
      <c r="T215" s="10" t="s">
        <v>505</v>
      </c>
    </row>
    <row r="216" ht="42.75" customHeight="1" spans="1:20">
      <c r="A216" s="6" t="s">
        <v>789</v>
      </c>
      <c r="B216" s="6" t="s">
        <v>904</v>
      </c>
      <c r="C216" s="6" t="s">
        <v>25</v>
      </c>
      <c r="D216" s="6" t="s">
        <v>899</v>
      </c>
      <c r="E216" s="6" t="s">
        <v>905</v>
      </c>
      <c r="F216" s="7" t="s">
        <v>906</v>
      </c>
      <c r="G216" s="7"/>
      <c r="H216" s="7" t="s">
        <v>907</v>
      </c>
      <c r="I216" s="7"/>
      <c r="J216" s="6"/>
      <c r="K216" s="12">
        <v>2500000</v>
      </c>
      <c r="L216" s="13">
        <v>2650000</v>
      </c>
      <c r="M216" s="14">
        <v>2800000</v>
      </c>
      <c r="N216" s="9">
        <f t="shared" si="8"/>
        <v>3080000</v>
      </c>
      <c r="O216" s="6">
        <v>49</v>
      </c>
      <c r="P216" s="6">
        <v>34.6</v>
      </c>
      <c r="Q216" s="6" t="s">
        <v>99</v>
      </c>
      <c r="R216" s="6">
        <v>44</v>
      </c>
      <c r="S216" s="6">
        <v>37.3</v>
      </c>
      <c r="T216" s="6" t="s">
        <v>413</v>
      </c>
    </row>
    <row r="217" ht="42.75" customHeight="1" spans="1:20">
      <c r="A217" s="10" t="s">
        <v>789</v>
      </c>
      <c r="B217" s="10" t="s">
        <v>908</v>
      </c>
      <c r="C217" s="10" t="s">
        <v>25</v>
      </c>
      <c r="D217" s="10" t="s">
        <v>899</v>
      </c>
      <c r="E217" s="10" t="s">
        <v>814</v>
      </c>
      <c r="F217" s="11" t="s">
        <v>909</v>
      </c>
      <c r="G217" s="11"/>
      <c r="H217" s="11" t="s">
        <v>910</v>
      </c>
      <c r="I217" s="11"/>
      <c r="J217" s="10" t="s">
        <v>129</v>
      </c>
      <c r="K217" s="12">
        <v>2850000</v>
      </c>
      <c r="L217" s="13">
        <v>3050000</v>
      </c>
      <c r="M217" s="14">
        <v>3250000</v>
      </c>
      <c r="N217" s="9">
        <f t="shared" si="8"/>
        <v>3575000</v>
      </c>
      <c r="O217" s="10">
        <v>49</v>
      </c>
      <c r="P217" s="10">
        <v>34.6</v>
      </c>
      <c r="Q217" s="10" t="s">
        <v>99</v>
      </c>
      <c r="R217" s="10">
        <v>44</v>
      </c>
      <c r="S217" s="10">
        <v>37.3</v>
      </c>
      <c r="T217" s="10" t="s">
        <v>413</v>
      </c>
    </row>
    <row r="218" ht="42.75" customHeight="1" spans="1:20">
      <c r="A218" s="6" t="s">
        <v>789</v>
      </c>
      <c r="B218" s="6" t="s">
        <v>911</v>
      </c>
      <c r="C218" s="6" t="s">
        <v>25</v>
      </c>
      <c r="D218" s="6" t="s">
        <v>912</v>
      </c>
      <c r="E218" s="6" t="s">
        <v>849</v>
      </c>
      <c r="F218" s="7" t="s">
        <v>913</v>
      </c>
      <c r="G218" s="7" t="s">
        <v>914</v>
      </c>
      <c r="H218" s="7" t="s">
        <v>915</v>
      </c>
      <c r="I218" s="7"/>
      <c r="J218" s="6" t="s">
        <v>29</v>
      </c>
      <c r="K218" s="8"/>
      <c r="L218" s="8"/>
      <c r="M218" s="8"/>
      <c r="N218" s="9" t="str">
        <f t="shared" si="8"/>
        <v/>
      </c>
      <c r="O218" s="6"/>
      <c r="P218" s="6"/>
      <c r="Q218" s="6"/>
      <c r="R218" s="6"/>
      <c r="S218" s="6"/>
      <c r="T218" s="6"/>
    </row>
    <row r="219" ht="71.25" customHeight="1" spans="1:20">
      <c r="A219" s="10" t="s">
        <v>789</v>
      </c>
      <c r="B219" s="10" t="s">
        <v>916</v>
      </c>
      <c r="C219" s="10" t="s">
        <v>25</v>
      </c>
      <c r="D219" s="10" t="s">
        <v>899</v>
      </c>
      <c r="E219" s="10" t="s">
        <v>849</v>
      </c>
      <c r="F219" s="11" t="s">
        <v>917</v>
      </c>
      <c r="G219" s="11"/>
      <c r="H219" s="11" t="s">
        <v>915</v>
      </c>
      <c r="I219" s="11"/>
      <c r="J219" s="10" t="s">
        <v>29</v>
      </c>
      <c r="K219" s="12">
        <v>2550000</v>
      </c>
      <c r="L219" s="13">
        <v>2650000</v>
      </c>
      <c r="M219" s="14">
        <v>2800000</v>
      </c>
      <c r="N219" s="9">
        <f t="shared" si="8"/>
        <v>3080000</v>
      </c>
      <c r="O219" s="10">
        <v>49</v>
      </c>
      <c r="P219" s="10">
        <v>37.8</v>
      </c>
      <c r="Q219" s="10" t="s">
        <v>99</v>
      </c>
      <c r="R219" s="10">
        <v>41.2</v>
      </c>
      <c r="S219" s="10">
        <v>35</v>
      </c>
      <c r="T219" s="10" t="s">
        <v>505</v>
      </c>
    </row>
    <row r="220" ht="27.75" customHeight="1" spans="1:20">
      <c r="A220" s="6" t="s">
        <v>789</v>
      </c>
      <c r="B220" s="6" t="s">
        <v>918</v>
      </c>
      <c r="C220" s="6" t="s">
        <v>25</v>
      </c>
      <c r="D220" s="6" t="s">
        <v>899</v>
      </c>
      <c r="E220" s="6" t="s">
        <v>849</v>
      </c>
      <c r="F220" s="7" t="s">
        <v>919</v>
      </c>
      <c r="G220" s="7"/>
      <c r="H220" s="7"/>
      <c r="I220" s="7"/>
      <c r="J220" s="6" t="s">
        <v>29</v>
      </c>
      <c r="K220" s="8"/>
      <c r="L220" s="8"/>
      <c r="M220" s="8"/>
      <c r="N220" s="9" t="str">
        <f t="shared" si="8"/>
        <v/>
      </c>
      <c r="O220" s="6">
        <v>49</v>
      </c>
      <c r="P220" s="6">
        <v>37.8</v>
      </c>
      <c r="Q220" s="6" t="s">
        <v>99</v>
      </c>
      <c r="R220" s="6">
        <v>41.2</v>
      </c>
      <c r="S220" s="6">
        <v>35</v>
      </c>
      <c r="T220" s="6" t="s">
        <v>505</v>
      </c>
    </row>
    <row r="221" ht="27.75" customHeight="1" spans="1:20">
      <c r="A221" s="10" t="s">
        <v>789</v>
      </c>
      <c r="B221" s="10" t="s">
        <v>920</v>
      </c>
      <c r="C221" s="10" t="s">
        <v>25</v>
      </c>
      <c r="D221" s="10" t="s">
        <v>899</v>
      </c>
      <c r="E221" s="10" t="s">
        <v>921</v>
      </c>
      <c r="F221" s="11" t="s">
        <v>922</v>
      </c>
      <c r="G221" s="11"/>
      <c r="H221" s="11" t="s">
        <v>923</v>
      </c>
      <c r="I221" s="11"/>
      <c r="J221" s="10"/>
      <c r="K221" s="12">
        <v>2900000</v>
      </c>
      <c r="L221" s="13">
        <v>3100000</v>
      </c>
      <c r="M221" s="14">
        <v>3300000</v>
      </c>
      <c r="N221" s="9">
        <f t="shared" si="8"/>
        <v>3630000</v>
      </c>
      <c r="O221" s="10">
        <v>49</v>
      </c>
      <c r="P221" s="10">
        <v>38</v>
      </c>
      <c r="Q221" s="10" t="s">
        <v>99</v>
      </c>
      <c r="R221" s="10">
        <v>44.4</v>
      </c>
      <c r="S221" s="10">
        <v>37.6</v>
      </c>
      <c r="T221" s="10" t="s">
        <v>505</v>
      </c>
    </row>
    <row r="222" ht="57" customHeight="1" spans="1:20">
      <c r="A222" s="6" t="s">
        <v>789</v>
      </c>
      <c r="B222" s="6" t="s">
        <v>924</v>
      </c>
      <c r="C222" s="6" t="s">
        <v>61</v>
      </c>
      <c r="D222" s="6" t="s">
        <v>858</v>
      </c>
      <c r="E222" s="6"/>
      <c r="F222" s="7" t="s">
        <v>925</v>
      </c>
      <c r="G222" s="7"/>
      <c r="H222" s="7" t="s">
        <v>926</v>
      </c>
      <c r="I222" s="7"/>
      <c r="J222" s="6" t="s">
        <v>29</v>
      </c>
      <c r="K222" s="12">
        <v>4700000</v>
      </c>
      <c r="L222" s="13">
        <v>4900000</v>
      </c>
      <c r="M222" s="14">
        <v>5100000</v>
      </c>
      <c r="N222" s="9">
        <f t="shared" si="8"/>
        <v>5610000</v>
      </c>
      <c r="O222" s="6">
        <v>52.8</v>
      </c>
      <c r="P222" s="6">
        <v>36.7</v>
      </c>
      <c r="Q222" s="6" t="s">
        <v>99</v>
      </c>
      <c r="R222" s="6">
        <v>42.5</v>
      </c>
      <c r="S222" s="6">
        <v>37.8</v>
      </c>
      <c r="T222" s="6">
        <v>9</v>
      </c>
    </row>
    <row r="223" ht="27.75" customHeight="1" spans="1:20">
      <c r="A223" s="10" t="s">
        <v>789</v>
      </c>
      <c r="B223" s="10" t="s">
        <v>927</v>
      </c>
      <c r="C223" s="10" t="s">
        <v>61</v>
      </c>
      <c r="D223" s="10" t="s">
        <v>858</v>
      </c>
      <c r="E223" s="10" t="s">
        <v>849</v>
      </c>
      <c r="F223" s="11" t="s">
        <v>928</v>
      </c>
      <c r="G223" s="11"/>
      <c r="H223" s="11" t="s">
        <v>914</v>
      </c>
      <c r="I223" s="11"/>
      <c r="J223" s="10" t="s">
        <v>29</v>
      </c>
      <c r="K223" s="12">
        <v>4800000</v>
      </c>
      <c r="L223" s="13">
        <v>5000000</v>
      </c>
      <c r="M223" s="14">
        <v>5300000</v>
      </c>
      <c r="N223" s="9">
        <f t="shared" si="8"/>
        <v>5830000</v>
      </c>
      <c r="O223" s="10">
        <v>53.89</v>
      </c>
      <c r="P223" s="10">
        <v>37.8</v>
      </c>
      <c r="Q223" s="10" t="s">
        <v>99</v>
      </c>
      <c r="R223" s="10">
        <v>43</v>
      </c>
      <c r="S223" s="10">
        <v>38.2</v>
      </c>
      <c r="T223" s="10" t="s">
        <v>505</v>
      </c>
    </row>
    <row r="224" ht="128.25" customHeight="1" spans="1:20">
      <c r="A224" s="6" t="s">
        <v>789</v>
      </c>
      <c r="B224" s="6" t="s">
        <v>929</v>
      </c>
      <c r="C224" s="6" t="s">
        <v>61</v>
      </c>
      <c r="D224" s="6" t="s">
        <v>858</v>
      </c>
      <c r="E224" s="6" t="s">
        <v>849</v>
      </c>
      <c r="F224" s="7" t="s">
        <v>930</v>
      </c>
      <c r="G224" s="7"/>
      <c r="H224" s="7" t="s">
        <v>931</v>
      </c>
      <c r="I224" s="7" t="s">
        <v>932</v>
      </c>
      <c r="J224" s="6" t="s">
        <v>29</v>
      </c>
      <c r="K224" s="8"/>
      <c r="L224" s="8"/>
      <c r="M224" s="8"/>
      <c r="N224" s="9" t="str">
        <f t="shared" si="8"/>
        <v/>
      </c>
      <c r="O224" s="6">
        <v>53.89</v>
      </c>
      <c r="P224" s="6">
        <v>37.8</v>
      </c>
      <c r="Q224" s="6" t="s">
        <v>99</v>
      </c>
      <c r="R224" s="6">
        <v>43</v>
      </c>
      <c r="S224" s="6">
        <v>38.2</v>
      </c>
      <c r="T224" s="6" t="s">
        <v>505</v>
      </c>
    </row>
    <row r="225" ht="27.75" customHeight="1" spans="1:20">
      <c r="A225" s="10" t="s">
        <v>789</v>
      </c>
      <c r="B225" s="10" t="s">
        <v>933</v>
      </c>
      <c r="C225" s="10" t="s">
        <v>35</v>
      </c>
      <c r="D225" s="10" t="s">
        <v>934</v>
      </c>
      <c r="E225" s="10" t="s">
        <v>935</v>
      </c>
      <c r="F225" s="11" t="s">
        <v>936</v>
      </c>
      <c r="G225" s="11"/>
      <c r="H225" s="11"/>
      <c r="I225" s="11"/>
      <c r="J225" s="10" t="s">
        <v>149</v>
      </c>
      <c r="K225" s="8"/>
      <c r="L225" s="8"/>
      <c r="M225" s="8"/>
      <c r="N225" s="9" t="str">
        <f t="shared" si="8"/>
        <v/>
      </c>
      <c r="O225" s="10"/>
      <c r="P225" s="10"/>
      <c r="Q225" s="10"/>
      <c r="R225" s="10"/>
      <c r="S225" s="10"/>
      <c r="T225" s="10"/>
    </row>
    <row r="226" ht="26.25" customHeight="1" spans="1:20">
      <c r="A226" s="6" t="s">
        <v>789</v>
      </c>
      <c r="B226" s="6" t="s">
        <v>937</v>
      </c>
      <c r="C226" s="6" t="s">
        <v>25</v>
      </c>
      <c r="D226" s="6" t="s">
        <v>938</v>
      </c>
      <c r="E226" s="6"/>
      <c r="F226" s="7" t="s">
        <v>939</v>
      </c>
      <c r="G226" s="7" t="s">
        <v>869</v>
      </c>
      <c r="H226" s="7" t="s">
        <v>940</v>
      </c>
      <c r="I226" s="7"/>
      <c r="J226" s="6" t="s">
        <v>82</v>
      </c>
      <c r="K226" s="8"/>
      <c r="L226" s="8"/>
      <c r="M226" s="8"/>
      <c r="N226" s="9" t="str">
        <f t="shared" si="8"/>
        <v/>
      </c>
      <c r="O226" s="6">
        <v>52.4</v>
      </c>
      <c r="P226" s="6">
        <v>38.6</v>
      </c>
      <c r="Q226" s="6" t="s">
        <v>505</v>
      </c>
      <c r="R226" s="6">
        <v>43</v>
      </c>
      <c r="S226" s="6">
        <v>39.6</v>
      </c>
      <c r="T226" s="6">
        <v>9</v>
      </c>
    </row>
    <row r="227" ht="42.75" customHeight="1" spans="1:20">
      <c r="A227" s="10" t="s">
        <v>789</v>
      </c>
      <c r="B227" s="10" t="s">
        <v>941</v>
      </c>
      <c r="C227" s="10" t="s">
        <v>25</v>
      </c>
      <c r="D227" s="10" t="s">
        <v>942</v>
      </c>
      <c r="E227" s="10"/>
      <c r="F227" s="11" t="s">
        <v>943</v>
      </c>
      <c r="G227" s="11"/>
      <c r="H227" s="11" t="s">
        <v>944</v>
      </c>
      <c r="I227" s="11"/>
      <c r="J227" s="10" t="s">
        <v>82</v>
      </c>
      <c r="K227" s="8"/>
      <c r="L227" s="8"/>
      <c r="M227" s="8"/>
      <c r="N227" s="9" t="str">
        <f t="shared" si="8"/>
        <v/>
      </c>
      <c r="O227" s="10">
        <v>44</v>
      </c>
      <c r="P227" s="10">
        <v>31.1</v>
      </c>
      <c r="Q227" s="10" t="s">
        <v>99</v>
      </c>
      <c r="R227" s="10">
        <v>35.6</v>
      </c>
      <c r="S227" s="10">
        <v>32.5</v>
      </c>
      <c r="T227" s="10">
        <v>9</v>
      </c>
    </row>
    <row r="228" ht="28.5" customHeight="1" spans="1:20">
      <c r="A228" s="6" t="s">
        <v>789</v>
      </c>
      <c r="B228" s="6" t="s">
        <v>945</v>
      </c>
      <c r="C228" s="6" t="s">
        <v>35</v>
      </c>
      <c r="D228" s="6" t="s">
        <v>946</v>
      </c>
      <c r="E228" s="6" t="s">
        <v>947</v>
      </c>
      <c r="F228" s="7" t="s">
        <v>948</v>
      </c>
      <c r="G228" s="7" t="s">
        <v>949</v>
      </c>
      <c r="H228" s="7" t="s">
        <v>950</v>
      </c>
      <c r="I228" s="7"/>
      <c r="J228" s="6" t="s">
        <v>149</v>
      </c>
      <c r="K228" s="12">
        <v>7500000</v>
      </c>
      <c r="L228" s="13">
        <v>7900000</v>
      </c>
      <c r="M228" s="14">
        <v>8300000</v>
      </c>
      <c r="N228" s="9">
        <f t="shared" si="8"/>
        <v>9130000</v>
      </c>
      <c r="O228" s="6">
        <v>78</v>
      </c>
      <c r="P228" s="6">
        <v>51.4</v>
      </c>
      <c r="Q228" s="6" t="s">
        <v>65</v>
      </c>
      <c r="R228" s="6">
        <v>67</v>
      </c>
      <c r="S228" s="6">
        <v>58.8</v>
      </c>
      <c r="T228" s="6">
        <v>11</v>
      </c>
    </row>
    <row r="229" ht="42.75" customHeight="1" spans="1:20">
      <c r="A229" s="10" t="s">
        <v>789</v>
      </c>
      <c r="B229" s="10" t="s">
        <v>951</v>
      </c>
      <c r="C229" s="10" t="s">
        <v>25</v>
      </c>
      <c r="D229" s="10" t="s">
        <v>952</v>
      </c>
      <c r="E229" s="10"/>
      <c r="F229" s="11" t="s">
        <v>953</v>
      </c>
      <c r="G229" s="11"/>
      <c r="H229" s="11"/>
      <c r="I229" s="11"/>
      <c r="J229" s="10" t="s">
        <v>29</v>
      </c>
      <c r="K229" s="12">
        <v>3800000</v>
      </c>
      <c r="L229" s="13">
        <v>4100000</v>
      </c>
      <c r="M229" s="14">
        <v>4400000</v>
      </c>
      <c r="N229" s="9">
        <f t="shared" si="8"/>
        <v>4840000</v>
      </c>
      <c r="O229" s="10">
        <v>49</v>
      </c>
      <c r="P229" s="10">
        <v>36.3</v>
      </c>
      <c r="Q229" s="10" t="s">
        <v>99</v>
      </c>
      <c r="R229" s="10">
        <v>40.9</v>
      </c>
      <c r="S229" s="10">
        <v>34.7</v>
      </c>
      <c r="T229" s="10" t="s">
        <v>505</v>
      </c>
    </row>
    <row r="230" ht="28.5" customHeight="1" spans="1:20">
      <c r="A230" s="6" t="s">
        <v>789</v>
      </c>
      <c r="B230" s="6" t="s">
        <v>954</v>
      </c>
      <c r="C230" s="6" t="s">
        <v>35</v>
      </c>
      <c r="D230" s="6" t="s">
        <v>955</v>
      </c>
      <c r="E230" s="6"/>
      <c r="F230" s="7" t="s">
        <v>956</v>
      </c>
      <c r="G230" s="7"/>
      <c r="H230" s="7" t="s">
        <v>957</v>
      </c>
      <c r="I230" s="7"/>
      <c r="J230" s="6" t="s">
        <v>82</v>
      </c>
      <c r="K230" s="12">
        <v>2650000</v>
      </c>
      <c r="L230" s="13">
        <v>2800000</v>
      </c>
      <c r="M230" s="14">
        <v>3000000</v>
      </c>
      <c r="N230" s="9">
        <f t="shared" si="8"/>
        <v>3300000</v>
      </c>
      <c r="O230" s="6">
        <v>44</v>
      </c>
      <c r="P230" s="6">
        <v>34</v>
      </c>
      <c r="Q230" s="6" t="s">
        <v>99</v>
      </c>
      <c r="R230" s="6">
        <v>36.8</v>
      </c>
      <c r="S230" s="6">
        <v>31.5</v>
      </c>
      <c r="T230" s="6" t="s">
        <v>413</v>
      </c>
    </row>
    <row r="231" ht="42.75" customHeight="1" spans="1:20">
      <c r="A231" s="10" t="s">
        <v>789</v>
      </c>
      <c r="B231" s="10" t="s">
        <v>958</v>
      </c>
      <c r="C231" s="10" t="s">
        <v>85</v>
      </c>
      <c r="D231" s="10" t="s">
        <v>678</v>
      </c>
      <c r="E231" s="10"/>
      <c r="F231" s="11" t="s">
        <v>959</v>
      </c>
      <c r="G231" s="11" t="s">
        <v>678</v>
      </c>
      <c r="H231" s="11"/>
      <c r="I231" s="11" t="s">
        <v>960</v>
      </c>
      <c r="J231" s="10" t="s">
        <v>82</v>
      </c>
      <c r="K231" s="8"/>
      <c r="L231" s="8"/>
      <c r="M231" s="8"/>
      <c r="N231" s="9" t="str">
        <f t="shared" si="8"/>
        <v/>
      </c>
      <c r="O231" s="10">
        <v>52.5</v>
      </c>
      <c r="P231" s="10">
        <v>39.2</v>
      </c>
      <c r="Q231" s="10" t="s">
        <v>99</v>
      </c>
      <c r="R231" s="10">
        <v>44.4</v>
      </c>
      <c r="S231" s="10">
        <v>37.6</v>
      </c>
      <c r="T231" s="10">
        <v>8</v>
      </c>
    </row>
    <row r="232" ht="28.5" customHeight="1" spans="1:20">
      <c r="A232" s="6" t="s">
        <v>825</v>
      </c>
      <c r="B232" s="6" t="s">
        <v>961</v>
      </c>
      <c r="C232" s="6" t="s">
        <v>85</v>
      </c>
      <c r="D232" s="6" t="s">
        <v>678</v>
      </c>
      <c r="E232" s="6"/>
      <c r="F232" s="7" t="s">
        <v>959</v>
      </c>
      <c r="G232" s="7" t="s">
        <v>678</v>
      </c>
      <c r="H232" s="7"/>
      <c r="I232" s="7" t="s">
        <v>960</v>
      </c>
      <c r="J232" s="6" t="s">
        <v>29</v>
      </c>
      <c r="K232" s="8"/>
      <c r="L232" s="8"/>
      <c r="M232" s="8"/>
      <c r="N232" s="9" t="str">
        <f t="shared" si="8"/>
        <v/>
      </c>
      <c r="O232" s="6">
        <v>52.5</v>
      </c>
      <c r="P232" s="6">
        <v>39.2</v>
      </c>
      <c r="Q232" s="6" t="s">
        <v>99</v>
      </c>
      <c r="R232" s="6">
        <v>44.4</v>
      </c>
      <c r="S232" s="6">
        <v>37.6</v>
      </c>
      <c r="T232" s="6">
        <v>8</v>
      </c>
    </row>
    <row r="233" ht="28.5" customHeight="1" spans="1:20">
      <c r="A233" s="10" t="s">
        <v>789</v>
      </c>
      <c r="B233" s="10" t="s">
        <v>962</v>
      </c>
      <c r="C233" s="10" t="s">
        <v>25</v>
      </c>
      <c r="D233" s="10" t="s">
        <v>963</v>
      </c>
      <c r="E233" s="10" t="s">
        <v>964</v>
      </c>
      <c r="F233" s="11" t="s">
        <v>965</v>
      </c>
      <c r="G233" s="11"/>
      <c r="H233" s="11" t="s">
        <v>966</v>
      </c>
      <c r="I233" s="11"/>
      <c r="J233" s="10" t="s">
        <v>29</v>
      </c>
      <c r="K233" s="12">
        <v>9000000</v>
      </c>
      <c r="L233" s="13">
        <v>9500000</v>
      </c>
      <c r="M233" s="14">
        <v>10000000</v>
      </c>
      <c r="N233" s="9">
        <f t="shared" si="8"/>
        <v>11000000</v>
      </c>
      <c r="O233" s="10"/>
      <c r="P233" s="10"/>
      <c r="Q233" s="10"/>
      <c r="R233" s="10"/>
      <c r="S233" s="10"/>
      <c r="T233" s="10"/>
    </row>
    <row r="234" ht="28.5" customHeight="1" spans="1:20">
      <c r="A234" s="6" t="s">
        <v>789</v>
      </c>
      <c r="B234" s="6" t="s">
        <v>967</v>
      </c>
      <c r="C234" s="6" t="s">
        <v>25</v>
      </c>
      <c r="D234" s="6" t="s">
        <v>968</v>
      </c>
      <c r="E234" s="6" t="s">
        <v>969</v>
      </c>
      <c r="F234" s="7" t="s">
        <v>970</v>
      </c>
      <c r="G234" s="7"/>
      <c r="H234" s="7" t="s">
        <v>971</v>
      </c>
      <c r="I234" s="7" t="s">
        <v>972</v>
      </c>
      <c r="J234" s="6" t="s">
        <v>82</v>
      </c>
      <c r="K234" s="8"/>
      <c r="L234" s="8"/>
      <c r="M234" s="8"/>
      <c r="N234" s="9" t="str">
        <f t="shared" si="8"/>
        <v/>
      </c>
      <c r="O234" s="6">
        <v>52.4</v>
      </c>
      <c r="P234" s="6">
        <v>36.8</v>
      </c>
      <c r="Q234" s="6">
        <v>9</v>
      </c>
      <c r="R234" s="6">
        <v>43</v>
      </c>
      <c r="S234" s="6">
        <v>38</v>
      </c>
      <c r="T234" s="6" t="s">
        <v>505</v>
      </c>
    </row>
    <row r="235" ht="42.75" customHeight="1" spans="1:20">
      <c r="A235" s="10" t="s">
        <v>825</v>
      </c>
      <c r="B235" s="10" t="s">
        <v>973</v>
      </c>
      <c r="C235" s="10" t="s">
        <v>25</v>
      </c>
      <c r="D235" s="10" t="s">
        <v>968</v>
      </c>
      <c r="E235" s="10" t="s">
        <v>969</v>
      </c>
      <c r="F235" s="11" t="s">
        <v>970</v>
      </c>
      <c r="G235" s="11"/>
      <c r="H235" s="11" t="s">
        <v>971</v>
      </c>
      <c r="I235" s="11" t="s">
        <v>972</v>
      </c>
      <c r="J235" s="10" t="s">
        <v>47</v>
      </c>
      <c r="K235" s="8"/>
      <c r="L235" s="8"/>
      <c r="M235" s="8"/>
      <c r="N235" s="9" t="str">
        <f t="shared" si="8"/>
        <v/>
      </c>
      <c r="O235" s="10">
        <v>52.4</v>
      </c>
      <c r="P235" s="10">
        <v>36.8</v>
      </c>
      <c r="Q235" s="10">
        <v>9</v>
      </c>
      <c r="R235" s="10">
        <v>43</v>
      </c>
      <c r="S235" s="10">
        <v>38</v>
      </c>
      <c r="T235" s="10" t="s">
        <v>505</v>
      </c>
    </row>
    <row r="236" ht="42.75" customHeight="1" spans="1:20">
      <c r="A236" s="6" t="s">
        <v>789</v>
      </c>
      <c r="B236" s="6" t="s">
        <v>974</v>
      </c>
      <c r="C236" s="6" t="s">
        <v>25</v>
      </c>
      <c r="D236" s="6" t="s">
        <v>899</v>
      </c>
      <c r="E236" s="6" t="s">
        <v>849</v>
      </c>
      <c r="F236" s="7" t="s">
        <v>975</v>
      </c>
      <c r="G236" s="7" t="s">
        <v>976</v>
      </c>
      <c r="H236" s="7" t="s">
        <v>977</v>
      </c>
      <c r="I236" s="7" t="s">
        <v>846</v>
      </c>
      <c r="J236" s="6" t="s">
        <v>29</v>
      </c>
      <c r="K236" s="12">
        <v>2550000</v>
      </c>
      <c r="L236" s="13">
        <v>2650000</v>
      </c>
      <c r="M236" s="14">
        <v>2800000</v>
      </c>
      <c r="N236" s="9">
        <f t="shared" si="8"/>
        <v>3080000</v>
      </c>
      <c r="O236" s="6">
        <v>49</v>
      </c>
      <c r="P236" s="6">
        <v>36.3</v>
      </c>
      <c r="Q236" s="6" t="s">
        <v>99</v>
      </c>
      <c r="R236" s="6">
        <v>44</v>
      </c>
      <c r="S236" s="6">
        <v>37.3</v>
      </c>
      <c r="T236" s="6" t="s">
        <v>413</v>
      </c>
    </row>
    <row r="237" ht="28.5" customHeight="1" spans="1:20">
      <c r="A237" s="10" t="s">
        <v>789</v>
      </c>
      <c r="B237" s="10" t="s">
        <v>978</v>
      </c>
      <c r="C237" s="10"/>
      <c r="D237" s="10"/>
      <c r="E237" s="10"/>
      <c r="F237" s="21" t="s">
        <v>979</v>
      </c>
      <c r="G237" s="11"/>
      <c r="H237" s="11"/>
      <c r="I237" s="11" t="s">
        <v>980</v>
      </c>
      <c r="J237" s="10" t="s">
        <v>29</v>
      </c>
      <c r="K237" s="12">
        <v>2300000</v>
      </c>
      <c r="L237" s="13">
        <v>2400000</v>
      </c>
      <c r="M237" s="14">
        <v>2600000</v>
      </c>
      <c r="N237" s="9">
        <f t="shared" si="8"/>
        <v>2860000</v>
      </c>
      <c r="O237" s="10"/>
      <c r="P237" s="10"/>
      <c r="Q237" s="10"/>
      <c r="R237" s="10"/>
      <c r="S237" s="10"/>
      <c r="T237" s="10"/>
    </row>
    <row r="238" ht="57" customHeight="1" spans="1:20">
      <c r="A238" s="6" t="s">
        <v>789</v>
      </c>
      <c r="B238" s="6" t="s">
        <v>981</v>
      </c>
      <c r="C238" s="6"/>
      <c r="D238" s="6" t="s">
        <v>982</v>
      </c>
      <c r="E238" s="6" t="s">
        <v>814</v>
      </c>
      <c r="F238" s="7" t="s">
        <v>983</v>
      </c>
      <c r="G238" s="7"/>
      <c r="H238" s="7"/>
      <c r="I238" s="7" t="s">
        <v>984</v>
      </c>
      <c r="J238" s="6" t="s">
        <v>29</v>
      </c>
      <c r="K238" s="12">
        <v>2600000</v>
      </c>
      <c r="L238" s="13">
        <v>2750000</v>
      </c>
      <c r="M238" s="14">
        <v>2900000</v>
      </c>
      <c r="N238" s="9">
        <f t="shared" si="8"/>
        <v>3190000</v>
      </c>
      <c r="O238" s="6"/>
      <c r="P238" s="6"/>
      <c r="Q238" s="6"/>
      <c r="R238" s="6"/>
      <c r="S238" s="6"/>
      <c r="T238" s="6"/>
    </row>
    <row r="239" ht="42.75" customHeight="1" spans="1:20">
      <c r="A239" s="10" t="s">
        <v>789</v>
      </c>
      <c r="B239" s="10" t="s">
        <v>985</v>
      </c>
      <c r="C239" s="10"/>
      <c r="D239" s="10"/>
      <c r="E239" s="10"/>
      <c r="F239" s="21" t="s">
        <v>986</v>
      </c>
      <c r="G239" s="11"/>
      <c r="H239" s="11"/>
      <c r="I239" s="11" t="s">
        <v>987</v>
      </c>
      <c r="J239" s="10" t="s">
        <v>29</v>
      </c>
      <c r="K239" s="12">
        <v>2500000</v>
      </c>
      <c r="L239" s="13">
        <v>2650000</v>
      </c>
      <c r="M239" s="14">
        <v>2800000</v>
      </c>
      <c r="N239" s="9">
        <f t="shared" si="8"/>
        <v>3080000</v>
      </c>
      <c r="O239" s="10"/>
      <c r="P239" s="10"/>
      <c r="Q239" s="10"/>
      <c r="R239" s="10"/>
      <c r="S239" s="10"/>
      <c r="T239" s="10"/>
    </row>
    <row r="240" ht="42.75" customHeight="1" spans="1:20">
      <c r="A240" s="6" t="s">
        <v>789</v>
      </c>
      <c r="B240" s="6" t="s">
        <v>988</v>
      </c>
      <c r="C240" s="6"/>
      <c r="D240" s="6" t="s">
        <v>899</v>
      </c>
      <c r="E240" s="6" t="s">
        <v>989</v>
      </c>
      <c r="F240" s="7" t="s">
        <v>990</v>
      </c>
      <c r="G240" s="7"/>
      <c r="H240" s="7" t="s">
        <v>991</v>
      </c>
      <c r="I240" s="7"/>
      <c r="J240" s="6" t="s">
        <v>29</v>
      </c>
      <c r="K240" s="12">
        <v>2550000</v>
      </c>
      <c r="L240" s="13">
        <v>2650000</v>
      </c>
      <c r="M240" s="14">
        <v>2800000</v>
      </c>
      <c r="N240" s="9">
        <f t="shared" si="8"/>
        <v>3080000</v>
      </c>
      <c r="O240" s="6"/>
      <c r="P240" s="6"/>
      <c r="Q240" s="6"/>
      <c r="R240" s="6"/>
      <c r="S240" s="6"/>
      <c r="T240" s="6"/>
    </row>
    <row r="241" ht="28.5" customHeight="1" spans="1:20">
      <c r="A241" s="10" t="s">
        <v>789</v>
      </c>
      <c r="B241" s="10" t="s">
        <v>992</v>
      </c>
      <c r="C241" s="10" t="s">
        <v>25</v>
      </c>
      <c r="D241" s="10" t="s">
        <v>899</v>
      </c>
      <c r="E241" s="10" t="s">
        <v>849</v>
      </c>
      <c r="F241" s="11" t="s">
        <v>993</v>
      </c>
      <c r="G241" s="11"/>
      <c r="H241" s="11"/>
      <c r="I241" s="11"/>
      <c r="J241" s="10" t="s">
        <v>82</v>
      </c>
      <c r="K241" s="8"/>
      <c r="L241" s="8"/>
      <c r="M241" s="8"/>
      <c r="N241" s="9" t="str">
        <f t="shared" si="8"/>
        <v/>
      </c>
      <c r="O241" s="10"/>
      <c r="P241" s="10"/>
      <c r="Q241" s="10"/>
      <c r="R241" s="10"/>
      <c r="S241" s="10"/>
      <c r="T241" s="10"/>
    </row>
    <row r="242" ht="28.5" customHeight="1" spans="1:20">
      <c r="A242" s="6" t="s">
        <v>789</v>
      </c>
      <c r="B242" s="6" t="s">
        <v>994</v>
      </c>
      <c r="C242" s="6" t="s">
        <v>25</v>
      </c>
      <c r="D242" s="6" t="s">
        <v>995</v>
      </c>
      <c r="E242" s="6" t="s">
        <v>849</v>
      </c>
      <c r="F242" s="7" t="s">
        <v>996</v>
      </c>
      <c r="G242" s="7"/>
      <c r="H242" s="7"/>
      <c r="I242" s="7"/>
      <c r="J242" s="6" t="s">
        <v>82</v>
      </c>
      <c r="K242" s="8"/>
      <c r="L242" s="8"/>
      <c r="M242" s="8"/>
      <c r="N242" s="9" t="str">
        <f t="shared" si="8"/>
        <v/>
      </c>
      <c r="O242" s="6"/>
      <c r="P242" s="6"/>
      <c r="Q242" s="6"/>
      <c r="R242" s="6"/>
      <c r="S242" s="6"/>
      <c r="T242" s="6"/>
    </row>
    <row r="243" ht="28.5" customHeight="1" spans="1:20">
      <c r="A243" s="10" t="s">
        <v>789</v>
      </c>
      <c r="B243" s="10" t="s">
        <v>997</v>
      </c>
      <c r="C243" s="10" t="s">
        <v>25</v>
      </c>
      <c r="D243" s="10" t="s">
        <v>899</v>
      </c>
      <c r="E243" s="10" t="s">
        <v>849</v>
      </c>
      <c r="F243" s="11" t="s">
        <v>998</v>
      </c>
      <c r="G243" s="11"/>
      <c r="H243" s="11"/>
      <c r="I243" s="11"/>
      <c r="J243" s="10" t="s">
        <v>82</v>
      </c>
      <c r="K243" s="8"/>
      <c r="L243" s="8"/>
      <c r="M243" s="8"/>
      <c r="N243" s="9" t="str">
        <f t="shared" si="8"/>
        <v/>
      </c>
      <c r="O243" s="10"/>
      <c r="P243" s="10"/>
      <c r="Q243" s="10"/>
      <c r="R243" s="10"/>
      <c r="S243" s="10"/>
      <c r="T243" s="10"/>
    </row>
    <row r="244" ht="28.5" customHeight="1" spans="1:20">
      <c r="A244" s="6" t="s">
        <v>789</v>
      </c>
      <c r="B244" s="6" t="s">
        <v>999</v>
      </c>
      <c r="C244" s="6" t="s">
        <v>25</v>
      </c>
      <c r="D244" s="6" t="s">
        <v>899</v>
      </c>
      <c r="E244" s="6" t="s">
        <v>814</v>
      </c>
      <c r="F244" s="7" t="s">
        <v>1000</v>
      </c>
      <c r="G244" s="7"/>
      <c r="H244" s="7"/>
      <c r="I244" s="7"/>
      <c r="J244" s="6" t="s">
        <v>82</v>
      </c>
      <c r="K244" s="8"/>
      <c r="L244" s="8"/>
      <c r="M244" s="8"/>
      <c r="N244" s="9" t="str">
        <f t="shared" si="8"/>
        <v/>
      </c>
      <c r="O244" s="6"/>
      <c r="P244" s="6"/>
      <c r="Q244" s="6"/>
      <c r="R244" s="6"/>
      <c r="S244" s="6"/>
      <c r="T244" s="6"/>
    </row>
    <row r="245" ht="29.25" customHeight="1" spans="1:20">
      <c r="A245" s="5" t="s">
        <v>1001</v>
      </c>
      <c r="B245" s="5"/>
      <c r="C245" s="5"/>
      <c r="D245" s="5"/>
      <c r="E245" s="5"/>
      <c r="F245" s="5"/>
      <c r="G245" s="5"/>
      <c r="H245" s="5"/>
      <c r="I245" s="5"/>
      <c r="J245" s="5"/>
      <c r="K245" s="20"/>
      <c r="L245" s="20"/>
      <c r="M245" s="20"/>
      <c r="N245" s="20"/>
      <c r="O245" s="5"/>
      <c r="P245" s="5"/>
      <c r="Q245" s="5"/>
      <c r="R245" s="5"/>
      <c r="S245" s="5"/>
      <c r="T245" s="5"/>
    </row>
    <row r="246" ht="21.75" customHeight="1" spans="1:20">
      <c r="A246" s="6" t="s">
        <v>702</v>
      </c>
      <c r="B246" s="6"/>
      <c r="C246" s="6"/>
      <c r="D246" s="6" t="s">
        <v>1002</v>
      </c>
      <c r="E246" s="6" t="s">
        <v>1003</v>
      </c>
      <c r="F246" s="7" t="s">
        <v>1004</v>
      </c>
      <c r="G246" s="7" t="s">
        <v>1005</v>
      </c>
      <c r="H246" s="7" t="s">
        <v>1006</v>
      </c>
      <c r="I246" s="7" t="s">
        <v>1007</v>
      </c>
      <c r="J246" s="6"/>
      <c r="K246" s="8"/>
      <c r="L246" s="8"/>
      <c r="M246" s="8"/>
      <c r="N246" s="9"/>
      <c r="O246" s="6"/>
      <c r="P246" s="6"/>
      <c r="Q246" s="6"/>
      <c r="R246" s="6"/>
      <c r="S246" s="6"/>
      <c r="T246" s="6"/>
    </row>
    <row r="247" s="24" customFormat="1" ht="42.75" customHeight="1" spans="1:20">
      <c r="A247" s="10" t="s">
        <v>702</v>
      </c>
      <c r="B247" s="10" t="s">
        <v>1008</v>
      </c>
      <c r="C247" s="10" t="s">
        <v>85</v>
      </c>
      <c r="D247" s="10" t="s">
        <v>1002</v>
      </c>
      <c r="E247" s="10" t="s">
        <v>1009</v>
      </c>
      <c r="F247" s="11" t="s">
        <v>1010</v>
      </c>
      <c r="G247" s="11" t="s">
        <v>869</v>
      </c>
      <c r="H247" s="11" t="s">
        <v>1011</v>
      </c>
      <c r="I247" s="11" t="s">
        <v>1012</v>
      </c>
      <c r="J247" s="10" t="s">
        <v>29</v>
      </c>
      <c r="K247" s="12">
        <v>8200000</v>
      </c>
      <c r="L247" s="13">
        <v>8700000</v>
      </c>
      <c r="M247" s="14">
        <v>9300000</v>
      </c>
      <c r="N247" s="9">
        <f t="shared" ref="N247:N282" si="9">IF($M247="","",ROUND($M247*1.1,0))</f>
        <v>10230000</v>
      </c>
      <c r="O247" s="10">
        <v>65</v>
      </c>
      <c r="P247" s="10">
        <v>48.6</v>
      </c>
      <c r="Q247" s="10" t="s">
        <v>99</v>
      </c>
      <c r="R247" s="10">
        <v>56</v>
      </c>
      <c r="S247" s="10">
        <v>48.8</v>
      </c>
      <c r="T247" s="10">
        <v>11</v>
      </c>
    </row>
    <row r="248" ht="57" customHeight="1" spans="1:20">
      <c r="A248" s="6" t="s">
        <v>702</v>
      </c>
      <c r="B248" s="6" t="s">
        <v>1013</v>
      </c>
      <c r="C248" s="6" t="s">
        <v>85</v>
      </c>
      <c r="D248" s="6" t="s">
        <v>1014</v>
      </c>
      <c r="E248" s="6"/>
      <c r="F248" s="7" t="s">
        <v>1015</v>
      </c>
      <c r="G248" s="7" t="s">
        <v>1016</v>
      </c>
      <c r="H248" s="7"/>
      <c r="I248" s="7"/>
      <c r="J248" s="6" t="s">
        <v>129</v>
      </c>
      <c r="K248" s="12">
        <v>2900000</v>
      </c>
      <c r="L248" s="13">
        <v>3100000</v>
      </c>
      <c r="M248" s="14">
        <v>3300000</v>
      </c>
      <c r="N248" s="9">
        <f t="shared" si="9"/>
        <v>3630000</v>
      </c>
      <c r="O248" s="6"/>
      <c r="P248" s="6"/>
      <c r="Q248" s="6"/>
      <c r="R248" s="6"/>
      <c r="S248" s="6"/>
      <c r="T248" s="6"/>
    </row>
    <row r="249" ht="27.75" customHeight="1" spans="1:20">
      <c r="A249" s="10" t="s">
        <v>702</v>
      </c>
      <c r="B249" s="10" t="s">
        <v>1017</v>
      </c>
      <c r="C249" s="10" t="s">
        <v>85</v>
      </c>
      <c r="D249" s="10" t="s">
        <v>86</v>
      </c>
      <c r="E249" s="10" t="s">
        <v>1018</v>
      </c>
      <c r="F249" s="11" t="s">
        <v>1019</v>
      </c>
      <c r="G249" s="11" t="s">
        <v>1020</v>
      </c>
      <c r="H249" s="11" t="s">
        <v>1021</v>
      </c>
      <c r="I249" s="11"/>
      <c r="J249" s="10" t="s">
        <v>29</v>
      </c>
      <c r="K249" s="12">
        <v>2250000</v>
      </c>
      <c r="L249" s="13">
        <v>2350000</v>
      </c>
      <c r="M249" s="14">
        <v>2500000</v>
      </c>
      <c r="N249" s="9">
        <f t="shared" si="9"/>
        <v>2750000</v>
      </c>
      <c r="O249" s="10">
        <v>52.5</v>
      </c>
      <c r="P249" s="10">
        <v>38.1</v>
      </c>
      <c r="Q249" s="10" t="s">
        <v>100</v>
      </c>
      <c r="R249" s="10">
        <v>44.3</v>
      </c>
      <c r="S249" s="10">
        <v>37.7</v>
      </c>
      <c r="T249" s="10">
        <v>8</v>
      </c>
    </row>
    <row r="250" ht="171" customHeight="1" spans="1:20">
      <c r="A250" s="6" t="s">
        <v>702</v>
      </c>
      <c r="B250" s="6" t="s">
        <v>1022</v>
      </c>
      <c r="C250" s="6" t="s">
        <v>85</v>
      </c>
      <c r="D250" s="6" t="s">
        <v>690</v>
      </c>
      <c r="E250" s="6" t="s">
        <v>727</v>
      </c>
      <c r="F250" s="7" t="s">
        <v>1023</v>
      </c>
      <c r="G250" s="7"/>
      <c r="H250" s="7" t="s">
        <v>1024</v>
      </c>
      <c r="I250" s="7"/>
      <c r="J250" s="6" t="s">
        <v>129</v>
      </c>
      <c r="K250" s="12">
        <v>3800000</v>
      </c>
      <c r="L250" s="13">
        <v>4000000</v>
      </c>
      <c r="M250" s="14">
        <v>4300000</v>
      </c>
      <c r="N250" s="9">
        <f t="shared" si="9"/>
        <v>4730000</v>
      </c>
      <c r="O250" s="6"/>
      <c r="P250" s="6"/>
      <c r="Q250" s="6"/>
      <c r="R250" s="6"/>
      <c r="S250" s="6"/>
      <c r="T250" s="6"/>
    </row>
    <row r="251" ht="27.75" customHeight="1" spans="1:20">
      <c r="A251" s="10" t="s">
        <v>1025</v>
      </c>
      <c r="B251" s="10" t="s">
        <v>1026</v>
      </c>
      <c r="C251" s="10" t="s">
        <v>85</v>
      </c>
      <c r="D251" s="10" t="s">
        <v>690</v>
      </c>
      <c r="E251" s="10" t="s">
        <v>727</v>
      </c>
      <c r="F251" s="11" t="s">
        <v>1023</v>
      </c>
      <c r="G251" s="11"/>
      <c r="H251" s="11" t="s">
        <v>1024</v>
      </c>
      <c r="I251" s="11"/>
      <c r="J251" s="10" t="s">
        <v>47</v>
      </c>
      <c r="K251" s="8"/>
      <c r="L251" s="8"/>
      <c r="M251" s="8"/>
      <c r="N251" s="9" t="str">
        <f t="shared" si="9"/>
        <v/>
      </c>
      <c r="O251" s="10"/>
      <c r="P251" s="10"/>
      <c r="Q251" s="10"/>
      <c r="R251" s="10"/>
      <c r="S251" s="10"/>
      <c r="T251" s="10"/>
    </row>
    <row r="252" ht="27.75" customHeight="1" spans="1:20">
      <c r="A252" s="6" t="s">
        <v>702</v>
      </c>
      <c r="B252" s="6" t="s">
        <v>1027</v>
      </c>
      <c r="C252" s="6" t="s">
        <v>85</v>
      </c>
      <c r="D252" s="6" t="s">
        <v>144</v>
      </c>
      <c r="E252" s="6" t="s">
        <v>1028</v>
      </c>
      <c r="F252" s="7" t="s">
        <v>1029</v>
      </c>
      <c r="G252" s="7" t="s">
        <v>1030</v>
      </c>
      <c r="H252" s="7" t="s">
        <v>1031</v>
      </c>
      <c r="I252" s="7"/>
      <c r="J252" s="6" t="s">
        <v>129</v>
      </c>
      <c r="K252" s="12">
        <v>5000000</v>
      </c>
      <c r="L252" s="13">
        <v>5300000</v>
      </c>
      <c r="M252" s="14">
        <v>5500000</v>
      </c>
      <c r="N252" s="9">
        <f t="shared" si="9"/>
        <v>6050000</v>
      </c>
      <c r="O252" s="6"/>
      <c r="P252" s="6"/>
      <c r="Q252" s="6"/>
      <c r="R252" s="6"/>
      <c r="S252" s="6"/>
      <c r="T252" s="6"/>
    </row>
    <row r="253" ht="42.75" customHeight="1" spans="1:20">
      <c r="A253" s="10" t="s">
        <v>702</v>
      </c>
      <c r="B253" s="10" t="s">
        <v>1032</v>
      </c>
      <c r="C253" s="10" t="s">
        <v>25</v>
      </c>
      <c r="D253" s="10" t="s">
        <v>1033</v>
      </c>
      <c r="E253" s="10" t="s">
        <v>1034</v>
      </c>
      <c r="F253" s="11" t="s">
        <v>1035</v>
      </c>
      <c r="G253" s="11" t="s">
        <v>1036</v>
      </c>
      <c r="H253" s="11" t="s">
        <v>1037</v>
      </c>
      <c r="I253" s="11"/>
      <c r="J253" s="10" t="s">
        <v>47</v>
      </c>
      <c r="K253" s="12">
        <v>2300000</v>
      </c>
      <c r="L253" s="13">
        <v>2400000</v>
      </c>
      <c r="M253" s="14">
        <v>2600000</v>
      </c>
      <c r="N253" s="9">
        <f t="shared" si="9"/>
        <v>2860000</v>
      </c>
      <c r="O253" s="10"/>
      <c r="P253" s="10"/>
      <c r="Q253" s="10"/>
      <c r="R253" s="10"/>
      <c r="S253" s="10"/>
      <c r="T253" s="10"/>
    </row>
    <row r="254" ht="28.5" customHeight="1" spans="1:20">
      <c r="A254" s="6" t="s">
        <v>702</v>
      </c>
      <c r="B254" s="6" t="s">
        <v>1038</v>
      </c>
      <c r="C254" s="6" t="s">
        <v>85</v>
      </c>
      <c r="D254" s="6" t="s">
        <v>708</v>
      </c>
      <c r="E254" s="6" t="s">
        <v>1039</v>
      </c>
      <c r="F254" s="7" t="s">
        <v>1040</v>
      </c>
      <c r="G254" s="7"/>
      <c r="H254" s="7"/>
      <c r="I254" s="7"/>
      <c r="J254" s="6" t="s">
        <v>29</v>
      </c>
      <c r="K254" s="12">
        <v>2550000</v>
      </c>
      <c r="L254" s="13">
        <v>2700000</v>
      </c>
      <c r="M254" s="14">
        <v>2850000</v>
      </c>
      <c r="N254" s="9">
        <f t="shared" si="9"/>
        <v>3135000</v>
      </c>
      <c r="O254" s="6">
        <v>52.5</v>
      </c>
      <c r="P254" s="6">
        <v>36.8</v>
      </c>
      <c r="Q254" s="6" t="s">
        <v>90</v>
      </c>
      <c r="R254" s="6">
        <v>52.5</v>
      </c>
      <c r="S254" s="6">
        <v>44</v>
      </c>
      <c r="T254" s="6">
        <v>12</v>
      </c>
    </row>
    <row r="255" customHeight="1" spans="1:20">
      <c r="A255" s="10" t="s">
        <v>702</v>
      </c>
      <c r="B255" s="10" t="s">
        <v>1041</v>
      </c>
      <c r="C255" s="10" t="s">
        <v>85</v>
      </c>
      <c r="D255" s="10" t="s">
        <v>678</v>
      </c>
      <c r="E255" s="10" t="s">
        <v>1042</v>
      </c>
      <c r="F255" s="11" t="s">
        <v>1043</v>
      </c>
      <c r="G255" s="11" t="s">
        <v>647</v>
      </c>
      <c r="H255" s="11" t="s">
        <v>1044</v>
      </c>
      <c r="I255" s="11"/>
      <c r="J255" s="10" t="s">
        <v>1045</v>
      </c>
      <c r="K255" s="8"/>
      <c r="L255" s="8"/>
      <c r="M255" s="8"/>
      <c r="N255" s="9" t="str">
        <f t="shared" si="9"/>
        <v/>
      </c>
      <c r="O255" s="10">
        <v>48</v>
      </c>
      <c r="P255" s="10">
        <v>37.2</v>
      </c>
      <c r="Q255" s="10" t="s">
        <v>99</v>
      </c>
      <c r="R255" s="10">
        <v>44.4</v>
      </c>
      <c r="S255" s="10">
        <v>37.6</v>
      </c>
      <c r="T255" s="10">
        <v>8</v>
      </c>
    </row>
    <row r="256" customHeight="1" spans="1:20">
      <c r="A256" s="6" t="s">
        <v>702</v>
      </c>
      <c r="B256" s="6" t="s">
        <v>1046</v>
      </c>
      <c r="C256" s="6" t="s">
        <v>85</v>
      </c>
      <c r="D256" s="6" t="s">
        <v>1047</v>
      </c>
      <c r="E256" s="6" t="s">
        <v>1003</v>
      </c>
      <c r="F256" s="7" t="s">
        <v>1048</v>
      </c>
      <c r="G256" s="7" t="s">
        <v>1049</v>
      </c>
      <c r="H256" s="7" t="s">
        <v>1050</v>
      </c>
      <c r="I256" s="7"/>
      <c r="J256" s="6" t="s">
        <v>33</v>
      </c>
      <c r="K256" s="12">
        <v>6100000</v>
      </c>
      <c r="L256" s="13">
        <v>6450000</v>
      </c>
      <c r="M256" s="14">
        <v>6900000</v>
      </c>
      <c r="N256" s="9">
        <f t="shared" si="9"/>
        <v>7590000</v>
      </c>
      <c r="O256" s="6"/>
      <c r="P256" s="6"/>
      <c r="Q256" s="6"/>
      <c r="R256" s="6"/>
      <c r="S256" s="6"/>
      <c r="T256" s="6"/>
    </row>
    <row r="257" ht="28.5" customHeight="1" spans="1:20">
      <c r="A257" s="10" t="s">
        <v>702</v>
      </c>
      <c r="B257" s="10" t="s">
        <v>1051</v>
      </c>
      <c r="C257" s="10" t="s">
        <v>85</v>
      </c>
      <c r="D257" s="10" t="s">
        <v>86</v>
      </c>
      <c r="E257" s="10" t="s">
        <v>1052</v>
      </c>
      <c r="F257" s="11" t="s">
        <v>1053</v>
      </c>
      <c r="G257" s="11"/>
      <c r="H257" s="11" t="s">
        <v>1050</v>
      </c>
      <c r="I257" s="11"/>
      <c r="J257" s="10" t="s">
        <v>33</v>
      </c>
      <c r="K257" s="12">
        <v>3800000</v>
      </c>
      <c r="L257" s="13">
        <v>4000000</v>
      </c>
      <c r="M257" s="14">
        <v>4200000</v>
      </c>
      <c r="N257" s="9">
        <f t="shared" si="9"/>
        <v>4620000</v>
      </c>
      <c r="O257" s="10"/>
      <c r="P257" s="10"/>
      <c r="Q257" s="10"/>
      <c r="R257" s="10"/>
      <c r="S257" s="10"/>
      <c r="T257" s="10"/>
    </row>
    <row r="258" ht="28.5" customHeight="1" spans="1:20">
      <c r="A258" s="6" t="s">
        <v>702</v>
      </c>
      <c r="B258" s="6" t="s">
        <v>1054</v>
      </c>
      <c r="C258" s="6" t="s">
        <v>85</v>
      </c>
      <c r="D258" s="6" t="s">
        <v>1047</v>
      </c>
      <c r="E258" s="6" t="s">
        <v>1055</v>
      </c>
      <c r="F258" s="7" t="s">
        <v>1056</v>
      </c>
      <c r="G258" s="7" t="s">
        <v>1057</v>
      </c>
      <c r="H258" s="7" t="s">
        <v>1050</v>
      </c>
      <c r="I258" s="7" t="s">
        <v>1058</v>
      </c>
      <c r="J258" s="6" t="s">
        <v>29</v>
      </c>
      <c r="K258" s="8"/>
      <c r="L258" s="8"/>
      <c r="M258" s="8"/>
      <c r="N258" s="9" t="str">
        <f t="shared" si="9"/>
        <v/>
      </c>
      <c r="O258" s="6">
        <v>52.6</v>
      </c>
      <c r="P258" s="6">
        <v>40.8</v>
      </c>
      <c r="Q258" s="6" t="s">
        <v>99</v>
      </c>
      <c r="R258" s="6">
        <v>52.5</v>
      </c>
      <c r="S258" s="6">
        <v>42.6</v>
      </c>
      <c r="T258" s="6">
        <v>9</v>
      </c>
    </row>
    <row r="259" ht="114" customHeight="1" spans="1:20">
      <c r="A259" s="10" t="s">
        <v>702</v>
      </c>
      <c r="B259" s="10" t="s">
        <v>1059</v>
      </c>
      <c r="C259" s="10" t="s">
        <v>85</v>
      </c>
      <c r="D259" s="10" t="s">
        <v>678</v>
      </c>
      <c r="E259" s="10" t="s">
        <v>1060</v>
      </c>
      <c r="F259" s="11" t="s">
        <v>1061</v>
      </c>
      <c r="G259" s="11" t="s">
        <v>1062</v>
      </c>
      <c r="H259" s="11" t="s">
        <v>1063</v>
      </c>
      <c r="I259" s="11"/>
      <c r="J259" s="10" t="s">
        <v>1064</v>
      </c>
      <c r="K259" s="8"/>
      <c r="L259" s="8"/>
      <c r="M259" s="8"/>
      <c r="N259" s="9" t="str">
        <f t="shared" si="9"/>
        <v/>
      </c>
      <c r="O259" s="10">
        <v>52.5</v>
      </c>
      <c r="P259" s="10">
        <v>39.1</v>
      </c>
      <c r="Q259" s="10" t="s">
        <v>99</v>
      </c>
      <c r="R259" s="10">
        <v>44.4</v>
      </c>
      <c r="S259" s="10">
        <v>37.6</v>
      </c>
      <c r="T259" s="10">
        <v>8</v>
      </c>
    </row>
    <row r="260" ht="171" customHeight="1" spans="1:20">
      <c r="A260" s="6" t="s">
        <v>1025</v>
      </c>
      <c r="B260" s="6" t="s">
        <v>1065</v>
      </c>
      <c r="C260" s="6" t="s">
        <v>85</v>
      </c>
      <c r="D260" s="6" t="s">
        <v>678</v>
      </c>
      <c r="E260" s="6" t="s">
        <v>1060</v>
      </c>
      <c r="F260" s="7" t="s">
        <v>1061</v>
      </c>
      <c r="G260" s="7" t="s">
        <v>1062</v>
      </c>
      <c r="H260" s="7" t="s">
        <v>1063</v>
      </c>
      <c r="I260" s="7"/>
      <c r="J260" s="6" t="s">
        <v>29</v>
      </c>
      <c r="K260" s="8"/>
      <c r="L260" s="8"/>
      <c r="M260" s="8"/>
      <c r="N260" s="9" t="str">
        <f t="shared" si="9"/>
        <v/>
      </c>
      <c r="O260" s="6">
        <v>52.5</v>
      </c>
      <c r="P260" s="6">
        <v>39.1</v>
      </c>
      <c r="Q260" s="6" t="s">
        <v>99</v>
      </c>
      <c r="R260" s="6">
        <v>44.4</v>
      </c>
      <c r="S260" s="6">
        <v>37.6</v>
      </c>
      <c r="T260" s="6">
        <v>8</v>
      </c>
    </row>
    <row r="261" ht="171" customHeight="1" spans="1:20">
      <c r="A261" s="10" t="s">
        <v>702</v>
      </c>
      <c r="B261" s="10" t="s">
        <v>1066</v>
      </c>
      <c r="C261" s="10" t="s">
        <v>85</v>
      </c>
      <c r="D261" s="10" t="s">
        <v>678</v>
      </c>
      <c r="E261" s="10" t="s">
        <v>1052</v>
      </c>
      <c r="F261" s="11" t="s">
        <v>1067</v>
      </c>
      <c r="G261" s="11" t="s">
        <v>647</v>
      </c>
      <c r="H261" s="11" t="s">
        <v>1050</v>
      </c>
      <c r="I261" s="11"/>
      <c r="J261" s="10" t="s">
        <v>29</v>
      </c>
      <c r="K261" s="12">
        <v>2400000</v>
      </c>
      <c r="L261" s="13">
        <v>2600000</v>
      </c>
      <c r="M261" s="14">
        <v>2800000</v>
      </c>
      <c r="N261" s="9">
        <f t="shared" si="9"/>
        <v>3080000</v>
      </c>
      <c r="O261" s="10">
        <v>47</v>
      </c>
      <c r="P261" s="10">
        <v>35.3</v>
      </c>
      <c r="Q261" s="10" t="s">
        <v>99</v>
      </c>
      <c r="R261" s="10">
        <v>44.3</v>
      </c>
      <c r="S261" s="10">
        <v>37.7</v>
      </c>
      <c r="T261" s="10">
        <v>8</v>
      </c>
    </row>
    <row r="262" ht="28.5" customHeight="1" spans="1:20">
      <c r="A262" s="6" t="s">
        <v>702</v>
      </c>
      <c r="B262" s="6" t="s">
        <v>1068</v>
      </c>
      <c r="C262" s="6" t="s">
        <v>25</v>
      </c>
      <c r="D262" s="6" t="s">
        <v>1069</v>
      </c>
      <c r="E262" s="6" t="s">
        <v>1070</v>
      </c>
      <c r="F262" s="7" t="s">
        <v>1071</v>
      </c>
      <c r="G262" s="7" t="s">
        <v>1072</v>
      </c>
      <c r="H262" s="7" t="s">
        <v>1073</v>
      </c>
      <c r="I262" s="7" t="s">
        <v>1074</v>
      </c>
      <c r="J262" s="6" t="s">
        <v>29</v>
      </c>
      <c r="K262" s="12">
        <v>2650000</v>
      </c>
      <c r="L262" s="13">
        <v>2800000</v>
      </c>
      <c r="M262" s="14">
        <v>2950000</v>
      </c>
      <c r="N262" s="9">
        <f t="shared" si="9"/>
        <v>3245000</v>
      </c>
      <c r="O262" s="6">
        <v>60.2</v>
      </c>
      <c r="P262" s="6">
        <v>46.4</v>
      </c>
      <c r="Q262" s="6" t="s">
        <v>99</v>
      </c>
      <c r="R262" s="6">
        <v>54</v>
      </c>
      <c r="S262" s="6">
        <v>46.9</v>
      </c>
      <c r="T262" s="6">
        <v>9</v>
      </c>
    </row>
    <row r="263" ht="213.75" customHeight="1" spans="1:20">
      <c r="A263" s="10" t="s">
        <v>702</v>
      </c>
      <c r="B263" s="10" t="s">
        <v>1075</v>
      </c>
      <c r="C263" s="10" t="s">
        <v>25</v>
      </c>
      <c r="D263" s="10" t="s">
        <v>1076</v>
      </c>
      <c r="E263" s="10" t="s">
        <v>1077</v>
      </c>
      <c r="F263" s="11" t="s">
        <v>1078</v>
      </c>
      <c r="G263" s="11" t="s">
        <v>1079</v>
      </c>
      <c r="H263" s="11" t="s">
        <v>1037</v>
      </c>
      <c r="I263" s="11"/>
      <c r="J263" s="10" t="s">
        <v>29</v>
      </c>
      <c r="K263" s="8"/>
      <c r="L263" s="8"/>
      <c r="M263" s="8"/>
      <c r="N263" s="9" t="str">
        <f t="shared" si="9"/>
        <v/>
      </c>
      <c r="O263" s="10">
        <v>56</v>
      </c>
      <c r="P263" s="10">
        <v>41.4</v>
      </c>
      <c r="Q263" s="10" t="s">
        <v>99</v>
      </c>
      <c r="R263" s="10">
        <v>50.5</v>
      </c>
      <c r="S263" s="10">
        <v>42.8</v>
      </c>
      <c r="T263" s="10">
        <v>9</v>
      </c>
    </row>
    <row r="264" ht="57" customHeight="1" spans="1:20">
      <c r="A264" s="6" t="s">
        <v>702</v>
      </c>
      <c r="B264" s="6" t="s">
        <v>1080</v>
      </c>
      <c r="C264" s="6" t="s">
        <v>25</v>
      </c>
      <c r="D264" s="6" t="s">
        <v>1076</v>
      </c>
      <c r="E264" s="6" t="s">
        <v>1081</v>
      </c>
      <c r="F264" s="7" t="s">
        <v>1082</v>
      </c>
      <c r="G264" s="7" t="s">
        <v>1083</v>
      </c>
      <c r="H264" s="7" t="s">
        <v>776</v>
      </c>
      <c r="I264" s="7" t="s">
        <v>1084</v>
      </c>
      <c r="J264" s="6" t="s">
        <v>1085</v>
      </c>
      <c r="K264" s="8"/>
      <c r="L264" s="8"/>
      <c r="M264" s="8"/>
      <c r="N264" s="9" t="str">
        <f t="shared" si="9"/>
        <v/>
      </c>
      <c r="O264" s="6"/>
      <c r="P264" s="6"/>
      <c r="Q264" s="6"/>
      <c r="R264" s="6"/>
      <c r="S264" s="6"/>
      <c r="T264" s="6"/>
    </row>
    <row r="265" ht="28.5" customHeight="1" spans="1:20">
      <c r="A265" s="10" t="s">
        <v>702</v>
      </c>
      <c r="B265" s="10" t="s">
        <v>1086</v>
      </c>
      <c r="C265" s="10" t="s">
        <v>25</v>
      </c>
      <c r="D265" s="10" t="s">
        <v>1076</v>
      </c>
      <c r="E265" s="10" t="s">
        <v>1077</v>
      </c>
      <c r="F265" s="11" t="s">
        <v>1087</v>
      </c>
      <c r="G265" s="11" t="s">
        <v>1088</v>
      </c>
      <c r="H265" s="11" t="s">
        <v>1037</v>
      </c>
      <c r="I265" s="11"/>
      <c r="J265" s="10" t="s">
        <v>29</v>
      </c>
      <c r="K265" s="12">
        <v>2500000</v>
      </c>
      <c r="L265" s="13">
        <v>2650000</v>
      </c>
      <c r="M265" s="14">
        <v>2800000</v>
      </c>
      <c r="N265" s="9">
        <f t="shared" si="9"/>
        <v>3080000</v>
      </c>
      <c r="O265" s="10">
        <v>56</v>
      </c>
      <c r="P265" s="10">
        <v>41.4</v>
      </c>
      <c r="Q265" s="10" t="s">
        <v>99</v>
      </c>
      <c r="R265" s="10">
        <v>50.5</v>
      </c>
      <c r="S265" s="10">
        <v>42.8</v>
      </c>
      <c r="T265" s="10">
        <v>9</v>
      </c>
    </row>
    <row r="266" ht="71.25" customHeight="1" spans="1:20">
      <c r="A266" s="6" t="s">
        <v>702</v>
      </c>
      <c r="B266" s="6" t="s">
        <v>1089</v>
      </c>
      <c r="C266" s="6" t="s">
        <v>25</v>
      </c>
      <c r="D266" s="6" t="s">
        <v>1076</v>
      </c>
      <c r="E266" s="6" t="s">
        <v>1090</v>
      </c>
      <c r="F266" s="7" t="s">
        <v>1091</v>
      </c>
      <c r="G266" s="7" t="s">
        <v>1092</v>
      </c>
      <c r="H266" s="7" t="s">
        <v>1093</v>
      </c>
      <c r="I266" s="7"/>
      <c r="J266" s="6" t="s">
        <v>129</v>
      </c>
      <c r="K266" s="12">
        <v>2700000</v>
      </c>
      <c r="L266" s="13">
        <v>2900000</v>
      </c>
      <c r="M266" s="14">
        <v>3100000</v>
      </c>
      <c r="N266" s="9">
        <f t="shared" si="9"/>
        <v>3410000</v>
      </c>
      <c r="O266" s="6"/>
      <c r="P266" s="6"/>
      <c r="Q266" s="6"/>
      <c r="R266" s="6"/>
      <c r="S266" s="6"/>
      <c r="T266" s="6"/>
    </row>
    <row r="267" ht="42.75" customHeight="1" spans="1:20">
      <c r="A267" s="10" t="s">
        <v>702</v>
      </c>
      <c r="B267" s="10" t="s">
        <v>1094</v>
      </c>
      <c r="C267" s="10" t="s">
        <v>25</v>
      </c>
      <c r="D267" s="10" t="s">
        <v>1095</v>
      </c>
      <c r="E267" s="10" t="s">
        <v>1077</v>
      </c>
      <c r="F267" s="11" t="s">
        <v>1096</v>
      </c>
      <c r="G267" s="11" t="s">
        <v>1097</v>
      </c>
      <c r="H267" s="11" t="s">
        <v>1093</v>
      </c>
      <c r="I267" s="11" t="s">
        <v>1098</v>
      </c>
      <c r="J267" s="10" t="s">
        <v>82</v>
      </c>
      <c r="K267" s="8"/>
      <c r="L267" s="8"/>
      <c r="M267" s="8"/>
      <c r="N267" s="9" t="str">
        <f t="shared" si="9"/>
        <v/>
      </c>
      <c r="O267" s="10"/>
      <c r="P267" s="10"/>
      <c r="Q267" s="10"/>
      <c r="R267" s="10"/>
      <c r="S267" s="10"/>
      <c r="T267" s="10"/>
    </row>
    <row r="268" ht="28.5" customHeight="1" spans="1:20">
      <c r="A268" s="6" t="s">
        <v>702</v>
      </c>
      <c r="B268" s="6" t="s">
        <v>1099</v>
      </c>
      <c r="C268" s="6" t="s">
        <v>85</v>
      </c>
      <c r="D268" s="6" t="s">
        <v>591</v>
      </c>
      <c r="E268" s="6" t="s">
        <v>639</v>
      </c>
      <c r="F268" s="7" t="s">
        <v>1100</v>
      </c>
      <c r="G268" s="7"/>
      <c r="H268" s="7"/>
      <c r="I268" s="7"/>
      <c r="J268" s="6" t="s">
        <v>29</v>
      </c>
      <c r="K268" s="12">
        <v>4450000</v>
      </c>
      <c r="L268" s="13">
        <v>4750000</v>
      </c>
      <c r="M268" s="14">
        <v>5050000</v>
      </c>
      <c r="N268" s="9">
        <f t="shared" si="9"/>
        <v>5555000</v>
      </c>
      <c r="O268" s="6">
        <v>82</v>
      </c>
      <c r="P268" s="6">
        <v>57.2</v>
      </c>
      <c r="Q268" s="6" t="s">
        <v>99</v>
      </c>
      <c r="R268" s="6">
        <v>75.43</v>
      </c>
      <c r="S268" s="6">
        <v>73.6</v>
      </c>
      <c r="T268" s="6" t="s">
        <v>597</v>
      </c>
    </row>
    <row r="269" ht="27.75" customHeight="1" spans="1:20">
      <c r="A269" s="10" t="s">
        <v>702</v>
      </c>
      <c r="B269" s="10" t="s">
        <v>1101</v>
      </c>
      <c r="C269" s="10" t="s">
        <v>85</v>
      </c>
      <c r="D269" s="10" t="s">
        <v>708</v>
      </c>
      <c r="E269" s="10" t="s">
        <v>679</v>
      </c>
      <c r="F269" s="11" t="s">
        <v>1102</v>
      </c>
      <c r="G269" s="11" t="s">
        <v>647</v>
      </c>
      <c r="H269" s="11"/>
      <c r="I269" s="11"/>
      <c r="J269" s="10" t="s">
        <v>33</v>
      </c>
      <c r="K269" s="12">
        <v>2950000</v>
      </c>
      <c r="L269" s="13">
        <v>3150000</v>
      </c>
      <c r="M269" s="14">
        <v>3350000</v>
      </c>
      <c r="N269" s="9">
        <f t="shared" si="9"/>
        <v>3685000</v>
      </c>
      <c r="O269" s="10">
        <v>52.5</v>
      </c>
      <c r="P269" s="10">
        <v>38.6</v>
      </c>
      <c r="Q269" s="10" t="s">
        <v>90</v>
      </c>
      <c r="R269" s="10">
        <v>52.5</v>
      </c>
      <c r="S269" s="10">
        <v>44</v>
      </c>
      <c r="T269" s="10">
        <v>12</v>
      </c>
    </row>
    <row r="270" ht="42.75" customHeight="1" spans="1:20">
      <c r="A270" s="6" t="s">
        <v>702</v>
      </c>
      <c r="B270" s="6" t="s">
        <v>1103</v>
      </c>
      <c r="C270" s="6" t="s">
        <v>25</v>
      </c>
      <c r="D270" s="6" t="s">
        <v>1104</v>
      </c>
      <c r="E270" s="6" t="s">
        <v>1105</v>
      </c>
      <c r="F270" s="7" t="s">
        <v>1106</v>
      </c>
      <c r="G270" s="7" t="s">
        <v>1107</v>
      </c>
      <c r="H270" s="7" t="s">
        <v>1108</v>
      </c>
      <c r="I270" s="7"/>
      <c r="J270" s="6"/>
      <c r="K270" s="12">
        <v>4500000</v>
      </c>
      <c r="L270" s="13">
        <v>4800000</v>
      </c>
      <c r="M270" s="14">
        <v>5000000</v>
      </c>
      <c r="N270" s="9">
        <f t="shared" si="9"/>
        <v>5500000</v>
      </c>
      <c r="O270" s="6">
        <v>56</v>
      </c>
      <c r="P270" s="6">
        <v>41.5</v>
      </c>
      <c r="Q270" s="6" t="s">
        <v>99</v>
      </c>
      <c r="R270" s="6">
        <v>50.4</v>
      </c>
      <c r="S270" s="6">
        <v>42.8</v>
      </c>
      <c r="T270" s="6">
        <v>9</v>
      </c>
    </row>
    <row r="271" ht="71.25" customHeight="1" spans="1:20">
      <c r="A271" s="10" t="s">
        <v>702</v>
      </c>
      <c r="B271" s="10" t="s">
        <v>1109</v>
      </c>
      <c r="C271" s="10" t="s">
        <v>25</v>
      </c>
      <c r="D271" s="10" t="s">
        <v>1110</v>
      </c>
      <c r="E271" s="10" t="s">
        <v>1111</v>
      </c>
      <c r="F271" s="11" t="s">
        <v>1112</v>
      </c>
      <c r="G271" s="11"/>
      <c r="H271" s="11" t="s">
        <v>1108</v>
      </c>
      <c r="I271" s="11"/>
      <c r="J271" s="10"/>
      <c r="K271" s="8"/>
      <c r="L271" s="8"/>
      <c r="M271" s="8"/>
      <c r="N271" s="9" t="str">
        <f t="shared" si="9"/>
        <v/>
      </c>
      <c r="O271" s="10">
        <v>51.3</v>
      </c>
      <c r="P271" s="10">
        <v>39.7</v>
      </c>
      <c r="Q271" s="10" t="s">
        <v>99</v>
      </c>
      <c r="R271" s="10">
        <v>50.3</v>
      </c>
      <c r="S271" s="10">
        <v>46.2</v>
      </c>
      <c r="T271" s="10">
        <v>10</v>
      </c>
    </row>
    <row r="272" ht="28.5" customHeight="1" spans="1:20">
      <c r="A272" s="6" t="s">
        <v>702</v>
      </c>
      <c r="B272" s="6" t="s">
        <v>1113</v>
      </c>
      <c r="C272" s="6" t="s">
        <v>85</v>
      </c>
      <c r="D272" s="6" t="s">
        <v>1114</v>
      </c>
      <c r="E272" s="6"/>
      <c r="F272" s="7" t="s">
        <v>1115</v>
      </c>
      <c r="G272" s="7"/>
      <c r="H272" s="7"/>
      <c r="I272" s="7" t="s">
        <v>1116</v>
      </c>
      <c r="J272" s="6" t="s">
        <v>82</v>
      </c>
      <c r="K272" s="12">
        <v>2650000</v>
      </c>
      <c r="L272" s="13">
        <v>2800000</v>
      </c>
      <c r="M272" s="14">
        <v>3000000</v>
      </c>
      <c r="N272" s="9">
        <f t="shared" si="9"/>
        <v>3300000</v>
      </c>
      <c r="O272" s="6">
        <v>48</v>
      </c>
      <c r="P272" s="6">
        <v>37.2</v>
      </c>
      <c r="Q272" s="6" t="s">
        <v>99</v>
      </c>
      <c r="R272" s="6">
        <v>44.4</v>
      </c>
      <c r="S272" s="6">
        <v>37.6</v>
      </c>
      <c r="T272" s="6">
        <v>8</v>
      </c>
    </row>
    <row r="273" ht="28.5" customHeight="1" spans="1:20">
      <c r="A273" s="10" t="s">
        <v>702</v>
      </c>
      <c r="B273" s="10" t="s">
        <v>1117</v>
      </c>
      <c r="C273" s="10" t="s">
        <v>25</v>
      </c>
      <c r="D273" s="10" t="s">
        <v>1118</v>
      </c>
      <c r="E273" s="10" t="s">
        <v>1119</v>
      </c>
      <c r="F273" s="11" t="s">
        <v>1120</v>
      </c>
      <c r="G273" s="11"/>
      <c r="H273" s="11" t="s">
        <v>1121</v>
      </c>
      <c r="I273" s="11" t="s">
        <v>1122</v>
      </c>
      <c r="J273" s="10" t="s">
        <v>47</v>
      </c>
      <c r="K273" s="8"/>
      <c r="L273" s="8"/>
      <c r="M273" s="8"/>
      <c r="N273" s="9" t="str">
        <f t="shared" si="9"/>
        <v/>
      </c>
      <c r="O273" s="10"/>
      <c r="P273" s="10"/>
      <c r="Q273" s="10"/>
      <c r="R273" s="10"/>
      <c r="S273" s="10"/>
      <c r="T273" s="10"/>
    </row>
    <row r="274" ht="28.5" customHeight="1" spans="1:20">
      <c r="A274" s="6" t="s">
        <v>702</v>
      </c>
      <c r="B274" s="6" t="s">
        <v>1123</v>
      </c>
      <c r="C274" s="6"/>
      <c r="D274" s="6"/>
      <c r="E274" s="6"/>
      <c r="F274" s="22" t="s">
        <v>1124</v>
      </c>
      <c r="G274" s="7"/>
      <c r="H274" s="7"/>
      <c r="I274" s="7" t="s">
        <v>1125</v>
      </c>
      <c r="J274" s="6" t="s">
        <v>82</v>
      </c>
      <c r="K274" s="8"/>
      <c r="L274" s="8"/>
      <c r="M274" s="8"/>
      <c r="N274" s="9" t="str">
        <f t="shared" si="9"/>
        <v/>
      </c>
      <c r="O274" s="6"/>
      <c r="P274" s="6"/>
      <c r="Q274" s="6"/>
      <c r="R274" s="6"/>
      <c r="S274" s="6"/>
      <c r="T274" s="6"/>
    </row>
    <row r="275" ht="42.75" customHeight="1" spans="1:20">
      <c r="A275" s="10" t="s">
        <v>702</v>
      </c>
      <c r="B275" s="10" t="s">
        <v>1126</v>
      </c>
      <c r="C275" s="10"/>
      <c r="D275" s="10"/>
      <c r="E275" s="10"/>
      <c r="F275" s="21" t="s">
        <v>1127</v>
      </c>
      <c r="G275" s="11"/>
      <c r="H275" s="11"/>
      <c r="I275" s="11" t="s">
        <v>1128</v>
      </c>
      <c r="J275" s="10" t="s">
        <v>29</v>
      </c>
      <c r="K275" s="8"/>
      <c r="L275" s="8"/>
      <c r="M275" s="8"/>
      <c r="N275" s="9" t="str">
        <f t="shared" si="9"/>
        <v/>
      </c>
      <c r="O275" s="10"/>
      <c r="P275" s="10"/>
      <c r="Q275" s="10"/>
      <c r="R275" s="10"/>
      <c r="S275" s="10"/>
      <c r="T275" s="10"/>
    </row>
    <row r="276" ht="42.75" customHeight="1" spans="1:20">
      <c r="A276" s="6" t="s">
        <v>702</v>
      </c>
      <c r="B276" s="6" t="s">
        <v>1129</v>
      </c>
      <c r="C276" s="6"/>
      <c r="D276" s="6"/>
      <c r="E276" s="6"/>
      <c r="F276" s="22" t="s">
        <v>1130</v>
      </c>
      <c r="G276" s="7"/>
      <c r="H276" s="7"/>
      <c r="I276" s="7" t="s">
        <v>1131</v>
      </c>
      <c r="J276" s="6" t="s">
        <v>29</v>
      </c>
      <c r="K276" s="12">
        <v>2300000</v>
      </c>
      <c r="L276" s="13">
        <v>2450000</v>
      </c>
      <c r="M276" s="14">
        <v>2650000</v>
      </c>
      <c r="N276" s="9">
        <f t="shared" si="9"/>
        <v>2915000</v>
      </c>
      <c r="O276" s="6"/>
      <c r="P276" s="6"/>
      <c r="Q276" s="6"/>
      <c r="R276" s="6"/>
      <c r="S276" s="6"/>
      <c r="T276" s="6"/>
    </row>
    <row r="277" ht="42.75" customHeight="1" spans="1:20">
      <c r="A277" s="10" t="s">
        <v>702</v>
      </c>
      <c r="B277" s="10" t="s">
        <v>1132</v>
      </c>
      <c r="C277" s="10" t="s">
        <v>85</v>
      </c>
      <c r="D277" s="10" t="s">
        <v>86</v>
      </c>
      <c r="E277" s="10" t="s">
        <v>1042</v>
      </c>
      <c r="F277" s="21" t="s">
        <v>1133</v>
      </c>
      <c r="G277" s="11"/>
      <c r="H277" s="11" t="s">
        <v>1134</v>
      </c>
      <c r="I277" s="11" t="s">
        <v>1135</v>
      </c>
      <c r="J277" s="10" t="s">
        <v>29</v>
      </c>
      <c r="K277" s="12">
        <v>2750000</v>
      </c>
      <c r="L277" s="13">
        <v>2900000</v>
      </c>
      <c r="M277" s="14">
        <v>3100000</v>
      </c>
      <c r="N277" s="9">
        <f t="shared" si="9"/>
        <v>3410000</v>
      </c>
      <c r="O277" s="10"/>
      <c r="P277" s="10"/>
      <c r="Q277" s="10"/>
      <c r="R277" s="10"/>
      <c r="S277" s="10"/>
      <c r="T277" s="10"/>
    </row>
    <row r="278" ht="42.75" customHeight="1" spans="1:20">
      <c r="A278" s="6" t="s">
        <v>702</v>
      </c>
      <c r="B278" s="6" t="s">
        <v>1136</v>
      </c>
      <c r="C278" s="6"/>
      <c r="D278" s="6"/>
      <c r="E278" s="6"/>
      <c r="F278" s="22" t="s">
        <v>1137</v>
      </c>
      <c r="G278" s="7"/>
      <c r="H278" s="7"/>
      <c r="I278" s="7" t="s">
        <v>1138</v>
      </c>
      <c r="J278" s="6" t="s">
        <v>29</v>
      </c>
      <c r="K278" s="12">
        <v>2650000</v>
      </c>
      <c r="L278" s="13">
        <v>2850000</v>
      </c>
      <c r="M278" s="14">
        <v>3050000</v>
      </c>
      <c r="N278" s="9">
        <f t="shared" si="9"/>
        <v>3355000</v>
      </c>
      <c r="O278" s="6"/>
      <c r="P278" s="6"/>
      <c r="Q278" s="6"/>
      <c r="R278" s="6"/>
      <c r="S278" s="6"/>
      <c r="T278" s="6"/>
    </row>
    <row r="279" ht="42.75" customHeight="1" spans="1:20">
      <c r="A279" s="10" t="s">
        <v>702</v>
      </c>
      <c r="B279" s="10" t="s">
        <v>1139</v>
      </c>
      <c r="C279" s="10"/>
      <c r="D279" s="10"/>
      <c r="E279" s="10"/>
      <c r="F279" s="11"/>
      <c r="G279" s="11"/>
      <c r="H279" s="11"/>
      <c r="I279" s="11" t="s">
        <v>1140</v>
      </c>
      <c r="J279" s="10" t="s">
        <v>33</v>
      </c>
      <c r="K279" s="8"/>
      <c r="L279" s="8"/>
      <c r="M279" s="8"/>
      <c r="N279" s="9" t="str">
        <f t="shared" si="9"/>
        <v/>
      </c>
      <c r="O279" s="10"/>
      <c r="P279" s="10"/>
      <c r="Q279" s="10"/>
      <c r="R279" s="10"/>
      <c r="S279" s="10"/>
      <c r="T279" s="10"/>
    </row>
    <row r="280" ht="42.75" customHeight="1" spans="1:20">
      <c r="A280" s="6" t="s">
        <v>702</v>
      </c>
      <c r="B280" s="6" t="s">
        <v>1141</v>
      </c>
      <c r="C280" s="6" t="s">
        <v>35</v>
      </c>
      <c r="D280" s="6" t="s">
        <v>644</v>
      </c>
      <c r="E280" s="6" t="s">
        <v>649</v>
      </c>
      <c r="F280" s="22" t="s">
        <v>1142</v>
      </c>
      <c r="G280" s="7"/>
      <c r="H280" s="7" t="s">
        <v>1143</v>
      </c>
      <c r="I280" s="7" t="s">
        <v>1144</v>
      </c>
      <c r="J280" s="6" t="s">
        <v>29</v>
      </c>
      <c r="K280" s="12">
        <v>13000000</v>
      </c>
      <c r="L280" s="13">
        <v>13000000</v>
      </c>
      <c r="M280" s="14">
        <v>14000000</v>
      </c>
      <c r="N280" s="9">
        <f t="shared" si="9"/>
        <v>15400000</v>
      </c>
      <c r="O280" s="6"/>
      <c r="P280" s="6"/>
      <c r="Q280" s="6"/>
      <c r="R280" s="6"/>
      <c r="S280" s="6"/>
      <c r="T280" s="6"/>
    </row>
    <row r="281" ht="57" customHeight="1" spans="1:20">
      <c r="A281" s="10" t="s">
        <v>702</v>
      </c>
      <c r="B281" s="10" t="s">
        <v>1145</v>
      </c>
      <c r="C281" s="10" t="s">
        <v>85</v>
      </c>
      <c r="D281" s="10" t="s">
        <v>670</v>
      </c>
      <c r="E281" s="10" t="s">
        <v>679</v>
      </c>
      <c r="F281" s="11" t="s">
        <v>680</v>
      </c>
      <c r="G281" s="11"/>
      <c r="H281" s="11"/>
      <c r="I281" s="11"/>
      <c r="J281" s="10" t="s">
        <v>129</v>
      </c>
      <c r="K281" s="8"/>
      <c r="L281" s="8"/>
      <c r="M281" s="8"/>
      <c r="N281" s="9" t="str">
        <f t="shared" si="9"/>
        <v/>
      </c>
      <c r="O281" s="10"/>
      <c r="P281" s="10"/>
      <c r="Q281" s="10"/>
      <c r="R281" s="10"/>
      <c r="S281" s="10"/>
      <c r="T281" s="10"/>
    </row>
    <row r="282" ht="27.75" customHeight="1" spans="1:20">
      <c r="A282" s="6" t="s">
        <v>702</v>
      </c>
      <c r="B282" s="6" t="s">
        <v>1146</v>
      </c>
      <c r="C282" s="6" t="s">
        <v>85</v>
      </c>
      <c r="D282" s="6" t="s">
        <v>697</v>
      </c>
      <c r="E282" s="6" t="s">
        <v>649</v>
      </c>
      <c r="F282" s="7" t="s">
        <v>1147</v>
      </c>
      <c r="G282" s="7" t="s">
        <v>1148</v>
      </c>
      <c r="H282" s="7"/>
      <c r="I282" s="7"/>
      <c r="J282" s="6" t="s">
        <v>129</v>
      </c>
      <c r="K282" s="8"/>
      <c r="L282" s="8"/>
      <c r="M282" s="8"/>
      <c r="N282" s="9" t="str">
        <f t="shared" si="9"/>
        <v/>
      </c>
      <c r="O282" s="6"/>
      <c r="P282" s="6"/>
      <c r="Q282" s="6"/>
      <c r="R282" s="6"/>
      <c r="S282" s="6"/>
      <c r="T282" s="6"/>
    </row>
    <row r="283" ht="16.5" customHeight="1" spans="1:20">
      <c r="A283" s="5" t="s">
        <v>1149</v>
      </c>
      <c r="B283" s="5"/>
      <c r="C283" s="5"/>
      <c r="D283" s="5"/>
      <c r="E283" s="5"/>
      <c r="F283" s="5"/>
      <c r="G283" s="5"/>
      <c r="H283" s="5"/>
      <c r="I283" s="5"/>
      <c r="J283" s="5"/>
      <c r="K283" s="20"/>
      <c r="L283" s="20"/>
      <c r="M283" s="20"/>
      <c r="N283" s="20"/>
      <c r="O283" s="5"/>
      <c r="P283" s="5"/>
      <c r="Q283" s="5"/>
      <c r="R283" s="5"/>
      <c r="S283" s="5"/>
      <c r="T283" s="5"/>
    </row>
    <row r="284" ht="21.75" customHeight="1" spans="1:20">
      <c r="A284" s="6" t="s">
        <v>1150</v>
      </c>
      <c r="B284" s="6" t="s">
        <v>1151</v>
      </c>
      <c r="C284" s="6" t="s">
        <v>25</v>
      </c>
      <c r="D284" s="6" t="s">
        <v>1152</v>
      </c>
      <c r="E284" s="6"/>
      <c r="F284" s="7" t="s">
        <v>1153</v>
      </c>
      <c r="G284" s="7"/>
      <c r="H284" s="7"/>
      <c r="I284" s="7" t="s">
        <v>1154</v>
      </c>
      <c r="J284" s="6" t="s">
        <v>47</v>
      </c>
      <c r="K284" s="12">
        <v>2400000</v>
      </c>
      <c r="L284" s="13">
        <v>2600000</v>
      </c>
      <c r="M284" s="14">
        <v>2800000</v>
      </c>
      <c r="N284" s="9">
        <f>IF($M284="","",ROUND($M284*1.1,0))</f>
        <v>3080000</v>
      </c>
      <c r="O284" s="6"/>
      <c r="P284" s="6"/>
      <c r="Q284" s="6"/>
      <c r="R284" s="6"/>
      <c r="S284" s="6"/>
      <c r="T284" s="6"/>
    </row>
    <row r="285" ht="29.25" customHeight="1" spans="1:20">
      <c r="A285" s="5" t="s">
        <v>1155</v>
      </c>
      <c r="B285" s="5"/>
      <c r="C285" s="5"/>
      <c r="D285" s="5"/>
      <c r="E285" s="5"/>
      <c r="F285" s="5"/>
      <c r="G285" s="5"/>
      <c r="H285" s="5"/>
      <c r="I285" s="5"/>
      <c r="J285" s="5"/>
      <c r="K285" s="20"/>
      <c r="L285" s="20"/>
      <c r="M285" s="20"/>
      <c r="N285" s="20"/>
      <c r="O285" s="5"/>
      <c r="P285" s="5"/>
      <c r="Q285" s="5"/>
      <c r="R285" s="5"/>
      <c r="S285" s="5"/>
      <c r="T285" s="5"/>
    </row>
    <row r="286" ht="21.75" customHeight="1" spans="1:20">
      <c r="A286" s="6" t="s">
        <v>1156</v>
      </c>
      <c r="B286" s="6" t="s">
        <v>1157</v>
      </c>
      <c r="C286" s="6" t="s">
        <v>61</v>
      </c>
      <c r="D286" s="6" t="s">
        <v>1158</v>
      </c>
      <c r="E286" s="6"/>
      <c r="F286" s="7" t="s">
        <v>1159</v>
      </c>
      <c r="G286" s="7" t="s">
        <v>1160</v>
      </c>
      <c r="H286" s="7"/>
      <c r="I286" s="7"/>
      <c r="J286" s="6" t="s">
        <v>29</v>
      </c>
      <c r="K286" s="12">
        <v>3100000</v>
      </c>
      <c r="L286" s="13">
        <v>3300000</v>
      </c>
      <c r="M286" s="14">
        <v>3500000</v>
      </c>
      <c r="N286" s="9">
        <f>IF($M286="","",ROUND($M286*1.1,0))</f>
        <v>3850000</v>
      </c>
      <c r="O286" s="6">
        <v>76.2</v>
      </c>
      <c r="P286" s="6">
        <v>48.5</v>
      </c>
      <c r="Q286" s="6" t="s">
        <v>99</v>
      </c>
      <c r="R286" s="6">
        <v>75.9</v>
      </c>
      <c r="S286" s="6">
        <v>60.4</v>
      </c>
      <c r="T286" s="6">
        <v>12</v>
      </c>
    </row>
    <row r="287" ht="42.75" customHeight="1" spans="1:20">
      <c r="A287" s="10" t="s">
        <v>1156</v>
      </c>
      <c r="B287" s="10" t="s">
        <v>1161</v>
      </c>
      <c r="C287" s="10" t="s">
        <v>61</v>
      </c>
      <c r="D287" s="10" t="s">
        <v>392</v>
      </c>
      <c r="E287" s="10" t="s">
        <v>1162</v>
      </c>
      <c r="F287" s="11" t="s">
        <v>1163</v>
      </c>
      <c r="G287" s="11"/>
      <c r="H287" s="11"/>
      <c r="I287" s="11"/>
      <c r="J287" s="10" t="s">
        <v>33</v>
      </c>
      <c r="K287" s="8"/>
      <c r="L287" s="8"/>
      <c r="M287" s="8"/>
      <c r="N287" s="9" t="str">
        <f>IF($M287="","",ROUND($M287*1.1,0))</f>
        <v/>
      </c>
      <c r="O287" s="10"/>
      <c r="P287" s="10"/>
      <c r="Q287" s="10"/>
      <c r="R287" s="10"/>
      <c r="S287" s="10"/>
      <c r="T287" s="10"/>
    </row>
    <row r="288" ht="29.25" customHeight="1" spans="1:20">
      <c r="A288" s="5" t="s">
        <v>1164</v>
      </c>
      <c r="B288" s="5"/>
      <c r="C288" s="5"/>
      <c r="D288" s="5"/>
      <c r="E288" s="5"/>
      <c r="F288" s="5"/>
      <c r="G288" s="5"/>
      <c r="H288" s="5"/>
      <c r="I288" s="5"/>
      <c r="J288" s="5"/>
      <c r="K288" s="20"/>
      <c r="L288" s="20"/>
      <c r="M288" s="20"/>
      <c r="N288" s="20"/>
      <c r="O288" s="5"/>
      <c r="P288" s="5"/>
      <c r="Q288" s="5"/>
      <c r="R288" s="5"/>
      <c r="S288" s="5"/>
      <c r="T288" s="5"/>
    </row>
    <row r="289" ht="21.75" customHeight="1" spans="1:20">
      <c r="A289" s="6" t="s">
        <v>1165</v>
      </c>
      <c r="B289" s="6" t="s">
        <v>1166</v>
      </c>
      <c r="C289" s="6" t="s">
        <v>35</v>
      </c>
      <c r="D289" s="6" t="s">
        <v>1167</v>
      </c>
      <c r="E289" s="6" t="s">
        <v>1168</v>
      </c>
      <c r="F289" s="7" t="s">
        <v>1169</v>
      </c>
      <c r="G289" s="7" t="s">
        <v>1170</v>
      </c>
      <c r="H289" s="7" t="s">
        <v>1171</v>
      </c>
      <c r="I289" s="7"/>
      <c r="J289" s="6" t="s">
        <v>29</v>
      </c>
      <c r="K289" s="12">
        <v>2450000</v>
      </c>
      <c r="L289" s="13">
        <v>2600000</v>
      </c>
      <c r="M289" s="14">
        <v>2800000</v>
      </c>
      <c r="N289" s="9">
        <f t="shared" ref="N289:N307" si="10">IF($M289="","",ROUND($M289*1.1,0))</f>
        <v>3080000</v>
      </c>
      <c r="O289" s="6">
        <v>68</v>
      </c>
      <c r="P289" s="6">
        <v>42.6</v>
      </c>
      <c r="Q289" s="6" t="s">
        <v>65</v>
      </c>
      <c r="R289" s="6">
        <v>67.1</v>
      </c>
      <c r="S289" s="6">
        <v>58.7</v>
      </c>
      <c r="T289" s="6">
        <v>12</v>
      </c>
    </row>
    <row r="290" ht="28.5" customHeight="1" spans="1:20">
      <c r="A290" s="10" t="s">
        <v>1165</v>
      </c>
      <c r="B290" s="10" t="s">
        <v>1172</v>
      </c>
      <c r="C290" s="10" t="s">
        <v>35</v>
      </c>
      <c r="D290" s="10" t="s">
        <v>36</v>
      </c>
      <c r="E290" s="10" t="s">
        <v>1173</v>
      </c>
      <c r="F290" s="11" t="s">
        <v>1174</v>
      </c>
      <c r="G290" s="11" t="s">
        <v>1175</v>
      </c>
      <c r="H290" s="11" t="s">
        <v>1176</v>
      </c>
      <c r="I290" s="11"/>
      <c r="J290" s="10" t="s">
        <v>29</v>
      </c>
      <c r="K290" s="12">
        <v>2550000</v>
      </c>
      <c r="L290" s="13">
        <v>2700000</v>
      </c>
      <c r="M290" s="14">
        <v>2900000</v>
      </c>
      <c r="N290" s="9">
        <f t="shared" si="10"/>
        <v>3190000</v>
      </c>
      <c r="O290" s="10">
        <v>68</v>
      </c>
      <c r="P290" s="10">
        <v>48</v>
      </c>
      <c r="Q290" s="10" t="s">
        <v>65</v>
      </c>
      <c r="R290" s="10">
        <v>67.1</v>
      </c>
      <c r="S290" s="10">
        <v>58.7</v>
      </c>
      <c r="T290" s="10">
        <v>12</v>
      </c>
    </row>
    <row r="291" ht="99.75" customHeight="1" spans="1:20">
      <c r="A291" s="6" t="s">
        <v>1177</v>
      </c>
      <c r="B291" s="6" t="s">
        <v>1178</v>
      </c>
      <c r="C291" s="6" t="s">
        <v>35</v>
      </c>
      <c r="D291" s="6" t="s">
        <v>36</v>
      </c>
      <c r="E291" s="6" t="s">
        <v>1173</v>
      </c>
      <c r="F291" s="7" t="s">
        <v>1174</v>
      </c>
      <c r="G291" s="7" t="s">
        <v>1175</v>
      </c>
      <c r="H291" s="7" t="s">
        <v>1176</v>
      </c>
      <c r="I291" s="7"/>
      <c r="J291" s="6" t="s">
        <v>33</v>
      </c>
      <c r="K291" s="12">
        <v>2850000</v>
      </c>
      <c r="L291" s="13">
        <v>3000000</v>
      </c>
      <c r="M291" s="14">
        <v>3150000</v>
      </c>
      <c r="N291" s="9">
        <f t="shared" si="10"/>
        <v>3465000</v>
      </c>
      <c r="O291" s="6">
        <v>68</v>
      </c>
      <c r="P291" s="6">
        <v>48</v>
      </c>
      <c r="Q291" s="6" t="s">
        <v>65</v>
      </c>
      <c r="R291" s="6">
        <v>67.1</v>
      </c>
      <c r="S291" s="6">
        <v>58.7</v>
      </c>
      <c r="T291" s="6">
        <v>12</v>
      </c>
    </row>
    <row r="292" ht="99.75" customHeight="1" spans="1:20">
      <c r="A292" s="10" t="s">
        <v>1165</v>
      </c>
      <c r="B292" s="10" t="s">
        <v>1179</v>
      </c>
      <c r="C292" s="10" t="s">
        <v>35</v>
      </c>
      <c r="D292" s="10" t="s">
        <v>1180</v>
      </c>
      <c r="E292" s="10" t="s">
        <v>1181</v>
      </c>
      <c r="F292" s="11" t="s">
        <v>1182</v>
      </c>
      <c r="G292" s="11" t="s">
        <v>1183</v>
      </c>
      <c r="H292" s="11" t="s">
        <v>1184</v>
      </c>
      <c r="I292" s="11"/>
      <c r="J292" s="10"/>
      <c r="K292" s="12">
        <v>3850000</v>
      </c>
      <c r="L292" s="13">
        <v>4070000</v>
      </c>
      <c r="M292" s="14">
        <v>4350000</v>
      </c>
      <c r="N292" s="9">
        <f t="shared" si="10"/>
        <v>4785000</v>
      </c>
      <c r="O292" s="10">
        <v>92</v>
      </c>
      <c r="P292" s="10">
        <v>61.5</v>
      </c>
      <c r="Q292" s="10" t="s">
        <v>65</v>
      </c>
      <c r="R292" s="10">
        <v>90</v>
      </c>
      <c r="S292" s="10">
        <v>79</v>
      </c>
      <c r="T292" s="10">
        <v>12</v>
      </c>
    </row>
    <row r="293" ht="42.75" customHeight="1" spans="1:20">
      <c r="A293" s="6" t="s">
        <v>1165</v>
      </c>
      <c r="B293" s="6" t="s">
        <v>1185</v>
      </c>
      <c r="C293" s="6" t="s">
        <v>35</v>
      </c>
      <c r="D293" s="6" t="s">
        <v>1186</v>
      </c>
      <c r="E293" s="6" t="s">
        <v>1187</v>
      </c>
      <c r="F293" s="7" t="s">
        <v>1188</v>
      </c>
      <c r="G293" s="7" t="s">
        <v>1189</v>
      </c>
      <c r="H293" s="7" t="s">
        <v>1190</v>
      </c>
      <c r="I293" s="7"/>
      <c r="J293" s="6" t="s">
        <v>29</v>
      </c>
      <c r="K293" s="12">
        <v>2350000</v>
      </c>
      <c r="L293" s="13">
        <v>2450000</v>
      </c>
      <c r="M293" s="14">
        <v>2600000</v>
      </c>
      <c r="N293" s="9">
        <f t="shared" si="10"/>
        <v>2860000</v>
      </c>
      <c r="O293" s="6">
        <v>68</v>
      </c>
      <c r="P293" s="6">
        <v>48.2</v>
      </c>
      <c r="Q293" s="6" t="s">
        <v>413</v>
      </c>
      <c r="R293" s="6">
        <v>65.2</v>
      </c>
      <c r="S293" s="6">
        <v>55.2</v>
      </c>
      <c r="T293" s="6">
        <v>12</v>
      </c>
    </row>
    <row r="294" ht="42.75" customHeight="1" spans="1:20">
      <c r="A294" s="10" t="s">
        <v>1165</v>
      </c>
      <c r="B294" s="10" t="s">
        <v>1191</v>
      </c>
      <c r="C294" s="10" t="s">
        <v>35</v>
      </c>
      <c r="D294" s="10" t="s">
        <v>1192</v>
      </c>
      <c r="E294" s="10" t="s">
        <v>1193</v>
      </c>
      <c r="F294" s="11" t="s">
        <v>1194</v>
      </c>
      <c r="G294" s="11" t="s">
        <v>1195</v>
      </c>
      <c r="H294" s="11" t="s">
        <v>1196</v>
      </c>
      <c r="I294" s="11"/>
      <c r="J294" s="10" t="s">
        <v>29</v>
      </c>
      <c r="K294" s="12">
        <v>2700000</v>
      </c>
      <c r="L294" s="13">
        <v>2900000</v>
      </c>
      <c r="M294" s="14">
        <v>3050000</v>
      </c>
      <c r="N294" s="9">
        <f t="shared" si="10"/>
        <v>3355000</v>
      </c>
      <c r="O294" s="10">
        <v>65</v>
      </c>
      <c r="P294" s="10">
        <v>48</v>
      </c>
      <c r="Q294" s="10" t="s">
        <v>65</v>
      </c>
      <c r="R294" s="10">
        <v>65.2</v>
      </c>
      <c r="S294" s="10">
        <v>55.2</v>
      </c>
      <c r="T294" s="10">
        <v>12</v>
      </c>
    </row>
    <row r="295" ht="28.5" customHeight="1" spans="1:20">
      <c r="A295" s="6" t="s">
        <v>1165</v>
      </c>
      <c r="B295" s="6" t="s">
        <v>1197</v>
      </c>
      <c r="C295" s="6" t="s">
        <v>25</v>
      </c>
      <c r="D295" s="6" t="s">
        <v>1198</v>
      </c>
      <c r="E295" s="6" t="s">
        <v>1187</v>
      </c>
      <c r="F295" s="7" t="s">
        <v>1199</v>
      </c>
      <c r="G295" s="7" t="s">
        <v>1200</v>
      </c>
      <c r="H295" s="7" t="s">
        <v>1201</v>
      </c>
      <c r="I295" s="7"/>
      <c r="J295" s="6" t="s">
        <v>29</v>
      </c>
      <c r="K295" s="12">
        <v>2300000</v>
      </c>
      <c r="L295" s="13">
        <v>2450000</v>
      </c>
      <c r="M295" s="14">
        <v>2600000</v>
      </c>
      <c r="N295" s="9">
        <f t="shared" si="10"/>
        <v>2860000</v>
      </c>
      <c r="O295" s="6"/>
      <c r="P295" s="6"/>
      <c r="Q295" s="6"/>
      <c r="R295" s="6"/>
      <c r="S295" s="6"/>
      <c r="T295" s="6"/>
    </row>
    <row r="296" ht="42.75" customHeight="1" spans="1:20">
      <c r="A296" s="10" t="s">
        <v>1165</v>
      </c>
      <c r="B296" s="10" t="s">
        <v>1202</v>
      </c>
      <c r="C296" s="10" t="s">
        <v>25</v>
      </c>
      <c r="D296" s="10" t="s">
        <v>1203</v>
      </c>
      <c r="E296" s="10" t="s">
        <v>1204</v>
      </c>
      <c r="F296" s="11" t="s">
        <v>1205</v>
      </c>
      <c r="G296" s="11" t="s">
        <v>1206</v>
      </c>
      <c r="H296" s="11" t="s">
        <v>1207</v>
      </c>
      <c r="I296" s="11" t="s">
        <v>1208</v>
      </c>
      <c r="J296" s="10" t="s">
        <v>129</v>
      </c>
      <c r="K296" s="8"/>
      <c r="L296" s="8"/>
      <c r="M296" s="8"/>
      <c r="N296" s="9" t="str">
        <f t="shared" si="10"/>
        <v/>
      </c>
      <c r="O296" s="10"/>
      <c r="P296" s="10"/>
      <c r="Q296" s="10"/>
      <c r="R296" s="10"/>
      <c r="S296" s="10"/>
      <c r="T296" s="10"/>
    </row>
    <row r="297" ht="57" customHeight="1" spans="1:20">
      <c r="A297" s="6" t="s">
        <v>1177</v>
      </c>
      <c r="B297" s="6" t="s">
        <v>1209</v>
      </c>
      <c r="C297" s="6" t="s">
        <v>25</v>
      </c>
      <c r="D297" s="6" t="s">
        <v>1203</v>
      </c>
      <c r="E297" s="6" t="s">
        <v>1204</v>
      </c>
      <c r="F297" s="7" t="s">
        <v>1210</v>
      </c>
      <c r="G297" s="7" t="s">
        <v>1211</v>
      </c>
      <c r="H297" s="7" t="s">
        <v>1207</v>
      </c>
      <c r="I297" s="7" t="s">
        <v>1208</v>
      </c>
      <c r="J297" s="6"/>
      <c r="K297" s="8"/>
      <c r="L297" s="8"/>
      <c r="M297" s="8"/>
      <c r="N297" s="9" t="str">
        <f t="shared" si="10"/>
        <v/>
      </c>
      <c r="O297" s="6"/>
      <c r="P297" s="6"/>
      <c r="Q297" s="6"/>
      <c r="R297" s="6"/>
      <c r="S297" s="6"/>
      <c r="T297" s="6"/>
    </row>
    <row r="298" ht="71.25" customHeight="1" spans="1:20">
      <c r="A298" s="10" t="s">
        <v>1165</v>
      </c>
      <c r="B298" s="10" t="s">
        <v>1212</v>
      </c>
      <c r="C298" s="10" t="s">
        <v>25</v>
      </c>
      <c r="D298" s="10" t="s">
        <v>1213</v>
      </c>
      <c r="E298" s="10"/>
      <c r="F298" s="11" t="s">
        <v>1214</v>
      </c>
      <c r="G298" s="11"/>
      <c r="H298" s="11" t="s">
        <v>1215</v>
      </c>
      <c r="I298" s="11"/>
      <c r="J298" s="10" t="s">
        <v>1216</v>
      </c>
      <c r="K298" s="8"/>
      <c r="L298" s="8"/>
      <c r="M298" s="14">
        <v>66000000</v>
      </c>
      <c r="N298" s="9">
        <f t="shared" si="10"/>
        <v>72600000</v>
      </c>
      <c r="O298" s="10"/>
      <c r="P298" s="10"/>
      <c r="Q298" s="10"/>
      <c r="R298" s="10"/>
      <c r="S298" s="10"/>
      <c r="T298" s="10"/>
    </row>
    <row r="299" customHeight="1" spans="1:20">
      <c r="A299" s="6" t="s">
        <v>1165</v>
      </c>
      <c r="B299" s="6" t="s">
        <v>1217</v>
      </c>
      <c r="C299" s="6" t="s">
        <v>25</v>
      </c>
      <c r="D299" s="6" t="s">
        <v>1218</v>
      </c>
      <c r="E299" s="6"/>
      <c r="F299" s="7" t="s">
        <v>1219</v>
      </c>
      <c r="G299" s="7"/>
      <c r="H299" s="7" t="s">
        <v>1220</v>
      </c>
      <c r="I299" s="7"/>
      <c r="J299" s="6" t="s">
        <v>1216</v>
      </c>
      <c r="K299" s="8"/>
      <c r="L299" s="8"/>
      <c r="M299" s="8"/>
      <c r="N299" s="9" t="str">
        <f t="shared" si="10"/>
        <v/>
      </c>
      <c r="O299" s="6"/>
      <c r="P299" s="6"/>
      <c r="Q299" s="6"/>
      <c r="R299" s="6"/>
      <c r="S299" s="6"/>
      <c r="T299" s="6"/>
    </row>
    <row r="300" ht="39" customHeight="1" spans="1:20">
      <c r="A300" s="10" t="s">
        <v>1165</v>
      </c>
      <c r="B300" s="10" t="s">
        <v>1221</v>
      </c>
      <c r="C300" s="10" t="s">
        <v>25</v>
      </c>
      <c r="D300" s="10" t="s">
        <v>1222</v>
      </c>
      <c r="E300" s="10" t="s">
        <v>1223</v>
      </c>
      <c r="F300" s="11" t="s">
        <v>1224</v>
      </c>
      <c r="G300" s="11" t="s">
        <v>1206</v>
      </c>
      <c r="H300" s="11" t="s">
        <v>1225</v>
      </c>
      <c r="I300" s="11"/>
      <c r="J300" s="10" t="s">
        <v>29</v>
      </c>
      <c r="K300" s="12">
        <v>2650000</v>
      </c>
      <c r="L300" s="13">
        <v>2800000</v>
      </c>
      <c r="M300" s="14">
        <v>2950000</v>
      </c>
      <c r="N300" s="9">
        <f t="shared" si="10"/>
        <v>3245000</v>
      </c>
      <c r="O300" s="10">
        <v>59.4</v>
      </c>
      <c r="P300" s="10">
        <v>41.96</v>
      </c>
      <c r="Q300" s="10" t="s">
        <v>99</v>
      </c>
      <c r="R300" s="10">
        <v>50.5</v>
      </c>
      <c r="S300" s="10">
        <v>42.8</v>
      </c>
      <c r="T300" s="10" t="s">
        <v>505</v>
      </c>
    </row>
    <row r="301" ht="42.75" customHeight="1" spans="1:20">
      <c r="A301" s="6" t="s">
        <v>1165</v>
      </c>
      <c r="B301" s="6" t="s">
        <v>1226</v>
      </c>
      <c r="C301" s="6" t="s">
        <v>25</v>
      </c>
      <c r="D301" s="6" t="s">
        <v>1227</v>
      </c>
      <c r="E301" s="6" t="s">
        <v>1228</v>
      </c>
      <c r="F301" s="7" t="s">
        <v>1229</v>
      </c>
      <c r="G301" s="7"/>
      <c r="H301" s="7" t="s">
        <v>1230</v>
      </c>
      <c r="I301" s="7"/>
      <c r="J301" s="6" t="s">
        <v>29</v>
      </c>
      <c r="K301" s="12">
        <v>3000000</v>
      </c>
      <c r="L301" s="13">
        <v>3200000</v>
      </c>
      <c r="M301" s="14">
        <v>3400000</v>
      </c>
      <c r="N301" s="9">
        <f t="shared" si="10"/>
        <v>3740000</v>
      </c>
      <c r="O301" s="6">
        <v>71</v>
      </c>
      <c r="P301" s="6">
        <v>49.2</v>
      </c>
      <c r="Q301" s="6" t="s">
        <v>99</v>
      </c>
      <c r="R301" s="6">
        <v>61.4</v>
      </c>
      <c r="S301" s="6">
        <v>54.3</v>
      </c>
      <c r="T301" s="6">
        <v>10</v>
      </c>
    </row>
    <row r="302" ht="57" customHeight="1" spans="1:20">
      <c r="A302" s="10" t="s">
        <v>1165</v>
      </c>
      <c r="B302" s="10" t="s">
        <v>1231</v>
      </c>
      <c r="C302" s="10" t="s">
        <v>35</v>
      </c>
      <c r="D302" s="10" t="s">
        <v>1232</v>
      </c>
      <c r="E302" s="10" t="s">
        <v>1233</v>
      </c>
      <c r="F302" s="11" t="s">
        <v>1234</v>
      </c>
      <c r="G302" s="11" t="s">
        <v>1235</v>
      </c>
      <c r="H302" s="11" t="s">
        <v>1236</v>
      </c>
      <c r="I302" s="11"/>
      <c r="J302" s="10" t="s">
        <v>149</v>
      </c>
      <c r="K302" s="12">
        <v>3200000</v>
      </c>
      <c r="L302" s="13">
        <v>3400000</v>
      </c>
      <c r="M302" s="14">
        <v>3600000</v>
      </c>
      <c r="N302" s="9">
        <f t="shared" si="10"/>
        <v>3960000</v>
      </c>
      <c r="O302" s="10">
        <v>65</v>
      </c>
      <c r="P302" s="10">
        <v>48</v>
      </c>
      <c r="Q302" s="10" t="s">
        <v>65</v>
      </c>
      <c r="R302" s="10">
        <v>65.2</v>
      </c>
      <c r="S302" s="10">
        <v>55.2</v>
      </c>
      <c r="T302" s="10">
        <v>12</v>
      </c>
    </row>
    <row r="303" ht="28.5" customHeight="1" spans="1:20">
      <c r="A303" s="6" t="s">
        <v>1165</v>
      </c>
      <c r="B303" s="6" t="s">
        <v>1237</v>
      </c>
      <c r="C303" s="6" t="s">
        <v>35</v>
      </c>
      <c r="D303" s="6" t="s">
        <v>1167</v>
      </c>
      <c r="E303" s="6" t="s">
        <v>1173</v>
      </c>
      <c r="F303" s="7" t="s">
        <v>1238</v>
      </c>
      <c r="G303" s="7" t="s">
        <v>1175</v>
      </c>
      <c r="H303" s="7" t="s">
        <v>1239</v>
      </c>
      <c r="I303" s="7"/>
      <c r="J303" s="6" t="s">
        <v>33</v>
      </c>
      <c r="K303" s="12">
        <v>2850000</v>
      </c>
      <c r="L303" s="13">
        <v>3000000</v>
      </c>
      <c r="M303" s="14">
        <v>3150000</v>
      </c>
      <c r="N303" s="9">
        <f t="shared" si="10"/>
        <v>3465000</v>
      </c>
      <c r="O303" s="6"/>
      <c r="P303" s="6"/>
      <c r="Q303" s="6"/>
      <c r="R303" s="6"/>
      <c r="S303" s="6"/>
      <c r="T303" s="6"/>
    </row>
    <row r="304" ht="28.5" customHeight="1" spans="1:20">
      <c r="A304" s="10" t="s">
        <v>1165</v>
      </c>
      <c r="B304" s="10" t="s">
        <v>1240</v>
      </c>
      <c r="C304" s="10" t="s">
        <v>35</v>
      </c>
      <c r="D304" s="10" t="s">
        <v>1241</v>
      </c>
      <c r="E304" s="10" t="s">
        <v>1242</v>
      </c>
      <c r="F304" s="11" t="s">
        <v>1243</v>
      </c>
      <c r="G304" s="11"/>
      <c r="H304" s="11" t="s">
        <v>1244</v>
      </c>
      <c r="I304" s="11"/>
      <c r="J304" s="10" t="s">
        <v>33</v>
      </c>
      <c r="K304" s="12">
        <v>2600000</v>
      </c>
      <c r="L304" s="13">
        <v>2750000</v>
      </c>
      <c r="M304" s="14">
        <v>2900000</v>
      </c>
      <c r="N304" s="9">
        <f t="shared" si="10"/>
        <v>3190000</v>
      </c>
      <c r="O304" s="10"/>
      <c r="P304" s="10"/>
      <c r="Q304" s="10"/>
      <c r="R304" s="10"/>
      <c r="S304" s="10"/>
      <c r="T304" s="10"/>
    </row>
    <row r="305" ht="28.5" customHeight="1" spans="1:20">
      <c r="A305" s="6" t="s">
        <v>1165</v>
      </c>
      <c r="B305" s="6" t="s">
        <v>1245</v>
      </c>
      <c r="C305" s="6" t="s">
        <v>35</v>
      </c>
      <c r="D305" s="6" t="s">
        <v>1246</v>
      </c>
      <c r="E305" s="6" t="s">
        <v>1247</v>
      </c>
      <c r="F305" s="7" t="s">
        <v>1248</v>
      </c>
      <c r="G305" s="7" t="s">
        <v>1249</v>
      </c>
      <c r="H305" s="7" t="s">
        <v>1250</v>
      </c>
      <c r="I305" s="7"/>
      <c r="J305" s="6" t="s">
        <v>29</v>
      </c>
      <c r="K305" s="12">
        <v>3750000</v>
      </c>
      <c r="L305" s="13">
        <v>4000000</v>
      </c>
      <c r="M305" s="14">
        <v>4300000</v>
      </c>
      <c r="N305" s="9">
        <f t="shared" si="10"/>
        <v>4730000</v>
      </c>
      <c r="O305" s="6">
        <v>92</v>
      </c>
      <c r="P305" s="6">
        <v>61.5</v>
      </c>
      <c r="Q305" s="6" t="s">
        <v>65</v>
      </c>
      <c r="R305" s="6">
        <v>90</v>
      </c>
      <c r="S305" s="6">
        <v>79</v>
      </c>
      <c r="T305" s="6">
        <v>12</v>
      </c>
    </row>
    <row r="306" ht="28.5" customHeight="1" spans="1:20">
      <c r="A306" s="10" t="s">
        <v>1165</v>
      </c>
      <c r="B306" s="10" t="s">
        <v>1251</v>
      </c>
      <c r="C306" s="10" t="s">
        <v>85</v>
      </c>
      <c r="D306" s="10" t="s">
        <v>1252</v>
      </c>
      <c r="E306" s="10" t="s">
        <v>1253</v>
      </c>
      <c r="F306" s="11" t="s">
        <v>1254</v>
      </c>
      <c r="G306" s="11" t="s">
        <v>1255</v>
      </c>
      <c r="H306" s="11" t="s">
        <v>1256</v>
      </c>
      <c r="I306" s="11"/>
      <c r="J306" s="10" t="s">
        <v>29</v>
      </c>
      <c r="K306" s="12">
        <v>2200000</v>
      </c>
      <c r="L306" s="13">
        <v>2300000</v>
      </c>
      <c r="M306" s="14">
        <v>2400000</v>
      </c>
      <c r="N306" s="9">
        <f t="shared" si="10"/>
        <v>2640000</v>
      </c>
      <c r="O306" s="10">
        <v>59</v>
      </c>
      <c r="P306" s="10">
        <v>36.7</v>
      </c>
      <c r="Q306" s="10" t="s">
        <v>100</v>
      </c>
      <c r="R306" s="10">
        <v>62.1</v>
      </c>
      <c r="S306" s="10">
        <v>51</v>
      </c>
      <c r="T306" s="10" t="s">
        <v>597</v>
      </c>
    </row>
    <row r="307" ht="57" customHeight="1" spans="1:20">
      <c r="A307" s="6" t="s">
        <v>1165</v>
      </c>
      <c r="B307" s="6" t="s">
        <v>1257</v>
      </c>
      <c r="C307" s="6" t="s">
        <v>25</v>
      </c>
      <c r="D307" s="6" t="s">
        <v>1258</v>
      </c>
      <c r="E307" s="6" t="s">
        <v>1228</v>
      </c>
      <c r="F307" s="7" t="s">
        <v>1259</v>
      </c>
      <c r="G307" s="7" t="s">
        <v>1206</v>
      </c>
      <c r="H307" s="7" t="s">
        <v>1260</v>
      </c>
      <c r="I307" s="7"/>
      <c r="J307" s="6" t="s">
        <v>33</v>
      </c>
      <c r="K307" s="12">
        <v>3800000</v>
      </c>
      <c r="L307" s="13">
        <v>4050000</v>
      </c>
      <c r="M307" s="14">
        <v>4300000</v>
      </c>
      <c r="N307" s="9">
        <f t="shared" si="10"/>
        <v>4730000</v>
      </c>
      <c r="O307" s="6">
        <v>71</v>
      </c>
      <c r="P307" s="6">
        <v>49.2</v>
      </c>
      <c r="Q307" s="6" t="s">
        <v>99</v>
      </c>
      <c r="R307" s="6">
        <v>61.4</v>
      </c>
      <c r="S307" s="6">
        <v>54.3</v>
      </c>
      <c r="T307" s="6">
        <v>10</v>
      </c>
    </row>
    <row r="308" ht="29.25" customHeight="1" spans="1:20">
      <c r="A308" s="5" t="s">
        <v>1261</v>
      </c>
      <c r="B308" s="5"/>
      <c r="C308" s="5"/>
      <c r="D308" s="5"/>
      <c r="E308" s="5"/>
      <c r="F308" s="5"/>
      <c r="G308" s="5"/>
      <c r="H308" s="5"/>
      <c r="I308" s="5"/>
      <c r="J308" s="5"/>
      <c r="K308" s="20"/>
      <c r="L308" s="20"/>
      <c r="M308" s="20"/>
      <c r="N308" s="20"/>
      <c r="O308" s="5"/>
      <c r="P308" s="5"/>
      <c r="Q308" s="5"/>
      <c r="R308" s="5"/>
      <c r="S308" s="5"/>
      <c r="T308" s="5"/>
    </row>
    <row r="309" ht="21.75" customHeight="1" spans="1:20">
      <c r="A309" s="6" t="s">
        <v>1262</v>
      </c>
      <c r="B309" s="6" t="s">
        <v>1263</v>
      </c>
      <c r="C309" s="6" t="s">
        <v>25</v>
      </c>
      <c r="D309" s="6" t="s">
        <v>1264</v>
      </c>
      <c r="E309" s="6" t="s">
        <v>1265</v>
      </c>
      <c r="F309" s="7" t="s">
        <v>1266</v>
      </c>
      <c r="G309" s="7" t="s">
        <v>1267</v>
      </c>
      <c r="H309" s="7" t="s">
        <v>1268</v>
      </c>
      <c r="I309" s="7"/>
      <c r="J309" s="6" t="s">
        <v>29</v>
      </c>
      <c r="K309" s="12">
        <v>2200000</v>
      </c>
      <c r="L309" s="13">
        <v>2300000</v>
      </c>
      <c r="M309" s="14">
        <v>2500000</v>
      </c>
      <c r="N309" s="9">
        <f t="shared" ref="N309:N349" si="11">IF($M309="","",ROUND($M309*1.1,0))</f>
        <v>2750000</v>
      </c>
      <c r="O309" s="6">
        <v>70</v>
      </c>
      <c r="P309" s="6">
        <v>43.7</v>
      </c>
      <c r="Q309" s="6" t="s">
        <v>30</v>
      </c>
      <c r="R309" s="6">
        <v>74.2</v>
      </c>
      <c r="S309" s="6">
        <v>58.2</v>
      </c>
      <c r="T309" s="6">
        <v>11</v>
      </c>
    </row>
    <row r="310" ht="42.75" customHeight="1" spans="1:20">
      <c r="A310" s="10" t="s">
        <v>1262</v>
      </c>
      <c r="B310" s="10" t="s">
        <v>1269</v>
      </c>
      <c r="C310" s="10" t="s">
        <v>25</v>
      </c>
      <c r="D310" s="10" t="s">
        <v>1264</v>
      </c>
      <c r="E310" s="10" t="s">
        <v>1270</v>
      </c>
      <c r="F310" s="11" t="s">
        <v>1271</v>
      </c>
      <c r="G310" s="11" t="s">
        <v>1272</v>
      </c>
      <c r="H310" s="11" t="s">
        <v>1273</v>
      </c>
      <c r="I310" s="11"/>
      <c r="J310" s="10" t="s">
        <v>29</v>
      </c>
      <c r="K310" s="12">
        <v>2200000</v>
      </c>
      <c r="L310" s="13">
        <v>2300000</v>
      </c>
      <c r="M310" s="14">
        <v>2500000</v>
      </c>
      <c r="N310" s="9">
        <f t="shared" si="11"/>
        <v>2750000</v>
      </c>
      <c r="O310" s="10">
        <v>70</v>
      </c>
      <c r="P310" s="10">
        <v>45.7</v>
      </c>
      <c r="Q310" s="10" t="s">
        <v>30</v>
      </c>
      <c r="R310" s="10">
        <v>74.2</v>
      </c>
      <c r="S310" s="10">
        <v>64.5</v>
      </c>
      <c r="T310" s="10">
        <v>11</v>
      </c>
    </row>
    <row r="311" ht="57" customHeight="1" spans="1:20">
      <c r="A311" s="6" t="s">
        <v>1262</v>
      </c>
      <c r="B311" s="6" t="s">
        <v>1274</v>
      </c>
      <c r="C311" s="6" t="s">
        <v>25</v>
      </c>
      <c r="D311" s="6" t="s">
        <v>1275</v>
      </c>
      <c r="E311" s="6" t="s">
        <v>1276</v>
      </c>
      <c r="F311" s="7" t="s">
        <v>1277</v>
      </c>
      <c r="G311" s="7" t="s">
        <v>1278</v>
      </c>
      <c r="H311" s="7" t="s">
        <v>1279</v>
      </c>
      <c r="I311" s="7"/>
      <c r="J311" s="6" t="s">
        <v>29</v>
      </c>
      <c r="K311" s="12">
        <v>3500000</v>
      </c>
      <c r="L311" s="13">
        <v>3700000</v>
      </c>
      <c r="M311" s="14">
        <v>3950000</v>
      </c>
      <c r="N311" s="9">
        <f t="shared" si="11"/>
        <v>4345000</v>
      </c>
      <c r="O311" s="6">
        <v>84</v>
      </c>
      <c r="P311" s="6">
        <v>60.4</v>
      </c>
      <c r="Q311" s="6" t="s">
        <v>99</v>
      </c>
      <c r="R311" s="6">
        <v>82</v>
      </c>
      <c r="S311" s="6">
        <v>71.5</v>
      </c>
      <c r="T311" s="6">
        <v>11</v>
      </c>
    </row>
    <row r="312" ht="114" customHeight="1" spans="1:20">
      <c r="A312" s="10" t="s">
        <v>1280</v>
      </c>
      <c r="B312" s="10" t="s">
        <v>1281</v>
      </c>
      <c r="C312" s="10" t="s">
        <v>25</v>
      </c>
      <c r="D312" s="10" t="s">
        <v>1275</v>
      </c>
      <c r="E312" s="10" t="s">
        <v>1276</v>
      </c>
      <c r="F312" s="11" t="s">
        <v>1277</v>
      </c>
      <c r="G312" s="11" t="s">
        <v>1278</v>
      </c>
      <c r="H312" s="11" t="s">
        <v>1279</v>
      </c>
      <c r="I312" s="11"/>
      <c r="J312" s="10" t="s">
        <v>33</v>
      </c>
      <c r="K312" s="8"/>
      <c r="L312" s="8"/>
      <c r="M312" s="8"/>
      <c r="N312" s="9" t="str">
        <f t="shared" si="11"/>
        <v/>
      </c>
      <c r="O312" s="10">
        <v>84</v>
      </c>
      <c r="P312" s="10">
        <v>60.4</v>
      </c>
      <c r="Q312" s="10" t="s">
        <v>99</v>
      </c>
      <c r="R312" s="10">
        <v>82</v>
      </c>
      <c r="S312" s="10">
        <v>71.5</v>
      </c>
      <c r="T312" s="10">
        <v>11</v>
      </c>
    </row>
    <row r="313" ht="114" customHeight="1" spans="1:20">
      <c r="A313" s="6" t="s">
        <v>1262</v>
      </c>
      <c r="B313" s="6" t="s">
        <v>1282</v>
      </c>
      <c r="C313" s="6" t="s">
        <v>25</v>
      </c>
      <c r="D313" s="6" t="s">
        <v>1283</v>
      </c>
      <c r="E313" s="6" t="s">
        <v>1284</v>
      </c>
      <c r="F313" s="7" t="s">
        <v>1285</v>
      </c>
      <c r="G313" s="7" t="s">
        <v>1206</v>
      </c>
      <c r="H313" s="7" t="s">
        <v>1286</v>
      </c>
      <c r="I313" s="7"/>
      <c r="J313" s="6" t="s">
        <v>29</v>
      </c>
      <c r="K313" s="12">
        <v>2400000</v>
      </c>
      <c r="L313" s="13">
        <v>2500000</v>
      </c>
      <c r="M313" s="14">
        <v>2700000</v>
      </c>
      <c r="N313" s="9">
        <f t="shared" si="11"/>
        <v>2970000</v>
      </c>
      <c r="O313" s="6">
        <v>63</v>
      </c>
      <c r="P313" s="6">
        <v>39.8</v>
      </c>
      <c r="Q313" s="6" t="s">
        <v>99</v>
      </c>
      <c r="R313" s="6">
        <v>61.4</v>
      </c>
      <c r="S313" s="6">
        <v>52.2</v>
      </c>
      <c r="T313" s="6">
        <v>10</v>
      </c>
    </row>
    <row r="314" ht="41.25" customHeight="1" spans="1:20">
      <c r="A314" s="10" t="s">
        <v>1262</v>
      </c>
      <c r="B314" s="10" t="s">
        <v>1287</v>
      </c>
      <c r="C314" s="10" t="s">
        <v>61</v>
      </c>
      <c r="D314" s="10" t="s">
        <v>1288</v>
      </c>
      <c r="E314" s="10"/>
      <c r="F314" s="11" t="s">
        <v>1289</v>
      </c>
      <c r="G314" s="11"/>
      <c r="H314" s="11" t="s">
        <v>1290</v>
      </c>
      <c r="I314" s="11"/>
      <c r="J314" s="10" t="s">
        <v>59</v>
      </c>
      <c r="K314" s="8"/>
      <c r="L314" s="8"/>
      <c r="M314" s="8"/>
      <c r="N314" s="9" t="str">
        <f t="shared" si="11"/>
        <v/>
      </c>
      <c r="O314" s="10"/>
      <c r="P314" s="10"/>
      <c r="Q314" s="10"/>
      <c r="R314" s="10"/>
      <c r="S314" s="10"/>
      <c r="T314" s="10"/>
    </row>
    <row r="315" ht="28.5" customHeight="1" spans="1:20">
      <c r="A315" s="6" t="s">
        <v>1262</v>
      </c>
      <c r="B315" s="6" t="s">
        <v>1291</v>
      </c>
      <c r="C315" s="6" t="s">
        <v>85</v>
      </c>
      <c r="D315" s="6" t="s">
        <v>1292</v>
      </c>
      <c r="E315" s="6" t="s">
        <v>1293</v>
      </c>
      <c r="F315" s="7" t="s">
        <v>1294</v>
      </c>
      <c r="G315" s="7"/>
      <c r="H315" s="7"/>
      <c r="I315" s="7"/>
      <c r="J315" s="6" t="s">
        <v>59</v>
      </c>
      <c r="K315" s="12">
        <v>7900000</v>
      </c>
      <c r="L315" s="13">
        <v>8400000</v>
      </c>
      <c r="M315" s="14">
        <v>8950000</v>
      </c>
      <c r="N315" s="9">
        <f t="shared" si="11"/>
        <v>9845000</v>
      </c>
      <c r="O315" s="6"/>
      <c r="P315" s="6"/>
      <c r="Q315" s="6"/>
      <c r="R315" s="6"/>
      <c r="S315" s="6"/>
      <c r="T315" s="6"/>
    </row>
    <row r="316" ht="27.75" customHeight="1" spans="1:20">
      <c r="A316" s="10" t="s">
        <v>1262</v>
      </c>
      <c r="B316" s="10" t="s">
        <v>1295</v>
      </c>
      <c r="C316" s="10" t="s">
        <v>85</v>
      </c>
      <c r="D316" s="10" t="s">
        <v>1296</v>
      </c>
      <c r="E316" s="10" t="s">
        <v>1297</v>
      </c>
      <c r="F316" s="11" t="s">
        <v>1298</v>
      </c>
      <c r="G316" s="11" t="s">
        <v>1299</v>
      </c>
      <c r="H316" s="11" t="s">
        <v>1300</v>
      </c>
      <c r="I316" s="11"/>
      <c r="J316" s="10" t="s">
        <v>1301</v>
      </c>
      <c r="K316" s="12">
        <v>5300000</v>
      </c>
      <c r="L316" s="13">
        <v>5500000</v>
      </c>
      <c r="M316" s="14">
        <v>5800000</v>
      </c>
      <c r="N316" s="9">
        <f t="shared" si="11"/>
        <v>6380000</v>
      </c>
      <c r="O316" s="10"/>
      <c r="P316" s="10"/>
      <c r="Q316" s="10"/>
      <c r="R316" s="10"/>
      <c r="S316" s="10"/>
      <c r="T316" s="10"/>
    </row>
    <row r="317" ht="28.5" customHeight="1" spans="1:20">
      <c r="A317" s="6" t="s">
        <v>1262</v>
      </c>
      <c r="B317" s="6" t="s">
        <v>1302</v>
      </c>
      <c r="C317" s="6" t="s">
        <v>190</v>
      </c>
      <c r="D317" s="6" t="s">
        <v>252</v>
      </c>
      <c r="E317" s="6" t="s">
        <v>1303</v>
      </c>
      <c r="F317" s="7" t="s">
        <v>1304</v>
      </c>
      <c r="G317" s="7" t="s">
        <v>1305</v>
      </c>
      <c r="H317" s="7" t="s">
        <v>1306</v>
      </c>
      <c r="I317" s="7"/>
      <c r="J317" s="6" t="s">
        <v>29</v>
      </c>
      <c r="K317" s="12">
        <v>3200000</v>
      </c>
      <c r="L317" s="13">
        <v>3400000</v>
      </c>
      <c r="M317" s="14">
        <v>3600000</v>
      </c>
      <c r="N317" s="9">
        <f t="shared" si="11"/>
        <v>3960000</v>
      </c>
      <c r="O317" s="6">
        <v>86</v>
      </c>
      <c r="P317" s="6">
        <v>60</v>
      </c>
      <c r="Q317" s="6" t="s">
        <v>65</v>
      </c>
      <c r="R317" s="6">
        <v>76</v>
      </c>
      <c r="S317" s="6">
        <v>64</v>
      </c>
      <c r="T317" s="6">
        <v>10</v>
      </c>
    </row>
    <row r="318" ht="71.25" customHeight="1" spans="1:20">
      <c r="A318" s="10" t="s">
        <v>1280</v>
      </c>
      <c r="B318" s="10" t="s">
        <v>1307</v>
      </c>
      <c r="C318" s="10" t="s">
        <v>190</v>
      </c>
      <c r="D318" s="10" t="s">
        <v>252</v>
      </c>
      <c r="E318" s="10" t="s">
        <v>1303</v>
      </c>
      <c r="F318" s="11" t="s">
        <v>1304</v>
      </c>
      <c r="G318" s="11" t="s">
        <v>1305</v>
      </c>
      <c r="H318" s="11" t="s">
        <v>1306</v>
      </c>
      <c r="I318" s="11"/>
      <c r="J318" s="10" t="s">
        <v>33</v>
      </c>
      <c r="K318" s="12">
        <v>3750000</v>
      </c>
      <c r="L318" s="13">
        <v>4050000</v>
      </c>
      <c r="M318" s="14">
        <v>4350000</v>
      </c>
      <c r="N318" s="9">
        <f t="shared" si="11"/>
        <v>4785000</v>
      </c>
      <c r="O318" s="10">
        <v>86</v>
      </c>
      <c r="P318" s="10">
        <v>60</v>
      </c>
      <c r="Q318" s="10" t="s">
        <v>65</v>
      </c>
      <c r="R318" s="10">
        <v>76</v>
      </c>
      <c r="S318" s="10">
        <v>64</v>
      </c>
      <c r="T318" s="10">
        <v>10</v>
      </c>
    </row>
    <row r="319" ht="71.25" customHeight="1" spans="1:20">
      <c r="A319" s="6" t="s">
        <v>1262</v>
      </c>
      <c r="B319" s="6" t="s">
        <v>1308</v>
      </c>
      <c r="C319" s="6" t="s">
        <v>85</v>
      </c>
      <c r="D319" s="6" t="s">
        <v>1309</v>
      </c>
      <c r="E319" s="6" t="s">
        <v>1310</v>
      </c>
      <c r="F319" s="7" t="s">
        <v>1311</v>
      </c>
      <c r="G319" s="7"/>
      <c r="H319" s="7"/>
      <c r="I319" s="7"/>
      <c r="J319" s="6" t="s">
        <v>59</v>
      </c>
      <c r="K319" s="8"/>
      <c r="L319" s="13">
        <v>9000000</v>
      </c>
      <c r="M319" s="14">
        <v>9500000</v>
      </c>
      <c r="N319" s="9">
        <f t="shared" si="11"/>
        <v>10450000</v>
      </c>
      <c r="O319" s="6">
        <v>130</v>
      </c>
      <c r="P319" s="6">
        <v>80.6</v>
      </c>
      <c r="Q319" s="6" t="s">
        <v>215</v>
      </c>
      <c r="R319" s="6">
        <v>130</v>
      </c>
      <c r="S319" s="6">
        <v>98</v>
      </c>
      <c r="T319" s="6" t="s">
        <v>215</v>
      </c>
    </row>
    <row r="320" ht="28.5" customHeight="1" spans="1:20">
      <c r="A320" s="10" t="s">
        <v>1262</v>
      </c>
      <c r="B320" s="10" t="s">
        <v>1312</v>
      </c>
      <c r="C320" s="10" t="s">
        <v>85</v>
      </c>
      <c r="D320" s="10" t="s">
        <v>1309</v>
      </c>
      <c r="E320" s="10" t="s">
        <v>1310</v>
      </c>
      <c r="F320" s="11" t="s">
        <v>1313</v>
      </c>
      <c r="G320" s="11"/>
      <c r="H320" s="11"/>
      <c r="I320" s="11"/>
      <c r="J320" s="10" t="s">
        <v>29</v>
      </c>
      <c r="K320" s="8"/>
      <c r="L320" s="8"/>
      <c r="M320" s="8"/>
      <c r="N320" s="9" t="str">
        <f t="shared" si="11"/>
        <v/>
      </c>
      <c r="O320" s="10">
        <v>130</v>
      </c>
      <c r="P320" s="10">
        <v>80.6</v>
      </c>
      <c r="Q320" s="10" t="s">
        <v>215</v>
      </c>
      <c r="R320" s="10">
        <v>130</v>
      </c>
      <c r="S320" s="10">
        <v>98</v>
      </c>
      <c r="T320" s="10" t="s">
        <v>215</v>
      </c>
    </row>
    <row r="321" ht="28.5" customHeight="1" spans="1:20">
      <c r="A321" s="6" t="s">
        <v>1262</v>
      </c>
      <c r="B321" s="6" t="s">
        <v>1314</v>
      </c>
      <c r="C321" s="6" t="s">
        <v>85</v>
      </c>
      <c r="D321" s="6" t="s">
        <v>1315</v>
      </c>
      <c r="E321" s="6" t="s">
        <v>1316</v>
      </c>
      <c r="F321" s="7" t="s">
        <v>1317</v>
      </c>
      <c r="G321" s="7" t="s">
        <v>1318</v>
      </c>
      <c r="H321" s="7"/>
      <c r="I321" s="7"/>
      <c r="J321" s="6" t="s">
        <v>29</v>
      </c>
      <c r="K321" s="12">
        <v>8300000</v>
      </c>
      <c r="L321" s="13">
        <v>8600000</v>
      </c>
      <c r="M321" s="14">
        <v>9000000</v>
      </c>
      <c r="N321" s="9">
        <f t="shared" si="11"/>
        <v>9900000</v>
      </c>
      <c r="O321" s="6">
        <v>113.706</v>
      </c>
      <c r="P321" s="6">
        <v>82</v>
      </c>
      <c r="Q321" s="6" t="s">
        <v>1319</v>
      </c>
      <c r="R321" s="6">
        <v>105.5</v>
      </c>
      <c r="S321" s="6">
        <v>96</v>
      </c>
      <c r="T321" s="6" t="s">
        <v>1320</v>
      </c>
    </row>
    <row r="322" ht="28.5" customHeight="1" spans="1:20">
      <c r="A322" s="10" t="s">
        <v>1262</v>
      </c>
      <c r="B322" s="10" t="s">
        <v>1321</v>
      </c>
      <c r="C322" s="10" t="s">
        <v>85</v>
      </c>
      <c r="D322" s="10" t="s">
        <v>1322</v>
      </c>
      <c r="E322" s="10" t="s">
        <v>1323</v>
      </c>
      <c r="F322" s="11" t="s">
        <v>1324</v>
      </c>
      <c r="G322" s="11" t="s">
        <v>1325</v>
      </c>
      <c r="H322" s="11" t="s">
        <v>1326</v>
      </c>
      <c r="I322" s="11"/>
      <c r="J322" s="10"/>
      <c r="K322" s="12">
        <v>8000000</v>
      </c>
      <c r="L322" s="13">
        <v>8000000</v>
      </c>
      <c r="M322" s="14">
        <v>8500000</v>
      </c>
      <c r="N322" s="9">
        <f t="shared" si="11"/>
        <v>9350000</v>
      </c>
      <c r="O322" s="10">
        <v>113.2</v>
      </c>
      <c r="P322" s="10">
        <v>80</v>
      </c>
      <c r="Q322" s="10" t="s">
        <v>1327</v>
      </c>
      <c r="R322" s="10">
        <v>105.5</v>
      </c>
      <c r="S322" s="10">
        <v>96</v>
      </c>
      <c r="T322" s="10" t="s">
        <v>1328</v>
      </c>
    </row>
    <row r="323" ht="57" customHeight="1" spans="1:20">
      <c r="A323" s="6" t="s">
        <v>1262</v>
      </c>
      <c r="B323" s="6" t="s">
        <v>1329</v>
      </c>
      <c r="C323" s="6" t="s">
        <v>85</v>
      </c>
      <c r="D323" s="6" t="s">
        <v>1315</v>
      </c>
      <c r="E323" s="6" t="s">
        <v>1330</v>
      </c>
      <c r="F323" s="7" t="s">
        <v>1331</v>
      </c>
      <c r="G323" s="7"/>
      <c r="H323" s="7" t="s">
        <v>1332</v>
      </c>
      <c r="I323" s="7"/>
      <c r="J323" s="6"/>
      <c r="K323" s="12">
        <v>6500000</v>
      </c>
      <c r="L323" s="13">
        <v>7000000</v>
      </c>
      <c r="M323" s="14">
        <v>7500000</v>
      </c>
      <c r="N323" s="9">
        <f t="shared" si="11"/>
        <v>8250000</v>
      </c>
      <c r="O323" s="6">
        <v>109</v>
      </c>
      <c r="P323" s="6">
        <v>72</v>
      </c>
      <c r="Q323" s="6" t="s">
        <v>30</v>
      </c>
      <c r="R323" s="6">
        <v>102.8</v>
      </c>
      <c r="S323" s="6">
        <v>86.3</v>
      </c>
      <c r="T323" s="6" t="s">
        <v>1320</v>
      </c>
    </row>
    <row r="324" ht="28.5" customHeight="1" spans="1:20">
      <c r="A324" s="10" t="s">
        <v>1262</v>
      </c>
      <c r="B324" s="10" t="s">
        <v>1333</v>
      </c>
      <c r="C324" s="10"/>
      <c r="D324" s="10"/>
      <c r="E324" s="10" t="s">
        <v>1334</v>
      </c>
      <c r="F324" s="11" t="s">
        <v>1335</v>
      </c>
      <c r="G324" s="11" t="s">
        <v>1336</v>
      </c>
      <c r="H324" s="11" t="s">
        <v>1337</v>
      </c>
      <c r="I324" s="11"/>
      <c r="J324" s="10" t="s">
        <v>1338</v>
      </c>
      <c r="K324" s="8"/>
      <c r="L324" s="8"/>
      <c r="M324" s="8"/>
      <c r="N324" s="9" t="str">
        <f t="shared" si="11"/>
        <v/>
      </c>
      <c r="O324" s="10"/>
      <c r="P324" s="10"/>
      <c r="Q324" s="10"/>
      <c r="R324" s="10"/>
      <c r="S324" s="10"/>
      <c r="T324" s="10"/>
    </row>
    <row r="325" ht="28.5" customHeight="1" spans="1:20">
      <c r="A325" s="6" t="s">
        <v>1262</v>
      </c>
      <c r="B325" s="6" t="s">
        <v>1339</v>
      </c>
      <c r="C325" s="6" t="s">
        <v>190</v>
      </c>
      <c r="D325" s="6" t="s">
        <v>252</v>
      </c>
      <c r="E325" s="6"/>
      <c r="F325" s="7" t="s">
        <v>1340</v>
      </c>
      <c r="G325" s="7" t="s">
        <v>1341</v>
      </c>
      <c r="H325" s="7" t="s">
        <v>1342</v>
      </c>
      <c r="I325" s="7"/>
      <c r="J325" s="6" t="s">
        <v>29</v>
      </c>
      <c r="K325" s="8"/>
      <c r="L325" s="8"/>
      <c r="M325" s="8"/>
      <c r="N325" s="9" t="str">
        <f t="shared" si="11"/>
        <v/>
      </c>
      <c r="O325" s="6">
        <v>86</v>
      </c>
      <c r="P325" s="6">
        <v>60</v>
      </c>
      <c r="Q325" s="6" t="s">
        <v>65</v>
      </c>
      <c r="R325" s="6">
        <v>76</v>
      </c>
      <c r="S325" s="6">
        <v>64</v>
      </c>
      <c r="T325" s="6">
        <v>10</v>
      </c>
    </row>
    <row r="326" ht="142.5" customHeight="1" spans="1:20">
      <c r="A326" s="10" t="s">
        <v>1280</v>
      </c>
      <c r="B326" s="10" t="s">
        <v>1343</v>
      </c>
      <c r="C326" s="10" t="s">
        <v>190</v>
      </c>
      <c r="D326" s="10" t="s">
        <v>252</v>
      </c>
      <c r="E326" s="10"/>
      <c r="F326" s="11" t="s">
        <v>1340</v>
      </c>
      <c r="G326" s="11" t="s">
        <v>1341</v>
      </c>
      <c r="H326" s="11" t="s">
        <v>1342</v>
      </c>
      <c r="I326" s="11"/>
      <c r="J326" s="10" t="s">
        <v>47</v>
      </c>
      <c r="K326" s="12">
        <v>3100000</v>
      </c>
      <c r="L326" s="13">
        <v>3300000</v>
      </c>
      <c r="M326" s="14">
        <v>3500000</v>
      </c>
      <c r="N326" s="9">
        <f t="shared" si="11"/>
        <v>3850000</v>
      </c>
      <c r="O326" s="10">
        <v>86</v>
      </c>
      <c r="P326" s="10">
        <v>60</v>
      </c>
      <c r="Q326" s="10" t="s">
        <v>65</v>
      </c>
      <c r="R326" s="10">
        <v>76</v>
      </c>
      <c r="S326" s="10">
        <v>64</v>
      </c>
      <c r="T326" s="10">
        <v>10</v>
      </c>
    </row>
    <row r="327" ht="142.5" customHeight="1" spans="1:20">
      <c r="A327" s="6" t="s">
        <v>1280</v>
      </c>
      <c r="B327" s="6" t="s">
        <v>1344</v>
      </c>
      <c r="C327" s="6" t="s">
        <v>190</v>
      </c>
      <c r="D327" s="6" t="s">
        <v>252</v>
      </c>
      <c r="E327" s="6"/>
      <c r="F327" s="7" t="s">
        <v>1340</v>
      </c>
      <c r="G327" s="7" t="s">
        <v>1341</v>
      </c>
      <c r="H327" s="7" t="s">
        <v>1342</v>
      </c>
      <c r="I327" s="7"/>
      <c r="J327" s="6" t="s">
        <v>33</v>
      </c>
      <c r="K327" s="12">
        <v>3800000</v>
      </c>
      <c r="L327" s="13">
        <v>4050000</v>
      </c>
      <c r="M327" s="14">
        <v>4300000</v>
      </c>
      <c r="N327" s="9">
        <f t="shared" si="11"/>
        <v>4730000</v>
      </c>
      <c r="O327" s="6">
        <v>86</v>
      </c>
      <c r="P327" s="6">
        <v>60</v>
      </c>
      <c r="Q327" s="6" t="s">
        <v>65</v>
      </c>
      <c r="R327" s="6">
        <v>76</v>
      </c>
      <c r="S327" s="6">
        <v>64</v>
      </c>
      <c r="T327" s="6">
        <v>10</v>
      </c>
    </row>
    <row r="328" ht="142.5" customHeight="1" spans="1:20">
      <c r="A328" s="10" t="s">
        <v>1262</v>
      </c>
      <c r="B328" s="10" t="s">
        <v>1345</v>
      </c>
      <c r="C328" s="10" t="s">
        <v>190</v>
      </c>
      <c r="D328" s="10" t="s">
        <v>252</v>
      </c>
      <c r="E328" s="10" t="s">
        <v>1346</v>
      </c>
      <c r="F328" s="11" t="s">
        <v>1347</v>
      </c>
      <c r="G328" s="11" t="s">
        <v>1348</v>
      </c>
      <c r="H328" s="11"/>
      <c r="I328" s="11"/>
      <c r="J328" s="10" t="s">
        <v>129</v>
      </c>
      <c r="K328" s="12">
        <v>3450000</v>
      </c>
      <c r="L328" s="13">
        <v>3650000</v>
      </c>
      <c r="M328" s="14">
        <v>3900000</v>
      </c>
      <c r="N328" s="9">
        <f t="shared" si="11"/>
        <v>4290000</v>
      </c>
      <c r="O328" s="10"/>
      <c r="P328" s="10"/>
      <c r="Q328" s="10"/>
      <c r="R328" s="10"/>
      <c r="S328" s="10"/>
      <c r="T328" s="10"/>
    </row>
    <row r="329" ht="27.75" customHeight="1" spans="1:20">
      <c r="A329" s="6" t="s">
        <v>1262</v>
      </c>
      <c r="B329" s="6" t="s">
        <v>1349</v>
      </c>
      <c r="C329" s="6" t="s">
        <v>190</v>
      </c>
      <c r="D329" s="6" t="s">
        <v>1350</v>
      </c>
      <c r="E329" s="6" t="s">
        <v>340</v>
      </c>
      <c r="F329" s="7" t="s">
        <v>1351</v>
      </c>
      <c r="G329" s="7" t="s">
        <v>1352</v>
      </c>
      <c r="H329" s="7" t="s">
        <v>1353</v>
      </c>
      <c r="I329" s="7"/>
      <c r="J329" s="6" t="s">
        <v>33</v>
      </c>
      <c r="K329" s="12">
        <v>2900000</v>
      </c>
      <c r="L329" s="13">
        <v>3100000</v>
      </c>
      <c r="M329" s="14">
        <v>3300000</v>
      </c>
      <c r="N329" s="9">
        <f t="shared" si="11"/>
        <v>3630000</v>
      </c>
      <c r="O329" s="6">
        <v>78</v>
      </c>
      <c r="P329" s="6">
        <v>54</v>
      </c>
      <c r="Q329" s="6" t="s">
        <v>65</v>
      </c>
      <c r="R329" s="6">
        <v>70</v>
      </c>
      <c r="S329" s="6">
        <v>60</v>
      </c>
      <c r="T329" s="6">
        <v>12</v>
      </c>
    </row>
    <row r="330" ht="57" customHeight="1" spans="1:20">
      <c r="A330" s="10" t="s">
        <v>1262</v>
      </c>
      <c r="B330" s="10" t="s">
        <v>1354</v>
      </c>
      <c r="C330" s="10" t="s">
        <v>190</v>
      </c>
      <c r="D330" s="10" t="s">
        <v>1350</v>
      </c>
      <c r="E330" s="10" t="s">
        <v>1355</v>
      </c>
      <c r="F330" s="11" t="s">
        <v>1356</v>
      </c>
      <c r="G330" s="11" t="s">
        <v>1357</v>
      </c>
      <c r="H330" s="11" t="s">
        <v>1358</v>
      </c>
      <c r="I330" s="11"/>
      <c r="J330" s="10" t="s">
        <v>33</v>
      </c>
      <c r="K330" s="12">
        <v>3450000</v>
      </c>
      <c r="L330" s="13">
        <v>3700000</v>
      </c>
      <c r="M330" s="14">
        <v>3950000</v>
      </c>
      <c r="N330" s="9">
        <f t="shared" si="11"/>
        <v>4345000</v>
      </c>
      <c r="O330" s="10">
        <v>83</v>
      </c>
      <c r="P330" s="10">
        <v>52</v>
      </c>
      <c r="Q330" s="10" t="s">
        <v>30</v>
      </c>
      <c r="R330" s="10">
        <v>70</v>
      </c>
      <c r="S330" s="10">
        <v>60</v>
      </c>
      <c r="T330" s="10">
        <v>12</v>
      </c>
    </row>
    <row r="331" ht="114" customHeight="1" spans="1:20">
      <c r="A331" s="6" t="s">
        <v>1262</v>
      </c>
      <c r="B331" s="6" t="s">
        <v>1359</v>
      </c>
      <c r="C331" s="6" t="s">
        <v>190</v>
      </c>
      <c r="D331" s="6" t="s">
        <v>469</v>
      </c>
      <c r="E331" s="6" t="s">
        <v>1360</v>
      </c>
      <c r="F331" s="7" t="s">
        <v>1361</v>
      </c>
      <c r="G331" s="7" t="s">
        <v>1362</v>
      </c>
      <c r="H331" s="7" t="s">
        <v>1353</v>
      </c>
      <c r="I331" s="7"/>
      <c r="J331" s="6"/>
      <c r="K331" s="12">
        <v>3100000</v>
      </c>
      <c r="L331" s="13">
        <v>3300000</v>
      </c>
      <c r="M331" s="14">
        <v>3500000</v>
      </c>
      <c r="N331" s="9">
        <f t="shared" si="11"/>
        <v>3850000</v>
      </c>
      <c r="O331" s="6">
        <v>83</v>
      </c>
      <c r="P331" s="6">
        <v>52</v>
      </c>
      <c r="Q331" s="6" t="s">
        <v>30</v>
      </c>
      <c r="R331" s="6">
        <v>70</v>
      </c>
      <c r="S331" s="6">
        <v>60</v>
      </c>
      <c r="T331" s="6">
        <v>12</v>
      </c>
    </row>
    <row r="332" ht="42.75" customHeight="1" spans="1:20">
      <c r="A332" s="10" t="s">
        <v>1262</v>
      </c>
      <c r="B332" s="10" t="s">
        <v>1363</v>
      </c>
      <c r="C332" s="10" t="s">
        <v>190</v>
      </c>
      <c r="D332" s="10" t="s">
        <v>1364</v>
      </c>
      <c r="E332" s="10" t="s">
        <v>1365</v>
      </c>
      <c r="F332" s="11" t="s">
        <v>1366</v>
      </c>
      <c r="G332" s="11" t="s">
        <v>1206</v>
      </c>
      <c r="H332" s="11" t="s">
        <v>1367</v>
      </c>
      <c r="I332" s="11"/>
      <c r="J332" s="10" t="s">
        <v>29</v>
      </c>
      <c r="K332" s="12">
        <v>2300000</v>
      </c>
      <c r="L332" s="13">
        <v>2450000</v>
      </c>
      <c r="M332" s="14">
        <v>2600000</v>
      </c>
      <c r="N332" s="9">
        <f t="shared" si="11"/>
        <v>2860000</v>
      </c>
      <c r="O332" s="10">
        <v>83</v>
      </c>
      <c r="P332" s="10">
        <v>52</v>
      </c>
      <c r="Q332" s="10" t="s">
        <v>30</v>
      </c>
      <c r="R332" s="10">
        <v>70</v>
      </c>
      <c r="S332" s="10">
        <v>60</v>
      </c>
      <c r="T332" s="10">
        <v>12</v>
      </c>
    </row>
    <row r="333" ht="57" customHeight="1" spans="1:20">
      <c r="A333" s="6" t="s">
        <v>1262</v>
      </c>
      <c r="B333" s="6" t="s">
        <v>1368</v>
      </c>
      <c r="C333" s="6" t="s">
        <v>190</v>
      </c>
      <c r="D333" s="6" t="s">
        <v>286</v>
      </c>
      <c r="E333" s="6" t="s">
        <v>1369</v>
      </c>
      <c r="F333" s="7" t="s">
        <v>1370</v>
      </c>
      <c r="G333" s="7"/>
      <c r="H333" s="7" t="s">
        <v>1371</v>
      </c>
      <c r="I333" s="7" t="s">
        <v>47</v>
      </c>
      <c r="J333" s="6" t="s">
        <v>129</v>
      </c>
      <c r="K333" s="12">
        <v>2700000</v>
      </c>
      <c r="L333" s="13">
        <v>2900000</v>
      </c>
      <c r="M333" s="14">
        <v>3100000</v>
      </c>
      <c r="N333" s="9">
        <f t="shared" si="11"/>
        <v>3410000</v>
      </c>
      <c r="O333" s="6">
        <v>56</v>
      </c>
      <c r="P333" s="6">
        <v>38.4</v>
      </c>
      <c r="Q333" s="6" t="s">
        <v>99</v>
      </c>
      <c r="R333" s="6">
        <v>52</v>
      </c>
      <c r="S333" s="6">
        <v>45.6</v>
      </c>
      <c r="T333" s="6">
        <v>12</v>
      </c>
    </row>
    <row r="334" ht="28.5" customHeight="1" spans="1:20">
      <c r="A334" s="10" t="s">
        <v>1280</v>
      </c>
      <c r="B334" s="10" t="s">
        <v>1372</v>
      </c>
      <c r="C334" s="10" t="s">
        <v>190</v>
      </c>
      <c r="D334" s="10" t="s">
        <v>286</v>
      </c>
      <c r="E334" s="10" t="s">
        <v>1369</v>
      </c>
      <c r="F334" s="11" t="s">
        <v>1370</v>
      </c>
      <c r="G334" s="11"/>
      <c r="H334" s="11" t="s">
        <v>1371</v>
      </c>
      <c r="I334" s="11" t="s">
        <v>47</v>
      </c>
      <c r="J334" s="10" t="s">
        <v>47</v>
      </c>
      <c r="K334" s="8"/>
      <c r="L334" s="8"/>
      <c r="M334" s="8"/>
      <c r="N334" s="9" t="str">
        <f t="shared" si="11"/>
        <v/>
      </c>
      <c r="O334" s="10">
        <v>56</v>
      </c>
      <c r="P334" s="10">
        <v>38.4</v>
      </c>
      <c r="Q334" s="10" t="s">
        <v>99</v>
      </c>
      <c r="R334" s="10">
        <v>52</v>
      </c>
      <c r="S334" s="10">
        <v>45.6</v>
      </c>
      <c r="T334" s="10">
        <v>12</v>
      </c>
    </row>
    <row r="335" ht="28.5" customHeight="1" spans="1:20">
      <c r="A335" s="6" t="s">
        <v>1262</v>
      </c>
      <c r="B335" s="6" t="s">
        <v>1373</v>
      </c>
      <c r="C335" s="6" t="s">
        <v>190</v>
      </c>
      <c r="D335" s="6" t="s">
        <v>303</v>
      </c>
      <c r="E335" s="6" t="s">
        <v>1374</v>
      </c>
      <c r="F335" s="7" t="s">
        <v>1375</v>
      </c>
      <c r="G335" s="7"/>
      <c r="H335" s="7"/>
      <c r="I335" s="7"/>
      <c r="J335" s="6" t="s">
        <v>29</v>
      </c>
      <c r="K335" s="8"/>
      <c r="L335" s="8"/>
      <c r="M335" s="8"/>
      <c r="N335" s="9" t="str">
        <f t="shared" si="11"/>
        <v/>
      </c>
      <c r="O335" s="6">
        <v>61</v>
      </c>
      <c r="P335" s="6">
        <v>43.5</v>
      </c>
      <c r="Q335" s="6" t="s">
        <v>99</v>
      </c>
      <c r="R335" s="6">
        <v>52</v>
      </c>
      <c r="S335" s="6">
        <v>45.7</v>
      </c>
      <c r="T335" s="6">
        <v>12</v>
      </c>
    </row>
    <row r="336" ht="28.5" customHeight="1" spans="1:20">
      <c r="A336" s="10" t="s">
        <v>1262</v>
      </c>
      <c r="B336" s="10" t="s">
        <v>1376</v>
      </c>
      <c r="C336" s="10" t="s">
        <v>190</v>
      </c>
      <c r="D336" s="10" t="s">
        <v>303</v>
      </c>
      <c r="E336" s="10" t="s">
        <v>1377</v>
      </c>
      <c r="F336" s="11" t="s">
        <v>1378</v>
      </c>
      <c r="G336" s="11"/>
      <c r="H336" s="11"/>
      <c r="I336" s="11"/>
      <c r="J336" s="10" t="s">
        <v>29</v>
      </c>
      <c r="K336" s="8"/>
      <c r="L336" s="8"/>
      <c r="M336" s="8"/>
      <c r="N336" s="9" t="str">
        <f t="shared" si="11"/>
        <v/>
      </c>
      <c r="O336" s="10"/>
      <c r="P336" s="10"/>
      <c r="Q336" s="10"/>
      <c r="R336" s="10"/>
      <c r="S336" s="10"/>
      <c r="T336" s="10"/>
    </row>
    <row r="337" ht="28.5" customHeight="1" spans="1:20">
      <c r="A337" s="6" t="s">
        <v>1262</v>
      </c>
      <c r="B337" s="6" t="s">
        <v>1379</v>
      </c>
      <c r="C337" s="6" t="s">
        <v>190</v>
      </c>
      <c r="D337" s="6" t="s">
        <v>1380</v>
      </c>
      <c r="E337" s="6" t="s">
        <v>192</v>
      </c>
      <c r="F337" s="7" t="s">
        <v>1381</v>
      </c>
      <c r="G337" s="7" t="s">
        <v>1382</v>
      </c>
      <c r="H337" s="7" t="s">
        <v>1383</v>
      </c>
      <c r="I337" s="7"/>
      <c r="J337" s="6" t="s">
        <v>29</v>
      </c>
      <c r="K337" s="12">
        <v>2700000</v>
      </c>
      <c r="L337" s="13">
        <v>2900000</v>
      </c>
      <c r="M337" s="14">
        <v>3100000</v>
      </c>
      <c r="N337" s="9">
        <f t="shared" si="11"/>
        <v>3410000</v>
      </c>
      <c r="O337" s="6"/>
      <c r="P337" s="6"/>
      <c r="Q337" s="6"/>
      <c r="R337" s="6"/>
      <c r="S337" s="6"/>
      <c r="T337" s="6"/>
    </row>
    <row r="338" ht="142.5" customHeight="1" spans="1:20">
      <c r="A338" s="10" t="s">
        <v>1262</v>
      </c>
      <c r="B338" s="10" t="s">
        <v>1384</v>
      </c>
      <c r="C338" s="10" t="s">
        <v>190</v>
      </c>
      <c r="D338" s="10" t="s">
        <v>1380</v>
      </c>
      <c r="E338" s="10" t="s">
        <v>1385</v>
      </c>
      <c r="F338" s="11" t="s">
        <v>1386</v>
      </c>
      <c r="G338" s="11" t="s">
        <v>1387</v>
      </c>
      <c r="H338" s="11"/>
      <c r="I338" s="11"/>
      <c r="J338" s="10" t="s">
        <v>1388</v>
      </c>
      <c r="K338" s="8"/>
      <c r="L338" s="8"/>
      <c r="M338" s="8"/>
      <c r="N338" s="9" t="str">
        <f t="shared" si="11"/>
        <v/>
      </c>
      <c r="O338" s="10"/>
      <c r="P338" s="10"/>
      <c r="Q338" s="10"/>
      <c r="R338" s="10"/>
      <c r="S338" s="10"/>
      <c r="T338" s="10"/>
    </row>
    <row r="339" ht="28.5" customHeight="1" spans="1:20">
      <c r="A339" s="6" t="s">
        <v>1262</v>
      </c>
      <c r="B339" s="6" t="s">
        <v>1389</v>
      </c>
      <c r="C339" s="6" t="s">
        <v>190</v>
      </c>
      <c r="D339" s="6" t="s">
        <v>303</v>
      </c>
      <c r="E339" s="6" t="s">
        <v>1390</v>
      </c>
      <c r="F339" s="7" t="s">
        <v>1391</v>
      </c>
      <c r="G339" s="7"/>
      <c r="H339" s="7" t="s">
        <v>1392</v>
      </c>
      <c r="I339" s="7"/>
      <c r="J339" s="6" t="s">
        <v>33</v>
      </c>
      <c r="K339" s="12">
        <v>3100000</v>
      </c>
      <c r="L339" s="13">
        <v>3300000</v>
      </c>
      <c r="M339" s="14">
        <v>3500000</v>
      </c>
      <c r="N339" s="9">
        <f t="shared" si="11"/>
        <v>3850000</v>
      </c>
      <c r="O339" s="6"/>
      <c r="P339" s="6"/>
      <c r="Q339" s="6"/>
      <c r="R339" s="6"/>
      <c r="S339" s="6"/>
      <c r="T339" s="6"/>
    </row>
    <row r="340" ht="57" customHeight="1" spans="1:20">
      <c r="A340" s="10" t="s">
        <v>1262</v>
      </c>
      <c r="B340" s="10" t="s">
        <v>1393</v>
      </c>
      <c r="C340" s="10" t="s">
        <v>35</v>
      </c>
      <c r="D340" s="10" t="s">
        <v>1394</v>
      </c>
      <c r="E340" s="10" t="s">
        <v>1395</v>
      </c>
      <c r="F340" s="11" t="s">
        <v>1396</v>
      </c>
      <c r="G340" s="11" t="s">
        <v>1397</v>
      </c>
      <c r="H340" s="11" t="s">
        <v>1398</v>
      </c>
      <c r="I340" s="11"/>
      <c r="J340" s="10" t="s">
        <v>33</v>
      </c>
      <c r="K340" s="12">
        <v>2600000</v>
      </c>
      <c r="L340" s="13">
        <v>2750000</v>
      </c>
      <c r="M340" s="14">
        <v>2900000</v>
      </c>
      <c r="N340" s="9">
        <f t="shared" si="11"/>
        <v>3190000</v>
      </c>
      <c r="O340" s="10">
        <v>49</v>
      </c>
      <c r="P340" s="10">
        <v>35.5</v>
      </c>
      <c r="Q340" s="10" t="s">
        <v>99</v>
      </c>
      <c r="R340" s="10">
        <v>47.1</v>
      </c>
      <c r="S340" s="10">
        <v>41.2</v>
      </c>
      <c r="T340" s="10">
        <v>12</v>
      </c>
    </row>
    <row r="341" ht="285" customHeight="1" spans="1:20">
      <c r="A341" s="6" t="s">
        <v>1262</v>
      </c>
      <c r="B341" s="6" t="s">
        <v>1399</v>
      </c>
      <c r="C341" s="6" t="s">
        <v>35</v>
      </c>
      <c r="D341" s="6" t="s">
        <v>1400</v>
      </c>
      <c r="E341" s="6" t="s">
        <v>1401</v>
      </c>
      <c r="F341" s="7" t="s">
        <v>1402</v>
      </c>
      <c r="G341" s="7" t="s">
        <v>1403</v>
      </c>
      <c r="H341" s="7" t="s">
        <v>1404</v>
      </c>
      <c r="I341" s="7"/>
      <c r="J341" s="6"/>
      <c r="K341" s="12">
        <v>2600000</v>
      </c>
      <c r="L341" s="13">
        <v>2750000</v>
      </c>
      <c r="M341" s="14">
        <v>2900000</v>
      </c>
      <c r="N341" s="9">
        <f t="shared" si="11"/>
        <v>3190000</v>
      </c>
      <c r="O341" s="6">
        <v>51</v>
      </c>
      <c r="P341" s="6">
        <v>36.4</v>
      </c>
      <c r="Q341" s="6" t="s">
        <v>99</v>
      </c>
      <c r="R341" s="6">
        <v>47.1</v>
      </c>
      <c r="S341" s="6">
        <v>41.2</v>
      </c>
      <c r="T341" s="6">
        <v>12</v>
      </c>
    </row>
    <row r="342" ht="42.75" customHeight="1" spans="1:20">
      <c r="A342" s="10" t="s">
        <v>1262</v>
      </c>
      <c r="B342" s="10" t="s">
        <v>1405</v>
      </c>
      <c r="C342" s="10" t="s">
        <v>25</v>
      </c>
      <c r="D342" s="10" t="s">
        <v>1406</v>
      </c>
      <c r="E342" s="10" t="s">
        <v>1276</v>
      </c>
      <c r="F342" s="11" t="s">
        <v>1407</v>
      </c>
      <c r="G342" s="11" t="s">
        <v>28</v>
      </c>
      <c r="H342" s="11" t="s">
        <v>1408</v>
      </c>
      <c r="I342" s="11" t="s">
        <v>1409</v>
      </c>
      <c r="J342" s="10" t="s">
        <v>149</v>
      </c>
      <c r="K342" s="12">
        <v>2500000</v>
      </c>
      <c r="L342" s="13">
        <v>2700000</v>
      </c>
      <c r="M342" s="14">
        <v>2900000</v>
      </c>
      <c r="N342" s="9">
        <f t="shared" si="11"/>
        <v>3190000</v>
      </c>
      <c r="O342" s="10"/>
      <c r="P342" s="10"/>
      <c r="Q342" s="10"/>
      <c r="R342" s="10"/>
      <c r="S342" s="10"/>
      <c r="T342" s="10"/>
    </row>
    <row r="343" ht="51.75" customHeight="1" spans="1:20">
      <c r="A343" s="6" t="s">
        <v>1262</v>
      </c>
      <c r="B343" s="6" t="s">
        <v>1410</v>
      </c>
      <c r="C343" s="6" t="s">
        <v>25</v>
      </c>
      <c r="D343" s="6" t="s">
        <v>1411</v>
      </c>
      <c r="E343" s="6" t="s">
        <v>1412</v>
      </c>
      <c r="F343" s="7" t="s">
        <v>1413</v>
      </c>
      <c r="G343" s="7" t="s">
        <v>1206</v>
      </c>
      <c r="H343" s="7" t="s">
        <v>1414</v>
      </c>
      <c r="I343" s="7"/>
      <c r="J343" s="6" t="s">
        <v>29</v>
      </c>
      <c r="K343" s="12">
        <v>2150000</v>
      </c>
      <c r="L343" s="13">
        <v>2250000</v>
      </c>
      <c r="M343" s="14">
        <v>2400000</v>
      </c>
      <c r="N343" s="9">
        <f t="shared" si="11"/>
        <v>2640000</v>
      </c>
      <c r="O343" s="6">
        <v>60.2</v>
      </c>
      <c r="P343" s="6">
        <v>42.5</v>
      </c>
      <c r="Q343" s="6" t="s">
        <v>99</v>
      </c>
      <c r="R343" s="6">
        <v>65.2</v>
      </c>
      <c r="S343" s="6">
        <v>49.4</v>
      </c>
      <c r="T343" s="6">
        <v>11</v>
      </c>
    </row>
    <row r="344" ht="57" customHeight="1" spans="1:20">
      <c r="A344" s="10" t="s">
        <v>1262</v>
      </c>
      <c r="B344" s="10" t="s">
        <v>1415</v>
      </c>
      <c r="C344" s="10" t="s">
        <v>25</v>
      </c>
      <c r="D344" s="10" t="s">
        <v>1416</v>
      </c>
      <c r="E344" s="10" t="s">
        <v>1417</v>
      </c>
      <c r="F344" s="11" t="s">
        <v>1418</v>
      </c>
      <c r="G344" s="11" t="s">
        <v>1419</v>
      </c>
      <c r="H344" s="11" t="s">
        <v>1420</v>
      </c>
      <c r="I344" s="11"/>
      <c r="J344" s="10" t="s">
        <v>33</v>
      </c>
      <c r="K344" s="8"/>
      <c r="L344" s="8"/>
      <c r="M344" s="8"/>
      <c r="N344" s="9" t="str">
        <f t="shared" si="11"/>
        <v/>
      </c>
      <c r="O344" s="10">
        <v>75</v>
      </c>
      <c r="P344" s="10">
        <v>48.5</v>
      </c>
      <c r="Q344" s="10" t="s">
        <v>99</v>
      </c>
      <c r="R344" s="10">
        <v>74.2</v>
      </c>
      <c r="S344" s="10">
        <v>64.5</v>
      </c>
      <c r="T344" s="10">
        <v>11</v>
      </c>
    </row>
    <row r="345" ht="57" customHeight="1" spans="1:20">
      <c r="A345" s="6" t="s">
        <v>1262</v>
      </c>
      <c r="B345" s="6" t="s">
        <v>1421</v>
      </c>
      <c r="C345" s="6" t="s">
        <v>25</v>
      </c>
      <c r="D345" s="6" t="s">
        <v>1422</v>
      </c>
      <c r="E345" s="6" t="s">
        <v>1423</v>
      </c>
      <c r="F345" s="7" t="s">
        <v>1424</v>
      </c>
      <c r="G345" s="7" t="s">
        <v>1425</v>
      </c>
      <c r="H345" s="7"/>
      <c r="I345" s="7"/>
      <c r="J345" s="6" t="s">
        <v>33</v>
      </c>
      <c r="K345" s="12">
        <v>3050000</v>
      </c>
      <c r="L345" s="13">
        <v>3250000</v>
      </c>
      <c r="M345" s="14">
        <v>3450000</v>
      </c>
      <c r="N345" s="9">
        <f t="shared" si="11"/>
        <v>3795000</v>
      </c>
      <c r="O345" s="6"/>
      <c r="P345" s="6"/>
      <c r="Q345" s="6"/>
      <c r="R345" s="6"/>
      <c r="S345" s="6"/>
      <c r="T345" s="6"/>
    </row>
    <row r="346" ht="42.75" customHeight="1" spans="1:20">
      <c r="A346" s="10" t="s">
        <v>1262</v>
      </c>
      <c r="B346" s="10" t="s">
        <v>1426</v>
      </c>
      <c r="C346" s="10" t="s">
        <v>190</v>
      </c>
      <c r="D346" s="10" t="s">
        <v>469</v>
      </c>
      <c r="E346" s="10" t="s">
        <v>1427</v>
      </c>
      <c r="F346" s="11" t="s">
        <v>1428</v>
      </c>
      <c r="G346" s="11" t="s">
        <v>1429</v>
      </c>
      <c r="H346" s="11" t="s">
        <v>1430</v>
      </c>
      <c r="I346" s="11"/>
      <c r="J346" s="10" t="s">
        <v>29</v>
      </c>
      <c r="K346" s="12">
        <v>2700000</v>
      </c>
      <c r="L346" s="13">
        <v>2900000</v>
      </c>
      <c r="M346" s="14">
        <v>3100000</v>
      </c>
      <c r="N346" s="9">
        <f t="shared" si="11"/>
        <v>3410000</v>
      </c>
      <c r="O346" s="10">
        <v>83</v>
      </c>
      <c r="P346" s="10">
        <v>52</v>
      </c>
      <c r="Q346" s="10" t="s">
        <v>30</v>
      </c>
      <c r="R346" s="10">
        <v>70</v>
      </c>
      <c r="S346" s="10">
        <v>60</v>
      </c>
      <c r="T346" s="10">
        <v>12</v>
      </c>
    </row>
    <row r="347" ht="85.5" customHeight="1" spans="1:20">
      <c r="A347" s="6" t="s">
        <v>1280</v>
      </c>
      <c r="B347" s="6" t="s">
        <v>1431</v>
      </c>
      <c r="C347" s="6" t="s">
        <v>190</v>
      </c>
      <c r="D347" s="6" t="s">
        <v>469</v>
      </c>
      <c r="E347" s="6" t="s">
        <v>1427</v>
      </c>
      <c r="F347" s="7" t="s">
        <v>1428</v>
      </c>
      <c r="G347" s="7" t="s">
        <v>1429</v>
      </c>
      <c r="H347" s="7" t="s">
        <v>1430</v>
      </c>
      <c r="I347" s="7"/>
      <c r="J347" s="6" t="s">
        <v>33</v>
      </c>
      <c r="K347" s="12">
        <v>3100000</v>
      </c>
      <c r="L347" s="13">
        <v>3300000</v>
      </c>
      <c r="M347" s="14">
        <v>3500000</v>
      </c>
      <c r="N347" s="9">
        <f t="shared" si="11"/>
        <v>3850000</v>
      </c>
      <c r="O347" s="6">
        <v>83</v>
      </c>
      <c r="P347" s="6">
        <v>52</v>
      </c>
      <c r="Q347" s="6" t="s">
        <v>30</v>
      </c>
      <c r="R347" s="6">
        <v>70</v>
      </c>
      <c r="S347" s="6">
        <v>60</v>
      </c>
      <c r="T347" s="6">
        <v>12</v>
      </c>
    </row>
    <row r="348" ht="85.5" customHeight="1" spans="1:20">
      <c r="A348" s="10" t="s">
        <v>1262</v>
      </c>
      <c r="B348" s="10" t="s">
        <v>1432</v>
      </c>
      <c r="C348" s="10"/>
      <c r="D348" s="10"/>
      <c r="E348" s="10"/>
      <c r="F348" s="21" t="s">
        <v>1433</v>
      </c>
      <c r="G348" s="11"/>
      <c r="H348" s="11"/>
      <c r="I348" s="11" t="s">
        <v>1434</v>
      </c>
      <c r="J348" s="10" t="s">
        <v>29</v>
      </c>
      <c r="K348" s="12">
        <v>3100000</v>
      </c>
      <c r="L348" s="13">
        <v>3300000</v>
      </c>
      <c r="M348" s="14">
        <v>3500000</v>
      </c>
      <c r="N348" s="9">
        <f t="shared" si="11"/>
        <v>3850000</v>
      </c>
      <c r="O348" s="10"/>
      <c r="P348" s="10"/>
      <c r="Q348" s="10"/>
      <c r="R348" s="10"/>
      <c r="S348" s="10"/>
      <c r="T348" s="10"/>
    </row>
    <row r="349" ht="57" customHeight="1" spans="1:20">
      <c r="A349" s="6" t="s">
        <v>1262</v>
      </c>
      <c r="B349" s="6" t="s">
        <v>1435</v>
      </c>
      <c r="C349" s="6"/>
      <c r="D349" s="6"/>
      <c r="E349" s="6" t="s">
        <v>1284</v>
      </c>
      <c r="F349" s="7"/>
      <c r="G349" s="7"/>
      <c r="H349" s="7" t="s">
        <v>1268</v>
      </c>
      <c r="I349" s="7"/>
      <c r="J349" s="6" t="s">
        <v>59</v>
      </c>
      <c r="K349" s="8"/>
      <c r="L349" s="8"/>
      <c r="M349" s="8"/>
      <c r="N349" s="9" t="str">
        <f t="shared" si="11"/>
        <v/>
      </c>
      <c r="O349" s="6"/>
      <c r="P349" s="6"/>
      <c r="Q349" s="6"/>
      <c r="R349" s="6"/>
      <c r="S349" s="6"/>
      <c r="T349" s="6"/>
    </row>
    <row r="350" ht="16.5" customHeight="1" spans="1:20">
      <c r="A350" s="5" t="s">
        <v>1436</v>
      </c>
      <c r="B350" s="5"/>
      <c r="C350" s="5"/>
      <c r="D350" s="5"/>
      <c r="E350" s="5"/>
      <c r="F350" s="5"/>
      <c r="G350" s="5"/>
      <c r="H350" s="5"/>
      <c r="I350" s="5"/>
      <c r="J350" s="5"/>
      <c r="K350" s="20"/>
      <c r="L350" s="20"/>
      <c r="M350" s="20"/>
      <c r="N350" s="20"/>
      <c r="O350" s="5"/>
      <c r="P350" s="5"/>
      <c r="Q350" s="5"/>
      <c r="R350" s="5"/>
      <c r="S350" s="5"/>
      <c r="T350" s="5"/>
    </row>
    <row r="351" ht="21.75" customHeight="1" spans="1:20">
      <c r="A351" s="6" t="s">
        <v>1437</v>
      </c>
      <c r="B351" s="6" t="s">
        <v>1438</v>
      </c>
      <c r="C351" s="6" t="s">
        <v>35</v>
      </c>
      <c r="D351" s="6" t="s">
        <v>1439</v>
      </c>
      <c r="E351" s="6" t="s">
        <v>1440</v>
      </c>
      <c r="F351" s="7" t="s">
        <v>1441</v>
      </c>
      <c r="G351" s="7"/>
      <c r="H351" s="7" t="s">
        <v>1442</v>
      </c>
      <c r="I351" s="7"/>
      <c r="J351" s="6" t="s">
        <v>33</v>
      </c>
      <c r="K351" s="12">
        <v>3300000</v>
      </c>
      <c r="L351" s="13">
        <v>3500000</v>
      </c>
      <c r="M351" s="14">
        <v>3700000</v>
      </c>
      <c r="N351" s="9">
        <f t="shared" ref="N351:N361" si="12">IF($M351="","",ROUND($M351*1.1,0))</f>
        <v>4070000</v>
      </c>
      <c r="O351" s="6"/>
      <c r="P351" s="6"/>
      <c r="Q351" s="6"/>
      <c r="R351" s="6"/>
      <c r="S351" s="6"/>
      <c r="T351" s="6"/>
    </row>
    <row r="352" ht="42.75" customHeight="1" spans="1:20">
      <c r="A352" s="10" t="s">
        <v>1437</v>
      </c>
      <c r="B352" s="10" t="s">
        <v>1443</v>
      </c>
      <c r="C352" s="10" t="s">
        <v>35</v>
      </c>
      <c r="D352" s="10" t="s">
        <v>1444</v>
      </c>
      <c r="E352" s="10" t="s">
        <v>1445</v>
      </c>
      <c r="F352" s="11" t="s">
        <v>1446</v>
      </c>
      <c r="G352" s="11"/>
      <c r="H352" s="11"/>
      <c r="I352" s="11"/>
      <c r="J352" s="10" t="s">
        <v>47</v>
      </c>
      <c r="K352" s="12">
        <v>2700000</v>
      </c>
      <c r="L352" s="13">
        <v>2900000</v>
      </c>
      <c r="M352" s="14">
        <v>3100000</v>
      </c>
      <c r="N352" s="9">
        <f t="shared" si="12"/>
        <v>3410000</v>
      </c>
      <c r="O352" s="10"/>
      <c r="P352" s="10"/>
      <c r="Q352" s="10"/>
      <c r="R352" s="10"/>
      <c r="S352" s="10"/>
      <c r="T352" s="10"/>
    </row>
    <row r="353" customHeight="1" spans="1:20">
      <c r="A353" s="6" t="s">
        <v>1437</v>
      </c>
      <c r="B353" s="6" t="s">
        <v>1447</v>
      </c>
      <c r="C353" s="6" t="s">
        <v>35</v>
      </c>
      <c r="D353" s="6" t="s">
        <v>1448</v>
      </c>
      <c r="E353" s="6" t="s">
        <v>1449</v>
      </c>
      <c r="F353" s="7" t="s">
        <v>1450</v>
      </c>
      <c r="G353" s="7"/>
      <c r="H353" s="7" t="s">
        <v>1451</v>
      </c>
      <c r="I353" s="7"/>
      <c r="J353" s="6" t="s">
        <v>129</v>
      </c>
      <c r="K353" s="12">
        <v>2770000</v>
      </c>
      <c r="L353" s="13">
        <v>2950000</v>
      </c>
      <c r="M353" s="14">
        <v>3150000</v>
      </c>
      <c r="N353" s="9">
        <f t="shared" si="12"/>
        <v>3465000</v>
      </c>
      <c r="O353" s="6"/>
      <c r="P353" s="6"/>
      <c r="Q353" s="6"/>
      <c r="R353" s="6"/>
      <c r="S353" s="6"/>
      <c r="T353" s="6"/>
    </row>
    <row r="354" ht="26.25" customHeight="1" spans="1:20">
      <c r="A354" s="10" t="s">
        <v>1437</v>
      </c>
      <c r="B354" s="10" t="s">
        <v>1452</v>
      </c>
      <c r="C354" s="10" t="s">
        <v>35</v>
      </c>
      <c r="D354" s="10" t="s">
        <v>1453</v>
      </c>
      <c r="E354" s="10" t="s">
        <v>1454</v>
      </c>
      <c r="F354" s="11" t="s">
        <v>1455</v>
      </c>
      <c r="G354" s="11" t="s">
        <v>1456</v>
      </c>
      <c r="H354" s="11" t="s">
        <v>1457</v>
      </c>
      <c r="I354" s="11"/>
      <c r="J354" s="10" t="s">
        <v>129</v>
      </c>
      <c r="K354" s="12">
        <v>2100000</v>
      </c>
      <c r="L354" s="13">
        <v>2250000</v>
      </c>
      <c r="M354" s="14">
        <v>2500000</v>
      </c>
      <c r="N354" s="9">
        <f t="shared" si="12"/>
        <v>2750000</v>
      </c>
      <c r="O354" s="10"/>
      <c r="P354" s="10"/>
      <c r="Q354" s="10"/>
      <c r="R354" s="10"/>
      <c r="S354" s="10"/>
      <c r="T354" s="10"/>
    </row>
    <row r="355" ht="42.75" customHeight="1" spans="1:20">
      <c r="A355" s="6" t="s">
        <v>1437</v>
      </c>
      <c r="B355" s="6" t="s">
        <v>1458</v>
      </c>
      <c r="C355" s="6" t="s">
        <v>35</v>
      </c>
      <c r="D355" s="6" t="s">
        <v>1459</v>
      </c>
      <c r="E355" s="6" t="s">
        <v>1460</v>
      </c>
      <c r="F355" s="7" t="s">
        <v>1461</v>
      </c>
      <c r="G355" s="7" t="s">
        <v>1462</v>
      </c>
      <c r="H355" s="7" t="s">
        <v>1463</v>
      </c>
      <c r="I355" s="7"/>
      <c r="J355" s="6" t="s">
        <v>129</v>
      </c>
      <c r="K355" s="12">
        <v>2100000</v>
      </c>
      <c r="L355" s="13">
        <v>2250000</v>
      </c>
      <c r="M355" s="14">
        <v>2500000</v>
      </c>
      <c r="N355" s="9">
        <f t="shared" si="12"/>
        <v>2750000</v>
      </c>
      <c r="O355" s="6"/>
      <c r="P355" s="6"/>
      <c r="Q355" s="6"/>
      <c r="R355" s="6"/>
      <c r="S355" s="6"/>
      <c r="T355" s="6"/>
    </row>
    <row r="356" ht="42.75" customHeight="1" spans="1:20">
      <c r="A356" s="10" t="s">
        <v>1437</v>
      </c>
      <c r="B356" s="10" t="s">
        <v>1464</v>
      </c>
      <c r="C356" s="10" t="s">
        <v>35</v>
      </c>
      <c r="D356" s="10" t="s">
        <v>1465</v>
      </c>
      <c r="E356" s="10" t="s">
        <v>1466</v>
      </c>
      <c r="F356" s="11" t="s">
        <v>1467</v>
      </c>
      <c r="G356" s="11"/>
      <c r="H356" s="11" t="s">
        <v>1468</v>
      </c>
      <c r="I356" s="11"/>
      <c r="J356" s="10" t="s">
        <v>33</v>
      </c>
      <c r="K356" s="12">
        <v>2700000</v>
      </c>
      <c r="L356" s="13">
        <v>2900000</v>
      </c>
      <c r="M356" s="14">
        <v>3100000</v>
      </c>
      <c r="N356" s="9">
        <f t="shared" si="12"/>
        <v>3410000</v>
      </c>
      <c r="O356" s="10">
        <v>40</v>
      </c>
      <c r="P356" s="10">
        <v>27.8</v>
      </c>
      <c r="Q356" s="10" t="s">
        <v>99</v>
      </c>
      <c r="R356" s="10">
        <v>37</v>
      </c>
      <c r="S356" s="10">
        <v>31.5</v>
      </c>
      <c r="T356" s="10">
        <v>12</v>
      </c>
    </row>
    <row r="357" ht="85.5" customHeight="1" spans="1:20">
      <c r="A357" s="6" t="s">
        <v>1437</v>
      </c>
      <c r="B357" s="6" t="s">
        <v>1469</v>
      </c>
      <c r="C357" s="6" t="s">
        <v>85</v>
      </c>
      <c r="D357" s="6" t="s">
        <v>731</v>
      </c>
      <c r="E357" s="6" t="s">
        <v>1470</v>
      </c>
      <c r="F357" s="7" t="s">
        <v>1471</v>
      </c>
      <c r="G357" s="7"/>
      <c r="H357" s="7" t="s">
        <v>1472</v>
      </c>
      <c r="I357" s="7"/>
      <c r="J357" s="6" t="s">
        <v>129</v>
      </c>
      <c r="K357" s="12">
        <v>2250000</v>
      </c>
      <c r="L357" s="13">
        <v>2400000</v>
      </c>
      <c r="M357" s="14">
        <v>2550000</v>
      </c>
      <c r="N357" s="9">
        <f t="shared" si="12"/>
        <v>2805000</v>
      </c>
      <c r="O357" s="6"/>
      <c r="P357" s="6"/>
      <c r="Q357" s="6"/>
      <c r="R357" s="6"/>
      <c r="S357" s="6"/>
      <c r="T357" s="6"/>
    </row>
    <row r="358" ht="27.75" customHeight="1" spans="1:20">
      <c r="A358" s="10" t="s">
        <v>1437</v>
      </c>
      <c r="B358" s="10" t="s">
        <v>1473</v>
      </c>
      <c r="C358" s="10" t="s">
        <v>85</v>
      </c>
      <c r="D358" s="10" t="s">
        <v>731</v>
      </c>
      <c r="E358" s="10" t="s">
        <v>1474</v>
      </c>
      <c r="F358" s="11" t="s">
        <v>1475</v>
      </c>
      <c r="G358" s="11" t="s">
        <v>1476</v>
      </c>
      <c r="H358" s="11" t="s">
        <v>1477</v>
      </c>
      <c r="I358" s="11"/>
      <c r="J358" s="10" t="s">
        <v>29</v>
      </c>
      <c r="K358" s="12">
        <v>2450000</v>
      </c>
      <c r="L358" s="13">
        <v>2600000</v>
      </c>
      <c r="M358" s="14">
        <v>2760000</v>
      </c>
      <c r="N358" s="9">
        <f t="shared" si="12"/>
        <v>3036000</v>
      </c>
      <c r="O358" s="10">
        <v>40.1</v>
      </c>
      <c r="P358" s="10">
        <v>29.2</v>
      </c>
      <c r="Q358" s="10" t="s">
        <v>1478</v>
      </c>
      <c r="R358" s="10">
        <v>37.9</v>
      </c>
      <c r="S358" s="10">
        <v>30</v>
      </c>
      <c r="T358" s="10">
        <v>11</v>
      </c>
    </row>
    <row r="359" ht="28.5" customHeight="1" spans="1:20">
      <c r="A359" s="6" t="s">
        <v>1479</v>
      </c>
      <c r="B359" s="6" t="s">
        <v>1480</v>
      </c>
      <c r="C359" s="6" t="s">
        <v>85</v>
      </c>
      <c r="D359" s="6" t="s">
        <v>731</v>
      </c>
      <c r="E359" s="6" t="s">
        <v>1474</v>
      </c>
      <c r="F359" s="7" t="s">
        <v>1475</v>
      </c>
      <c r="G359" s="7" t="s">
        <v>1476</v>
      </c>
      <c r="H359" s="7" t="s">
        <v>1477</v>
      </c>
      <c r="I359" s="7"/>
      <c r="J359" s="6" t="s">
        <v>129</v>
      </c>
      <c r="K359" s="12">
        <v>2250000</v>
      </c>
      <c r="L359" s="13">
        <v>2400000</v>
      </c>
      <c r="M359" s="14">
        <v>2550000</v>
      </c>
      <c r="N359" s="9">
        <f t="shared" si="12"/>
        <v>2805000</v>
      </c>
      <c r="O359" s="6">
        <v>40.1</v>
      </c>
      <c r="P359" s="6">
        <v>29.2</v>
      </c>
      <c r="Q359" s="6" t="s">
        <v>1478</v>
      </c>
      <c r="R359" s="6">
        <v>37.9</v>
      </c>
      <c r="S359" s="6">
        <v>30</v>
      </c>
      <c r="T359" s="6">
        <v>11</v>
      </c>
    </row>
    <row r="360" ht="28.5" customHeight="1" spans="1:20">
      <c r="A360" s="10" t="s">
        <v>1437</v>
      </c>
      <c r="B360" s="10" t="s">
        <v>1481</v>
      </c>
      <c r="C360" s="10" t="s">
        <v>85</v>
      </c>
      <c r="D360" s="10" t="s">
        <v>731</v>
      </c>
      <c r="E360" s="10" t="s">
        <v>1474</v>
      </c>
      <c r="F360" s="11" t="s">
        <v>1482</v>
      </c>
      <c r="G360" s="11" t="s">
        <v>1483</v>
      </c>
      <c r="H360" s="11" t="s">
        <v>1484</v>
      </c>
      <c r="I360" s="11"/>
      <c r="J360" s="10" t="s">
        <v>82</v>
      </c>
      <c r="K360" s="8"/>
      <c r="L360" s="8"/>
      <c r="M360" s="8"/>
      <c r="N360" s="9" t="str">
        <f t="shared" si="12"/>
        <v/>
      </c>
      <c r="O360" s="10">
        <v>40</v>
      </c>
      <c r="P360" s="10">
        <v>30.9</v>
      </c>
      <c r="Q360" s="10" t="s">
        <v>90</v>
      </c>
      <c r="R360" s="10">
        <v>39.7</v>
      </c>
      <c r="S360" s="10">
        <v>34.7</v>
      </c>
      <c r="T360" s="10">
        <v>9</v>
      </c>
    </row>
    <row r="361" ht="27.75" customHeight="1" spans="1:20">
      <c r="A361" s="6" t="s">
        <v>1437</v>
      </c>
      <c r="B361" s="6" t="s">
        <v>1485</v>
      </c>
      <c r="C361" s="6"/>
      <c r="D361" s="6"/>
      <c r="E361" s="6"/>
      <c r="F361" s="22" t="s">
        <v>1486</v>
      </c>
      <c r="G361" s="7"/>
      <c r="H361" s="7"/>
      <c r="I361" s="7" t="s">
        <v>1487</v>
      </c>
      <c r="J361" s="6" t="s">
        <v>149</v>
      </c>
      <c r="K361" s="12">
        <v>2600000</v>
      </c>
      <c r="L361" s="13">
        <v>2800000</v>
      </c>
      <c r="M361" s="14">
        <v>3000000</v>
      </c>
      <c r="N361" s="9">
        <f t="shared" si="12"/>
        <v>3300000</v>
      </c>
      <c r="O361" s="6"/>
      <c r="P361" s="6"/>
      <c r="Q361" s="6"/>
      <c r="R361" s="6"/>
      <c r="S361" s="6"/>
      <c r="T361" s="6"/>
    </row>
    <row r="362" ht="43.5" customHeight="1" spans="1:20">
      <c r="A362" s="5" t="s">
        <v>1488</v>
      </c>
      <c r="B362" s="5"/>
      <c r="C362" s="5"/>
      <c r="D362" s="5"/>
      <c r="E362" s="5"/>
      <c r="F362" s="5"/>
      <c r="G362" s="5"/>
      <c r="H362" s="5"/>
      <c r="I362" s="5"/>
      <c r="J362" s="5"/>
      <c r="K362" s="20"/>
      <c r="L362" s="20"/>
      <c r="M362" s="20"/>
      <c r="N362" s="20"/>
      <c r="O362" s="5"/>
      <c r="P362" s="5"/>
      <c r="Q362" s="5"/>
      <c r="R362" s="5"/>
      <c r="S362" s="5"/>
      <c r="T362" s="5"/>
    </row>
    <row r="363" ht="21.75" customHeight="1" spans="1:20">
      <c r="A363" s="6" t="s">
        <v>1489</v>
      </c>
      <c r="B363" s="6" t="s">
        <v>1490</v>
      </c>
      <c r="C363" s="6" t="s">
        <v>61</v>
      </c>
      <c r="D363" s="6" t="s">
        <v>1491</v>
      </c>
      <c r="E363" s="6"/>
      <c r="F363" s="7" t="s">
        <v>1492</v>
      </c>
      <c r="G363" s="7"/>
      <c r="H363" s="7"/>
      <c r="I363" s="7" t="s">
        <v>1493</v>
      </c>
      <c r="J363" s="6" t="s">
        <v>33</v>
      </c>
      <c r="K363" s="8"/>
      <c r="L363" s="13">
        <v>5800000</v>
      </c>
      <c r="M363" s="14">
        <v>6000000</v>
      </c>
      <c r="N363" s="9">
        <f>IF($M363="","",ROUND($M363*1.1,0))</f>
        <v>6600000</v>
      </c>
      <c r="O363" s="6"/>
      <c r="P363" s="6"/>
      <c r="Q363" s="6"/>
      <c r="R363" s="6"/>
      <c r="S363" s="6"/>
      <c r="T363" s="6"/>
    </row>
    <row r="364" ht="43.5" customHeight="1" spans="1:20">
      <c r="A364" s="5" t="s">
        <v>1494</v>
      </c>
      <c r="B364" s="5"/>
      <c r="C364" s="5"/>
      <c r="D364" s="5"/>
      <c r="E364" s="5"/>
      <c r="F364" s="5"/>
      <c r="G364" s="5"/>
      <c r="H364" s="5"/>
      <c r="I364" s="5"/>
      <c r="J364" s="5"/>
      <c r="K364" s="20"/>
      <c r="L364" s="20"/>
      <c r="M364" s="20"/>
      <c r="N364" s="20"/>
      <c r="O364" s="5"/>
      <c r="P364" s="5"/>
      <c r="Q364" s="5"/>
      <c r="R364" s="5"/>
      <c r="S364" s="5"/>
      <c r="T364" s="5"/>
    </row>
    <row r="365" ht="21.75" customHeight="1" spans="1:20">
      <c r="A365" s="6" t="s">
        <v>1495</v>
      </c>
      <c r="B365" s="6" t="s">
        <v>1496</v>
      </c>
      <c r="C365" s="6" t="s">
        <v>61</v>
      </c>
      <c r="D365" s="6" t="s">
        <v>1497</v>
      </c>
      <c r="E365" s="6" t="s">
        <v>1497</v>
      </c>
      <c r="F365" s="7" t="s">
        <v>1498</v>
      </c>
      <c r="G365" s="7"/>
      <c r="H365" s="7" t="s">
        <v>1499</v>
      </c>
      <c r="I365" s="7"/>
      <c r="J365" s="6" t="s">
        <v>29</v>
      </c>
      <c r="K365" s="8"/>
      <c r="L365" s="8"/>
      <c r="M365" s="8"/>
      <c r="N365" s="9" t="str">
        <f t="shared" ref="N365:N370" si="13">IF($M365="","",ROUND($M365*1.1,0))</f>
        <v/>
      </c>
      <c r="O365" s="6">
        <v>77</v>
      </c>
      <c r="P365" s="6">
        <v>54.6</v>
      </c>
      <c r="Q365" s="6" t="s">
        <v>65</v>
      </c>
      <c r="R365" s="6">
        <v>70</v>
      </c>
      <c r="S365" s="6">
        <v>58.8</v>
      </c>
      <c r="T365" s="6" t="s">
        <v>413</v>
      </c>
    </row>
    <row r="366" ht="27.75" customHeight="1" spans="1:20">
      <c r="A366" s="10" t="s">
        <v>1495</v>
      </c>
      <c r="B366" s="10" t="s">
        <v>1500</v>
      </c>
      <c r="C366" s="10" t="s">
        <v>25</v>
      </c>
      <c r="D366" s="10" t="s">
        <v>1501</v>
      </c>
      <c r="E366" s="10"/>
      <c r="F366" s="11" t="s">
        <v>1502</v>
      </c>
      <c r="G366" s="11"/>
      <c r="H366" s="11" t="s">
        <v>1503</v>
      </c>
      <c r="I366" s="11"/>
      <c r="J366" s="10" t="s">
        <v>29</v>
      </c>
      <c r="K366" s="8"/>
      <c r="L366" s="8"/>
      <c r="M366" s="8"/>
      <c r="N366" s="9" t="str">
        <f t="shared" si="13"/>
        <v/>
      </c>
      <c r="O366" s="10">
        <v>52</v>
      </c>
      <c r="P366" s="10">
        <v>36.7</v>
      </c>
      <c r="Q366" s="10" t="s">
        <v>99</v>
      </c>
      <c r="R366" s="10">
        <v>44.5</v>
      </c>
      <c r="S366" s="10">
        <v>39.9</v>
      </c>
      <c r="T366" s="10" t="s">
        <v>505</v>
      </c>
    </row>
    <row r="367" ht="28.5" customHeight="1" spans="1:20">
      <c r="A367" s="6" t="s">
        <v>1495</v>
      </c>
      <c r="B367" s="6" t="s">
        <v>1504</v>
      </c>
      <c r="C367" s="6" t="s">
        <v>25</v>
      </c>
      <c r="D367" s="6" t="s">
        <v>1505</v>
      </c>
      <c r="E367" s="6" t="s">
        <v>1506</v>
      </c>
      <c r="F367" s="7" t="s">
        <v>1507</v>
      </c>
      <c r="G367" s="7"/>
      <c r="H367" s="7" t="s">
        <v>1508</v>
      </c>
      <c r="I367" s="7"/>
      <c r="J367" s="6" t="s">
        <v>29</v>
      </c>
      <c r="K367" s="8"/>
      <c r="L367" s="8"/>
      <c r="M367" s="8"/>
      <c r="N367" s="9" t="str">
        <f t="shared" si="13"/>
        <v/>
      </c>
      <c r="O367" s="6">
        <v>52.2</v>
      </c>
      <c r="P367" s="6">
        <v>38.7</v>
      </c>
      <c r="Q367" s="6" t="s">
        <v>99</v>
      </c>
      <c r="R367" s="6">
        <v>53</v>
      </c>
      <c r="S367" s="6">
        <v>38.6</v>
      </c>
      <c r="T367" s="6">
        <v>9</v>
      </c>
    </row>
    <row r="368" ht="27.75" customHeight="1" spans="1:20">
      <c r="A368" s="10" t="s">
        <v>1495</v>
      </c>
      <c r="B368" s="10" t="s">
        <v>1509</v>
      </c>
      <c r="C368" s="10" t="s">
        <v>25</v>
      </c>
      <c r="D368" s="10" t="s">
        <v>1510</v>
      </c>
      <c r="E368" s="10" t="s">
        <v>1511</v>
      </c>
      <c r="F368" s="11" t="s">
        <v>1512</v>
      </c>
      <c r="G368" s="11"/>
      <c r="H368" s="11" t="s">
        <v>1508</v>
      </c>
      <c r="I368" s="11"/>
      <c r="J368" s="10" t="s">
        <v>29</v>
      </c>
      <c r="K368" s="8"/>
      <c r="L368" s="8"/>
      <c r="M368" s="8"/>
      <c r="N368" s="9" t="str">
        <f t="shared" si="13"/>
        <v/>
      </c>
      <c r="O368" s="10">
        <v>56</v>
      </c>
      <c r="P368" s="10">
        <v>39.6</v>
      </c>
      <c r="Q368" s="10" t="s">
        <v>99</v>
      </c>
      <c r="R368" s="10">
        <v>50</v>
      </c>
      <c r="S368" s="10">
        <v>42.7</v>
      </c>
      <c r="T368" s="10">
        <v>9</v>
      </c>
    </row>
    <row r="369" ht="39" customHeight="1" spans="1:20">
      <c r="A369" s="6" t="s">
        <v>1495</v>
      </c>
      <c r="B369" s="6" t="s">
        <v>1513</v>
      </c>
      <c r="C369" s="6" t="s">
        <v>61</v>
      </c>
      <c r="D369" s="6" t="s">
        <v>1514</v>
      </c>
      <c r="E369" s="6" t="s">
        <v>1515</v>
      </c>
      <c r="F369" s="7" t="s">
        <v>1516</v>
      </c>
      <c r="G369" s="7"/>
      <c r="H369" s="7"/>
      <c r="I369" s="7"/>
      <c r="J369" s="6" t="s">
        <v>29</v>
      </c>
      <c r="K369" s="12">
        <v>4200000</v>
      </c>
      <c r="L369" s="13">
        <v>4400000</v>
      </c>
      <c r="M369" s="14">
        <v>4600000</v>
      </c>
      <c r="N369" s="9">
        <f t="shared" si="13"/>
        <v>5060000</v>
      </c>
      <c r="O369" s="6">
        <v>93.9</v>
      </c>
      <c r="P369" s="6">
        <v>59.5</v>
      </c>
      <c r="Q369" s="6" t="s">
        <v>99</v>
      </c>
      <c r="R369" s="6">
        <v>96.4</v>
      </c>
      <c r="S369" s="6">
        <v>86.3</v>
      </c>
      <c r="T369" s="6" t="s">
        <v>413</v>
      </c>
    </row>
    <row r="370" ht="28.5" customHeight="1" spans="1:20">
      <c r="A370" s="10" t="s">
        <v>1495</v>
      </c>
      <c r="B370" s="10" t="s">
        <v>1517</v>
      </c>
      <c r="C370" s="10"/>
      <c r="D370" s="10"/>
      <c r="E370" s="10"/>
      <c r="F370" s="21" t="s">
        <v>1518</v>
      </c>
      <c r="G370" s="11"/>
      <c r="H370" s="11"/>
      <c r="I370" s="11" t="s">
        <v>1519</v>
      </c>
      <c r="J370" s="10" t="s">
        <v>29</v>
      </c>
      <c r="K370" s="8"/>
      <c r="L370" s="8"/>
      <c r="M370" s="8"/>
      <c r="N370" s="9" t="str">
        <f t="shared" si="13"/>
        <v/>
      </c>
      <c r="O370" s="10"/>
      <c r="P370" s="10"/>
      <c r="Q370" s="10"/>
      <c r="R370" s="10"/>
      <c r="S370" s="10"/>
      <c r="T370" s="10"/>
    </row>
    <row r="371" ht="43.5" customHeight="1" spans="1:20">
      <c r="A371" s="5" t="s">
        <v>1520</v>
      </c>
      <c r="B371" s="5"/>
      <c r="C371" s="5"/>
      <c r="D371" s="5"/>
      <c r="E371" s="5"/>
      <c r="F371" s="5"/>
      <c r="G371" s="5"/>
      <c r="H371" s="5"/>
      <c r="I371" s="5"/>
      <c r="J371" s="5"/>
      <c r="K371" s="20"/>
      <c r="L371" s="20"/>
      <c r="M371" s="20"/>
      <c r="N371" s="20"/>
      <c r="O371" s="5"/>
      <c r="P371" s="5"/>
      <c r="Q371" s="5"/>
      <c r="R371" s="5"/>
      <c r="S371" s="5"/>
      <c r="T371" s="5"/>
    </row>
    <row r="372" ht="21.75" customHeight="1" spans="1:20">
      <c r="A372" s="6" t="s">
        <v>1521</v>
      </c>
      <c r="B372" s="6" t="s">
        <v>1522</v>
      </c>
      <c r="C372" s="6" t="s">
        <v>35</v>
      </c>
      <c r="D372" s="6" t="s">
        <v>1192</v>
      </c>
      <c r="E372" s="6" t="s">
        <v>1523</v>
      </c>
      <c r="F372" s="7" t="s">
        <v>1524</v>
      </c>
      <c r="G372" s="7"/>
      <c r="H372" s="7" t="s">
        <v>1525</v>
      </c>
      <c r="I372" s="7"/>
      <c r="J372" s="6" t="s">
        <v>129</v>
      </c>
      <c r="K372" s="12">
        <v>3200000</v>
      </c>
      <c r="L372" s="13">
        <v>3400000</v>
      </c>
      <c r="M372" s="14">
        <v>3600000</v>
      </c>
      <c r="N372" s="9">
        <f t="shared" ref="N372:N381" si="14">IF($M372="","",ROUND($M372*1.1,0))</f>
        <v>3960000</v>
      </c>
      <c r="O372" s="6"/>
      <c r="P372" s="6"/>
      <c r="Q372" s="6"/>
      <c r="R372" s="6"/>
      <c r="S372" s="6"/>
      <c r="T372" s="6"/>
    </row>
    <row r="373" ht="42.75" customHeight="1" spans="1:20">
      <c r="A373" s="10" t="s">
        <v>1521</v>
      </c>
      <c r="B373" s="10" t="s">
        <v>1526</v>
      </c>
      <c r="C373" s="10" t="s">
        <v>35</v>
      </c>
      <c r="D373" s="10" t="s">
        <v>737</v>
      </c>
      <c r="E373" s="10" t="s">
        <v>1527</v>
      </c>
      <c r="F373" s="11" t="s">
        <v>1528</v>
      </c>
      <c r="G373" s="11"/>
      <c r="H373" s="11" t="s">
        <v>1529</v>
      </c>
      <c r="I373" s="11" t="s">
        <v>1530</v>
      </c>
      <c r="J373" s="10" t="s">
        <v>29</v>
      </c>
      <c r="K373" s="8"/>
      <c r="L373" s="8"/>
      <c r="M373" s="8"/>
      <c r="N373" s="9" t="str">
        <f t="shared" si="14"/>
        <v/>
      </c>
      <c r="O373" s="10">
        <v>56</v>
      </c>
      <c r="P373" s="10">
        <v>42</v>
      </c>
      <c r="Q373" s="10" t="s">
        <v>99</v>
      </c>
      <c r="R373" s="10">
        <v>52</v>
      </c>
      <c r="S373" s="10">
        <v>45.6</v>
      </c>
      <c r="T373" s="10">
        <v>12</v>
      </c>
    </row>
    <row r="374" ht="71.25" customHeight="1" spans="1:20">
      <c r="A374" s="6" t="s">
        <v>1521</v>
      </c>
      <c r="B374" s="6" t="s">
        <v>1531</v>
      </c>
      <c r="C374" s="6" t="s">
        <v>25</v>
      </c>
      <c r="D374" s="6" t="s">
        <v>1532</v>
      </c>
      <c r="E374" s="6" t="s">
        <v>1527</v>
      </c>
      <c r="F374" s="7" t="s">
        <v>1533</v>
      </c>
      <c r="G374" s="7" t="s">
        <v>1534</v>
      </c>
      <c r="H374" s="7" t="s">
        <v>1535</v>
      </c>
      <c r="I374" s="7"/>
      <c r="J374" s="6" t="s">
        <v>29</v>
      </c>
      <c r="K374" s="12">
        <v>2800000</v>
      </c>
      <c r="L374" s="13">
        <v>3000000</v>
      </c>
      <c r="M374" s="14">
        <v>3200000</v>
      </c>
      <c r="N374" s="9">
        <f t="shared" si="14"/>
        <v>3520000</v>
      </c>
      <c r="O374" s="6">
        <v>60.4</v>
      </c>
      <c r="P374" s="6">
        <v>44.5</v>
      </c>
      <c r="Q374" s="6" t="s">
        <v>65</v>
      </c>
      <c r="R374" s="6">
        <v>50</v>
      </c>
      <c r="S374" s="6">
        <v>43.7</v>
      </c>
      <c r="T374" s="6">
        <v>9</v>
      </c>
    </row>
    <row r="375" ht="28.5" customHeight="1" spans="1:20">
      <c r="A375" s="10" t="s">
        <v>1521</v>
      </c>
      <c r="B375" s="10" t="s">
        <v>1536</v>
      </c>
      <c r="C375" s="10" t="s">
        <v>35</v>
      </c>
      <c r="D375" s="10" t="s">
        <v>36</v>
      </c>
      <c r="E375" s="10" t="s">
        <v>1537</v>
      </c>
      <c r="F375" s="11" t="s">
        <v>1538</v>
      </c>
      <c r="G375" s="11" t="s">
        <v>36</v>
      </c>
      <c r="H375" s="11" t="s">
        <v>1539</v>
      </c>
      <c r="I375" s="11" t="s">
        <v>1540</v>
      </c>
      <c r="J375" s="10" t="s">
        <v>29</v>
      </c>
      <c r="K375" s="12">
        <v>2600000</v>
      </c>
      <c r="L375" s="13">
        <v>2800000</v>
      </c>
      <c r="M375" s="14">
        <v>3000000</v>
      </c>
      <c r="N375" s="9">
        <f t="shared" si="14"/>
        <v>3300000</v>
      </c>
      <c r="O375" s="10"/>
      <c r="P375" s="10"/>
      <c r="Q375" s="10"/>
      <c r="R375" s="10"/>
      <c r="S375" s="10"/>
      <c r="T375" s="10"/>
    </row>
    <row r="376" ht="41.25" customHeight="1" spans="1:20">
      <c r="A376" s="6" t="s">
        <v>1521</v>
      </c>
      <c r="B376" s="6" t="s">
        <v>1541</v>
      </c>
      <c r="C376" s="6" t="s">
        <v>35</v>
      </c>
      <c r="D376" s="6" t="s">
        <v>1448</v>
      </c>
      <c r="E376" s="6" t="s">
        <v>1542</v>
      </c>
      <c r="F376" s="7" t="s">
        <v>1543</v>
      </c>
      <c r="G376" s="7"/>
      <c r="H376" s="7"/>
      <c r="I376" s="7"/>
      <c r="J376" s="6" t="s">
        <v>29</v>
      </c>
      <c r="K376" s="8"/>
      <c r="L376" s="8"/>
      <c r="M376" s="8"/>
      <c r="N376" s="9" t="str">
        <f t="shared" si="14"/>
        <v/>
      </c>
      <c r="O376" s="6"/>
      <c r="P376" s="6"/>
      <c r="Q376" s="6"/>
      <c r="R376" s="6"/>
      <c r="S376" s="6"/>
      <c r="T376" s="6"/>
    </row>
    <row r="377" ht="57" customHeight="1" spans="1:20">
      <c r="A377" s="10" t="s">
        <v>1521</v>
      </c>
      <c r="B377" s="10" t="s">
        <v>1544</v>
      </c>
      <c r="C377" s="10" t="s">
        <v>35</v>
      </c>
      <c r="D377" s="10" t="s">
        <v>1545</v>
      </c>
      <c r="E377" s="10"/>
      <c r="F377" s="11" t="s">
        <v>1546</v>
      </c>
      <c r="G377" s="11"/>
      <c r="H377" s="11" t="s">
        <v>1547</v>
      </c>
      <c r="I377" s="11"/>
      <c r="J377" s="10" t="s">
        <v>82</v>
      </c>
      <c r="K377" s="8"/>
      <c r="L377" s="8"/>
      <c r="M377" s="8"/>
      <c r="N377" s="9" t="str">
        <f t="shared" si="14"/>
        <v/>
      </c>
      <c r="O377" s="10"/>
      <c r="P377" s="10"/>
      <c r="Q377" s="10"/>
      <c r="R377" s="10"/>
      <c r="S377" s="10"/>
      <c r="T377" s="10"/>
    </row>
    <row r="378" ht="27.75" customHeight="1" spans="1:20">
      <c r="A378" s="6" t="s">
        <v>1521</v>
      </c>
      <c r="B378" s="6" t="s">
        <v>1548</v>
      </c>
      <c r="C378" s="6" t="s">
        <v>35</v>
      </c>
      <c r="D378" s="6" t="s">
        <v>562</v>
      </c>
      <c r="E378" s="6" t="s">
        <v>1204</v>
      </c>
      <c r="F378" s="7" t="s">
        <v>1549</v>
      </c>
      <c r="G378" s="7" t="s">
        <v>1550</v>
      </c>
      <c r="H378" s="7"/>
      <c r="I378" s="7"/>
      <c r="J378" s="6" t="s">
        <v>29</v>
      </c>
      <c r="K378" s="12">
        <v>3100000</v>
      </c>
      <c r="L378" s="13">
        <v>3300000</v>
      </c>
      <c r="M378" s="14">
        <v>3500000</v>
      </c>
      <c r="N378" s="9">
        <f t="shared" si="14"/>
        <v>3850000</v>
      </c>
      <c r="O378" s="6"/>
      <c r="P378" s="6"/>
      <c r="Q378" s="6"/>
      <c r="R378" s="6"/>
      <c r="S378" s="6"/>
      <c r="T378" s="6"/>
    </row>
    <row r="379" ht="28.5" customHeight="1" spans="1:20">
      <c r="A379" s="10" t="s">
        <v>1521</v>
      </c>
      <c r="B379" s="10" t="s">
        <v>1551</v>
      </c>
      <c r="C379" s="10" t="s">
        <v>35</v>
      </c>
      <c r="D379" s="10" t="s">
        <v>43</v>
      </c>
      <c r="E379" s="10" t="s">
        <v>44</v>
      </c>
      <c r="F379" s="11" t="s">
        <v>1552</v>
      </c>
      <c r="G379" s="11"/>
      <c r="H379" s="11" t="s">
        <v>46</v>
      </c>
      <c r="I379" s="11"/>
      <c r="J379" s="10" t="s">
        <v>29</v>
      </c>
      <c r="K379" s="12">
        <v>2300000</v>
      </c>
      <c r="L379" s="13">
        <v>2450000</v>
      </c>
      <c r="M379" s="14">
        <v>2600000</v>
      </c>
      <c r="N379" s="9">
        <f t="shared" si="14"/>
        <v>2860000</v>
      </c>
      <c r="O379" s="10"/>
      <c r="P379" s="10"/>
      <c r="Q379" s="10"/>
      <c r="R379" s="10"/>
      <c r="S379" s="10"/>
      <c r="T379" s="10"/>
    </row>
    <row r="380" ht="27.75" customHeight="1" spans="1:20">
      <c r="A380" s="6" t="s">
        <v>1521</v>
      </c>
      <c r="B380" s="6" t="s">
        <v>1553</v>
      </c>
      <c r="C380" s="6" t="s">
        <v>35</v>
      </c>
      <c r="D380" s="6" t="s">
        <v>1554</v>
      </c>
      <c r="E380" s="6" t="s">
        <v>1555</v>
      </c>
      <c r="F380" s="7" t="s">
        <v>1556</v>
      </c>
      <c r="G380" s="7"/>
      <c r="H380" s="7"/>
      <c r="I380" s="7"/>
      <c r="J380" s="6" t="s">
        <v>82</v>
      </c>
      <c r="K380" s="8"/>
      <c r="L380" s="8"/>
      <c r="M380" s="8"/>
      <c r="N380" s="9" t="str">
        <f t="shared" si="14"/>
        <v/>
      </c>
      <c r="O380" s="6"/>
      <c r="P380" s="6"/>
      <c r="Q380" s="6"/>
      <c r="R380" s="6"/>
      <c r="S380" s="6"/>
      <c r="T380" s="6"/>
    </row>
    <row r="381" ht="27.75" customHeight="1" spans="1:20">
      <c r="A381" s="10" t="s">
        <v>1557</v>
      </c>
      <c r="B381" s="10" t="s">
        <v>1558</v>
      </c>
      <c r="C381" s="10" t="s">
        <v>35</v>
      </c>
      <c r="D381" s="10" t="s">
        <v>1554</v>
      </c>
      <c r="E381" s="10" t="s">
        <v>1555</v>
      </c>
      <c r="F381" s="11" t="s">
        <v>1556</v>
      </c>
      <c r="G381" s="11"/>
      <c r="H381" s="11" t="s">
        <v>1559</v>
      </c>
      <c r="I381" s="11"/>
      <c r="J381" s="10" t="s">
        <v>129</v>
      </c>
      <c r="K381" s="8"/>
      <c r="L381" s="8"/>
      <c r="M381" s="8"/>
      <c r="N381" s="9" t="str">
        <f t="shared" si="14"/>
        <v/>
      </c>
      <c r="O381" s="10"/>
      <c r="P381" s="10"/>
      <c r="Q381" s="10"/>
      <c r="R381" s="10"/>
      <c r="S381" s="10"/>
      <c r="T381" s="10"/>
    </row>
    <row r="382" ht="29.25" customHeight="1" spans="1:20">
      <c r="A382" s="5" t="s">
        <v>1560</v>
      </c>
      <c r="B382" s="5"/>
      <c r="C382" s="5"/>
      <c r="D382" s="5"/>
      <c r="E382" s="5"/>
      <c r="F382" s="5"/>
      <c r="G382" s="5"/>
      <c r="H382" s="5"/>
      <c r="I382" s="5"/>
      <c r="J382" s="5"/>
      <c r="K382" s="20"/>
      <c r="L382" s="20"/>
      <c r="M382" s="20"/>
      <c r="N382" s="20"/>
      <c r="O382" s="5"/>
      <c r="P382" s="5"/>
      <c r="Q382" s="5"/>
      <c r="R382" s="5"/>
      <c r="S382" s="5"/>
      <c r="T382" s="5"/>
    </row>
    <row r="383" ht="21.75" customHeight="1" spans="1:20">
      <c r="A383" s="6" t="s">
        <v>1561</v>
      </c>
      <c r="B383" s="6" t="s">
        <v>1562</v>
      </c>
      <c r="C383" s="6" t="s">
        <v>35</v>
      </c>
      <c r="D383" s="6" t="s">
        <v>1563</v>
      </c>
      <c r="E383" s="6" t="s">
        <v>1564</v>
      </c>
      <c r="F383" s="7" t="s">
        <v>1565</v>
      </c>
      <c r="G383" s="7"/>
      <c r="H383" s="7"/>
      <c r="I383" s="7"/>
      <c r="J383" s="6" t="s">
        <v>29</v>
      </c>
      <c r="K383" s="12">
        <v>2800000</v>
      </c>
      <c r="L383" s="13">
        <v>3000000</v>
      </c>
      <c r="M383" s="14">
        <v>3200000</v>
      </c>
      <c r="N383" s="9">
        <f t="shared" ref="N383:N394" si="15">IF($M383="","",ROUND($M383*1.1,0))</f>
        <v>3520000</v>
      </c>
      <c r="O383" s="6">
        <v>56</v>
      </c>
      <c r="P383" s="6">
        <v>41</v>
      </c>
      <c r="Q383" s="6" t="s">
        <v>99</v>
      </c>
      <c r="R383" s="6">
        <v>48.5</v>
      </c>
      <c r="S383" s="6">
        <v>40.9</v>
      </c>
      <c r="T383" s="6">
        <v>10</v>
      </c>
    </row>
    <row r="384" ht="28.5" customHeight="1" spans="1:20">
      <c r="A384" s="10" t="s">
        <v>1561</v>
      </c>
      <c r="B384" s="10" t="s">
        <v>1566</v>
      </c>
      <c r="C384" s="10" t="s">
        <v>85</v>
      </c>
      <c r="D384" s="10" t="s">
        <v>1567</v>
      </c>
      <c r="E384" s="10" t="s">
        <v>1236</v>
      </c>
      <c r="F384" s="11" t="s">
        <v>1568</v>
      </c>
      <c r="G384" s="11"/>
      <c r="H384" s="11"/>
      <c r="I384" s="11"/>
      <c r="J384" s="10" t="s">
        <v>149</v>
      </c>
      <c r="K384" s="12">
        <v>5600000</v>
      </c>
      <c r="L384" s="13">
        <v>5900000</v>
      </c>
      <c r="M384" s="14">
        <v>6300000</v>
      </c>
      <c r="N384" s="9">
        <f t="shared" si="15"/>
        <v>6930000</v>
      </c>
      <c r="O384" s="10"/>
      <c r="P384" s="10"/>
      <c r="Q384" s="10"/>
      <c r="R384" s="10"/>
      <c r="S384" s="10"/>
      <c r="T384" s="10"/>
    </row>
    <row r="385" customHeight="1" spans="1:20">
      <c r="A385" s="6" t="s">
        <v>1561</v>
      </c>
      <c r="B385" s="6" t="s">
        <v>1569</v>
      </c>
      <c r="C385" s="6" t="s">
        <v>190</v>
      </c>
      <c r="D385" s="6" t="s">
        <v>1570</v>
      </c>
      <c r="E385" s="6" t="s">
        <v>1571</v>
      </c>
      <c r="F385" s="7" t="s">
        <v>1572</v>
      </c>
      <c r="G385" s="7"/>
      <c r="H385" s="7"/>
      <c r="I385" s="7"/>
      <c r="J385" s="6" t="s">
        <v>29</v>
      </c>
      <c r="K385" s="8"/>
      <c r="L385" s="8"/>
      <c r="M385" s="8"/>
      <c r="N385" s="9" t="str">
        <f t="shared" si="15"/>
        <v/>
      </c>
      <c r="O385" s="6">
        <v>54</v>
      </c>
      <c r="P385" s="6">
        <v>41</v>
      </c>
      <c r="Q385" s="6">
        <v>5</v>
      </c>
      <c r="R385" s="6">
        <v>44</v>
      </c>
      <c r="S385" s="6">
        <v>37.3</v>
      </c>
      <c r="T385" s="6">
        <v>9</v>
      </c>
    </row>
    <row r="386" customHeight="1" spans="1:20">
      <c r="A386" s="10" t="s">
        <v>1561</v>
      </c>
      <c r="B386" s="10" t="s">
        <v>1573</v>
      </c>
      <c r="C386" s="10" t="s">
        <v>25</v>
      </c>
      <c r="D386" s="10" t="s">
        <v>1574</v>
      </c>
      <c r="E386" s="10"/>
      <c r="F386" s="11" t="s">
        <v>1575</v>
      </c>
      <c r="G386" s="11"/>
      <c r="H386" s="11" t="s">
        <v>1576</v>
      </c>
      <c r="I386" s="11"/>
      <c r="J386" s="10" t="s">
        <v>47</v>
      </c>
      <c r="K386" s="8"/>
      <c r="L386" s="8"/>
      <c r="M386" s="8"/>
      <c r="N386" s="9" t="str">
        <f t="shared" si="15"/>
        <v/>
      </c>
      <c r="O386" s="10">
        <v>56.2</v>
      </c>
      <c r="P386" s="10">
        <v>39.6</v>
      </c>
      <c r="Q386" s="10" t="s">
        <v>99</v>
      </c>
      <c r="R386" s="10">
        <v>47.3</v>
      </c>
      <c r="S386" s="10">
        <v>39.9</v>
      </c>
      <c r="T386" s="10">
        <v>9</v>
      </c>
    </row>
    <row r="387" ht="28.5" customHeight="1" spans="1:20">
      <c r="A387" s="6" t="s">
        <v>1561</v>
      </c>
      <c r="B387" s="6" t="s">
        <v>1577</v>
      </c>
      <c r="C387" s="6" t="s">
        <v>61</v>
      </c>
      <c r="D387" s="6" t="s">
        <v>352</v>
      </c>
      <c r="E387" s="6"/>
      <c r="F387" s="7" t="s">
        <v>1578</v>
      </c>
      <c r="G387" s="7"/>
      <c r="H387" s="7" t="s">
        <v>1576</v>
      </c>
      <c r="I387" s="7"/>
      <c r="J387" s="6" t="s">
        <v>29</v>
      </c>
      <c r="K387" s="8"/>
      <c r="L387" s="8"/>
      <c r="M387" s="8"/>
      <c r="N387" s="9" t="str">
        <f t="shared" si="15"/>
        <v/>
      </c>
      <c r="O387" s="6">
        <v>52.9</v>
      </c>
      <c r="P387" s="6">
        <v>41</v>
      </c>
      <c r="Q387" s="6" t="s">
        <v>99</v>
      </c>
      <c r="R387" s="6">
        <v>45</v>
      </c>
      <c r="S387" s="6">
        <v>40</v>
      </c>
      <c r="T387" s="6" t="s">
        <v>100</v>
      </c>
    </row>
    <row r="388" ht="27.75" customHeight="1" spans="1:20">
      <c r="A388" s="10" t="s">
        <v>1561</v>
      </c>
      <c r="B388" s="10" t="s">
        <v>1579</v>
      </c>
      <c r="C388" s="10" t="s">
        <v>25</v>
      </c>
      <c r="D388" s="10" t="s">
        <v>1580</v>
      </c>
      <c r="E388" s="10" t="s">
        <v>1581</v>
      </c>
      <c r="F388" s="11" t="s">
        <v>1582</v>
      </c>
      <c r="G388" s="11"/>
      <c r="H388" s="11"/>
      <c r="I388" s="11"/>
      <c r="J388" s="10" t="s">
        <v>29</v>
      </c>
      <c r="K388" s="12">
        <v>2450000</v>
      </c>
      <c r="L388" s="13">
        <v>2600000</v>
      </c>
      <c r="M388" s="14">
        <v>2800000</v>
      </c>
      <c r="N388" s="9">
        <f t="shared" si="15"/>
        <v>3080000</v>
      </c>
      <c r="O388" s="10">
        <v>60.2</v>
      </c>
      <c r="P388" s="10">
        <v>46.4</v>
      </c>
      <c r="Q388" s="10" t="s">
        <v>99</v>
      </c>
      <c r="R388" s="10">
        <v>53</v>
      </c>
      <c r="S388" s="10">
        <v>47.3</v>
      </c>
      <c r="T388" s="10">
        <v>10</v>
      </c>
    </row>
    <row r="389" ht="28.5" customHeight="1" spans="1:20">
      <c r="A389" s="6" t="s">
        <v>1561</v>
      </c>
      <c r="B389" s="6" t="s">
        <v>1583</v>
      </c>
      <c r="C389" s="6" t="s">
        <v>25</v>
      </c>
      <c r="D389" s="6" t="s">
        <v>894</v>
      </c>
      <c r="E389" s="6" t="s">
        <v>1571</v>
      </c>
      <c r="F389" s="7" t="s">
        <v>1584</v>
      </c>
      <c r="G389" s="7"/>
      <c r="H389" s="7"/>
      <c r="I389" s="7"/>
      <c r="J389" s="6" t="s">
        <v>29</v>
      </c>
      <c r="K389" s="12">
        <v>3800000</v>
      </c>
      <c r="L389" s="13">
        <v>4000000</v>
      </c>
      <c r="M389" s="14">
        <v>4300000</v>
      </c>
      <c r="N389" s="9">
        <f t="shared" si="15"/>
        <v>4730000</v>
      </c>
      <c r="O389" s="6">
        <v>52</v>
      </c>
      <c r="P389" s="6">
        <v>38.6</v>
      </c>
      <c r="Q389" s="6" t="s">
        <v>90</v>
      </c>
      <c r="R389" s="6">
        <v>44.5</v>
      </c>
      <c r="S389" s="6">
        <v>39.6</v>
      </c>
      <c r="T389" s="6">
        <v>9</v>
      </c>
    </row>
    <row r="390" ht="51.75" customHeight="1" spans="1:20">
      <c r="A390" s="10" t="s">
        <v>1561</v>
      </c>
      <c r="B390" s="10" t="s">
        <v>1585</v>
      </c>
      <c r="C390" s="10" t="s">
        <v>25</v>
      </c>
      <c r="D390" s="10" t="s">
        <v>1586</v>
      </c>
      <c r="E390" s="10" t="s">
        <v>1587</v>
      </c>
      <c r="F390" s="11" t="s">
        <v>1588</v>
      </c>
      <c r="G390" s="11"/>
      <c r="H390" s="11"/>
      <c r="I390" s="11"/>
      <c r="J390" s="10" t="s">
        <v>33</v>
      </c>
      <c r="K390" s="12">
        <v>3700000</v>
      </c>
      <c r="L390" s="13">
        <v>3800000</v>
      </c>
      <c r="M390" s="14">
        <v>4000000</v>
      </c>
      <c r="N390" s="9">
        <f t="shared" si="15"/>
        <v>4400000</v>
      </c>
      <c r="O390" s="10">
        <v>76.2</v>
      </c>
      <c r="P390" s="10">
        <v>57</v>
      </c>
      <c r="Q390" s="10" t="s">
        <v>99</v>
      </c>
      <c r="R390" s="10">
        <v>68</v>
      </c>
      <c r="S390" s="10">
        <v>60</v>
      </c>
      <c r="T390" s="10">
        <v>10</v>
      </c>
    </row>
    <row r="391" ht="85.5" customHeight="1" spans="1:20">
      <c r="A391" s="6" t="s">
        <v>1561</v>
      </c>
      <c r="B391" s="6" t="s">
        <v>1589</v>
      </c>
      <c r="C391" s="6" t="s">
        <v>25</v>
      </c>
      <c r="D391" s="6" t="s">
        <v>1574</v>
      </c>
      <c r="E391" s="6" t="s">
        <v>1590</v>
      </c>
      <c r="F391" s="7" t="s">
        <v>1591</v>
      </c>
      <c r="G391" s="7"/>
      <c r="H391" s="7" t="s">
        <v>1592</v>
      </c>
      <c r="I391" s="7"/>
      <c r="J391" s="6" t="s">
        <v>29</v>
      </c>
      <c r="K391" s="12">
        <v>3750000</v>
      </c>
      <c r="L391" s="13">
        <v>3950000</v>
      </c>
      <c r="M391" s="14">
        <v>4150000</v>
      </c>
      <c r="N391" s="9">
        <f t="shared" si="15"/>
        <v>4565000</v>
      </c>
      <c r="O391" s="6">
        <v>56</v>
      </c>
      <c r="P391" s="6">
        <v>41.5</v>
      </c>
      <c r="Q391" s="6" t="s">
        <v>99</v>
      </c>
      <c r="R391" s="6">
        <v>46.9</v>
      </c>
      <c r="S391" s="6">
        <v>42.2</v>
      </c>
      <c r="T391" s="6">
        <v>9</v>
      </c>
    </row>
    <row r="392" ht="85.5" customHeight="1" spans="1:20">
      <c r="A392" s="10" t="s">
        <v>1561</v>
      </c>
      <c r="B392" s="10" t="s">
        <v>1593</v>
      </c>
      <c r="C392" s="10"/>
      <c r="D392" s="10" t="s">
        <v>1594</v>
      </c>
      <c r="E392" s="10" t="s">
        <v>1571</v>
      </c>
      <c r="F392" s="11" t="s">
        <v>1595</v>
      </c>
      <c r="G392" s="11"/>
      <c r="H392" s="11"/>
      <c r="I392" s="11"/>
      <c r="J392" s="10" t="s">
        <v>29</v>
      </c>
      <c r="K392" s="8"/>
      <c r="L392" s="8"/>
      <c r="M392" s="8"/>
      <c r="N392" s="9" t="str">
        <f t="shared" si="15"/>
        <v/>
      </c>
      <c r="O392" s="10"/>
      <c r="P392" s="10"/>
      <c r="Q392" s="10"/>
      <c r="R392" s="10"/>
      <c r="S392" s="10"/>
      <c r="T392" s="10"/>
    </row>
    <row r="393" ht="27.75" customHeight="1" spans="1:20">
      <c r="A393" s="6" t="s">
        <v>1561</v>
      </c>
      <c r="B393" s="6" t="s">
        <v>1596</v>
      </c>
      <c r="C393" s="6"/>
      <c r="D393" s="6" t="s">
        <v>1594</v>
      </c>
      <c r="E393" s="6" t="s">
        <v>1571</v>
      </c>
      <c r="F393" s="7" t="s">
        <v>1597</v>
      </c>
      <c r="G393" s="7"/>
      <c r="H393" s="7"/>
      <c r="I393" s="7"/>
      <c r="J393" s="6" t="s">
        <v>82</v>
      </c>
      <c r="K393" s="8"/>
      <c r="L393" s="8"/>
      <c r="M393" s="8"/>
      <c r="N393" s="9" t="str">
        <f t="shared" si="15"/>
        <v/>
      </c>
      <c r="O393" s="6"/>
      <c r="P393" s="6"/>
      <c r="Q393" s="6"/>
      <c r="R393" s="6"/>
      <c r="S393" s="6"/>
      <c r="T393" s="6"/>
    </row>
    <row r="394" ht="27.75" customHeight="1" spans="1:20">
      <c r="A394" s="10" t="s">
        <v>1561</v>
      </c>
      <c r="B394" s="10" t="s">
        <v>1598</v>
      </c>
      <c r="C394" s="10"/>
      <c r="D394" s="10" t="s">
        <v>1599</v>
      </c>
      <c r="E394" s="10" t="s">
        <v>1600</v>
      </c>
      <c r="F394" s="11" t="s">
        <v>1601</v>
      </c>
      <c r="G394" s="11"/>
      <c r="H394" s="11"/>
      <c r="I394" s="11"/>
      <c r="J394" s="10" t="s">
        <v>29</v>
      </c>
      <c r="K394" s="8"/>
      <c r="L394" s="8"/>
      <c r="M394" s="14">
        <v>3100000</v>
      </c>
      <c r="N394" s="9">
        <f t="shared" si="15"/>
        <v>3410000</v>
      </c>
      <c r="O394" s="10"/>
      <c r="P394" s="10"/>
      <c r="Q394" s="10"/>
      <c r="R394" s="10"/>
      <c r="S394" s="10"/>
      <c r="T394" s="10"/>
    </row>
    <row r="395" ht="16.5" customHeight="1" spans="1:20">
      <c r="A395" s="5" t="s">
        <v>1602</v>
      </c>
      <c r="B395" s="5"/>
      <c r="C395" s="5"/>
      <c r="D395" s="5"/>
      <c r="E395" s="5"/>
      <c r="F395" s="5"/>
      <c r="G395" s="5"/>
      <c r="H395" s="5"/>
      <c r="I395" s="5"/>
      <c r="J395" s="5"/>
      <c r="K395" s="20"/>
      <c r="L395" s="20"/>
      <c r="M395" s="20"/>
      <c r="N395" s="20"/>
      <c r="O395" s="5"/>
      <c r="P395" s="5"/>
      <c r="Q395" s="5"/>
      <c r="R395" s="5"/>
      <c r="S395" s="5"/>
      <c r="T395" s="5"/>
    </row>
    <row r="396" ht="21.75" customHeight="1" spans="1:20">
      <c r="A396" s="6" t="s">
        <v>1603</v>
      </c>
      <c r="B396" s="6" t="s">
        <v>1604</v>
      </c>
      <c r="C396" s="6" t="s">
        <v>25</v>
      </c>
      <c r="D396" s="6" t="s">
        <v>1605</v>
      </c>
      <c r="E396" s="6" t="s">
        <v>1606</v>
      </c>
      <c r="F396" s="7" t="s">
        <v>1607</v>
      </c>
      <c r="G396" s="7"/>
      <c r="H396" s="7"/>
      <c r="I396" s="7"/>
      <c r="J396" s="6" t="s">
        <v>149</v>
      </c>
      <c r="K396" s="8"/>
      <c r="L396" s="8"/>
      <c r="M396" s="8"/>
      <c r="N396" s="9" t="str">
        <f t="shared" ref="N396:N408" si="16">IF($M396="","",ROUND($M396*1.1,0))</f>
        <v/>
      </c>
      <c r="O396" s="6"/>
      <c r="P396" s="6"/>
      <c r="Q396" s="6"/>
      <c r="R396" s="6"/>
      <c r="S396" s="6"/>
      <c r="T396" s="6"/>
    </row>
    <row r="397" ht="28.5" customHeight="1" spans="1:20">
      <c r="A397" s="10" t="s">
        <v>1603</v>
      </c>
      <c r="B397" s="10" t="s">
        <v>1608</v>
      </c>
      <c r="C397" s="10" t="s">
        <v>61</v>
      </c>
      <c r="D397" s="10" t="s">
        <v>165</v>
      </c>
      <c r="E397" s="10"/>
      <c r="F397" s="11" t="s">
        <v>1609</v>
      </c>
      <c r="G397" s="11"/>
      <c r="H397" s="11"/>
      <c r="I397" s="11"/>
      <c r="J397" s="10" t="s">
        <v>29</v>
      </c>
      <c r="K397" s="8"/>
      <c r="L397" s="8"/>
      <c r="M397" s="8"/>
      <c r="N397" s="9" t="str">
        <f t="shared" si="16"/>
        <v/>
      </c>
      <c r="O397" s="10">
        <v>60.9</v>
      </c>
      <c r="P397" s="10">
        <v>35.5</v>
      </c>
      <c r="Q397" s="10" t="s">
        <v>65</v>
      </c>
      <c r="R397" s="10">
        <v>60.7</v>
      </c>
      <c r="S397" s="10">
        <v>48.7</v>
      </c>
      <c r="T397" s="10">
        <v>11</v>
      </c>
    </row>
    <row r="398" customHeight="1" spans="1:20">
      <c r="A398" s="6" t="s">
        <v>1603</v>
      </c>
      <c r="B398" s="6" t="s">
        <v>1610</v>
      </c>
      <c r="C398" s="6" t="s">
        <v>25</v>
      </c>
      <c r="D398" s="6" t="s">
        <v>1611</v>
      </c>
      <c r="E398" s="6" t="s">
        <v>1612</v>
      </c>
      <c r="F398" s="7" t="s">
        <v>1613</v>
      </c>
      <c r="G398" s="7"/>
      <c r="H398" s="7"/>
      <c r="I398" s="7"/>
      <c r="J398" s="6" t="s">
        <v>29</v>
      </c>
      <c r="K398" s="12">
        <v>2200000</v>
      </c>
      <c r="L398" s="13">
        <v>2300000</v>
      </c>
      <c r="M398" s="14">
        <v>2400000</v>
      </c>
      <c r="N398" s="9">
        <f t="shared" si="16"/>
        <v>2640000</v>
      </c>
      <c r="O398" s="6">
        <v>56</v>
      </c>
      <c r="P398" s="6">
        <v>41.5</v>
      </c>
      <c r="Q398" s="6" t="s">
        <v>99</v>
      </c>
      <c r="R398" s="6">
        <v>53</v>
      </c>
      <c r="S398" s="6">
        <v>46.2</v>
      </c>
      <c r="T398" s="6">
        <v>10</v>
      </c>
    </row>
    <row r="399" ht="27.75" customHeight="1" spans="1:20">
      <c r="A399" s="10" t="s">
        <v>1603</v>
      </c>
      <c r="B399" s="10" t="s">
        <v>1614</v>
      </c>
      <c r="C399" s="10" t="s">
        <v>25</v>
      </c>
      <c r="D399" s="10" t="s">
        <v>1615</v>
      </c>
      <c r="E399" s="10" t="s">
        <v>1616</v>
      </c>
      <c r="F399" s="11" t="s">
        <v>1617</v>
      </c>
      <c r="G399" s="11"/>
      <c r="H399" s="11"/>
      <c r="I399" s="11" t="s">
        <v>1618</v>
      </c>
      <c r="J399" s="10" t="s">
        <v>149</v>
      </c>
      <c r="K399" s="8"/>
      <c r="L399" s="8"/>
      <c r="M399" s="8"/>
      <c r="N399" s="9" t="str">
        <f t="shared" si="16"/>
        <v/>
      </c>
      <c r="O399" s="10">
        <v>71</v>
      </c>
      <c r="P399" s="10">
        <v>49.1</v>
      </c>
      <c r="Q399" s="10" t="s">
        <v>99</v>
      </c>
      <c r="R399" s="10">
        <v>68</v>
      </c>
      <c r="S399" s="10">
        <v>57.8</v>
      </c>
      <c r="T399" s="10">
        <v>12</v>
      </c>
    </row>
    <row r="400" ht="41.25" customHeight="1" spans="1:20">
      <c r="A400" s="6" t="s">
        <v>1603</v>
      </c>
      <c r="B400" s="6" t="s">
        <v>1619</v>
      </c>
      <c r="C400" s="6" t="s">
        <v>25</v>
      </c>
      <c r="D400" s="6" t="s">
        <v>1615</v>
      </c>
      <c r="E400" s="6" t="s">
        <v>1616</v>
      </c>
      <c r="F400" s="7" t="s">
        <v>1620</v>
      </c>
      <c r="G400" s="7"/>
      <c r="H400" s="7"/>
      <c r="I400" s="7"/>
      <c r="J400" s="6" t="s">
        <v>1621</v>
      </c>
      <c r="K400" s="8"/>
      <c r="L400" s="8"/>
      <c r="M400" s="8"/>
      <c r="N400" s="9" t="str">
        <f t="shared" si="16"/>
        <v/>
      </c>
      <c r="O400" s="6"/>
      <c r="P400" s="6"/>
      <c r="Q400" s="6"/>
      <c r="R400" s="6"/>
      <c r="S400" s="6"/>
      <c r="T400" s="6"/>
    </row>
    <row r="401" s="24" customFormat="1" ht="27.75" customHeight="1" spans="1:20">
      <c r="A401" s="10" t="s">
        <v>1603</v>
      </c>
      <c r="B401" s="10" t="s">
        <v>1622</v>
      </c>
      <c r="C401" s="10" t="s">
        <v>25</v>
      </c>
      <c r="D401" s="10" t="s">
        <v>1623</v>
      </c>
      <c r="E401" s="10" t="s">
        <v>1624</v>
      </c>
      <c r="F401" s="11" t="s">
        <v>1625</v>
      </c>
      <c r="G401" s="11"/>
      <c r="H401" s="11"/>
      <c r="I401" s="11"/>
      <c r="J401" s="10" t="s">
        <v>47</v>
      </c>
      <c r="K401" s="12">
        <v>2750000</v>
      </c>
      <c r="L401" s="13">
        <v>2900000</v>
      </c>
      <c r="M401" s="14">
        <v>3100000</v>
      </c>
      <c r="N401" s="9">
        <f t="shared" si="16"/>
        <v>3410000</v>
      </c>
      <c r="O401" s="10">
        <v>56</v>
      </c>
      <c r="P401" s="10">
        <v>37.6</v>
      </c>
      <c r="Q401" s="10" t="s">
        <v>99</v>
      </c>
      <c r="R401" s="10">
        <v>54</v>
      </c>
      <c r="S401" s="10">
        <v>45.8</v>
      </c>
      <c r="T401" s="10">
        <v>12</v>
      </c>
    </row>
    <row r="402" ht="42.75" customHeight="1" spans="1:20">
      <c r="A402" s="6" t="s">
        <v>1626</v>
      </c>
      <c r="B402" s="6" t="s">
        <v>1627</v>
      </c>
      <c r="C402" s="6" t="s">
        <v>25</v>
      </c>
      <c r="D402" s="6" t="s">
        <v>1623</v>
      </c>
      <c r="E402" s="6" t="s">
        <v>1624</v>
      </c>
      <c r="F402" s="7" t="s">
        <v>1625</v>
      </c>
      <c r="G402" s="7"/>
      <c r="H402" s="7"/>
      <c r="I402" s="7"/>
      <c r="J402" s="6" t="s">
        <v>33</v>
      </c>
      <c r="K402" s="12">
        <v>2900000</v>
      </c>
      <c r="L402" s="13">
        <v>3100000</v>
      </c>
      <c r="M402" s="14">
        <v>3300000</v>
      </c>
      <c r="N402" s="9">
        <f t="shared" si="16"/>
        <v>3630000</v>
      </c>
      <c r="O402" s="6">
        <v>56</v>
      </c>
      <c r="P402" s="6">
        <v>37.6</v>
      </c>
      <c r="Q402" s="6" t="s">
        <v>99</v>
      </c>
      <c r="R402" s="6">
        <v>54</v>
      </c>
      <c r="S402" s="6">
        <v>45.8</v>
      </c>
      <c r="T402" s="6">
        <v>12</v>
      </c>
    </row>
    <row r="403" ht="42.75" customHeight="1" spans="1:20">
      <c r="A403" s="10" t="s">
        <v>1603</v>
      </c>
      <c r="B403" s="10" t="s">
        <v>1628</v>
      </c>
      <c r="C403" s="10" t="s">
        <v>25</v>
      </c>
      <c r="D403" s="10" t="s">
        <v>877</v>
      </c>
      <c r="E403" s="10" t="s">
        <v>1629</v>
      </c>
      <c r="F403" s="11" t="s">
        <v>1630</v>
      </c>
      <c r="G403" s="11"/>
      <c r="H403" s="11"/>
      <c r="I403" s="11"/>
      <c r="J403" s="10" t="s">
        <v>29</v>
      </c>
      <c r="K403" s="8"/>
      <c r="L403" s="8"/>
      <c r="M403" s="8"/>
      <c r="N403" s="9" t="str">
        <f t="shared" si="16"/>
        <v/>
      </c>
      <c r="O403" s="10">
        <v>49</v>
      </c>
      <c r="P403" s="10">
        <v>37.6</v>
      </c>
      <c r="Q403" s="10" t="s">
        <v>99</v>
      </c>
      <c r="R403" s="10">
        <v>47</v>
      </c>
      <c r="S403" s="10">
        <v>40.2</v>
      </c>
      <c r="T403" s="10" t="s">
        <v>413</v>
      </c>
    </row>
    <row r="404" ht="27.75" customHeight="1" spans="1:20">
      <c r="A404" s="6" t="s">
        <v>1603</v>
      </c>
      <c r="B404" s="6" t="s">
        <v>1631</v>
      </c>
      <c r="C404" s="6" t="s">
        <v>25</v>
      </c>
      <c r="D404" s="6" t="s">
        <v>877</v>
      </c>
      <c r="E404" s="6">
        <v>1004</v>
      </c>
      <c r="F404" s="7" t="s">
        <v>1632</v>
      </c>
      <c r="G404" s="7"/>
      <c r="H404" s="7"/>
      <c r="I404" s="7"/>
      <c r="J404" s="6" t="s">
        <v>129</v>
      </c>
      <c r="K404" s="12">
        <v>2100000</v>
      </c>
      <c r="L404" s="13">
        <v>2200000</v>
      </c>
      <c r="M404" s="14">
        <v>2400000</v>
      </c>
      <c r="N404" s="9">
        <f t="shared" si="16"/>
        <v>2640000</v>
      </c>
      <c r="O404" s="6"/>
      <c r="P404" s="6"/>
      <c r="Q404" s="6"/>
      <c r="R404" s="6"/>
      <c r="S404" s="6"/>
      <c r="T404" s="6"/>
    </row>
    <row r="405" ht="27.75" customHeight="1" spans="1:20">
      <c r="A405" s="10" t="s">
        <v>1603</v>
      </c>
      <c r="B405" s="10" t="s">
        <v>1633</v>
      </c>
      <c r="C405" s="10" t="s">
        <v>25</v>
      </c>
      <c r="D405" s="10" t="s">
        <v>1623</v>
      </c>
      <c r="E405" s="10" t="s">
        <v>1624</v>
      </c>
      <c r="F405" s="11" t="s">
        <v>1634</v>
      </c>
      <c r="G405" s="11" t="s">
        <v>1635</v>
      </c>
      <c r="H405" s="11"/>
      <c r="I405" s="11"/>
      <c r="J405" s="10" t="s">
        <v>33</v>
      </c>
      <c r="K405" s="12">
        <v>2550000</v>
      </c>
      <c r="L405" s="13">
        <v>2700000</v>
      </c>
      <c r="M405" s="14">
        <v>2850000</v>
      </c>
      <c r="N405" s="9">
        <f t="shared" si="16"/>
        <v>3135000</v>
      </c>
      <c r="O405" s="10">
        <v>56</v>
      </c>
      <c r="P405" s="10">
        <v>39.6</v>
      </c>
      <c r="Q405" s="10" t="s">
        <v>99</v>
      </c>
      <c r="R405" s="10">
        <v>54</v>
      </c>
      <c r="S405" s="10">
        <v>45.8</v>
      </c>
      <c r="T405" s="10" t="s">
        <v>413</v>
      </c>
    </row>
    <row r="406" ht="42.75" customHeight="1" spans="1:20">
      <c r="A406" s="6" t="s">
        <v>1603</v>
      </c>
      <c r="B406" s="6" t="s">
        <v>1636</v>
      </c>
      <c r="C406" s="6" t="s">
        <v>61</v>
      </c>
      <c r="D406" s="6" t="s">
        <v>1637</v>
      </c>
      <c r="E406" s="6">
        <v>1106</v>
      </c>
      <c r="F406" s="7" t="s">
        <v>1638</v>
      </c>
      <c r="G406" s="7" t="s">
        <v>1639</v>
      </c>
      <c r="H406" s="7"/>
      <c r="I406" s="7" t="s">
        <v>1640</v>
      </c>
      <c r="J406" s="6" t="s">
        <v>33</v>
      </c>
      <c r="K406" s="12">
        <v>5300000</v>
      </c>
      <c r="L406" s="13">
        <v>5600000</v>
      </c>
      <c r="M406" s="14">
        <v>5900000</v>
      </c>
      <c r="N406" s="9">
        <f t="shared" si="16"/>
        <v>6490000</v>
      </c>
      <c r="O406" s="6">
        <v>78.6</v>
      </c>
      <c r="P406" s="6">
        <v>51.8</v>
      </c>
      <c r="Q406" s="6" t="s">
        <v>65</v>
      </c>
      <c r="R406" s="6">
        <v>69.6</v>
      </c>
      <c r="S406" s="6">
        <v>55.9</v>
      </c>
      <c r="T406" s="6">
        <v>10</v>
      </c>
    </row>
    <row r="407" ht="42.75" customHeight="1" spans="1:20">
      <c r="A407" s="10" t="s">
        <v>1603</v>
      </c>
      <c r="B407" s="10" t="s">
        <v>1641</v>
      </c>
      <c r="C407" s="10"/>
      <c r="D407" s="10" t="s">
        <v>1623</v>
      </c>
      <c r="E407" s="10" t="s">
        <v>1624</v>
      </c>
      <c r="F407" s="11" t="s">
        <v>1642</v>
      </c>
      <c r="G407" s="11" t="s">
        <v>1643</v>
      </c>
      <c r="H407" s="11"/>
      <c r="I407" s="11"/>
      <c r="J407" s="10" t="s">
        <v>29</v>
      </c>
      <c r="K407" s="8"/>
      <c r="L407" s="8"/>
      <c r="M407" s="8"/>
      <c r="N407" s="9" t="str">
        <f t="shared" si="16"/>
        <v/>
      </c>
      <c r="O407" s="10"/>
      <c r="P407" s="10"/>
      <c r="Q407" s="10"/>
      <c r="R407" s="10"/>
      <c r="S407" s="10"/>
      <c r="T407" s="10"/>
    </row>
    <row r="408" customHeight="1" spans="1:20">
      <c r="A408" s="6" t="s">
        <v>1603</v>
      </c>
      <c r="B408" s="6" t="s">
        <v>1644</v>
      </c>
      <c r="C408" s="6"/>
      <c r="D408" s="6" t="s">
        <v>1623</v>
      </c>
      <c r="E408" s="6"/>
      <c r="F408" s="7" t="s">
        <v>1645</v>
      </c>
      <c r="G408" s="7"/>
      <c r="H408" s="7"/>
      <c r="I408" s="7"/>
      <c r="J408" s="6" t="s">
        <v>33</v>
      </c>
      <c r="K408" s="8"/>
      <c r="L408" s="8"/>
      <c r="M408" s="8"/>
      <c r="N408" s="9" t="str">
        <f t="shared" si="16"/>
        <v/>
      </c>
      <c r="O408" s="6"/>
      <c r="P408" s="6"/>
      <c r="Q408" s="6"/>
      <c r="R408" s="6"/>
      <c r="S408" s="6"/>
      <c r="T408" s="6"/>
    </row>
    <row r="409" ht="16.5" customHeight="1" spans="1:20">
      <c r="A409" s="5" t="s">
        <v>1646</v>
      </c>
      <c r="B409" s="5"/>
      <c r="C409" s="5"/>
      <c r="D409" s="5"/>
      <c r="E409" s="5"/>
      <c r="F409" s="5"/>
      <c r="G409" s="5"/>
      <c r="H409" s="5"/>
      <c r="I409" s="5"/>
      <c r="J409" s="5"/>
      <c r="K409" s="20"/>
      <c r="L409" s="20"/>
      <c r="M409" s="20"/>
      <c r="N409" s="20"/>
      <c r="O409" s="5"/>
      <c r="P409" s="5"/>
      <c r="Q409" s="5"/>
      <c r="R409" s="5"/>
      <c r="S409" s="5"/>
      <c r="T409" s="5"/>
    </row>
    <row r="410" ht="21.75" customHeight="1" spans="1:20">
      <c r="A410" s="6" t="s">
        <v>1647</v>
      </c>
      <c r="B410" s="6" t="s">
        <v>1648</v>
      </c>
      <c r="C410" s="6" t="s">
        <v>35</v>
      </c>
      <c r="D410" s="6" t="s">
        <v>1192</v>
      </c>
      <c r="E410" s="6" t="s">
        <v>1649</v>
      </c>
      <c r="F410" s="7" t="s">
        <v>1650</v>
      </c>
      <c r="G410" s="7"/>
      <c r="H410" s="7"/>
      <c r="I410" s="7" t="s">
        <v>1651</v>
      </c>
      <c r="J410" s="6" t="s">
        <v>29</v>
      </c>
      <c r="K410" s="8"/>
      <c r="L410" s="8"/>
      <c r="M410" s="8"/>
      <c r="N410" s="9" t="str">
        <f t="shared" ref="N410:N416" si="17">IF($M410="","",ROUND($M410*1.1,0))</f>
        <v/>
      </c>
      <c r="O410" s="6"/>
      <c r="P410" s="6"/>
      <c r="Q410" s="6"/>
      <c r="R410" s="6"/>
      <c r="S410" s="6"/>
      <c r="T410" s="6"/>
    </row>
    <row r="411" ht="51.75" customHeight="1" spans="1:20">
      <c r="A411" s="10" t="s">
        <v>1647</v>
      </c>
      <c r="B411" s="10" t="s">
        <v>1652</v>
      </c>
      <c r="C411" s="10" t="s">
        <v>35</v>
      </c>
      <c r="D411" s="10" t="s">
        <v>1653</v>
      </c>
      <c r="E411" s="10" t="s">
        <v>1654</v>
      </c>
      <c r="F411" s="11" t="s">
        <v>1655</v>
      </c>
      <c r="G411" s="11" t="s">
        <v>1656</v>
      </c>
      <c r="H411" s="11" t="s">
        <v>1657</v>
      </c>
      <c r="I411" s="11"/>
      <c r="J411" s="10" t="s">
        <v>29</v>
      </c>
      <c r="K411" s="12">
        <v>2200000</v>
      </c>
      <c r="L411" s="13">
        <v>2300000</v>
      </c>
      <c r="M411" s="14">
        <v>2400000</v>
      </c>
      <c r="N411" s="9">
        <f t="shared" si="17"/>
        <v>2640000</v>
      </c>
      <c r="O411" s="10">
        <v>54</v>
      </c>
      <c r="P411" s="10">
        <v>37</v>
      </c>
      <c r="Q411" s="10" t="s">
        <v>65</v>
      </c>
      <c r="R411" s="10">
        <v>56.4</v>
      </c>
      <c r="S411" s="10">
        <v>47.6</v>
      </c>
      <c r="T411" s="10">
        <v>12</v>
      </c>
    </row>
    <row r="412" ht="57" customHeight="1" spans="1:20">
      <c r="A412" s="6" t="s">
        <v>1658</v>
      </c>
      <c r="B412" s="6" t="s">
        <v>1659</v>
      </c>
      <c r="C412" s="6" t="s">
        <v>35</v>
      </c>
      <c r="D412" s="6" t="s">
        <v>1653</v>
      </c>
      <c r="E412" s="6" t="s">
        <v>1654</v>
      </c>
      <c r="F412" s="7" t="s">
        <v>1655</v>
      </c>
      <c r="G412" s="7" t="s">
        <v>1656</v>
      </c>
      <c r="H412" s="7" t="s">
        <v>1657</v>
      </c>
      <c r="I412" s="7"/>
      <c r="J412" s="6" t="s">
        <v>47</v>
      </c>
      <c r="K412" s="8"/>
      <c r="L412" s="8"/>
      <c r="M412" s="8"/>
      <c r="N412" s="9" t="str">
        <f t="shared" si="17"/>
        <v/>
      </c>
      <c r="O412" s="6">
        <v>54</v>
      </c>
      <c r="P412" s="6">
        <v>37</v>
      </c>
      <c r="Q412" s="6" t="s">
        <v>65</v>
      </c>
      <c r="R412" s="6">
        <v>56.4</v>
      </c>
      <c r="S412" s="6">
        <v>47.6</v>
      </c>
      <c r="T412" s="6">
        <v>12</v>
      </c>
    </row>
    <row r="413" ht="57" customHeight="1" spans="1:20">
      <c r="A413" s="10" t="s">
        <v>1647</v>
      </c>
      <c r="B413" s="10" t="s">
        <v>1660</v>
      </c>
      <c r="C413" s="10" t="s">
        <v>35</v>
      </c>
      <c r="D413" s="10" t="s">
        <v>1661</v>
      </c>
      <c r="E413" s="10" t="s">
        <v>1662</v>
      </c>
      <c r="F413" s="11" t="s">
        <v>1663</v>
      </c>
      <c r="G413" s="11" t="s">
        <v>1664</v>
      </c>
      <c r="H413" s="11" t="s">
        <v>1665</v>
      </c>
      <c r="I413" s="11"/>
      <c r="J413" s="10" t="s">
        <v>29</v>
      </c>
      <c r="K413" s="12">
        <v>2200000</v>
      </c>
      <c r="L413" s="13">
        <v>2300000</v>
      </c>
      <c r="M413" s="14">
        <v>2400000</v>
      </c>
      <c r="N413" s="9">
        <f t="shared" si="17"/>
        <v>2640000</v>
      </c>
      <c r="O413" s="10">
        <v>54</v>
      </c>
      <c r="P413" s="10">
        <v>37</v>
      </c>
      <c r="Q413" s="10" t="s">
        <v>65</v>
      </c>
      <c r="R413" s="10">
        <v>56.4</v>
      </c>
      <c r="S413" s="10">
        <v>47.6</v>
      </c>
      <c r="T413" s="10">
        <v>12</v>
      </c>
    </row>
    <row r="414" ht="42.75" customHeight="1" spans="1:20">
      <c r="A414" s="6" t="s">
        <v>1647</v>
      </c>
      <c r="B414" s="6" t="s">
        <v>1666</v>
      </c>
      <c r="C414" s="6" t="s">
        <v>25</v>
      </c>
      <c r="D414" s="6" t="s">
        <v>1667</v>
      </c>
      <c r="E414" s="6" t="s">
        <v>1668</v>
      </c>
      <c r="F414" s="7" t="s">
        <v>1669</v>
      </c>
      <c r="G414" s="7" t="s">
        <v>1670</v>
      </c>
      <c r="H414" s="7" t="s">
        <v>1671</v>
      </c>
      <c r="I414" s="7"/>
      <c r="J414" s="6" t="s">
        <v>29</v>
      </c>
      <c r="K414" s="12">
        <v>2300000</v>
      </c>
      <c r="L414" s="13">
        <v>2450000</v>
      </c>
      <c r="M414" s="14">
        <v>2600000</v>
      </c>
      <c r="N414" s="9">
        <f t="shared" si="17"/>
        <v>2860000</v>
      </c>
      <c r="O414" s="6"/>
      <c r="P414" s="6"/>
      <c r="Q414" s="6"/>
      <c r="R414" s="6"/>
      <c r="S414" s="6"/>
      <c r="T414" s="6"/>
    </row>
    <row r="415" ht="185.25" customHeight="1" spans="1:20">
      <c r="A415" s="10" t="s">
        <v>1658</v>
      </c>
      <c r="B415" s="10" t="s">
        <v>1672</v>
      </c>
      <c r="C415" s="10" t="s">
        <v>25</v>
      </c>
      <c r="D415" s="10" t="s">
        <v>1667</v>
      </c>
      <c r="E415" s="10" t="s">
        <v>1668</v>
      </c>
      <c r="F415" s="11" t="s">
        <v>1669</v>
      </c>
      <c r="G415" s="11" t="s">
        <v>1670</v>
      </c>
      <c r="H415" s="11" t="s">
        <v>1671</v>
      </c>
      <c r="I415" s="11"/>
      <c r="J415" s="10" t="s">
        <v>47</v>
      </c>
      <c r="K415" s="12">
        <v>2200000</v>
      </c>
      <c r="L415" s="13">
        <v>2300000</v>
      </c>
      <c r="M415" s="14">
        <v>2500000</v>
      </c>
      <c r="N415" s="9">
        <f t="shared" si="17"/>
        <v>2750000</v>
      </c>
      <c r="O415" s="10"/>
      <c r="P415" s="10"/>
      <c r="Q415" s="10"/>
      <c r="R415" s="10"/>
      <c r="S415" s="10"/>
      <c r="T415" s="10"/>
    </row>
    <row r="416" ht="185.25" customHeight="1" spans="1:20">
      <c r="A416" s="6" t="s">
        <v>1647</v>
      </c>
      <c r="B416" s="6" t="s">
        <v>1673</v>
      </c>
      <c r="C416" s="6" t="s">
        <v>35</v>
      </c>
      <c r="D416" s="6" t="s">
        <v>1674</v>
      </c>
      <c r="E416" s="6" t="s">
        <v>1649</v>
      </c>
      <c r="F416" s="7" t="s">
        <v>1675</v>
      </c>
      <c r="G416" s="7" t="s">
        <v>1676</v>
      </c>
      <c r="H416" s="7" t="s">
        <v>1677</v>
      </c>
      <c r="I416" s="7"/>
      <c r="J416" s="6"/>
      <c r="K416" s="8"/>
      <c r="L416" s="8"/>
      <c r="M416" s="8"/>
      <c r="N416" s="9" t="str">
        <f t="shared" si="17"/>
        <v/>
      </c>
      <c r="O416" s="6"/>
      <c r="P416" s="6"/>
      <c r="Q416" s="6"/>
      <c r="R416" s="6"/>
      <c r="S416" s="6"/>
      <c r="T416" s="6"/>
    </row>
    <row r="417" ht="16.5" customHeight="1" spans="1:20">
      <c r="A417" s="5" t="s">
        <v>1678</v>
      </c>
      <c r="B417" s="5"/>
      <c r="C417" s="5"/>
      <c r="D417" s="5"/>
      <c r="E417" s="5"/>
      <c r="F417" s="5"/>
      <c r="G417" s="5"/>
      <c r="H417" s="5"/>
      <c r="I417" s="5"/>
      <c r="J417" s="5"/>
      <c r="K417" s="20"/>
      <c r="L417" s="20"/>
      <c r="M417" s="20"/>
      <c r="N417" s="20"/>
      <c r="O417" s="5"/>
      <c r="P417" s="5"/>
      <c r="Q417" s="5"/>
      <c r="R417" s="5"/>
      <c r="S417" s="5"/>
      <c r="T417" s="5"/>
    </row>
    <row r="418" ht="21.75" customHeight="1" spans="1:20">
      <c r="A418" s="6" t="s">
        <v>1679</v>
      </c>
      <c r="B418" s="6" t="s">
        <v>1680</v>
      </c>
      <c r="C418" s="6" t="s">
        <v>85</v>
      </c>
      <c r="D418" s="6" t="s">
        <v>1681</v>
      </c>
      <c r="E418" s="6" t="s">
        <v>1682</v>
      </c>
      <c r="F418" s="7" t="s">
        <v>1683</v>
      </c>
      <c r="G418" s="7" t="s">
        <v>1684</v>
      </c>
      <c r="H418" s="7" t="s">
        <v>1685</v>
      </c>
      <c r="I418" s="7"/>
      <c r="J418" s="6" t="s">
        <v>29</v>
      </c>
      <c r="K418" s="8"/>
      <c r="L418" s="8"/>
      <c r="M418" s="8"/>
      <c r="N418" s="9" t="str">
        <f t="shared" ref="N418:N423" si="18">IF($M418="","",ROUND($M418*1.1,0))</f>
        <v/>
      </c>
      <c r="O418" s="6">
        <v>51</v>
      </c>
      <c r="P418" s="6">
        <v>36</v>
      </c>
      <c r="Q418" s="6" t="s">
        <v>99</v>
      </c>
      <c r="R418" s="6">
        <v>45.7</v>
      </c>
      <c r="S418" s="6">
        <v>38</v>
      </c>
      <c r="T418" s="6" t="s">
        <v>505</v>
      </c>
    </row>
    <row r="419" ht="28.5" customHeight="1" spans="1:20">
      <c r="A419" s="10" t="s">
        <v>1679</v>
      </c>
      <c r="B419" s="10" t="s">
        <v>1686</v>
      </c>
      <c r="C419" s="10" t="s">
        <v>85</v>
      </c>
      <c r="D419" s="10" t="s">
        <v>1681</v>
      </c>
      <c r="E419" s="10" t="s">
        <v>1682</v>
      </c>
      <c r="F419" s="11" t="s">
        <v>1687</v>
      </c>
      <c r="G419" s="11"/>
      <c r="H419" s="11" t="s">
        <v>1688</v>
      </c>
      <c r="I419" s="11" t="s">
        <v>1689</v>
      </c>
      <c r="J419" s="10" t="s">
        <v>29</v>
      </c>
      <c r="K419" s="12">
        <v>2600000</v>
      </c>
      <c r="L419" s="13">
        <v>2750000</v>
      </c>
      <c r="M419" s="14">
        <v>2900000</v>
      </c>
      <c r="N419" s="9">
        <f t="shared" si="18"/>
        <v>3190000</v>
      </c>
      <c r="O419" s="10"/>
      <c r="P419" s="10"/>
      <c r="Q419" s="10"/>
      <c r="R419" s="10"/>
      <c r="S419" s="10"/>
      <c r="T419" s="10"/>
    </row>
    <row r="420" ht="27.75" customHeight="1" spans="1:20">
      <c r="A420" s="6" t="s">
        <v>1679</v>
      </c>
      <c r="B420" s="6" t="s">
        <v>1690</v>
      </c>
      <c r="C420" s="6" t="s">
        <v>85</v>
      </c>
      <c r="D420" s="6" t="s">
        <v>1691</v>
      </c>
      <c r="E420" s="6" t="s">
        <v>1692</v>
      </c>
      <c r="F420" s="7" t="s">
        <v>1693</v>
      </c>
      <c r="G420" s="7"/>
      <c r="H420" s="7" t="s">
        <v>1694</v>
      </c>
      <c r="I420" s="7"/>
      <c r="J420" s="6" t="s">
        <v>29</v>
      </c>
      <c r="K420" s="12">
        <v>5500000</v>
      </c>
      <c r="L420" s="13">
        <v>5800000</v>
      </c>
      <c r="M420" s="14">
        <v>6100000</v>
      </c>
      <c r="N420" s="9">
        <f t="shared" si="18"/>
        <v>6710000</v>
      </c>
      <c r="O420" s="6">
        <v>58</v>
      </c>
      <c r="P420" s="6">
        <v>39</v>
      </c>
      <c r="Q420" s="6" t="s">
        <v>99</v>
      </c>
      <c r="R420" s="6">
        <v>51.7</v>
      </c>
      <c r="S420" s="6">
        <v>48</v>
      </c>
      <c r="T420" s="6" t="s">
        <v>597</v>
      </c>
    </row>
    <row r="421" ht="42.75" customHeight="1" spans="1:20">
      <c r="A421" s="10" t="s">
        <v>1679</v>
      </c>
      <c r="B421" s="10" t="s">
        <v>1695</v>
      </c>
      <c r="C421" s="10" t="s">
        <v>85</v>
      </c>
      <c r="D421" s="10" t="s">
        <v>1691</v>
      </c>
      <c r="E421" s="10" t="s">
        <v>1696</v>
      </c>
      <c r="F421" s="11" t="s">
        <v>1697</v>
      </c>
      <c r="G421" s="11"/>
      <c r="H421" s="11" t="s">
        <v>1698</v>
      </c>
      <c r="I421" s="11"/>
      <c r="J421" s="10" t="s">
        <v>29</v>
      </c>
      <c r="K421" s="12">
        <v>5900000</v>
      </c>
      <c r="L421" s="13">
        <v>6300000</v>
      </c>
      <c r="M421" s="14">
        <v>6700000</v>
      </c>
      <c r="N421" s="9">
        <f t="shared" si="18"/>
        <v>7370000</v>
      </c>
      <c r="O421" s="10">
        <v>45</v>
      </c>
      <c r="P421" s="10">
        <v>32</v>
      </c>
      <c r="Q421" s="10" t="s">
        <v>99</v>
      </c>
      <c r="R421" s="10">
        <v>37.8</v>
      </c>
      <c r="S421" s="10">
        <v>34.8</v>
      </c>
      <c r="T421" s="10">
        <v>9</v>
      </c>
    </row>
    <row r="422" ht="27.75" customHeight="1" spans="1:20">
      <c r="A422" s="6" t="s">
        <v>1679</v>
      </c>
      <c r="B422" s="6" t="s">
        <v>1699</v>
      </c>
      <c r="C422" s="6" t="s">
        <v>85</v>
      </c>
      <c r="D422" s="6" t="s">
        <v>1700</v>
      </c>
      <c r="E422" s="6" t="s">
        <v>1701</v>
      </c>
      <c r="F422" s="7" t="s">
        <v>1702</v>
      </c>
      <c r="G422" s="7"/>
      <c r="H422" s="7"/>
      <c r="I422" s="7" t="s">
        <v>1703</v>
      </c>
      <c r="J422" s="6" t="s">
        <v>82</v>
      </c>
      <c r="K422" s="8"/>
      <c r="L422" s="8"/>
      <c r="M422" s="8"/>
      <c r="N422" s="9" t="str">
        <f t="shared" si="18"/>
        <v/>
      </c>
      <c r="O422" s="6">
        <v>51</v>
      </c>
      <c r="P422" s="6">
        <v>37.6</v>
      </c>
      <c r="Q422" s="6" t="s">
        <v>99</v>
      </c>
      <c r="R422" s="6">
        <v>44.6</v>
      </c>
      <c r="S422" s="6">
        <v>41.6</v>
      </c>
      <c r="T422" s="6">
        <v>9</v>
      </c>
    </row>
    <row r="423" ht="57" customHeight="1" spans="1:20">
      <c r="A423" s="10" t="s">
        <v>1704</v>
      </c>
      <c r="B423" s="10" t="s">
        <v>1705</v>
      </c>
      <c r="C423" s="10" t="s">
        <v>85</v>
      </c>
      <c r="D423" s="10" t="s">
        <v>1700</v>
      </c>
      <c r="E423" s="10" t="s">
        <v>1701</v>
      </c>
      <c r="F423" s="11" t="s">
        <v>1702</v>
      </c>
      <c r="G423" s="11"/>
      <c r="H423" s="11"/>
      <c r="I423" s="11" t="s">
        <v>1703</v>
      </c>
      <c r="J423" s="10" t="s">
        <v>29</v>
      </c>
      <c r="K423" s="12">
        <v>5200000</v>
      </c>
      <c r="L423" s="13">
        <v>5500000</v>
      </c>
      <c r="M423" s="14">
        <v>5800000</v>
      </c>
      <c r="N423" s="9">
        <f t="shared" si="18"/>
        <v>6380000</v>
      </c>
      <c r="O423" s="10">
        <v>51</v>
      </c>
      <c r="P423" s="10">
        <v>37.6</v>
      </c>
      <c r="Q423" s="10" t="s">
        <v>99</v>
      </c>
      <c r="R423" s="10">
        <v>44.6</v>
      </c>
      <c r="S423" s="10">
        <v>41.6</v>
      </c>
      <c r="T423" s="10">
        <v>9</v>
      </c>
    </row>
    <row r="424" ht="57.75" customHeight="1" spans="1:20">
      <c r="A424" s="5" t="s">
        <v>1706</v>
      </c>
      <c r="B424" s="5"/>
      <c r="C424" s="5"/>
      <c r="D424" s="5"/>
      <c r="E424" s="5"/>
      <c r="F424" s="5"/>
      <c r="G424" s="5"/>
      <c r="H424" s="5"/>
      <c r="I424" s="5"/>
      <c r="J424" s="5"/>
      <c r="K424" s="20"/>
      <c r="L424" s="20"/>
      <c r="M424" s="20"/>
      <c r="N424" s="20"/>
      <c r="O424" s="5"/>
      <c r="P424" s="5"/>
      <c r="Q424" s="5"/>
      <c r="R424" s="5"/>
      <c r="S424" s="5"/>
      <c r="T424" s="5"/>
    </row>
    <row r="425" ht="21.75" customHeight="1" spans="1:20">
      <c r="A425" s="6" t="s">
        <v>1707</v>
      </c>
      <c r="B425" s="6" t="s">
        <v>1708</v>
      </c>
      <c r="C425" s="6" t="s">
        <v>190</v>
      </c>
      <c r="D425" s="6" t="s">
        <v>1709</v>
      </c>
      <c r="E425" s="6" t="s">
        <v>1710</v>
      </c>
      <c r="F425" s="7" t="s">
        <v>1711</v>
      </c>
      <c r="G425" s="7"/>
      <c r="H425" s="7"/>
      <c r="I425" s="7"/>
      <c r="J425" s="6" t="s">
        <v>149</v>
      </c>
      <c r="K425" s="12">
        <v>2450000</v>
      </c>
      <c r="L425" s="13">
        <v>2600000</v>
      </c>
      <c r="M425" s="14">
        <v>2800000</v>
      </c>
      <c r="N425" s="9">
        <f>IF($M425="","",ROUND($M425*1.1,0))</f>
        <v>3080000</v>
      </c>
      <c r="O425" s="6"/>
      <c r="P425" s="6"/>
      <c r="Q425" s="6"/>
      <c r="R425" s="6"/>
      <c r="S425" s="6"/>
      <c r="T425" s="6"/>
    </row>
    <row r="426" ht="29.25" customHeight="1" spans="1:20">
      <c r="A426" s="5" t="s">
        <v>1712</v>
      </c>
      <c r="B426" s="5"/>
      <c r="C426" s="5"/>
      <c r="D426" s="5"/>
      <c r="E426" s="5"/>
      <c r="F426" s="5"/>
      <c r="G426" s="5"/>
      <c r="H426" s="5"/>
      <c r="I426" s="5"/>
      <c r="J426" s="5"/>
      <c r="K426" s="20"/>
      <c r="L426" s="20"/>
      <c r="M426" s="20"/>
      <c r="N426" s="20"/>
      <c r="O426" s="5"/>
      <c r="P426" s="5"/>
      <c r="Q426" s="5"/>
      <c r="R426" s="5"/>
      <c r="S426" s="5"/>
      <c r="T426" s="5"/>
    </row>
    <row r="427" ht="21.75" customHeight="1" spans="1:20">
      <c r="A427" s="6" t="s">
        <v>1713</v>
      </c>
      <c r="B427" s="6" t="s">
        <v>1714</v>
      </c>
      <c r="C427" s="6" t="s">
        <v>25</v>
      </c>
      <c r="D427" s="6" t="s">
        <v>566</v>
      </c>
      <c r="E427" s="6" t="s">
        <v>1715</v>
      </c>
      <c r="F427" s="7" t="s">
        <v>1716</v>
      </c>
      <c r="G427" s="7" t="s">
        <v>1717</v>
      </c>
      <c r="H427" s="7"/>
      <c r="I427" s="7"/>
      <c r="J427" s="6" t="s">
        <v>29</v>
      </c>
      <c r="K427" s="12">
        <v>2400000</v>
      </c>
      <c r="L427" s="13">
        <v>2550000</v>
      </c>
      <c r="M427" s="14">
        <v>2700000</v>
      </c>
      <c r="N427" s="9">
        <f>IF($M427="","",ROUND($M427*1.1,0))</f>
        <v>2970000</v>
      </c>
      <c r="O427" s="6">
        <v>59.5</v>
      </c>
      <c r="P427" s="6">
        <v>42.8</v>
      </c>
      <c r="Q427" s="6" t="s">
        <v>99</v>
      </c>
      <c r="R427" s="6">
        <v>53</v>
      </c>
      <c r="S427" s="6">
        <v>46.2</v>
      </c>
      <c r="T427" s="6">
        <v>10</v>
      </c>
    </row>
    <row r="428" ht="16.5" customHeight="1" spans="1:20">
      <c r="A428" s="5" t="s">
        <v>1718</v>
      </c>
      <c r="B428" s="5"/>
      <c r="C428" s="5"/>
      <c r="D428" s="5"/>
      <c r="E428" s="5"/>
      <c r="F428" s="5"/>
      <c r="G428" s="5"/>
      <c r="H428" s="5"/>
      <c r="I428" s="5"/>
      <c r="J428" s="5"/>
      <c r="K428" s="20"/>
      <c r="L428" s="20"/>
      <c r="M428" s="20"/>
      <c r="N428" s="20"/>
      <c r="O428" s="5"/>
      <c r="P428" s="5"/>
      <c r="Q428" s="5"/>
      <c r="R428" s="5"/>
      <c r="S428" s="5"/>
      <c r="T428" s="5"/>
    </row>
    <row r="429" ht="21.75" customHeight="1" spans="1:20">
      <c r="A429" s="6" t="s">
        <v>1719</v>
      </c>
      <c r="B429" s="6" t="s">
        <v>1720</v>
      </c>
      <c r="C429" s="6" t="s">
        <v>85</v>
      </c>
      <c r="D429" s="6" t="s">
        <v>678</v>
      </c>
      <c r="E429" s="6" t="s">
        <v>1721</v>
      </c>
      <c r="F429" s="7" t="s">
        <v>1722</v>
      </c>
      <c r="G429" s="7" t="s">
        <v>387</v>
      </c>
      <c r="H429" s="7"/>
      <c r="I429" s="7"/>
      <c r="J429" s="6" t="s">
        <v>33</v>
      </c>
      <c r="K429" s="12">
        <v>3400000</v>
      </c>
      <c r="L429" s="13">
        <v>3600000</v>
      </c>
      <c r="M429" s="14">
        <v>3800000</v>
      </c>
      <c r="N429" s="9">
        <f>IF($M429="","",ROUND($M429*1.1,0))</f>
        <v>4180000</v>
      </c>
      <c r="O429" s="6"/>
      <c r="P429" s="6"/>
      <c r="Q429" s="6"/>
      <c r="R429" s="6"/>
      <c r="S429" s="6"/>
      <c r="T429" s="6"/>
    </row>
    <row r="430" ht="85.5" customHeight="1" spans="1:20">
      <c r="A430" s="10" t="s">
        <v>1719</v>
      </c>
      <c r="B430" s="10" t="s">
        <v>1723</v>
      </c>
      <c r="C430" s="10" t="s">
        <v>85</v>
      </c>
      <c r="D430" s="10" t="s">
        <v>1724</v>
      </c>
      <c r="E430" s="10" t="s">
        <v>1725</v>
      </c>
      <c r="F430" s="11" t="s">
        <v>1726</v>
      </c>
      <c r="G430" s="11" t="s">
        <v>1727</v>
      </c>
      <c r="H430" s="11"/>
      <c r="I430" s="11" t="s">
        <v>1728</v>
      </c>
      <c r="J430" s="10" t="s">
        <v>59</v>
      </c>
      <c r="K430" s="12">
        <v>4100000</v>
      </c>
      <c r="L430" s="13">
        <v>4400000</v>
      </c>
      <c r="M430" s="14">
        <v>4650000</v>
      </c>
      <c r="N430" s="9">
        <f>IF($M430="","",ROUND($M430*1.1,0))</f>
        <v>5115000</v>
      </c>
      <c r="O430" s="10"/>
      <c r="P430" s="10"/>
      <c r="Q430" s="10"/>
      <c r="R430" s="10"/>
      <c r="S430" s="10"/>
      <c r="T430" s="10"/>
    </row>
    <row r="431" ht="28.5" customHeight="1" spans="1:20">
      <c r="A431" s="6" t="s">
        <v>1719</v>
      </c>
      <c r="B431" s="6" t="s">
        <v>1729</v>
      </c>
      <c r="C431" s="6"/>
      <c r="D431" s="6" t="s">
        <v>1730</v>
      </c>
      <c r="E431" s="6" t="s">
        <v>1731</v>
      </c>
      <c r="F431" s="7" t="s">
        <v>1732</v>
      </c>
      <c r="G431" s="7"/>
      <c r="H431" s="7"/>
      <c r="I431" s="7"/>
      <c r="J431" s="6" t="s">
        <v>129</v>
      </c>
      <c r="K431" s="12">
        <v>2600000</v>
      </c>
      <c r="L431" s="13">
        <v>2750000</v>
      </c>
      <c r="M431" s="14">
        <v>2950000</v>
      </c>
      <c r="N431" s="9">
        <f>IF($M431="","",ROUND($M431*1.1,0))</f>
        <v>3245000</v>
      </c>
      <c r="O431" s="6"/>
      <c r="P431" s="6"/>
      <c r="Q431" s="6"/>
      <c r="R431" s="6"/>
      <c r="S431" s="6"/>
      <c r="T431" s="6"/>
    </row>
    <row r="432" ht="28.5" customHeight="1" spans="1:20">
      <c r="A432" s="10" t="s">
        <v>1719</v>
      </c>
      <c r="B432" s="10" t="s">
        <v>1733</v>
      </c>
      <c r="C432" s="10"/>
      <c r="D432" s="10" t="s">
        <v>1730</v>
      </c>
      <c r="E432" s="10" t="s">
        <v>1731</v>
      </c>
      <c r="F432" s="11" t="s">
        <v>1734</v>
      </c>
      <c r="G432" s="11"/>
      <c r="H432" s="11"/>
      <c r="I432" s="11"/>
      <c r="J432" s="10" t="s">
        <v>82</v>
      </c>
      <c r="K432" s="12">
        <v>3500000</v>
      </c>
      <c r="L432" s="13">
        <v>3700000</v>
      </c>
      <c r="M432" s="14">
        <v>3900000</v>
      </c>
      <c r="N432" s="9">
        <f>IF($M432="","",ROUND($M432*1.1,0))</f>
        <v>4290000</v>
      </c>
      <c r="O432" s="10"/>
      <c r="P432" s="10"/>
      <c r="Q432" s="10"/>
      <c r="R432" s="10"/>
      <c r="S432" s="10"/>
      <c r="T432" s="10"/>
    </row>
    <row r="433" ht="16.5" customHeight="1" spans="1:20">
      <c r="A433" s="5" t="s">
        <v>1735</v>
      </c>
      <c r="B433" s="5"/>
      <c r="C433" s="5"/>
      <c r="D433" s="5"/>
      <c r="E433" s="5"/>
      <c r="F433" s="5"/>
      <c r="G433" s="5"/>
      <c r="H433" s="5"/>
      <c r="I433" s="5"/>
      <c r="J433" s="5"/>
      <c r="K433" s="20"/>
      <c r="L433" s="20"/>
      <c r="M433" s="20"/>
      <c r="N433" s="20"/>
      <c r="O433" s="5"/>
      <c r="P433" s="5"/>
      <c r="Q433" s="5"/>
      <c r="R433" s="5"/>
      <c r="S433" s="5"/>
      <c r="T433" s="5"/>
    </row>
    <row r="434" ht="21.75" customHeight="1" spans="1:20">
      <c r="A434" s="6" t="s">
        <v>1736</v>
      </c>
      <c r="B434" s="6" t="s">
        <v>1737</v>
      </c>
      <c r="C434" s="6" t="s">
        <v>25</v>
      </c>
      <c r="D434" s="6" t="s">
        <v>566</v>
      </c>
      <c r="E434" s="6" t="s">
        <v>1738</v>
      </c>
      <c r="F434" s="7" t="s">
        <v>1739</v>
      </c>
      <c r="G434" s="7" t="s">
        <v>1740</v>
      </c>
      <c r="H434" s="7"/>
      <c r="I434" s="7"/>
      <c r="J434" s="6" t="s">
        <v>29</v>
      </c>
      <c r="K434" s="12">
        <v>2400000</v>
      </c>
      <c r="L434" s="13">
        <v>2550000</v>
      </c>
      <c r="M434" s="14">
        <v>2700000</v>
      </c>
      <c r="N434" s="9">
        <f>IF($M434="","",ROUND($M434*1.1,0))</f>
        <v>2970000</v>
      </c>
      <c r="O434" s="6">
        <v>60.1</v>
      </c>
      <c r="P434" s="6">
        <v>44.6</v>
      </c>
      <c r="Q434" s="6" t="s">
        <v>99</v>
      </c>
      <c r="R434" s="6">
        <v>53</v>
      </c>
      <c r="S434" s="6">
        <v>46.2</v>
      </c>
      <c r="T434" s="6">
        <v>12</v>
      </c>
    </row>
    <row r="435" ht="28.5" customHeight="1" spans="1:20">
      <c r="A435" s="10" t="s">
        <v>1736</v>
      </c>
      <c r="B435" s="10" t="s">
        <v>1741</v>
      </c>
      <c r="C435" s="10" t="s">
        <v>61</v>
      </c>
      <c r="D435" s="10" t="s">
        <v>1742</v>
      </c>
      <c r="E435" s="10" t="s">
        <v>1743</v>
      </c>
      <c r="F435" s="11" t="s">
        <v>1744</v>
      </c>
      <c r="G435" s="11" t="s">
        <v>1745</v>
      </c>
      <c r="H435" s="11"/>
      <c r="I435" s="11"/>
      <c r="J435" s="10" t="s">
        <v>29</v>
      </c>
      <c r="K435" s="12">
        <v>2300000</v>
      </c>
      <c r="L435" s="13">
        <v>2450000</v>
      </c>
      <c r="M435" s="14">
        <v>2600000</v>
      </c>
      <c r="N435" s="9">
        <f>IF($M435="","",ROUND($M435*1.1,0))</f>
        <v>2860000</v>
      </c>
      <c r="O435" s="10">
        <v>60.2</v>
      </c>
      <c r="P435" s="10">
        <v>40.5</v>
      </c>
      <c r="Q435" s="10" t="s">
        <v>99</v>
      </c>
      <c r="R435" s="10">
        <v>53</v>
      </c>
      <c r="S435" s="10">
        <v>46.2</v>
      </c>
      <c r="T435" s="10">
        <v>10</v>
      </c>
    </row>
    <row r="436" ht="28.5" customHeight="1" spans="1:20">
      <c r="A436" s="6" t="s">
        <v>1736</v>
      </c>
      <c r="B436" s="6" t="s">
        <v>1746</v>
      </c>
      <c r="C436" s="6" t="s">
        <v>25</v>
      </c>
      <c r="D436" s="6" t="s">
        <v>566</v>
      </c>
      <c r="E436" s="6" t="s">
        <v>1747</v>
      </c>
      <c r="F436" s="7" t="s">
        <v>1748</v>
      </c>
      <c r="G436" s="7" t="s">
        <v>1749</v>
      </c>
      <c r="H436" s="7" t="s">
        <v>1150</v>
      </c>
      <c r="I436" s="7"/>
      <c r="J436" s="6" t="s">
        <v>1301</v>
      </c>
      <c r="K436" s="12">
        <v>2400000</v>
      </c>
      <c r="L436" s="13">
        <v>2550000</v>
      </c>
      <c r="M436" s="14">
        <v>2700000</v>
      </c>
      <c r="N436" s="9">
        <f>IF($M436="","",ROUND($M436*1.1,0))</f>
        <v>2970000</v>
      </c>
      <c r="O436" s="6"/>
      <c r="P436" s="6"/>
      <c r="Q436" s="6"/>
      <c r="R436" s="6"/>
      <c r="S436" s="6"/>
      <c r="T436" s="6"/>
    </row>
    <row r="437" ht="29.25" customHeight="1" spans="1:20">
      <c r="A437" s="5" t="s">
        <v>1750</v>
      </c>
      <c r="B437" s="5"/>
      <c r="C437" s="5"/>
      <c r="D437" s="5"/>
      <c r="E437" s="5"/>
      <c r="F437" s="5"/>
      <c r="G437" s="5"/>
      <c r="H437" s="5"/>
      <c r="I437" s="5"/>
      <c r="J437" s="5"/>
      <c r="K437" s="20"/>
      <c r="L437" s="20"/>
      <c r="M437" s="20"/>
      <c r="N437" s="20"/>
      <c r="O437" s="5"/>
      <c r="P437" s="5"/>
      <c r="Q437" s="5"/>
      <c r="R437" s="5"/>
      <c r="S437" s="5"/>
      <c r="T437" s="5"/>
    </row>
    <row r="438" ht="21.75" customHeight="1" spans="1:20">
      <c r="A438" s="6"/>
      <c r="B438" s="6" t="s">
        <v>1751</v>
      </c>
      <c r="C438" s="6"/>
      <c r="D438" s="6" t="s">
        <v>1752</v>
      </c>
      <c r="E438" s="6" t="s">
        <v>1753</v>
      </c>
      <c r="F438" s="7" t="s">
        <v>1754</v>
      </c>
      <c r="G438" s="7"/>
      <c r="H438" s="7"/>
      <c r="I438" s="7" t="s">
        <v>1755</v>
      </c>
      <c r="J438" s="6" t="s">
        <v>29</v>
      </c>
      <c r="K438" s="12">
        <v>2450000</v>
      </c>
      <c r="L438" s="13">
        <v>2600000</v>
      </c>
      <c r="M438" s="14">
        <v>2760000</v>
      </c>
      <c r="N438" s="9">
        <f t="shared" ref="N438:N457" si="19">IF($M438="","",ROUND($M438*1.1,0))</f>
        <v>3036000</v>
      </c>
      <c r="O438" s="6"/>
      <c r="P438" s="6"/>
      <c r="Q438" s="6"/>
      <c r="R438" s="6"/>
      <c r="S438" s="6"/>
      <c r="T438" s="6"/>
    </row>
    <row r="439" ht="114" customHeight="1" spans="1:20">
      <c r="A439" s="10" t="s">
        <v>1521</v>
      </c>
      <c r="B439" s="10" t="s">
        <v>1756</v>
      </c>
      <c r="C439" s="10"/>
      <c r="D439" s="10" t="s">
        <v>1757</v>
      </c>
      <c r="E439" s="10" t="s">
        <v>1758</v>
      </c>
      <c r="F439" s="11" t="s">
        <v>1759</v>
      </c>
      <c r="G439" s="11"/>
      <c r="H439" s="11"/>
      <c r="I439" s="11" t="s">
        <v>1760</v>
      </c>
      <c r="J439" s="10" t="s">
        <v>29</v>
      </c>
      <c r="K439" s="12">
        <v>2300000</v>
      </c>
      <c r="L439" s="13">
        <v>2400000</v>
      </c>
      <c r="M439" s="14">
        <v>2570000</v>
      </c>
      <c r="N439" s="9">
        <f t="shared" si="19"/>
        <v>2827000</v>
      </c>
      <c r="O439" s="10"/>
      <c r="P439" s="10"/>
      <c r="Q439" s="10"/>
      <c r="R439" s="10"/>
      <c r="S439" s="10"/>
      <c r="T439" s="10"/>
    </row>
    <row r="440" ht="51.75" customHeight="1" spans="1:20">
      <c r="A440" s="6" t="s">
        <v>1262</v>
      </c>
      <c r="B440" s="6" t="s">
        <v>1761</v>
      </c>
      <c r="C440" s="6"/>
      <c r="D440" s="6"/>
      <c r="E440" s="6"/>
      <c r="F440" s="22" t="s">
        <v>1762</v>
      </c>
      <c r="G440" s="7"/>
      <c r="H440" s="7"/>
      <c r="I440" s="7" t="s">
        <v>1763</v>
      </c>
      <c r="J440" s="6" t="s">
        <v>47</v>
      </c>
      <c r="K440" s="8"/>
      <c r="L440" s="8"/>
      <c r="M440" s="8"/>
      <c r="N440" s="9" t="str">
        <f t="shared" si="19"/>
        <v/>
      </c>
      <c r="O440" s="6"/>
      <c r="P440" s="6"/>
      <c r="Q440" s="6"/>
      <c r="R440" s="6"/>
      <c r="S440" s="6"/>
      <c r="T440" s="6"/>
    </row>
    <row r="441" ht="57" customHeight="1" spans="1:20">
      <c r="A441" s="10" t="s">
        <v>1262</v>
      </c>
      <c r="B441" s="10" t="s">
        <v>1764</v>
      </c>
      <c r="C441" s="10"/>
      <c r="D441" s="10" t="s">
        <v>1765</v>
      </c>
      <c r="E441" s="10" t="s">
        <v>1766</v>
      </c>
      <c r="F441" s="11" t="s">
        <v>1767</v>
      </c>
      <c r="G441" s="11" t="s">
        <v>1768</v>
      </c>
      <c r="H441" s="11" t="s">
        <v>1404</v>
      </c>
      <c r="I441" s="11"/>
      <c r="J441" s="10" t="s">
        <v>29</v>
      </c>
      <c r="K441" s="12">
        <v>2300000</v>
      </c>
      <c r="L441" s="13">
        <v>2400000</v>
      </c>
      <c r="M441" s="14">
        <v>2600000</v>
      </c>
      <c r="N441" s="9">
        <f t="shared" si="19"/>
        <v>2860000</v>
      </c>
      <c r="O441" s="10"/>
      <c r="P441" s="10"/>
      <c r="Q441" s="10"/>
      <c r="R441" s="10"/>
      <c r="S441" s="10"/>
      <c r="T441" s="10"/>
    </row>
    <row r="442" ht="71.25" customHeight="1" spans="1:20">
      <c r="A442" s="6" t="s">
        <v>1262</v>
      </c>
      <c r="B442" s="6" t="s">
        <v>1769</v>
      </c>
      <c r="C442" s="6" t="s">
        <v>1521</v>
      </c>
      <c r="D442" s="6"/>
      <c r="E442" s="6" t="s">
        <v>1770</v>
      </c>
      <c r="F442" s="7" t="s">
        <v>1771</v>
      </c>
      <c r="G442" s="7"/>
      <c r="H442" s="7"/>
      <c r="I442" s="7"/>
      <c r="J442" s="6" t="s">
        <v>1772</v>
      </c>
      <c r="K442" s="8"/>
      <c r="L442" s="8"/>
      <c r="M442" s="8"/>
      <c r="N442" s="9" t="str">
        <f t="shared" si="19"/>
        <v/>
      </c>
      <c r="O442" s="6"/>
      <c r="P442" s="6"/>
      <c r="Q442" s="6"/>
      <c r="R442" s="6"/>
      <c r="S442" s="6"/>
      <c r="T442" s="6"/>
    </row>
    <row r="443" ht="28.5" customHeight="1" spans="1:20">
      <c r="A443" s="10" t="s">
        <v>1262</v>
      </c>
      <c r="B443" s="10" t="s">
        <v>1773</v>
      </c>
      <c r="C443" s="10"/>
      <c r="D443" s="10" t="s">
        <v>1774</v>
      </c>
      <c r="E443" s="10" t="s">
        <v>1276</v>
      </c>
      <c r="F443" s="11" t="s">
        <v>1775</v>
      </c>
      <c r="G443" s="11"/>
      <c r="H443" s="11" t="s">
        <v>1776</v>
      </c>
      <c r="I443" s="11"/>
      <c r="J443" s="10" t="s">
        <v>29</v>
      </c>
      <c r="K443" s="12">
        <v>4500000</v>
      </c>
      <c r="L443" s="13">
        <v>4800000</v>
      </c>
      <c r="M443" s="14">
        <v>5100000</v>
      </c>
      <c r="N443" s="9">
        <f t="shared" si="19"/>
        <v>5610000</v>
      </c>
      <c r="O443" s="10"/>
      <c r="P443" s="10"/>
      <c r="Q443" s="10"/>
      <c r="R443" s="10"/>
      <c r="S443" s="10"/>
      <c r="T443" s="10"/>
    </row>
    <row r="444" ht="39" customHeight="1" spans="1:20">
      <c r="A444" s="6" t="s">
        <v>1262</v>
      </c>
      <c r="B444" s="6" t="s">
        <v>1777</v>
      </c>
      <c r="C444" s="6"/>
      <c r="D444" s="6" t="s">
        <v>1350</v>
      </c>
      <c r="E444" s="6" t="s">
        <v>1778</v>
      </c>
      <c r="F444" s="7" t="s">
        <v>1779</v>
      </c>
      <c r="G444" s="7" t="s">
        <v>1348</v>
      </c>
      <c r="H444" s="7"/>
      <c r="I444" s="7" t="s">
        <v>1780</v>
      </c>
      <c r="J444" s="6" t="s">
        <v>29</v>
      </c>
      <c r="K444" s="12">
        <v>2900000</v>
      </c>
      <c r="L444" s="13">
        <v>3100000</v>
      </c>
      <c r="M444" s="14">
        <v>3300000</v>
      </c>
      <c r="N444" s="9">
        <f t="shared" si="19"/>
        <v>3630000</v>
      </c>
      <c r="O444" s="6"/>
      <c r="P444" s="6"/>
      <c r="Q444" s="6"/>
      <c r="R444" s="6"/>
      <c r="S444" s="6"/>
      <c r="T444" s="6"/>
    </row>
    <row r="445" ht="42.75" customHeight="1" spans="1:20">
      <c r="A445" s="10" t="s">
        <v>1781</v>
      </c>
      <c r="B445" s="10" t="s">
        <v>1782</v>
      </c>
      <c r="C445" s="10"/>
      <c r="D445" s="10" t="s">
        <v>1783</v>
      </c>
      <c r="E445" s="10" t="s">
        <v>1784</v>
      </c>
      <c r="F445" s="11" t="s">
        <v>1785</v>
      </c>
      <c r="G445" s="11"/>
      <c r="H445" s="11" t="s">
        <v>1786</v>
      </c>
      <c r="I445" s="11"/>
      <c r="J445" s="10" t="s">
        <v>29</v>
      </c>
      <c r="K445" s="12">
        <v>5400000</v>
      </c>
      <c r="L445" s="13">
        <v>5750000</v>
      </c>
      <c r="M445" s="14">
        <v>6100000</v>
      </c>
      <c r="N445" s="9">
        <f t="shared" si="19"/>
        <v>6710000</v>
      </c>
      <c r="O445" s="10"/>
      <c r="P445" s="10"/>
      <c r="Q445" s="10"/>
      <c r="R445" s="10"/>
      <c r="S445" s="10"/>
      <c r="T445" s="10"/>
    </row>
    <row r="446" ht="27.75" customHeight="1" spans="1:20">
      <c r="A446" s="6" t="s">
        <v>1787</v>
      </c>
      <c r="B446" s="6" t="s">
        <v>1788</v>
      </c>
      <c r="C446" s="6"/>
      <c r="D446" s="6"/>
      <c r="E446" s="6"/>
      <c r="F446" s="22" t="s">
        <v>1789</v>
      </c>
      <c r="G446" s="7"/>
      <c r="H446" s="7"/>
      <c r="I446" s="7" t="s">
        <v>1790</v>
      </c>
      <c r="J446" s="6" t="s">
        <v>33</v>
      </c>
      <c r="K446" s="8"/>
      <c r="L446" s="8"/>
      <c r="M446" s="8"/>
      <c r="N446" s="9" t="str">
        <f t="shared" si="19"/>
        <v/>
      </c>
      <c r="O446" s="6"/>
      <c r="P446" s="6"/>
      <c r="Q446" s="6"/>
      <c r="R446" s="6"/>
      <c r="S446" s="6"/>
      <c r="T446" s="6"/>
    </row>
    <row r="447" ht="42.75" customHeight="1" spans="1:20">
      <c r="A447" s="10" t="s">
        <v>1787</v>
      </c>
      <c r="B447" s="10" t="s">
        <v>1791</v>
      </c>
      <c r="C447" s="10"/>
      <c r="D447" s="10" t="s">
        <v>577</v>
      </c>
      <c r="E447" s="10" t="s">
        <v>599</v>
      </c>
      <c r="F447" s="11" t="s">
        <v>1792</v>
      </c>
      <c r="G447" s="11" t="s">
        <v>1793</v>
      </c>
      <c r="H447" s="11"/>
      <c r="I447" s="11"/>
      <c r="J447" s="10" t="s">
        <v>47</v>
      </c>
      <c r="K447" s="12">
        <v>2900000</v>
      </c>
      <c r="L447" s="13">
        <v>3100000</v>
      </c>
      <c r="M447" s="14">
        <v>3300000</v>
      </c>
      <c r="N447" s="9">
        <f t="shared" si="19"/>
        <v>3630000</v>
      </c>
      <c r="O447" s="10"/>
      <c r="P447" s="10"/>
      <c r="Q447" s="10"/>
      <c r="R447" s="10"/>
      <c r="S447" s="10"/>
      <c r="T447" s="10"/>
    </row>
    <row r="448" ht="41.25" customHeight="1" spans="1:20">
      <c r="A448" s="6" t="s">
        <v>1787</v>
      </c>
      <c r="B448" s="6" t="s">
        <v>1794</v>
      </c>
      <c r="C448" s="6"/>
      <c r="D448" s="6"/>
      <c r="E448" s="6" t="s">
        <v>1795</v>
      </c>
      <c r="F448" s="7" t="s">
        <v>1796</v>
      </c>
      <c r="G448" s="7"/>
      <c r="H448" s="7" t="s">
        <v>1797</v>
      </c>
      <c r="I448" s="7"/>
      <c r="J448" s="6" t="s">
        <v>29</v>
      </c>
      <c r="K448" s="12">
        <v>3300000</v>
      </c>
      <c r="L448" s="13">
        <v>3500000</v>
      </c>
      <c r="M448" s="14">
        <v>3700000</v>
      </c>
      <c r="N448" s="9">
        <f t="shared" si="19"/>
        <v>4070000</v>
      </c>
      <c r="O448" s="6"/>
      <c r="P448" s="6"/>
      <c r="Q448" s="6"/>
      <c r="R448" s="6"/>
      <c r="S448" s="6"/>
      <c r="T448" s="6"/>
    </row>
    <row r="449" ht="27.75" customHeight="1" spans="1:21">
      <c r="A449" s="10" t="s">
        <v>1787</v>
      </c>
      <c r="B449" s="10" t="s">
        <v>1798</v>
      </c>
      <c r="C449" s="10"/>
      <c r="D449" s="10" t="s">
        <v>1252</v>
      </c>
      <c r="E449" s="10" t="s">
        <v>1799</v>
      </c>
      <c r="F449" s="11" t="s">
        <v>1254</v>
      </c>
      <c r="G449" s="11"/>
      <c r="H449" s="11" t="s">
        <v>1256</v>
      </c>
      <c r="I449" s="11"/>
      <c r="J449" s="10" t="s">
        <v>129</v>
      </c>
      <c r="K449" s="12">
        <v>2300000</v>
      </c>
      <c r="L449" s="13">
        <v>2450000</v>
      </c>
      <c r="M449" s="14">
        <v>2650000</v>
      </c>
      <c r="N449" s="9">
        <f t="shared" si="19"/>
        <v>2915000</v>
      </c>
      <c r="O449" s="10"/>
      <c r="P449" s="10"/>
      <c r="Q449" s="10"/>
      <c r="R449" s="10"/>
      <c r="S449" s="10"/>
      <c r="T449" s="10"/>
    </row>
    <row r="450" s="25" customFormat="1" ht="57" customHeight="1" spans="1:21">
      <c r="A450" s="6" t="s">
        <v>1787</v>
      </c>
      <c r="B450" s="6" t="s">
        <v>1800</v>
      </c>
      <c r="C450" s="6"/>
      <c r="D450" s="6"/>
      <c r="E450" s="6" t="s">
        <v>1801</v>
      </c>
      <c r="F450" s="7"/>
      <c r="G450" s="7"/>
      <c r="H450" s="7"/>
      <c r="I450" s="7"/>
      <c r="J450" s="6" t="s">
        <v>129</v>
      </c>
      <c r="K450" s="12">
        <v>2450000</v>
      </c>
      <c r="L450" s="13">
        <v>2600000</v>
      </c>
      <c r="M450" s="14">
        <v>2800000</v>
      </c>
      <c r="N450" s="9">
        <f t="shared" si="19"/>
        <v>3080000</v>
      </c>
      <c r="O450" s="6"/>
      <c r="P450" s="6"/>
      <c r="Q450" s="6"/>
      <c r="R450" s="6"/>
      <c r="S450" s="6"/>
      <c r="T450" s="6"/>
      <c r="U450" s="26"/>
    </row>
    <row r="451" s="25" customFormat="1" ht="28.5" customHeight="1" spans="1:21">
      <c r="A451" s="10" t="s">
        <v>1787</v>
      </c>
      <c r="B451" s="10" t="s">
        <v>1802</v>
      </c>
      <c r="C451" s="10"/>
      <c r="D451" s="10"/>
      <c r="E451" s="10" t="s">
        <v>1284</v>
      </c>
      <c r="F451" s="11" t="s">
        <v>1803</v>
      </c>
      <c r="G451" s="11"/>
      <c r="H451" s="11" t="s">
        <v>1268</v>
      </c>
      <c r="I451" s="11"/>
      <c r="J451" s="10" t="s">
        <v>33</v>
      </c>
      <c r="K451" s="12">
        <v>2700000</v>
      </c>
      <c r="L451" s="13">
        <v>2900000</v>
      </c>
      <c r="M451" s="14">
        <v>3100000</v>
      </c>
      <c r="N451" s="9">
        <f t="shared" si="19"/>
        <v>3410000</v>
      </c>
      <c r="O451" s="10"/>
      <c r="P451" s="10"/>
      <c r="Q451" s="10"/>
      <c r="R451" s="10"/>
      <c r="S451" s="10"/>
      <c r="T451" s="10"/>
      <c r="U451" s="26"/>
    </row>
    <row r="452" s="25" customFormat="1" ht="27.75" customHeight="1" spans="1:21">
      <c r="A452" s="6" t="s">
        <v>1787</v>
      </c>
      <c r="B452" s="6" t="s">
        <v>1804</v>
      </c>
      <c r="C452" s="6"/>
      <c r="D452" s="6" t="s">
        <v>1264</v>
      </c>
      <c r="E452" s="6"/>
      <c r="F452" s="7" t="s">
        <v>1805</v>
      </c>
      <c r="G452" s="7"/>
      <c r="H452" s="7"/>
      <c r="I452" s="7"/>
      <c r="J452" s="6" t="s">
        <v>33</v>
      </c>
      <c r="K452" s="8"/>
      <c r="L452" s="8"/>
      <c r="M452" s="8"/>
      <c r="N452" s="9" t="str">
        <f t="shared" si="19"/>
        <v/>
      </c>
      <c r="O452" s="6"/>
      <c r="P452" s="6"/>
      <c r="Q452" s="6"/>
      <c r="R452" s="6"/>
      <c r="S452" s="6"/>
      <c r="T452" s="6"/>
      <c r="U452" s="26"/>
    </row>
    <row r="453" s="25" customFormat="1" ht="26.25" customHeight="1" spans="1:21">
      <c r="A453" s="6" t="s">
        <v>636</v>
      </c>
      <c r="B453" s="6" t="s">
        <v>1806</v>
      </c>
      <c r="C453" s="6" t="s">
        <v>25</v>
      </c>
      <c r="D453" s="6" t="s">
        <v>1807</v>
      </c>
      <c r="E453" s="6" t="s">
        <v>712</v>
      </c>
      <c r="F453" s="7" t="s">
        <v>1808</v>
      </c>
      <c r="G453" s="7"/>
      <c r="H453" s="7" t="s">
        <v>1809</v>
      </c>
      <c r="I453" s="7"/>
      <c r="J453" s="6" t="s">
        <v>129</v>
      </c>
      <c r="K453" s="12">
        <v>3200000</v>
      </c>
      <c r="L453" s="13">
        <v>3400000</v>
      </c>
      <c r="M453" s="14">
        <v>3600000</v>
      </c>
      <c r="N453" s="9">
        <f t="shared" si="19"/>
        <v>3960000</v>
      </c>
      <c r="O453" s="6"/>
      <c r="P453" s="6"/>
      <c r="Q453" s="6"/>
      <c r="R453" s="6"/>
      <c r="S453" s="6"/>
      <c r="T453" s="6"/>
    </row>
    <row r="454" s="25" customFormat="1" customHeight="1" spans="1:21">
      <c r="A454" s="10" t="s">
        <v>1787</v>
      </c>
      <c r="B454" s="10" t="s">
        <v>1810</v>
      </c>
      <c r="C454" s="10"/>
      <c r="D454" s="10" t="s">
        <v>144</v>
      </c>
      <c r="E454" s="10" t="s">
        <v>1811</v>
      </c>
      <c r="F454" s="11" t="s">
        <v>1812</v>
      </c>
      <c r="G454" s="11"/>
      <c r="H454" s="11"/>
      <c r="I454" s="11"/>
      <c r="J454" s="10" t="s">
        <v>29</v>
      </c>
      <c r="K454" s="8"/>
      <c r="L454" s="8"/>
      <c r="M454" s="8"/>
      <c r="N454" s="9" t="str">
        <f t="shared" si="19"/>
        <v/>
      </c>
      <c r="O454" s="10"/>
      <c r="P454" s="10"/>
      <c r="Q454" s="10"/>
      <c r="R454" s="10"/>
      <c r="S454" s="10"/>
      <c r="T454" s="10"/>
    </row>
    <row r="455" ht="27.75" customHeight="1" spans="1:21">
      <c r="A455" s="6" t="s">
        <v>789</v>
      </c>
      <c r="B455" s="6" t="s">
        <v>1813</v>
      </c>
      <c r="C455" s="6" t="s">
        <v>35</v>
      </c>
      <c r="D455" s="6" t="s">
        <v>1814</v>
      </c>
      <c r="E455" s="6" t="s">
        <v>1815</v>
      </c>
      <c r="F455" s="7" t="s">
        <v>1816</v>
      </c>
      <c r="G455" s="7"/>
      <c r="H455" s="7" t="s">
        <v>1817</v>
      </c>
      <c r="I455" s="7"/>
      <c r="J455" s="6" t="s">
        <v>149</v>
      </c>
      <c r="K455" s="8"/>
      <c r="L455" s="8"/>
      <c r="M455" s="8"/>
      <c r="N455" s="9" t="str">
        <f t="shared" si="19"/>
        <v/>
      </c>
      <c r="O455" s="6"/>
      <c r="P455" s="6"/>
      <c r="Q455" s="6"/>
      <c r="R455" s="6"/>
      <c r="S455" s="6"/>
      <c r="T455" s="6"/>
    </row>
    <row r="456" ht="27.75" customHeight="1" spans="1:21">
      <c r="A456" s="10" t="s">
        <v>1787</v>
      </c>
      <c r="B456" s="10" t="s">
        <v>1818</v>
      </c>
      <c r="C456" s="10"/>
      <c r="D456" s="10" t="s">
        <v>1819</v>
      </c>
      <c r="E456" s="10" t="s">
        <v>1820</v>
      </c>
      <c r="F456" s="11" t="s">
        <v>1821</v>
      </c>
      <c r="G456" s="11"/>
      <c r="H456" s="11"/>
      <c r="I456" s="11"/>
      <c r="J456" s="10" t="s">
        <v>129</v>
      </c>
      <c r="K456" s="12">
        <v>3000000</v>
      </c>
      <c r="L456" s="13">
        <v>3200000</v>
      </c>
      <c r="M456" s="14">
        <v>3500000</v>
      </c>
      <c r="N456" s="9">
        <f t="shared" si="19"/>
        <v>3850000</v>
      </c>
      <c r="O456" s="10"/>
      <c r="P456" s="10"/>
      <c r="Q456" s="10"/>
      <c r="R456" s="10"/>
      <c r="S456" s="10"/>
      <c r="T456" s="10"/>
    </row>
    <row r="457" ht="27.75" customHeight="1" spans="1:21">
      <c r="A457" s="6" t="s">
        <v>1787</v>
      </c>
      <c r="B457" s="6" t="s">
        <v>1822</v>
      </c>
      <c r="C457" s="6"/>
      <c r="D457" s="6"/>
      <c r="E457" s="6" t="s">
        <v>1823</v>
      </c>
      <c r="F457" s="7" t="s">
        <v>1824</v>
      </c>
      <c r="G457" s="7" t="s">
        <v>1825</v>
      </c>
      <c r="H457" s="7" t="s">
        <v>1826</v>
      </c>
      <c r="I457" s="7"/>
      <c r="J457" s="6" t="s">
        <v>29</v>
      </c>
      <c r="K457" s="8"/>
      <c r="L457" s="8"/>
      <c r="M457" s="8"/>
      <c r="N457" s="9" t="str">
        <f t="shared" si="19"/>
        <v/>
      </c>
      <c r="O457" s="6"/>
      <c r="P457" s="6"/>
      <c r="Q457" s="6"/>
      <c r="R457" s="6"/>
      <c r="S457" s="6"/>
      <c r="T457" s="6"/>
    </row>
    <row r="458" ht="27.75" customHeight="1" spans="1:21">
      <c r="A458" s="10" t="s">
        <v>1827</v>
      </c>
      <c r="B458" s="10"/>
      <c r="C458" s="10"/>
      <c r="D458" s="10"/>
      <c r="E458" s="10"/>
      <c r="F458" s="11"/>
      <c r="G458" s="11"/>
      <c r="H458" s="11"/>
      <c r="I458" s="11"/>
      <c r="J458" s="10"/>
      <c r="K458" s="8"/>
      <c r="L458" s="8"/>
      <c r="M458" s="8"/>
      <c r="N458" s="9"/>
      <c r="O458" s="10"/>
      <c r="P458" s="10"/>
      <c r="Q458" s="10"/>
      <c r="R458" s="10"/>
      <c r="S458" s="10"/>
      <c r="T458" s="10"/>
    </row>
    <row r="459" ht="27.75" customHeight="1" spans="1:21">
      <c r="A459" s="6" t="s">
        <v>1828</v>
      </c>
      <c r="B459" s="6"/>
      <c r="C459" s="6" t="s">
        <v>25</v>
      </c>
      <c r="D459" s="6" t="s">
        <v>1829</v>
      </c>
      <c r="E459" s="6"/>
      <c r="F459" s="7" t="s">
        <v>1830</v>
      </c>
      <c r="G459" s="7"/>
      <c r="H459" s="7" t="s">
        <v>1831</v>
      </c>
      <c r="I459" s="7"/>
      <c r="J459" s="6"/>
      <c r="K459" s="8"/>
      <c r="L459" s="8"/>
      <c r="M459" s="8"/>
      <c r="N459" s="9"/>
      <c r="O459" s="6">
        <v>49</v>
      </c>
      <c r="P459" s="6">
        <v>36.3</v>
      </c>
      <c r="Q459" s="6" t="s">
        <v>99</v>
      </c>
      <c r="R459" s="6">
        <v>40.9</v>
      </c>
      <c r="S459" s="6">
        <v>35.6</v>
      </c>
      <c r="T459" s="6">
        <v>9</v>
      </c>
    </row>
    <row r="460" ht="86.25" customHeight="1" spans="1:21">
      <c r="A460" s="6" t="s">
        <v>188</v>
      </c>
      <c r="B460" s="6"/>
      <c r="C460" s="6" t="s">
        <v>190</v>
      </c>
      <c r="D460" s="6" t="s">
        <v>1832</v>
      </c>
      <c r="E460" s="6" t="s">
        <v>286</v>
      </c>
      <c r="F460" s="7" t="s">
        <v>1833</v>
      </c>
      <c r="G460" s="7"/>
      <c r="H460" s="7"/>
      <c r="I460" s="7" t="s">
        <v>1834</v>
      </c>
      <c r="J460" s="6"/>
      <c r="K460" s="8"/>
      <c r="L460" s="8"/>
      <c r="M460" s="8"/>
      <c r="N460" s="9"/>
      <c r="O460" s="6"/>
      <c r="P460" s="6"/>
      <c r="Q460" s="6"/>
      <c r="R460" s="6"/>
      <c r="S460" s="6"/>
      <c r="T460" s="6"/>
    </row>
    <row r="461" ht="42.75" customHeight="1" spans="1:21">
      <c r="A461" s="10" t="s">
        <v>188</v>
      </c>
      <c r="B461" s="10" t="s">
        <v>1835</v>
      </c>
      <c r="C461" s="10" t="s">
        <v>190</v>
      </c>
      <c r="D461" s="10" t="s">
        <v>286</v>
      </c>
      <c r="E461" s="10"/>
      <c r="F461" s="11" t="s">
        <v>1836</v>
      </c>
      <c r="G461" s="11"/>
      <c r="H461" s="11"/>
      <c r="I461" s="11"/>
      <c r="J461" s="10"/>
      <c r="K461" s="8"/>
      <c r="L461" s="8"/>
      <c r="M461" s="8"/>
      <c r="N461" s="9" t="str">
        <f>IF($M461="","",ROUND($M461*1.1,0))</f>
        <v/>
      </c>
      <c r="O461" s="10">
        <v>56</v>
      </c>
      <c r="P461" s="10">
        <v>38.4</v>
      </c>
      <c r="Q461" s="10" t="s">
        <v>99</v>
      </c>
      <c r="R461" s="10">
        <v>52</v>
      </c>
      <c r="S461" s="10">
        <v>45.6</v>
      </c>
      <c r="T461" s="10">
        <v>12</v>
      </c>
    </row>
    <row r="462" ht="42.75" customHeight="1" spans="1:21">
      <c r="A462" s="6" t="s">
        <v>188</v>
      </c>
      <c r="B462" s="6" t="s">
        <v>1837</v>
      </c>
      <c r="C462" s="6" t="s">
        <v>190</v>
      </c>
      <c r="D462" s="6" t="s">
        <v>252</v>
      </c>
      <c r="E462" s="6" t="s">
        <v>316</v>
      </c>
      <c r="F462" s="7" t="s">
        <v>1838</v>
      </c>
      <c r="G462" s="7"/>
      <c r="H462" s="7" t="s">
        <v>1839</v>
      </c>
      <c r="I462" s="7"/>
      <c r="J462" s="6"/>
      <c r="K462" s="8"/>
      <c r="L462" s="8"/>
      <c r="M462" s="8"/>
      <c r="N462" s="9" t="str">
        <f>IF($M462="","",ROUND($M462*1.1,0))</f>
        <v/>
      </c>
      <c r="O462" s="6">
        <v>83</v>
      </c>
      <c r="P462" s="6">
        <v>58</v>
      </c>
      <c r="Q462" s="6" t="s">
        <v>30</v>
      </c>
      <c r="R462" s="6">
        <v>76</v>
      </c>
      <c r="S462" s="6">
        <v>64</v>
      </c>
      <c r="T462" s="6">
        <v>12</v>
      </c>
    </row>
    <row r="463" ht="142.5" customHeight="1" spans="1:21">
      <c r="A463" s="10" t="s">
        <v>188</v>
      </c>
      <c r="B463" s="10"/>
      <c r="C463" s="10" t="s">
        <v>190</v>
      </c>
      <c r="D463" s="10" t="s">
        <v>252</v>
      </c>
      <c r="E463" s="10" t="s">
        <v>316</v>
      </c>
      <c r="F463" s="11" t="s">
        <v>1840</v>
      </c>
      <c r="G463" s="11"/>
      <c r="H463" s="11" t="s">
        <v>1839</v>
      </c>
      <c r="I463" s="11"/>
      <c r="J463" s="10"/>
      <c r="K463" s="8"/>
      <c r="L463" s="8"/>
      <c r="M463" s="8"/>
      <c r="N463" s="9"/>
      <c r="O463" s="10"/>
      <c r="P463" s="10"/>
      <c r="Q463" s="10"/>
      <c r="R463" s="10"/>
      <c r="S463" s="10"/>
      <c r="T463" s="10"/>
    </row>
    <row r="464" customHeight="1" spans="1:21">
      <c r="A464" s="6" t="s">
        <v>188</v>
      </c>
      <c r="B464" s="6"/>
      <c r="C464" s="6" t="s">
        <v>190</v>
      </c>
      <c r="D464" s="6" t="s">
        <v>246</v>
      </c>
      <c r="E464" s="6"/>
      <c r="F464" s="7" t="s">
        <v>1841</v>
      </c>
      <c r="G464" s="7"/>
      <c r="H464" s="7"/>
      <c r="I464" s="7"/>
      <c r="J464" s="6"/>
      <c r="K464" s="8"/>
      <c r="L464" s="8"/>
      <c r="M464" s="8"/>
      <c r="N464" s="9"/>
      <c r="O464" s="6"/>
      <c r="P464" s="6"/>
      <c r="Q464" s="6"/>
      <c r="R464" s="6"/>
      <c r="S464" s="6"/>
      <c r="T464" s="6"/>
    </row>
    <row r="465" ht="27.75" customHeight="1" spans="1:20">
      <c r="A465" s="6" t="s">
        <v>379</v>
      </c>
      <c r="B465" s="6" t="s">
        <v>1842</v>
      </c>
      <c r="C465" s="6" t="s">
        <v>61</v>
      </c>
      <c r="D465" s="6" t="s">
        <v>451</v>
      </c>
      <c r="E465" s="6" t="s">
        <v>457</v>
      </c>
      <c r="F465" s="7"/>
      <c r="G465" s="7"/>
      <c r="H465" s="7"/>
      <c r="I465" s="7"/>
      <c r="J465" s="6" t="s">
        <v>149</v>
      </c>
      <c r="K465" s="8"/>
      <c r="L465" s="8"/>
      <c r="M465" s="8"/>
      <c r="N465" s="9" t="str">
        <f>IF($M465="","",ROUND($M465*1.1,0))</f>
        <v/>
      </c>
      <c r="O465" s="6"/>
      <c r="P465" s="6"/>
      <c r="Q465" s="6"/>
      <c r="R465" s="6"/>
      <c r="S465" s="6"/>
      <c r="T465" s="6"/>
    </row>
    <row r="466" customHeight="1" spans="1:20">
      <c r="A466" s="6" t="s">
        <v>460</v>
      </c>
      <c r="B466" s="6" t="s">
        <v>1843</v>
      </c>
      <c r="C466" s="6" t="s">
        <v>25</v>
      </c>
      <c r="D466" s="6" t="s">
        <v>1844</v>
      </c>
      <c r="E466" s="6" t="s">
        <v>446</v>
      </c>
      <c r="F466" s="7" t="s">
        <v>1845</v>
      </c>
      <c r="G466" s="7"/>
      <c r="H466" s="7" t="s">
        <v>449</v>
      </c>
      <c r="I466" s="7"/>
      <c r="J466" s="6" t="s">
        <v>129</v>
      </c>
      <c r="K466" s="8"/>
      <c r="L466" s="8"/>
      <c r="M466" s="8"/>
      <c r="N466" s="9" t="str">
        <f>IF($M466="","",ROUND($M466*1.1,0))</f>
        <v/>
      </c>
      <c r="O466" s="6"/>
      <c r="P466" s="6"/>
      <c r="Q466" s="6"/>
      <c r="R466" s="6"/>
      <c r="S466" s="6"/>
      <c r="T466" s="6"/>
    </row>
    <row r="467" ht="142.5" customHeight="1" spans="1:20">
      <c r="A467" s="10" t="s">
        <v>460</v>
      </c>
      <c r="B467" s="10"/>
      <c r="C467" s="10" t="s">
        <v>25</v>
      </c>
      <c r="D467" s="10" t="s">
        <v>1846</v>
      </c>
      <c r="E467" s="10" t="s">
        <v>1847</v>
      </c>
      <c r="F467" s="11" t="s">
        <v>1848</v>
      </c>
      <c r="G467" s="11"/>
      <c r="H467" s="11"/>
      <c r="I467" s="11"/>
      <c r="J467" s="10"/>
      <c r="K467" s="8"/>
      <c r="L467" s="8"/>
      <c r="M467" s="8"/>
      <c r="N467" s="9"/>
      <c r="O467" s="10">
        <v>76.1</v>
      </c>
      <c r="P467" s="10">
        <v>52.8</v>
      </c>
      <c r="Q467" s="10" t="s">
        <v>99</v>
      </c>
      <c r="R467" s="10">
        <v>74.26</v>
      </c>
      <c r="S467" s="10">
        <v>64.6</v>
      </c>
      <c r="T467" s="10">
        <v>11</v>
      </c>
    </row>
    <row r="468" ht="42.75" customHeight="1" spans="1:20">
      <c r="A468" s="10" t="s">
        <v>1849</v>
      </c>
      <c r="B468" s="10"/>
      <c r="C468" s="10" t="s">
        <v>25</v>
      </c>
      <c r="D468" s="10" t="s">
        <v>339</v>
      </c>
      <c r="E468" s="10" t="s">
        <v>1850</v>
      </c>
      <c r="F468" s="11" t="s">
        <v>1851</v>
      </c>
      <c r="G468" s="11" t="s">
        <v>693</v>
      </c>
      <c r="H468" s="11" t="s">
        <v>1839</v>
      </c>
      <c r="I468" s="11" t="s">
        <v>1852</v>
      </c>
      <c r="J468" s="10"/>
      <c r="K468" s="8"/>
      <c r="L468" s="8"/>
      <c r="M468" s="8"/>
      <c r="N468" s="9"/>
      <c r="O468" s="10"/>
      <c r="P468" s="10"/>
      <c r="Q468" s="10"/>
      <c r="R468" s="10"/>
      <c r="S468" s="10"/>
      <c r="T468" s="10"/>
    </row>
    <row r="469" ht="42.75" customHeight="1" spans="1:20">
      <c r="A469" s="6" t="s">
        <v>490</v>
      </c>
      <c r="B469" s="6"/>
      <c r="C469" s="6"/>
      <c r="D469" s="6"/>
      <c r="E469" s="6" t="s">
        <v>523</v>
      </c>
      <c r="F469" s="7" t="s">
        <v>1853</v>
      </c>
      <c r="G469" s="7"/>
      <c r="H469" s="7" t="s">
        <v>1854</v>
      </c>
      <c r="I469" s="7" t="s">
        <v>1855</v>
      </c>
      <c r="J469" s="6"/>
      <c r="K469" s="8"/>
      <c r="L469" s="8"/>
      <c r="M469" s="8"/>
      <c r="N469" s="9"/>
      <c r="O469" s="6"/>
      <c r="P469" s="6"/>
      <c r="Q469" s="6"/>
      <c r="R469" s="6"/>
      <c r="S469" s="6"/>
      <c r="T469" s="6"/>
    </row>
    <row r="470" ht="28.5" customHeight="1" spans="1:20">
      <c r="A470" s="10" t="s">
        <v>490</v>
      </c>
      <c r="B470" s="10"/>
      <c r="C470" s="10"/>
      <c r="D470" s="10"/>
      <c r="E470" s="10" t="s">
        <v>1856</v>
      </c>
      <c r="F470" s="11" t="s">
        <v>1857</v>
      </c>
      <c r="G470" s="11" t="s">
        <v>869</v>
      </c>
      <c r="H470" s="11" t="s">
        <v>1858</v>
      </c>
      <c r="I470" s="11" t="s">
        <v>1859</v>
      </c>
      <c r="J470" s="10"/>
      <c r="K470" s="8"/>
      <c r="L470" s="8"/>
      <c r="M470" s="8"/>
      <c r="N470" s="9"/>
      <c r="O470" s="10"/>
      <c r="P470" s="10"/>
      <c r="Q470" s="10"/>
      <c r="R470" s="10"/>
      <c r="S470" s="10"/>
      <c r="T470" s="10"/>
    </row>
    <row r="471" ht="28.5" customHeight="1" spans="1:20">
      <c r="A471" s="10" t="s">
        <v>490</v>
      </c>
      <c r="B471" s="10" t="s">
        <v>1860</v>
      </c>
      <c r="C471" s="10" t="s">
        <v>35</v>
      </c>
      <c r="D471" s="10" t="s">
        <v>848</v>
      </c>
      <c r="E471" s="10"/>
      <c r="F471" s="11" t="s">
        <v>1861</v>
      </c>
      <c r="G471" s="11" t="s">
        <v>1862</v>
      </c>
      <c r="H471" s="11" t="s">
        <v>1863</v>
      </c>
      <c r="I471" s="11"/>
      <c r="J471" s="10"/>
      <c r="K471" s="8"/>
      <c r="L471" s="8"/>
      <c r="M471" s="8"/>
      <c r="N471" s="9" t="str">
        <f>IF($M471="","",ROUND($M471*1.1,0))</f>
        <v/>
      </c>
      <c r="O471" s="10">
        <v>44</v>
      </c>
      <c r="P471" s="10">
        <v>35.1</v>
      </c>
      <c r="Q471" s="10" t="s">
        <v>99</v>
      </c>
      <c r="R471" s="10">
        <v>40.2</v>
      </c>
      <c r="S471" s="10">
        <v>35.1</v>
      </c>
      <c r="T471" s="10">
        <v>11</v>
      </c>
    </row>
    <row r="472" ht="156.75" customHeight="1" spans="1:20">
      <c r="A472" s="6" t="s">
        <v>571</v>
      </c>
      <c r="B472" s="6" t="s">
        <v>1864</v>
      </c>
      <c r="C472" s="6" t="s">
        <v>85</v>
      </c>
      <c r="D472" s="6" t="s">
        <v>1599</v>
      </c>
      <c r="E472" s="6" t="s">
        <v>625</v>
      </c>
      <c r="F472" s="7" t="s">
        <v>1865</v>
      </c>
      <c r="G472" s="7"/>
      <c r="H472" s="7"/>
      <c r="I472" s="7" t="s">
        <v>1866</v>
      </c>
      <c r="J472" s="6" t="s">
        <v>33</v>
      </c>
      <c r="K472" s="12">
        <v>3200000</v>
      </c>
      <c r="L472" s="13">
        <v>3400000</v>
      </c>
      <c r="M472" s="14">
        <v>3600000</v>
      </c>
      <c r="N472" s="9">
        <f>IF($M472="","",ROUND($M472*1.1,0))</f>
        <v>3960000</v>
      </c>
      <c r="O472" s="6"/>
      <c r="P472" s="6"/>
      <c r="Q472" s="6"/>
      <c r="R472" s="6"/>
      <c r="S472" s="6"/>
      <c r="T472" s="6"/>
    </row>
    <row r="473" ht="27.75" customHeight="1" spans="1:20">
      <c r="A473" s="10" t="s">
        <v>571</v>
      </c>
      <c r="B473" s="10"/>
      <c r="C473" s="10" t="s">
        <v>85</v>
      </c>
      <c r="D473" s="10" t="s">
        <v>1867</v>
      </c>
      <c r="E473" s="10" t="s">
        <v>583</v>
      </c>
      <c r="F473" s="11" t="s">
        <v>1868</v>
      </c>
      <c r="G473" s="11"/>
      <c r="H473" s="11"/>
      <c r="I473" s="11"/>
      <c r="J473" s="10"/>
      <c r="K473" s="8"/>
      <c r="L473" s="8"/>
      <c r="M473" s="8"/>
      <c r="N473" s="9"/>
      <c r="O473" s="10"/>
      <c r="P473" s="10"/>
      <c r="Q473" s="10"/>
      <c r="R473" s="10"/>
      <c r="S473" s="10"/>
      <c r="T473" s="10"/>
    </row>
    <row r="474" ht="27.75" customHeight="1" spans="1:20">
      <c r="A474" s="6" t="s">
        <v>636</v>
      </c>
      <c r="B474" s="6"/>
      <c r="C474" s="6" t="s">
        <v>85</v>
      </c>
      <c r="D474" s="6" t="s">
        <v>144</v>
      </c>
      <c r="E474" s="6" t="s">
        <v>1869</v>
      </c>
      <c r="F474" s="7" t="s">
        <v>1870</v>
      </c>
      <c r="G474" s="7"/>
      <c r="H474" s="7" t="s">
        <v>1871</v>
      </c>
      <c r="I474" s="7"/>
      <c r="J474" s="6"/>
      <c r="K474" s="8"/>
      <c r="L474" s="8"/>
      <c r="M474" s="8"/>
      <c r="N474" s="9"/>
      <c r="O474" s="6"/>
      <c r="P474" s="6"/>
      <c r="Q474" s="6"/>
      <c r="R474" s="6"/>
      <c r="S474" s="6"/>
      <c r="T474" s="6"/>
    </row>
    <row r="475" ht="27.75" customHeight="1" spans="1:20">
      <c r="A475" s="10" t="s">
        <v>636</v>
      </c>
      <c r="B475" s="10"/>
      <c r="C475" s="10" t="s">
        <v>85</v>
      </c>
      <c r="D475" s="10" t="s">
        <v>144</v>
      </c>
      <c r="E475" s="10" t="s">
        <v>1795</v>
      </c>
      <c r="F475" s="11" t="s">
        <v>1872</v>
      </c>
      <c r="G475" s="11" t="s">
        <v>1550</v>
      </c>
      <c r="H475" s="11" t="s">
        <v>1797</v>
      </c>
      <c r="I475" s="11"/>
      <c r="J475" s="10"/>
      <c r="K475" s="8"/>
      <c r="L475" s="8"/>
      <c r="M475" s="8"/>
      <c r="N475" s="9"/>
      <c r="O475" s="10">
        <v>77.6</v>
      </c>
      <c r="P475" s="10">
        <v>59</v>
      </c>
      <c r="Q475" s="10" t="s">
        <v>99</v>
      </c>
      <c r="R475" s="10">
        <v>74</v>
      </c>
      <c r="S475" s="10">
        <v>67</v>
      </c>
      <c r="T475" s="10">
        <v>11</v>
      </c>
    </row>
    <row r="476" ht="28.5" customHeight="1" spans="1:20">
      <c r="A476" s="6" t="s">
        <v>636</v>
      </c>
      <c r="B476" s="6"/>
      <c r="C476" s="6" t="s">
        <v>85</v>
      </c>
      <c r="D476" s="6" t="s">
        <v>1873</v>
      </c>
      <c r="E476" s="6" t="s">
        <v>1874</v>
      </c>
      <c r="F476" s="7" t="s">
        <v>1875</v>
      </c>
      <c r="G476" s="7" t="s">
        <v>869</v>
      </c>
      <c r="H476" s="7" t="s">
        <v>1876</v>
      </c>
      <c r="I476" s="7" t="s">
        <v>1877</v>
      </c>
      <c r="J476" s="6"/>
      <c r="K476" s="8"/>
      <c r="L476" s="8"/>
      <c r="M476" s="8"/>
      <c r="N476" s="9"/>
      <c r="O476" s="6"/>
      <c r="P476" s="6"/>
      <c r="Q476" s="6"/>
      <c r="R476" s="6"/>
      <c r="S476" s="6"/>
      <c r="T476" s="6"/>
    </row>
    <row r="477" ht="29.25" customHeight="1" spans="1:20">
      <c r="A477" s="10" t="s">
        <v>789</v>
      </c>
      <c r="B477" s="10"/>
      <c r="C477" s="10" t="s">
        <v>61</v>
      </c>
      <c r="D477" s="10" t="s">
        <v>858</v>
      </c>
      <c r="E477" s="10" t="s">
        <v>1878</v>
      </c>
      <c r="F477" s="11" t="s">
        <v>1879</v>
      </c>
      <c r="G477" s="11"/>
      <c r="H477" s="11" t="s">
        <v>1880</v>
      </c>
      <c r="I477" s="11" t="s">
        <v>1859</v>
      </c>
      <c r="J477" s="10"/>
      <c r="K477" s="8"/>
      <c r="L477" s="8"/>
      <c r="M477" s="8"/>
      <c r="N477" s="9"/>
      <c r="O477" s="10">
        <v>53</v>
      </c>
      <c r="P477" s="10">
        <v>37.9</v>
      </c>
      <c r="Q477" s="10" t="s">
        <v>99</v>
      </c>
      <c r="R477" s="10">
        <v>42.5</v>
      </c>
      <c r="S477" s="10">
        <v>39.1</v>
      </c>
      <c r="T477" s="10">
        <v>9</v>
      </c>
    </row>
    <row r="478" ht="28.5" customHeight="1" spans="1:20">
      <c r="A478" s="6" t="s">
        <v>789</v>
      </c>
      <c r="B478" s="6"/>
      <c r="C478" s="6" t="s">
        <v>25</v>
      </c>
      <c r="D478" s="6" t="s">
        <v>1881</v>
      </c>
      <c r="E478" s="6"/>
      <c r="F478" s="7" t="s">
        <v>1882</v>
      </c>
      <c r="G478" s="7"/>
      <c r="H478" s="7" t="s">
        <v>1883</v>
      </c>
      <c r="I478" s="7" t="s">
        <v>1859</v>
      </c>
      <c r="J478" s="6"/>
      <c r="K478" s="8"/>
      <c r="L478" s="8"/>
      <c r="M478" s="8"/>
      <c r="N478" s="9"/>
      <c r="O478" s="6"/>
      <c r="P478" s="6"/>
      <c r="Q478" s="6"/>
      <c r="R478" s="6"/>
      <c r="S478" s="6"/>
      <c r="T478" s="6"/>
    </row>
    <row r="479" ht="256.5" customHeight="1" spans="1:20">
      <c r="A479" s="10" t="s">
        <v>789</v>
      </c>
      <c r="B479" s="10"/>
      <c r="C479" s="10" t="s">
        <v>25</v>
      </c>
      <c r="D479" s="10" t="s">
        <v>1884</v>
      </c>
      <c r="E479" s="10"/>
      <c r="F479" s="11" t="s">
        <v>1885</v>
      </c>
      <c r="G479" s="11"/>
      <c r="H479" s="11"/>
      <c r="I479" s="11" t="s">
        <v>1859</v>
      </c>
      <c r="J479" s="10"/>
      <c r="K479" s="8"/>
      <c r="L479" s="8"/>
      <c r="M479" s="8"/>
      <c r="N479" s="9"/>
      <c r="O479" s="10">
        <v>44</v>
      </c>
      <c r="P479" s="10">
        <v>31</v>
      </c>
      <c r="Q479" s="10" t="s">
        <v>99</v>
      </c>
      <c r="R479" s="10">
        <v>38.9</v>
      </c>
      <c r="S479" s="10">
        <v>33</v>
      </c>
      <c r="T479" s="10" t="s">
        <v>597</v>
      </c>
    </row>
    <row r="480" ht="128.25" customHeight="1" spans="1:20">
      <c r="A480" s="6" t="s">
        <v>789</v>
      </c>
      <c r="B480" s="6"/>
      <c r="C480" s="6" t="s">
        <v>85</v>
      </c>
      <c r="D480" s="6" t="s">
        <v>1886</v>
      </c>
      <c r="E480" s="6"/>
      <c r="F480" s="7" t="s">
        <v>1887</v>
      </c>
      <c r="G480" s="7"/>
      <c r="H480" s="7" t="s">
        <v>1888</v>
      </c>
      <c r="I480" s="7" t="s">
        <v>1859</v>
      </c>
      <c r="J480" s="6"/>
      <c r="K480" s="8"/>
      <c r="L480" s="8"/>
      <c r="M480" s="8"/>
      <c r="N480" s="9"/>
      <c r="O480" s="6"/>
      <c r="P480" s="6"/>
      <c r="Q480" s="6"/>
      <c r="R480" s="6"/>
      <c r="S480" s="6"/>
      <c r="T480" s="6"/>
    </row>
    <row r="481" ht="28.5" customHeight="1" spans="1:20">
      <c r="A481" s="10" t="s">
        <v>789</v>
      </c>
      <c r="B481" s="10" t="s">
        <v>1889</v>
      </c>
      <c r="C481" s="10" t="s">
        <v>85</v>
      </c>
      <c r="D481" s="10" t="s">
        <v>1886</v>
      </c>
      <c r="E481" s="10"/>
      <c r="F481" s="11" t="s">
        <v>1887</v>
      </c>
      <c r="G481" s="11"/>
      <c r="H481" s="11" t="s">
        <v>1890</v>
      </c>
      <c r="I481" s="11"/>
      <c r="J481" s="10" t="s">
        <v>129</v>
      </c>
      <c r="K481" s="12">
        <v>3000000</v>
      </c>
      <c r="L481" s="13">
        <v>3200000</v>
      </c>
      <c r="M481" s="14">
        <v>3400000</v>
      </c>
      <c r="N481" s="9">
        <f>IF($M481="","",ROUND($M481*1.1,0))</f>
        <v>3740000</v>
      </c>
      <c r="O481" s="10"/>
      <c r="P481" s="10"/>
      <c r="Q481" s="10"/>
      <c r="R481" s="10"/>
      <c r="S481" s="10"/>
      <c r="T481" s="10"/>
    </row>
    <row r="482" ht="26.25" customHeight="1" spans="1:20">
      <c r="A482" s="6" t="s">
        <v>789</v>
      </c>
      <c r="B482" s="6"/>
      <c r="C482" s="6" t="s">
        <v>85</v>
      </c>
      <c r="D482" s="6" t="s">
        <v>1891</v>
      </c>
      <c r="E482" s="6" t="s">
        <v>1892</v>
      </c>
      <c r="F482" s="7" t="s">
        <v>1893</v>
      </c>
      <c r="G482" s="7"/>
      <c r="H482" s="7" t="s">
        <v>1894</v>
      </c>
      <c r="I482" s="7" t="s">
        <v>1859</v>
      </c>
      <c r="J482" s="6"/>
      <c r="K482" s="8"/>
      <c r="L482" s="8"/>
      <c r="M482" s="8"/>
      <c r="N482" s="9"/>
      <c r="O482" s="6">
        <v>52.5</v>
      </c>
      <c r="P482" s="6">
        <v>38.7</v>
      </c>
      <c r="Q482" s="6" t="s">
        <v>99</v>
      </c>
      <c r="R482" s="6">
        <v>44.6</v>
      </c>
      <c r="S482" s="6">
        <v>41.6</v>
      </c>
      <c r="T482" s="6">
        <v>9</v>
      </c>
    </row>
    <row r="483" ht="28.5" customHeight="1" spans="1:20">
      <c r="A483" s="10" t="s">
        <v>789</v>
      </c>
      <c r="B483" s="10" t="s">
        <v>1895</v>
      </c>
      <c r="C483" s="10" t="s">
        <v>35</v>
      </c>
      <c r="D483" s="10" t="s">
        <v>838</v>
      </c>
      <c r="E483" s="10" t="s">
        <v>839</v>
      </c>
      <c r="F483" s="11"/>
      <c r="G483" s="11"/>
      <c r="H483" s="11"/>
      <c r="I483" s="11"/>
      <c r="J483" s="10" t="s">
        <v>129</v>
      </c>
      <c r="K483" s="12">
        <v>2800000</v>
      </c>
      <c r="L483" s="13">
        <v>3000000</v>
      </c>
      <c r="M483" s="14">
        <v>3200000</v>
      </c>
      <c r="N483" s="9">
        <f>IF($M483="","",ROUND($M483*1.1,0))</f>
        <v>3520000</v>
      </c>
      <c r="O483" s="10"/>
      <c r="P483" s="10"/>
      <c r="Q483" s="10"/>
      <c r="R483" s="10"/>
      <c r="S483" s="10"/>
      <c r="T483" s="10"/>
    </row>
    <row r="484" ht="28.5" customHeight="1" spans="1:20">
      <c r="A484" s="6" t="s">
        <v>789</v>
      </c>
      <c r="B484" s="6" t="s">
        <v>1896</v>
      </c>
      <c r="C484" s="6" t="s">
        <v>35</v>
      </c>
      <c r="D484" s="6" t="s">
        <v>1897</v>
      </c>
      <c r="E484" s="6" t="s">
        <v>1898</v>
      </c>
      <c r="F484" s="7" t="s">
        <v>1899</v>
      </c>
      <c r="G484" s="7"/>
      <c r="H484" s="7" t="s">
        <v>1900</v>
      </c>
      <c r="I484" s="7"/>
      <c r="J484" s="6" t="s">
        <v>129</v>
      </c>
      <c r="K484" s="12">
        <v>2500000</v>
      </c>
      <c r="L484" s="13">
        <v>2650000</v>
      </c>
      <c r="M484" s="14">
        <v>2800000</v>
      </c>
      <c r="N484" s="9">
        <f>IF($M484="","",ROUND($M484*1.1,0))</f>
        <v>3080000</v>
      </c>
      <c r="O484" s="6"/>
      <c r="P484" s="6"/>
      <c r="Q484" s="6"/>
      <c r="R484" s="6"/>
      <c r="S484" s="6"/>
      <c r="T484" s="6"/>
    </row>
    <row r="485" ht="43.5" customHeight="1" spans="1:20">
      <c r="A485" s="10" t="s">
        <v>789</v>
      </c>
      <c r="B485" s="10"/>
      <c r="C485" s="10" t="s">
        <v>35</v>
      </c>
      <c r="D485" s="10" t="s">
        <v>1901</v>
      </c>
      <c r="E485" s="10" t="s">
        <v>1902</v>
      </c>
      <c r="F485" s="11" t="s">
        <v>986</v>
      </c>
      <c r="G485" s="11"/>
      <c r="H485" s="11" t="s">
        <v>1903</v>
      </c>
      <c r="I485" s="11" t="s">
        <v>1859</v>
      </c>
      <c r="J485" s="10"/>
      <c r="K485" s="8"/>
      <c r="L485" s="8"/>
      <c r="M485" s="8"/>
      <c r="N485" s="9"/>
      <c r="O485" s="10">
        <v>60</v>
      </c>
      <c r="P485" s="10">
        <v>42.5</v>
      </c>
      <c r="Q485" s="10" t="s">
        <v>99</v>
      </c>
      <c r="R485" s="10">
        <v>56</v>
      </c>
      <c r="S485" s="10">
        <v>49</v>
      </c>
      <c r="T485" s="10">
        <v>12</v>
      </c>
    </row>
    <row r="486" ht="42.75" customHeight="1" spans="1:20">
      <c r="A486" s="6" t="s">
        <v>789</v>
      </c>
      <c r="B486" s="6" t="s">
        <v>1904</v>
      </c>
      <c r="C486" s="6" t="s">
        <v>35</v>
      </c>
      <c r="D486" s="6" t="s">
        <v>832</v>
      </c>
      <c r="E486" s="6" t="s">
        <v>1905</v>
      </c>
      <c r="F486" s="7" t="s">
        <v>1906</v>
      </c>
      <c r="G486" s="7"/>
      <c r="H486" s="7" t="s">
        <v>1900</v>
      </c>
      <c r="I486" s="7"/>
      <c r="J486" s="6" t="s">
        <v>47</v>
      </c>
      <c r="K486" s="12">
        <v>2500000</v>
      </c>
      <c r="L486" s="13">
        <v>2650000</v>
      </c>
      <c r="M486" s="14">
        <v>2800000</v>
      </c>
      <c r="N486" s="9">
        <f>IF($M486="","",ROUND($M486*1.1,0))</f>
        <v>3080000</v>
      </c>
      <c r="O486" s="6"/>
      <c r="P486" s="6"/>
      <c r="Q486" s="6"/>
      <c r="R486" s="6"/>
      <c r="S486" s="6"/>
      <c r="T486" s="6"/>
    </row>
    <row r="487" ht="41.25" customHeight="1" spans="1:20">
      <c r="A487" s="6" t="s">
        <v>789</v>
      </c>
      <c r="B487" s="6"/>
      <c r="C487" s="6" t="s">
        <v>35</v>
      </c>
      <c r="D487" s="6" t="s">
        <v>982</v>
      </c>
      <c r="E487" s="6" t="s">
        <v>814</v>
      </c>
      <c r="F487" s="7" t="s">
        <v>1907</v>
      </c>
      <c r="G487" s="7"/>
      <c r="H487" s="7" t="s">
        <v>1908</v>
      </c>
      <c r="I487" s="7" t="s">
        <v>1859</v>
      </c>
      <c r="J487" s="6"/>
      <c r="K487" s="8"/>
      <c r="L487" s="8"/>
      <c r="M487" s="8"/>
      <c r="N487" s="9"/>
      <c r="O487" s="6">
        <v>49</v>
      </c>
      <c r="P487" s="6">
        <v>35.5</v>
      </c>
      <c r="Q487" s="6" t="s">
        <v>99</v>
      </c>
      <c r="R487" s="6">
        <v>42.7</v>
      </c>
      <c r="S487" s="6">
        <v>36</v>
      </c>
      <c r="T487" s="6">
        <v>11</v>
      </c>
    </row>
    <row r="488" ht="42.75" customHeight="1" spans="1:20">
      <c r="A488" s="10" t="s">
        <v>789</v>
      </c>
      <c r="B488" s="10" t="s">
        <v>1909</v>
      </c>
      <c r="C488" s="10" t="s">
        <v>35</v>
      </c>
      <c r="D488" s="10" t="s">
        <v>809</v>
      </c>
      <c r="E488" s="10" t="s">
        <v>814</v>
      </c>
      <c r="F488" s="11"/>
      <c r="G488" s="11"/>
      <c r="H488" s="11" t="s">
        <v>812</v>
      </c>
      <c r="I488" s="11"/>
      <c r="J488" s="10" t="s">
        <v>129</v>
      </c>
      <c r="K488" s="12">
        <v>2600000</v>
      </c>
      <c r="L488" s="13">
        <v>2800000</v>
      </c>
      <c r="M488" s="14">
        <v>3000000</v>
      </c>
      <c r="N488" s="9">
        <f>IF($M488="","",ROUND($M488*1.1,0))</f>
        <v>3300000</v>
      </c>
      <c r="O488" s="10"/>
      <c r="P488" s="10"/>
      <c r="Q488" s="10"/>
      <c r="R488" s="10"/>
      <c r="S488" s="10"/>
      <c r="T488" s="10"/>
    </row>
    <row r="489" ht="27.75" customHeight="1" spans="1:20">
      <c r="A489" s="6" t="s">
        <v>789</v>
      </c>
      <c r="B489" s="6" t="s">
        <v>1910</v>
      </c>
      <c r="C489" s="6" t="s">
        <v>35</v>
      </c>
      <c r="D489" s="6" t="s">
        <v>805</v>
      </c>
      <c r="E489" s="6" t="s">
        <v>814</v>
      </c>
      <c r="F489" s="7"/>
      <c r="G489" s="7"/>
      <c r="H489" s="7" t="s">
        <v>1911</v>
      </c>
      <c r="I489" s="7"/>
      <c r="J489" s="6" t="s">
        <v>33</v>
      </c>
      <c r="K489" s="12">
        <v>2650000</v>
      </c>
      <c r="L489" s="13">
        <v>2850000</v>
      </c>
      <c r="M489" s="14">
        <v>3000000</v>
      </c>
      <c r="N489" s="9">
        <f>IF($M489="","",ROUND($M489*1.1,0))</f>
        <v>3300000</v>
      </c>
      <c r="O489" s="6"/>
      <c r="P489" s="6"/>
      <c r="Q489" s="6"/>
      <c r="R489" s="6"/>
      <c r="S489" s="6"/>
      <c r="T489" s="6"/>
    </row>
    <row r="490" ht="28.5" customHeight="1" spans="1:20">
      <c r="A490" s="10" t="s">
        <v>702</v>
      </c>
      <c r="B490" s="10" t="s">
        <v>1912</v>
      </c>
      <c r="C490" s="10" t="s">
        <v>25</v>
      </c>
      <c r="D490" s="10" t="s">
        <v>1913</v>
      </c>
      <c r="E490" s="10" t="s">
        <v>1914</v>
      </c>
      <c r="F490" s="11"/>
      <c r="G490" s="11" t="s">
        <v>1915</v>
      </c>
      <c r="H490" s="11" t="s">
        <v>1916</v>
      </c>
      <c r="I490" s="11"/>
      <c r="J490" s="10" t="s">
        <v>33</v>
      </c>
      <c r="K490" s="12">
        <v>3050000</v>
      </c>
      <c r="L490" s="13">
        <v>3250000</v>
      </c>
      <c r="M490" s="14">
        <v>3450000</v>
      </c>
      <c r="N490" s="9">
        <f>IF($M490="","",ROUND($M490*1.1,0))</f>
        <v>3795000</v>
      </c>
      <c r="O490" s="10"/>
      <c r="P490" s="10"/>
      <c r="Q490" s="10"/>
      <c r="R490" s="10"/>
      <c r="S490" s="10"/>
      <c r="T490" s="10"/>
    </row>
    <row r="491" ht="28.5" customHeight="1" spans="1:20">
      <c r="A491" s="6" t="s">
        <v>702</v>
      </c>
      <c r="B491" s="6" t="s">
        <v>1917</v>
      </c>
      <c r="C491" s="6" t="s">
        <v>85</v>
      </c>
      <c r="D491" s="6" t="s">
        <v>144</v>
      </c>
      <c r="E491" s="6"/>
      <c r="F491" s="7"/>
      <c r="G491" s="7"/>
      <c r="H491" s="7" t="s">
        <v>1031</v>
      </c>
      <c r="I491" s="7"/>
      <c r="J491" s="6" t="s">
        <v>29</v>
      </c>
      <c r="K491" s="12">
        <v>5000000</v>
      </c>
      <c r="L491" s="13">
        <v>5300000</v>
      </c>
      <c r="M491" s="14">
        <v>5500000</v>
      </c>
      <c r="N491" s="9">
        <f>IF($M491="","",ROUND($M491*1.1,0))</f>
        <v>6050000</v>
      </c>
      <c r="O491" s="6"/>
      <c r="P491" s="6"/>
      <c r="Q491" s="6"/>
      <c r="R491" s="6"/>
      <c r="S491" s="6"/>
      <c r="T491" s="6"/>
    </row>
    <row r="492" ht="27.75" customHeight="1" spans="1:20">
      <c r="A492" s="10" t="s">
        <v>702</v>
      </c>
      <c r="B492" s="10"/>
      <c r="C492" s="10" t="s">
        <v>85</v>
      </c>
      <c r="D492" s="10" t="s">
        <v>86</v>
      </c>
      <c r="E492" s="10" t="s">
        <v>1918</v>
      </c>
      <c r="F492" s="11" t="s">
        <v>1130</v>
      </c>
      <c r="G492" s="11" t="s">
        <v>647</v>
      </c>
      <c r="H492" s="11"/>
      <c r="I492" s="11" t="s">
        <v>1859</v>
      </c>
      <c r="J492" s="10"/>
      <c r="K492" s="8"/>
      <c r="L492" s="8"/>
      <c r="M492" s="8"/>
      <c r="N492" s="9"/>
      <c r="O492" s="10">
        <v>47</v>
      </c>
      <c r="P492" s="10">
        <v>35.3</v>
      </c>
      <c r="Q492" s="10" t="s">
        <v>99</v>
      </c>
      <c r="R492" s="10">
        <v>44.3</v>
      </c>
      <c r="S492" s="10">
        <v>37.7</v>
      </c>
      <c r="T492" s="10">
        <v>8</v>
      </c>
    </row>
    <row r="493" ht="28.5" customHeight="1" spans="1:20">
      <c r="A493" s="6" t="s">
        <v>702</v>
      </c>
      <c r="B493" s="6" t="s">
        <v>1919</v>
      </c>
      <c r="C493" s="6" t="s">
        <v>85</v>
      </c>
      <c r="D493" s="6" t="s">
        <v>86</v>
      </c>
      <c r="E493" s="6" t="s">
        <v>1042</v>
      </c>
      <c r="F493" s="7"/>
      <c r="G493" s="7" t="s">
        <v>1148</v>
      </c>
      <c r="H493" s="7" t="s">
        <v>1920</v>
      </c>
      <c r="I493" s="7"/>
      <c r="J493" s="6" t="s">
        <v>33</v>
      </c>
      <c r="K493" s="12">
        <v>2550000</v>
      </c>
      <c r="L493" s="13">
        <v>2650000</v>
      </c>
      <c r="M493" s="14">
        <v>2850000</v>
      </c>
      <c r="N493" s="9">
        <f>IF($M493="","",ROUND($M493*1.1,0))</f>
        <v>3135000</v>
      </c>
      <c r="O493" s="6"/>
      <c r="P493" s="6"/>
      <c r="Q493" s="6"/>
      <c r="R493" s="6"/>
      <c r="S493" s="6"/>
      <c r="T493" s="6"/>
    </row>
    <row r="494" ht="27.75" customHeight="1" spans="1:20">
      <c r="A494" s="10" t="s">
        <v>702</v>
      </c>
      <c r="B494" s="10"/>
      <c r="C494" s="10" t="s">
        <v>85</v>
      </c>
      <c r="D494" s="10" t="s">
        <v>678</v>
      </c>
      <c r="E494" s="10" t="s">
        <v>1003</v>
      </c>
      <c r="F494" s="11" t="s">
        <v>1921</v>
      </c>
      <c r="G494" s="11"/>
      <c r="H494" s="11" t="s">
        <v>1922</v>
      </c>
      <c r="I494" s="11"/>
      <c r="J494" s="10"/>
      <c r="K494" s="8"/>
      <c r="L494" s="8"/>
      <c r="M494" s="8"/>
      <c r="N494" s="9"/>
      <c r="O494" s="10"/>
      <c r="P494" s="10"/>
      <c r="Q494" s="10"/>
      <c r="R494" s="10"/>
      <c r="S494" s="10"/>
      <c r="T494" s="10"/>
    </row>
    <row r="495" ht="28.5" customHeight="1" spans="1:20">
      <c r="A495" s="6" t="s">
        <v>702</v>
      </c>
      <c r="B495" s="6"/>
      <c r="C495" s="6" t="s">
        <v>85</v>
      </c>
      <c r="D495" s="6" t="s">
        <v>670</v>
      </c>
      <c r="E495" s="6" t="s">
        <v>1923</v>
      </c>
      <c r="F495" s="7" t="s">
        <v>1924</v>
      </c>
      <c r="G495" s="7" t="s">
        <v>1925</v>
      </c>
      <c r="H495" s="7" t="s">
        <v>1031</v>
      </c>
      <c r="I495" s="7" t="s">
        <v>1855</v>
      </c>
      <c r="J495" s="6"/>
      <c r="K495" s="8"/>
      <c r="L495" s="8"/>
      <c r="M495" s="8"/>
      <c r="N495" s="9"/>
      <c r="O495" s="6">
        <v>60</v>
      </c>
      <c r="P495" s="6">
        <v>45</v>
      </c>
      <c r="Q495" s="6" t="s">
        <v>90</v>
      </c>
      <c r="R495" s="6">
        <v>56</v>
      </c>
      <c r="S495" s="6">
        <v>50</v>
      </c>
      <c r="T495" s="6">
        <v>11</v>
      </c>
    </row>
    <row r="496" ht="41.25" customHeight="1" spans="1:20">
      <c r="A496" s="10" t="s">
        <v>1165</v>
      </c>
      <c r="B496" s="10"/>
      <c r="C496" s="10" t="s">
        <v>35</v>
      </c>
      <c r="D496" s="10" t="s">
        <v>1926</v>
      </c>
      <c r="E496" s="10" t="s">
        <v>1927</v>
      </c>
      <c r="F496" s="11" t="s">
        <v>1928</v>
      </c>
      <c r="G496" s="11"/>
      <c r="H496" s="11" t="s">
        <v>1929</v>
      </c>
      <c r="I496" s="11" t="s">
        <v>1855</v>
      </c>
      <c r="J496" s="10"/>
      <c r="K496" s="8"/>
      <c r="L496" s="8"/>
      <c r="M496" s="8"/>
      <c r="N496" s="9"/>
      <c r="O496" s="10"/>
      <c r="P496" s="10"/>
      <c r="Q496" s="10"/>
      <c r="R496" s="10"/>
      <c r="S496" s="10"/>
      <c r="T496" s="10"/>
    </row>
    <row r="497" ht="28.5" customHeight="1" spans="1:20">
      <c r="A497" s="6" t="s">
        <v>1165</v>
      </c>
      <c r="B497" s="6"/>
      <c r="C497" s="6" t="s">
        <v>35</v>
      </c>
      <c r="D497" s="6" t="s">
        <v>1930</v>
      </c>
      <c r="E497" s="6" t="s">
        <v>1931</v>
      </c>
      <c r="F497" s="7" t="s">
        <v>1932</v>
      </c>
      <c r="G497" s="7" t="s">
        <v>1933</v>
      </c>
      <c r="H497" s="7" t="s">
        <v>1934</v>
      </c>
      <c r="I497" s="7" t="s">
        <v>1935</v>
      </c>
      <c r="J497" s="6"/>
      <c r="K497" s="8"/>
      <c r="L497" s="8"/>
      <c r="M497" s="8"/>
      <c r="N497" s="9"/>
      <c r="O497" s="6"/>
      <c r="P497" s="6"/>
      <c r="Q497" s="6"/>
      <c r="R497" s="6"/>
      <c r="S497" s="6"/>
      <c r="T497" s="6"/>
    </row>
    <row r="498" ht="42.75" customHeight="1" spans="1:20">
      <c r="A498" s="10" t="s">
        <v>1262</v>
      </c>
      <c r="B498" s="10"/>
      <c r="C498" s="10" t="s">
        <v>190</v>
      </c>
      <c r="D498" s="10" t="s">
        <v>1380</v>
      </c>
      <c r="E498" s="10" t="s">
        <v>1936</v>
      </c>
      <c r="F498" s="11" t="s">
        <v>1937</v>
      </c>
      <c r="G498" s="11" t="s">
        <v>1206</v>
      </c>
      <c r="H498" s="11" t="s">
        <v>1938</v>
      </c>
      <c r="I498" s="11" t="s">
        <v>1859</v>
      </c>
      <c r="J498" s="10"/>
      <c r="K498" s="8"/>
      <c r="L498" s="8"/>
      <c r="M498" s="8"/>
      <c r="N498" s="9"/>
      <c r="O498" s="10">
        <v>73</v>
      </c>
      <c r="P498" s="10">
        <v>44</v>
      </c>
      <c r="Q498" s="10" t="s">
        <v>65</v>
      </c>
      <c r="R498" s="10">
        <v>70</v>
      </c>
      <c r="S498" s="10">
        <v>60</v>
      </c>
      <c r="T498" s="10">
        <v>12</v>
      </c>
    </row>
    <row r="499" ht="71.25" customHeight="1" spans="1:20">
      <c r="A499" s="6" t="s">
        <v>1262</v>
      </c>
      <c r="B499" s="6"/>
      <c r="C499" s="6" t="s">
        <v>190</v>
      </c>
      <c r="D499" s="6" t="s">
        <v>1380</v>
      </c>
      <c r="E499" s="6" t="s">
        <v>192</v>
      </c>
      <c r="F499" s="7" t="s">
        <v>1939</v>
      </c>
      <c r="G499" s="7" t="s">
        <v>1206</v>
      </c>
      <c r="H499" s="7"/>
      <c r="I499" s="7" t="s">
        <v>1859</v>
      </c>
      <c r="J499" s="6"/>
      <c r="K499" s="8"/>
      <c r="L499" s="8"/>
      <c r="M499" s="8"/>
      <c r="N499" s="9"/>
      <c r="O499" s="6"/>
      <c r="P499" s="6"/>
      <c r="Q499" s="6"/>
      <c r="R499" s="6"/>
      <c r="S499" s="6"/>
      <c r="T499" s="6"/>
    </row>
    <row r="500" ht="27.75" customHeight="1" spans="1:20">
      <c r="A500" s="10" t="s">
        <v>1262</v>
      </c>
      <c r="B500" s="10"/>
      <c r="C500" s="10" t="s">
        <v>190</v>
      </c>
      <c r="D500" s="10" t="s">
        <v>1380</v>
      </c>
      <c r="E500" s="10" t="s">
        <v>1940</v>
      </c>
      <c r="F500" s="11" t="s">
        <v>1941</v>
      </c>
      <c r="G500" s="11" t="s">
        <v>1206</v>
      </c>
      <c r="H500" s="11"/>
      <c r="I500" s="11" t="s">
        <v>1859</v>
      </c>
      <c r="J500" s="10"/>
      <c r="K500" s="8"/>
      <c r="L500" s="8"/>
      <c r="M500" s="8"/>
      <c r="N500" s="9"/>
      <c r="O500" s="10"/>
      <c r="P500" s="10"/>
      <c r="Q500" s="10"/>
      <c r="R500" s="10"/>
      <c r="S500" s="10"/>
      <c r="T500" s="10"/>
    </row>
    <row r="501" ht="27.75" customHeight="1" spans="1:20">
      <c r="A501" s="6" t="s">
        <v>1262</v>
      </c>
      <c r="B501" s="6"/>
      <c r="C501" s="6" t="s">
        <v>190</v>
      </c>
      <c r="D501" s="6" t="s">
        <v>1942</v>
      </c>
      <c r="E501" s="6" t="s">
        <v>1943</v>
      </c>
      <c r="F501" s="7" t="s">
        <v>1944</v>
      </c>
      <c r="G501" s="7"/>
      <c r="H501" s="7"/>
      <c r="I501" s="7" t="s">
        <v>1945</v>
      </c>
      <c r="J501" s="6"/>
      <c r="K501" s="8"/>
      <c r="L501" s="8"/>
      <c r="M501" s="8"/>
      <c r="N501" s="9"/>
      <c r="O501" s="6">
        <v>86</v>
      </c>
      <c r="P501" s="6">
        <v>58</v>
      </c>
      <c r="Q501" s="6" t="s">
        <v>65</v>
      </c>
      <c r="R501" s="6">
        <v>70</v>
      </c>
      <c r="S501" s="6">
        <v>60</v>
      </c>
      <c r="T501" s="6">
        <v>12</v>
      </c>
    </row>
    <row r="502" ht="27.75" customHeight="1" spans="1:20">
      <c r="A502" s="10" t="s">
        <v>1262</v>
      </c>
      <c r="B502" s="10"/>
      <c r="C502" s="10" t="s">
        <v>190</v>
      </c>
      <c r="D502" s="10" t="s">
        <v>469</v>
      </c>
      <c r="E502" s="10" t="s">
        <v>1823</v>
      </c>
      <c r="F502" s="11" t="s">
        <v>1824</v>
      </c>
      <c r="G502" s="11" t="s">
        <v>1946</v>
      </c>
      <c r="H502" s="11" t="s">
        <v>1826</v>
      </c>
      <c r="I502" s="11" t="s">
        <v>1859</v>
      </c>
      <c r="J502" s="10"/>
      <c r="K502" s="8"/>
      <c r="L502" s="8"/>
      <c r="M502" s="8"/>
      <c r="N502" s="9"/>
      <c r="O502" s="10">
        <v>83</v>
      </c>
      <c r="P502" s="10">
        <v>52</v>
      </c>
      <c r="Q502" s="10" t="s">
        <v>30</v>
      </c>
      <c r="R502" s="10">
        <v>70</v>
      </c>
      <c r="S502" s="10">
        <v>60</v>
      </c>
      <c r="T502" s="10">
        <v>12</v>
      </c>
    </row>
    <row r="503" customHeight="1" spans="1:20">
      <c r="A503" s="6" t="s">
        <v>1262</v>
      </c>
      <c r="B503" s="6"/>
      <c r="C503" s="6" t="s">
        <v>190</v>
      </c>
      <c r="D503" s="6" t="s">
        <v>1350</v>
      </c>
      <c r="E503" s="6"/>
      <c r="F503" s="7" t="s">
        <v>1947</v>
      </c>
      <c r="G503" s="7" t="s">
        <v>1206</v>
      </c>
      <c r="H503" s="7" t="s">
        <v>1948</v>
      </c>
      <c r="I503" s="7" t="s">
        <v>1859</v>
      </c>
      <c r="J503" s="6"/>
      <c r="K503" s="8"/>
      <c r="L503" s="8"/>
      <c r="M503" s="8"/>
      <c r="N503" s="9"/>
      <c r="O503" s="6"/>
      <c r="P503" s="6"/>
      <c r="Q503" s="6"/>
      <c r="R503" s="6"/>
      <c r="S503" s="6"/>
      <c r="T503" s="6"/>
    </row>
    <row r="504" ht="41.25" customHeight="1" spans="1:20">
      <c r="A504" s="10" t="s">
        <v>1262</v>
      </c>
      <c r="B504" s="10"/>
      <c r="C504" s="10" t="s">
        <v>190</v>
      </c>
      <c r="D504" s="10" t="s">
        <v>1350</v>
      </c>
      <c r="E504" s="10" t="s">
        <v>1949</v>
      </c>
      <c r="F504" s="11" t="s">
        <v>1950</v>
      </c>
      <c r="G504" s="11" t="s">
        <v>1951</v>
      </c>
      <c r="H504" s="11" t="s">
        <v>1952</v>
      </c>
      <c r="I504" s="11" t="s">
        <v>1859</v>
      </c>
      <c r="J504" s="10"/>
      <c r="K504" s="8"/>
      <c r="L504" s="8"/>
      <c r="M504" s="8"/>
      <c r="N504" s="9"/>
      <c r="O504" s="10">
        <v>83</v>
      </c>
      <c r="P504" s="10">
        <v>54</v>
      </c>
      <c r="Q504" s="10" t="s">
        <v>65</v>
      </c>
      <c r="R504" s="10">
        <v>70</v>
      </c>
      <c r="S504" s="10">
        <v>60</v>
      </c>
      <c r="T504" s="10">
        <v>12</v>
      </c>
    </row>
    <row r="505" ht="27.75" customHeight="1" spans="1:20">
      <c r="A505" s="6" t="s">
        <v>1262</v>
      </c>
      <c r="B505" s="6"/>
      <c r="C505" s="6" t="s">
        <v>190</v>
      </c>
      <c r="D505" s="6" t="s">
        <v>1350</v>
      </c>
      <c r="E505" s="6"/>
      <c r="F505" s="7" t="s">
        <v>1953</v>
      </c>
      <c r="G505" s="7" t="s">
        <v>1206</v>
      </c>
      <c r="H505" s="7" t="s">
        <v>1954</v>
      </c>
      <c r="I505" s="7" t="s">
        <v>1859</v>
      </c>
      <c r="J505" s="6"/>
      <c r="K505" s="8"/>
      <c r="L505" s="8"/>
      <c r="M505" s="8"/>
      <c r="N505" s="9"/>
      <c r="O505" s="6"/>
      <c r="P505" s="6"/>
      <c r="Q505" s="6"/>
      <c r="R505" s="6"/>
      <c r="S505" s="6"/>
      <c r="T505" s="6"/>
    </row>
    <row r="506" ht="28.5" customHeight="1" spans="1:20">
      <c r="A506" s="10" t="s">
        <v>1262</v>
      </c>
      <c r="B506" s="10"/>
      <c r="C506" s="10" t="s">
        <v>190</v>
      </c>
      <c r="D506" s="10" t="s">
        <v>1350</v>
      </c>
      <c r="E506" s="10" t="s">
        <v>340</v>
      </c>
      <c r="F506" s="11" t="s">
        <v>1955</v>
      </c>
      <c r="G506" s="11" t="s">
        <v>1956</v>
      </c>
      <c r="H506" s="11" t="s">
        <v>1957</v>
      </c>
      <c r="I506" s="11" t="s">
        <v>1859</v>
      </c>
      <c r="J506" s="10"/>
      <c r="K506" s="8"/>
      <c r="L506" s="8"/>
      <c r="M506" s="8"/>
      <c r="N506" s="9"/>
      <c r="O506" s="10">
        <v>83</v>
      </c>
      <c r="P506" s="10">
        <v>52</v>
      </c>
      <c r="Q506" s="10" t="s">
        <v>30</v>
      </c>
      <c r="R506" s="10">
        <v>70</v>
      </c>
      <c r="S506" s="10">
        <v>60</v>
      </c>
      <c r="T506" s="10">
        <v>12</v>
      </c>
    </row>
    <row r="507" ht="57" customHeight="1" spans="1:20">
      <c r="A507" s="6" t="s">
        <v>1437</v>
      </c>
      <c r="B507" s="6" t="s">
        <v>1958</v>
      </c>
      <c r="C507" s="6" t="s">
        <v>35</v>
      </c>
      <c r="D507" s="6" t="s">
        <v>1465</v>
      </c>
      <c r="E507" s="6" t="s">
        <v>1466</v>
      </c>
      <c r="F507" s="7"/>
      <c r="G507" s="7"/>
      <c r="H507" s="7"/>
      <c r="I507" s="7"/>
      <c r="J507" s="6" t="s">
        <v>47</v>
      </c>
      <c r="K507" s="12">
        <v>2700000</v>
      </c>
      <c r="L507" s="13">
        <v>2900000</v>
      </c>
      <c r="M507" s="14">
        <v>3100000</v>
      </c>
      <c r="N507" s="9">
        <f>IF($M507="","",ROUND($M507*1.1,0))</f>
        <v>3410000</v>
      </c>
      <c r="O507" s="6"/>
      <c r="P507" s="6"/>
      <c r="Q507" s="6"/>
      <c r="R507" s="6"/>
      <c r="S507" s="6"/>
      <c r="T507" s="6"/>
    </row>
    <row r="508" ht="29.25" customHeight="1" spans="1:20">
      <c r="A508" s="10" t="s">
        <v>1437</v>
      </c>
      <c r="B508" s="10"/>
      <c r="C508" s="10" t="s">
        <v>35</v>
      </c>
      <c r="D508" s="10" t="s">
        <v>848</v>
      </c>
      <c r="E508" s="10" t="s">
        <v>1959</v>
      </c>
      <c r="F508" s="11" t="s">
        <v>1960</v>
      </c>
      <c r="G508" s="11"/>
      <c r="H508" s="11"/>
      <c r="I508" s="11" t="s">
        <v>1859</v>
      </c>
      <c r="J508" s="10"/>
      <c r="K508" s="8"/>
      <c r="L508" s="8"/>
      <c r="M508" s="8"/>
      <c r="N508" s="9"/>
      <c r="O508" s="10"/>
      <c r="P508" s="10"/>
      <c r="Q508" s="10"/>
      <c r="R508" s="10"/>
      <c r="S508" s="10"/>
      <c r="T508" s="10"/>
    </row>
    <row r="509" ht="85.5" customHeight="1" spans="1:20">
      <c r="A509" s="6" t="s">
        <v>1521</v>
      </c>
      <c r="B509" s="6"/>
      <c r="C509" s="6" t="s">
        <v>35</v>
      </c>
      <c r="D509" s="6" t="s">
        <v>1819</v>
      </c>
      <c r="E509" s="6" t="s">
        <v>1820</v>
      </c>
      <c r="F509" s="7" t="s">
        <v>1821</v>
      </c>
      <c r="G509" s="7"/>
      <c r="H509" s="7"/>
      <c r="I509" s="7" t="s">
        <v>1859</v>
      </c>
      <c r="J509" s="6"/>
      <c r="K509" s="8"/>
      <c r="L509" s="8"/>
      <c r="M509" s="8"/>
      <c r="N509" s="9"/>
      <c r="O509" s="6"/>
      <c r="P509" s="6"/>
      <c r="Q509" s="6"/>
      <c r="R509" s="6"/>
      <c r="S509" s="6"/>
      <c r="T509" s="6"/>
    </row>
    <row r="510" ht="28.5" customHeight="1" spans="1:20">
      <c r="A510" s="10" t="s">
        <v>1521</v>
      </c>
      <c r="B510" s="10" t="s">
        <v>1961</v>
      </c>
      <c r="C510" s="10" t="s">
        <v>35</v>
      </c>
      <c r="D510" s="10" t="s">
        <v>1962</v>
      </c>
      <c r="E510" s="10" t="s">
        <v>1963</v>
      </c>
      <c r="F510" s="11" t="s">
        <v>1964</v>
      </c>
      <c r="G510" s="11" t="s">
        <v>1965</v>
      </c>
      <c r="H510" s="11"/>
      <c r="I510" s="11"/>
      <c r="J510" s="10" t="s">
        <v>29</v>
      </c>
      <c r="K510" s="12">
        <v>12000000</v>
      </c>
      <c r="L510" s="13">
        <v>13000000</v>
      </c>
      <c r="M510" s="14">
        <v>14000000</v>
      </c>
      <c r="N510" s="9">
        <f>IF($M510="","",ROUND($M510*1.1,0))</f>
        <v>15400000</v>
      </c>
      <c r="O510" s="10"/>
      <c r="P510" s="10"/>
      <c r="Q510" s="10"/>
      <c r="R510" s="10"/>
      <c r="S510" s="10"/>
      <c r="T510" s="10"/>
    </row>
    <row r="511" ht="27.75" customHeight="1" spans="1:20">
      <c r="A511" s="6" t="s">
        <v>1561</v>
      </c>
      <c r="B511" s="6"/>
      <c r="C511" s="6" t="s">
        <v>85</v>
      </c>
      <c r="D511" s="6" t="s">
        <v>1599</v>
      </c>
      <c r="E511" s="6" t="s">
        <v>1600</v>
      </c>
      <c r="F511" s="7" t="s">
        <v>1966</v>
      </c>
      <c r="G511" s="7"/>
      <c r="H511" s="7"/>
      <c r="I511" s="7" t="s">
        <v>1859</v>
      </c>
      <c r="J511" s="6"/>
      <c r="K511" s="8"/>
      <c r="L511" s="8"/>
      <c r="M511" s="8"/>
      <c r="N511" s="9"/>
      <c r="O511" s="6"/>
      <c r="P511" s="6"/>
      <c r="Q511" s="6"/>
      <c r="R511" s="6"/>
      <c r="S511" s="6"/>
      <c r="T511" s="6"/>
    </row>
    <row r="512" ht="27.75" customHeight="1" spans="1:20">
      <c r="A512" s="10" t="s">
        <v>1561</v>
      </c>
      <c r="B512" s="10"/>
      <c r="C512" s="10" t="s">
        <v>25</v>
      </c>
      <c r="D512" s="10" t="s">
        <v>1967</v>
      </c>
      <c r="E512" s="10" t="s">
        <v>1968</v>
      </c>
      <c r="F512" s="11" t="s">
        <v>1969</v>
      </c>
      <c r="G512" s="11"/>
      <c r="H512" s="11"/>
      <c r="I512" s="11" t="s">
        <v>1970</v>
      </c>
      <c r="J512" s="10"/>
      <c r="K512" s="8"/>
      <c r="L512" s="8"/>
      <c r="M512" s="8"/>
      <c r="N512" s="9"/>
      <c r="O512" s="10"/>
      <c r="P512" s="10"/>
      <c r="Q512" s="10"/>
      <c r="R512" s="10"/>
      <c r="S512" s="10"/>
      <c r="T512" s="10"/>
    </row>
    <row r="513" ht="42.75" customHeight="1" spans="1:20">
      <c r="A513" s="6" t="s">
        <v>1561</v>
      </c>
      <c r="B513" s="6" t="s">
        <v>1971</v>
      </c>
      <c r="C513" s="6" t="s">
        <v>25</v>
      </c>
      <c r="D513" s="6" t="s">
        <v>1967</v>
      </c>
      <c r="E513" s="6" t="s">
        <v>1968</v>
      </c>
      <c r="F513" s="7" t="s">
        <v>1969</v>
      </c>
      <c r="G513" s="7"/>
      <c r="H513" s="7"/>
      <c r="I513" s="7"/>
      <c r="J513" s="6" t="s">
        <v>129</v>
      </c>
      <c r="K513" s="12">
        <v>3350000</v>
      </c>
      <c r="L513" s="13">
        <v>3550000</v>
      </c>
      <c r="M513" s="14">
        <v>3750000</v>
      </c>
      <c r="N513" s="9">
        <f>IF($M513="","",ROUND($M513*1.1,0))</f>
        <v>4125000</v>
      </c>
      <c r="O513" s="6"/>
      <c r="P513" s="6"/>
      <c r="Q513" s="6"/>
      <c r="R513" s="6"/>
      <c r="S513" s="6"/>
      <c r="T513" s="6"/>
    </row>
    <row r="514" ht="42.75" customHeight="1" spans="1:20">
      <c r="A514" s="10" t="s">
        <v>1972</v>
      </c>
      <c r="B514" s="10"/>
      <c r="C514" s="10" t="s">
        <v>61</v>
      </c>
      <c r="D514" s="10" t="s">
        <v>1973</v>
      </c>
      <c r="E514" s="10"/>
      <c r="F514" s="11" t="s">
        <v>1974</v>
      </c>
      <c r="G514" s="11"/>
      <c r="H514" s="11"/>
      <c r="I514" s="11" t="s">
        <v>1859</v>
      </c>
      <c r="J514" s="10"/>
      <c r="K514" s="8"/>
      <c r="L514" s="8"/>
      <c r="M514" s="8"/>
      <c r="N514" s="9"/>
      <c r="O514" s="10"/>
      <c r="P514" s="10"/>
      <c r="Q514" s="10"/>
      <c r="R514" s="10"/>
      <c r="S514" s="10"/>
      <c r="T514" s="10"/>
    </row>
    <row r="515" ht="28.5" customHeight="1" spans="1:20">
      <c r="A515" s="6" t="s">
        <v>1647</v>
      </c>
      <c r="B515" s="6"/>
      <c r="C515" s="6" t="s">
        <v>85</v>
      </c>
      <c r="D515" s="6" t="s">
        <v>670</v>
      </c>
      <c r="E515" s="6" t="s">
        <v>671</v>
      </c>
      <c r="F515" s="7" t="s">
        <v>1975</v>
      </c>
      <c r="G515" s="7"/>
      <c r="H515" s="7" t="s">
        <v>1976</v>
      </c>
      <c r="I515" s="7" t="s">
        <v>1977</v>
      </c>
      <c r="J515" s="6"/>
      <c r="K515" s="8"/>
      <c r="L515" s="8"/>
      <c r="M515" s="8"/>
      <c r="N515" s="9"/>
      <c r="O515" s="6">
        <v>60</v>
      </c>
      <c r="P515" s="6">
        <v>43</v>
      </c>
      <c r="Q515" s="6" t="s">
        <v>99</v>
      </c>
      <c r="R515" s="6">
        <v>56</v>
      </c>
      <c r="S515" s="6">
        <v>50.9</v>
      </c>
      <c r="T515" s="6">
        <v>11</v>
      </c>
    </row>
    <row r="516" ht="57" customHeight="1" spans="1:20">
      <c r="A516" s="10" t="s">
        <v>1679</v>
      </c>
      <c r="B516" s="10"/>
      <c r="C516" s="10" t="s">
        <v>25</v>
      </c>
      <c r="D516" s="10" t="s">
        <v>1978</v>
      </c>
      <c r="E516" s="10"/>
      <c r="F516" s="11" t="s">
        <v>1979</v>
      </c>
      <c r="G516" s="11"/>
      <c r="H516" s="11" t="s">
        <v>1980</v>
      </c>
      <c r="I516" s="11" t="s">
        <v>1859</v>
      </c>
      <c r="J516" s="10"/>
      <c r="K516" s="8"/>
      <c r="L516" s="8"/>
      <c r="M516" s="8"/>
      <c r="N516" s="9"/>
      <c r="O516" s="10">
        <v>59.5</v>
      </c>
      <c r="P516" s="10">
        <v>44.5</v>
      </c>
      <c r="Q516" s="10" t="s">
        <v>99</v>
      </c>
      <c r="R516" s="10">
        <v>51.2</v>
      </c>
      <c r="S516" s="10">
        <v>47.1</v>
      </c>
      <c r="T516" s="10">
        <v>9</v>
      </c>
    </row>
    <row r="517" ht="26.25" customHeight="1" spans="1:20">
      <c r="A517" s="6" t="s">
        <v>1719</v>
      </c>
      <c r="B517" s="6"/>
      <c r="C517" s="6" t="s">
        <v>85</v>
      </c>
      <c r="D517" s="6" t="s">
        <v>1730</v>
      </c>
      <c r="E517" s="6" t="s">
        <v>1981</v>
      </c>
      <c r="F517" s="7" t="s">
        <v>1732</v>
      </c>
      <c r="G517" s="7"/>
      <c r="H517" s="7" t="s">
        <v>1982</v>
      </c>
      <c r="I517" s="7" t="s">
        <v>1859</v>
      </c>
      <c r="J517" s="6"/>
      <c r="K517" s="8"/>
      <c r="L517" s="8"/>
      <c r="M517" s="8"/>
      <c r="N517" s="9"/>
      <c r="O517" s="6"/>
      <c r="P517" s="6"/>
      <c r="Q517" s="6"/>
      <c r="R517" s="6"/>
      <c r="S517" s="6"/>
      <c r="T517" s="6"/>
    </row>
    <row r="518" ht="71.25" customHeight="1" spans="1:20">
      <c r="A518" s="10" t="s">
        <v>1719</v>
      </c>
      <c r="B518" s="10"/>
      <c r="C518" s="10" t="s">
        <v>25</v>
      </c>
      <c r="D518" s="10" t="s">
        <v>1983</v>
      </c>
      <c r="E518" s="10" t="s">
        <v>1984</v>
      </c>
      <c r="F518" s="11" t="s">
        <v>1985</v>
      </c>
      <c r="G518" s="11"/>
      <c r="H518" s="11" t="s">
        <v>1986</v>
      </c>
      <c r="I518" s="11" t="s">
        <v>1859</v>
      </c>
      <c r="J518" s="10"/>
      <c r="K518" s="8"/>
      <c r="L518" s="8"/>
      <c r="M518" s="8"/>
      <c r="N518" s="9"/>
      <c r="O518" s="10"/>
      <c r="P518" s="10"/>
      <c r="Q518" s="10"/>
      <c r="R518" s="10"/>
      <c r="S518" s="10"/>
      <c r="T518" s="10"/>
    </row>
    <row r="519" customHeight="1" spans="1:20">
      <c r="A519" s="6" t="s">
        <v>1736</v>
      </c>
      <c r="B519" s="6"/>
      <c r="C519" s="6" t="s">
        <v>25</v>
      </c>
      <c r="D519" s="6" t="s">
        <v>339</v>
      </c>
      <c r="E519" s="6" t="s">
        <v>1987</v>
      </c>
      <c r="F519" s="7" t="s">
        <v>1988</v>
      </c>
      <c r="G519" s="7" t="s">
        <v>1989</v>
      </c>
      <c r="H519" s="7" t="s">
        <v>1839</v>
      </c>
      <c r="I519" s="7" t="s">
        <v>1859</v>
      </c>
      <c r="J519" s="6"/>
      <c r="K519" s="8"/>
      <c r="L519" s="8"/>
      <c r="M519" s="8"/>
      <c r="N519" s="9"/>
      <c r="O519" s="6"/>
      <c r="P519" s="6"/>
      <c r="Q519" s="6"/>
      <c r="R519" s="6"/>
      <c r="S519" s="6"/>
      <c r="T519" s="6"/>
    </row>
    <row r="520" ht="27.75" customHeight="1"/>
    <row r="521" ht="27.75" customHeight="1"/>
    <row r="522" ht="27.75" customHeight="1"/>
    <row r="524" ht="29.25" customHeight="1"/>
    <row r="525" ht="27.75" customHeight="1"/>
    <row r="526" ht="27.75" customHeight="1"/>
    <row r="527" ht="29.25" customHeight="1"/>
    <row r="528" ht="42.75" customHeight="1"/>
    <row r="529" ht="42.75" customHeight="1"/>
    <row r="530" ht="28.5" customHeight="1"/>
    <row r="531" ht="28.5" customHeight="1"/>
    <row r="532" ht="34.5" customHeight="1"/>
    <row r="533" ht="34.5" customHeight="1"/>
    <row r="534" ht="34.5" customHeight="1"/>
    <row r="535" ht="34.5" customHeight="1"/>
    <row r="536" ht="34.5" customHeight="1"/>
    <row r="537" ht="34.5" customHeight="1"/>
    <row r="538" ht="34.5" customHeight="1"/>
    <row r="539" ht="34.5" customHeight="1"/>
    <row r="540" ht="34.5" customHeight="1"/>
    <row r="541" ht="34.5" customHeight="1"/>
    <row r="542" ht="34.5" customHeight="1"/>
    <row r="543" ht="34.5" customHeight="1"/>
    <row r="544" ht="34.5" customHeight="1"/>
    <row r="545" ht="34.5" customHeight="1"/>
    <row r="546" ht="34.5" customHeight="1"/>
    <row r="547" ht="34.5" customHeight="1"/>
    <row r="548" ht="34.5" customHeight="1"/>
    <row r="549" ht="34.5" customHeight="1"/>
    <row r="550" ht="34.5" customHeight="1"/>
    <row r="551" ht="34.5" customHeight="1"/>
    <row r="552" ht="34.5" customHeight="1"/>
    <row r="553" ht="34.5" customHeight="1"/>
    <row r="554" ht="34.5" customHeight="1"/>
    <row r="555" ht="34.5" customHeight="1"/>
    <row r="556" ht="34.5" customHeight="1"/>
    <row r="557" ht="34.5" customHeight="1"/>
    <row r="558" ht="34.5" customHeight="1"/>
    <row r="559" ht="34.5" customHeight="1"/>
    <row r="560" ht="34.5" customHeight="1"/>
    <row r="561" ht="34.5" customHeight="1"/>
    <row r="562" ht="34.5" customHeight="1"/>
    <row r="563" ht="34.5" customHeight="1"/>
    <row r="564" ht="34.5" customHeight="1"/>
    <row r="565" ht="34.5" customHeight="1"/>
    <row r="566" ht="34.5" customHeight="1"/>
    <row r="567" ht="34.5" customHeight="1"/>
    <row r="568" ht="34.5" customHeight="1"/>
    <row r="569" ht="34.5" customHeight="1"/>
    <row r="570" ht="34.5" customHeight="1"/>
    <row r="571" ht="34.5" customHeight="1"/>
    <row r="572" ht="34.5" customHeight="1"/>
    <row r="573" ht="34.5" customHeight="1"/>
    <row r="574" ht="34.5" customHeight="1"/>
    <row r="575" ht="34.5" customHeight="1"/>
    <row r="576" ht="34.5" customHeight="1"/>
    <row r="577" ht="34.5" customHeight="1"/>
    <row r="578" ht="34.5" customHeight="1"/>
    <row r="579" ht="34.5" customHeight="1"/>
    <row r="580" ht="34.5" customHeight="1"/>
    <row r="581" ht="34.5" customHeight="1"/>
    <row r="582" ht="34.5" customHeight="1"/>
    <row r="583" ht="34.5" customHeight="1"/>
    <row r="584" ht="34.5" customHeight="1"/>
    <row r="585" ht="34.5" customHeight="1"/>
    <row r="586" ht="34.5" customHeight="1"/>
    <row r="587" ht="34.5" customHeight="1"/>
    <row r="588" ht="34.5" customHeight="1"/>
    <row r="589" ht="34.5" customHeight="1"/>
    <row r="590" ht="34.5" customHeight="1"/>
    <row r="591" ht="34.5" customHeight="1"/>
    <row r="592" ht="34.5" customHeight="1"/>
    <row r="593" ht="34.5" customHeight="1"/>
    <row r="594" ht="34.5" customHeight="1"/>
    <row r="595" ht="34.5" customHeight="1"/>
    <row r="596" ht="34.5" customHeight="1"/>
    <row r="597" ht="34.5" customHeight="1"/>
    <row r="598" ht="34.5" customHeight="1"/>
    <row r="599" ht="34.5" customHeight="1"/>
    <row r="600" ht="34.5" customHeight="1"/>
    <row r="601" ht="34.5" customHeight="1"/>
    <row r="602" ht="34.5" customHeight="1"/>
    <row r="603" ht="34.5" customHeight="1"/>
    <row r="604" ht="34.5" customHeight="1"/>
    <row r="605" ht="34.5" customHeight="1"/>
    <row r="606" ht="34.5" customHeight="1"/>
    <row r="607" ht="34.5" customHeight="1"/>
    <row r="608" ht="34.5" customHeight="1"/>
    <row r="609" ht="34.5" customHeight="1"/>
    <row r="610" ht="34.5" customHeight="1"/>
    <row r="611" ht="34.5" customHeight="1"/>
    <row r="612" ht="34.5" customHeight="1"/>
    <row r="613" ht="34.5" customHeight="1"/>
    <row r="614" ht="34.5" customHeight="1"/>
    <row r="615" ht="34.5" customHeight="1"/>
    <row r="616" ht="34.5" customHeight="1"/>
    <row r="617" ht="34.5" customHeight="1"/>
    <row r="618" ht="34.5" customHeight="1"/>
    <row r="619" ht="34.5" customHeight="1"/>
    <row r="620" ht="34.5" customHeight="1"/>
    <row r="621" ht="34.5" customHeight="1"/>
    <row r="622" ht="34.5" customHeight="1"/>
    <row r="623" ht="34.5" customHeight="1"/>
    <row r="624" ht="34.5" customHeight="1"/>
    <row r="625" ht="34.5" customHeight="1"/>
    <row r="626" ht="34.5" customHeight="1"/>
    <row r="627" ht="34.5" customHeight="1"/>
    <row r="628" ht="34.5" customHeight="1"/>
    <row r="629" ht="34.5" customHeight="1"/>
    <row r="630" ht="34.5" customHeight="1"/>
    <row r="631" ht="34.5" customHeight="1"/>
    <row r="632" ht="34.5" customHeight="1"/>
    <row r="633" ht="34.5" customHeight="1"/>
    <row r="634" ht="34.5" customHeight="1"/>
    <row r="635" ht="34.5" customHeight="1"/>
    <row r="636" ht="34.5" customHeight="1"/>
    <row r="637" ht="34.5" customHeight="1"/>
    <row r="638" ht="34.5" customHeight="1"/>
    <row r="639" ht="34.5" customHeight="1"/>
    <row r="640" ht="34.5" customHeight="1"/>
    <row r="641" ht="34.5" customHeight="1"/>
    <row r="642" ht="34.5" customHeight="1"/>
    <row r="643" ht="34.5" customHeight="1"/>
    <row r="644" ht="34.5" customHeight="1"/>
    <row r="645" ht="34.5" customHeight="1"/>
    <row r="646" ht="34.5" customHeight="1"/>
    <row r="647" ht="34.5" customHeight="1"/>
    <row r="648" ht="34.5" customHeight="1"/>
    <row r="649" ht="34.5" customHeight="1"/>
    <row r="650" ht="34.5" customHeight="1"/>
    <row r="651" ht="34.5" customHeight="1"/>
    <row r="652" ht="34.5" customHeight="1"/>
    <row r="653" ht="34.5" customHeight="1"/>
    <row r="654" ht="34.5" customHeight="1"/>
    <row r="655" ht="34.5" customHeight="1"/>
    <row r="656" ht="34.5" customHeight="1"/>
    <row r="657" ht="34.5" customHeight="1"/>
    <row r="658" ht="34.5" customHeight="1"/>
    <row r="659" ht="34.5" customHeight="1"/>
    <row r="660" ht="34.5" customHeight="1"/>
    <row r="661" ht="34.5" customHeight="1"/>
    <row r="662" ht="34.5" customHeight="1"/>
    <row r="663" ht="34.5" customHeight="1"/>
    <row r="664" ht="34.5" customHeight="1"/>
    <row r="665" ht="34.5" customHeight="1"/>
    <row r="666" ht="34.5" customHeight="1"/>
    <row r="667" ht="34.5" customHeight="1"/>
    <row r="668" ht="34.5" customHeight="1"/>
    <row r="669" ht="34.5" customHeight="1"/>
    <row r="670" ht="34.5" customHeight="1"/>
    <row r="671" ht="34.5" customHeight="1"/>
    <row r="672" ht="34.5" customHeight="1"/>
    <row r="673" ht="34.5" customHeight="1"/>
    <row r="674" ht="34.5" customHeight="1"/>
    <row r="675" ht="34.5" customHeight="1"/>
    <row r="676" ht="34.5" customHeight="1"/>
    <row r="677" ht="34.5" customHeight="1"/>
    <row r="678" ht="34.5" customHeight="1"/>
    <row r="679" ht="34.5" customHeight="1"/>
    <row r="680" ht="34.5" customHeight="1"/>
    <row r="681" ht="34.5" customHeight="1"/>
    <row r="682" ht="34.5" customHeight="1"/>
  </sheetData>
  <mergeCells count="2">
    <mergeCell ref="A1:T1"/>
    <mergeCell ref="A2:T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75623"/>
  </sheetPr>
  <dimension ref="A1:T892"/>
  <sheetViews>
    <sheetView showGridLines="0" workbookViewId="0">
      <pane ySplit="3" topLeftCell="A316" activePane="bottomLeft" state="frozen"/>
      <selection/>
      <selection pane="bottomLeft" activeCell="G338" sqref="G338"/>
    </sheetView>
  </sheetViews>
  <sheetFormatPr defaultColWidth="8.67619047619048" defaultRowHeight="15"/>
  <cols>
    <col min="1" max="1" width="15" style="1" customWidth="1"/>
    <col min="2" max="3" width="13" style="1" customWidth="1"/>
    <col min="4" max="5" width="17" style="1" customWidth="1"/>
    <col min="6" max="6" width="32" style="1" customWidth="1"/>
    <col min="7" max="7" width="30" style="1" customWidth="1"/>
    <col min="8" max="8" width="22" style="1" customWidth="1"/>
    <col min="9" max="9" width="26" style="1" customWidth="1"/>
    <col min="10" max="14" width="13" style="1" customWidth="1"/>
    <col min="15" max="16" width="11" style="15" customWidth="1"/>
    <col min="17" max="17" width="10" style="15" customWidth="1"/>
    <col min="18" max="19" width="11" style="15" customWidth="1"/>
    <col min="20" max="20" width="16" style="15" customWidth="1"/>
  </cols>
  <sheetData>
    <row r="1" ht="30" customHeight="1" spans="1:20">
      <c r="A1" s="2" t="s">
        <v>1990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9.5" customHeight="1" spans="1:2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33.75" customHeight="1" spans="1:20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</row>
    <row r="4" ht="21.75" customHeight="1" spans="1:20">
      <c r="A4" s="5" t="s">
        <v>1991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99.75" customHeight="1" spans="1:20">
      <c r="A5" s="6" t="s">
        <v>23</v>
      </c>
      <c r="B5" s="6" t="s">
        <v>1992</v>
      </c>
      <c r="C5" s="6" t="s">
        <v>85</v>
      </c>
      <c r="D5" s="6" t="s">
        <v>86</v>
      </c>
      <c r="E5" s="6" t="s">
        <v>87</v>
      </c>
      <c r="F5" s="7" t="s">
        <v>88</v>
      </c>
      <c r="G5" s="7"/>
      <c r="H5" s="7" t="s">
        <v>89</v>
      </c>
      <c r="I5" s="16"/>
      <c r="J5" s="17" t="s">
        <v>29</v>
      </c>
      <c r="K5" s="12">
        <v>1200000</v>
      </c>
      <c r="L5" s="13">
        <v>1300000</v>
      </c>
      <c r="M5" s="14">
        <v>1400000</v>
      </c>
      <c r="N5" s="9">
        <f>IF($M5="","",ROUND($M5*1.1,0))</f>
        <v>1540000</v>
      </c>
      <c r="O5" s="6">
        <v>50</v>
      </c>
      <c r="P5" s="6">
        <v>37.4</v>
      </c>
      <c r="Q5" s="6" t="s">
        <v>90</v>
      </c>
      <c r="R5" s="6">
        <v>45.2</v>
      </c>
      <c r="S5" s="6">
        <v>36.6</v>
      </c>
      <c r="T5" s="6">
        <v>9</v>
      </c>
    </row>
    <row r="6" ht="28.5" customHeight="1" spans="1:20">
      <c r="A6" s="10" t="s">
        <v>23</v>
      </c>
      <c r="B6" s="10" t="s">
        <v>1993</v>
      </c>
      <c r="C6" s="10" t="s">
        <v>35</v>
      </c>
      <c r="D6" s="10" t="s">
        <v>36</v>
      </c>
      <c r="E6" s="10" t="s">
        <v>37</v>
      </c>
      <c r="F6" s="11" t="s">
        <v>38</v>
      </c>
      <c r="G6" s="11" t="s">
        <v>39</v>
      </c>
      <c r="H6" s="11" t="s">
        <v>40</v>
      </c>
      <c r="I6" s="18"/>
      <c r="J6" s="19"/>
      <c r="K6" s="12">
        <v>1250000</v>
      </c>
      <c r="L6" s="13">
        <v>1350000</v>
      </c>
      <c r="M6" s="14">
        <v>1450000</v>
      </c>
      <c r="N6" s="9">
        <f>IF($M6="","",ROUND($M6*1.1,0))</f>
        <v>1595000</v>
      </c>
      <c r="O6" s="10"/>
      <c r="P6" s="10"/>
      <c r="Q6" s="10"/>
      <c r="R6" s="10"/>
      <c r="S6" s="10"/>
      <c r="T6" s="10"/>
    </row>
    <row r="7" ht="128.25" customHeight="1" spans="1:20">
      <c r="A7" s="6" t="s">
        <v>23</v>
      </c>
      <c r="B7" s="6" t="s">
        <v>1994</v>
      </c>
      <c r="C7" s="6" t="s">
        <v>35</v>
      </c>
      <c r="D7" s="6" t="s">
        <v>43</v>
      </c>
      <c r="E7" s="6" t="s">
        <v>44</v>
      </c>
      <c r="F7" s="7" t="s">
        <v>45</v>
      </c>
      <c r="G7" s="7" t="s">
        <v>39</v>
      </c>
      <c r="H7" s="7" t="s">
        <v>46</v>
      </c>
      <c r="I7" s="16"/>
      <c r="J7" s="17" t="s">
        <v>29</v>
      </c>
      <c r="K7" s="12">
        <v>1220000</v>
      </c>
      <c r="L7" s="13">
        <v>1320000</v>
      </c>
      <c r="M7" s="14">
        <v>1420000</v>
      </c>
      <c r="N7" s="9">
        <f>IF($M7="","",ROUND($M7*1.1,0))</f>
        <v>1562000</v>
      </c>
      <c r="O7" s="6"/>
      <c r="P7" s="6"/>
      <c r="Q7" s="6"/>
      <c r="R7" s="6"/>
      <c r="S7" s="6"/>
      <c r="T7" s="6"/>
    </row>
    <row r="8" ht="16.5" customHeight="1" spans="1:20">
      <c r="A8" s="10" t="s">
        <v>23</v>
      </c>
      <c r="B8" s="10" t="s">
        <v>1995</v>
      </c>
      <c r="C8" s="10" t="s">
        <v>61</v>
      </c>
      <c r="D8" s="10" t="s">
        <v>132</v>
      </c>
      <c r="E8" s="10" t="s">
        <v>133</v>
      </c>
      <c r="F8" s="11" t="s">
        <v>134</v>
      </c>
      <c r="G8" s="11"/>
      <c r="H8" s="11"/>
      <c r="I8" s="18"/>
      <c r="J8" s="19" t="s">
        <v>29</v>
      </c>
      <c r="K8" s="12">
        <v>2100000</v>
      </c>
      <c r="L8" s="13">
        <v>2250000</v>
      </c>
      <c r="M8" s="14">
        <v>2400000</v>
      </c>
      <c r="N8" s="9">
        <f>IF($M8="","",ROUND($M8*1.1,0))</f>
        <v>2640000</v>
      </c>
      <c r="O8" s="10">
        <v>61.6</v>
      </c>
      <c r="P8" s="10">
        <v>88.324</v>
      </c>
      <c r="Q8" s="10" t="s">
        <v>65</v>
      </c>
      <c r="R8" s="10">
        <v>79.7</v>
      </c>
      <c r="S8" s="10">
        <v>73.4</v>
      </c>
      <c r="T8" s="10" t="s">
        <v>100</v>
      </c>
    </row>
    <row r="9" ht="21.75" customHeight="1" spans="1:20">
      <c r="A9" s="5" t="s">
        <v>1996</v>
      </c>
      <c r="B9" s="5"/>
      <c r="C9" s="5"/>
      <c r="D9" s="5"/>
      <c r="E9" s="5"/>
      <c r="F9" s="5"/>
      <c r="G9" s="5"/>
      <c r="H9" s="5"/>
      <c r="I9" s="20"/>
      <c r="J9" s="20"/>
      <c r="K9" s="20"/>
      <c r="L9" s="20"/>
      <c r="M9" s="5"/>
      <c r="N9" s="5"/>
      <c r="O9" s="5"/>
      <c r="P9" s="5"/>
      <c r="Q9" s="5"/>
      <c r="R9" s="5"/>
      <c r="S9" s="5"/>
      <c r="T9" s="5"/>
    </row>
    <row r="10" ht="15.75" customHeight="1" spans="1:20">
      <c r="A10" s="6" t="s">
        <v>188</v>
      </c>
      <c r="B10" s="6" t="s">
        <v>1997</v>
      </c>
      <c r="C10" s="6" t="s">
        <v>190</v>
      </c>
      <c r="D10" s="6" t="s">
        <v>218</v>
      </c>
      <c r="E10" s="6" t="s">
        <v>219</v>
      </c>
      <c r="F10" s="7" t="s">
        <v>220</v>
      </c>
      <c r="G10" s="7"/>
      <c r="H10" s="7"/>
      <c r="I10" s="16"/>
      <c r="J10" s="17" t="s">
        <v>29</v>
      </c>
      <c r="K10" s="12">
        <v>2300000</v>
      </c>
      <c r="L10" s="13">
        <v>2400000</v>
      </c>
      <c r="M10" s="14">
        <v>2600000</v>
      </c>
      <c r="N10" s="9">
        <f t="shared" ref="N10:N33" si="0">IF($M10="","",ROUND($M10*1.1,0))</f>
        <v>2860000</v>
      </c>
      <c r="O10" s="6">
        <v>99</v>
      </c>
      <c r="P10" s="6">
        <v>65</v>
      </c>
      <c r="Q10" s="6" t="s">
        <v>65</v>
      </c>
      <c r="R10" s="6">
        <v>86</v>
      </c>
      <c r="S10" s="6">
        <v>77</v>
      </c>
      <c r="T10" s="6">
        <v>12</v>
      </c>
    </row>
    <row r="11" ht="15.75" customHeight="1" spans="1:20">
      <c r="A11" s="10" t="s">
        <v>188</v>
      </c>
      <c r="B11" s="10" t="s">
        <v>1998</v>
      </c>
      <c r="C11" s="10" t="s">
        <v>190</v>
      </c>
      <c r="D11" s="10" t="s">
        <v>218</v>
      </c>
      <c r="E11" s="10" t="s">
        <v>237</v>
      </c>
      <c r="F11" s="11" t="s">
        <v>238</v>
      </c>
      <c r="G11" s="11"/>
      <c r="H11" s="11"/>
      <c r="I11" s="18"/>
      <c r="J11" s="19" t="s">
        <v>129</v>
      </c>
      <c r="K11" s="12">
        <v>2300000</v>
      </c>
      <c r="L11" s="13">
        <v>2400000</v>
      </c>
      <c r="M11" s="14">
        <v>2550000</v>
      </c>
      <c r="N11" s="9">
        <f t="shared" si="0"/>
        <v>2805000</v>
      </c>
      <c r="O11" s="10"/>
      <c r="P11" s="10"/>
      <c r="Q11" s="10"/>
      <c r="R11" s="10"/>
      <c r="S11" s="10"/>
      <c r="T11" s="10"/>
    </row>
    <row r="12" ht="28.5" customHeight="1" spans="1:20">
      <c r="A12" s="6" t="s">
        <v>188</v>
      </c>
      <c r="B12" s="6" t="s">
        <v>1999</v>
      </c>
      <c r="C12" s="6" t="s">
        <v>190</v>
      </c>
      <c r="D12" s="6" t="s">
        <v>218</v>
      </c>
      <c r="E12" s="6" t="s">
        <v>243</v>
      </c>
      <c r="F12" s="7" t="s">
        <v>244</v>
      </c>
      <c r="G12" s="7"/>
      <c r="H12" s="7"/>
      <c r="I12" s="16"/>
      <c r="J12" s="17" t="s">
        <v>29</v>
      </c>
      <c r="K12" s="12">
        <v>2300000</v>
      </c>
      <c r="L12" s="13">
        <v>2400000</v>
      </c>
      <c r="M12" s="14">
        <v>2600000</v>
      </c>
      <c r="N12" s="9">
        <f t="shared" si="0"/>
        <v>2860000</v>
      </c>
      <c r="O12" s="6">
        <v>99</v>
      </c>
      <c r="P12" s="6">
        <v>65</v>
      </c>
      <c r="Q12" s="6" t="s">
        <v>65</v>
      </c>
      <c r="R12" s="6">
        <v>86</v>
      </c>
      <c r="S12" s="6">
        <v>77</v>
      </c>
      <c r="T12" s="6">
        <v>12</v>
      </c>
    </row>
    <row r="13" ht="42.75" customHeight="1" spans="1:20">
      <c r="A13" s="10" t="s">
        <v>188</v>
      </c>
      <c r="B13" s="10" t="s">
        <v>2000</v>
      </c>
      <c r="C13" s="10" t="s">
        <v>190</v>
      </c>
      <c r="D13" s="10" t="s">
        <v>246</v>
      </c>
      <c r="E13" s="10" t="s">
        <v>247</v>
      </c>
      <c r="F13" s="11" t="s">
        <v>248</v>
      </c>
      <c r="G13" s="11" t="s">
        <v>249</v>
      </c>
      <c r="H13" s="11" t="s">
        <v>250</v>
      </c>
      <c r="I13" s="18"/>
      <c r="J13" s="19"/>
      <c r="K13" s="12">
        <v>2100000</v>
      </c>
      <c r="L13" s="13">
        <v>2250000</v>
      </c>
      <c r="M13" s="14">
        <v>2400000</v>
      </c>
      <c r="N13" s="9">
        <f t="shared" si="0"/>
        <v>2640000</v>
      </c>
      <c r="O13" s="10">
        <v>99</v>
      </c>
      <c r="P13" s="10">
        <v>65</v>
      </c>
      <c r="Q13" s="10" t="s">
        <v>65</v>
      </c>
      <c r="R13" s="10">
        <v>86</v>
      </c>
      <c r="S13" s="10">
        <v>77</v>
      </c>
      <c r="T13" s="10">
        <v>12</v>
      </c>
    </row>
    <row r="14" ht="42.75" customHeight="1" spans="1:20">
      <c r="A14" s="6" t="s">
        <v>188</v>
      </c>
      <c r="B14" s="6" t="s">
        <v>2001</v>
      </c>
      <c r="C14" s="6" t="s">
        <v>190</v>
      </c>
      <c r="D14" s="6" t="s">
        <v>252</v>
      </c>
      <c r="E14" s="6" t="s">
        <v>253</v>
      </c>
      <c r="F14" s="7" t="s">
        <v>254</v>
      </c>
      <c r="G14" s="7" t="s">
        <v>255</v>
      </c>
      <c r="H14" s="7"/>
      <c r="I14" s="16"/>
      <c r="J14" s="17" t="s">
        <v>29</v>
      </c>
      <c r="K14" s="12">
        <v>1950000</v>
      </c>
      <c r="L14" s="13">
        <v>2050000</v>
      </c>
      <c r="M14" s="14">
        <v>2200000</v>
      </c>
      <c r="N14" s="9">
        <f t="shared" si="0"/>
        <v>2420000</v>
      </c>
      <c r="O14" s="6">
        <v>99</v>
      </c>
      <c r="P14" s="6">
        <v>65</v>
      </c>
      <c r="Q14" s="6" t="s">
        <v>65</v>
      </c>
      <c r="R14" s="6">
        <v>86</v>
      </c>
      <c r="S14" s="6">
        <v>77</v>
      </c>
      <c r="T14" s="6">
        <v>12</v>
      </c>
    </row>
    <row r="15" ht="42.75" customHeight="1" spans="1:20">
      <c r="A15" s="10" t="s">
        <v>188</v>
      </c>
      <c r="B15" s="10" t="s">
        <v>2002</v>
      </c>
      <c r="C15" s="10" t="s">
        <v>190</v>
      </c>
      <c r="D15" s="10" t="s">
        <v>196</v>
      </c>
      <c r="E15" s="10" t="s">
        <v>260</v>
      </c>
      <c r="F15" s="11" t="s">
        <v>261</v>
      </c>
      <c r="G15" s="11"/>
      <c r="H15" s="11"/>
      <c r="I15" s="18"/>
      <c r="J15" s="19" t="s">
        <v>29</v>
      </c>
      <c r="K15" s="12">
        <v>1950000</v>
      </c>
      <c r="L15" s="13">
        <v>2050000</v>
      </c>
      <c r="M15" s="14">
        <v>2200000</v>
      </c>
      <c r="N15" s="9">
        <f t="shared" si="0"/>
        <v>2420000</v>
      </c>
      <c r="O15" s="10">
        <v>94</v>
      </c>
      <c r="P15" s="10">
        <v>61.6</v>
      </c>
      <c r="Q15" s="10" t="s">
        <v>30</v>
      </c>
      <c r="R15" s="10">
        <v>85.2</v>
      </c>
      <c r="S15" s="10">
        <v>72</v>
      </c>
      <c r="T15" s="10">
        <v>12</v>
      </c>
    </row>
    <row r="16" ht="28.5" customHeight="1" spans="1:20">
      <c r="A16" s="6" t="s">
        <v>188</v>
      </c>
      <c r="B16" s="6" t="s">
        <v>2003</v>
      </c>
      <c r="C16" s="6" t="s">
        <v>190</v>
      </c>
      <c r="D16" s="6" t="s">
        <v>292</v>
      </c>
      <c r="E16" s="6"/>
      <c r="F16" s="7" t="s">
        <v>293</v>
      </c>
      <c r="G16" s="7"/>
      <c r="H16" s="7"/>
      <c r="I16" s="16"/>
      <c r="J16" s="17" t="s">
        <v>33</v>
      </c>
      <c r="K16" s="12">
        <v>2300000</v>
      </c>
      <c r="L16" s="13">
        <v>2500000</v>
      </c>
      <c r="M16" s="14">
        <v>2600000</v>
      </c>
      <c r="N16" s="9">
        <f t="shared" si="0"/>
        <v>2860000</v>
      </c>
      <c r="O16" s="6">
        <v>93</v>
      </c>
      <c r="P16" s="6">
        <v>64</v>
      </c>
      <c r="Q16" s="6" t="s">
        <v>65</v>
      </c>
      <c r="R16" s="6">
        <v>75.8</v>
      </c>
      <c r="S16" s="6">
        <v>67</v>
      </c>
      <c r="T16" s="6">
        <v>12</v>
      </c>
    </row>
    <row r="17" ht="15.75" customHeight="1" spans="1:20">
      <c r="A17" s="10" t="s">
        <v>188</v>
      </c>
      <c r="B17" s="10" t="s">
        <v>2004</v>
      </c>
      <c r="C17" s="10" t="s">
        <v>190</v>
      </c>
      <c r="D17" s="10" t="s">
        <v>2005</v>
      </c>
      <c r="E17" s="10" t="s">
        <v>2006</v>
      </c>
      <c r="F17" s="11" t="s">
        <v>2007</v>
      </c>
      <c r="G17" s="11"/>
      <c r="H17" s="11"/>
      <c r="I17" s="18"/>
      <c r="J17" s="19" t="s">
        <v>29</v>
      </c>
      <c r="K17" s="12">
        <v>1750000</v>
      </c>
      <c r="L17" s="13">
        <v>1850000</v>
      </c>
      <c r="M17" s="14">
        <v>1950000</v>
      </c>
      <c r="N17" s="9">
        <f t="shared" si="0"/>
        <v>2145000</v>
      </c>
      <c r="O17" s="10">
        <v>85.9</v>
      </c>
      <c r="P17" s="10">
        <v>59.8</v>
      </c>
      <c r="Q17" s="10" t="s">
        <v>30</v>
      </c>
      <c r="R17" s="10">
        <v>85.8</v>
      </c>
      <c r="S17" s="10">
        <v>72</v>
      </c>
      <c r="T17" s="10">
        <v>11</v>
      </c>
    </row>
    <row r="18" ht="71.25" customHeight="1" spans="1:20">
      <c r="A18" s="6" t="s">
        <v>188</v>
      </c>
      <c r="B18" s="6" t="s">
        <v>2008</v>
      </c>
      <c r="C18" s="6" t="s">
        <v>190</v>
      </c>
      <c r="D18" s="6" t="s">
        <v>320</v>
      </c>
      <c r="E18" s="6" t="s">
        <v>316</v>
      </c>
      <c r="F18" s="7" t="s">
        <v>321</v>
      </c>
      <c r="G18" s="7" t="s">
        <v>322</v>
      </c>
      <c r="H18" s="7"/>
      <c r="I18" s="16" t="s">
        <v>323</v>
      </c>
      <c r="J18" s="17" t="s">
        <v>129</v>
      </c>
      <c r="K18" s="8"/>
      <c r="L18" s="8"/>
      <c r="M18" s="8"/>
      <c r="N18" s="9" t="str">
        <f t="shared" si="0"/>
        <v/>
      </c>
      <c r="O18" s="6">
        <v>83</v>
      </c>
      <c r="P18" s="6">
        <v>54</v>
      </c>
      <c r="Q18" s="6" t="s">
        <v>30</v>
      </c>
      <c r="R18" s="6">
        <v>76</v>
      </c>
      <c r="S18" s="6">
        <v>66.7</v>
      </c>
      <c r="T18" s="6">
        <v>12</v>
      </c>
    </row>
    <row r="19" ht="42.75" customHeight="1" spans="1:20">
      <c r="A19" s="10" t="s">
        <v>188</v>
      </c>
      <c r="B19" s="10" t="s">
        <v>2009</v>
      </c>
      <c r="C19" s="10" t="s">
        <v>190</v>
      </c>
      <c r="D19" s="10" t="s">
        <v>252</v>
      </c>
      <c r="E19" s="10" t="s">
        <v>326</v>
      </c>
      <c r="F19" s="11" t="s">
        <v>331</v>
      </c>
      <c r="G19" s="11" t="s">
        <v>332</v>
      </c>
      <c r="H19" s="11"/>
      <c r="I19" s="18" t="s">
        <v>329</v>
      </c>
      <c r="J19" s="19" t="s">
        <v>29</v>
      </c>
      <c r="K19" s="12">
        <v>1450000</v>
      </c>
      <c r="L19" s="13">
        <v>1550000</v>
      </c>
      <c r="M19" s="14">
        <v>1650000</v>
      </c>
      <c r="N19" s="9">
        <f t="shared" si="0"/>
        <v>1815000</v>
      </c>
      <c r="O19" s="10">
        <v>86</v>
      </c>
      <c r="P19" s="10">
        <v>56</v>
      </c>
      <c r="Q19" s="10" t="s">
        <v>65</v>
      </c>
      <c r="R19" s="10">
        <v>76</v>
      </c>
      <c r="S19" s="10">
        <v>64</v>
      </c>
      <c r="T19" s="10">
        <v>12</v>
      </c>
    </row>
    <row r="20" ht="327.75" customHeight="1" spans="1:20">
      <c r="A20" s="6" t="s">
        <v>188</v>
      </c>
      <c r="B20" s="6" t="s">
        <v>2010</v>
      </c>
      <c r="C20" s="6" t="s">
        <v>190</v>
      </c>
      <c r="D20" s="6" t="s">
        <v>295</v>
      </c>
      <c r="E20" s="6" t="s">
        <v>296</v>
      </c>
      <c r="F20" s="7" t="s">
        <v>297</v>
      </c>
      <c r="G20" s="7"/>
      <c r="H20" s="7"/>
      <c r="I20" s="16"/>
      <c r="J20" s="17" t="s">
        <v>29</v>
      </c>
      <c r="K20" s="8"/>
      <c r="L20" s="8"/>
      <c r="M20" s="8"/>
      <c r="N20" s="9" t="str">
        <f t="shared" si="0"/>
        <v/>
      </c>
      <c r="O20" s="6">
        <v>85</v>
      </c>
      <c r="P20" s="6">
        <v>56</v>
      </c>
      <c r="Q20" s="6" t="s">
        <v>65</v>
      </c>
      <c r="R20" s="6">
        <v>69.8</v>
      </c>
      <c r="S20" s="6">
        <v>60</v>
      </c>
      <c r="T20" s="6">
        <v>12</v>
      </c>
    </row>
    <row r="21" ht="42.75" customHeight="1" spans="1:20">
      <c r="A21" s="10" t="s">
        <v>188</v>
      </c>
      <c r="B21" s="10" t="s">
        <v>2011</v>
      </c>
      <c r="C21" s="10" t="s">
        <v>190</v>
      </c>
      <c r="D21" s="10" t="s">
        <v>226</v>
      </c>
      <c r="E21" s="10" t="s">
        <v>227</v>
      </c>
      <c r="F21" s="11" t="s">
        <v>228</v>
      </c>
      <c r="G21" s="11"/>
      <c r="H21" s="11" t="s">
        <v>226</v>
      </c>
      <c r="I21" s="18" t="s">
        <v>229</v>
      </c>
      <c r="J21" s="19" t="s">
        <v>29</v>
      </c>
      <c r="K21" s="12">
        <v>3200000</v>
      </c>
      <c r="L21" s="13">
        <v>3350000</v>
      </c>
      <c r="M21" s="14">
        <v>3500000</v>
      </c>
      <c r="N21" s="9">
        <f t="shared" si="0"/>
        <v>3850000</v>
      </c>
      <c r="O21" s="10">
        <v>141</v>
      </c>
      <c r="P21" s="10">
        <v>91.6</v>
      </c>
      <c r="Q21" s="10" t="s">
        <v>30</v>
      </c>
      <c r="R21" s="10">
        <v>129</v>
      </c>
      <c r="S21" s="10">
        <v>95.85</v>
      </c>
      <c r="T21" s="10">
        <v>11</v>
      </c>
    </row>
    <row r="22" ht="42.75" customHeight="1" spans="1:20">
      <c r="A22" s="6" t="s">
        <v>188</v>
      </c>
      <c r="B22" s="6" t="s">
        <v>2012</v>
      </c>
      <c r="C22" s="6" t="s">
        <v>190</v>
      </c>
      <c r="D22" s="6" t="s">
        <v>272</v>
      </c>
      <c r="E22" s="6" t="s">
        <v>273</v>
      </c>
      <c r="F22" s="7" t="s">
        <v>278</v>
      </c>
      <c r="G22" s="7" t="s">
        <v>279</v>
      </c>
      <c r="H22" s="7"/>
      <c r="I22" s="16"/>
      <c r="J22" s="17"/>
      <c r="K22" s="12">
        <v>1450000</v>
      </c>
      <c r="L22" s="13">
        <v>1550000</v>
      </c>
      <c r="M22" s="14">
        <v>1650000</v>
      </c>
      <c r="N22" s="9">
        <f t="shared" si="0"/>
        <v>1815000</v>
      </c>
      <c r="O22" s="6">
        <v>69</v>
      </c>
      <c r="P22" s="6">
        <v>40.2</v>
      </c>
      <c r="Q22" s="6" t="s">
        <v>99</v>
      </c>
      <c r="R22" s="6">
        <v>65.4</v>
      </c>
      <c r="S22" s="6">
        <v>52</v>
      </c>
      <c r="T22" s="6">
        <v>12</v>
      </c>
    </row>
    <row r="23" ht="114" customHeight="1" spans="1:20">
      <c r="A23" s="10" t="s">
        <v>188</v>
      </c>
      <c r="B23" s="10" t="s">
        <v>2013</v>
      </c>
      <c r="C23" s="10" t="s">
        <v>190</v>
      </c>
      <c r="D23" s="10" t="s">
        <v>348</v>
      </c>
      <c r="E23" s="10" t="s">
        <v>349</v>
      </c>
      <c r="F23" s="11" t="s">
        <v>350</v>
      </c>
      <c r="G23" s="11"/>
      <c r="H23" s="11"/>
      <c r="I23" s="18"/>
      <c r="J23" s="19" t="s">
        <v>29</v>
      </c>
      <c r="K23" s="12">
        <v>2500000</v>
      </c>
      <c r="L23" s="13">
        <v>2650000</v>
      </c>
      <c r="M23" s="14">
        <v>2800000</v>
      </c>
      <c r="N23" s="9">
        <f t="shared" si="0"/>
        <v>3080000</v>
      </c>
      <c r="O23" s="10">
        <v>109</v>
      </c>
      <c r="P23" s="10">
        <v>73.5</v>
      </c>
      <c r="Q23" s="10" t="s">
        <v>215</v>
      </c>
      <c r="R23" s="10">
        <v>97</v>
      </c>
      <c r="S23" s="10">
        <v>86.36</v>
      </c>
      <c r="T23" s="10" t="s">
        <v>216</v>
      </c>
    </row>
    <row r="24" ht="28.5" customHeight="1" spans="1:20">
      <c r="A24" s="6" t="s">
        <v>188</v>
      </c>
      <c r="B24" s="6" t="s">
        <v>2014</v>
      </c>
      <c r="C24" s="6" t="s">
        <v>190</v>
      </c>
      <c r="D24" s="6" t="s">
        <v>289</v>
      </c>
      <c r="E24" s="6"/>
      <c r="F24" s="7" t="s">
        <v>290</v>
      </c>
      <c r="G24" s="7"/>
      <c r="H24" s="7"/>
      <c r="I24" s="16"/>
      <c r="J24" s="17" t="s">
        <v>29</v>
      </c>
      <c r="K24" s="8"/>
      <c r="L24" s="8"/>
      <c r="M24" s="8"/>
      <c r="N24" s="9" t="str">
        <f t="shared" si="0"/>
        <v/>
      </c>
      <c r="O24" s="6">
        <v>108.8</v>
      </c>
      <c r="P24" s="6">
        <v>71.8</v>
      </c>
      <c r="Q24" s="6" t="s">
        <v>30</v>
      </c>
      <c r="R24" s="6">
        <v>85.8</v>
      </c>
      <c r="S24" s="6">
        <v>75</v>
      </c>
      <c r="T24" s="6">
        <v>12</v>
      </c>
    </row>
    <row r="25" ht="28.5" customHeight="1" spans="1:20">
      <c r="A25" s="10" t="s">
        <v>188</v>
      </c>
      <c r="B25" s="10" t="s">
        <v>2015</v>
      </c>
      <c r="C25" s="10" t="s">
        <v>190</v>
      </c>
      <c r="D25" s="10" t="s">
        <v>307</v>
      </c>
      <c r="E25" s="10" t="s">
        <v>282</v>
      </c>
      <c r="F25" s="11" t="s">
        <v>310</v>
      </c>
      <c r="G25" s="11" t="s">
        <v>311</v>
      </c>
      <c r="H25" s="11"/>
      <c r="I25" s="18"/>
      <c r="J25" s="19" t="s">
        <v>129</v>
      </c>
      <c r="K25" s="8"/>
      <c r="L25" s="8"/>
      <c r="M25" s="8"/>
      <c r="N25" s="9" t="str">
        <f t="shared" si="0"/>
        <v/>
      </c>
      <c r="O25" s="10">
        <v>58</v>
      </c>
      <c r="P25" s="10">
        <v>41</v>
      </c>
      <c r="Q25" s="10" t="s">
        <v>99</v>
      </c>
      <c r="R25" s="10">
        <v>49</v>
      </c>
      <c r="S25" s="10">
        <v>44</v>
      </c>
      <c r="T25" s="10">
        <v>11</v>
      </c>
    </row>
    <row r="26" ht="28.5" customHeight="1" spans="1:20">
      <c r="A26" s="6" t="s">
        <v>312</v>
      </c>
      <c r="B26" s="6" t="s">
        <v>2016</v>
      </c>
      <c r="C26" s="6" t="s">
        <v>190</v>
      </c>
      <c r="D26" s="6" t="s">
        <v>307</v>
      </c>
      <c r="E26" s="6" t="s">
        <v>282</v>
      </c>
      <c r="F26" s="7" t="s">
        <v>310</v>
      </c>
      <c r="G26" s="7" t="s">
        <v>311</v>
      </c>
      <c r="H26" s="7"/>
      <c r="I26" s="16"/>
      <c r="J26" s="17" t="s">
        <v>47</v>
      </c>
      <c r="K26" s="8"/>
      <c r="L26" s="8"/>
      <c r="M26" s="8"/>
      <c r="N26" s="9" t="str">
        <f t="shared" si="0"/>
        <v/>
      </c>
      <c r="O26" s="6">
        <v>58</v>
      </c>
      <c r="P26" s="6">
        <v>41</v>
      </c>
      <c r="Q26" s="6" t="s">
        <v>99</v>
      </c>
      <c r="R26" s="6">
        <v>49</v>
      </c>
      <c r="S26" s="6">
        <v>44</v>
      </c>
      <c r="T26" s="6">
        <v>11</v>
      </c>
    </row>
    <row r="27" ht="28.5" customHeight="1" spans="1:20">
      <c r="A27" s="10" t="s">
        <v>188</v>
      </c>
      <c r="B27" s="10" t="s">
        <v>2017</v>
      </c>
      <c r="C27" s="10" t="s">
        <v>190</v>
      </c>
      <c r="D27" s="10" t="s">
        <v>211</v>
      </c>
      <c r="E27" s="10" t="s">
        <v>212</v>
      </c>
      <c r="F27" s="11" t="s">
        <v>213</v>
      </c>
      <c r="G27" s="11" t="s">
        <v>214</v>
      </c>
      <c r="H27" s="11"/>
      <c r="I27" s="18"/>
      <c r="J27" s="19" t="s">
        <v>29</v>
      </c>
      <c r="K27" s="8"/>
      <c r="L27" s="8"/>
      <c r="M27" s="8"/>
      <c r="N27" s="9" t="str">
        <f t="shared" si="0"/>
        <v/>
      </c>
      <c r="O27" s="10">
        <v>109</v>
      </c>
      <c r="P27" s="10">
        <v>74.5</v>
      </c>
      <c r="Q27" s="10" t="s">
        <v>215</v>
      </c>
      <c r="R27" s="10">
        <v>97</v>
      </c>
      <c r="S27" s="10">
        <v>86.36</v>
      </c>
      <c r="T27" s="10" t="s">
        <v>216</v>
      </c>
    </row>
    <row r="28" ht="28.5" customHeight="1" spans="1:20">
      <c r="A28" s="6" t="s">
        <v>188</v>
      </c>
      <c r="B28" s="6" t="s">
        <v>2018</v>
      </c>
      <c r="C28" s="6" t="s">
        <v>190</v>
      </c>
      <c r="D28" s="6" t="s">
        <v>365</v>
      </c>
      <c r="E28" s="6" t="s">
        <v>366</v>
      </c>
      <c r="F28" s="7" t="s">
        <v>367</v>
      </c>
      <c r="G28" s="7" t="s">
        <v>368</v>
      </c>
      <c r="H28" s="7"/>
      <c r="I28" s="16"/>
      <c r="J28" s="17" t="s">
        <v>29</v>
      </c>
      <c r="K28" s="8"/>
      <c r="L28" s="8"/>
      <c r="M28" s="8"/>
      <c r="N28" s="9" t="str">
        <f t="shared" si="0"/>
        <v/>
      </c>
      <c r="O28" s="6"/>
      <c r="P28" s="6"/>
      <c r="Q28" s="6"/>
      <c r="R28" s="6"/>
      <c r="S28" s="6"/>
      <c r="T28" s="6"/>
    </row>
    <row r="29" ht="28.5" customHeight="1" spans="1:20">
      <c r="A29" s="10" t="s">
        <v>188</v>
      </c>
      <c r="B29" s="10" t="s">
        <v>2019</v>
      </c>
      <c r="C29" s="10" t="s">
        <v>190</v>
      </c>
      <c r="D29" s="10" t="s">
        <v>272</v>
      </c>
      <c r="E29" s="10" t="s">
        <v>273</v>
      </c>
      <c r="F29" s="11" t="s">
        <v>274</v>
      </c>
      <c r="G29" s="11" t="s">
        <v>275</v>
      </c>
      <c r="H29" s="11"/>
      <c r="I29" s="18" t="s">
        <v>276</v>
      </c>
      <c r="J29" s="19" t="s">
        <v>29</v>
      </c>
      <c r="K29" s="12">
        <v>1400000</v>
      </c>
      <c r="L29" s="13">
        <v>1500000</v>
      </c>
      <c r="M29" s="14">
        <v>1600000</v>
      </c>
      <c r="N29" s="9">
        <f t="shared" si="0"/>
        <v>1760000</v>
      </c>
      <c r="O29" s="10">
        <v>73</v>
      </c>
      <c r="P29" s="10">
        <v>44</v>
      </c>
      <c r="Q29" s="10" t="s">
        <v>99</v>
      </c>
      <c r="R29" s="10">
        <v>65.4</v>
      </c>
      <c r="S29" s="10">
        <v>52</v>
      </c>
      <c r="T29" s="10">
        <v>12</v>
      </c>
    </row>
    <row r="30" ht="15.75" customHeight="1" spans="1:20">
      <c r="A30" s="6" t="s">
        <v>188</v>
      </c>
      <c r="B30" s="6" t="s">
        <v>2020</v>
      </c>
      <c r="C30" s="6" t="s">
        <v>61</v>
      </c>
      <c r="D30" s="6" t="s">
        <v>352</v>
      </c>
      <c r="E30" s="6" t="s">
        <v>353</v>
      </c>
      <c r="F30" s="7" t="s">
        <v>354</v>
      </c>
      <c r="G30" s="7"/>
      <c r="H30" s="7"/>
      <c r="I30" s="16"/>
      <c r="J30" s="17" t="s">
        <v>29</v>
      </c>
      <c r="K30" s="8"/>
      <c r="L30" s="8"/>
      <c r="M30" s="8"/>
      <c r="N30" s="9" t="str">
        <f t="shared" si="0"/>
        <v/>
      </c>
      <c r="O30" s="6">
        <v>53</v>
      </c>
      <c r="P30" s="6">
        <v>40.3</v>
      </c>
      <c r="Q30" s="6" t="s">
        <v>99</v>
      </c>
      <c r="R30" s="6">
        <v>45</v>
      </c>
      <c r="S30" s="6">
        <v>42.3</v>
      </c>
      <c r="T30" s="6">
        <v>10</v>
      </c>
    </row>
    <row r="31" ht="57" customHeight="1" spans="1:20">
      <c r="A31" s="10" t="s">
        <v>188</v>
      </c>
      <c r="B31" s="10" t="s">
        <v>2021</v>
      </c>
      <c r="C31" s="10"/>
      <c r="D31" s="10"/>
      <c r="E31" s="10"/>
      <c r="F31" s="21" t="s">
        <v>1779</v>
      </c>
      <c r="G31" s="11"/>
      <c r="H31" s="11"/>
      <c r="I31" s="18" t="s">
        <v>2022</v>
      </c>
      <c r="J31" s="19" t="s">
        <v>29</v>
      </c>
      <c r="K31" s="12">
        <v>1500000</v>
      </c>
      <c r="L31" s="13">
        <v>1600000</v>
      </c>
      <c r="M31" s="14">
        <v>1700000</v>
      </c>
      <c r="N31" s="9">
        <f t="shared" si="0"/>
        <v>1870000</v>
      </c>
      <c r="O31" s="10"/>
      <c r="P31" s="10"/>
      <c r="Q31" s="10"/>
      <c r="R31" s="10"/>
      <c r="S31" s="10"/>
      <c r="T31" s="10"/>
    </row>
    <row r="32" ht="57" customHeight="1" spans="1:20">
      <c r="A32" s="6" t="s">
        <v>188</v>
      </c>
      <c r="B32" s="6" t="s">
        <v>2023</v>
      </c>
      <c r="C32" s="6"/>
      <c r="D32" s="6"/>
      <c r="E32" s="6"/>
      <c r="F32" s="22" t="s">
        <v>2024</v>
      </c>
      <c r="G32" s="7"/>
      <c r="H32" s="7"/>
      <c r="I32" s="16" t="s">
        <v>2025</v>
      </c>
      <c r="J32" s="17" t="s">
        <v>29</v>
      </c>
      <c r="K32" s="8"/>
      <c r="L32" s="8"/>
      <c r="M32" s="8"/>
      <c r="N32" s="9" t="str">
        <f t="shared" si="0"/>
        <v/>
      </c>
      <c r="O32" s="6"/>
      <c r="P32" s="6"/>
      <c r="Q32" s="6"/>
      <c r="R32" s="6"/>
      <c r="S32" s="6"/>
      <c r="T32" s="6"/>
    </row>
    <row r="33" ht="43.5" customHeight="1" spans="1:20">
      <c r="A33" s="10" t="s">
        <v>188</v>
      </c>
      <c r="B33" s="10" t="s">
        <v>2026</v>
      </c>
      <c r="C33" s="10"/>
      <c r="D33" s="10"/>
      <c r="E33" s="10"/>
      <c r="F33" s="21" t="s">
        <v>2027</v>
      </c>
      <c r="G33" s="11"/>
      <c r="H33" s="11"/>
      <c r="I33" s="18" t="s">
        <v>2028</v>
      </c>
      <c r="J33" s="19" t="s">
        <v>29</v>
      </c>
      <c r="K33" s="12">
        <v>1150000</v>
      </c>
      <c r="L33" s="13">
        <v>1250000</v>
      </c>
      <c r="M33" s="14">
        <v>1350000</v>
      </c>
      <c r="N33" s="9">
        <f t="shared" si="0"/>
        <v>1485000</v>
      </c>
      <c r="O33" s="10"/>
      <c r="P33" s="10"/>
      <c r="Q33" s="10"/>
      <c r="R33" s="10"/>
      <c r="S33" s="10"/>
      <c r="T33" s="10"/>
    </row>
    <row r="34" ht="21.75" customHeight="1" spans="1:20">
      <c r="A34" s="5" t="s">
        <v>2029</v>
      </c>
      <c r="B34" s="5"/>
      <c r="C34" s="5"/>
      <c r="D34" s="5"/>
      <c r="E34" s="5"/>
      <c r="F34" s="5"/>
      <c r="G34" s="5"/>
      <c r="H34" s="5"/>
      <c r="I34" s="20"/>
      <c r="J34" s="20"/>
      <c r="K34" s="20"/>
      <c r="L34" s="20"/>
      <c r="M34" s="5"/>
      <c r="N34" s="5"/>
      <c r="O34" s="5"/>
      <c r="P34" s="5"/>
      <c r="Q34" s="5"/>
      <c r="R34" s="5"/>
      <c r="S34" s="5"/>
      <c r="T34" s="5"/>
    </row>
    <row r="35" ht="28.5" customHeight="1" spans="1:20">
      <c r="A35" s="6" t="s">
        <v>374</v>
      </c>
      <c r="B35" s="6" t="s">
        <v>2030</v>
      </c>
      <c r="C35" s="6" t="s">
        <v>25</v>
      </c>
      <c r="D35" s="6" t="s">
        <v>2031</v>
      </c>
      <c r="E35" s="6" t="s">
        <v>2032</v>
      </c>
      <c r="F35" s="7" t="s">
        <v>2033</v>
      </c>
      <c r="G35" s="7"/>
      <c r="H35" s="7"/>
      <c r="I35" s="16"/>
      <c r="J35" s="17" t="s">
        <v>33</v>
      </c>
      <c r="K35" s="12">
        <v>5600000</v>
      </c>
      <c r="L35" s="13">
        <v>5900000</v>
      </c>
      <c r="M35" s="14">
        <v>6300000</v>
      </c>
      <c r="N35" s="9">
        <f>IF($M35="","",ROUND($M35*1.1,0))</f>
        <v>6930000</v>
      </c>
      <c r="O35" s="6"/>
      <c r="P35" s="6"/>
      <c r="Q35" s="6"/>
      <c r="R35" s="6"/>
      <c r="S35" s="6"/>
      <c r="T35" s="6"/>
    </row>
    <row r="36" ht="57" customHeight="1" spans="1:20">
      <c r="A36" s="10" t="s">
        <v>374</v>
      </c>
      <c r="B36" s="10" t="s">
        <v>2034</v>
      </c>
      <c r="C36" s="10"/>
      <c r="D36" s="10"/>
      <c r="E36" s="10"/>
      <c r="F36" s="21" t="s">
        <v>2035</v>
      </c>
      <c r="G36" s="11"/>
      <c r="H36" s="11"/>
      <c r="I36" s="18" t="s">
        <v>2036</v>
      </c>
      <c r="J36" s="19" t="s">
        <v>33</v>
      </c>
      <c r="K36" s="12">
        <v>5600000</v>
      </c>
      <c r="L36" s="13">
        <v>5900000</v>
      </c>
      <c r="M36" s="14">
        <v>6300000</v>
      </c>
      <c r="N36" s="9">
        <f>IF($M36="","",ROUND($M36*1.1,0))</f>
        <v>6930000</v>
      </c>
      <c r="O36" s="10"/>
      <c r="P36" s="10"/>
      <c r="Q36" s="10"/>
      <c r="R36" s="10"/>
      <c r="S36" s="10"/>
      <c r="T36" s="10"/>
    </row>
    <row r="37" ht="57.75" customHeight="1" spans="1:20">
      <c r="A37" s="6" t="s">
        <v>374</v>
      </c>
      <c r="B37" s="6" t="s">
        <v>2037</v>
      </c>
      <c r="C37" s="6"/>
      <c r="D37" s="6"/>
      <c r="E37" s="6"/>
      <c r="F37" s="22" t="s">
        <v>2038</v>
      </c>
      <c r="G37" s="7"/>
      <c r="H37" s="7"/>
      <c r="I37" s="16" t="s">
        <v>2039</v>
      </c>
      <c r="J37" s="17" t="s">
        <v>33</v>
      </c>
      <c r="K37" s="12">
        <v>3600000</v>
      </c>
      <c r="L37" s="13">
        <v>3800000</v>
      </c>
      <c r="M37" s="14">
        <v>4000000</v>
      </c>
      <c r="N37" s="9">
        <f>IF($M37="","",ROUND($M37*1.1,0))</f>
        <v>4400000</v>
      </c>
      <c r="O37" s="6"/>
      <c r="P37" s="6"/>
      <c r="Q37" s="6"/>
      <c r="R37" s="6"/>
      <c r="S37" s="6"/>
      <c r="T37" s="6"/>
    </row>
    <row r="38" ht="21.75" customHeight="1" spans="1:20">
      <c r="A38" s="5" t="s">
        <v>2040</v>
      </c>
      <c r="B38" s="5"/>
      <c r="C38" s="5"/>
      <c r="D38" s="5"/>
      <c r="E38" s="5"/>
      <c r="F38" s="5"/>
      <c r="G38" s="5"/>
      <c r="H38" s="5"/>
      <c r="I38" s="20"/>
      <c r="J38" s="20"/>
      <c r="K38" s="20"/>
      <c r="L38" s="20"/>
      <c r="M38" s="5"/>
      <c r="N38" s="5"/>
      <c r="O38" s="5"/>
      <c r="P38" s="5"/>
      <c r="Q38" s="5"/>
      <c r="R38" s="5"/>
      <c r="S38" s="5"/>
      <c r="T38" s="5"/>
    </row>
    <row r="39" ht="43.5" customHeight="1" spans="1:20">
      <c r="A39" s="6" t="s">
        <v>379</v>
      </c>
      <c r="B39" s="6" t="s">
        <v>2041</v>
      </c>
      <c r="C39" s="6" t="s">
        <v>25</v>
      </c>
      <c r="D39" s="6" t="s">
        <v>440</v>
      </c>
      <c r="E39" s="6" t="s">
        <v>446</v>
      </c>
      <c r="F39" s="7" t="s">
        <v>447</v>
      </c>
      <c r="G39" s="7" t="s">
        <v>448</v>
      </c>
      <c r="H39" s="7" t="s">
        <v>449</v>
      </c>
      <c r="I39" s="16"/>
      <c r="J39" s="17"/>
      <c r="K39" s="12">
        <v>1500000</v>
      </c>
      <c r="L39" s="13">
        <v>1600000</v>
      </c>
      <c r="M39" s="14">
        <v>1700000</v>
      </c>
      <c r="N39" s="9">
        <f>IF($M39="","",ROUND($M39*1.1,0))</f>
        <v>1870000</v>
      </c>
      <c r="O39" s="6">
        <v>76.1</v>
      </c>
      <c r="P39" s="6">
        <v>52.8</v>
      </c>
      <c r="Q39" s="6" t="s">
        <v>99</v>
      </c>
      <c r="R39" s="6">
        <v>74.26</v>
      </c>
      <c r="S39" s="6">
        <v>64.6</v>
      </c>
      <c r="T39" s="6">
        <v>11</v>
      </c>
    </row>
    <row r="40" ht="21.75" customHeight="1" spans="1:20">
      <c r="A40" s="5" t="s">
        <v>2042</v>
      </c>
      <c r="B40" s="5"/>
      <c r="C40" s="5"/>
      <c r="D40" s="5"/>
      <c r="E40" s="5"/>
      <c r="F40" s="5"/>
      <c r="G40" s="5"/>
      <c r="H40" s="5"/>
      <c r="I40" s="20"/>
      <c r="J40" s="20"/>
      <c r="K40" s="20"/>
      <c r="L40" s="20"/>
      <c r="M40" s="5"/>
      <c r="N40" s="5"/>
      <c r="O40" s="5"/>
      <c r="P40" s="5"/>
      <c r="Q40" s="5"/>
      <c r="R40" s="5"/>
      <c r="S40" s="5"/>
      <c r="T40" s="5"/>
    </row>
    <row r="41" ht="15.75" customHeight="1" spans="1:20">
      <c r="A41" s="6" t="s">
        <v>460</v>
      </c>
      <c r="B41" s="6" t="s">
        <v>2043</v>
      </c>
      <c r="C41" s="6" t="s">
        <v>61</v>
      </c>
      <c r="D41" s="6" t="s">
        <v>409</v>
      </c>
      <c r="E41" s="6" t="s">
        <v>466</v>
      </c>
      <c r="F41" s="7" t="s">
        <v>467</v>
      </c>
      <c r="G41" s="7"/>
      <c r="H41" s="7"/>
      <c r="I41" s="16"/>
      <c r="J41" s="17" t="s">
        <v>29</v>
      </c>
      <c r="K41" s="8"/>
      <c r="L41" s="8"/>
      <c r="M41" s="8"/>
      <c r="N41" s="9" t="str">
        <f>IF($M41="","",ROUND($M41*1.1,0))</f>
        <v/>
      </c>
      <c r="O41" s="6"/>
      <c r="P41" s="6"/>
      <c r="Q41" s="6"/>
      <c r="R41" s="6"/>
      <c r="S41" s="6"/>
      <c r="T41" s="6"/>
    </row>
    <row r="42" ht="57" customHeight="1" spans="1:20">
      <c r="A42" s="10" t="s">
        <v>460</v>
      </c>
      <c r="B42" s="10" t="s">
        <v>2044</v>
      </c>
      <c r="C42" s="10" t="s">
        <v>25</v>
      </c>
      <c r="D42" s="10" t="s">
        <v>482</v>
      </c>
      <c r="E42" s="10" t="s">
        <v>483</v>
      </c>
      <c r="F42" s="11" t="s">
        <v>484</v>
      </c>
      <c r="G42" s="11" t="s">
        <v>485</v>
      </c>
      <c r="H42" s="11"/>
      <c r="I42" s="18"/>
      <c r="J42" s="19" t="s">
        <v>29</v>
      </c>
      <c r="K42" s="12">
        <v>1700000</v>
      </c>
      <c r="L42" s="13">
        <v>1850000</v>
      </c>
      <c r="M42" s="14">
        <v>2000000</v>
      </c>
      <c r="N42" s="9">
        <f>IF($M42="","",ROUND($M42*1.1,0))</f>
        <v>2200000</v>
      </c>
      <c r="O42" s="10"/>
      <c r="P42" s="10"/>
      <c r="Q42" s="10"/>
      <c r="R42" s="10"/>
      <c r="S42" s="10"/>
      <c r="T42" s="10"/>
    </row>
    <row r="43" ht="57.75" customHeight="1" spans="1:20">
      <c r="A43" s="6" t="s">
        <v>460</v>
      </c>
      <c r="B43" s="6" t="s">
        <v>2045</v>
      </c>
      <c r="C43" s="6" t="s">
        <v>25</v>
      </c>
      <c r="D43" s="6" t="s">
        <v>476</v>
      </c>
      <c r="E43" s="6" t="s">
        <v>477</v>
      </c>
      <c r="F43" s="7" t="s">
        <v>478</v>
      </c>
      <c r="G43" s="7" t="s">
        <v>479</v>
      </c>
      <c r="H43" s="7" t="s">
        <v>480</v>
      </c>
      <c r="I43" s="16"/>
      <c r="J43" s="17" t="s">
        <v>29</v>
      </c>
      <c r="K43" s="12">
        <v>2250000</v>
      </c>
      <c r="L43" s="13">
        <v>2400000</v>
      </c>
      <c r="M43" s="14">
        <v>2600000</v>
      </c>
      <c r="N43" s="9">
        <f>IF($M43="","",ROUND($M43*1.1,0))</f>
        <v>2860000</v>
      </c>
      <c r="O43" s="6">
        <v>88</v>
      </c>
      <c r="P43" s="6">
        <v>60.8</v>
      </c>
      <c r="Q43" s="6" t="s">
        <v>99</v>
      </c>
      <c r="R43" s="6">
        <v>82</v>
      </c>
      <c r="S43" s="6">
        <v>72.4</v>
      </c>
      <c r="T43" s="6">
        <v>10</v>
      </c>
    </row>
    <row r="44" ht="21.75" customHeight="1" spans="1:20">
      <c r="A44" s="5" t="s">
        <v>2046</v>
      </c>
      <c r="B44" s="5"/>
      <c r="C44" s="5"/>
      <c r="D44" s="5"/>
      <c r="E44" s="5"/>
      <c r="F44" s="5"/>
      <c r="G44" s="5"/>
      <c r="H44" s="5"/>
      <c r="I44" s="20"/>
      <c r="J44" s="20"/>
      <c r="K44" s="20"/>
      <c r="L44" s="20"/>
      <c r="M44" s="5"/>
      <c r="N44" s="5"/>
      <c r="O44" s="5"/>
      <c r="P44" s="5"/>
      <c r="Q44" s="5"/>
      <c r="R44" s="5"/>
      <c r="S44" s="5"/>
      <c r="T44" s="5"/>
    </row>
    <row r="45" ht="242.25" customHeight="1" spans="1:20">
      <c r="A45" s="6" t="s">
        <v>490</v>
      </c>
      <c r="B45" s="6" t="s">
        <v>2047</v>
      </c>
      <c r="C45" s="6" t="s">
        <v>25</v>
      </c>
      <c r="D45" s="6" t="s">
        <v>500</v>
      </c>
      <c r="E45" s="6" t="s">
        <v>507</v>
      </c>
      <c r="F45" s="7" t="s">
        <v>502</v>
      </c>
      <c r="G45" s="7" t="s">
        <v>508</v>
      </c>
      <c r="H45" s="7" t="s">
        <v>504</v>
      </c>
      <c r="I45" s="16"/>
      <c r="J45" s="17" t="s">
        <v>29</v>
      </c>
      <c r="K45" s="12">
        <v>1700000</v>
      </c>
      <c r="L45" s="13">
        <v>1850000</v>
      </c>
      <c r="M45" s="14">
        <v>2000000</v>
      </c>
      <c r="N45" s="9">
        <f t="shared" ref="N45:N58" si="1">IF($M45="","",ROUND($M45*1.1,0))</f>
        <v>2200000</v>
      </c>
      <c r="O45" s="6">
        <v>57.9</v>
      </c>
      <c r="P45" s="6">
        <v>38</v>
      </c>
      <c r="Q45" s="6" t="s">
        <v>505</v>
      </c>
      <c r="R45" s="6">
        <v>47</v>
      </c>
      <c r="S45" s="6">
        <v>43</v>
      </c>
      <c r="T45" s="6">
        <v>9</v>
      </c>
    </row>
    <row r="46" ht="71.25" customHeight="1" spans="1:20">
      <c r="A46" s="10" t="s">
        <v>490</v>
      </c>
      <c r="B46" s="10" t="s">
        <v>2048</v>
      </c>
      <c r="C46" s="10" t="s">
        <v>25</v>
      </c>
      <c r="D46" s="10" t="s">
        <v>516</v>
      </c>
      <c r="E46" s="10"/>
      <c r="F46" s="11" t="s">
        <v>517</v>
      </c>
      <c r="G46" s="11" t="s">
        <v>518</v>
      </c>
      <c r="H46" s="11" t="s">
        <v>519</v>
      </c>
      <c r="I46" s="18"/>
      <c r="J46" s="19" t="s">
        <v>29</v>
      </c>
      <c r="K46" s="12">
        <v>1400000</v>
      </c>
      <c r="L46" s="13">
        <v>1500000</v>
      </c>
      <c r="M46" s="14">
        <v>1600000</v>
      </c>
      <c r="N46" s="9">
        <f t="shared" si="1"/>
        <v>1760000</v>
      </c>
      <c r="O46" s="10">
        <v>45.5</v>
      </c>
      <c r="P46" s="10">
        <v>33.2</v>
      </c>
      <c r="Q46" s="10" t="s">
        <v>520</v>
      </c>
      <c r="R46" s="10">
        <v>39</v>
      </c>
      <c r="S46" s="10">
        <v>35.8</v>
      </c>
      <c r="T46" s="10">
        <v>9</v>
      </c>
    </row>
    <row r="47" ht="213.75" customHeight="1" spans="1:20">
      <c r="A47" s="6" t="s">
        <v>490</v>
      </c>
      <c r="B47" s="6" t="s">
        <v>2049</v>
      </c>
      <c r="C47" s="6" t="s">
        <v>25</v>
      </c>
      <c r="D47" s="6" t="s">
        <v>511</v>
      </c>
      <c r="E47" s="6" t="s">
        <v>507</v>
      </c>
      <c r="F47" s="7" t="s">
        <v>512</v>
      </c>
      <c r="G47" s="7" t="s">
        <v>513</v>
      </c>
      <c r="H47" s="7" t="s">
        <v>514</v>
      </c>
      <c r="I47" s="16"/>
      <c r="J47" s="17" t="s">
        <v>29</v>
      </c>
      <c r="K47" s="12">
        <v>1700000</v>
      </c>
      <c r="L47" s="13">
        <v>1850000</v>
      </c>
      <c r="M47" s="14">
        <v>2000000</v>
      </c>
      <c r="N47" s="9">
        <f t="shared" si="1"/>
        <v>2200000</v>
      </c>
      <c r="O47" s="6">
        <v>50.85</v>
      </c>
      <c r="P47" s="6">
        <v>33.9</v>
      </c>
      <c r="Q47" s="6">
        <v>8</v>
      </c>
      <c r="R47" s="6">
        <v>39</v>
      </c>
      <c r="S47" s="6">
        <v>35.8</v>
      </c>
      <c r="T47" s="6">
        <v>9</v>
      </c>
    </row>
    <row r="48" ht="285" customHeight="1" spans="1:20">
      <c r="A48" s="10" t="s">
        <v>490</v>
      </c>
      <c r="B48" s="10" t="s">
        <v>2050</v>
      </c>
      <c r="C48" s="10" t="s">
        <v>25</v>
      </c>
      <c r="D48" s="10" t="s">
        <v>528</v>
      </c>
      <c r="E48" s="10" t="s">
        <v>529</v>
      </c>
      <c r="F48" s="11" t="s">
        <v>530</v>
      </c>
      <c r="G48" s="11" t="s">
        <v>525</v>
      </c>
      <c r="H48" s="11" t="s">
        <v>531</v>
      </c>
      <c r="I48" s="11" t="s">
        <v>2051</v>
      </c>
      <c r="J48" s="10" t="s">
        <v>29</v>
      </c>
      <c r="K48" s="8"/>
      <c r="L48" s="8"/>
      <c r="M48" s="8"/>
      <c r="N48" s="9" t="str">
        <f t="shared" si="1"/>
        <v/>
      </c>
      <c r="O48" s="10">
        <v>49</v>
      </c>
      <c r="P48" s="10">
        <v>34.6</v>
      </c>
      <c r="Q48" s="10" t="s">
        <v>99</v>
      </c>
      <c r="R48" s="10">
        <v>43</v>
      </c>
      <c r="S48" s="10">
        <v>38</v>
      </c>
      <c r="T48" s="10">
        <v>9</v>
      </c>
    </row>
    <row r="49" ht="285" customHeight="1" spans="1:20">
      <c r="A49" s="6" t="s">
        <v>497</v>
      </c>
      <c r="B49" s="6" t="s">
        <v>2052</v>
      </c>
      <c r="C49" s="6" t="s">
        <v>25</v>
      </c>
      <c r="D49" s="6" t="s">
        <v>528</v>
      </c>
      <c r="E49" s="6" t="s">
        <v>529</v>
      </c>
      <c r="F49" s="7" t="s">
        <v>530</v>
      </c>
      <c r="G49" s="7" t="s">
        <v>525</v>
      </c>
      <c r="H49" s="7" t="s">
        <v>531</v>
      </c>
      <c r="I49" s="16"/>
      <c r="J49" s="17" t="s">
        <v>29</v>
      </c>
      <c r="K49" s="12">
        <v>1250000</v>
      </c>
      <c r="L49" s="13">
        <v>1350000</v>
      </c>
      <c r="M49" s="14">
        <v>1450000</v>
      </c>
      <c r="N49" s="9">
        <f t="shared" si="1"/>
        <v>1595000</v>
      </c>
      <c r="O49" s="6">
        <v>49</v>
      </c>
      <c r="P49" s="6">
        <v>34.6</v>
      </c>
      <c r="Q49" s="6" t="s">
        <v>99</v>
      </c>
      <c r="R49" s="6">
        <v>43</v>
      </c>
      <c r="S49" s="6">
        <v>38</v>
      </c>
      <c r="T49" s="6">
        <v>9</v>
      </c>
    </row>
    <row r="50" ht="285" customHeight="1" spans="1:20">
      <c r="A50" s="10" t="s">
        <v>497</v>
      </c>
      <c r="B50" s="10" t="s">
        <v>2053</v>
      </c>
      <c r="C50" s="10" t="s">
        <v>25</v>
      </c>
      <c r="D50" s="10" t="s">
        <v>528</v>
      </c>
      <c r="E50" s="10" t="s">
        <v>529</v>
      </c>
      <c r="F50" s="11" t="s">
        <v>530</v>
      </c>
      <c r="G50" s="11" t="s">
        <v>525</v>
      </c>
      <c r="H50" s="11" t="s">
        <v>531</v>
      </c>
      <c r="I50" s="11"/>
      <c r="J50" s="10" t="s">
        <v>29</v>
      </c>
      <c r="K50" s="8"/>
      <c r="L50" s="8"/>
      <c r="M50" s="8"/>
      <c r="N50" s="9" t="str">
        <f t="shared" si="1"/>
        <v/>
      </c>
      <c r="O50" s="10">
        <v>49</v>
      </c>
      <c r="P50" s="10">
        <v>34.6</v>
      </c>
      <c r="Q50" s="10" t="s">
        <v>99</v>
      </c>
      <c r="R50" s="10">
        <v>43</v>
      </c>
      <c r="S50" s="10">
        <v>38</v>
      </c>
      <c r="T50" s="10">
        <v>9</v>
      </c>
    </row>
    <row r="51" ht="199.5" customHeight="1" spans="1:20">
      <c r="A51" s="6" t="s">
        <v>490</v>
      </c>
      <c r="B51" s="6" t="s">
        <v>2054</v>
      </c>
      <c r="C51" s="6" t="s">
        <v>25</v>
      </c>
      <c r="D51" s="6" t="s">
        <v>522</v>
      </c>
      <c r="E51" s="6" t="s">
        <v>523</v>
      </c>
      <c r="F51" s="7" t="s">
        <v>524</v>
      </c>
      <c r="G51" s="7" t="s">
        <v>525</v>
      </c>
      <c r="H51" s="7" t="s">
        <v>526</v>
      </c>
      <c r="I51" s="16"/>
      <c r="J51" s="17" t="s">
        <v>29</v>
      </c>
      <c r="K51" s="12">
        <v>1700000</v>
      </c>
      <c r="L51" s="13">
        <v>1850000</v>
      </c>
      <c r="M51" s="14">
        <v>2000000</v>
      </c>
      <c r="N51" s="9">
        <f t="shared" si="1"/>
        <v>2200000</v>
      </c>
      <c r="O51" s="6">
        <v>56</v>
      </c>
      <c r="P51" s="6">
        <v>39.6</v>
      </c>
      <c r="Q51" s="6" t="s">
        <v>99</v>
      </c>
      <c r="R51" s="6">
        <v>50</v>
      </c>
      <c r="S51" s="6">
        <v>43</v>
      </c>
      <c r="T51" s="6">
        <v>9</v>
      </c>
    </row>
    <row r="52" ht="285" customHeight="1" spans="1:20">
      <c r="A52" s="10" t="s">
        <v>490</v>
      </c>
      <c r="B52" s="10" t="s">
        <v>2055</v>
      </c>
      <c r="C52" s="10" t="s">
        <v>85</v>
      </c>
      <c r="D52" s="10" t="s">
        <v>492</v>
      </c>
      <c r="E52" s="10" t="s">
        <v>493</v>
      </c>
      <c r="F52" s="11" t="s">
        <v>494</v>
      </c>
      <c r="G52" s="11" t="s">
        <v>495</v>
      </c>
      <c r="H52" s="11" t="s">
        <v>496</v>
      </c>
      <c r="I52" s="18"/>
      <c r="J52" s="19" t="s">
        <v>29</v>
      </c>
      <c r="K52" s="12">
        <v>1150000</v>
      </c>
      <c r="L52" s="13">
        <v>1200000</v>
      </c>
      <c r="M52" s="14">
        <v>1300000</v>
      </c>
      <c r="N52" s="9">
        <f t="shared" si="1"/>
        <v>1430000</v>
      </c>
      <c r="O52" s="10">
        <v>52.5</v>
      </c>
      <c r="P52" s="10">
        <v>36.1</v>
      </c>
      <c r="Q52" s="10" t="s">
        <v>100</v>
      </c>
      <c r="R52" s="10">
        <v>44.3</v>
      </c>
      <c r="S52" s="10">
        <v>39.8</v>
      </c>
      <c r="T52" s="10">
        <v>8</v>
      </c>
    </row>
    <row r="53" ht="142.5" customHeight="1" spans="1:20">
      <c r="A53" s="6" t="s">
        <v>490</v>
      </c>
      <c r="B53" s="6" t="s">
        <v>2056</v>
      </c>
      <c r="C53" s="6" t="s">
        <v>35</v>
      </c>
      <c r="D53" s="6" t="s">
        <v>848</v>
      </c>
      <c r="E53" s="6" t="s">
        <v>535</v>
      </c>
      <c r="F53" s="7" t="s">
        <v>2057</v>
      </c>
      <c r="G53" s="7"/>
      <c r="H53" s="7" t="s">
        <v>2058</v>
      </c>
      <c r="I53" s="16"/>
      <c r="J53" s="17" t="s">
        <v>29</v>
      </c>
      <c r="K53" s="8"/>
      <c r="L53" s="8"/>
      <c r="M53" s="8"/>
      <c r="N53" s="9" t="str">
        <f t="shared" si="1"/>
        <v/>
      </c>
      <c r="O53" s="6">
        <v>44</v>
      </c>
      <c r="P53" s="6">
        <v>35.1</v>
      </c>
      <c r="Q53" s="6" t="s">
        <v>99</v>
      </c>
      <c r="R53" s="6">
        <v>40.2</v>
      </c>
      <c r="S53" s="6">
        <v>35.1</v>
      </c>
      <c r="T53" s="6">
        <v>11</v>
      </c>
    </row>
    <row r="54" ht="409.5" customHeight="1" spans="1:20">
      <c r="A54" s="10" t="s">
        <v>490</v>
      </c>
      <c r="B54" s="10" t="s">
        <v>2059</v>
      </c>
      <c r="C54" s="10" t="s">
        <v>25</v>
      </c>
      <c r="D54" s="10" t="s">
        <v>2060</v>
      </c>
      <c r="E54" s="10" t="s">
        <v>2061</v>
      </c>
      <c r="F54" s="11" t="s">
        <v>2062</v>
      </c>
      <c r="G54" s="11" t="s">
        <v>1336</v>
      </c>
      <c r="H54" s="11" t="s">
        <v>2063</v>
      </c>
      <c r="I54" s="18"/>
      <c r="J54" s="19" t="s">
        <v>29</v>
      </c>
      <c r="K54" s="8"/>
      <c r="L54" s="8"/>
      <c r="M54" s="8"/>
      <c r="N54" s="9" t="str">
        <f t="shared" si="1"/>
        <v/>
      </c>
      <c r="O54" s="10">
        <v>52</v>
      </c>
      <c r="P54" s="10">
        <v>34.9</v>
      </c>
      <c r="Q54" s="10" t="s">
        <v>90</v>
      </c>
      <c r="R54" s="10">
        <v>46.9</v>
      </c>
      <c r="S54" s="10">
        <v>40.3</v>
      </c>
      <c r="T54" s="10" t="s">
        <v>505</v>
      </c>
    </row>
    <row r="55" ht="85.5" customHeight="1" spans="1:20">
      <c r="A55" s="6" t="s">
        <v>490</v>
      </c>
      <c r="B55" s="6" t="s">
        <v>2064</v>
      </c>
      <c r="C55" s="6" t="s">
        <v>61</v>
      </c>
      <c r="D55" s="6" t="s">
        <v>540</v>
      </c>
      <c r="E55" s="6"/>
      <c r="F55" s="7" t="s">
        <v>541</v>
      </c>
      <c r="G55" s="7" t="s">
        <v>542</v>
      </c>
      <c r="H55" s="7" t="s">
        <v>543</v>
      </c>
      <c r="I55" s="16" t="s">
        <v>544</v>
      </c>
      <c r="J55" s="17"/>
      <c r="K55" s="8"/>
      <c r="L55" s="8"/>
      <c r="M55" s="8"/>
      <c r="N55" s="9" t="str">
        <f t="shared" si="1"/>
        <v/>
      </c>
      <c r="O55" s="6"/>
      <c r="P55" s="6"/>
      <c r="Q55" s="6"/>
      <c r="R55" s="6"/>
      <c r="S55" s="6"/>
      <c r="T55" s="6"/>
    </row>
    <row r="56" ht="85.5" customHeight="1" spans="1:20">
      <c r="A56" s="10" t="s">
        <v>497</v>
      </c>
      <c r="B56" s="10" t="s">
        <v>2065</v>
      </c>
      <c r="C56" s="10" t="s">
        <v>61</v>
      </c>
      <c r="D56" s="10" t="s">
        <v>540</v>
      </c>
      <c r="E56" s="10"/>
      <c r="F56" s="11" t="s">
        <v>541</v>
      </c>
      <c r="G56" s="11" t="s">
        <v>542</v>
      </c>
      <c r="H56" s="11" t="s">
        <v>543</v>
      </c>
      <c r="I56" s="18" t="s">
        <v>544</v>
      </c>
      <c r="J56" s="19"/>
      <c r="K56" s="8"/>
      <c r="L56" s="8"/>
      <c r="M56" s="8"/>
      <c r="N56" s="9" t="str">
        <f t="shared" si="1"/>
        <v/>
      </c>
      <c r="O56" s="10"/>
      <c r="P56" s="10"/>
      <c r="Q56" s="10"/>
      <c r="R56" s="10"/>
      <c r="S56" s="10"/>
      <c r="T56" s="10"/>
    </row>
    <row r="57" ht="57" customHeight="1" spans="1:20">
      <c r="A57" s="6" t="s">
        <v>490</v>
      </c>
      <c r="B57" s="6" t="s">
        <v>2066</v>
      </c>
      <c r="C57" s="6"/>
      <c r="D57" s="6"/>
      <c r="E57" s="6"/>
      <c r="F57" s="22" t="s">
        <v>2067</v>
      </c>
      <c r="G57" s="7"/>
      <c r="H57" s="7"/>
      <c r="I57" s="16" t="s">
        <v>2068</v>
      </c>
      <c r="J57" s="17" t="s">
        <v>33</v>
      </c>
      <c r="K57" s="8"/>
      <c r="L57" s="8"/>
      <c r="M57" s="8"/>
      <c r="N57" s="9" t="str">
        <f t="shared" si="1"/>
        <v/>
      </c>
      <c r="O57" s="6"/>
      <c r="P57" s="6"/>
      <c r="Q57" s="6"/>
      <c r="R57" s="6"/>
      <c r="S57" s="6"/>
      <c r="T57" s="6"/>
    </row>
    <row r="58" ht="43.5" customHeight="1" spans="1:20">
      <c r="A58" s="10" t="s">
        <v>490</v>
      </c>
      <c r="B58" s="10" t="s">
        <v>2069</v>
      </c>
      <c r="C58" s="10"/>
      <c r="D58" s="10"/>
      <c r="E58" s="10"/>
      <c r="F58" s="21" t="s">
        <v>2070</v>
      </c>
      <c r="G58" s="11"/>
      <c r="H58" s="11"/>
      <c r="I58" s="18" t="s">
        <v>2071</v>
      </c>
      <c r="J58" s="19" t="s">
        <v>29</v>
      </c>
      <c r="K58" s="8"/>
      <c r="L58" s="8"/>
      <c r="M58" s="8"/>
      <c r="N58" s="9" t="str">
        <f t="shared" si="1"/>
        <v/>
      </c>
      <c r="O58" s="10"/>
      <c r="P58" s="10"/>
      <c r="Q58" s="10"/>
      <c r="R58" s="10"/>
      <c r="S58" s="10"/>
      <c r="T58" s="10"/>
    </row>
    <row r="59" ht="21.75" customHeight="1" spans="1:20">
      <c r="A59" s="5" t="s">
        <v>2072</v>
      </c>
      <c r="B59" s="5"/>
      <c r="C59" s="5"/>
      <c r="D59" s="5"/>
      <c r="E59" s="5"/>
      <c r="F59" s="5"/>
      <c r="G59" s="5"/>
      <c r="H59" s="5"/>
      <c r="I59" s="20"/>
      <c r="J59" s="20"/>
      <c r="K59" s="20"/>
      <c r="L59" s="20"/>
      <c r="M59" s="5"/>
      <c r="N59" s="5"/>
      <c r="O59" s="5"/>
      <c r="P59" s="5"/>
      <c r="Q59" s="5"/>
      <c r="R59" s="5"/>
      <c r="S59" s="5"/>
      <c r="T59" s="5"/>
    </row>
    <row r="60" ht="28.5" customHeight="1" spans="1:20">
      <c r="A60" s="6" t="s">
        <v>571</v>
      </c>
      <c r="B60" s="6" t="s">
        <v>2073</v>
      </c>
      <c r="C60" s="6" t="s">
        <v>85</v>
      </c>
      <c r="D60" s="6" t="s">
        <v>582</v>
      </c>
      <c r="E60" s="6" t="s">
        <v>583</v>
      </c>
      <c r="F60" s="7" t="s">
        <v>584</v>
      </c>
      <c r="G60" s="7" t="s">
        <v>585</v>
      </c>
      <c r="H60" s="7" t="s">
        <v>586</v>
      </c>
      <c r="I60" s="16"/>
      <c r="J60" s="17" t="s">
        <v>129</v>
      </c>
      <c r="K60" s="12">
        <v>2100000</v>
      </c>
      <c r="L60" s="13">
        <v>2200000</v>
      </c>
      <c r="M60" s="14">
        <v>2350000</v>
      </c>
      <c r="N60" s="9">
        <f t="shared" ref="N60:N66" si="2">IF($M60="","",ROUND($M60*1.1,0))</f>
        <v>2585000</v>
      </c>
      <c r="O60" s="6"/>
      <c r="P60" s="6"/>
      <c r="Q60" s="6"/>
      <c r="R60" s="6"/>
      <c r="S60" s="6"/>
      <c r="T60" s="6"/>
    </row>
    <row r="61" ht="57" customHeight="1" spans="1:20">
      <c r="A61" s="10" t="s">
        <v>571</v>
      </c>
      <c r="B61" s="10" t="s">
        <v>2074</v>
      </c>
      <c r="C61" s="10" t="s">
        <v>85</v>
      </c>
      <c r="D61" s="10" t="s">
        <v>624</v>
      </c>
      <c r="E61" s="10" t="s">
        <v>625</v>
      </c>
      <c r="F61" s="11" t="s">
        <v>626</v>
      </c>
      <c r="G61" s="11" t="s">
        <v>627</v>
      </c>
      <c r="H61" s="11" t="s">
        <v>628</v>
      </c>
      <c r="I61" s="18"/>
      <c r="J61" s="19" t="s">
        <v>29</v>
      </c>
      <c r="K61" s="12">
        <v>1400000</v>
      </c>
      <c r="L61" s="13">
        <v>1500000</v>
      </c>
      <c r="M61" s="14">
        <v>1600000</v>
      </c>
      <c r="N61" s="9">
        <f t="shared" si="2"/>
        <v>1760000</v>
      </c>
      <c r="O61" s="10"/>
      <c r="P61" s="10"/>
      <c r="Q61" s="10"/>
      <c r="R61" s="10"/>
      <c r="S61" s="10"/>
      <c r="T61" s="10"/>
    </row>
    <row r="62" ht="85.5" customHeight="1" spans="1:20">
      <c r="A62" s="6" t="s">
        <v>571</v>
      </c>
      <c r="B62" s="6" t="s">
        <v>2075</v>
      </c>
      <c r="C62" s="6" t="s">
        <v>25</v>
      </c>
      <c r="D62" s="6" t="s">
        <v>614</v>
      </c>
      <c r="E62" s="6" t="s">
        <v>615</v>
      </c>
      <c r="F62" s="7" t="s">
        <v>616</v>
      </c>
      <c r="G62" s="7" t="s">
        <v>609</v>
      </c>
      <c r="H62" s="7" t="s">
        <v>617</v>
      </c>
      <c r="I62" s="16"/>
      <c r="J62" s="17" t="s">
        <v>29</v>
      </c>
      <c r="K62" s="8"/>
      <c r="L62" s="8"/>
      <c r="M62" s="8"/>
      <c r="N62" s="9" t="str">
        <f t="shared" si="2"/>
        <v/>
      </c>
      <c r="O62" s="6">
        <v>71</v>
      </c>
      <c r="P62" s="6">
        <v>51.1</v>
      </c>
      <c r="Q62" s="6" t="s">
        <v>99</v>
      </c>
      <c r="R62" s="6">
        <v>61.3</v>
      </c>
      <c r="S62" s="6">
        <v>52.1</v>
      </c>
      <c r="T62" s="6">
        <v>10</v>
      </c>
    </row>
    <row r="63" ht="99.75" customHeight="1" spans="1:20">
      <c r="A63" s="10" t="s">
        <v>571</v>
      </c>
      <c r="B63" s="10" t="s">
        <v>2076</v>
      </c>
      <c r="C63" s="10" t="s">
        <v>25</v>
      </c>
      <c r="D63" s="10" t="s">
        <v>619</v>
      </c>
      <c r="E63" s="10" t="s">
        <v>620</v>
      </c>
      <c r="F63" s="11" t="s">
        <v>621</v>
      </c>
      <c r="G63" s="11"/>
      <c r="H63" s="11" t="s">
        <v>622</v>
      </c>
      <c r="I63" s="18"/>
      <c r="J63" s="19" t="s">
        <v>29</v>
      </c>
      <c r="K63" s="12">
        <v>1220000</v>
      </c>
      <c r="L63" s="13">
        <v>1300000</v>
      </c>
      <c r="M63" s="14">
        <v>1380000</v>
      </c>
      <c r="N63" s="9">
        <f t="shared" si="2"/>
        <v>1518000</v>
      </c>
      <c r="O63" s="10">
        <v>59.4</v>
      </c>
      <c r="P63" s="10">
        <v>41.96</v>
      </c>
      <c r="Q63" s="10" t="s">
        <v>99</v>
      </c>
      <c r="R63" s="10">
        <v>53.9</v>
      </c>
      <c r="S63" s="10">
        <v>45.7</v>
      </c>
      <c r="T63" s="10">
        <v>9</v>
      </c>
    </row>
    <row r="64" ht="15.75" customHeight="1" spans="1:20">
      <c r="A64" s="6" t="s">
        <v>571</v>
      </c>
      <c r="B64" s="6" t="s">
        <v>2077</v>
      </c>
      <c r="C64" s="6" t="s">
        <v>25</v>
      </c>
      <c r="D64" s="6" t="s">
        <v>577</v>
      </c>
      <c r="E64" s="6" t="s">
        <v>599</v>
      </c>
      <c r="F64" s="7" t="s">
        <v>600</v>
      </c>
      <c r="G64" s="7" t="s">
        <v>387</v>
      </c>
      <c r="H64" s="7"/>
      <c r="I64" s="16"/>
      <c r="J64" s="17" t="s">
        <v>29</v>
      </c>
      <c r="K64" s="12">
        <v>1550000</v>
      </c>
      <c r="L64" s="13">
        <v>1650000</v>
      </c>
      <c r="M64" s="14">
        <v>1800000</v>
      </c>
      <c r="N64" s="9">
        <f t="shared" si="2"/>
        <v>1980000</v>
      </c>
      <c r="O64" s="6">
        <v>59.4</v>
      </c>
      <c r="P64" s="6">
        <v>41.96</v>
      </c>
      <c r="Q64" s="6" t="s">
        <v>99</v>
      </c>
      <c r="R64" s="6">
        <v>50.5</v>
      </c>
      <c r="S64" s="6">
        <v>42.8</v>
      </c>
      <c r="T64" s="6" t="s">
        <v>505</v>
      </c>
    </row>
    <row r="65" ht="42.75" customHeight="1" spans="1:20">
      <c r="A65" s="10" t="s">
        <v>571</v>
      </c>
      <c r="B65" s="10" t="s">
        <v>2078</v>
      </c>
      <c r="C65" s="10" t="s">
        <v>25</v>
      </c>
      <c r="D65" s="10" t="s">
        <v>606</v>
      </c>
      <c r="E65" s="10" t="s">
        <v>607</v>
      </c>
      <c r="F65" s="11" t="s">
        <v>608</v>
      </c>
      <c r="G65" s="11" t="s">
        <v>609</v>
      </c>
      <c r="H65" s="11" t="s">
        <v>610</v>
      </c>
      <c r="I65" s="18"/>
      <c r="J65" s="19" t="s">
        <v>29</v>
      </c>
      <c r="K65" s="12">
        <v>1500000</v>
      </c>
      <c r="L65" s="13">
        <v>1600000</v>
      </c>
      <c r="M65" s="14">
        <v>1700000</v>
      </c>
      <c r="N65" s="9">
        <f t="shared" si="2"/>
        <v>1870000</v>
      </c>
      <c r="O65" s="10">
        <v>76.2</v>
      </c>
      <c r="P65" s="10">
        <v>57</v>
      </c>
      <c r="Q65" s="10" t="s">
        <v>99</v>
      </c>
      <c r="R65" s="10">
        <v>68</v>
      </c>
      <c r="S65" s="10">
        <v>60</v>
      </c>
      <c r="T65" s="10">
        <v>10</v>
      </c>
    </row>
    <row r="66" ht="43.5" customHeight="1" spans="1:20">
      <c r="A66" s="6" t="s">
        <v>571</v>
      </c>
      <c r="B66" s="6" t="s">
        <v>2079</v>
      </c>
      <c r="C66" s="6"/>
      <c r="D66" s="6"/>
      <c r="E66" s="6"/>
      <c r="F66" s="22" t="s">
        <v>2080</v>
      </c>
      <c r="G66" s="7"/>
      <c r="H66" s="7"/>
      <c r="I66" s="16" t="s">
        <v>2081</v>
      </c>
      <c r="J66" s="17" t="s">
        <v>29</v>
      </c>
      <c r="K66" s="8"/>
      <c r="L66" s="8"/>
      <c r="M66" s="8"/>
      <c r="N66" s="9" t="str">
        <f t="shared" si="2"/>
        <v/>
      </c>
      <c r="O66" s="6"/>
      <c r="P66" s="6"/>
      <c r="Q66" s="6"/>
      <c r="R66" s="6"/>
      <c r="S66" s="6"/>
      <c r="T66" s="6"/>
    </row>
    <row r="67" ht="21.75" customHeight="1" spans="1:20">
      <c r="A67" s="5" t="s">
        <v>2082</v>
      </c>
      <c r="B67" s="5"/>
      <c r="C67" s="5"/>
      <c r="D67" s="5"/>
      <c r="E67" s="5"/>
      <c r="F67" s="5"/>
      <c r="G67" s="5"/>
      <c r="H67" s="5"/>
      <c r="I67" s="20"/>
      <c r="J67" s="20"/>
      <c r="K67" s="20"/>
      <c r="L67" s="20"/>
      <c r="M67" s="5"/>
      <c r="N67" s="5"/>
      <c r="O67" s="5"/>
      <c r="P67" s="5"/>
      <c r="Q67" s="5"/>
      <c r="R67" s="5"/>
      <c r="S67" s="5"/>
      <c r="T67" s="5"/>
    </row>
    <row r="68" ht="57" customHeight="1" spans="1:20">
      <c r="A68" s="6" t="s">
        <v>636</v>
      </c>
      <c r="B68" s="6" t="s">
        <v>2083</v>
      </c>
      <c r="C68" s="6" t="s">
        <v>85</v>
      </c>
      <c r="D68" s="6" t="s">
        <v>670</v>
      </c>
      <c r="E68" s="6" t="s">
        <v>671</v>
      </c>
      <c r="F68" s="7" t="s">
        <v>672</v>
      </c>
      <c r="G68" s="7" t="s">
        <v>673</v>
      </c>
      <c r="H68" s="7" t="s">
        <v>674</v>
      </c>
      <c r="I68" s="16"/>
      <c r="J68" s="17" t="s">
        <v>47</v>
      </c>
      <c r="K68" s="8"/>
      <c r="L68" s="8"/>
      <c r="M68" s="8"/>
      <c r="N68" s="9" t="str">
        <f t="shared" ref="N68:N79" si="3">IF($M68="","",ROUND($M68*1.1,0))</f>
        <v/>
      </c>
      <c r="O68" s="6">
        <v>60</v>
      </c>
      <c r="P68" s="6">
        <v>42.9</v>
      </c>
      <c r="Q68" s="6" t="s">
        <v>99</v>
      </c>
      <c r="R68" s="6">
        <v>57.5</v>
      </c>
      <c r="S68" s="6">
        <v>51</v>
      </c>
      <c r="T68" s="6">
        <v>11</v>
      </c>
    </row>
    <row r="69" ht="57" customHeight="1" spans="1:20">
      <c r="A69" s="10" t="s">
        <v>675</v>
      </c>
      <c r="B69" s="10" t="s">
        <v>2084</v>
      </c>
      <c r="C69" s="10" t="s">
        <v>85</v>
      </c>
      <c r="D69" s="10" t="s">
        <v>670</v>
      </c>
      <c r="E69" s="10" t="s">
        <v>671</v>
      </c>
      <c r="F69" s="11" t="s">
        <v>672</v>
      </c>
      <c r="G69" s="11" t="s">
        <v>673</v>
      </c>
      <c r="H69" s="11" t="s">
        <v>674</v>
      </c>
      <c r="I69" s="18"/>
      <c r="J69" s="19"/>
      <c r="K69" s="12">
        <v>1500000</v>
      </c>
      <c r="L69" s="13">
        <v>1600000</v>
      </c>
      <c r="M69" s="14">
        <v>1700000</v>
      </c>
      <c r="N69" s="9">
        <f t="shared" si="3"/>
        <v>1870000</v>
      </c>
      <c r="O69" s="10">
        <v>60</v>
      </c>
      <c r="P69" s="10">
        <v>42.9</v>
      </c>
      <c r="Q69" s="10" t="s">
        <v>99</v>
      </c>
      <c r="R69" s="10">
        <v>57.5</v>
      </c>
      <c r="S69" s="10">
        <v>51</v>
      </c>
      <c r="T69" s="10">
        <v>11</v>
      </c>
    </row>
    <row r="70" ht="28.5" customHeight="1" spans="1:20">
      <c r="A70" s="6" t="s">
        <v>636</v>
      </c>
      <c r="B70" s="6" t="s">
        <v>2085</v>
      </c>
      <c r="C70" s="6" t="s">
        <v>85</v>
      </c>
      <c r="D70" s="6" t="s">
        <v>697</v>
      </c>
      <c r="E70" s="6" t="s">
        <v>649</v>
      </c>
      <c r="F70" s="7" t="s">
        <v>698</v>
      </c>
      <c r="G70" s="7" t="s">
        <v>699</v>
      </c>
      <c r="H70" s="7" t="s">
        <v>700</v>
      </c>
      <c r="I70" s="16"/>
      <c r="J70" s="17" t="s">
        <v>129</v>
      </c>
      <c r="K70" s="12">
        <v>2450000</v>
      </c>
      <c r="L70" s="13">
        <v>2580000</v>
      </c>
      <c r="M70" s="14">
        <v>2750000</v>
      </c>
      <c r="N70" s="9">
        <f t="shared" si="3"/>
        <v>3025000</v>
      </c>
      <c r="O70" s="6"/>
      <c r="P70" s="6">
        <v>74.5</v>
      </c>
      <c r="Q70" s="6" t="s">
        <v>99</v>
      </c>
      <c r="R70" s="6"/>
      <c r="S70" s="6">
        <v>84</v>
      </c>
      <c r="T70" s="6">
        <v>11</v>
      </c>
    </row>
    <row r="71" ht="57" customHeight="1" spans="1:20">
      <c r="A71" s="10" t="s">
        <v>636</v>
      </c>
      <c r="B71" s="10" t="s">
        <v>2086</v>
      </c>
      <c r="C71" s="10" t="s">
        <v>85</v>
      </c>
      <c r="D71" s="10" t="s">
        <v>1599</v>
      </c>
      <c r="E71" s="10" t="s">
        <v>625</v>
      </c>
      <c r="F71" s="11" t="s">
        <v>2087</v>
      </c>
      <c r="G71" s="11" t="s">
        <v>1206</v>
      </c>
      <c r="H71" s="11" t="s">
        <v>2088</v>
      </c>
      <c r="I71" s="18" t="s">
        <v>2089</v>
      </c>
      <c r="J71" s="19" t="s">
        <v>33</v>
      </c>
      <c r="K71" s="12">
        <v>1900000</v>
      </c>
      <c r="L71" s="13">
        <v>2000000</v>
      </c>
      <c r="M71" s="14">
        <v>2200000</v>
      </c>
      <c r="N71" s="9">
        <f t="shared" si="3"/>
        <v>2420000</v>
      </c>
      <c r="O71" s="10"/>
      <c r="P71" s="10"/>
      <c r="Q71" s="10"/>
      <c r="R71" s="10"/>
      <c r="S71" s="10"/>
      <c r="T71" s="10"/>
    </row>
    <row r="72" ht="28.5" customHeight="1" spans="1:20">
      <c r="A72" s="6" t="s">
        <v>636</v>
      </c>
      <c r="B72" s="6" t="s">
        <v>2090</v>
      </c>
      <c r="C72" s="6" t="s">
        <v>35</v>
      </c>
      <c r="D72" s="6" t="s">
        <v>2091</v>
      </c>
      <c r="E72" s="6" t="s">
        <v>2092</v>
      </c>
      <c r="F72" s="7" t="s">
        <v>2093</v>
      </c>
      <c r="G72" s="7" t="s">
        <v>656</v>
      </c>
      <c r="H72" s="7" t="s">
        <v>2094</v>
      </c>
      <c r="I72" s="16" t="s">
        <v>2051</v>
      </c>
      <c r="J72" s="17" t="s">
        <v>29</v>
      </c>
      <c r="K72" s="12">
        <v>1300000</v>
      </c>
      <c r="L72" s="13">
        <v>1400000</v>
      </c>
      <c r="M72" s="14">
        <v>1500000</v>
      </c>
      <c r="N72" s="9">
        <f t="shared" si="3"/>
        <v>1650000</v>
      </c>
      <c r="O72" s="6">
        <v>56</v>
      </c>
      <c r="P72" s="6">
        <v>43</v>
      </c>
      <c r="Q72" s="6" t="s">
        <v>99</v>
      </c>
      <c r="R72" s="6">
        <v>52</v>
      </c>
      <c r="S72" s="6">
        <v>45.6</v>
      </c>
      <c r="T72" s="6">
        <v>12</v>
      </c>
    </row>
    <row r="73" ht="28.5" customHeight="1" spans="1:20">
      <c r="A73" s="10" t="s">
        <v>675</v>
      </c>
      <c r="B73" s="10" t="s">
        <v>2095</v>
      </c>
      <c r="C73" s="10" t="s">
        <v>35</v>
      </c>
      <c r="D73" s="10" t="s">
        <v>2091</v>
      </c>
      <c r="E73" s="10" t="s">
        <v>2092</v>
      </c>
      <c r="F73" s="11" t="s">
        <v>2093</v>
      </c>
      <c r="G73" s="11" t="s">
        <v>656</v>
      </c>
      <c r="H73" s="11" t="s">
        <v>2094</v>
      </c>
      <c r="I73" s="18" t="s">
        <v>2096</v>
      </c>
      <c r="J73" s="19" t="s">
        <v>29</v>
      </c>
      <c r="K73" s="8"/>
      <c r="L73" s="8"/>
      <c r="M73" s="8"/>
      <c r="N73" s="9" t="str">
        <f t="shared" si="3"/>
        <v/>
      </c>
      <c r="O73" s="10">
        <v>56</v>
      </c>
      <c r="P73" s="10">
        <v>43</v>
      </c>
      <c r="Q73" s="10" t="s">
        <v>99</v>
      </c>
      <c r="R73" s="10">
        <v>52</v>
      </c>
      <c r="S73" s="10">
        <v>45.6</v>
      </c>
      <c r="T73" s="10">
        <v>12</v>
      </c>
    </row>
    <row r="74" ht="156.75" customHeight="1" spans="1:20">
      <c r="A74" s="6" t="s">
        <v>636</v>
      </c>
      <c r="B74" s="6" t="s">
        <v>2097</v>
      </c>
      <c r="C74" s="6" t="s">
        <v>35</v>
      </c>
      <c r="D74" s="6" t="s">
        <v>653</v>
      </c>
      <c r="E74" s="6" t="s">
        <v>654</v>
      </c>
      <c r="F74" s="7" t="s">
        <v>655</v>
      </c>
      <c r="G74" s="7" t="s">
        <v>656</v>
      </c>
      <c r="H74" s="7" t="s">
        <v>2098</v>
      </c>
      <c r="I74" s="16"/>
      <c r="J74" s="17" t="s">
        <v>29</v>
      </c>
      <c r="K74" s="8"/>
      <c r="L74" s="8"/>
      <c r="M74" s="8"/>
      <c r="N74" s="9" t="str">
        <f t="shared" si="3"/>
        <v/>
      </c>
      <c r="O74" s="6">
        <v>56</v>
      </c>
      <c r="P74" s="6">
        <v>43</v>
      </c>
      <c r="Q74" s="6" t="s">
        <v>99</v>
      </c>
      <c r="R74" s="6">
        <v>52</v>
      </c>
      <c r="S74" s="6">
        <v>45.6</v>
      </c>
      <c r="T74" s="6">
        <v>12</v>
      </c>
    </row>
    <row r="75" ht="15.75" customHeight="1" spans="1:20">
      <c r="A75" s="10" t="s">
        <v>636</v>
      </c>
      <c r="B75" s="10" t="s">
        <v>2099</v>
      </c>
      <c r="C75" s="10" t="s">
        <v>85</v>
      </c>
      <c r="D75" s="10" t="s">
        <v>678</v>
      </c>
      <c r="E75" s="10" t="s">
        <v>679</v>
      </c>
      <c r="F75" s="11" t="s">
        <v>680</v>
      </c>
      <c r="G75" s="11" t="s">
        <v>681</v>
      </c>
      <c r="H75" s="11"/>
      <c r="I75" s="18"/>
      <c r="J75" s="19" t="s">
        <v>29</v>
      </c>
      <c r="K75" s="12">
        <v>1200000</v>
      </c>
      <c r="L75" s="13">
        <v>1300000</v>
      </c>
      <c r="M75" s="14">
        <v>1400000</v>
      </c>
      <c r="N75" s="9">
        <f t="shared" si="3"/>
        <v>1540000</v>
      </c>
      <c r="O75" s="10">
        <v>48</v>
      </c>
      <c r="P75" s="10">
        <v>37.2</v>
      </c>
      <c r="Q75" s="10" t="s">
        <v>99</v>
      </c>
      <c r="R75" s="10">
        <v>44.4</v>
      </c>
      <c r="S75" s="10">
        <v>37.6</v>
      </c>
      <c r="T75" s="10">
        <v>8</v>
      </c>
    </row>
    <row r="76" ht="42.75" customHeight="1" spans="1:20">
      <c r="A76" s="6" t="s">
        <v>636</v>
      </c>
      <c r="B76" s="6" t="s">
        <v>2100</v>
      </c>
      <c r="C76" s="6" t="s">
        <v>85</v>
      </c>
      <c r="D76" s="6" t="s">
        <v>708</v>
      </c>
      <c r="E76" s="6" t="s">
        <v>679</v>
      </c>
      <c r="F76" s="7" t="s">
        <v>709</v>
      </c>
      <c r="G76" s="7" t="s">
        <v>647</v>
      </c>
      <c r="H76" s="7"/>
      <c r="I76" s="16"/>
      <c r="J76" s="17" t="s">
        <v>29</v>
      </c>
      <c r="K76" s="12">
        <v>1200000</v>
      </c>
      <c r="L76" s="13">
        <v>1300000</v>
      </c>
      <c r="M76" s="14">
        <v>1400000</v>
      </c>
      <c r="N76" s="9">
        <f t="shared" si="3"/>
        <v>1540000</v>
      </c>
      <c r="O76" s="6">
        <v>52.5</v>
      </c>
      <c r="P76" s="6">
        <v>38.6</v>
      </c>
      <c r="Q76" s="6" t="s">
        <v>90</v>
      </c>
      <c r="R76" s="6">
        <v>52.5</v>
      </c>
      <c r="S76" s="6">
        <v>44</v>
      </c>
      <c r="T76" s="6">
        <v>12</v>
      </c>
    </row>
    <row r="77" ht="15.75" customHeight="1" spans="1:20">
      <c r="A77" s="10" t="s">
        <v>636</v>
      </c>
      <c r="B77" s="10" t="s">
        <v>2101</v>
      </c>
      <c r="C77" s="10" t="s">
        <v>85</v>
      </c>
      <c r="D77" s="10" t="s">
        <v>144</v>
      </c>
      <c r="E77" s="10" t="s">
        <v>1668</v>
      </c>
      <c r="F77" s="11" t="s">
        <v>1137</v>
      </c>
      <c r="G77" s="11" t="s">
        <v>1419</v>
      </c>
      <c r="H77" s="11" t="s">
        <v>2102</v>
      </c>
      <c r="I77" s="18"/>
      <c r="J77" s="19" t="s">
        <v>29</v>
      </c>
      <c r="K77" s="12">
        <v>1400000</v>
      </c>
      <c r="L77" s="13">
        <v>1500000</v>
      </c>
      <c r="M77" s="14">
        <v>1600000</v>
      </c>
      <c r="N77" s="9">
        <f t="shared" si="3"/>
        <v>1760000</v>
      </c>
      <c r="O77" s="10">
        <v>76</v>
      </c>
      <c r="P77" s="10">
        <v>54</v>
      </c>
      <c r="Q77" s="10" t="s">
        <v>90</v>
      </c>
      <c r="R77" s="10">
        <v>74.1</v>
      </c>
      <c r="S77" s="10">
        <v>64.1</v>
      </c>
      <c r="T77" s="10" t="s">
        <v>597</v>
      </c>
    </row>
    <row r="78" ht="57" customHeight="1" spans="1:20">
      <c r="A78" s="6" t="s">
        <v>636</v>
      </c>
      <c r="B78" s="6" t="s">
        <v>2103</v>
      </c>
      <c r="C78" s="6" t="s">
        <v>85</v>
      </c>
      <c r="D78" s="6" t="s">
        <v>659</v>
      </c>
      <c r="E78" s="6" t="s">
        <v>691</v>
      </c>
      <c r="F78" s="7" t="s">
        <v>661</v>
      </c>
      <c r="G78" s="7" t="s">
        <v>662</v>
      </c>
      <c r="H78" s="7" t="s">
        <v>663</v>
      </c>
      <c r="I78" s="16"/>
      <c r="J78" s="17" t="s">
        <v>29</v>
      </c>
      <c r="K78" s="12">
        <v>1150000</v>
      </c>
      <c r="L78" s="13">
        <v>1200000</v>
      </c>
      <c r="M78" s="14">
        <v>1300000</v>
      </c>
      <c r="N78" s="9">
        <f t="shared" si="3"/>
        <v>1430000</v>
      </c>
      <c r="O78" s="6">
        <v>70</v>
      </c>
      <c r="P78" s="6">
        <v>55.3</v>
      </c>
      <c r="Q78" s="6" t="s">
        <v>30</v>
      </c>
      <c r="R78" s="6">
        <v>74.2</v>
      </c>
      <c r="S78" s="6">
        <v>64.5</v>
      </c>
      <c r="T78" s="6">
        <v>11</v>
      </c>
    </row>
    <row r="79" ht="43.5" customHeight="1" spans="1:20">
      <c r="A79" s="10" t="s">
        <v>636</v>
      </c>
      <c r="B79" s="10" t="s">
        <v>2104</v>
      </c>
      <c r="C79" s="10" t="s">
        <v>85</v>
      </c>
      <c r="D79" s="10" t="s">
        <v>690</v>
      </c>
      <c r="E79" s="10" t="s">
        <v>691</v>
      </c>
      <c r="F79" s="11" t="s">
        <v>723</v>
      </c>
      <c r="G79" s="11" t="s">
        <v>724</v>
      </c>
      <c r="H79" s="11" t="s">
        <v>725</v>
      </c>
      <c r="I79" s="18"/>
      <c r="J79" s="19" t="s">
        <v>29</v>
      </c>
      <c r="K79" s="12">
        <v>1250000</v>
      </c>
      <c r="L79" s="13">
        <v>1350000</v>
      </c>
      <c r="M79" s="14">
        <v>1450000</v>
      </c>
      <c r="N79" s="9">
        <f t="shared" si="3"/>
        <v>1595000</v>
      </c>
      <c r="O79" s="10">
        <v>70</v>
      </c>
      <c r="P79" s="10">
        <v>52.4</v>
      </c>
      <c r="Q79" s="10" t="s">
        <v>99</v>
      </c>
      <c r="R79" s="10">
        <v>63.15</v>
      </c>
      <c r="S79" s="10">
        <v>61.6</v>
      </c>
      <c r="T79" s="10" t="s">
        <v>597</v>
      </c>
    </row>
    <row r="80" ht="21.75" customHeight="1" spans="1:20">
      <c r="A80" s="5" t="s">
        <v>2105</v>
      </c>
      <c r="B80" s="5"/>
      <c r="C80" s="5"/>
      <c r="D80" s="5"/>
      <c r="E80" s="5"/>
      <c r="F80" s="5"/>
      <c r="G80" s="5"/>
      <c r="H80" s="5"/>
      <c r="I80" s="20"/>
      <c r="J80" s="20"/>
      <c r="K80" s="20"/>
      <c r="L80" s="20"/>
      <c r="M80" s="5"/>
      <c r="N80" s="5"/>
      <c r="O80" s="5"/>
      <c r="P80" s="5"/>
      <c r="Q80" s="5"/>
      <c r="R80" s="5"/>
      <c r="S80" s="5"/>
      <c r="T80" s="5"/>
    </row>
    <row r="81" ht="28.5" customHeight="1" spans="1:20">
      <c r="A81" s="6" t="s">
        <v>753</v>
      </c>
      <c r="B81" s="6" t="s">
        <v>2106</v>
      </c>
      <c r="C81" s="6" t="s">
        <v>190</v>
      </c>
      <c r="D81" s="6" t="s">
        <v>759</v>
      </c>
      <c r="E81" s="6" t="s">
        <v>755</v>
      </c>
      <c r="F81" s="7" t="s">
        <v>760</v>
      </c>
      <c r="G81" s="7" t="s">
        <v>178</v>
      </c>
      <c r="H81" s="7"/>
      <c r="I81" s="16"/>
      <c r="J81" s="17" t="s">
        <v>29</v>
      </c>
      <c r="K81" s="12">
        <v>1950000</v>
      </c>
      <c r="L81" s="13">
        <v>2050000</v>
      </c>
      <c r="M81" s="14">
        <v>2170000</v>
      </c>
      <c r="N81" s="9">
        <f>IF($M81="","",ROUND($M81*1.1,0))</f>
        <v>2387000</v>
      </c>
      <c r="O81" s="6">
        <v>99</v>
      </c>
      <c r="P81" s="6">
        <v>63</v>
      </c>
      <c r="Q81" s="6" t="s">
        <v>65</v>
      </c>
      <c r="R81" s="6">
        <v>86</v>
      </c>
      <c r="S81" s="6">
        <v>72</v>
      </c>
      <c r="T81" s="6">
        <v>12</v>
      </c>
    </row>
    <row r="82" ht="99.75" customHeight="1" spans="1:20">
      <c r="A82" s="10" t="s">
        <v>753</v>
      </c>
      <c r="B82" s="10" t="s">
        <v>2107</v>
      </c>
      <c r="C82" s="10" t="s">
        <v>190</v>
      </c>
      <c r="D82" s="10" t="s">
        <v>196</v>
      </c>
      <c r="E82" s="10" t="s">
        <v>755</v>
      </c>
      <c r="F82" s="11" t="s">
        <v>756</v>
      </c>
      <c r="G82" s="11" t="s">
        <v>2108</v>
      </c>
      <c r="H82" s="11"/>
      <c r="I82" s="18"/>
      <c r="J82" s="19" t="s">
        <v>29</v>
      </c>
      <c r="K82" s="12">
        <v>1900000</v>
      </c>
      <c r="L82" s="13">
        <v>2000000</v>
      </c>
      <c r="M82" s="14">
        <v>2100000</v>
      </c>
      <c r="N82" s="9">
        <f>IF($M82="","",ROUND($M82*1.1,0))</f>
        <v>2310000</v>
      </c>
      <c r="O82" s="10">
        <v>99</v>
      </c>
      <c r="P82" s="10">
        <v>63</v>
      </c>
      <c r="Q82" s="10" t="s">
        <v>65</v>
      </c>
      <c r="R82" s="10">
        <v>86</v>
      </c>
      <c r="S82" s="10">
        <v>72</v>
      </c>
      <c r="T82" s="10">
        <v>12</v>
      </c>
    </row>
    <row r="83" ht="29.25" customHeight="1" spans="1:20">
      <c r="A83" s="6" t="s">
        <v>753</v>
      </c>
      <c r="B83" s="6" t="s">
        <v>2109</v>
      </c>
      <c r="C83" s="6" t="s">
        <v>190</v>
      </c>
      <c r="D83" s="6" t="s">
        <v>784</v>
      </c>
      <c r="E83" s="6" t="s">
        <v>785</v>
      </c>
      <c r="F83" s="7" t="s">
        <v>786</v>
      </c>
      <c r="G83" s="7"/>
      <c r="H83" s="7" t="s">
        <v>787</v>
      </c>
      <c r="I83" s="16"/>
      <c r="J83" s="17" t="s">
        <v>129</v>
      </c>
      <c r="K83" s="12">
        <v>2700000</v>
      </c>
      <c r="L83" s="13">
        <v>2900000</v>
      </c>
      <c r="M83" s="14">
        <v>3100000</v>
      </c>
      <c r="N83" s="9">
        <f>IF($M83="","",ROUND($M83*1.1,0))</f>
        <v>3410000</v>
      </c>
      <c r="O83" s="6"/>
      <c r="P83" s="6"/>
      <c r="Q83" s="6"/>
      <c r="R83" s="6"/>
      <c r="S83" s="6"/>
      <c r="T83" s="6"/>
    </row>
    <row r="84" ht="21.75" customHeight="1" spans="1:20">
      <c r="A84" s="5" t="s">
        <v>2110</v>
      </c>
      <c r="B84" s="5"/>
      <c r="C84" s="5"/>
      <c r="D84" s="5"/>
      <c r="E84" s="5"/>
      <c r="F84" s="5"/>
      <c r="G84" s="5"/>
      <c r="H84" s="5"/>
      <c r="I84" s="20"/>
      <c r="J84" s="20"/>
      <c r="K84" s="20"/>
      <c r="L84" s="20"/>
      <c r="M84" s="5"/>
      <c r="N84" s="5"/>
      <c r="O84" s="5"/>
      <c r="P84" s="5"/>
      <c r="Q84" s="5"/>
      <c r="R84" s="5"/>
      <c r="S84" s="5"/>
      <c r="T84" s="5"/>
    </row>
    <row r="85" ht="28.5" customHeight="1" spans="1:20">
      <c r="A85" s="6" t="s">
        <v>789</v>
      </c>
      <c r="B85" s="6" t="s">
        <v>2111</v>
      </c>
      <c r="C85" s="6" t="s">
        <v>35</v>
      </c>
      <c r="D85" s="6" t="s">
        <v>2112</v>
      </c>
      <c r="E85" s="6"/>
      <c r="F85" s="7" t="s">
        <v>2113</v>
      </c>
      <c r="G85" s="7" t="s">
        <v>2114</v>
      </c>
      <c r="H85" s="7"/>
      <c r="I85" s="16"/>
      <c r="J85" s="17" t="s">
        <v>29</v>
      </c>
      <c r="K85" s="12">
        <v>2000000</v>
      </c>
      <c r="L85" s="13">
        <v>2100000</v>
      </c>
      <c r="M85" s="14">
        <v>2250000</v>
      </c>
      <c r="N85" s="9">
        <f t="shared" ref="N85:N132" si="4">IF($M85="","",ROUND($M85*1.1,0))</f>
        <v>2475000</v>
      </c>
      <c r="O85" s="6">
        <v>92</v>
      </c>
      <c r="P85" s="6">
        <v>61.5</v>
      </c>
      <c r="Q85" s="6" t="s">
        <v>65</v>
      </c>
      <c r="R85" s="6">
        <v>84.8</v>
      </c>
      <c r="S85" s="6">
        <v>74.6</v>
      </c>
      <c r="T85" s="6">
        <v>12</v>
      </c>
    </row>
    <row r="86" ht="15.75" customHeight="1" spans="1:20">
      <c r="A86" s="10" t="s">
        <v>789</v>
      </c>
      <c r="B86" s="10" t="s">
        <v>2115</v>
      </c>
      <c r="C86" s="10" t="s">
        <v>35</v>
      </c>
      <c r="D86" s="10" t="s">
        <v>2116</v>
      </c>
      <c r="E86" s="10" t="s">
        <v>792</v>
      </c>
      <c r="F86" s="11" t="s">
        <v>2117</v>
      </c>
      <c r="G86" s="11"/>
      <c r="H86" s="11"/>
      <c r="I86" s="18"/>
      <c r="J86" s="19" t="s">
        <v>149</v>
      </c>
      <c r="K86" s="8"/>
      <c r="L86" s="8"/>
      <c r="M86" s="8"/>
      <c r="N86" s="9" t="str">
        <f t="shared" si="4"/>
        <v/>
      </c>
      <c r="O86" s="10"/>
      <c r="P86" s="10"/>
      <c r="Q86" s="10"/>
      <c r="R86" s="10"/>
      <c r="S86" s="10"/>
      <c r="T86" s="10"/>
    </row>
    <row r="87" ht="15.75" customHeight="1" spans="1:20">
      <c r="A87" s="6" t="s">
        <v>789</v>
      </c>
      <c r="B87" s="6" t="s">
        <v>2118</v>
      </c>
      <c r="C87" s="6" t="s">
        <v>25</v>
      </c>
      <c r="D87" s="6" t="s">
        <v>339</v>
      </c>
      <c r="E87" s="6" t="s">
        <v>2119</v>
      </c>
      <c r="F87" s="7" t="s">
        <v>2120</v>
      </c>
      <c r="G87" s="7"/>
      <c r="H87" s="7"/>
      <c r="I87" s="16"/>
      <c r="J87" s="17" t="s">
        <v>29</v>
      </c>
      <c r="K87" s="8"/>
      <c r="L87" s="8"/>
      <c r="M87" s="8"/>
      <c r="N87" s="9" t="str">
        <f t="shared" si="4"/>
        <v/>
      </c>
      <c r="O87" s="6">
        <v>82</v>
      </c>
      <c r="P87" s="6">
        <v>52.6</v>
      </c>
      <c r="Q87" s="6" t="s">
        <v>99</v>
      </c>
      <c r="R87" s="6">
        <v>74.2</v>
      </c>
      <c r="S87" s="6">
        <v>58.5</v>
      </c>
      <c r="T87" s="6">
        <v>11</v>
      </c>
    </row>
    <row r="88" ht="57" customHeight="1" spans="1:20">
      <c r="A88" s="10" t="s">
        <v>789</v>
      </c>
      <c r="B88" s="10" t="s">
        <v>2121</v>
      </c>
      <c r="C88" s="10" t="s">
        <v>25</v>
      </c>
      <c r="D88" s="10" t="s">
        <v>899</v>
      </c>
      <c r="E88" s="10" t="s">
        <v>921</v>
      </c>
      <c r="F88" s="11" t="s">
        <v>922</v>
      </c>
      <c r="G88" s="11"/>
      <c r="H88" s="11" t="s">
        <v>923</v>
      </c>
      <c r="I88" s="18"/>
      <c r="J88" s="19" t="s">
        <v>29</v>
      </c>
      <c r="K88" s="12">
        <v>1100000</v>
      </c>
      <c r="L88" s="13">
        <v>1150000</v>
      </c>
      <c r="M88" s="14">
        <v>1200000</v>
      </c>
      <c r="N88" s="9">
        <f t="shared" si="4"/>
        <v>1320000</v>
      </c>
      <c r="O88" s="10">
        <v>49</v>
      </c>
      <c r="P88" s="10">
        <v>38</v>
      </c>
      <c r="Q88" s="10" t="s">
        <v>99</v>
      </c>
      <c r="R88" s="10">
        <v>44.4</v>
      </c>
      <c r="S88" s="10">
        <v>37.6</v>
      </c>
      <c r="T88" s="10" t="s">
        <v>505</v>
      </c>
    </row>
    <row r="89" ht="15.75" customHeight="1" spans="1:20">
      <c r="A89" s="6" t="s">
        <v>789</v>
      </c>
      <c r="B89" s="6" t="s">
        <v>2122</v>
      </c>
      <c r="C89" s="6" t="s">
        <v>61</v>
      </c>
      <c r="D89" s="6" t="s">
        <v>858</v>
      </c>
      <c r="E89" s="6"/>
      <c r="F89" s="7" t="s">
        <v>925</v>
      </c>
      <c r="G89" s="7"/>
      <c r="H89" s="7" t="s">
        <v>926</v>
      </c>
      <c r="I89" s="16"/>
      <c r="J89" s="17" t="s">
        <v>29</v>
      </c>
      <c r="K89" s="12">
        <v>1400000</v>
      </c>
      <c r="L89" s="13">
        <v>1500000</v>
      </c>
      <c r="M89" s="14">
        <v>1600000</v>
      </c>
      <c r="N89" s="9">
        <f t="shared" si="4"/>
        <v>1760000</v>
      </c>
      <c r="O89" s="6">
        <v>52.8</v>
      </c>
      <c r="P89" s="6">
        <v>36.7</v>
      </c>
      <c r="Q89" s="6" t="s">
        <v>99</v>
      </c>
      <c r="R89" s="6">
        <v>42.5</v>
      </c>
      <c r="S89" s="6">
        <v>37.8</v>
      </c>
      <c r="T89" s="6">
        <v>9</v>
      </c>
    </row>
    <row r="90" ht="15.75" customHeight="1" spans="1:20">
      <c r="A90" s="10" t="s">
        <v>789</v>
      </c>
      <c r="B90" s="10" t="s">
        <v>2123</v>
      </c>
      <c r="C90" s="10" t="s">
        <v>25</v>
      </c>
      <c r="D90" s="10" t="s">
        <v>2124</v>
      </c>
      <c r="E90" s="10"/>
      <c r="F90" s="11" t="s">
        <v>2125</v>
      </c>
      <c r="G90" s="11"/>
      <c r="H90" s="11" t="s">
        <v>2126</v>
      </c>
      <c r="I90" s="18"/>
      <c r="J90" s="19" t="s">
        <v>29</v>
      </c>
      <c r="K90" s="8"/>
      <c r="L90" s="8"/>
      <c r="M90" s="8"/>
      <c r="N90" s="9" t="str">
        <f t="shared" si="4"/>
        <v/>
      </c>
      <c r="O90" s="10">
        <v>88.3</v>
      </c>
      <c r="P90" s="10">
        <v>61</v>
      </c>
      <c r="Q90" s="10" t="s">
        <v>65</v>
      </c>
      <c r="R90" s="10">
        <v>73.2</v>
      </c>
      <c r="S90" s="10">
        <v>68.4</v>
      </c>
      <c r="T90" s="10">
        <v>10</v>
      </c>
    </row>
    <row r="91" ht="156.75" customHeight="1" spans="1:20">
      <c r="A91" s="6" t="s">
        <v>789</v>
      </c>
      <c r="B91" s="6" t="s">
        <v>2127</v>
      </c>
      <c r="C91" s="6" t="s">
        <v>35</v>
      </c>
      <c r="D91" s="6" t="s">
        <v>832</v>
      </c>
      <c r="E91" s="6" t="s">
        <v>833</v>
      </c>
      <c r="F91" s="7" t="s">
        <v>834</v>
      </c>
      <c r="G91" s="7" t="s">
        <v>835</v>
      </c>
      <c r="H91" s="7" t="s">
        <v>836</v>
      </c>
      <c r="I91" s="16"/>
      <c r="J91" s="17" t="s">
        <v>29</v>
      </c>
      <c r="K91" s="12">
        <v>1350000</v>
      </c>
      <c r="L91" s="13">
        <v>1450000</v>
      </c>
      <c r="M91" s="14">
        <v>1550000</v>
      </c>
      <c r="N91" s="9">
        <f t="shared" si="4"/>
        <v>1705000</v>
      </c>
      <c r="O91" s="6">
        <v>60</v>
      </c>
      <c r="P91" s="6">
        <v>44.5</v>
      </c>
      <c r="Q91" s="6" t="s">
        <v>99</v>
      </c>
      <c r="R91" s="6">
        <v>56</v>
      </c>
      <c r="S91" s="6">
        <v>49</v>
      </c>
      <c r="T91" s="6">
        <v>12</v>
      </c>
    </row>
    <row r="92" ht="156.75" customHeight="1" spans="1:20">
      <c r="A92" s="10" t="s">
        <v>825</v>
      </c>
      <c r="B92" s="10" t="s">
        <v>2128</v>
      </c>
      <c r="C92" s="10" t="s">
        <v>35</v>
      </c>
      <c r="D92" s="10" t="s">
        <v>832</v>
      </c>
      <c r="E92" s="10" t="s">
        <v>833</v>
      </c>
      <c r="F92" s="11" t="s">
        <v>834</v>
      </c>
      <c r="G92" s="11" t="s">
        <v>835</v>
      </c>
      <c r="H92" s="11" t="s">
        <v>836</v>
      </c>
      <c r="I92" s="18"/>
      <c r="J92" s="19" t="s">
        <v>29</v>
      </c>
      <c r="K92" s="12">
        <v>1150000</v>
      </c>
      <c r="L92" s="13">
        <v>1250000</v>
      </c>
      <c r="M92" s="14">
        <v>1350000</v>
      </c>
      <c r="N92" s="9">
        <f t="shared" si="4"/>
        <v>1485000</v>
      </c>
      <c r="O92" s="10">
        <v>60</v>
      </c>
      <c r="P92" s="10">
        <v>44.5</v>
      </c>
      <c r="Q92" s="10" t="s">
        <v>99</v>
      </c>
      <c r="R92" s="10">
        <v>56</v>
      </c>
      <c r="S92" s="10">
        <v>49</v>
      </c>
      <c r="T92" s="10">
        <v>12</v>
      </c>
    </row>
    <row r="93" ht="57" customHeight="1" spans="1:20">
      <c r="A93" s="6" t="s">
        <v>789</v>
      </c>
      <c r="B93" s="6" t="s">
        <v>2129</v>
      </c>
      <c r="C93" s="6" t="s">
        <v>35</v>
      </c>
      <c r="D93" s="6" t="s">
        <v>848</v>
      </c>
      <c r="E93" s="6" t="s">
        <v>849</v>
      </c>
      <c r="F93" s="7" t="s">
        <v>850</v>
      </c>
      <c r="G93" s="7" t="s">
        <v>811</v>
      </c>
      <c r="H93" s="7" t="s">
        <v>851</v>
      </c>
      <c r="I93" s="16"/>
      <c r="J93" s="17" t="s">
        <v>29</v>
      </c>
      <c r="K93" s="12">
        <v>1200000</v>
      </c>
      <c r="L93" s="13">
        <v>1300000</v>
      </c>
      <c r="M93" s="14">
        <v>1400000</v>
      </c>
      <c r="N93" s="9">
        <f t="shared" si="4"/>
        <v>1540000</v>
      </c>
      <c r="O93" s="6">
        <v>46</v>
      </c>
      <c r="P93" s="6">
        <v>35.6</v>
      </c>
      <c r="Q93" s="6" t="s">
        <v>99</v>
      </c>
      <c r="R93" s="6">
        <v>40.2</v>
      </c>
      <c r="S93" s="6">
        <v>35.1</v>
      </c>
      <c r="T93" s="6">
        <v>11</v>
      </c>
    </row>
    <row r="94" ht="57" customHeight="1" spans="1:20">
      <c r="A94" s="10" t="s">
        <v>825</v>
      </c>
      <c r="B94" s="10" t="s">
        <v>2130</v>
      </c>
      <c r="C94" s="10" t="s">
        <v>35</v>
      </c>
      <c r="D94" s="10" t="s">
        <v>848</v>
      </c>
      <c r="E94" s="10" t="s">
        <v>849</v>
      </c>
      <c r="F94" s="11" t="s">
        <v>850</v>
      </c>
      <c r="G94" s="11" t="s">
        <v>811</v>
      </c>
      <c r="H94" s="11" t="s">
        <v>851</v>
      </c>
      <c r="I94" s="18"/>
      <c r="J94" s="19" t="s">
        <v>29</v>
      </c>
      <c r="K94" s="12">
        <v>1100000</v>
      </c>
      <c r="L94" s="13">
        <v>1150000</v>
      </c>
      <c r="M94" s="14">
        <v>1250000</v>
      </c>
      <c r="N94" s="9">
        <f t="shared" si="4"/>
        <v>1375000</v>
      </c>
      <c r="O94" s="10">
        <v>46</v>
      </c>
      <c r="P94" s="10">
        <v>35.6</v>
      </c>
      <c r="Q94" s="10" t="s">
        <v>99</v>
      </c>
      <c r="R94" s="10">
        <v>40.2</v>
      </c>
      <c r="S94" s="10">
        <v>35.1</v>
      </c>
      <c r="T94" s="10">
        <v>11</v>
      </c>
    </row>
    <row r="95" ht="57" customHeight="1" spans="1:20">
      <c r="A95" s="6" t="s">
        <v>825</v>
      </c>
      <c r="B95" s="6" t="s">
        <v>2131</v>
      </c>
      <c r="C95" s="6" t="s">
        <v>35</v>
      </c>
      <c r="D95" s="6" t="s">
        <v>848</v>
      </c>
      <c r="E95" s="6" t="s">
        <v>849</v>
      </c>
      <c r="F95" s="7" t="s">
        <v>850</v>
      </c>
      <c r="G95" s="7" t="s">
        <v>811</v>
      </c>
      <c r="H95" s="7" t="s">
        <v>851</v>
      </c>
      <c r="I95" s="16"/>
      <c r="J95" s="17" t="s">
        <v>29</v>
      </c>
      <c r="K95" s="12">
        <v>1100000</v>
      </c>
      <c r="L95" s="13">
        <v>1150000</v>
      </c>
      <c r="M95" s="14">
        <v>1250000</v>
      </c>
      <c r="N95" s="9">
        <f t="shared" si="4"/>
        <v>1375000</v>
      </c>
      <c r="O95" s="6">
        <v>46</v>
      </c>
      <c r="P95" s="6">
        <v>35.6</v>
      </c>
      <c r="Q95" s="6" t="s">
        <v>99</v>
      </c>
      <c r="R95" s="6">
        <v>40.2</v>
      </c>
      <c r="S95" s="6">
        <v>35.1</v>
      </c>
      <c r="T95" s="6">
        <v>11</v>
      </c>
    </row>
    <row r="96" ht="85.5" customHeight="1" spans="1:20">
      <c r="A96" s="10" t="s">
        <v>789</v>
      </c>
      <c r="B96" s="10" t="s">
        <v>2132</v>
      </c>
      <c r="C96" s="10" t="s">
        <v>25</v>
      </c>
      <c r="D96" s="10" t="s">
        <v>867</v>
      </c>
      <c r="E96" s="10" t="s">
        <v>849</v>
      </c>
      <c r="F96" s="11" t="s">
        <v>868</v>
      </c>
      <c r="G96" s="11" t="s">
        <v>869</v>
      </c>
      <c r="H96" s="11" t="s">
        <v>870</v>
      </c>
      <c r="I96" s="18"/>
      <c r="J96" s="19"/>
      <c r="K96" s="12">
        <v>1500000</v>
      </c>
      <c r="L96" s="13">
        <v>1600000</v>
      </c>
      <c r="M96" s="14">
        <v>1700000</v>
      </c>
      <c r="N96" s="9">
        <f t="shared" si="4"/>
        <v>1870000</v>
      </c>
      <c r="O96" s="10"/>
      <c r="P96" s="10"/>
      <c r="Q96" s="10"/>
      <c r="R96" s="10"/>
      <c r="S96" s="10"/>
      <c r="T96" s="10"/>
    </row>
    <row r="97" ht="28.5" customHeight="1" spans="1:20">
      <c r="A97" s="6" t="s">
        <v>789</v>
      </c>
      <c r="B97" s="6" t="s">
        <v>2133</v>
      </c>
      <c r="C97" s="6" t="s">
        <v>25</v>
      </c>
      <c r="D97" s="6" t="s">
        <v>963</v>
      </c>
      <c r="E97" s="6" t="s">
        <v>964</v>
      </c>
      <c r="F97" s="7" t="s">
        <v>965</v>
      </c>
      <c r="G97" s="7"/>
      <c r="H97" s="7" t="s">
        <v>966</v>
      </c>
      <c r="I97" s="16"/>
      <c r="J97" s="17" t="s">
        <v>29</v>
      </c>
      <c r="K97" s="8"/>
      <c r="L97" s="8"/>
      <c r="M97" s="8"/>
      <c r="N97" s="9" t="str">
        <f t="shared" si="4"/>
        <v/>
      </c>
      <c r="O97" s="6"/>
      <c r="P97" s="6"/>
      <c r="Q97" s="6"/>
      <c r="R97" s="6"/>
      <c r="S97" s="6"/>
      <c r="T97" s="6"/>
    </row>
    <row r="98" ht="28.5" customHeight="1" spans="1:20">
      <c r="A98" s="10" t="s">
        <v>825</v>
      </c>
      <c r="B98" s="10" t="s">
        <v>2134</v>
      </c>
      <c r="C98" s="10" t="s">
        <v>25</v>
      </c>
      <c r="D98" s="10" t="s">
        <v>963</v>
      </c>
      <c r="E98" s="10" t="s">
        <v>964</v>
      </c>
      <c r="F98" s="11" t="s">
        <v>965</v>
      </c>
      <c r="G98" s="11"/>
      <c r="H98" s="11" t="s">
        <v>966</v>
      </c>
      <c r="I98" s="18"/>
      <c r="J98" s="19" t="s">
        <v>149</v>
      </c>
      <c r="K98" s="8"/>
      <c r="L98" s="8"/>
      <c r="M98" s="8"/>
      <c r="N98" s="9" t="str">
        <f t="shared" si="4"/>
        <v/>
      </c>
      <c r="O98" s="10"/>
      <c r="P98" s="10"/>
      <c r="Q98" s="10"/>
      <c r="R98" s="10"/>
      <c r="S98" s="10"/>
      <c r="T98" s="10"/>
    </row>
    <row r="99" ht="28.5" customHeight="1" spans="1:20">
      <c r="A99" s="6" t="s">
        <v>825</v>
      </c>
      <c r="B99" s="6" t="s">
        <v>2135</v>
      </c>
      <c r="C99" s="6" t="s">
        <v>25</v>
      </c>
      <c r="D99" s="6" t="s">
        <v>963</v>
      </c>
      <c r="E99" s="6" t="s">
        <v>964</v>
      </c>
      <c r="F99" s="7" t="s">
        <v>965</v>
      </c>
      <c r="G99" s="7"/>
      <c r="H99" s="7" t="s">
        <v>966</v>
      </c>
      <c r="I99" s="16"/>
      <c r="J99" s="17" t="s">
        <v>82</v>
      </c>
      <c r="K99" s="8"/>
      <c r="L99" s="8"/>
      <c r="M99" s="8"/>
      <c r="N99" s="9" t="str">
        <f t="shared" si="4"/>
        <v/>
      </c>
      <c r="O99" s="6"/>
      <c r="P99" s="6"/>
      <c r="Q99" s="6"/>
      <c r="R99" s="6"/>
      <c r="S99" s="6"/>
      <c r="T99" s="6"/>
    </row>
    <row r="100" ht="28.5" customHeight="1" spans="1:20">
      <c r="A100" s="10" t="s">
        <v>789</v>
      </c>
      <c r="B100" s="10" t="s">
        <v>2136</v>
      </c>
      <c r="C100" s="10" t="s">
        <v>35</v>
      </c>
      <c r="D100" s="10" t="s">
        <v>2137</v>
      </c>
      <c r="E100" s="10" t="s">
        <v>2138</v>
      </c>
      <c r="F100" s="11" t="s">
        <v>2139</v>
      </c>
      <c r="G100" s="11"/>
      <c r="H100" s="11"/>
      <c r="I100" s="18"/>
      <c r="J100" s="19" t="s">
        <v>29</v>
      </c>
      <c r="K100" s="12">
        <v>2100000</v>
      </c>
      <c r="L100" s="13">
        <v>2200000</v>
      </c>
      <c r="M100" s="14">
        <v>2300000</v>
      </c>
      <c r="N100" s="9">
        <f t="shared" si="4"/>
        <v>2530000</v>
      </c>
      <c r="O100" s="10">
        <v>92</v>
      </c>
      <c r="P100" s="10">
        <v>66.8</v>
      </c>
      <c r="Q100" s="10" t="s">
        <v>65</v>
      </c>
      <c r="R100" s="10">
        <v>85</v>
      </c>
      <c r="S100" s="10">
        <v>74.5</v>
      </c>
      <c r="T100" s="10">
        <v>12</v>
      </c>
    </row>
    <row r="101" ht="57" customHeight="1" spans="1:20">
      <c r="A101" s="6" t="s">
        <v>789</v>
      </c>
      <c r="B101" s="6" t="s">
        <v>2140</v>
      </c>
      <c r="C101" s="6" t="s">
        <v>35</v>
      </c>
      <c r="D101" s="6" t="s">
        <v>805</v>
      </c>
      <c r="E101" s="6" t="s">
        <v>806</v>
      </c>
      <c r="F101" s="7" t="s">
        <v>807</v>
      </c>
      <c r="G101" s="7"/>
      <c r="H101" s="7"/>
      <c r="I101" s="16"/>
      <c r="J101" s="17" t="s">
        <v>29</v>
      </c>
      <c r="K101" s="12">
        <v>1100000</v>
      </c>
      <c r="L101" s="13">
        <v>1150000</v>
      </c>
      <c r="M101" s="14">
        <v>1200000</v>
      </c>
      <c r="N101" s="9">
        <f t="shared" si="4"/>
        <v>1320000</v>
      </c>
      <c r="O101" s="6">
        <v>49</v>
      </c>
      <c r="P101" s="6">
        <v>37.8</v>
      </c>
      <c r="Q101" s="6" t="s">
        <v>99</v>
      </c>
      <c r="R101" s="6">
        <v>43.1</v>
      </c>
      <c r="S101" s="6">
        <v>36</v>
      </c>
      <c r="T101" s="6">
        <v>11</v>
      </c>
    </row>
    <row r="102" ht="15.75" customHeight="1" spans="1:20">
      <c r="A102" s="10" t="s">
        <v>789</v>
      </c>
      <c r="B102" s="10" t="s">
        <v>2141</v>
      </c>
      <c r="C102" s="10" t="s">
        <v>35</v>
      </c>
      <c r="D102" s="10" t="s">
        <v>809</v>
      </c>
      <c r="E102" s="10"/>
      <c r="F102" s="11" t="s">
        <v>810</v>
      </c>
      <c r="G102" s="11" t="s">
        <v>811</v>
      </c>
      <c r="H102" s="11" t="s">
        <v>812</v>
      </c>
      <c r="I102" s="18"/>
      <c r="J102" s="19" t="s">
        <v>29</v>
      </c>
      <c r="K102" s="8"/>
      <c r="L102" s="8"/>
      <c r="M102" s="8"/>
      <c r="N102" s="9" t="str">
        <f t="shared" si="4"/>
        <v/>
      </c>
      <c r="O102" s="10">
        <v>51</v>
      </c>
      <c r="P102" s="10">
        <v>38.3</v>
      </c>
      <c r="Q102" s="10" t="s">
        <v>99</v>
      </c>
      <c r="R102" s="10">
        <v>43.1</v>
      </c>
      <c r="S102" s="10">
        <v>36</v>
      </c>
      <c r="T102" s="10">
        <v>11</v>
      </c>
    </row>
    <row r="103" ht="57" customHeight="1" spans="1:20">
      <c r="A103" s="6" t="s">
        <v>789</v>
      </c>
      <c r="B103" s="6" t="s">
        <v>2142</v>
      </c>
      <c r="C103" s="6" t="s">
        <v>35</v>
      </c>
      <c r="D103" s="6" t="s">
        <v>169</v>
      </c>
      <c r="E103" s="6" t="s">
        <v>818</v>
      </c>
      <c r="F103" s="7" t="s">
        <v>819</v>
      </c>
      <c r="G103" s="7"/>
      <c r="H103" s="7" t="s">
        <v>820</v>
      </c>
      <c r="I103" s="16"/>
      <c r="J103" s="17" t="s">
        <v>29</v>
      </c>
      <c r="K103" s="12">
        <v>1200000</v>
      </c>
      <c r="L103" s="13">
        <v>1300000</v>
      </c>
      <c r="M103" s="14">
        <v>1400000</v>
      </c>
      <c r="N103" s="9">
        <f t="shared" si="4"/>
        <v>1540000</v>
      </c>
      <c r="O103" s="6">
        <v>51</v>
      </c>
      <c r="P103" s="6">
        <v>36.4</v>
      </c>
      <c r="Q103" s="6" t="s">
        <v>99</v>
      </c>
      <c r="R103" s="6">
        <v>43.2</v>
      </c>
      <c r="S103" s="6">
        <v>37.7</v>
      </c>
      <c r="T103" s="6">
        <v>11</v>
      </c>
    </row>
    <row r="104" ht="28.5" customHeight="1" spans="1:20">
      <c r="A104" s="10" t="s">
        <v>789</v>
      </c>
      <c r="B104" s="10" t="s">
        <v>2143</v>
      </c>
      <c r="C104" s="10" t="s">
        <v>35</v>
      </c>
      <c r="D104" s="10" t="s">
        <v>822</v>
      </c>
      <c r="E104" s="10" t="s">
        <v>823</v>
      </c>
      <c r="F104" s="11" t="s">
        <v>824</v>
      </c>
      <c r="G104" s="11"/>
      <c r="H104" s="11"/>
      <c r="I104" s="18"/>
      <c r="J104" s="19" t="s">
        <v>29</v>
      </c>
      <c r="K104" s="12">
        <v>2250000</v>
      </c>
      <c r="L104" s="13">
        <v>2350000</v>
      </c>
      <c r="M104" s="14">
        <v>2450000</v>
      </c>
      <c r="N104" s="9">
        <f t="shared" si="4"/>
        <v>2695000</v>
      </c>
      <c r="O104" s="10">
        <v>92</v>
      </c>
      <c r="P104" s="10">
        <v>66.8</v>
      </c>
      <c r="Q104" s="10" t="s">
        <v>65</v>
      </c>
      <c r="R104" s="10">
        <v>90</v>
      </c>
      <c r="S104" s="10">
        <v>79</v>
      </c>
      <c r="T104" s="10">
        <v>12</v>
      </c>
    </row>
    <row r="105" ht="71.25" customHeight="1" spans="1:20">
      <c r="A105" s="6" t="s">
        <v>789</v>
      </c>
      <c r="B105" s="6" t="s">
        <v>2144</v>
      </c>
      <c r="C105" s="6" t="s">
        <v>35</v>
      </c>
      <c r="D105" s="6" t="s">
        <v>838</v>
      </c>
      <c r="E105" s="6" t="s">
        <v>839</v>
      </c>
      <c r="F105" s="7" t="s">
        <v>840</v>
      </c>
      <c r="G105" s="7"/>
      <c r="H105" s="7" t="s">
        <v>841</v>
      </c>
      <c r="I105" s="16"/>
      <c r="J105" s="17" t="s">
        <v>29</v>
      </c>
      <c r="K105" s="12">
        <v>1250000</v>
      </c>
      <c r="L105" s="13">
        <v>1350000</v>
      </c>
      <c r="M105" s="14">
        <v>1450000</v>
      </c>
      <c r="N105" s="9">
        <f t="shared" si="4"/>
        <v>1595000</v>
      </c>
      <c r="O105" s="6">
        <v>56</v>
      </c>
      <c r="P105" s="6">
        <v>40.8</v>
      </c>
      <c r="Q105" s="6" t="s">
        <v>65</v>
      </c>
      <c r="R105" s="6">
        <v>52</v>
      </c>
      <c r="S105" s="6">
        <v>45.6</v>
      </c>
      <c r="T105" s="6">
        <v>12</v>
      </c>
    </row>
    <row r="106" ht="28.5" customHeight="1" spans="1:20">
      <c r="A106" s="10" t="s">
        <v>789</v>
      </c>
      <c r="B106" s="10" t="s">
        <v>2145</v>
      </c>
      <c r="C106" s="10" t="s">
        <v>35</v>
      </c>
      <c r="D106" s="10" t="s">
        <v>838</v>
      </c>
      <c r="E106" s="10" t="s">
        <v>843</v>
      </c>
      <c r="F106" s="11" t="s">
        <v>844</v>
      </c>
      <c r="G106" s="11"/>
      <c r="H106" s="11" t="s">
        <v>845</v>
      </c>
      <c r="I106" s="18" t="s">
        <v>846</v>
      </c>
      <c r="J106" s="19" t="s">
        <v>29</v>
      </c>
      <c r="K106" s="12">
        <v>1100000</v>
      </c>
      <c r="L106" s="13">
        <v>1150000</v>
      </c>
      <c r="M106" s="14">
        <v>1200000</v>
      </c>
      <c r="N106" s="9">
        <f t="shared" si="4"/>
        <v>1320000</v>
      </c>
      <c r="O106" s="10">
        <v>49</v>
      </c>
      <c r="P106" s="10">
        <v>37.8</v>
      </c>
      <c r="Q106" s="10" t="s">
        <v>99</v>
      </c>
      <c r="R106" s="10">
        <v>43.1</v>
      </c>
      <c r="S106" s="10">
        <v>36</v>
      </c>
      <c r="T106" s="10">
        <v>11</v>
      </c>
    </row>
    <row r="107" ht="42.75" customHeight="1" spans="1:20">
      <c r="A107" s="6" t="s">
        <v>789</v>
      </c>
      <c r="B107" s="6" t="s">
        <v>2146</v>
      </c>
      <c r="C107" s="6" t="s">
        <v>85</v>
      </c>
      <c r="D107" s="6" t="s">
        <v>678</v>
      </c>
      <c r="E107" s="6" t="s">
        <v>862</v>
      </c>
      <c r="F107" s="7" t="s">
        <v>863</v>
      </c>
      <c r="G107" s="7"/>
      <c r="H107" s="7" t="s">
        <v>864</v>
      </c>
      <c r="I107" s="16" t="s">
        <v>865</v>
      </c>
      <c r="J107" s="17" t="s">
        <v>29</v>
      </c>
      <c r="K107" s="12">
        <v>1200000</v>
      </c>
      <c r="L107" s="13">
        <v>1300000</v>
      </c>
      <c r="M107" s="14">
        <v>1400000</v>
      </c>
      <c r="N107" s="9">
        <f t="shared" si="4"/>
        <v>1540000</v>
      </c>
      <c r="O107" s="6">
        <v>52.5</v>
      </c>
      <c r="P107" s="6">
        <v>39.2</v>
      </c>
      <c r="Q107" s="6" t="s">
        <v>99</v>
      </c>
      <c r="R107" s="6">
        <v>44.4</v>
      </c>
      <c r="S107" s="6">
        <v>37.6</v>
      </c>
      <c r="T107" s="6">
        <v>8</v>
      </c>
    </row>
    <row r="108" ht="42.75" customHeight="1" spans="1:20">
      <c r="A108" s="10" t="s">
        <v>789</v>
      </c>
      <c r="B108" s="10" t="s">
        <v>2147</v>
      </c>
      <c r="C108" s="10" t="s">
        <v>85</v>
      </c>
      <c r="D108" s="10" t="s">
        <v>678</v>
      </c>
      <c r="E108" s="10"/>
      <c r="F108" s="11" t="s">
        <v>2148</v>
      </c>
      <c r="G108" s="11"/>
      <c r="H108" s="11" t="s">
        <v>2149</v>
      </c>
      <c r="I108" s="18"/>
      <c r="J108" s="19" t="s">
        <v>29</v>
      </c>
      <c r="K108" s="8"/>
      <c r="L108" s="8"/>
      <c r="M108" s="8"/>
      <c r="N108" s="9" t="str">
        <f t="shared" si="4"/>
        <v/>
      </c>
      <c r="O108" s="10">
        <v>52.5</v>
      </c>
      <c r="P108" s="10">
        <v>39.2</v>
      </c>
      <c r="Q108" s="10" t="s">
        <v>99</v>
      </c>
      <c r="R108" s="10">
        <v>44.4</v>
      </c>
      <c r="S108" s="10">
        <v>37.6</v>
      </c>
      <c r="T108" s="10">
        <v>8</v>
      </c>
    </row>
    <row r="109" ht="57" customHeight="1" spans="1:20">
      <c r="A109" s="6" t="s">
        <v>789</v>
      </c>
      <c r="B109" s="6" t="s">
        <v>2150</v>
      </c>
      <c r="C109" s="6" t="s">
        <v>25</v>
      </c>
      <c r="D109" s="6" t="s">
        <v>888</v>
      </c>
      <c r="E109" s="6" t="s">
        <v>849</v>
      </c>
      <c r="F109" s="7" t="s">
        <v>889</v>
      </c>
      <c r="G109" s="7"/>
      <c r="H109" s="7" t="s">
        <v>890</v>
      </c>
      <c r="I109" s="16"/>
      <c r="J109" s="17" t="s">
        <v>29</v>
      </c>
      <c r="K109" s="12">
        <v>1150000</v>
      </c>
      <c r="L109" s="13">
        <v>1200000</v>
      </c>
      <c r="M109" s="14">
        <v>1300000</v>
      </c>
      <c r="N109" s="9">
        <f t="shared" si="4"/>
        <v>1430000</v>
      </c>
      <c r="O109" s="6">
        <v>52</v>
      </c>
      <c r="P109" s="6">
        <v>38.4</v>
      </c>
      <c r="Q109" s="6" t="s">
        <v>99</v>
      </c>
      <c r="R109" s="6">
        <v>43</v>
      </c>
      <c r="S109" s="6">
        <v>37.5</v>
      </c>
      <c r="T109" s="6" t="s">
        <v>505</v>
      </c>
    </row>
    <row r="110" ht="15.75" customHeight="1" spans="1:20">
      <c r="A110" s="10" t="s">
        <v>789</v>
      </c>
      <c r="B110" s="10" t="s">
        <v>2151</v>
      </c>
      <c r="C110" s="10" t="s">
        <v>25</v>
      </c>
      <c r="D110" s="10" t="s">
        <v>899</v>
      </c>
      <c r="E110" s="10" t="s">
        <v>849</v>
      </c>
      <c r="F110" s="11" t="s">
        <v>917</v>
      </c>
      <c r="G110" s="11"/>
      <c r="H110" s="11" t="s">
        <v>915</v>
      </c>
      <c r="I110" s="18"/>
      <c r="J110" s="19" t="s">
        <v>29</v>
      </c>
      <c r="K110" s="12">
        <v>1200000</v>
      </c>
      <c r="L110" s="13">
        <v>1300000</v>
      </c>
      <c r="M110" s="14">
        <v>1400000</v>
      </c>
      <c r="N110" s="9">
        <f t="shared" si="4"/>
        <v>1540000</v>
      </c>
      <c r="O110" s="10">
        <v>49</v>
      </c>
      <c r="P110" s="10">
        <v>37.8</v>
      </c>
      <c r="Q110" s="10" t="s">
        <v>99</v>
      </c>
      <c r="R110" s="10">
        <v>41.2</v>
      </c>
      <c r="S110" s="10">
        <v>35</v>
      </c>
      <c r="T110" s="10" t="s">
        <v>505</v>
      </c>
    </row>
    <row r="111" ht="42.75" customHeight="1" spans="1:20">
      <c r="A111" s="6" t="s">
        <v>789</v>
      </c>
      <c r="B111" s="6" t="s">
        <v>2152</v>
      </c>
      <c r="C111" s="6" t="s">
        <v>25</v>
      </c>
      <c r="D111" s="6" t="s">
        <v>899</v>
      </c>
      <c r="E111" s="6" t="s">
        <v>878</v>
      </c>
      <c r="F111" s="7" t="s">
        <v>900</v>
      </c>
      <c r="G111" s="7" t="s">
        <v>647</v>
      </c>
      <c r="H111" s="7" t="s">
        <v>901</v>
      </c>
      <c r="I111" s="16" t="s">
        <v>902</v>
      </c>
      <c r="J111" s="17" t="s">
        <v>29</v>
      </c>
      <c r="K111" s="12">
        <v>1200000</v>
      </c>
      <c r="L111" s="13">
        <v>1300000</v>
      </c>
      <c r="M111" s="14">
        <v>1400000</v>
      </c>
      <c r="N111" s="9">
        <f t="shared" si="4"/>
        <v>1540000</v>
      </c>
      <c r="O111" s="6">
        <v>49</v>
      </c>
      <c r="P111" s="6">
        <v>38</v>
      </c>
      <c r="Q111" s="6" t="s">
        <v>99</v>
      </c>
      <c r="R111" s="6">
        <v>44.4</v>
      </c>
      <c r="S111" s="6">
        <v>37.6</v>
      </c>
      <c r="T111" s="6" t="s">
        <v>505</v>
      </c>
    </row>
    <row r="112" ht="42.75" customHeight="1" spans="1:20">
      <c r="A112" s="10" t="s">
        <v>789</v>
      </c>
      <c r="B112" s="10" t="s">
        <v>2153</v>
      </c>
      <c r="C112" s="10" t="s">
        <v>25</v>
      </c>
      <c r="D112" s="10" t="s">
        <v>899</v>
      </c>
      <c r="E112" s="10" t="s">
        <v>905</v>
      </c>
      <c r="F112" s="11" t="s">
        <v>906</v>
      </c>
      <c r="G112" s="11"/>
      <c r="H112" s="11" t="s">
        <v>907</v>
      </c>
      <c r="I112" s="18"/>
      <c r="J112" s="19" t="s">
        <v>29</v>
      </c>
      <c r="K112" s="12">
        <v>1150000</v>
      </c>
      <c r="L112" s="13">
        <v>1200000</v>
      </c>
      <c r="M112" s="14">
        <v>1300000</v>
      </c>
      <c r="N112" s="9">
        <f t="shared" si="4"/>
        <v>1430000</v>
      </c>
      <c r="O112" s="10">
        <v>49</v>
      </c>
      <c r="P112" s="10">
        <v>34.6</v>
      </c>
      <c r="Q112" s="10" t="s">
        <v>99</v>
      </c>
      <c r="R112" s="10">
        <v>44</v>
      </c>
      <c r="S112" s="10">
        <v>37.3</v>
      </c>
      <c r="T112" s="10" t="s">
        <v>413</v>
      </c>
    </row>
    <row r="113" ht="99.75" customHeight="1" spans="1:20">
      <c r="A113" s="6" t="s">
        <v>789</v>
      </c>
      <c r="B113" s="6" t="s">
        <v>2154</v>
      </c>
      <c r="C113" s="6" t="s">
        <v>25</v>
      </c>
      <c r="D113" s="6" t="s">
        <v>899</v>
      </c>
      <c r="E113" s="6" t="s">
        <v>905</v>
      </c>
      <c r="F113" s="7" t="s">
        <v>2155</v>
      </c>
      <c r="G113" s="7"/>
      <c r="H113" s="7" t="s">
        <v>2156</v>
      </c>
      <c r="I113" s="16"/>
      <c r="J113" s="17" t="s">
        <v>29</v>
      </c>
      <c r="K113" s="12">
        <v>1150000</v>
      </c>
      <c r="L113" s="13">
        <v>1200000</v>
      </c>
      <c r="M113" s="14">
        <v>1300000</v>
      </c>
      <c r="N113" s="9">
        <f t="shared" si="4"/>
        <v>1430000</v>
      </c>
      <c r="O113" s="6">
        <v>49</v>
      </c>
      <c r="P113" s="6">
        <v>34.4</v>
      </c>
      <c r="Q113" s="6" t="s">
        <v>99</v>
      </c>
      <c r="R113" s="6">
        <v>44.4</v>
      </c>
      <c r="S113" s="6">
        <v>37.6</v>
      </c>
      <c r="T113" s="6" t="s">
        <v>505</v>
      </c>
    </row>
    <row r="114" ht="28.5" customHeight="1" spans="1:20">
      <c r="A114" s="10" t="s">
        <v>789</v>
      </c>
      <c r="B114" s="10" t="s">
        <v>2157</v>
      </c>
      <c r="C114" s="10" t="s">
        <v>25</v>
      </c>
      <c r="D114" s="10" t="s">
        <v>899</v>
      </c>
      <c r="E114" s="10" t="s">
        <v>849</v>
      </c>
      <c r="F114" s="11" t="s">
        <v>975</v>
      </c>
      <c r="G114" s="11" t="s">
        <v>976</v>
      </c>
      <c r="H114" s="11" t="s">
        <v>977</v>
      </c>
      <c r="I114" s="18" t="s">
        <v>846</v>
      </c>
      <c r="J114" s="19" t="s">
        <v>29</v>
      </c>
      <c r="K114" s="12">
        <v>1150000</v>
      </c>
      <c r="L114" s="13">
        <v>1200000</v>
      </c>
      <c r="M114" s="14">
        <v>1300000</v>
      </c>
      <c r="N114" s="9">
        <f t="shared" si="4"/>
        <v>1430000</v>
      </c>
      <c r="O114" s="10">
        <v>49</v>
      </c>
      <c r="P114" s="10">
        <v>36.3</v>
      </c>
      <c r="Q114" s="10" t="s">
        <v>99</v>
      </c>
      <c r="R114" s="10">
        <v>44</v>
      </c>
      <c r="S114" s="10">
        <v>37.3</v>
      </c>
      <c r="T114" s="10" t="s">
        <v>413</v>
      </c>
    </row>
    <row r="115" ht="85.5" customHeight="1" spans="1:20">
      <c r="A115" s="6" t="s">
        <v>789</v>
      </c>
      <c r="B115" s="6" t="s">
        <v>2158</v>
      </c>
      <c r="C115" s="6" t="s">
        <v>61</v>
      </c>
      <c r="D115" s="6" t="s">
        <v>858</v>
      </c>
      <c r="E115" s="6" t="s">
        <v>849</v>
      </c>
      <c r="F115" s="7" t="s">
        <v>859</v>
      </c>
      <c r="G115" s="7"/>
      <c r="H115" s="7" t="s">
        <v>860</v>
      </c>
      <c r="I115" s="16"/>
      <c r="J115" s="17" t="s">
        <v>29</v>
      </c>
      <c r="K115" s="12">
        <v>1350000</v>
      </c>
      <c r="L115" s="13">
        <v>1450000</v>
      </c>
      <c r="M115" s="14">
        <v>1550000</v>
      </c>
      <c r="N115" s="9">
        <f t="shared" si="4"/>
        <v>1705000</v>
      </c>
      <c r="O115" s="6">
        <v>52.8</v>
      </c>
      <c r="P115" s="6">
        <v>36.7</v>
      </c>
      <c r="Q115" s="6" t="s">
        <v>99</v>
      </c>
      <c r="R115" s="6">
        <v>42.5</v>
      </c>
      <c r="S115" s="6">
        <v>37.8</v>
      </c>
      <c r="T115" s="6" t="s">
        <v>505</v>
      </c>
    </row>
    <row r="116" ht="128.25" customHeight="1" spans="1:20">
      <c r="A116" s="10" t="s">
        <v>789</v>
      </c>
      <c r="B116" s="10" t="s">
        <v>2159</v>
      </c>
      <c r="C116" s="10" t="s">
        <v>61</v>
      </c>
      <c r="D116" s="10" t="s">
        <v>858</v>
      </c>
      <c r="E116" s="10" t="s">
        <v>849</v>
      </c>
      <c r="F116" s="11" t="s">
        <v>928</v>
      </c>
      <c r="G116" s="11"/>
      <c r="H116" s="11" t="s">
        <v>914</v>
      </c>
      <c r="I116" s="18"/>
      <c r="J116" s="19" t="s">
        <v>29</v>
      </c>
      <c r="K116" s="12">
        <v>1500000</v>
      </c>
      <c r="L116" s="13">
        <v>1600000</v>
      </c>
      <c r="M116" s="14">
        <v>1700000</v>
      </c>
      <c r="N116" s="9">
        <f t="shared" si="4"/>
        <v>1870000</v>
      </c>
      <c r="O116" s="10">
        <v>53.89</v>
      </c>
      <c r="P116" s="10">
        <v>37.8</v>
      </c>
      <c r="Q116" s="10" t="s">
        <v>99</v>
      </c>
      <c r="R116" s="10">
        <v>43</v>
      </c>
      <c r="S116" s="10">
        <v>38.2</v>
      </c>
      <c r="T116" s="10" t="s">
        <v>505</v>
      </c>
    </row>
    <row r="117" ht="42.75" customHeight="1" spans="1:20">
      <c r="A117" s="6" t="s">
        <v>789</v>
      </c>
      <c r="B117" s="6" t="s">
        <v>2160</v>
      </c>
      <c r="C117" s="6" t="s">
        <v>35</v>
      </c>
      <c r="D117" s="6" t="s">
        <v>946</v>
      </c>
      <c r="E117" s="6" t="s">
        <v>947</v>
      </c>
      <c r="F117" s="7" t="s">
        <v>948</v>
      </c>
      <c r="G117" s="7" t="s">
        <v>949</v>
      </c>
      <c r="H117" s="7" t="s">
        <v>950</v>
      </c>
      <c r="I117" s="16"/>
      <c r="J117" s="17" t="s">
        <v>29</v>
      </c>
      <c r="K117" s="12">
        <v>1600000</v>
      </c>
      <c r="L117" s="13">
        <v>1700000</v>
      </c>
      <c r="M117" s="14">
        <v>1900000</v>
      </c>
      <c r="N117" s="9">
        <f t="shared" si="4"/>
        <v>2090000</v>
      </c>
      <c r="O117" s="6">
        <v>78</v>
      </c>
      <c r="P117" s="6">
        <v>51.4</v>
      </c>
      <c r="Q117" s="6" t="s">
        <v>65</v>
      </c>
      <c r="R117" s="6">
        <v>67</v>
      </c>
      <c r="S117" s="6">
        <v>58.8</v>
      </c>
      <c r="T117" s="6">
        <v>11</v>
      </c>
    </row>
    <row r="118" ht="42.75" customHeight="1" spans="1:20">
      <c r="A118" s="10" t="s">
        <v>789</v>
      </c>
      <c r="B118" s="10" t="s">
        <v>2161</v>
      </c>
      <c r="C118" s="10" t="s">
        <v>25</v>
      </c>
      <c r="D118" s="10" t="s">
        <v>968</v>
      </c>
      <c r="E118" s="10" t="s">
        <v>969</v>
      </c>
      <c r="F118" s="11" t="s">
        <v>970</v>
      </c>
      <c r="G118" s="11"/>
      <c r="H118" s="11" t="s">
        <v>971</v>
      </c>
      <c r="I118" s="18" t="s">
        <v>972</v>
      </c>
      <c r="J118" s="19" t="s">
        <v>29</v>
      </c>
      <c r="K118" s="8"/>
      <c r="L118" s="8"/>
      <c r="M118" s="8"/>
      <c r="N118" s="9" t="str">
        <f t="shared" si="4"/>
        <v/>
      </c>
      <c r="O118" s="10">
        <v>52.4</v>
      </c>
      <c r="P118" s="10">
        <v>36.8</v>
      </c>
      <c r="Q118" s="10">
        <v>9</v>
      </c>
      <c r="R118" s="10">
        <v>43</v>
      </c>
      <c r="S118" s="10">
        <v>38</v>
      </c>
      <c r="T118" s="10" t="s">
        <v>505</v>
      </c>
    </row>
    <row r="119" ht="28.5" customHeight="1" spans="1:20">
      <c r="A119" s="6" t="s">
        <v>789</v>
      </c>
      <c r="B119" s="6" t="s">
        <v>2162</v>
      </c>
      <c r="C119" s="6" t="s">
        <v>25</v>
      </c>
      <c r="D119" s="6" t="s">
        <v>952</v>
      </c>
      <c r="E119" s="6"/>
      <c r="F119" s="7" t="s">
        <v>953</v>
      </c>
      <c r="G119" s="7"/>
      <c r="H119" s="7"/>
      <c r="I119" s="16"/>
      <c r="J119" s="17" t="s">
        <v>29</v>
      </c>
      <c r="K119" s="8"/>
      <c r="L119" s="8"/>
      <c r="M119" s="8"/>
      <c r="N119" s="9" t="str">
        <f t="shared" si="4"/>
        <v/>
      </c>
      <c r="O119" s="6">
        <v>49</v>
      </c>
      <c r="P119" s="6">
        <v>36.3</v>
      </c>
      <c r="Q119" s="6" t="s">
        <v>99</v>
      </c>
      <c r="R119" s="6">
        <v>40.9</v>
      </c>
      <c r="S119" s="6">
        <v>34.7</v>
      </c>
      <c r="T119" s="6" t="s">
        <v>505</v>
      </c>
    </row>
    <row r="120" ht="99.75" customHeight="1" spans="1:20">
      <c r="A120" s="10" t="s">
        <v>789</v>
      </c>
      <c r="B120" s="10" t="s">
        <v>2163</v>
      </c>
      <c r="C120" s="10" t="s">
        <v>25</v>
      </c>
      <c r="D120" s="10" t="s">
        <v>633</v>
      </c>
      <c r="E120" s="10" t="s">
        <v>872</v>
      </c>
      <c r="F120" s="11" t="s">
        <v>873</v>
      </c>
      <c r="G120" s="11"/>
      <c r="H120" s="11" t="s">
        <v>874</v>
      </c>
      <c r="I120" s="18"/>
      <c r="J120" s="19" t="s">
        <v>29</v>
      </c>
      <c r="K120" s="12">
        <v>1550000</v>
      </c>
      <c r="L120" s="13">
        <v>1650000</v>
      </c>
      <c r="M120" s="14">
        <v>1750000</v>
      </c>
      <c r="N120" s="9">
        <f t="shared" si="4"/>
        <v>1925000</v>
      </c>
      <c r="O120" s="10">
        <v>71</v>
      </c>
      <c r="P120" s="10">
        <v>51.2</v>
      </c>
      <c r="Q120" s="10" t="s">
        <v>99</v>
      </c>
      <c r="R120" s="10">
        <v>64.4</v>
      </c>
      <c r="S120" s="10">
        <v>54.6</v>
      </c>
      <c r="T120" s="10">
        <v>10</v>
      </c>
    </row>
    <row r="121" ht="28.5" customHeight="1" spans="1:20">
      <c r="A121" s="6" t="s">
        <v>789</v>
      </c>
      <c r="B121" s="6" t="s">
        <v>2164</v>
      </c>
      <c r="C121" s="6" t="s">
        <v>25</v>
      </c>
      <c r="D121" s="6" t="s">
        <v>877</v>
      </c>
      <c r="E121" s="6" t="s">
        <v>878</v>
      </c>
      <c r="F121" s="7" t="s">
        <v>879</v>
      </c>
      <c r="G121" s="7"/>
      <c r="H121" s="7" t="s">
        <v>880</v>
      </c>
      <c r="I121" s="16"/>
      <c r="J121" s="17" t="s">
        <v>29</v>
      </c>
      <c r="K121" s="8"/>
      <c r="L121" s="8"/>
      <c r="M121" s="8"/>
      <c r="N121" s="9" t="str">
        <f t="shared" si="4"/>
        <v/>
      </c>
      <c r="O121" s="6">
        <v>52</v>
      </c>
      <c r="P121" s="6">
        <v>38.5</v>
      </c>
      <c r="Q121" s="6" t="s">
        <v>99</v>
      </c>
      <c r="R121" s="6">
        <v>44.4</v>
      </c>
      <c r="S121" s="6">
        <v>37.6</v>
      </c>
      <c r="T121" s="6" t="s">
        <v>505</v>
      </c>
    </row>
    <row r="122" ht="28.5" customHeight="1" spans="1:20">
      <c r="A122" s="10" t="s">
        <v>789</v>
      </c>
      <c r="B122" s="10" t="s">
        <v>2165</v>
      </c>
      <c r="C122" s="10" t="s">
        <v>35</v>
      </c>
      <c r="D122" s="10" t="s">
        <v>169</v>
      </c>
      <c r="E122" s="10" t="s">
        <v>814</v>
      </c>
      <c r="F122" s="11" t="s">
        <v>815</v>
      </c>
      <c r="G122" s="11" t="s">
        <v>811</v>
      </c>
      <c r="H122" s="11" t="s">
        <v>816</v>
      </c>
      <c r="I122" s="18"/>
      <c r="J122" s="19" t="s">
        <v>29</v>
      </c>
      <c r="K122" s="12">
        <v>1100000</v>
      </c>
      <c r="L122" s="13">
        <v>1150000</v>
      </c>
      <c r="M122" s="14">
        <v>1250000</v>
      </c>
      <c r="N122" s="9">
        <f t="shared" si="4"/>
        <v>1375000</v>
      </c>
      <c r="O122" s="10">
        <v>49</v>
      </c>
      <c r="P122" s="10">
        <v>35.5</v>
      </c>
      <c r="Q122" s="10" t="s">
        <v>99</v>
      </c>
      <c r="R122" s="10">
        <v>43.1</v>
      </c>
      <c r="S122" s="10">
        <v>36</v>
      </c>
      <c r="T122" s="10">
        <v>11</v>
      </c>
    </row>
    <row r="123" ht="28.5" customHeight="1" spans="1:20">
      <c r="A123" s="6" t="s">
        <v>789</v>
      </c>
      <c r="B123" s="6" t="s">
        <v>2166</v>
      </c>
      <c r="C123" s="6" t="s">
        <v>85</v>
      </c>
      <c r="D123" s="6" t="s">
        <v>678</v>
      </c>
      <c r="E123" s="6"/>
      <c r="F123" s="7" t="s">
        <v>959</v>
      </c>
      <c r="G123" s="7" t="s">
        <v>678</v>
      </c>
      <c r="H123" s="7"/>
      <c r="I123" s="16" t="s">
        <v>960</v>
      </c>
      <c r="J123" s="17" t="s">
        <v>29</v>
      </c>
      <c r="K123" s="8"/>
      <c r="L123" s="8"/>
      <c r="M123" s="8"/>
      <c r="N123" s="9" t="str">
        <f t="shared" si="4"/>
        <v/>
      </c>
      <c r="O123" s="6">
        <v>52.5</v>
      </c>
      <c r="P123" s="6">
        <v>39.2</v>
      </c>
      <c r="Q123" s="6" t="s">
        <v>99</v>
      </c>
      <c r="R123" s="6">
        <v>44.4</v>
      </c>
      <c r="S123" s="6">
        <v>37.6</v>
      </c>
      <c r="T123" s="6">
        <v>8</v>
      </c>
    </row>
    <row r="124" ht="42.75" customHeight="1" spans="1:20">
      <c r="A124" s="10" t="s">
        <v>789</v>
      </c>
      <c r="B124" s="10" t="s">
        <v>2167</v>
      </c>
      <c r="C124" s="10"/>
      <c r="D124" s="10"/>
      <c r="E124" s="10"/>
      <c r="F124" s="21" t="s">
        <v>2168</v>
      </c>
      <c r="G124" s="11"/>
      <c r="H124" s="11"/>
      <c r="I124" s="18" t="s">
        <v>2169</v>
      </c>
      <c r="J124" s="19" t="s">
        <v>29</v>
      </c>
      <c r="K124" s="12">
        <v>1200000</v>
      </c>
      <c r="L124" s="13">
        <v>1300000</v>
      </c>
      <c r="M124" s="14">
        <v>1400000</v>
      </c>
      <c r="N124" s="9">
        <f t="shared" si="4"/>
        <v>1540000</v>
      </c>
      <c r="O124" s="10"/>
      <c r="P124" s="10"/>
      <c r="Q124" s="10"/>
      <c r="R124" s="10"/>
      <c r="S124" s="10"/>
      <c r="T124" s="10"/>
    </row>
    <row r="125" ht="57" customHeight="1" spans="1:20">
      <c r="A125" s="6" t="s">
        <v>789</v>
      </c>
      <c r="B125" s="6" t="s">
        <v>2170</v>
      </c>
      <c r="C125" s="6"/>
      <c r="D125" s="6"/>
      <c r="E125" s="6"/>
      <c r="F125" s="22" t="s">
        <v>2171</v>
      </c>
      <c r="G125" s="7"/>
      <c r="H125" s="7"/>
      <c r="I125" s="16" t="s">
        <v>2172</v>
      </c>
      <c r="J125" s="17" t="s">
        <v>29</v>
      </c>
      <c r="K125" s="12">
        <v>2500000</v>
      </c>
      <c r="L125" s="13">
        <v>2600000</v>
      </c>
      <c r="M125" s="14">
        <v>2750000</v>
      </c>
      <c r="N125" s="9">
        <f t="shared" si="4"/>
        <v>3025000</v>
      </c>
      <c r="O125" s="6"/>
      <c r="P125" s="6"/>
      <c r="Q125" s="6"/>
      <c r="R125" s="6"/>
      <c r="S125" s="6"/>
      <c r="T125" s="6"/>
    </row>
    <row r="126" ht="57" customHeight="1" spans="1:20">
      <c r="A126" s="10" t="s">
        <v>789</v>
      </c>
      <c r="B126" s="10" t="s">
        <v>2173</v>
      </c>
      <c r="C126" s="10"/>
      <c r="D126" s="10"/>
      <c r="E126" s="10"/>
      <c r="F126" s="21" t="s">
        <v>983</v>
      </c>
      <c r="G126" s="11"/>
      <c r="H126" s="11"/>
      <c r="I126" s="18" t="s">
        <v>2174</v>
      </c>
      <c r="J126" s="19" t="s">
        <v>29</v>
      </c>
      <c r="K126" s="12">
        <v>1150000</v>
      </c>
      <c r="L126" s="13">
        <v>1200000</v>
      </c>
      <c r="M126" s="14">
        <v>1300000</v>
      </c>
      <c r="N126" s="9">
        <f t="shared" si="4"/>
        <v>1430000</v>
      </c>
      <c r="O126" s="10"/>
      <c r="P126" s="10"/>
      <c r="Q126" s="10"/>
      <c r="R126" s="10"/>
      <c r="S126" s="10"/>
      <c r="T126" s="10"/>
    </row>
    <row r="127" ht="57" customHeight="1" spans="1:20">
      <c r="A127" s="6" t="s">
        <v>789</v>
      </c>
      <c r="B127" s="6" t="s">
        <v>2175</v>
      </c>
      <c r="C127" s="6"/>
      <c r="D127" s="6"/>
      <c r="E127" s="6"/>
      <c r="F127" s="22" t="s">
        <v>986</v>
      </c>
      <c r="G127" s="7"/>
      <c r="H127" s="7"/>
      <c r="I127" s="16" t="s">
        <v>2176</v>
      </c>
      <c r="J127" s="17" t="s">
        <v>29</v>
      </c>
      <c r="K127" s="12">
        <v>1150000</v>
      </c>
      <c r="L127" s="13">
        <v>1200000</v>
      </c>
      <c r="M127" s="14">
        <v>1300000</v>
      </c>
      <c r="N127" s="9">
        <f t="shared" si="4"/>
        <v>1430000</v>
      </c>
      <c r="O127" s="6"/>
      <c r="P127" s="6"/>
      <c r="Q127" s="6"/>
      <c r="R127" s="6"/>
      <c r="S127" s="6"/>
      <c r="T127" s="6"/>
    </row>
    <row r="128" ht="57" customHeight="1" spans="1:20">
      <c r="A128" s="10" t="s">
        <v>789</v>
      </c>
      <c r="B128" s="10" t="s">
        <v>2177</v>
      </c>
      <c r="C128" s="10"/>
      <c r="D128" s="10"/>
      <c r="E128" s="10"/>
      <c r="F128" s="21" t="s">
        <v>2178</v>
      </c>
      <c r="G128" s="11"/>
      <c r="H128" s="11"/>
      <c r="I128" s="18" t="s">
        <v>2179</v>
      </c>
      <c r="J128" s="19" t="s">
        <v>29</v>
      </c>
      <c r="K128" s="12">
        <v>1150000</v>
      </c>
      <c r="L128" s="13">
        <v>1250000</v>
      </c>
      <c r="M128" s="14">
        <v>1350000</v>
      </c>
      <c r="N128" s="9">
        <f t="shared" si="4"/>
        <v>1485000</v>
      </c>
      <c r="O128" s="10"/>
      <c r="P128" s="10"/>
      <c r="Q128" s="10"/>
      <c r="R128" s="10"/>
      <c r="S128" s="10"/>
      <c r="T128" s="10"/>
    </row>
    <row r="129" ht="57" customHeight="1" spans="1:20">
      <c r="A129" s="6" t="s">
        <v>789</v>
      </c>
      <c r="B129" s="6" t="s">
        <v>2180</v>
      </c>
      <c r="C129" s="6"/>
      <c r="D129" s="6"/>
      <c r="E129" s="6"/>
      <c r="F129" s="22" t="s">
        <v>2181</v>
      </c>
      <c r="G129" s="7"/>
      <c r="H129" s="7"/>
      <c r="I129" s="16" t="s">
        <v>2182</v>
      </c>
      <c r="J129" s="17" t="s">
        <v>29</v>
      </c>
      <c r="K129" s="12">
        <v>1150000</v>
      </c>
      <c r="L129" s="13">
        <v>1200000</v>
      </c>
      <c r="M129" s="14">
        <v>1300000</v>
      </c>
      <c r="N129" s="9">
        <f t="shared" si="4"/>
        <v>1430000</v>
      </c>
      <c r="O129" s="6"/>
      <c r="P129" s="6"/>
      <c r="Q129" s="6"/>
      <c r="R129" s="6"/>
      <c r="S129" s="6"/>
      <c r="T129" s="6"/>
    </row>
    <row r="130" ht="57" customHeight="1" spans="1:20">
      <c r="A130" s="10" t="s">
        <v>789</v>
      </c>
      <c r="B130" s="10" t="s">
        <v>2183</v>
      </c>
      <c r="C130" s="10"/>
      <c r="D130" s="10"/>
      <c r="E130" s="10"/>
      <c r="F130" s="21" t="s">
        <v>2184</v>
      </c>
      <c r="G130" s="11"/>
      <c r="H130" s="11"/>
      <c r="I130" s="18" t="s">
        <v>2185</v>
      </c>
      <c r="J130" s="19" t="s">
        <v>29</v>
      </c>
      <c r="K130" s="12">
        <v>1200000</v>
      </c>
      <c r="L130" s="13">
        <v>1300000</v>
      </c>
      <c r="M130" s="14">
        <v>1400000</v>
      </c>
      <c r="N130" s="9">
        <f t="shared" si="4"/>
        <v>1540000</v>
      </c>
      <c r="O130" s="10"/>
      <c r="P130" s="10"/>
      <c r="Q130" s="10"/>
      <c r="R130" s="10"/>
      <c r="S130" s="10"/>
      <c r="T130" s="10"/>
    </row>
    <row r="131" ht="71.25" customHeight="1" spans="1:20">
      <c r="A131" s="6" t="s">
        <v>789</v>
      </c>
      <c r="B131" s="6" t="s">
        <v>2186</v>
      </c>
      <c r="C131" s="6"/>
      <c r="D131" s="6"/>
      <c r="E131" s="6"/>
      <c r="F131" s="22" t="s">
        <v>2187</v>
      </c>
      <c r="G131" s="7"/>
      <c r="H131" s="7"/>
      <c r="I131" s="16" t="s">
        <v>2188</v>
      </c>
      <c r="J131" s="17" t="s">
        <v>29</v>
      </c>
      <c r="K131" s="8"/>
      <c r="L131" s="8"/>
      <c r="M131" s="8"/>
      <c r="N131" s="9" t="str">
        <f t="shared" si="4"/>
        <v/>
      </c>
      <c r="O131" s="6"/>
      <c r="P131" s="6"/>
      <c r="Q131" s="6"/>
      <c r="R131" s="6"/>
      <c r="S131" s="6"/>
      <c r="T131" s="6"/>
    </row>
    <row r="132" ht="72" customHeight="1" spans="1:20">
      <c r="A132" s="10" t="s">
        <v>789</v>
      </c>
      <c r="B132" s="10" t="s">
        <v>2189</v>
      </c>
      <c r="C132" s="10"/>
      <c r="D132" s="10"/>
      <c r="E132" s="10"/>
      <c r="F132" s="21" t="s">
        <v>2190</v>
      </c>
      <c r="G132" s="11"/>
      <c r="H132" s="11"/>
      <c r="I132" s="18" t="s">
        <v>2191</v>
      </c>
      <c r="J132" s="19" t="s">
        <v>29</v>
      </c>
      <c r="K132" s="8"/>
      <c r="L132" s="8"/>
      <c r="M132" s="8"/>
      <c r="N132" s="9" t="str">
        <f t="shared" si="4"/>
        <v/>
      </c>
      <c r="O132" s="10"/>
      <c r="P132" s="10"/>
      <c r="Q132" s="10"/>
      <c r="R132" s="10"/>
      <c r="S132" s="10"/>
      <c r="T132" s="10"/>
    </row>
    <row r="133" ht="21.75" customHeight="1" spans="1:20">
      <c r="A133" s="5" t="s">
        <v>2192</v>
      </c>
      <c r="B133" s="5"/>
      <c r="C133" s="5"/>
      <c r="D133" s="5"/>
      <c r="E133" s="5"/>
      <c r="F133" s="5"/>
      <c r="G133" s="5"/>
      <c r="H133" s="5"/>
      <c r="I133" s="20"/>
      <c r="J133" s="20"/>
      <c r="K133" s="20"/>
      <c r="L133" s="20"/>
      <c r="M133" s="5"/>
      <c r="N133" s="5"/>
      <c r="O133" s="5"/>
      <c r="P133" s="5"/>
      <c r="Q133" s="5"/>
      <c r="R133" s="5"/>
      <c r="S133" s="5"/>
      <c r="T133" s="5"/>
    </row>
    <row r="134" ht="171" customHeight="1" spans="1:20">
      <c r="A134" s="6" t="s">
        <v>702</v>
      </c>
      <c r="B134" s="6" t="s">
        <v>2193</v>
      </c>
      <c r="C134" s="6" t="s">
        <v>85</v>
      </c>
      <c r="D134" s="6" t="s">
        <v>678</v>
      </c>
      <c r="E134" s="6" t="s">
        <v>1060</v>
      </c>
      <c r="F134" s="7" t="s">
        <v>1061</v>
      </c>
      <c r="G134" s="7" t="s">
        <v>1062</v>
      </c>
      <c r="H134" s="7" t="s">
        <v>1063</v>
      </c>
      <c r="I134" s="16"/>
      <c r="J134" s="17" t="s">
        <v>29</v>
      </c>
      <c r="K134" s="8"/>
      <c r="L134" s="8"/>
      <c r="M134" s="8"/>
      <c r="N134" s="9" t="str">
        <f t="shared" ref="N134:N154" si="5">IF($M134="","",ROUND($M134*1.1,0))</f>
        <v/>
      </c>
      <c r="O134" s="6">
        <v>52.5</v>
      </c>
      <c r="P134" s="6">
        <v>39.1</v>
      </c>
      <c r="Q134" s="6" t="s">
        <v>99</v>
      </c>
      <c r="R134" s="6">
        <v>44.4</v>
      </c>
      <c r="S134" s="6">
        <v>37.6</v>
      </c>
      <c r="T134" s="6">
        <v>8</v>
      </c>
    </row>
    <row r="135" ht="15.75" customHeight="1" spans="1:20">
      <c r="A135" s="10" t="s">
        <v>702</v>
      </c>
      <c r="B135" s="10" t="s">
        <v>2194</v>
      </c>
      <c r="C135" s="10" t="s">
        <v>85</v>
      </c>
      <c r="D135" s="10" t="s">
        <v>591</v>
      </c>
      <c r="E135" s="10" t="s">
        <v>639</v>
      </c>
      <c r="F135" s="11" t="s">
        <v>1100</v>
      </c>
      <c r="G135" s="11"/>
      <c r="H135" s="11"/>
      <c r="I135" s="18"/>
      <c r="J135" s="19" t="s">
        <v>29</v>
      </c>
      <c r="K135" s="12">
        <v>1850000</v>
      </c>
      <c r="L135" s="13">
        <v>1950000</v>
      </c>
      <c r="M135" s="14">
        <v>2100000</v>
      </c>
      <c r="N135" s="9">
        <f t="shared" si="5"/>
        <v>2310000</v>
      </c>
      <c r="O135" s="10">
        <v>82</v>
      </c>
      <c r="P135" s="10">
        <v>57.2</v>
      </c>
      <c r="Q135" s="10" t="s">
        <v>99</v>
      </c>
      <c r="R135" s="10">
        <v>75.43</v>
      </c>
      <c r="S135" s="10">
        <v>73.6</v>
      </c>
      <c r="T135" s="10" t="s">
        <v>597</v>
      </c>
    </row>
    <row r="136" ht="99.75" customHeight="1" spans="1:20">
      <c r="A136" s="6" t="s">
        <v>702</v>
      </c>
      <c r="B136" s="6" t="s">
        <v>2195</v>
      </c>
      <c r="C136" s="6" t="s">
        <v>85</v>
      </c>
      <c r="D136" s="6" t="s">
        <v>2196</v>
      </c>
      <c r="E136" s="6" t="s">
        <v>2197</v>
      </c>
      <c r="F136" s="7" t="s">
        <v>2198</v>
      </c>
      <c r="G136" s="7" t="s">
        <v>2199</v>
      </c>
      <c r="H136" s="7" t="s">
        <v>2200</v>
      </c>
      <c r="I136" s="16" t="s">
        <v>2201</v>
      </c>
      <c r="J136" s="17" t="s">
        <v>29</v>
      </c>
      <c r="K136" s="8"/>
      <c r="L136" s="8"/>
      <c r="M136" s="8"/>
      <c r="N136" s="9" t="str">
        <f t="shared" si="5"/>
        <v/>
      </c>
      <c r="O136" s="6"/>
      <c r="P136" s="6"/>
      <c r="Q136" s="6"/>
      <c r="R136" s="6"/>
      <c r="S136" s="6"/>
      <c r="T136" s="6"/>
    </row>
    <row r="137" ht="28.5" customHeight="1" spans="1:20">
      <c r="A137" s="10" t="s">
        <v>702</v>
      </c>
      <c r="B137" s="10" t="s">
        <v>2202</v>
      </c>
      <c r="C137" s="10" t="s">
        <v>85</v>
      </c>
      <c r="D137" s="10" t="s">
        <v>678</v>
      </c>
      <c r="E137" s="10" t="s">
        <v>1052</v>
      </c>
      <c r="F137" s="11" t="s">
        <v>1067</v>
      </c>
      <c r="G137" s="11" t="s">
        <v>647</v>
      </c>
      <c r="H137" s="11" t="s">
        <v>1050</v>
      </c>
      <c r="I137" s="18"/>
      <c r="J137" s="19" t="s">
        <v>29</v>
      </c>
      <c r="K137" s="12">
        <v>1200000</v>
      </c>
      <c r="L137" s="13">
        <v>1300000</v>
      </c>
      <c r="M137" s="14">
        <v>1400000</v>
      </c>
      <c r="N137" s="9">
        <f t="shared" si="5"/>
        <v>1540000</v>
      </c>
      <c r="O137" s="10">
        <v>47</v>
      </c>
      <c r="P137" s="10">
        <v>35.3</v>
      </c>
      <c r="Q137" s="10" t="s">
        <v>99</v>
      </c>
      <c r="R137" s="10">
        <v>44.3</v>
      </c>
      <c r="S137" s="10">
        <v>37.7</v>
      </c>
      <c r="T137" s="10">
        <v>8</v>
      </c>
    </row>
    <row r="138" ht="15.75" customHeight="1" spans="1:20">
      <c r="A138" s="6" t="s">
        <v>702</v>
      </c>
      <c r="B138" s="6" t="s">
        <v>2203</v>
      </c>
      <c r="C138" s="6" t="s">
        <v>85</v>
      </c>
      <c r="D138" s="6" t="s">
        <v>708</v>
      </c>
      <c r="E138" s="6" t="s">
        <v>1039</v>
      </c>
      <c r="F138" s="7" t="s">
        <v>1040</v>
      </c>
      <c r="G138" s="7"/>
      <c r="H138" s="7"/>
      <c r="I138" s="16"/>
      <c r="J138" s="17" t="s">
        <v>29</v>
      </c>
      <c r="K138" s="12">
        <v>1150000</v>
      </c>
      <c r="L138" s="13">
        <v>1200000</v>
      </c>
      <c r="M138" s="14">
        <v>1300000</v>
      </c>
      <c r="N138" s="9">
        <f t="shared" si="5"/>
        <v>1430000</v>
      </c>
      <c r="O138" s="6">
        <v>52.5</v>
      </c>
      <c r="P138" s="6">
        <v>36.8</v>
      </c>
      <c r="Q138" s="6" t="s">
        <v>90</v>
      </c>
      <c r="R138" s="6">
        <v>52.5</v>
      </c>
      <c r="S138" s="6">
        <v>44</v>
      </c>
      <c r="T138" s="6">
        <v>12</v>
      </c>
    </row>
    <row r="139" ht="213.75" customHeight="1" spans="1:20">
      <c r="A139" s="10" t="s">
        <v>702</v>
      </c>
      <c r="B139" s="10" t="s">
        <v>2204</v>
      </c>
      <c r="C139" s="10" t="s">
        <v>25</v>
      </c>
      <c r="D139" s="10" t="s">
        <v>1069</v>
      </c>
      <c r="E139" s="10" t="s">
        <v>1070</v>
      </c>
      <c r="F139" s="11" t="s">
        <v>1071</v>
      </c>
      <c r="G139" s="11" t="s">
        <v>1072</v>
      </c>
      <c r="H139" s="11" t="s">
        <v>1073</v>
      </c>
      <c r="I139" s="18" t="s">
        <v>1074</v>
      </c>
      <c r="J139" s="19" t="s">
        <v>29</v>
      </c>
      <c r="K139" s="12">
        <v>1150000</v>
      </c>
      <c r="L139" s="13">
        <v>1250000</v>
      </c>
      <c r="M139" s="14">
        <v>1350000</v>
      </c>
      <c r="N139" s="9">
        <f t="shared" si="5"/>
        <v>1485000</v>
      </c>
      <c r="O139" s="10">
        <v>60.2</v>
      </c>
      <c r="P139" s="10">
        <v>46.4</v>
      </c>
      <c r="Q139" s="10" t="s">
        <v>99</v>
      </c>
      <c r="R139" s="10">
        <v>54</v>
      </c>
      <c r="S139" s="10">
        <v>46.9</v>
      </c>
      <c r="T139" s="10">
        <v>9</v>
      </c>
    </row>
    <row r="140" ht="71.25" customHeight="1" spans="1:20">
      <c r="A140" s="6" t="s">
        <v>702</v>
      </c>
      <c r="B140" s="6" t="s">
        <v>2205</v>
      </c>
      <c r="C140" s="6" t="s">
        <v>25</v>
      </c>
      <c r="D140" s="6" t="s">
        <v>1104</v>
      </c>
      <c r="E140" s="6" t="s">
        <v>1105</v>
      </c>
      <c r="F140" s="7" t="s">
        <v>1106</v>
      </c>
      <c r="G140" s="7" t="s">
        <v>1107</v>
      </c>
      <c r="H140" s="7" t="s">
        <v>1108</v>
      </c>
      <c r="I140" s="16"/>
      <c r="J140" s="17" t="s">
        <v>29</v>
      </c>
      <c r="K140" s="12">
        <v>1100000</v>
      </c>
      <c r="L140" s="13">
        <v>1200000</v>
      </c>
      <c r="M140" s="14">
        <v>1300000</v>
      </c>
      <c r="N140" s="9">
        <f t="shared" si="5"/>
        <v>1430000</v>
      </c>
      <c r="O140" s="6">
        <v>56</v>
      </c>
      <c r="P140" s="6">
        <v>41.5</v>
      </c>
      <c r="Q140" s="6" t="s">
        <v>99</v>
      </c>
      <c r="R140" s="6">
        <v>50.4</v>
      </c>
      <c r="S140" s="6">
        <v>42.8</v>
      </c>
      <c r="T140" s="6">
        <v>9</v>
      </c>
    </row>
    <row r="141" ht="28.5" customHeight="1" spans="1:20">
      <c r="A141" s="10" t="s">
        <v>702</v>
      </c>
      <c r="B141" s="10" t="s">
        <v>2206</v>
      </c>
      <c r="C141" s="10" t="s">
        <v>25</v>
      </c>
      <c r="D141" s="10" t="s">
        <v>1076</v>
      </c>
      <c r="E141" s="10" t="s">
        <v>1077</v>
      </c>
      <c r="F141" s="11" t="s">
        <v>2207</v>
      </c>
      <c r="G141" s="11" t="s">
        <v>1079</v>
      </c>
      <c r="H141" s="11" t="s">
        <v>1037</v>
      </c>
      <c r="I141" s="11"/>
      <c r="J141" s="10" t="s">
        <v>29</v>
      </c>
      <c r="K141" s="12">
        <v>1150000</v>
      </c>
      <c r="L141" s="13">
        <v>1200000</v>
      </c>
      <c r="M141" s="14">
        <v>1300000</v>
      </c>
      <c r="N141" s="9">
        <f t="shared" si="5"/>
        <v>1430000</v>
      </c>
      <c r="O141" s="10">
        <v>56</v>
      </c>
      <c r="P141" s="10">
        <v>41.4</v>
      </c>
      <c r="Q141" s="10" t="s">
        <v>99</v>
      </c>
      <c r="R141" s="10">
        <v>50.5</v>
      </c>
      <c r="S141" s="10">
        <v>42.8</v>
      </c>
      <c r="T141" s="10">
        <v>9</v>
      </c>
    </row>
    <row r="142" ht="42.75" customHeight="1" spans="1:20">
      <c r="A142" s="6" t="s">
        <v>702</v>
      </c>
      <c r="B142" s="6" t="s">
        <v>2208</v>
      </c>
      <c r="C142" s="6" t="s">
        <v>85</v>
      </c>
      <c r="D142" s="6" t="s">
        <v>1002</v>
      </c>
      <c r="E142" s="6" t="s">
        <v>1003</v>
      </c>
      <c r="F142" s="7" t="s">
        <v>1004</v>
      </c>
      <c r="G142" s="7" t="s">
        <v>2209</v>
      </c>
      <c r="H142" s="7" t="s">
        <v>1006</v>
      </c>
      <c r="I142" s="16" t="s">
        <v>1007</v>
      </c>
      <c r="J142" s="17" t="s">
        <v>29</v>
      </c>
      <c r="K142" s="8"/>
      <c r="L142" s="8"/>
      <c r="M142" s="8"/>
      <c r="N142" s="9" t="str">
        <f t="shared" si="5"/>
        <v/>
      </c>
      <c r="O142" s="6"/>
      <c r="P142" s="6"/>
      <c r="Q142" s="6"/>
      <c r="R142" s="6"/>
      <c r="S142" s="6"/>
      <c r="T142" s="6"/>
    </row>
    <row r="143" ht="57" customHeight="1" spans="1:20">
      <c r="A143" s="10" t="s">
        <v>702</v>
      </c>
      <c r="B143" s="10" t="s">
        <v>2210</v>
      </c>
      <c r="C143" s="10" t="s">
        <v>85</v>
      </c>
      <c r="D143" s="10" t="s">
        <v>1002</v>
      </c>
      <c r="E143" s="10" t="s">
        <v>1009</v>
      </c>
      <c r="F143" s="11" t="s">
        <v>1010</v>
      </c>
      <c r="G143" s="11" t="s">
        <v>869</v>
      </c>
      <c r="H143" s="11" t="s">
        <v>1011</v>
      </c>
      <c r="I143" s="18" t="s">
        <v>1012</v>
      </c>
      <c r="J143" s="19" t="s">
        <v>29</v>
      </c>
      <c r="K143" s="12">
        <v>1550000</v>
      </c>
      <c r="L143" s="13">
        <v>1650000</v>
      </c>
      <c r="M143" s="14">
        <v>1750000</v>
      </c>
      <c r="N143" s="9">
        <f t="shared" si="5"/>
        <v>1925000</v>
      </c>
      <c r="O143" s="10">
        <v>65</v>
      </c>
      <c r="P143" s="10">
        <v>48.6</v>
      </c>
      <c r="Q143" s="10" t="s">
        <v>99</v>
      </c>
      <c r="R143" s="10">
        <v>56</v>
      </c>
      <c r="S143" s="10">
        <v>48.8</v>
      </c>
      <c r="T143" s="10">
        <v>11</v>
      </c>
    </row>
    <row r="144" ht="28.5" customHeight="1" spans="1:20">
      <c r="A144" s="6" t="s">
        <v>702</v>
      </c>
      <c r="B144" s="6" t="s">
        <v>2211</v>
      </c>
      <c r="C144" s="6" t="s">
        <v>85</v>
      </c>
      <c r="D144" s="6" t="s">
        <v>1114</v>
      </c>
      <c r="E144" s="6"/>
      <c r="F144" s="7" t="s">
        <v>1115</v>
      </c>
      <c r="G144" s="7"/>
      <c r="H144" s="7"/>
      <c r="I144" s="7" t="s">
        <v>1116</v>
      </c>
      <c r="J144" s="6" t="s">
        <v>29</v>
      </c>
      <c r="K144" s="8"/>
      <c r="L144" s="8"/>
      <c r="M144" s="8"/>
      <c r="N144" s="9" t="str">
        <f t="shared" si="5"/>
        <v/>
      </c>
      <c r="O144" s="6">
        <v>48</v>
      </c>
      <c r="P144" s="6">
        <v>37.2</v>
      </c>
      <c r="Q144" s="6" t="s">
        <v>99</v>
      </c>
      <c r="R144" s="6">
        <v>44.4</v>
      </c>
      <c r="S144" s="6">
        <v>37.6</v>
      </c>
      <c r="T144" s="6">
        <v>8</v>
      </c>
    </row>
    <row r="145" ht="156.75" customHeight="1" spans="1:20">
      <c r="A145" s="10" t="s">
        <v>702</v>
      </c>
      <c r="B145" s="10" t="s">
        <v>2212</v>
      </c>
      <c r="C145" s="10" t="s">
        <v>85</v>
      </c>
      <c r="D145" s="10" t="s">
        <v>86</v>
      </c>
      <c r="E145" s="10" t="s">
        <v>1018</v>
      </c>
      <c r="F145" s="11" t="s">
        <v>2213</v>
      </c>
      <c r="G145" s="11" t="s">
        <v>1020</v>
      </c>
      <c r="H145" s="11" t="s">
        <v>1021</v>
      </c>
      <c r="I145" s="18"/>
      <c r="J145" s="19" t="s">
        <v>29</v>
      </c>
      <c r="K145" s="12">
        <v>1100000</v>
      </c>
      <c r="L145" s="13">
        <v>1150000</v>
      </c>
      <c r="M145" s="14">
        <v>1250000</v>
      </c>
      <c r="N145" s="9">
        <f t="shared" si="5"/>
        <v>1375000</v>
      </c>
      <c r="O145" s="10">
        <v>52.5</v>
      </c>
      <c r="P145" s="10">
        <v>38.1</v>
      </c>
      <c r="Q145" s="10" t="s">
        <v>100</v>
      </c>
      <c r="R145" s="10">
        <v>44.3</v>
      </c>
      <c r="S145" s="10">
        <v>37.7</v>
      </c>
      <c r="T145" s="10">
        <v>8</v>
      </c>
    </row>
    <row r="146" ht="42.75" customHeight="1" spans="1:20">
      <c r="A146" s="6" t="s">
        <v>702</v>
      </c>
      <c r="B146" s="6" t="s">
        <v>2214</v>
      </c>
      <c r="C146" s="6"/>
      <c r="D146" s="6"/>
      <c r="E146" s="6"/>
      <c r="F146" s="22" t="s">
        <v>2215</v>
      </c>
      <c r="G146" s="7"/>
      <c r="H146" s="7"/>
      <c r="I146" s="16" t="s">
        <v>2216</v>
      </c>
      <c r="J146" s="17" t="s">
        <v>29</v>
      </c>
      <c r="K146" s="12">
        <v>1600000</v>
      </c>
      <c r="L146" s="13">
        <v>1700000</v>
      </c>
      <c r="M146" s="14">
        <v>1800000</v>
      </c>
      <c r="N146" s="9">
        <f t="shared" si="5"/>
        <v>1980000</v>
      </c>
      <c r="O146" s="6"/>
      <c r="P146" s="6"/>
      <c r="Q146" s="6"/>
      <c r="R146" s="6"/>
      <c r="S146" s="6"/>
      <c r="T146" s="6"/>
    </row>
    <row r="147" ht="42.75" customHeight="1" spans="1:20">
      <c r="A147" s="10" t="s">
        <v>702</v>
      </c>
      <c r="B147" s="10" t="s">
        <v>2217</v>
      </c>
      <c r="C147" s="10"/>
      <c r="D147" s="10"/>
      <c r="E147" s="10"/>
      <c r="F147" s="21" t="s">
        <v>2218</v>
      </c>
      <c r="G147" s="11"/>
      <c r="H147" s="11"/>
      <c r="I147" s="18" t="s">
        <v>2219</v>
      </c>
      <c r="J147" s="19" t="s">
        <v>29</v>
      </c>
      <c r="K147" s="12">
        <v>1400000</v>
      </c>
      <c r="L147" s="13">
        <v>1500000</v>
      </c>
      <c r="M147" s="14">
        <v>1600000</v>
      </c>
      <c r="N147" s="9">
        <f t="shared" si="5"/>
        <v>1760000</v>
      </c>
      <c r="O147" s="10"/>
      <c r="P147" s="10"/>
      <c r="Q147" s="10"/>
      <c r="R147" s="10"/>
      <c r="S147" s="10"/>
      <c r="T147" s="10"/>
    </row>
    <row r="148" ht="42.75" customHeight="1" spans="1:20">
      <c r="A148" s="6" t="s">
        <v>702</v>
      </c>
      <c r="B148" s="6" t="s">
        <v>2220</v>
      </c>
      <c r="C148" s="6"/>
      <c r="D148" s="6"/>
      <c r="E148" s="6"/>
      <c r="F148" s="22" t="s">
        <v>2221</v>
      </c>
      <c r="G148" s="7"/>
      <c r="H148" s="7"/>
      <c r="I148" s="16" t="s">
        <v>2222</v>
      </c>
      <c r="J148" s="17" t="s">
        <v>29</v>
      </c>
      <c r="K148" s="12">
        <v>1700000</v>
      </c>
      <c r="L148" s="13">
        <v>1800000</v>
      </c>
      <c r="M148" s="14">
        <v>1900000</v>
      </c>
      <c r="N148" s="9">
        <f t="shared" si="5"/>
        <v>2090000</v>
      </c>
      <c r="O148" s="6"/>
      <c r="P148" s="6"/>
      <c r="Q148" s="6"/>
      <c r="R148" s="6"/>
      <c r="S148" s="6"/>
      <c r="T148" s="6"/>
    </row>
    <row r="149" ht="57" customHeight="1" spans="1:20">
      <c r="A149" s="10" t="s">
        <v>702</v>
      </c>
      <c r="B149" s="10" t="s">
        <v>2223</v>
      </c>
      <c r="C149" s="10"/>
      <c r="D149" s="10"/>
      <c r="E149" s="10"/>
      <c r="F149" s="21" t="s">
        <v>2224</v>
      </c>
      <c r="G149" s="11"/>
      <c r="H149" s="11"/>
      <c r="I149" s="18" t="s">
        <v>2225</v>
      </c>
      <c r="J149" s="19" t="s">
        <v>29</v>
      </c>
      <c r="K149" s="12">
        <v>1300000</v>
      </c>
      <c r="L149" s="13">
        <v>1400000</v>
      </c>
      <c r="M149" s="14">
        <v>1500000</v>
      </c>
      <c r="N149" s="9">
        <f t="shared" si="5"/>
        <v>1650000</v>
      </c>
      <c r="O149" s="10"/>
      <c r="P149" s="10"/>
      <c r="Q149" s="10"/>
      <c r="R149" s="10"/>
      <c r="S149" s="10"/>
      <c r="T149" s="10"/>
    </row>
    <row r="150" ht="42.75" customHeight="1" spans="1:20">
      <c r="A150" s="6" t="s">
        <v>702</v>
      </c>
      <c r="B150" s="6" t="s">
        <v>2226</v>
      </c>
      <c r="C150" s="6"/>
      <c r="D150" s="6"/>
      <c r="E150" s="6"/>
      <c r="F150" s="22" t="s">
        <v>1127</v>
      </c>
      <c r="G150" s="7"/>
      <c r="H150" s="7"/>
      <c r="I150" s="16" t="s">
        <v>2227</v>
      </c>
      <c r="J150" s="17" t="s">
        <v>29</v>
      </c>
      <c r="K150" s="12">
        <v>1200000</v>
      </c>
      <c r="L150" s="13">
        <v>1300000</v>
      </c>
      <c r="M150" s="14">
        <v>1400000</v>
      </c>
      <c r="N150" s="9">
        <f t="shared" si="5"/>
        <v>1540000</v>
      </c>
      <c r="O150" s="6"/>
      <c r="P150" s="6"/>
      <c r="Q150" s="6"/>
      <c r="R150" s="6"/>
      <c r="S150" s="6"/>
      <c r="T150" s="6"/>
    </row>
    <row r="151" ht="57" customHeight="1" spans="1:20">
      <c r="A151" s="10" t="s">
        <v>702</v>
      </c>
      <c r="B151" s="10" t="s">
        <v>2228</v>
      </c>
      <c r="C151" s="10"/>
      <c r="D151" s="10"/>
      <c r="E151" s="10"/>
      <c r="F151" s="21" t="s">
        <v>2229</v>
      </c>
      <c r="G151" s="11"/>
      <c r="H151" s="11"/>
      <c r="I151" s="18" t="s">
        <v>2230</v>
      </c>
      <c r="J151" s="19" t="s">
        <v>29</v>
      </c>
      <c r="K151" s="12">
        <v>1200000</v>
      </c>
      <c r="L151" s="13">
        <v>1300000</v>
      </c>
      <c r="M151" s="14">
        <v>1400000</v>
      </c>
      <c r="N151" s="9">
        <f t="shared" si="5"/>
        <v>1540000</v>
      </c>
      <c r="O151" s="10"/>
      <c r="P151" s="10"/>
      <c r="Q151" s="10"/>
      <c r="R151" s="10"/>
      <c r="S151" s="10"/>
      <c r="T151" s="10"/>
    </row>
    <row r="152" ht="57" customHeight="1" spans="1:20">
      <c r="A152" s="6" t="s">
        <v>702</v>
      </c>
      <c r="B152" s="6" t="s">
        <v>2231</v>
      </c>
      <c r="C152" s="6"/>
      <c r="D152" s="6"/>
      <c r="E152" s="6"/>
      <c r="F152" s="22" t="s">
        <v>2232</v>
      </c>
      <c r="G152" s="7"/>
      <c r="H152" s="7"/>
      <c r="I152" s="16" t="s">
        <v>2233</v>
      </c>
      <c r="J152" s="17" t="s">
        <v>29</v>
      </c>
      <c r="K152" s="12">
        <v>1550000</v>
      </c>
      <c r="L152" s="13">
        <v>1650000</v>
      </c>
      <c r="M152" s="14">
        <v>1750000</v>
      </c>
      <c r="N152" s="9">
        <f t="shared" si="5"/>
        <v>1925000</v>
      </c>
      <c r="O152" s="6"/>
      <c r="P152" s="6"/>
      <c r="Q152" s="6"/>
      <c r="R152" s="6"/>
      <c r="S152" s="6"/>
      <c r="T152" s="6"/>
    </row>
    <row r="153" ht="42.75" customHeight="1" spans="1:20">
      <c r="A153" s="10" t="s">
        <v>702</v>
      </c>
      <c r="B153" s="10" t="s">
        <v>2234</v>
      </c>
      <c r="C153" s="10"/>
      <c r="D153" s="10"/>
      <c r="E153" s="10"/>
      <c r="F153" s="21" t="s">
        <v>2235</v>
      </c>
      <c r="G153" s="11"/>
      <c r="H153" s="11"/>
      <c r="I153" s="18" t="s">
        <v>2236</v>
      </c>
      <c r="J153" s="19" t="s">
        <v>29</v>
      </c>
      <c r="K153" s="12">
        <v>1150000</v>
      </c>
      <c r="L153" s="13">
        <v>1200000</v>
      </c>
      <c r="M153" s="14">
        <v>1300000</v>
      </c>
      <c r="N153" s="9">
        <f t="shared" si="5"/>
        <v>1430000</v>
      </c>
      <c r="O153" s="10"/>
      <c r="P153" s="10"/>
      <c r="Q153" s="10"/>
      <c r="R153" s="10"/>
      <c r="S153" s="10"/>
      <c r="T153" s="10"/>
    </row>
    <row r="154" ht="16.5" customHeight="1" spans="1:20">
      <c r="A154" s="6" t="s">
        <v>702</v>
      </c>
      <c r="B154" s="6" t="s">
        <v>2237</v>
      </c>
      <c r="C154" s="6" t="s">
        <v>85</v>
      </c>
      <c r="D154" s="6" t="s">
        <v>697</v>
      </c>
      <c r="E154" s="6" t="s">
        <v>649</v>
      </c>
      <c r="F154" s="7" t="s">
        <v>1147</v>
      </c>
      <c r="G154" s="7" t="s">
        <v>1148</v>
      </c>
      <c r="H154" s="7"/>
      <c r="I154" s="16"/>
      <c r="J154" s="17" t="s">
        <v>129</v>
      </c>
      <c r="K154" s="8"/>
      <c r="L154" s="8"/>
      <c r="M154" s="8"/>
      <c r="N154" s="9" t="str">
        <f t="shared" si="5"/>
        <v/>
      </c>
      <c r="O154" s="6"/>
      <c r="P154" s="6"/>
      <c r="Q154" s="6"/>
      <c r="R154" s="6"/>
      <c r="S154" s="6"/>
      <c r="T154" s="6"/>
    </row>
    <row r="155" ht="21.75" customHeight="1" spans="1:20">
      <c r="A155" s="5" t="s">
        <v>2238</v>
      </c>
      <c r="B155" s="5"/>
      <c r="C155" s="5"/>
      <c r="D155" s="5"/>
      <c r="E155" s="5"/>
      <c r="F155" s="5"/>
      <c r="G155" s="5"/>
      <c r="H155" s="5"/>
      <c r="I155" s="20"/>
      <c r="J155" s="20"/>
      <c r="K155" s="20"/>
      <c r="L155" s="20"/>
      <c r="M155" s="5"/>
      <c r="N155" s="5"/>
      <c r="O155" s="5"/>
      <c r="P155" s="5"/>
      <c r="Q155" s="5"/>
      <c r="R155" s="5"/>
      <c r="S155" s="5"/>
      <c r="T155" s="5"/>
    </row>
    <row r="156" ht="29.25" customHeight="1" spans="1:20">
      <c r="A156" s="6" t="s">
        <v>1156</v>
      </c>
      <c r="B156" s="6" t="s">
        <v>2239</v>
      </c>
      <c r="C156" s="6" t="s">
        <v>61</v>
      </c>
      <c r="D156" s="6" t="s">
        <v>392</v>
      </c>
      <c r="E156" s="6" t="s">
        <v>1162</v>
      </c>
      <c r="F156" s="7" t="s">
        <v>1163</v>
      </c>
      <c r="G156" s="7"/>
      <c r="H156" s="7"/>
      <c r="I156" s="16"/>
      <c r="J156" s="17" t="s">
        <v>33</v>
      </c>
      <c r="K156" s="8"/>
      <c r="L156" s="8"/>
      <c r="M156" s="8"/>
      <c r="N156" s="9" t="str">
        <f>IF($M156="","",ROUND($M156*1.1,0))</f>
        <v/>
      </c>
      <c r="O156" s="6"/>
      <c r="P156" s="6"/>
      <c r="Q156" s="6"/>
      <c r="R156" s="6"/>
      <c r="S156" s="6"/>
      <c r="T156" s="6"/>
    </row>
    <row r="157" ht="21.75" customHeight="1" spans="1:20">
      <c r="A157" s="5" t="s">
        <v>2240</v>
      </c>
      <c r="B157" s="5"/>
      <c r="C157" s="5"/>
      <c r="D157" s="5"/>
      <c r="E157" s="5"/>
      <c r="F157" s="5"/>
      <c r="G157" s="5"/>
      <c r="H157" s="5"/>
      <c r="I157" s="20"/>
      <c r="J157" s="20"/>
      <c r="K157" s="20"/>
      <c r="L157" s="20"/>
      <c r="M157" s="5"/>
      <c r="N157" s="5"/>
      <c r="O157" s="5"/>
      <c r="P157" s="5"/>
      <c r="Q157" s="5"/>
      <c r="R157" s="5"/>
      <c r="S157" s="5"/>
      <c r="T157" s="5"/>
    </row>
    <row r="158" ht="28.5" customHeight="1" spans="1:20">
      <c r="A158" s="6" t="s">
        <v>1165</v>
      </c>
      <c r="B158" s="6" t="s">
        <v>2241</v>
      </c>
      <c r="C158" s="6" t="s">
        <v>35</v>
      </c>
      <c r="D158" s="6" t="s">
        <v>1167</v>
      </c>
      <c r="E158" s="6" t="s">
        <v>1168</v>
      </c>
      <c r="F158" s="7" t="s">
        <v>1169</v>
      </c>
      <c r="G158" s="7" t="s">
        <v>1170</v>
      </c>
      <c r="H158" s="7" t="s">
        <v>1171</v>
      </c>
      <c r="I158" s="16"/>
      <c r="J158" s="17" t="s">
        <v>29</v>
      </c>
      <c r="K158" s="12">
        <v>1150000</v>
      </c>
      <c r="L158" s="13">
        <v>1200000</v>
      </c>
      <c r="M158" s="14">
        <v>1300000</v>
      </c>
      <c r="N158" s="9">
        <f t="shared" ref="N158:N165" si="6">IF($M158="","",ROUND($M158*1.1,0))</f>
        <v>1430000</v>
      </c>
      <c r="O158" s="6">
        <v>68</v>
      </c>
      <c r="P158" s="6">
        <v>42.6</v>
      </c>
      <c r="Q158" s="6" t="s">
        <v>65</v>
      </c>
      <c r="R158" s="6">
        <v>67.1</v>
      </c>
      <c r="S158" s="6">
        <v>58.7</v>
      </c>
      <c r="T158" s="6">
        <v>12</v>
      </c>
    </row>
    <row r="159" ht="42.75" customHeight="1" spans="1:20">
      <c r="A159" s="10" t="s">
        <v>1165</v>
      </c>
      <c r="B159" s="10" t="s">
        <v>2242</v>
      </c>
      <c r="C159" s="10" t="s">
        <v>35</v>
      </c>
      <c r="D159" s="10" t="s">
        <v>1180</v>
      </c>
      <c r="E159" s="10" t="s">
        <v>1181</v>
      </c>
      <c r="F159" s="11" t="s">
        <v>1182</v>
      </c>
      <c r="G159" s="11" t="s">
        <v>1183</v>
      </c>
      <c r="H159" s="11" t="s">
        <v>1184</v>
      </c>
      <c r="I159" s="18"/>
      <c r="J159" s="19"/>
      <c r="K159" s="12">
        <v>2150000</v>
      </c>
      <c r="L159" s="13">
        <v>2250000</v>
      </c>
      <c r="M159" s="14">
        <v>2400000</v>
      </c>
      <c r="N159" s="9">
        <f t="shared" si="6"/>
        <v>2640000</v>
      </c>
      <c r="O159" s="10">
        <v>92</v>
      </c>
      <c r="P159" s="10">
        <v>61.5</v>
      </c>
      <c r="Q159" s="10" t="s">
        <v>65</v>
      </c>
      <c r="R159" s="10">
        <v>90</v>
      </c>
      <c r="S159" s="10">
        <v>79</v>
      </c>
      <c r="T159" s="10">
        <v>12</v>
      </c>
    </row>
    <row r="160" ht="99.75" customHeight="1" spans="1:20">
      <c r="A160" s="6" t="s">
        <v>1165</v>
      </c>
      <c r="B160" s="6" t="s">
        <v>2243</v>
      </c>
      <c r="C160" s="6" t="s">
        <v>35</v>
      </c>
      <c r="D160" s="6" t="s">
        <v>36</v>
      </c>
      <c r="E160" s="6" t="s">
        <v>1173</v>
      </c>
      <c r="F160" s="7" t="s">
        <v>1174</v>
      </c>
      <c r="G160" s="7" t="s">
        <v>1175</v>
      </c>
      <c r="H160" s="7" t="s">
        <v>1176</v>
      </c>
      <c r="I160" s="16"/>
      <c r="J160" s="17" t="s">
        <v>29</v>
      </c>
      <c r="K160" s="12">
        <v>1300000</v>
      </c>
      <c r="L160" s="13">
        <v>1400000</v>
      </c>
      <c r="M160" s="14">
        <v>1500000</v>
      </c>
      <c r="N160" s="9">
        <f t="shared" si="6"/>
        <v>1650000</v>
      </c>
      <c r="O160" s="6">
        <v>68</v>
      </c>
      <c r="P160" s="6">
        <v>48</v>
      </c>
      <c r="Q160" s="6" t="s">
        <v>65</v>
      </c>
      <c r="R160" s="6">
        <v>67.1</v>
      </c>
      <c r="S160" s="6">
        <v>58.7</v>
      </c>
      <c r="T160" s="6">
        <v>12</v>
      </c>
    </row>
    <row r="161" ht="28.5" customHeight="1" spans="1:20">
      <c r="A161" s="10" t="s">
        <v>1165</v>
      </c>
      <c r="B161" s="10" t="s">
        <v>2244</v>
      </c>
      <c r="C161" s="10" t="s">
        <v>35</v>
      </c>
      <c r="D161" s="10" t="s">
        <v>1192</v>
      </c>
      <c r="E161" s="10" t="s">
        <v>1193</v>
      </c>
      <c r="F161" s="11" t="s">
        <v>1194</v>
      </c>
      <c r="G161" s="11" t="s">
        <v>1195</v>
      </c>
      <c r="H161" s="11" t="s">
        <v>1196</v>
      </c>
      <c r="I161" s="18"/>
      <c r="J161" s="19"/>
      <c r="K161" s="12">
        <v>1330000</v>
      </c>
      <c r="L161" s="13">
        <v>1430000</v>
      </c>
      <c r="M161" s="14">
        <v>1550000</v>
      </c>
      <c r="N161" s="9">
        <f t="shared" si="6"/>
        <v>1705000</v>
      </c>
      <c r="O161" s="10">
        <v>65</v>
      </c>
      <c r="P161" s="10">
        <v>48</v>
      </c>
      <c r="Q161" s="10" t="s">
        <v>65</v>
      </c>
      <c r="R161" s="10">
        <v>65.2</v>
      </c>
      <c r="S161" s="10">
        <v>55.2</v>
      </c>
      <c r="T161" s="10">
        <v>12</v>
      </c>
    </row>
    <row r="162" ht="42.75" customHeight="1" spans="1:20">
      <c r="A162" s="6" t="s">
        <v>1165</v>
      </c>
      <c r="B162" s="6" t="s">
        <v>2245</v>
      </c>
      <c r="C162" s="6" t="s">
        <v>25</v>
      </c>
      <c r="D162" s="6" t="s">
        <v>1198</v>
      </c>
      <c r="E162" s="6" t="s">
        <v>1187</v>
      </c>
      <c r="F162" s="7" t="s">
        <v>1199</v>
      </c>
      <c r="G162" s="7" t="s">
        <v>1200</v>
      </c>
      <c r="H162" s="7" t="s">
        <v>1201</v>
      </c>
      <c r="I162" s="16"/>
      <c r="J162" s="17" t="s">
        <v>29</v>
      </c>
      <c r="K162" s="12">
        <v>1100000</v>
      </c>
      <c r="L162" s="13">
        <v>1200000</v>
      </c>
      <c r="M162" s="14">
        <v>1300000</v>
      </c>
      <c r="N162" s="9">
        <f t="shared" si="6"/>
        <v>1430000</v>
      </c>
      <c r="O162" s="6"/>
      <c r="P162" s="6"/>
      <c r="Q162" s="6"/>
      <c r="R162" s="6"/>
      <c r="S162" s="6"/>
      <c r="T162" s="6"/>
    </row>
    <row r="163" ht="57" customHeight="1" spans="1:20">
      <c r="A163" s="10" t="s">
        <v>1165</v>
      </c>
      <c r="B163" s="10" t="s">
        <v>2246</v>
      </c>
      <c r="C163" s="10" t="s">
        <v>85</v>
      </c>
      <c r="D163" s="10" t="s">
        <v>1252</v>
      </c>
      <c r="E163" s="10" t="s">
        <v>1253</v>
      </c>
      <c r="F163" s="11" t="s">
        <v>1254</v>
      </c>
      <c r="G163" s="11" t="s">
        <v>1255</v>
      </c>
      <c r="H163" s="11" t="s">
        <v>1256</v>
      </c>
      <c r="I163" s="11"/>
      <c r="J163" s="10" t="s">
        <v>29</v>
      </c>
      <c r="K163" s="12">
        <v>1300000</v>
      </c>
      <c r="L163" s="13">
        <v>1400000</v>
      </c>
      <c r="M163" s="14">
        <v>1500000</v>
      </c>
      <c r="N163" s="9">
        <f t="shared" si="6"/>
        <v>1650000</v>
      </c>
      <c r="O163" s="10">
        <v>59</v>
      </c>
      <c r="P163" s="10">
        <v>36.7</v>
      </c>
      <c r="Q163" s="10" t="s">
        <v>100</v>
      </c>
      <c r="R163" s="10">
        <v>62.1</v>
      </c>
      <c r="S163" s="10">
        <v>51</v>
      </c>
      <c r="T163" s="10" t="s">
        <v>597</v>
      </c>
    </row>
    <row r="164" ht="57" customHeight="1" spans="1:20">
      <c r="A164" s="6" t="s">
        <v>1165</v>
      </c>
      <c r="B164" s="6" t="s">
        <v>2247</v>
      </c>
      <c r="C164" s="6" t="s">
        <v>25</v>
      </c>
      <c r="D164" s="6" t="s">
        <v>1227</v>
      </c>
      <c r="E164" s="6" t="s">
        <v>1228</v>
      </c>
      <c r="F164" s="7" t="s">
        <v>1229</v>
      </c>
      <c r="G164" s="7"/>
      <c r="H164" s="7" t="s">
        <v>1230</v>
      </c>
      <c r="I164" s="16"/>
      <c r="J164" s="17" t="s">
        <v>29</v>
      </c>
      <c r="K164" s="12">
        <v>1600000</v>
      </c>
      <c r="L164" s="13">
        <v>1700000</v>
      </c>
      <c r="M164" s="14">
        <v>1800000</v>
      </c>
      <c r="N164" s="9">
        <f t="shared" si="6"/>
        <v>1980000</v>
      </c>
      <c r="O164" s="6">
        <v>71</v>
      </c>
      <c r="P164" s="6">
        <v>49.2</v>
      </c>
      <c r="Q164" s="6" t="s">
        <v>99</v>
      </c>
      <c r="R164" s="6">
        <v>61.4</v>
      </c>
      <c r="S164" s="6">
        <v>54.3</v>
      </c>
      <c r="T164" s="6">
        <v>10</v>
      </c>
    </row>
    <row r="165" ht="43.5" customHeight="1" spans="1:20">
      <c r="A165" s="10" t="s">
        <v>1165</v>
      </c>
      <c r="B165" s="10" t="s">
        <v>2248</v>
      </c>
      <c r="C165" s="10" t="s">
        <v>25</v>
      </c>
      <c r="D165" s="10" t="s">
        <v>1222</v>
      </c>
      <c r="E165" s="10" t="s">
        <v>1223</v>
      </c>
      <c r="F165" s="11" t="s">
        <v>1224</v>
      </c>
      <c r="G165" s="11" t="s">
        <v>1206</v>
      </c>
      <c r="H165" s="11" t="s">
        <v>1225</v>
      </c>
      <c r="I165" s="18"/>
      <c r="J165" s="19" t="s">
        <v>29</v>
      </c>
      <c r="K165" s="12">
        <v>1550000</v>
      </c>
      <c r="L165" s="13">
        <v>1650000</v>
      </c>
      <c r="M165" s="14">
        <v>1750000</v>
      </c>
      <c r="N165" s="9">
        <f t="shared" si="6"/>
        <v>1925000</v>
      </c>
      <c r="O165" s="10">
        <v>59.4</v>
      </c>
      <c r="P165" s="10">
        <v>41.96</v>
      </c>
      <c r="Q165" s="10" t="s">
        <v>99</v>
      </c>
      <c r="R165" s="10">
        <v>50.5</v>
      </c>
      <c r="S165" s="10">
        <v>42.8</v>
      </c>
      <c r="T165" s="10" t="s">
        <v>505</v>
      </c>
    </row>
    <row r="166" ht="21.75" customHeight="1" spans="1:20">
      <c r="A166" s="5" t="s">
        <v>2249</v>
      </c>
      <c r="B166" s="5"/>
      <c r="C166" s="5"/>
      <c r="D166" s="5"/>
      <c r="E166" s="5"/>
      <c r="F166" s="5"/>
      <c r="G166" s="5"/>
      <c r="H166" s="5"/>
      <c r="I166" s="20"/>
      <c r="J166" s="20"/>
      <c r="K166" s="20"/>
      <c r="L166" s="20"/>
      <c r="M166" s="5"/>
      <c r="N166" s="5"/>
      <c r="O166" s="5"/>
      <c r="P166" s="5"/>
      <c r="Q166" s="5"/>
      <c r="R166" s="5"/>
      <c r="S166" s="5"/>
      <c r="T166" s="5"/>
    </row>
    <row r="167" ht="42.75" customHeight="1" spans="1:20">
      <c r="A167" s="6" t="s">
        <v>1262</v>
      </c>
      <c r="B167" s="6" t="s">
        <v>2250</v>
      </c>
      <c r="C167" s="6" t="s">
        <v>25</v>
      </c>
      <c r="D167" s="6" t="s">
        <v>1422</v>
      </c>
      <c r="E167" s="6" t="s">
        <v>1423</v>
      </c>
      <c r="F167" s="7" t="s">
        <v>1424</v>
      </c>
      <c r="G167" s="7" t="s">
        <v>1425</v>
      </c>
      <c r="H167" s="7"/>
      <c r="I167" s="16"/>
      <c r="J167" s="17" t="s">
        <v>33</v>
      </c>
      <c r="K167" s="8"/>
      <c r="L167" s="8"/>
      <c r="M167" s="8"/>
      <c r="N167" s="9" t="str">
        <f t="shared" ref="N167:N185" si="7">IF($M167="","",ROUND($M167*1.1,0))</f>
        <v/>
      </c>
      <c r="O167" s="6"/>
      <c r="P167" s="6"/>
      <c r="Q167" s="6"/>
      <c r="R167" s="6"/>
      <c r="S167" s="6"/>
      <c r="T167" s="6"/>
    </row>
    <row r="168" ht="57" customHeight="1" spans="1:20">
      <c r="A168" s="10" t="s">
        <v>1262</v>
      </c>
      <c r="B168" s="10" t="s">
        <v>2251</v>
      </c>
      <c r="C168" s="10" t="s">
        <v>85</v>
      </c>
      <c r="D168" s="10" t="s">
        <v>1322</v>
      </c>
      <c r="E168" s="10" t="s">
        <v>1323</v>
      </c>
      <c r="F168" s="11" t="s">
        <v>1324</v>
      </c>
      <c r="G168" s="11" t="s">
        <v>1325</v>
      </c>
      <c r="H168" s="11" t="s">
        <v>1326</v>
      </c>
      <c r="I168" s="18"/>
      <c r="J168" s="19" t="s">
        <v>29</v>
      </c>
      <c r="K168" s="12">
        <v>3700000</v>
      </c>
      <c r="L168" s="13">
        <v>3900000</v>
      </c>
      <c r="M168" s="14">
        <v>4150000</v>
      </c>
      <c r="N168" s="9">
        <f t="shared" si="7"/>
        <v>4565000</v>
      </c>
      <c r="O168" s="10">
        <v>113.2</v>
      </c>
      <c r="P168" s="10">
        <v>80</v>
      </c>
      <c r="Q168" s="10" t="s">
        <v>1327</v>
      </c>
      <c r="R168" s="10">
        <v>105.5</v>
      </c>
      <c r="S168" s="10">
        <v>96</v>
      </c>
      <c r="T168" s="10" t="s">
        <v>1328</v>
      </c>
    </row>
    <row r="169" ht="28.5" customHeight="1" spans="1:20">
      <c r="A169" s="6" t="s">
        <v>1262</v>
      </c>
      <c r="B169" s="6" t="s">
        <v>2252</v>
      </c>
      <c r="C169" s="6" t="s">
        <v>85</v>
      </c>
      <c r="D169" s="6" t="s">
        <v>1315</v>
      </c>
      <c r="E169" s="6" t="s">
        <v>1330</v>
      </c>
      <c r="F169" s="7" t="s">
        <v>1331</v>
      </c>
      <c r="G169" s="7"/>
      <c r="H169" s="7" t="s">
        <v>1332</v>
      </c>
      <c r="I169" s="16"/>
      <c r="J169" s="17"/>
      <c r="K169" s="12">
        <v>3700000</v>
      </c>
      <c r="L169" s="13">
        <v>3900000</v>
      </c>
      <c r="M169" s="14">
        <v>4150000</v>
      </c>
      <c r="N169" s="9">
        <f t="shared" si="7"/>
        <v>4565000</v>
      </c>
      <c r="O169" s="6">
        <v>109</v>
      </c>
      <c r="P169" s="6">
        <v>72</v>
      </c>
      <c r="Q169" s="6" t="s">
        <v>30</v>
      </c>
      <c r="R169" s="6">
        <v>102.8</v>
      </c>
      <c r="S169" s="6">
        <v>86.3</v>
      </c>
      <c r="T169" s="6" t="s">
        <v>1320</v>
      </c>
    </row>
    <row r="170" ht="28.5" customHeight="1" spans="1:20">
      <c r="A170" s="10" t="s">
        <v>1262</v>
      </c>
      <c r="B170" s="10" t="s">
        <v>2253</v>
      </c>
      <c r="C170" s="10" t="s">
        <v>85</v>
      </c>
      <c r="D170" s="10" t="s">
        <v>1315</v>
      </c>
      <c r="E170" s="10" t="s">
        <v>1316</v>
      </c>
      <c r="F170" s="11" t="s">
        <v>1317</v>
      </c>
      <c r="G170" s="11" t="s">
        <v>1318</v>
      </c>
      <c r="H170" s="11"/>
      <c r="I170" s="18"/>
      <c r="J170" s="19" t="s">
        <v>29</v>
      </c>
      <c r="K170" s="12">
        <v>4500000</v>
      </c>
      <c r="L170" s="13">
        <v>4750000</v>
      </c>
      <c r="M170" s="14">
        <v>5000000</v>
      </c>
      <c r="N170" s="9">
        <f t="shared" si="7"/>
        <v>5500000</v>
      </c>
      <c r="O170" s="10">
        <v>113.706</v>
      </c>
      <c r="P170" s="10">
        <v>82</v>
      </c>
      <c r="Q170" s="10" t="s">
        <v>1319</v>
      </c>
      <c r="R170" s="10">
        <v>105.5</v>
      </c>
      <c r="S170" s="10">
        <v>96</v>
      </c>
      <c r="T170" s="10" t="s">
        <v>1320</v>
      </c>
    </row>
    <row r="171" ht="28.5" customHeight="1" spans="1:20">
      <c r="A171" s="6" t="s">
        <v>1262</v>
      </c>
      <c r="B171" s="6" t="s">
        <v>2254</v>
      </c>
      <c r="C171" s="6" t="s">
        <v>190</v>
      </c>
      <c r="D171" s="6" t="s">
        <v>303</v>
      </c>
      <c r="E171" s="6" t="s">
        <v>1374</v>
      </c>
      <c r="F171" s="7" t="s">
        <v>1375</v>
      </c>
      <c r="G171" s="7"/>
      <c r="H171" s="7"/>
      <c r="I171" s="16"/>
      <c r="J171" s="17" t="s">
        <v>29</v>
      </c>
      <c r="K171" s="8"/>
      <c r="L171" s="8"/>
      <c r="M171" s="8"/>
      <c r="N171" s="9" t="str">
        <f t="shared" si="7"/>
        <v/>
      </c>
      <c r="O171" s="6">
        <v>61</v>
      </c>
      <c r="P171" s="6">
        <v>43.5</v>
      </c>
      <c r="Q171" s="6" t="s">
        <v>99</v>
      </c>
      <c r="R171" s="6">
        <v>52</v>
      </c>
      <c r="S171" s="6">
        <v>45.7</v>
      </c>
      <c r="T171" s="6">
        <v>12</v>
      </c>
    </row>
    <row r="172" ht="28.5" customHeight="1" spans="1:20">
      <c r="A172" s="10" t="s">
        <v>1262</v>
      </c>
      <c r="B172" s="10" t="s">
        <v>2255</v>
      </c>
      <c r="C172" s="10" t="s">
        <v>190</v>
      </c>
      <c r="D172" s="10" t="s">
        <v>303</v>
      </c>
      <c r="E172" s="10" t="s">
        <v>1377</v>
      </c>
      <c r="F172" s="11" t="s">
        <v>1378</v>
      </c>
      <c r="G172" s="11"/>
      <c r="H172" s="11"/>
      <c r="I172" s="18"/>
      <c r="J172" s="19" t="s">
        <v>29</v>
      </c>
      <c r="K172" s="8"/>
      <c r="L172" s="8"/>
      <c r="M172" s="8"/>
      <c r="N172" s="9" t="str">
        <f t="shared" si="7"/>
        <v/>
      </c>
      <c r="O172" s="10"/>
      <c r="P172" s="10"/>
      <c r="Q172" s="10"/>
      <c r="R172" s="10"/>
      <c r="S172" s="10"/>
      <c r="T172" s="10"/>
    </row>
    <row r="173" ht="42.75" customHeight="1" spans="1:20">
      <c r="A173" s="6" t="s">
        <v>1262</v>
      </c>
      <c r="B173" s="6" t="s">
        <v>2256</v>
      </c>
      <c r="C173" s="6" t="s">
        <v>25</v>
      </c>
      <c r="D173" s="6" t="s">
        <v>1264</v>
      </c>
      <c r="E173" s="6" t="s">
        <v>1265</v>
      </c>
      <c r="F173" s="7" t="s">
        <v>1266</v>
      </c>
      <c r="G173" s="7" t="s">
        <v>1267</v>
      </c>
      <c r="H173" s="7" t="s">
        <v>1268</v>
      </c>
      <c r="I173" s="16"/>
      <c r="J173" s="17" t="s">
        <v>29</v>
      </c>
      <c r="K173" s="12">
        <v>1150000</v>
      </c>
      <c r="L173" s="13">
        <v>1200000</v>
      </c>
      <c r="M173" s="14">
        <v>1300000</v>
      </c>
      <c r="N173" s="9">
        <f t="shared" si="7"/>
        <v>1430000</v>
      </c>
      <c r="O173" s="6">
        <v>70</v>
      </c>
      <c r="P173" s="6">
        <v>43.7</v>
      </c>
      <c r="Q173" s="6" t="s">
        <v>30</v>
      </c>
      <c r="R173" s="6">
        <v>74.2</v>
      </c>
      <c r="S173" s="6">
        <v>58.2</v>
      </c>
      <c r="T173" s="6">
        <v>11</v>
      </c>
    </row>
    <row r="174" ht="114" customHeight="1" spans="1:20">
      <c r="A174" s="10" t="s">
        <v>1262</v>
      </c>
      <c r="B174" s="10" t="s">
        <v>2257</v>
      </c>
      <c r="C174" s="10" t="s">
        <v>25</v>
      </c>
      <c r="D174" s="10" t="s">
        <v>1275</v>
      </c>
      <c r="E174" s="10" t="s">
        <v>1276</v>
      </c>
      <c r="F174" s="11" t="s">
        <v>1277</v>
      </c>
      <c r="G174" s="11" t="s">
        <v>1278</v>
      </c>
      <c r="H174" s="11" t="s">
        <v>1279</v>
      </c>
      <c r="I174" s="18"/>
      <c r="J174" s="19" t="s">
        <v>29</v>
      </c>
      <c r="K174" s="12">
        <v>1600000</v>
      </c>
      <c r="L174" s="13">
        <v>1700000</v>
      </c>
      <c r="M174" s="14">
        <v>1800000</v>
      </c>
      <c r="N174" s="9">
        <f t="shared" si="7"/>
        <v>1980000</v>
      </c>
      <c r="O174" s="10">
        <v>84</v>
      </c>
      <c r="P174" s="10">
        <v>60.4</v>
      </c>
      <c r="Q174" s="10" t="s">
        <v>99</v>
      </c>
      <c r="R174" s="10">
        <v>82</v>
      </c>
      <c r="S174" s="10">
        <v>71.5</v>
      </c>
      <c r="T174" s="10">
        <v>11</v>
      </c>
    </row>
    <row r="175" ht="15.75" customHeight="1" spans="1:20">
      <c r="A175" s="6" t="s">
        <v>1262</v>
      </c>
      <c r="B175" s="6" t="s">
        <v>2258</v>
      </c>
      <c r="C175" s="6" t="s">
        <v>25</v>
      </c>
      <c r="D175" s="6" t="s">
        <v>1283</v>
      </c>
      <c r="E175" s="6" t="s">
        <v>1284</v>
      </c>
      <c r="F175" s="7" t="s">
        <v>1285</v>
      </c>
      <c r="G175" s="7" t="s">
        <v>1206</v>
      </c>
      <c r="H175" s="7" t="s">
        <v>1286</v>
      </c>
      <c r="I175" s="16"/>
      <c r="J175" s="17" t="s">
        <v>29</v>
      </c>
      <c r="K175" s="12">
        <v>1100000</v>
      </c>
      <c r="L175" s="13">
        <v>1200000</v>
      </c>
      <c r="M175" s="14">
        <v>1300000</v>
      </c>
      <c r="N175" s="9">
        <f t="shared" si="7"/>
        <v>1430000</v>
      </c>
      <c r="O175" s="6">
        <v>63</v>
      </c>
      <c r="P175" s="6">
        <v>39.8</v>
      </c>
      <c r="Q175" s="6" t="s">
        <v>99</v>
      </c>
      <c r="R175" s="6">
        <v>61.4</v>
      </c>
      <c r="S175" s="6">
        <v>52.2</v>
      </c>
      <c r="T175" s="6">
        <v>10</v>
      </c>
    </row>
    <row r="176" ht="57" customHeight="1" spans="1:20">
      <c r="A176" s="10" t="s">
        <v>1262</v>
      </c>
      <c r="B176" s="10" t="s">
        <v>2259</v>
      </c>
      <c r="C176" s="10" t="s">
        <v>25</v>
      </c>
      <c r="D176" s="10" t="s">
        <v>1411</v>
      </c>
      <c r="E176" s="10" t="s">
        <v>1412</v>
      </c>
      <c r="F176" s="11" t="s">
        <v>1413</v>
      </c>
      <c r="G176" s="11" t="s">
        <v>1206</v>
      </c>
      <c r="H176" s="11" t="s">
        <v>1414</v>
      </c>
      <c r="I176" s="11"/>
      <c r="J176" s="10" t="s">
        <v>29</v>
      </c>
      <c r="K176" s="12">
        <v>1150000</v>
      </c>
      <c r="L176" s="13">
        <v>1200000</v>
      </c>
      <c r="M176" s="14">
        <v>1300000</v>
      </c>
      <c r="N176" s="9">
        <f t="shared" si="7"/>
        <v>1430000</v>
      </c>
      <c r="O176" s="10">
        <v>60.2</v>
      </c>
      <c r="P176" s="10">
        <v>42.5</v>
      </c>
      <c r="Q176" s="10" t="s">
        <v>99</v>
      </c>
      <c r="R176" s="10">
        <v>65.2</v>
      </c>
      <c r="S176" s="10">
        <v>49.4</v>
      </c>
      <c r="T176" s="10">
        <v>11</v>
      </c>
    </row>
    <row r="177" ht="28.5" customHeight="1" spans="1:20">
      <c r="A177" s="6" t="s">
        <v>1262</v>
      </c>
      <c r="B177" s="6" t="s">
        <v>2260</v>
      </c>
      <c r="C177" s="6" t="s">
        <v>61</v>
      </c>
      <c r="D177" s="6" t="s">
        <v>1774</v>
      </c>
      <c r="E177" s="6" t="s">
        <v>2261</v>
      </c>
      <c r="F177" s="7" t="s">
        <v>1775</v>
      </c>
      <c r="G177" s="7" t="s">
        <v>2262</v>
      </c>
      <c r="H177" s="7" t="s">
        <v>1776</v>
      </c>
      <c r="I177" s="16"/>
      <c r="J177" s="17" t="s">
        <v>29</v>
      </c>
      <c r="K177" s="8"/>
      <c r="L177" s="8"/>
      <c r="M177" s="8"/>
      <c r="N177" s="9" t="str">
        <f t="shared" si="7"/>
        <v/>
      </c>
      <c r="O177" s="6">
        <v>96.589</v>
      </c>
      <c r="P177" s="6">
        <v>66.2</v>
      </c>
      <c r="Q177" s="6" t="s">
        <v>65</v>
      </c>
      <c r="R177" s="6">
        <v>87.2</v>
      </c>
      <c r="S177" s="6">
        <v>78.2</v>
      </c>
      <c r="T177" s="6">
        <v>10</v>
      </c>
    </row>
    <row r="178" ht="142.5" customHeight="1" spans="1:20">
      <c r="A178" s="10" t="s">
        <v>1262</v>
      </c>
      <c r="B178" s="10" t="s">
        <v>2263</v>
      </c>
      <c r="C178" s="10" t="s">
        <v>190</v>
      </c>
      <c r="D178" s="10" t="s">
        <v>252</v>
      </c>
      <c r="E178" s="10"/>
      <c r="F178" s="11" t="s">
        <v>1340</v>
      </c>
      <c r="G178" s="11" t="s">
        <v>1341</v>
      </c>
      <c r="H178" s="11" t="s">
        <v>1342</v>
      </c>
      <c r="I178" s="11"/>
      <c r="J178" s="10" t="s">
        <v>29</v>
      </c>
      <c r="K178" s="12">
        <v>1600000</v>
      </c>
      <c r="L178" s="13">
        <v>1700000</v>
      </c>
      <c r="M178" s="14">
        <v>1800000</v>
      </c>
      <c r="N178" s="9">
        <f t="shared" si="7"/>
        <v>1980000</v>
      </c>
      <c r="O178" s="10">
        <v>86</v>
      </c>
      <c r="P178" s="10">
        <v>60</v>
      </c>
      <c r="Q178" s="10" t="s">
        <v>65</v>
      </c>
      <c r="R178" s="10">
        <v>76</v>
      </c>
      <c r="S178" s="10">
        <v>64</v>
      </c>
      <c r="T178" s="10">
        <v>10</v>
      </c>
    </row>
    <row r="179" ht="142.5" customHeight="1" spans="1:20">
      <c r="A179" s="6" t="s">
        <v>1262</v>
      </c>
      <c r="B179" s="6" t="s">
        <v>2264</v>
      </c>
      <c r="C179" s="6" t="s">
        <v>190</v>
      </c>
      <c r="D179" s="6" t="s">
        <v>1380</v>
      </c>
      <c r="E179" s="6" t="s">
        <v>192</v>
      </c>
      <c r="F179" s="7" t="s">
        <v>1381</v>
      </c>
      <c r="G179" s="7" t="s">
        <v>1382</v>
      </c>
      <c r="H179" s="7" t="s">
        <v>1383</v>
      </c>
      <c r="I179" s="16"/>
      <c r="J179" s="17" t="s">
        <v>29</v>
      </c>
      <c r="K179" s="12">
        <v>1350000</v>
      </c>
      <c r="L179" s="13">
        <v>1450000</v>
      </c>
      <c r="M179" s="14">
        <v>1550000</v>
      </c>
      <c r="N179" s="9">
        <f t="shared" si="7"/>
        <v>1705000</v>
      </c>
      <c r="O179" s="6"/>
      <c r="P179" s="6"/>
      <c r="Q179" s="6"/>
      <c r="R179" s="6"/>
      <c r="S179" s="6"/>
      <c r="T179" s="6"/>
    </row>
    <row r="180" ht="42.75" customHeight="1" spans="1:20">
      <c r="A180" s="10" t="s">
        <v>1262</v>
      </c>
      <c r="B180" s="10" t="s">
        <v>2265</v>
      </c>
      <c r="C180" s="10" t="s">
        <v>35</v>
      </c>
      <c r="D180" s="10" t="s">
        <v>1400</v>
      </c>
      <c r="E180" s="10" t="s">
        <v>1401</v>
      </c>
      <c r="F180" s="11" t="s">
        <v>1402</v>
      </c>
      <c r="G180" s="11" t="s">
        <v>1403</v>
      </c>
      <c r="H180" s="11" t="s">
        <v>1404</v>
      </c>
      <c r="I180" s="18"/>
      <c r="J180" s="19" t="s">
        <v>29</v>
      </c>
      <c r="K180" s="12">
        <v>1150000</v>
      </c>
      <c r="L180" s="13">
        <v>1250000</v>
      </c>
      <c r="M180" s="14">
        <v>1350000</v>
      </c>
      <c r="N180" s="9">
        <f t="shared" si="7"/>
        <v>1485000</v>
      </c>
      <c r="O180" s="10">
        <v>51</v>
      </c>
      <c r="P180" s="10">
        <v>36.4</v>
      </c>
      <c r="Q180" s="10" t="s">
        <v>99</v>
      </c>
      <c r="R180" s="10">
        <v>47.1</v>
      </c>
      <c r="S180" s="10">
        <v>41.2</v>
      </c>
      <c r="T180" s="10">
        <v>12</v>
      </c>
    </row>
    <row r="181" ht="28.5" customHeight="1" spans="1:20">
      <c r="A181" s="6" t="s">
        <v>1262</v>
      </c>
      <c r="B181" s="6" t="s">
        <v>2266</v>
      </c>
      <c r="C181" s="6" t="s">
        <v>85</v>
      </c>
      <c r="D181" s="6" t="s">
        <v>1309</v>
      </c>
      <c r="E181" s="6" t="s">
        <v>1310</v>
      </c>
      <c r="F181" s="7" t="s">
        <v>1313</v>
      </c>
      <c r="G181" s="7"/>
      <c r="H181" s="7"/>
      <c r="I181" s="16"/>
      <c r="J181" s="17" t="s">
        <v>29</v>
      </c>
      <c r="K181" s="8"/>
      <c r="L181" s="8"/>
      <c r="M181" s="8"/>
      <c r="N181" s="9" t="str">
        <f t="shared" si="7"/>
        <v/>
      </c>
      <c r="O181" s="6">
        <v>130</v>
      </c>
      <c r="P181" s="6">
        <v>80.6</v>
      </c>
      <c r="Q181" s="6" t="s">
        <v>215</v>
      </c>
      <c r="R181" s="6">
        <v>130</v>
      </c>
      <c r="S181" s="6">
        <v>98</v>
      </c>
      <c r="T181" s="6" t="s">
        <v>215</v>
      </c>
    </row>
    <row r="182" ht="71.25" customHeight="1" spans="1:20">
      <c r="A182" s="10" t="s">
        <v>1262</v>
      </c>
      <c r="B182" s="10" t="s">
        <v>2267</v>
      </c>
      <c r="C182" s="10" t="s">
        <v>190</v>
      </c>
      <c r="D182" s="10" t="s">
        <v>252</v>
      </c>
      <c r="E182" s="10" t="s">
        <v>1303</v>
      </c>
      <c r="F182" s="11" t="s">
        <v>1304</v>
      </c>
      <c r="G182" s="11" t="s">
        <v>1305</v>
      </c>
      <c r="H182" s="11" t="s">
        <v>1306</v>
      </c>
      <c r="I182" s="18"/>
      <c r="J182" s="19" t="s">
        <v>29</v>
      </c>
      <c r="K182" s="12">
        <v>1500000</v>
      </c>
      <c r="L182" s="13">
        <v>1600000</v>
      </c>
      <c r="M182" s="14">
        <v>1700000</v>
      </c>
      <c r="N182" s="9">
        <f t="shared" si="7"/>
        <v>1870000</v>
      </c>
      <c r="O182" s="10">
        <v>86</v>
      </c>
      <c r="P182" s="10">
        <v>60</v>
      </c>
      <c r="Q182" s="10" t="s">
        <v>65</v>
      </c>
      <c r="R182" s="10">
        <v>76</v>
      </c>
      <c r="S182" s="10">
        <v>64</v>
      </c>
      <c r="T182" s="10">
        <v>10</v>
      </c>
    </row>
    <row r="183" ht="57" customHeight="1" spans="1:20">
      <c r="A183" s="6" t="s">
        <v>1262</v>
      </c>
      <c r="B183" s="6" t="s">
        <v>2268</v>
      </c>
      <c r="C183" s="6"/>
      <c r="D183" s="6"/>
      <c r="E183" s="6"/>
      <c r="F183" s="22" t="s">
        <v>2269</v>
      </c>
      <c r="G183" s="7"/>
      <c r="H183" s="7"/>
      <c r="I183" s="16" t="s">
        <v>2270</v>
      </c>
      <c r="J183" s="17" t="s">
        <v>29</v>
      </c>
      <c r="K183" s="12">
        <v>1200000</v>
      </c>
      <c r="L183" s="13">
        <v>1300000</v>
      </c>
      <c r="M183" s="14">
        <v>1400000</v>
      </c>
      <c r="N183" s="9">
        <f t="shared" si="7"/>
        <v>1540000</v>
      </c>
      <c r="O183" s="6"/>
      <c r="P183" s="6"/>
      <c r="Q183" s="6"/>
      <c r="R183" s="6"/>
      <c r="S183" s="6"/>
      <c r="T183" s="6"/>
    </row>
    <row r="184" ht="57" customHeight="1" spans="1:20">
      <c r="A184" s="10" t="s">
        <v>1262</v>
      </c>
      <c r="B184" s="10" t="s">
        <v>2271</v>
      </c>
      <c r="C184" s="10"/>
      <c r="D184" s="10"/>
      <c r="E184" s="10"/>
      <c r="F184" s="21" t="s">
        <v>2272</v>
      </c>
      <c r="G184" s="11"/>
      <c r="H184" s="11"/>
      <c r="I184" s="18" t="s">
        <v>2273</v>
      </c>
      <c r="J184" s="19" t="s">
        <v>29</v>
      </c>
      <c r="K184" s="12">
        <v>1150000</v>
      </c>
      <c r="L184" s="13">
        <v>1250000</v>
      </c>
      <c r="M184" s="14">
        <v>1350000</v>
      </c>
      <c r="N184" s="9">
        <f t="shared" si="7"/>
        <v>1485000</v>
      </c>
      <c r="O184" s="10"/>
      <c r="P184" s="10"/>
      <c r="Q184" s="10"/>
      <c r="R184" s="10"/>
      <c r="S184" s="10"/>
      <c r="T184" s="10"/>
    </row>
    <row r="185" ht="57.75" customHeight="1" spans="1:20">
      <c r="A185" s="6" t="s">
        <v>1262</v>
      </c>
      <c r="B185" s="6" t="s">
        <v>2274</v>
      </c>
      <c r="C185" s="6"/>
      <c r="D185" s="6"/>
      <c r="E185" s="6"/>
      <c r="F185" s="22" t="s">
        <v>2275</v>
      </c>
      <c r="G185" s="7"/>
      <c r="H185" s="7"/>
      <c r="I185" s="16" t="s">
        <v>2276</v>
      </c>
      <c r="J185" s="17" t="s">
        <v>29</v>
      </c>
      <c r="K185" s="12">
        <v>1500000</v>
      </c>
      <c r="L185" s="13">
        <v>1600000</v>
      </c>
      <c r="M185" s="14">
        <v>1700000</v>
      </c>
      <c r="N185" s="9">
        <f t="shared" si="7"/>
        <v>1870000</v>
      </c>
      <c r="O185" s="6"/>
      <c r="P185" s="6"/>
      <c r="Q185" s="6"/>
      <c r="R185" s="6"/>
      <c r="S185" s="6"/>
      <c r="T185" s="6"/>
    </row>
    <row r="186" ht="21.75" customHeight="1" spans="1:20">
      <c r="A186" s="5" t="s">
        <v>2277</v>
      </c>
      <c r="B186" s="5"/>
      <c r="C186" s="5"/>
      <c r="D186" s="5"/>
      <c r="E186" s="5"/>
      <c r="F186" s="5"/>
      <c r="G186" s="5"/>
      <c r="H186" s="5"/>
      <c r="I186" s="20"/>
      <c r="J186" s="20"/>
      <c r="K186" s="20"/>
      <c r="L186" s="20"/>
      <c r="M186" s="5"/>
      <c r="N186" s="5"/>
      <c r="O186" s="5"/>
      <c r="P186" s="5"/>
      <c r="Q186" s="5"/>
      <c r="R186" s="5"/>
      <c r="S186" s="5"/>
      <c r="T186" s="5"/>
    </row>
    <row r="187" ht="15.75" customHeight="1" spans="1:20">
      <c r="A187" s="6" t="s">
        <v>1437</v>
      </c>
      <c r="B187" s="6" t="s">
        <v>2278</v>
      </c>
      <c r="C187" s="6" t="s">
        <v>35</v>
      </c>
      <c r="D187" s="6" t="s">
        <v>1444</v>
      </c>
      <c r="E187" s="6" t="s">
        <v>1445</v>
      </c>
      <c r="F187" s="7" t="s">
        <v>1446</v>
      </c>
      <c r="G187" s="7"/>
      <c r="H187" s="7"/>
      <c r="I187" s="16"/>
      <c r="J187" s="17" t="s">
        <v>47</v>
      </c>
      <c r="K187" s="12">
        <v>1200000</v>
      </c>
      <c r="L187" s="13">
        <v>1300000</v>
      </c>
      <c r="M187" s="14">
        <v>1400000</v>
      </c>
      <c r="N187" s="9">
        <f t="shared" ref="N187:N192" si="8">IF($M187="","",ROUND($M187*1.1,0))</f>
        <v>1540000</v>
      </c>
      <c r="O187" s="6"/>
      <c r="P187" s="6"/>
      <c r="Q187" s="6"/>
      <c r="R187" s="6"/>
      <c r="S187" s="6"/>
      <c r="T187" s="6"/>
    </row>
    <row r="188" ht="42.75" customHeight="1" spans="1:20">
      <c r="A188" s="10" t="s">
        <v>1437</v>
      </c>
      <c r="B188" s="10" t="s">
        <v>2279</v>
      </c>
      <c r="C188" s="10" t="s">
        <v>35</v>
      </c>
      <c r="D188" s="10" t="s">
        <v>1453</v>
      </c>
      <c r="E188" s="10" t="s">
        <v>1454</v>
      </c>
      <c r="F188" s="11" t="s">
        <v>1455</v>
      </c>
      <c r="G188" s="11" t="s">
        <v>1456</v>
      </c>
      <c r="H188" s="11" t="s">
        <v>1457</v>
      </c>
      <c r="I188" s="18"/>
      <c r="J188" s="19" t="s">
        <v>129</v>
      </c>
      <c r="K188" s="8"/>
      <c r="L188" s="8"/>
      <c r="M188" s="8"/>
      <c r="N188" s="9" t="str">
        <f t="shared" si="8"/>
        <v/>
      </c>
      <c r="O188" s="10"/>
      <c r="P188" s="10"/>
      <c r="Q188" s="10"/>
      <c r="R188" s="10"/>
      <c r="S188" s="10"/>
      <c r="T188" s="10"/>
    </row>
    <row r="189" ht="42.75" customHeight="1" spans="1:20">
      <c r="A189" s="6" t="s">
        <v>1437</v>
      </c>
      <c r="B189" s="6" t="s">
        <v>2280</v>
      </c>
      <c r="C189" s="6" t="s">
        <v>35</v>
      </c>
      <c r="D189" s="6" t="s">
        <v>1459</v>
      </c>
      <c r="E189" s="6" t="s">
        <v>1460</v>
      </c>
      <c r="F189" s="7" t="s">
        <v>1461</v>
      </c>
      <c r="G189" s="7" t="s">
        <v>1462</v>
      </c>
      <c r="H189" s="7" t="s">
        <v>1463</v>
      </c>
      <c r="I189" s="16"/>
      <c r="J189" s="17" t="s">
        <v>129</v>
      </c>
      <c r="K189" s="12">
        <v>1200000</v>
      </c>
      <c r="L189" s="13">
        <v>1300000</v>
      </c>
      <c r="M189" s="14">
        <v>1400000</v>
      </c>
      <c r="N189" s="9">
        <f t="shared" si="8"/>
        <v>1540000</v>
      </c>
      <c r="O189" s="6"/>
      <c r="P189" s="6"/>
      <c r="Q189" s="6"/>
      <c r="R189" s="6"/>
      <c r="S189" s="6"/>
      <c r="T189" s="6"/>
    </row>
    <row r="190" ht="15.75" customHeight="1" spans="1:20">
      <c r="A190" s="10" t="s">
        <v>1437</v>
      </c>
      <c r="B190" s="10" t="s">
        <v>2281</v>
      </c>
      <c r="C190" s="10" t="s">
        <v>85</v>
      </c>
      <c r="D190" s="10" t="s">
        <v>731</v>
      </c>
      <c r="E190" s="10" t="s">
        <v>1474</v>
      </c>
      <c r="F190" s="11" t="s">
        <v>1482</v>
      </c>
      <c r="G190" s="11" t="s">
        <v>1483</v>
      </c>
      <c r="H190" s="11" t="s">
        <v>1484</v>
      </c>
      <c r="I190" s="18"/>
      <c r="J190" s="19" t="s">
        <v>29</v>
      </c>
      <c r="K190" s="12">
        <v>1200000</v>
      </c>
      <c r="L190" s="13">
        <v>1300000</v>
      </c>
      <c r="M190" s="14">
        <v>1400000</v>
      </c>
      <c r="N190" s="9">
        <f t="shared" si="8"/>
        <v>1540000</v>
      </c>
      <c r="O190" s="10">
        <v>40</v>
      </c>
      <c r="P190" s="10">
        <v>30.9</v>
      </c>
      <c r="Q190" s="10" t="s">
        <v>90</v>
      </c>
      <c r="R190" s="10">
        <v>39.7</v>
      </c>
      <c r="S190" s="10">
        <v>34.7</v>
      </c>
      <c r="T190" s="10">
        <v>9</v>
      </c>
    </row>
    <row r="191" ht="28.5" customHeight="1" spans="1:20">
      <c r="A191" s="6" t="s">
        <v>1437</v>
      </c>
      <c r="B191" s="6" t="s">
        <v>2282</v>
      </c>
      <c r="C191" s="6" t="s">
        <v>85</v>
      </c>
      <c r="D191" s="6" t="s">
        <v>731</v>
      </c>
      <c r="E191" s="6" t="s">
        <v>1474</v>
      </c>
      <c r="F191" s="7" t="s">
        <v>1475</v>
      </c>
      <c r="G191" s="7" t="s">
        <v>1476</v>
      </c>
      <c r="H191" s="7" t="s">
        <v>1477</v>
      </c>
      <c r="I191" s="16"/>
      <c r="J191" s="17" t="s">
        <v>29</v>
      </c>
      <c r="K191" s="12">
        <v>1200000</v>
      </c>
      <c r="L191" s="13">
        <v>1300000</v>
      </c>
      <c r="M191" s="14">
        <v>1400000</v>
      </c>
      <c r="N191" s="9">
        <f t="shared" si="8"/>
        <v>1540000</v>
      </c>
      <c r="O191" s="6">
        <v>40.1</v>
      </c>
      <c r="P191" s="6">
        <v>29.2</v>
      </c>
      <c r="Q191" s="6" t="s">
        <v>1478</v>
      </c>
      <c r="R191" s="6">
        <v>37.9</v>
      </c>
      <c r="S191" s="6">
        <v>30</v>
      </c>
      <c r="T191" s="6">
        <v>11</v>
      </c>
    </row>
    <row r="192" ht="86.25" customHeight="1" spans="1:20">
      <c r="A192" s="10" t="s">
        <v>1437</v>
      </c>
      <c r="B192" s="10" t="s">
        <v>2283</v>
      </c>
      <c r="C192" s="10" t="s">
        <v>35</v>
      </c>
      <c r="D192" s="10" t="s">
        <v>1465</v>
      </c>
      <c r="E192" s="10" t="s">
        <v>1466</v>
      </c>
      <c r="F192" s="11" t="s">
        <v>1467</v>
      </c>
      <c r="G192" s="11"/>
      <c r="H192" s="11" t="s">
        <v>1468</v>
      </c>
      <c r="I192" s="18"/>
      <c r="J192" s="19" t="s">
        <v>29</v>
      </c>
      <c r="K192" s="12">
        <v>1150000</v>
      </c>
      <c r="L192" s="13">
        <v>1200000</v>
      </c>
      <c r="M192" s="14">
        <v>1300000</v>
      </c>
      <c r="N192" s="9">
        <f t="shared" si="8"/>
        <v>1430000</v>
      </c>
      <c r="O192" s="10">
        <v>40</v>
      </c>
      <c r="P192" s="10">
        <v>27.8</v>
      </c>
      <c r="Q192" s="10" t="s">
        <v>99</v>
      </c>
      <c r="R192" s="10">
        <v>37</v>
      </c>
      <c r="S192" s="10">
        <v>31.5</v>
      </c>
      <c r="T192" s="10">
        <v>12</v>
      </c>
    </row>
    <row r="193" ht="21.75" customHeight="1" spans="1:20">
      <c r="A193" s="5" t="s">
        <v>2284</v>
      </c>
      <c r="B193" s="5"/>
      <c r="C193" s="5"/>
      <c r="D193" s="5"/>
      <c r="E193" s="5"/>
      <c r="F193" s="5"/>
      <c r="G193" s="5"/>
      <c r="H193" s="5"/>
      <c r="I193" s="20"/>
      <c r="J193" s="20"/>
      <c r="K193" s="20"/>
      <c r="L193" s="20"/>
      <c r="M193" s="5"/>
      <c r="N193" s="5"/>
      <c r="O193" s="5"/>
      <c r="P193" s="5"/>
      <c r="Q193" s="5"/>
      <c r="R193" s="5"/>
      <c r="S193" s="5"/>
      <c r="T193" s="5"/>
    </row>
    <row r="194" ht="42.75" customHeight="1" spans="1:20">
      <c r="A194" s="6" t="s">
        <v>1489</v>
      </c>
      <c r="B194" s="6" t="s">
        <v>2285</v>
      </c>
      <c r="C194" s="6" t="s">
        <v>61</v>
      </c>
      <c r="D194" s="6" t="s">
        <v>1491</v>
      </c>
      <c r="E194" s="6"/>
      <c r="F194" s="7" t="s">
        <v>1492</v>
      </c>
      <c r="G194" s="7"/>
      <c r="H194" s="7"/>
      <c r="I194" s="16" t="s">
        <v>1493</v>
      </c>
      <c r="J194" s="17" t="s">
        <v>33</v>
      </c>
      <c r="K194" s="12">
        <v>2100000</v>
      </c>
      <c r="L194" s="13">
        <v>2200000</v>
      </c>
      <c r="M194" s="14">
        <v>2500000</v>
      </c>
      <c r="N194" s="9">
        <f>IF($M194="","",ROUND($M194*1.1,0))</f>
        <v>2750000</v>
      </c>
      <c r="O194" s="6"/>
      <c r="P194" s="6"/>
      <c r="Q194" s="6"/>
      <c r="R194" s="6"/>
      <c r="S194" s="6"/>
      <c r="T194" s="6"/>
    </row>
    <row r="195" ht="29.25" customHeight="1" spans="1:20">
      <c r="A195" s="10" t="s">
        <v>1489</v>
      </c>
      <c r="B195" s="10" t="s">
        <v>2286</v>
      </c>
      <c r="C195" s="10" t="s">
        <v>61</v>
      </c>
      <c r="D195" s="10" t="s">
        <v>2287</v>
      </c>
      <c r="E195" s="10" t="s">
        <v>2288</v>
      </c>
      <c r="F195" s="11" t="s">
        <v>2289</v>
      </c>
      <c r="G195" s="11"/>
      <c r="H195" s="11"/>
      <c r="I195" s="18"/>
      <c r="J195" s="19" t="s">
        <v>82</v>
      </c>
      <c r="K195" s="8"/>
      <c r="L195" s="8"/>
      <c r="M195" s="8"/>
      <c r="N195" s="9" t="str">
        <f>IF($M195="","",ROUND($M195*1.1,0))</f>
        <v/>
      </c>
      <c r="O195" s="10"/>
      <c r="P195" s="10"/>
      <c r="Q195" s="10"/>
      <c r="R195" s="10"/>
      <c r="S195" s="10"/>
      <c r="T195" s="10"/>
    </row>
    <row r="196" ht="21.75" customHeight="1" spans="1:20">
      <c r="A196" s="5" t="s">
        <v>2290</v>
      </c>
      <c r="B196" s="5"/>
      <c r="C196" s="5"/>
      <c r="D196" s="5"/>
      <c r="E196" s="5"/>
      <c r="F196" s="5"/>
      <c r="G196" s="5"/>
      <c r="H196" s="5"/>
      <c r="I196" s="20"/>
      <c r="J196" s="20"/>
      <c r="K196" s="20"/>
      <c r="L196" s="20"/>
      <c r="M196" s="5"/>
      <c r="N196" s="5"/>
      <c r="O196" s="5"/>
      <c r="P196" s="5"/>
      <c r="Q196" s="5"/>
      <c r="R196" s="5"/>
      <c r="S196" s="5"/>
      <c r="T196" s="5"/>
    </row>
    <row r="197" ht="15.75" customHeight="1" spans="1:20">
      <c r="A197" s="6" t="s">
        <v>1495</v>
      </c>
      <c r="B197" s="6" t="s">
        <v>2291</v>
      </c>
      <c r="C197" s="6" t="s">
        <v>61</v>
      </c>
      <c r="D197" s="6" t="s">
        <v>1497</v>
      </c>
      <c r="E197" s="6" t="s">
        <v>1497</v>
      </c>
      <c r="F197" s="7" t="s">
        <v>1498</v>
      </c>
      <c r="G197" s="7"/>
      <c r="H197" s="7" t="s">
        <v>1499</v>
      </c>
      <c r="I197" s="16"/>
      <c r="J197" s="17" t="s">
        <v>29</v>
      </c>
      <c r="K197" s="8"/>
      <c r="L197" s="8"/>
      <c r="M197" s="8"/>
      <c r="N197" s="9" t="str">
        <f>IF($M197="","",ROUND($M197*1.1,0))</f>
        <v/>
      </c>
      <c r="O197" s="6">
        <v>77</v>
      </c>
      <c r="P197" s="6">
        <v>54.6</v>
      </c>
      <c r="Q197" s="6" t="s">
        <v>65</v>
      </c>
      <c r="R197" s="6">
        <v>70</v>
      </c>
      <c r="S197" s="6">
        <v>58.8</v>
      </c>
      <c r="T197" s="6" t="s">
        <v>413</v>
      </c>
    </row>
    <row r="198" ht="28.5" customHeight="1" spans="1:20">
      <c r="A198" s="10" t="s">
        <v>1495</v>
      </c>
      <c r="B198" s="10" t="s">
        <v>2292</v>
      </c>
      <c r="C198" s="10" t="s">
        <v>25</v>
      </c>
      <c r="D198" s="10" t="s">
        <v>1501</v>
      </c>
      <c r="E198" s="10"/>
      <c r="F198" s="11" t="s">
        <v>1502</v>
      </c>
      <c r="G198" s="11"/>
      <c r="H198" s="11" t="s">
        <v>1503</v>
      </c>
      <c r="I198" s="18"/>
      <c r="J198" s="19" t="s">
        <v>29</v>
      </c>
      <c r="K198" s="12">
        <v>1300000</v>
      </c>
      <c r="L198" s="13">
        <v>1400000</v>
      </c>
      <c r="M198" s="14">
        <v>1500000</v>
      </c>
      <c r="N198" s="9">
        <f>IF($M198="","",ROUND($M198*1.1,0))</f>
        <v>1650000</v>
      </c>
      <c r="O198" s="10">
        <v>52</v>
      </c>
      <c r="P198" s="10">
        <v>36.7</v>
      </c>
      <c r="Q198" s="10" t="s">
        <v>99</v>
      </c>
      <c r="R198" s="10">
        <v>44.5</v>
      </c>
      <c r="S198" s="10">
        <v>39.9</v>
      </c>
      <c r="T198" s="10" t="s">
        <v>505</v>
      </c>
    </row>
    <row r="199" ht="57.75" customHeight="1" spans="1:20">
      <c r="A199" s="6" t="s">
        <v>1495</v>
      </c>
      <c r="B199" s="6" t="s">
        <v>2293</v>
      </c>
      <c r="C199" s="6"/>
      <c r="D199" s="6"/>
      <c r="E199" s="6"/>
      <c r="F199" s="22" t="s">
        <v>1518</v>
      </c>
      <c r="G199" s="7"/>
      <c r="H199" s="7"/>
      <c r="I199" s="16" t="s">
        <v>2294</v>
      </c>
      <c r="J199" s="17" t="s">
        <v>29</v>
      </c>
      <c r="K199" s="8"/>
      <c r="L199" s="8"/>
      <c r="M199" s="8"/>
      <c r="N199" s="9" t="str">
        <f>IF($M199="","",ROUND($M199*1.1,0))</f>
        <v/>
      </c>
      <c r="O199" s="6"/>
      <c r="P199" s="6"/>
      <c r="Q199" s="6"/>
      <c r="R199" s="6"/>
      <c r="S199" s="6"/>
      <c r="T199" s="6"/>
    </row>
    <row r="200" ht="21.75" customHeight="1" spans="1:20">
      <c r="A200" s="5" t="s">
        <v>2295</v>
      </c>
      <c r="B200" s="5"/>
      <c r="C200" s="5"/>
      <c r="D200" s="5"/>
      <c r="E200" s="5"/>
      <c r="F200" s="5"/>
      <c r="G200" s="5"/>
      <c r="H200" s="5"/>
      <c r="I200" s="20"/>
      <c r="J200" s="20"/>
      <c r="K200" s="20"/>
      <c r="L200" s="20"/>
      <c r="M200" s="5"/>
      <c r="N200" s="5"/>
      <c r="O200" s="5"/>
      <c r="P200" s="5"/>
      <c r="Q200" s="5"/>
      <c r="R200" s="5"/>
      <c r="S200" s="5"/>
      <c r="T200" s="5"/>
    </row>
    <row r="201" ht="28.5" customHeight="1" spans="1:20">
      <c r="A201" s="6" t="s">
        <v>1521</v>
      </c>
      <c r="B201" s="6" t="s">
        <v>2296</v>
      </c>
      <c r="C201" s="6" t="s">
        <v>25</v>
      </c>
      <c r="D201" s="6" t="s">
        <v>1532</v>
      </c>
      <c r="E201" s="6" t="s">
        <v>1527</v>
      </c>
      <c r="F201" s="7" t="s">
        <v>1533</v>
      </c>
      <c r="G201" s="7" t="s">
        <v>1534</v>
      </c>
      <c r="H201" s="7" t="s">
        <v>1535</v>
      </c>
      <c r="I201" s="16"/>
      <c r="J201" s="17" t="s">
        <v>33</v>
      </c>
      <c r="K201" s="12">
        <v>1500000</v>
      </c>
      <c r="L201" s="13">
        <v>1600000</v>
      </c>
      <c r="M201" s="14">
        <v>1700000</v>
      </c>
      <c r="N201" s="9">
        <f t="shared" ref="N201:N206" si="9">IF($M201="","",ROUND($M201*1.1,0))</f>
        <v>1870000</v>
      </c>
      <c r="O201" s="6">
        <v>60.4</v>
      </c>
      <c r="P201" s="6">
        <v>44.5</v>
      </c>
      <c r="Q201" s="6" t="s">
        <v>65</v>
      </c>
      <c r="R201" s="6">
        <v>50</v>
      </c>
      <c r="S201" s="6">
        <v>43.7</v>
      </c>
      <c r="T201" s="6">
        <v>9</v>
      </c>
    </row>
    <row r="202" ht="71.25" customHeight="1" spans="1:20">
      <c r="A202" s="10" t="s">
        <v>1521</v>
      </c>
      <c r="B202" s="10" t="s">
        <v>2297</v>
      </c>
      <c r="C202" s="10" t="s">
        <v>35</v>
      </c>
      <c r="D202" s="10" t="s">
        <v>737</v>
      </c>
      <c r="E202" s="10" t="s">
        <v>1527</v>
      </c>
      <c r="F202" s="11" t="s">
        <v>1528</v>
      </c>
      <c r="G202" s="11"/>
      <c r="H202" s="11" t="s">
        <v>1529</v>
      </c>
      <c r="I202" s="18" t="s">
        <v>1530</v>
      </c>
      <c r="J202" s="19" t="s">
        <v>29</v>
      </c>
      <c r="K202" s="8"/>
      <c r="L202" s="8"/>
      <c r="M202" s="8"/>
      <c r="N202" s="9" t="str">
        <f t="shared" si="9"/>
        <v/>
      </c>
      <c r="O202" s="10">
        <v>56</v>
      </c>
      <c r="P202" s="10">
        <v>42</v>
      </c>
      <c r="Q202" s="10" t="s">
        <v>99</v>
      </c>
      <c r="R202" s="10">
        <v>52</v>
      </c>
      <c r="S202" s="10">
        <v>45.6</v>
      </c>
      <c r="T202" s="10">
        <v>12</v>
      </c>
    </row>
    <row r="203" ht="57" customHeight="1" spans="1:20">
      <c r="A203" s="6" t="s">
        <v>1521</v>
      </c>
      <c r="B203" s="6" t="s">
        <v>2298</v>
      </c>
      <c r="C203" s="6" t="s">
        <v>35</v>
      </c>
      <c r="D203" s="6" t="s">
        <v>1448</v>
      </c>
      <c r="E203" s="6" t="s">
        <v>1542</v>
      </c>
      <c r="F203" s="7" t="s">
        <v>1543</v>
      </c>
      <c r="G203" s="7"/>
      <c r="H203" s="7"/>
      <c r="I203" s="16"/>
      <c r="J203" s="17" t="s">
        <v>29</v>
      </c>
      <c r="K203" s="8"/>
      <c r="L203" s="8"/>
      <c r="M203" s="8"/>
      <c r="N203" s="9" t="str">
        <f t="shared" si="9"/>
        <v/>
      </c>
      <c r="O203" s="6"/>
      <c r="P203" s="6"/>
      <c r="Q203" s="6"/>
      <c r="R203" s="6"/>
      <c r="S203" s="6"/>
      <c r="T203" s="6"/>
    </row>
    <row r="204" ht="28.5" customHeight="1" spans="1:20">
      <c r="A204" s="10" t="s">
        <v>1521</v>
      </c>
      <c r="B204" s="10" t="s">
        <v>2299</v>
      </c>
      <c r="C204" s="10" t="s">
        <v>35</v>
      </c>
      <c r="D204" s="10" t="s">
        <v>1962</v>
      </c>
      <c r="E204" s="10" t="s">
        <v>1963</v>
      </c>
      <c r="F204" s="11" t="s">
        <v>2300</v>
      </c>
      <c r="G204" s="11" t="s">
        <v>2301</v>
      </c>
      <c r="H204" s="11" t="s">
        <v>2302</v>
      </c>
      <c r="I204" s="18"/>
      <c r="J204" s="19" t="s">
        <v>29</v>
      </c>
      <c r="K204" s="8"/>
      <c r="L204" s="13">
        <v>7500000</v>
      </c>
      <c r="M204" s="14">
        <v>7800000</v>
      </c>
      <c r="N204" s="9">
        <f t="shared" si="9"/>
        <v>8580000</v>
      </c>
      <c r="O204" s="10">
        <v>160.2</v>
      </c>
      <c r="P204" s="10">
        <v>100</v>
      </c>
      <c r="Q204" s="10" t="s">
        <v>2303</v>
      </c>
      <c r="R204" s="10">
        <v>149.7</v>
      </c>
      <c r="S204" s="10">
        <v>131</v>
      </c>
      <c r="T204" s="10">
        <v>12</v>
      </c>
    </row>
    <row r="205" ht="57" customHeight="1" spans="1:20">
      <c r="A205" s="6" t="s">
        <v>1521</v>
      </c>
      <c r="B205" s="6" t="s">
        <v>2304</v>
      </c>
      <c r="C205" s="6" t="s">
        <v>35</v>
      </c>
      <c r="D205" s="6" t="s">
        <v>562</v>
      </c>
      <c r="E205" s="6" t="s">
        <v>1204</v>
      </c>
      <c r="F205" s="7" t="s">
        <v>2305</v>
      </c>
      <c r="G205" s="7" t="s">
        <v>2306</v>
      </c>
      <c r="H205" s="7" t="s">
        <v>2307</v>
      </c>
      <c r="I205" s="16"/>
      <c r="J205" s="17" t="s">
        <v>29</v>
      </c>
      <c r="K205" s="12">
        <v>1550000</v>
      </c>
      <c r="L205" s="13">
        <v>1650000</v>
      </c>
      <c r="M205" s="14">
        <v>1750000</v>
      </c>
      <c r="N205" s="9">
        <f t="shared" si="9"/>
        <v>1925000</v>
      </c>
      <c r="O205" s="6">
        <v>78</v>
      </c>
      <c r="P205" s="6">
        <v>55.6</v>
      </c>
      <c r="Q205" s="6" t="s">
        <v>413</v>
      </c>
      <c r="R205" s="6">
        <v>74.1</v>
      </c>
      <c r="S205" s="6">
        <v>63</v>
      </c>
      <c r="T205" s="6">
        <v>12</v>
      </c>
    </row>
    <row r="206" ht="57.75" customHeight="1" spans="1:20">
      <c r="A206" s="10" t="s">
        <v>1521</v>
      </c>
      <c r="B206" s="10" t="s">
        <v>2308</v>
      </c>
      <c r="C206" s="10"/>
      <c r="D206" s="10"/>
      <c r="E206" s="10"/>
      <c r="F206" s="21" t="s">
        <v>2309</v>
      </c>
      <c r="G206" s="11"/>
      <c r="H206" s="11"/>
      <c r="I206" s="18" t="s">
        <v>2310</v>
      </c>
      <c r="J206" s="19" t="s">
        <v>82</v>
      </c>
      <c r="K206" s="8"/>
      <c r="L206" s="8"/>
      <c r="M206" s="8"/>
      <c r="N206" s="9" t="str">
        <f t="shared" si="9"/>
        <v/>
      </c>
      <c r="O206" s="10"/>
      <c r="P206" s="10"/>
      <c r="Q206" s="10"/>
      <c r="R206" s="10"/>
      <c r="S206" s="10"/>
      <c r="T206" s="10"/>
    </row>
    <row r="207" ht="21.75" customHeight="1" spans="1:20">
      <c r="A207" s="5" t="s">
        <v>2311</v>
      </c>
      <c r="B207" s="5"/>
      <c r="C207" s="5"/>
      <c r="D207" s="5"/>
      <c r="E207" s="5"/>
      <c r="F207" s="5"/>
      <c r="G207" s="5"/>
      <c r="H207" s="5"/>
      <c r="I207" s="20"/>
      <c r="J207" s="20"/>
      <c r="K207" s="20"/>
      <c r="L207" s="20"/>
      <c r="M207" s="5"/>
      <c r="N207" s="5"/>
      <c r="O207" s="5"/>
      <c r="P207" s="5"/>
      <c r="Q207" s="5"/>
      <c r="R207" s="5"/>
      <c r="S207" s="5"/>
      <c r="T207" s="5"/>
    </row>
    <row r="208" ht="28.5" customHeight="1" spans="1:20">
      <c r="A208" s="6" t="s">
        <v>1561</v>
      </c>
      <c r="B208" s="6" t="s">
        <v>2312</v>
      </c>
      <c r="C208" s="6" t="s">
        <v>25</v>
      </c>
      <c r="D208" s="6" t="s">
        <v>1574</v>
      </c>
      <c r="E208" s="6"/>
      <c r="F208" s="7" t="s">
        <v>1575</v>
      </c>
      <c r="G208" s="7"/>
      <c r="H208" s="7" t="s">
        <v>1576</v>
      </c>
      <c r="I208" s="16"/>
      <c r="J208" s="17" t="s">
        <v>47</v>
      </c>
      <c r="K208" s="8"/>
      <c r="L208" s="8"/>
      <c r="M208" s="8"/>
      <c r="N208" s="9" t="str">
        <f t="shared" ref="N208:N215" si="10">IF($M208="","",ROUND($M208*1.1,0))</f>
        <v/>
      </c>
      <c r="O208" s="6">
        <v>56.2</v>
      </c>
      <c r="P208" s="6">
        <v>39.6</v>
      </c>
      <c r="Q208" s="6" t="s">
        <v>99</v>
      </c>
      <c r="R208" s="6">
        <v>47.3</v>
      </c>
      <c r="S208" s="6">
        <v>39.9</v>
      </c>
      <c r="T208" s="6">
        <v>9</v>
      </c>
    </row>
    <row r="209" ht="15.75" customHeight="1" spans="1:20">
      <c r="A209" s="10" t="s">
        <v>1561</v>
      </c>
      <c r="B209" s="10" t="s">
        <v>2313</v>
      </c>
      <c r="C209" s="10" t="s">
        <v>25</v>
      </c>
      <c r="D209" s="10" t="s">
        <v>894</v>
      </c>
      <c r="E209" s="10" t="s">
        <v>1571</v>
      </c>
      <c r="F209" s="11" t="s">
        <v>1584</v>
      </c>
      <c r="G209" s="11"/>
      <c r="H209" s="11"/>
      <c r="I209" s="18"/>
      <c r="J209" s="19" t="s">
        <v>29</v>
      </c>
      <c r="K209" s="12">
        <v>1250000</v>
      </c>
      <c r="L209" s="13">
        <v>1300000</v>
      </c>
      <c r="M209" s="14">
        <v>1400000</v>
      </c>
      <c r="N209" s="9">
        <f t="shared" si="10"/>
        <v>1540000</v>
      </c>
      <c r="O209" s="10">
        <v>52</v>
      </c>
      <c r="P209" s="10">
        <v>38.6</v>
      </c>
      <c r="Q209" s="10" t="s">
        <v>90</v>
      </c>
      <c r="R209" s="10">
        <v>44.5</v>
      </c>
      <c r="S209" s="10">
        <v>39.6</v>
      </c>
      <c r="T209" s="10">
        <v>9</v>
      </c>
    </row>
    <row r="210" ht="15.75" customHeight="1" spans="1:20">
      <c r="A210" s="6" t="s">
        <v>1561</v>
      </c>
      <c r="B210" s="6" t="s">
        <v>2314</v>
      </c>
      <c r="C210" s="6" t="s">
        <v>61</v>
      </c>
      <c r="D210" s="6" t="s">
        <v>352</v>
      </c>
      <c r="E210" s="6"/>
      <c r="F210" s="7" t="s">
        <v>1578</v>
      </c>
      <c r="G210" s="7"/>
      <c r="H210" s="7" t="s">
        <v>1576</v>
      </c>
      <c r="I210" s="16"/>
      <c r="J210" s="17" t="s">
        <v>29</v>
      </c>
      <c r="K210" s="8"/>
      <c r="L210" s="8"/>
      <c r="M210" s="8"/>
      <c r="N210" s="9" t="str">
        <f t="shared" si="10"/>
        <v/>
      </c>
      <c r="O210" s="6">
        <v>52.9</v>
      </c>
      <c r="P210" s="6">
        <v>41</v>
      </c>
      <c r="Q210" s="6" t="s">
        <v>99</v>
      </c>
      <c r="R210" s="6">
        <v>45</v>
      </c>
      <c r="S210" s="6">
        <v>40</v>
      </c>
      <c r="T210" s="6" t="s">
        <v>100</v>
      </c>
    </row>
    <row r="211" ht="15.75" customHeight="1" spans="1:20">
      <c r="A211" s="10" t="s">
        <v>1561</v>
      </c>
      <c r="B211" s="10" t="s">
        <v>2315</v>
      </c>
      <c r="C211" s="10" t="s">
        <v>190</v>
      </c>
      <c r="D211" s="10" t="s">
        <v>1570</v>
      </c>
      <c r="E211" s="10" t="s">
        <v>1571</v>
      </c>
      <c r="F211" s="11" t="s">
        <v>1572</v>
      </c>
      <c r="G211" s="11"/>
      <c r="H211" s="11"/>
      <c r="I211" s="18"/>
      <c r="J211" s="19" t="s">
        <v>29</v>
      </c>
      <c r="K211" s="8"/>
      <c r="L211" s="8"/>
      <c r="M211" s="8"/>
      <c r="N211" s="9" t="str">
        <f t="shared" si="10"/>
        <v/>
      </c>
      <c r="O211" s="10">
        <v>54</v>
      </c>
      <c r="P211" s="10">
        <v>41</v>
      </c>
      <c r="Q211" s="10">
        <v>5</v>
      </c>
      <c r="R211" s="10">
        <v>44</v>
      </c>
      <c r="S211" s="10">
        <v>37.3</v>
      </c>
      <c r="T211" s="10">
        <v>9</v>
      </c>
    </row>
    <row r="212" ht="28.5" customHeight="1" spans="1:20">
      <c r="A212" s="6" t="s">
        <v>1561</v>
      </c>
      <c r="B212" s="6" t="s">
        <v>2316</v>
      </c>
      <c r="C212" s="6" t="s">
        <v>25</v>
      </c>
      <c r="D212" s="6" t="s">
        <v>1580</v>
      </c>
      <c r="E212" s="6" t="s">
        <v>1581</v>
      </c>
      <c r="F212" s="7" t="s">
        <v>1582</v>
      </c>
      <c r="G212" s="7"/>
      <c r="H212" s="7"/>
      <c r="I212" s="7"/>
      <c r="J212" s="6" t="s">
        <v>29</v>
      </c>
      <c r="K212" s="8"/>
      <c r="L212" s="8"/>
      <c r="M212" s="8"/>
      <c r="N212" s="9" t="str">
        <f t="shared" si="10"/>
        <v/>
      </c>
      <c r="O212" s="6">
        <v>60.2</v>
      </c>
      <c r="P212" s="6">
        <v>46.4</v>
      </c>
      <c r="Q212" s="6" t="s">
        <v>99</v>
      </c>
      <c r="R212" s="6">
        <v>53</v>
      </c>
      <c r="S212" s="6">
        <v>47.3</v>
      </c>
      <c r="T212" s="6">
        <v>10</v>
      </c>
    </row>
    <row r="213" ht="85.5" customHeight="1" spans="1:20">
      <c r="A213" s="10" t="s">
        <v>1561</v>
      </c>
      <c r="B213" s="10" t="s">
        <v>2317</v>
      </c>
      <c r="C213" s="10" t="s">
        <v>25</v>
      </c>
      <c r="D213" s="10" t="s">
        <v>1574</v>
      </c>
      <c r="E213" s="10" t="s">
        <v>1590</v>
      </c>
      <c r="F213" s="11" t="s">
        <v>1591</v>
      </c>
      <c r="G213" s="11"/>
      <c r="H213" s="11" t="s">
        <v>1592</v>
      </c>
      <c r="I213" s="18"/>
      <c r="J213" s="19" t="s">
        <v>29</v>
      </c>
      <c r="K213" s="12">
        <v>1400000</v>
      </c>
      <c r="L213" s="13">
        <v>1500000</v>
      </c>
      <c r="M213" s="14">
        <v>1600000</v>
      </c>
      <c r="N213" s="9">
        <f t="shared" si="10"/>
        <v>1760000</v>
      </c>
      <c r="O213" s="10">
        <v>56</v>
      </c>
      <c r="P213" s="10">
        <v>41.5</v>
      </c>
      <c r="Q213" s="10" t="s">
        <v>99</v>
      </c>
      <c r="R213" s="10">
        <v>46.9</v>
      </c>
      <c r="S213" s="10">
        <v>42.2</v>
      </c>
      <c r="T213" s="10">
        <v>9</v>
      </c>
    </row>
    <row r="214" ht="57" customHeight="1" spans="1:20">
      <c r="A214" s="6" t="s">
        <v>1561</v>
      </c>
      <c r="B214" s="6" t="s">
        <v>2318</v>
      </c>
      <c r="C214" s="6"/>
      <c r="D214" s="6"/>
      <c r="E214" s="6"/>
      <c r="F214" s="22" t="s">
        <v>2319</v>
      </c>
      <c r="G214" s="7"/>
      <c r="H214" s="7"/>
      <c r="I214" s="16" t="s">
        <v>2320</v>
      </c>
      <c r="J214" s="17" t="s">
        <v>29</v>
      </c>
      <c r="K214" s="8"/>
      <c r="L214" s="8"/>
      <c r="M214" s="8"/>
      <c r="N214" s="9" t="str">
        <f t="shared" si="10"/>
        <v/>
      </c>
      <c r="O214" s="6"/>
      <c r="P214" s="6"/>
      <c r="Q214" s="6"/>
      <c r="R214" s="6"/>
      <c r="S214" s="6"/>
      <c r="T214" s="6"/>
    </row>
    <row r="215" ht="43.5" customHeight="1" spans="1:20">
      <c r="A215" s="10" t="s">
        <v>1561</v>
      </c>
      <c r="B215" s="10" t="s">
        <v>2321</v>
      </c>
      <c r="C215" s="10"/>
      <c r="D215" s="10"/>
      <c r="E215" s="10"/>
      <c r="F215" s="21" t="s">
        <v>1595</v>
      </c>
      <c r="G215" s="11"/>
      <c r="H215" s="11"/>
      <c r="I215" s="18" t="s">
        <v>2322</v>
      </c>
      <c r="J215" s="19" t="s">
        <v>29</v>
      </c>
      <c r="K215" s="8"/>
      <c r="L215" s="8"/>
      <c r="M215" s="8"/>
      <c r="N215" s="9" t="str">
        <f t="shared" si="10"/>
        <v/>
      </c>
      <c r="O215" s="10"/>
      <c r="P215" s="10"/>
      <c r="Q215" s="10"/>
      <c r="R215" s="10"/>
      <c r="S215" s="10"/>
      <c r="T215" s="10"/>
    </row>
    <row r="216" ht="21.75" customHeight="1" spans="1:20">
      <c r="A216" s="5" t="s">
        <v>2323</v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 ht="16.5" customHeight="1" spans="1:20">
      <c r="A217" s="6" t="s">
        <v>1603</v>
      </c>
      <c r="B217" s="6" t="s">
        <v>2324</v>
      </c>
      <c r="C217" s="6" t="s">
        <v>25</v>
      </c>
      <c r="D217" s="6" t="s">
        <v>1615</v>
      </c>
      <c r="E217" s="6" t="s">
        <v>1616</v>
      </c>
      <c r="F217" s="7" t="s">
        <v>1620</v>
      </c>
      <c r="G217" s="7"/>
      <c r="H217" s="7"/>
      <c r="I217" s="16"/>
      <c r="J217" s="17" t="s">
        <v>2325</v>
      </c>
      <c r="K217" s="8"/>
      <c r="L217" s="8"/>
      <c r="M217" s="8"/>
      <c r="N217" s="9" t="str">
        <f>IF($M217="","",ROUND($M217*1.1,0))</f>
        <v/>
      </c>
      <c r="O217" s="6"/>
      <c r="P217" s="6"/>
      <c r="Q217" s="6"/>
      <c r="R217" s="6"/>
      <c r="S217" s="6"/>
      <c r="T217" s="6"/>
    </row>
    <row r="218" ht="21.75" customHeight="1" spans="1:20">
      <c r="A218" s="5" t="s">
        <v>2326</v>
      </c>
      <c r="B218" s="5"/>
      <c r="C218" s="5"/>
      <c r="D218" s="5"/>
      <c r="E218" s="5"/>
      <c r="F218" s="5"/>
      <c r="G218" s="5"/>
      <c r="H218" s="5"/>
      <c r="I218" s="20"/>
      <c r="J218" s="20"/>
      <c r="K218" s="20"/>
      <c r="L218" s="20"/>
      <c r="M218" s="5"/>
      <c r="N218" s="5"/>
      <c r="O218" s="5"/>
      <c r="P218" s="5"/>
      <c r="Q218" s="5"/>
      <c r="R218" s="5"/>
      <c r="S218" s="5"/>
      <c r="T218" s="5"/>
    </row>
    <row r="219" ht="57" customHeight="1" spans="1:20">
      <c r="A219" s="6" t="s">
        <v>1647</v>
      </c>
      <c r="B219" s="6" t="s">
        <v>2327</v>
      </c>
      <c r="C219" s="6" t="s">
        <v>35</v>
      </c>
      <c r="D219" s="6" t="s">
        <v>1653</v>
      </c>
      <c r="E219" s="6" t="s">
        <v>1654</v>
      </c>
      <c r="F219" s="7" t="s">
        <v>1655</v>
      </c>
      <c r="G219" s="7" t="s">
        <v>1656</v>
      </c>
      <c r="H219" s="7" t="s">
        <v>2328</v>
      </c>
      <c r="I219" s="16"/>
      <c r="J219" s="17" t="s">
        <v>29</v>
      </c>
      <c r="K219" s="12">
        <v>1150000</v>
      </c>
      <c r="L219" s="13">
        <v>1200000</v>
      </c>
      <c r="M219" s="14">
        <v>1300000</v>
      </c>
      <c r="N219" s="9">
        <f>IF($M219="","",ROUND($M219*1.1,0))</f>
        <v>1430000</v>
      </c>
      <c r="O219" s="6">
        <v>54</v>
      </c>
      <c r="P219" s="6">
        <v>37</v>
      </c>
      <c r="Q219" s="6" t="s">
        <v>65</v>
      </c>
      <c r="R219" s="6">
        <v>56.4</v>
      </c>
      <c r="S219" s="6">
        <v>47.6</v>
      </c>
      <c r="T219" s="6">
        <v>12</v>
      </c>
    </row>
    <row r="220" ht="42.75" customHeight="1" spans="1:20">
      <c r="A220" s="10" t="s">
        <v>1647</v>
      </c>
      <c r="B220" s="10" t="s">
        <v>2329</v>
      </c>
      <c r="C220" s="10" t="s">
        <v>35</v>
      </c>
      <c r="D220" s="10" t="s">
        <v>1661</v>
      </c>
      <c r="E220" s="10" t="s">
        <v>1662</v>
      </c>
      <c r="F220" s="11" t="s">
        <v>1663</v>
      </c>
      <c r="G220" s="11" t="s">
        <v>1664</v>
      </c>
      <c r="H220" s="11" t="s">
        <v>1665</v>
      </c>
      <c r="I220" s="18"/>
      <c r="J220" s="19"/>
      <c r="K220" s="12">
        <v>1150000</v>
      </c>
      <c r="L220" s="13">
        <v>1200000</v>
      </c>
      <c r="M220" s="14">
        <v>1300000</v>
      </c>
      <c r="N220" s="9">
        <f>IF($M220="","",ROUND($M220*1.1,0))</f>
        <v>1430000</v>
      </c>
      <c r="O220" s="10">
        <v>54</v>
      </c>
      <c r="P220" s="10">
        <v>37</v>
      </c>
      <c r="Q220" s="10" t="s">
        <v>65</v>
      </c>
      <c r="R220" s="10">
        <v>56.4</v>
      </c>
      <c r="S220" s="10">
        <v>47.6</v>
      </c>
      <c r="T220" s="10">
        <v>12</v>
      </c>
    </row>
    <row r="221" ht="186" customHeight="1" spans="1:20">
      <c r="A221" s="6" t="s">
        <v>1647</v>
      </c>
      <c r="B221" s="6" t="s">
        <v>2330</v>
      </c>
      <c r="C221" s="6" t="s">
        <v>25</v>
      </c>
      <c r="D221" s="6" t="s">
        <v>1667</v>
      </c>
      <c r="E221" s="6" t="s">
        <v>1668</v>
      </c>
      <c r="F221" s="7" t="s">
        <v>1669</v>
      </c>
      <c r="G221" s="7" t="s">
        <v>1670</v>
      </c>
      <c r="H221" s="7" t="s">
        <v>1671</v>
      </c>
      <c r="I221" s="16"/>
      <c r="J221" s="17"/>
      <c r="K221" s="12">
        <v>1100000</v>
      </c>
      <c r="L221" s="13">
        <v>1160000</v>
      </c>
      <c r="M221" s="14">
        <v>1250000</v>
      </c>
      <c r="N221" s="9">
        <f>IF($M221="","",ROUND($M221*1.1,0))</f>
        <v>1375000</v>
      </c>
      <c r="O221" s="6"/>
      <c r="P221" s="6"/>
      <c r="Q221" s="6"/>
      <c r="R221" s="6"/>
      <c r="S221" s="6"/>
      <c r="T221" s="6"/>
    </row>
    <row r="222" ht="21.75" customHeight="1" spans="1:20">
      <c r="A222" s="5" t="s">
        <v>2331</v>
      </c>
      <c r="B222" s="5"/>
      <c r="C222" s="5"/>
      <c r="D222" s="5"/>
      <c r="E222" s="5"/>
      <c r="F222" s="5"/>
      <c r="G222" s="5"/>
      <c r="H222" s="5"/>
      <c r="I222" s="20"/>
      <c r="J222" s="20"/>
      <c r="K222" s="20"/>
      <c r="L222" s="20"/>
      <c r="M222" s="5"/>
      <c r="N222" s="5"/>
      <c r="O222" s="5"/>
      <c r="P222" s="5"/>
      <c r="Q222" s="5"/>
      <c r="R222" s="5"/>
      <c r="S222" s="5"/>
      <c r="T222" s="5"/>
    </row>
    <row r="223" ht="15.75" customHeight="1" spans="1:20">
      <c r="A223" s="6" t="s">
        <v>1679</v>
      </c>
      <c r="B223" s="6" t="s">
        <v>2332</v>
      </c>
      <c r="C223" s="6" t="s">
        <v>85</v>
      </c>
      <c r="D223" s="6" t="s">
        <v>1691</v>
      </c>
      <c r="E223" s="6" t="s">
        <v>1696</v>
      </c>
      <c r="F223" s="7" t="s">
        <v>1697</v>
      </c>
      <c r="G223" s="7"/>
      <c r="H223" s="7" t="s">
        <v>1698</v>
      </c>
      <c r="I223" s="16"/>
      <c r="J223" s="17" t="s">
        <v>29</v>
      </c>
      <c r="K223" s="8"/>
      <c r="L223" s="8"/>
      <c r="M223" s="8"/>
      <c r="N223" s="9" t="str">
        <f>IF($M223="","",ROUND($M223*1.1,0))</f>
        <v/>
      </c>
      <c r="O223" s="6">
        <v>45</v>
      </c>
      <c r="P223" s="6">
        <v>32</v>
      </c>
      <c r="Q223" s="6" t="s">
        <v>99</v>
      </c>
      <c r="R223" s="6">
        <v>37.8</v>
      </c>
      <c r="S223" s="6">
        <v>34.8</v>
      </c>
      <c r="T223" s="6">
        <v>9</v>
      </c>
    </row>
    <row r="224" ht="42.75" customHeight="1" spans="1:20">
      <c r="A224" s="10" t="s">
        <v>1679</v>
      </c>
      <c r="B224" s="10" t="s">
        <v>2333</v>
      </c>
      <c r="C224" s="10" t="s">
        <v>85</v>
      </c>
      <c r="D224" s="10" t="s">
        <v>1691</v>
      </c>
      <c r="E224" s="10" t="s">
        <v>1692</v>
      </c>
      <c r="F224" s="11" t="s">
        <v>1693</v>
      </c>
      <c r="G224" s="11"/>
      <c r="H224" s="11" t="s">
        <v>1694</v>
      </c>
      <c r="I224" s="18"/>
      <c r="J224" s="19" t="s">
        <v>29</v>
      </c>
      <c r="K224" s="12">
        <v>1400000</v>
      </c>
      <c r="L224" s="13">
        <v>1500000</v>
      </c>
      <c r="M224" s="14">
        <v>1600000</v>
      </c>
      <c r="N224" s="9">
        <f>IF($M224="","",ROUND($M224*1.1,0))</f>
        <v>1760000</v>
      </c>
      <c r="O224" s="10">
        <v>58</v>
      </c>
      <c r="P224" s="10">
        <v>39</v>
      </c>
      <c r="Q224" s="10" t="s">
        <v>99</v>
      </c>
      <c r="R224" s="10">
        <v>51.7</v>
      </c>
      <c r="S224" s="10">
        <v>48</v>
      </c>
      <c r="T224" s="10" t="s">
        <v>597</v>
      </c>
    </row>
    <row r="225" ht="15.75" customHeight="1" spans="1:20">
      <c r="A225" s="6" t="s">
        <v>1679</v>
      </c>
      <c r="B225" s="6" t="s">
        <v>2334</v>
      </c>
      <c r="C225" s="6" t="s">
        <v>85</v>
      </c>
      <c r="D225" s="6" t="s">
        <v>1681</v>
      </c>
      <c r="E225" s="6" t="s">
        <v>1682</v>
      </c>
      <c r="F225" s="7" t="s">
        <v>1687</v>
      </c>
      <c r="G225" s="7"/>
      <c r="H225" s="7" t="s">
        <v>1688</v>
      </c>
      <c r="I225" s="16" t="s">
        <v>1689</v>
      </c>
      <c r="J225" s="17" t="s">
        <v>29</v>
      </c>
      <c r="K225" s="12">
        <v>1100000</v>
      </c>
      <c r="L225" s="13">
        <v>1200000</v>
      </c>
      <c r="M225" s="14">
        <v>1300000</v>
      </c>
      <c r="N225" s="9">
        <f>IF($M225="","",ROUND($M225*1.1,0))</f>
        <v>1430000</v>
      </c>
      <c r="O225" s="6"/>
      <c r="P225" s="6"/>
      <c r="Q225" s="6"/>
      <c r="R225" s="6"/>
      <c r="S225" s="6"/>
      <c r="T225" s="6"/>
    </row>
    <row r="226" ht="57" customHeight="1" spans="1:20">
      <c r="A226" s="10" t="s">
        <v>1679</v>
      </c>
      <c r="B226" s="10" t="s">
        <v>2335</v>
      </c>
      <c r="C226" s="10" t="s">
        <v>85</v>
      </c>
      <c r="D226" s="10" t="s">
        <v>1700</v>
      </c>
      <c r="E226" s="10" t="s">
        <v>1701</v>
      </c>
      <c r="F226" s="11" t="s">
        <v>1702</v>
      </c>
      <c r="G226" s="11"/>
      <c r="H226" s="11"/>
      <c r="I226" s="18" t="s">
        <v>1703</v>
      </c>
      <c r="J226" s="19" t="s">
        <v>29</v>
      </c>
      <c r="K226" s="12">
        <v>1600000</v>
      </c>
      <c r="L226" s="13">
        <v>1700000</v>
      </c>
      <c r="M226" s="14">
        <v>1800000</v>
      </c>
      <c r="N226" s="9">
        <f>IF($M226="","",ROUND($M226*1.1,0))</f>
        <v>1980000</v>
      </c>
      <c r="O226" s="10">
        <v>51</v>
      </c>
      <c r="P226" s="10">
        <v>37.6</v>
      </c>
      <c r="Q226" s="10" t="s">
        <v>99</v>
      </c>
      <c r="R226" s="10">
        <v>44.6</v>
      </c>
      <c r="S226" s="10">
        <v>41.6</v>
      </c>
      <c r="T226" s="10">
        <v>9</v>
      </c>
    </row>
    <row r="227" ht="57.75" customHeight="1" spans="1:20">
      <c r="A227" s="6" t="s">
        <v>1679</v>
      </c>
      <c r="B227" s="6" t="s">
        <v>2336</v>
      </c>
      <c r="C227" s="6"/>
      <c r="D227" s="6"/>
      <c r="E227" s="6"/>
      <c r="F227" s="22" t="s">
        <v>2337</v>
      </c>
      <c r="G227" s="7"/>
      <c r="H227" s="7"/>
      <c r="I227" s="16" t="s">
        <v>2338</v>
      </c>
      <c r="J227" s="17" t="s">
        <v>82</v>
      </c>
      <c r="K227" s="8"/>
      <c r="L227" s="8"/>
      <c r="M227" s="8"/>
      <c r="N227" s="9" t="str">
        <f>IF($M227="","",ROUND($M227*1.1,0))</f>
        <v/>
      </c>
      <c r="O227" s="6"/>
      <c r="P227" s="6"/>
      <c r="Q227" s="6"/>
      <c r="R227" s="6"/>
      <c r="S227" s="6"/>
      <c r="T227" s="6"/>
    </row>
    <row r="228" ht="21.75" customHeight="1" spans="1:20">
      <c r="A228" s="5" t="s">
        <v>1712</v>
      </c>
      <c r="B228" s="5"/>
      <c r="C228" s="5"/>
      <c r="D228" s="5"/>
      <c r="E228" s="5"/>
      <c r="F228" s="5"/>
      <c r="G228" s="5"/>
      <c r="H228" s="5"/>
      <c r="I228" s="20"/>
      <c r="J228" s="20"/>
      <c r="K228" s="20"/>
      <c r="L228" s="20"/>
      <c r="M228" s="5"/>
      <c r="N228" s="5"/>
      <c r="O228" s="5"/>
      <c r="P228" s="5"/>
      <c r="Q228" s="5"/>
      <c r="R228" s="5"/>
      <c r="S228" s="5"/>
      <c r="T228" s="5"/>
    </row>
    <row r="229" ht="16.5" customHeight="1" spans="1:20">
      <c r="A229" s="6" t="s">
        <v>1713</v>
      </c>
      <c r="B229" s="6" t="s">
        <v>2339</v>
      </c>
      <c r="C229" s="6" t="s">
        <v>25</v>
      </c>
      <c r="D229" s="6" t="s">
        <v>566</v>
      </c>
      <c r="E229" s="6" t="s">
        <v>1715</v>
      </c>
      <c r="F229" s="7" t="s">
        <v>1716</v>
      </c>
      <c r="G229" s="7" t="s">
        <v>1717</v>
      </c>
      <c r="H229" s="7"/>
      <c r="I229" s="16"/>
      <c r="J229" s="17" t="s">
        <v>29</v>
      </c>
      <c r="K229" s="8"/>
      <c r="L229" s="8"/>
      <c r="M229" s="8"/>
      <c r="N229" s="9" t="str">
        <f>IF($M229="","",ROUND($M229*1.1,0))</f>
        <v/>
      </c>
      <c r="O229" s="6">
        <v>59.5</v>
      </c>
      <c r="P229" s="6">
        <v>42.8</v>
      </c>
      <c r="Q229" s="6" t="s">
        <v>99</v>
      </c>
      <c r="R229" s="6">
        <v>53</v>
      </c>
      <c r="S229" s="6">
        <v>46.2</v>
      </c>
      <c r="T229" s="6">
        <v>10</v>
      </c>
    </row>
    <row r="230" ht="21.75" customHeight="1" spans="1:20">
      <c r="A230" s="5" t="s">
        <v>2340</v>
      </c>
      <c r="B230" s="5"/>
      <c r="C230" s="5"/>
      <c r="D230" s="5"/>
      <c r="E230" s="5"/>
      <c r="F230" s="5"/>
      <c r="G230" s="5"/>
      <c r="H230" s="5"/>
      <c r="I230" s="20"/>
      <c r="J230" s="20"/>
      <c r="K230" s="20"/>
      <c r="L230" s="20"/>
      <c r="M230" s="5"/>
      <c r="N230" s="5"/>
      <c r="O230" s="5"/>
      <c r="P230" s="5"/>
      <c r="Q230" s="5"/>
      <c r="R230" s="5"/>
      <c r="S230" s="5"/>
      <c r="T230" s="5"/>
    </row>
    <row r="231" ht="42.75" customHeight="1" spans="1:20">
      <c r="A231" s="6" t="s">
        <v>1719</v>
      </c>
      <c r="B231" s="6" t="s">
        <v>2341</v>
      </c>
      <c r="C231" s="6"/>
      <c r="D231" s="6"/>
      <c r="E231" s="6"/>
      <c r="F231" s="22" t="s">
        <v>2342</v>
      </c>
      <c r="G231" s="7"/>
      <c r="H231" s="7"/>
      <c r="I231" s="16" t="s">
        <v>2343</v>
      </c>
      <c r="J231" s="17" t="s">
        <v>33</v>
      </c>
      <c r="K231" s="8"/>
      <c r="L231" s="8"/>
      <c r="M231" s="8"/>
      <c r="N231" s="9" t="str">
        <f>IF($M231="","",ROUND($M231*1.1,0))</f>
        <v/>
      </c>
      <c r="O231" s="6"/>
      <c r="P231" s="6"/>
      <c r="Q231" s="6"/>
      <c r="R231" s="6"/>
      <c r="S231" s="6"/>
      <c r="T231" s="6"/>
    </row>
    <row r="232" ht="57.75" customHeight="1" spans="1:20">
      <c r="A232" s="10" t="s">
        <v>1719</v>
      </c>
      <c r="B232" s="10" t="s">
        <v>2344</v>
      </c>
      <c r="C232" s="10"/>
      <c r="D232" s="10"/>
      <c r="E232" s="10"/>
      <c r="F232" s="21" t="s">
        <v>2345</v>
      </c>
      <c r="G232" s="11"/>
      <c r="H232" s="11"/>
      <c r="I232" s="18" t="s">
        <v>2346</v>
      </c>
      <c r="J232" s="19" t="s">
        <v>129</v>
      </c>
      <c r="K232" s="12">
        <v>1450000</v>
      </c>
      <c r="L232" s="13">
        <v>1530000</v>
      </c>
      <c r="M232" s="14">
        <v>1650000</v>
      </c>
      <c r="N232" s="9">
        <f>IF($M232="","",ROUND($M232*1.1,0))</f>
        <v>1815000</v>
      </c>
      <c r="O232" s="10"/>
      <c r="P232" s="10"/>
      <c r="Q232" s="10"/>
      <c r="R232" s="10"/>
      <c r="S232" s="10"/>
      <c r="T232" s="10"/>
    </row>
    <row r="233" ht="21.75" customHeight="1" spans="1:20">
      <c r="A233" s="5" t="s">
        <v>2347</v>
      </c>
      <c r="B233" s="5"/>
      <c r="C233" s="5"/>
      <c r="D233" s="5"/>
      <c r="E233" s="5"/>
      <c r="F233" s="5"/>
      <c r="G233" s="5"/>
      <c r="H233" s="5"/>
      <c r="I233" s="20"/>
      <c r="J233" s="20"/>
      <c r="K233" s="20"/>
      <c r="L233" s="20"/>
      <c r="M233" s="5"/>
      <c r="N233" s="5"/>
      <c r="O233" s="5"/>
      <c r="P233" s="5"/>
      <c r="Q233" s="5"/>
      <c r="R233" s="5"/>
      <c r="S233" s="5"/>
      <c r="T233" s="5"/>
    </row>
    <row r="234" ht="29.25" customHeight="1" spans="1:20">
      <c r="A234" s="6" t="s">
        <v>1736</v>
      </c>
      <c r="B234" s="6" t="s">
        <v>2348</v>
      </c>
      <c r="C234" s="6" t="s">
        <v>61</v>
      </c>
      <c r="D234" s="6" t="s">
        <v>1742</v>
      </c>
      <c r="E234" s="6" t="s">
        <v>1743</v>
      </c>
      <c r="F234" s="7" t="s">
        <v>1744</v>
      </c>
      <c r="G234" s="7" t="s">
        <v>1745</v>
      </c>
      <c r="H234" s="7"/>
      <c r="I234" s="16"/>
      <c r="J234" s="17"/>
      <c r="K234" s="8"/>
      <c r="L234" s="8"/>
      <c r="M234" s="8"/>
      <c r="N234" s="9" t="str">
        <f>IF($M234="","",ROUND($M234*1.1,0))</f>
        <v/>
      </c>
      <c r="O234" s="6">
        <v>60.2</v>
      </c>
      <c r="P234" s="6">
        <v>40.5</v>
      </c>
      <c r="Q234" s="6" t="s">
        <v>99</v>
      </c>
      <c r="R234" s="6">
        <v>53</v>
      </c>
      <c r="S234" s="6">
        <v>46.2</v>
      </c>
      <c r="T234" s="6">
        <v>10</v>
      </c>
    </row>
    <row r="235" ht="21.75" customHeight="1" spans="1:20">
      <c r="A235" s="5" t="s">
        <v>2349</v>
      </c>
      <c r="B235" s="5"/>
      <c r="C235" s="5"/>
      <c r="D235" s="5"/>
      <c r="E235" s="5"/>
      <c r="F235" s="5"/>
      <c r="G235" s="5"/>
      <c r="H235" s="5"/>
      <c r="I235" s="20"/>
      <c r="J235" s="20"/>
      <c r="K235" s="20"/>
      <c r="L235" s="20"/>
      <c r="M235" s="5"/>
      <c r="N235" s="5"/>
      <c r="O235" s="5"/>
      <c r="P235" s="5"/>
      <c r="Q235" s="5"/>
      <c r="R235" s="5"/>
      <c r="S235" s="5"/>
      <c r="T235" s="5"/>
    </row>
    <row r="236" ht="114" customHeight="1" spans="1:20">
      <c r="A236" s="6"/>
      <c r="B236" s="6" t="s">
        <v>2350</v>
      </c>
      <c r="C236" s="6"/>
      <c r="D236" s="6" t="s">
        <v>1752</v>
      </c>
      <c r="E236" s="6" t="s">
        <v>1753</v>
      </c>
      <c r="F236" s="7" t="s">
        <v>1754</v>
      </c>
      <c r="G236" s="7"/>
      <c r="H236" s="7"/>
      <c r="I236" s="16" t="s">
        <v>1755</v>
      </c>
      <c r="J236" s="17" t="s">
        <v>29</v>
      </c>
      <c r="K236" s="12">
        <v>1100000</v>
      </c>
      <c r="L236" s="13">
        <v>1200000</v>
      </c>
      <c r="M236" s="14">
        <v>1300000</v>
      </c>
      <c r="N236" s="9">
        <f t="shared" ref="N236:N262" si="11">IF($M236="","",ROUND($M236*1.1,0))</f>
        <v>1430000</v>
      </c>
      <c r="O236" s="6"/>
      <c r="P236" s="6"/>
      <c r="Q236" s="6"/>
      <c r="R236" s="6"/>
      <c r="S236" s="6"/>
      <c r="T236" s="6"/>
    </row>
    <row r="237" ht="42.75" customHeight="1" spans="1:20">
      <c r="A237" s="10" t="s">
        <v>1787</v>
      </c>
      <c r="B237" s="10" t="s">
        <v>2351</v>
      </c>
      <c r="C237" s="10"/>
      <c r="D237" s="10"/>
      <c r="E237" s="10"/>
      <c r="F237" s="21" t="s">
        <v>2352</v>
      </c>
      <c r="G237" s="11"/>
      <c r="H237" s="11"/>
      <c r="I237" s="11" t="s">
        <v>2353</v>
      </c>
      <c r="J237" s="10" t="s">
        <v>29</v>
      </c>
      <c r="K237" s="8"/>
      <c r="L237" s="8"/>
      <c r="M237" s="8"/>
      <c r="N237" s="9" t="str">
        <f t="shared" si="11"/>
        <v/>
      </c>
      <c r="O237" s="10"/>
      <c r="P237" s="10"/>
      <c r="Q237" s="10"/>
      <c r="R237" s="10"/>
      <c r="S237" s="10"/>
      <c r="T237" s="10"/>
    </row>
    <row r="238" ht="57" customHeight="1" spans="1:20">
      <c r="A238" s="6" t="s">
        <v>1787</v>
      </c>
      <c r="B238" s="6" t="s">
        <v>2354</v>
      </c>
      <c r="C238" s="6"/>
      <c r="D238" s="6"/>
      <c r="E238" s="6"/>
      <c r="F238" s="22" t="s">
        <v>2355</v>
      </c>
      <c r="G238" s="7"/>
      <c r="H238" s="7"/>
      <c r="I238" s="16" t="s">
        <v>2356</v>
      </c>
      <c r="J238" s="17" t="s">
        <v>29</v>
      </c>
      <c r="K238" s="8"/>
      <c r="L238" s="8"/>
      <c r="M238" s="8"/>
      <c r="N238" s="9" t="str">
        <f t="shared" si="11"/>
        <v/>
      </c>
      <c r="O238" s="6"/>
      <c r="P238" s="6"/>
      <c r="Q238" s="6"/>
      <c r="R238" s="6"/>
      <c r="S238" s="6"/>
      <c r="T238" s="6"/>
    </row>
    <row r="239" ht="42.75" customHeight="1" spans="1:20">
      <c r="A239" s="10" t="s">
        <v>1787</v>
      </c>
      <c r="B239" s="10" t="s">
        <v>2357</v>
      </c>
      <c r="C239" s="10"/>
      <c r="D239" s="10"/>
      <c r="E239" s="10"/>
      <c r="F239" s="21" t="s">
        <v>2358</v>
      </c>
      <c r="G239" s="11"/>
      <c r="H239" s="11"/>
      <c r="I239" s="18" t="s">
        <v>2359</v>
      </c>
      <c r="J239" s="19" t="s">
        <v>33</v>
      </c>
      <c r="K239" s="12">
        <v>3000000</v>
      </c>
      <c r="L239" s="13">
        <v>3300000</v>
      </c>
      <c r="M239" s="14">
        <v>3500000</v>
      </c>
      <c r="N239" s="9">
        <f t="shared" si="11"/>
        <v>3850000</v>
      </c>
      <c r="O239" s="10"/>
      <c r="P239" s="10"/>
      <c r="Q239" s="10"/>
      <c r="R239" s="10"/>
      <c r="S239" s="10"/>
      <c r="T239" s="10"/>
    </row>
    <row r="240" ht="42.75" customHeight="1" spans="1:20">
      <c r="A240" s="6" t="s">
        <v>1787</v>
      </c>
      <c r="B240" s="6" t="s">
        <v>2360</v>
      </c>
      <c r="C240" s="6"/>
      <c r="D240" s="6"/>
      <c r="E240" s="6"/>
      <c r="F240" s="22" t="s">
        <v>2361</v>
      </c>
      <c r="G240" s="7"/>
      <c r="H240" s="7"/>
      <c r="I240" s="16" t="s">
        <v>2362</v>
      </c>
      <c r="J240" s="17" t="s">
        <v>29</v>
      </c>
      <c r="K240" s="12">
        <v>1350000</v>
      </c>
      <c r="L240" s="13">
        <v>1450000</v>
      </c>
      <c r="M240" s="14">
        <v>1550000</v>
      </c>
      <c r="N240" s="9">
        <f t="shared" si="11"/>
        <v>1705000</v>
      </c>
      <c r="O240" s="6"/>
      <c r="P240" s="6"/>
      <c r="Q240" s="6"/>
      <c r="R240" s="6"/>
      <c r="S240" s="6"/>
      <c r="T240" s="6"/>
    </row>
    <row r="241" ht="42.75" customHeight="1" spans="1:20">
      <c r="A241" s="10" t="s">
        <v>1787</v>
      </c>
      <c r="B241" s="10" t="s">
        <v>2363</v>
      </c>
      <c r="C241" s="10"/>
      <c r="D241" s="10"/>
      <c r="E241" s="10"/>
      <c r="F241" s="21" t="s">
        <v>2364</v>
      </c>
      <c r="G241" s="11"/>
      <c r="H241" s="11"/>
      <c r="I241" s="18" t="s">
        <v>2365</v>
      </c>
      <c r="J241" s="19" t="s">
        <v>29</v>
      </c>
      <c r="K241" s="12">
        <v>1700000</v>
      </c>
      <c r="L241" s="13">
        <v>1800000</v>
      </c>
      <c r="M241" s="14">
        <v>1900000</v>
      </c>
      <c r="N241" s="9">
        <f t="shared" si="11"/>
        <v>2090000</v>
      </c>
      <c r="O241" s="10"/>
      <c r="P241" s="10"/>
      <c r="Q241" s="10"/>
      <c r="R241" s="10"/>
      <c r="S241" s="10"/>
      <c r="T241" s="10"/>
    </row>
    <row r="242" ht="42.75" customHeight="1" spans="1:20">
      <c r="A242" s="6" t="s">
        <v>1787</v>
      </c>
      <c r="B242" s="6" t="s">
        <v>2366</v>
      </c>
      <c r="C242" s="6"/>
      <c r="D242" s="6"/>
      <c r="E242" s="6"/>
      <c r="F242" s="22" t="s">
        <v>2367</v>
      </c>
      <c r="G242" s="7"/>
      <c r="H242" s="7"/>
      <c r="I242" s="16" t="s">
        <v>2368</v>
      </c>
      <c r="J242" s="17" t="s">
        <v>29</v>
      </c>
      <c r="K242" s="12">
        <v>1400000</v>
      </c>
      <c r="L242" s="13">
        <v>1500000</v>
      </c>
      <c r="M242" s="14">
        <v>1600000</v>
      </c>
      <c r="N242" s="9">
        <f t="shared" si="11"/>
        <v>1760000</v>
      </c>
      <c r="O242" s="6"/>
      <c r="P242" s="6"/>
      <c r="Q242" s="6"/>
      <c r="R242" s="6"/>
      <c r="S242" s="6"/>
      <c r="T242" s="6"/>
    </row>
    <row r="243" ht="57" customHeight="1" spans="1:20">
      <c r="A243" s="10" t="s">
        <v>1787</v>
      </c>
      <c r="B243" s="10" t="s">
        <v>2369</v>
      </c>
      <c r="C243" s="10"/>
      <c r="D243" s="10"/>
      <c r="E243" s="10"/>
      <c r="F243" s="11"/>
      <c r="G243" s="11"/>
      <c r="H243" s="11"/>
      <c r="I243" s="18" t="s">
        <v>2370</v>
      </c>
      <c r="J243" s="19" t="s">
        <v>33</v>
      </c>
      <c r="K243" s="8"/>
      <c r="L243" s="8"/>
      <c r="M243" s="8"/>
      <c r="N243" s="9" t="str">
        <f t="shared" si="11"/>
        <v/>
      </c>
      <c r="O243" s="10"/>
      <c r="P243" s="10"/>
      <c r="Q243" s="10"/>
      <c r="R243" s="10"/>
      <c r="S243" s="10"/>
      <c r="T243" s="10"/>
    </row>
    <row r="244" ht="71.25" customHeight="1" spans="1:20">
      <c r="A244" s="6" t="s">
        <v>1787</v>
      </c>
      <c r="B244" s="6" t="s">
        <v>2371</v>
      </c>
      <c r="C244" s="6"/>
      <c r="D244" s="6"/>
      <c r="E244" s="6"/>
      <c r="F244" s="22" t="s">
        <v>1482</v>
      </c>
      <c r="G244" s="7"/>
      <c r="H244" s="7"/>
      <c r="I244" s="16" t="s">
        <v>2372</v>
      </c>
      <c r="J244" s="17" t="s">
        <v>33</v>
      </c>
      <c r="K244" s="8"/>
      <c r="L244" s="8"/>
      <c r="M244" s="8"/>
      <c r="N244" s="9" t="str">
        <f t="shared" si="11"/>
        <v/>
      </c>
      <c r="O244" s="6"/>
      <c r="P244" s="6"/>
      <c r="Q244" s="6"/>
      <c r="R244" s="6"/>
      <c r="S244" s="6"/>
      <c r="T244" s="6"/>
    </row>
    <row r="245" ht="42.75" customHeight="1" spans="1:20">
      <c r="A245" s="10" t="s">
        <v>1787</v>
      </c>
      <c r="B245" s="10" t="s">
        <v>2373</v>
      </c>
      <c r="C245" s="10"/>
      <c r="D245" s="10"/>
      <c r="E245" s="10"/>
      <c r="F245" s="21" t="s">
        <v>2374</v>
      </c>
      <c r="G245" s="11"/>
      <c r="H245" s="11"/>
      <c r="I245" s="18" t="s">
        <v>2375</v>
      </c>
      <c r="J245" s="19" t="s">
        <v>29</v>
      </c>
      <c r="K245" s="8"/>
      <c r="L245" s="8"/>
      <c r="M245" s="8"/>
      <c r="N245" s="9" t="str">
        <f t="shared" si="11"/>
        <v/>
      </c>
      <c r="O245" s="10"/>
      <c r="P245" s="10"/>
      <c r="Q245" s="10"/>
      <c r="R245" s="10"/>
      <c r="S245" s="10"/>
      <c r="T245" s="10"/>
    </row>
    <row r="246" ht="57" customHeight="1" spans="1:20">
      <c r="A246" s="6" t="s">
        <v>1787</v>
      </c>
      <c r="B246" s="6" t="s">
        <v>2376</v>
      </c>
      <c r="C246" s="6"/>
      <c r="D246" s="6"/>
      <c r="E246" s="6"/>
      <c r="F246" s="22" t="s">
        <v>2377</v>
      </c>
      <c r="G246" s="7"/>
      <c r="H246" s="7"/>
      <c r="I246" s="16" t="s">
        <v>2378</v>
      </c>
      <c r="J246" s="17" t="s">
        <v>29</v>
      </c>
      <c r="K246" s="12">
        <v>1400000</v>
      </c>
      <c r="L246" s="13">
        <v>1500000</v>
      </c>
      <c r="M246" s="14">
        <v>1600000</v>
      </c>
      <c r="N246" s="9">
        <f t="shared" si="11"/>
        <v>1760000</v>
      </c>
      <c r="O246" s="6"/>
      <c r="P246" s="6"/>
      <c r="Q246" s="6"/>
      <c r="R246" s="6"/>
      <c r="S246" s="6"/>
      <c r="T246" s="6"/>
    </row>
    <row r="247" ht="57" customHeight="1" spans="1:20">
      <c r="A247" s="10" t="s">
        <v>1787</v>
      </c>
      <c r="B247" s="10" t="s">
        <v>2379</v>
      </c>
      <c r="C247" s="10"/>
      <c r="D247" s="10"/>
      <c r="E247" s="10"/>
      <c r="F247" s="21" t="s">
        <v>979</v>
      </c>
      <c r="G247" s="11"/>
      <c r="H247" s="11"/>
      <c r="I247" s="18" t="s">
        <v>2380</v>
      </c>
      <c r="J247" s="19" t="s">
        <v>29</v>
      </c>
      <c r="K247" s="12">
        <v>1100000</v>
      </c>
      <c r="L247" s="13">
        <v>1150000</v>
      </c>
      <c r="M247" s="14">
        <v>1200000</v>
      </c>
      <c r="N247" s="9">
        <f t="shared" si="11"/>
        <v>1320000</v>
      </c>
      <c r="O247" s="10"/>
      <c r="P247" s="10"/>
      <c r="Q247" s="10"/>
      <c r="R247" s="10"/>
      <c r="S247" s="10"/>
      <c r="T247" s="10"/>
    </row>
    <row r="248" ht="42.75" customHeight="1" spans="1:20">
      <c r="A248" s="6" t="s">
        <v>1787</v>
      </c>
      <c r="B248" s="6" t="s">
        <v>2381</v>
      </c>
      <c r="C248" s="6"/>
      <c r="D248" s="6"/>
      <c r="E248" s="6"/>
      <c r="F248" s="22" t="s">
        <v>2382</v>
      </c>
      <c r="G248" s="7"/>
      <c r="H248" s="7"/>
      <c r="I248" s="16" t="s">
        <v>2383</v>
      </c>
      <c r="J248" s="17" t="s">
        <v>29</v>
      </c>
      <c r="K248" s="8"/>
      <c r="L248" s="8"/>
      <c r="M248" s="8"/>
      <c r="N248" s="9" t="str">
        <f t="shared" si="11"/>
        <v/>
      </c>
      <c r="O248" s="6"/>
      <c r="P248" s="6"/>
      <c r="Q248" s="6"/>
      <c r="R248" s="6"/>
      <c r="S248" s="6"/>
      <c r="T248" s="6"/>
    </row>
    <row r="249" ht="42.75" customHeight="1" spans="1:20">
      <c r="A249" s="10" t="s">
        <v>1787</v>
      </c>
      <c r="B249" s="10" t="s">
        <v>2384</v>
      </c>
      <c r="C249" s="10"/>
      <c r="D249" s="10"/>
      <c r="E249" s="10"/>
      <c r="F249" s="11"/>
      <c r="G249" s="11"/>
      <c r="H249" s="11"/>
      <c r="I249" s="18" t="s">
        <v>2385</v>
      </c>
      <c r="J249" s="19" t="s">
        <v>33</v>
      </c>
      <c r="K249" s="8"/>
      <c r="L249" s="8"/>
      <c r="M249" s="8"/>
      <c r="N249" s="9" t="str">
        <f t="shared" si="11"/>
        <v/>
      </c>
      <c r="O249" s="10"/>
      <c r="P249" s="10"/>
      <c r="Q249" s="10"/>
      <c r="R249" s="10"/>
      <c r="S249" s="10"/>
      <c r="T249" s="10"/>
    </row>
    <row r="250" ht="57" customHeight="1" spans="1:20">
      <c r="A250" s="6" t="s">
        <v>1787</v>
      </c>
      <c r="B250" s="6" t="s">
        <v>2386</v>
      </c>
      <c r="C250" s="6"/>
      <c r="D250" s="6"/>
      <c r="E250" s="6"/>
      <c r="F250" s="22" t="s">
        <v>2387</v>
      </c>
      <c r="G250" s="7"/>
      <c r="H250" s="7"/>
      <c r="I250" s="16" t="s">
        <v>2388</v>
      </c>
      <c r="J250" s="17" t="s">
        <v>29</v>
      </c>
      <c r="K250" s="8"/>
      <c r="L250" s="8"/>
      <c r="M250" s="8"/>
      <c r="N250" s="9" t="str">
        <f t="shared" si="11"/>
        <v/>
      </c>
      <c r="O250" s="6"/>
      <c r="P250" s="6"/>
      <c r="Q250" s="6"/>
      <c r="R250" s="6"/>
      <c r="S250" s="6"/>
      <c r="T250" s="6"/>
    </row>
    <row r="251" ht="71.25" customHeight="1" spans="1:20">
      <c r="A251" s="10" t="s">
        <v>1787</v>
      </c>
      <c r="B251" s="10" t="s">
        <v>2389</v>
      </c>
      <c r="C251" s="10"/>
      <c r="D251" s="10"/>
      <c r="E251" s="10"/>
      <c r="F251" s="21" t="s">
        <v>2390</v>
      </c>
      <c r="G251" s="11"/>
      <c r="H251" s="11"/>
      <c r="I251" s="18" t="s">
        <v>2391</v>
      </c>
      <c r="J251" s="19" t="s">
        <v>29</v>
      </c>
      <c r="K251" s="8"/>
      <c r="L251" s="8"/>
      <c r="M251" s="8"/>
      <c r="N251" s="9" t="str">
        <f t="shared" si="11"/>
        <v/>
      </c>
      <c r="O251" s="10"/>
      <c r="P251" s="10"/>
      <c r="Q251" s="10"/>
      <c r="R251" s="10"/>
      <c r="S251" s="10"/>
      <c r="T251" s="10"/>
    </row>
    <row r="252" ht="57" customHeight="1" spans="1:20">
      <c r="A252" s="6" t="s">
        <v>1787</v>
      </c>
      <c r="B252" s="6" t="s">
        <v>2392</v>
      </c>
      <c r="C252" s="6"/>
      <c r="D252" s="6"/>
      <c r="E252" s="6"/>
      <c r="F252" s="22" t="s">
        <v>2393</v>
      </c>
      <c r="G252" s="7"/>
      <c r="H252" s="7"/>
      <c r="I252" s="16" t="s">
        <v>2394</v>
      </c>
      <c r="J252" s="17" t="s">
        <v>29</v>
      </c>
      <c r="K252" s="12">
        <v>1800000</v>
      </c>
      <c r="L252" s="13">
        <v>1900000</v>
      </c>
      <c r="M252" s="14">
        <v>2050000</v>
      </c>
      <c r="N252" s="9">
        <f t="shared" si="11"/>
        <v>2255000</v>
      </c>
      <c r="O252" s="6"/>
      <c r="P252" s="6"/>
      <c r="Q252" s="6"/>
      <c r="R252" s="6"/>
      <c r="S252" s="6"/>
      <c r="T252" s="6"/>
    </row>
    <row r="253" ht="42.75" customHeight="1" spans="1:20">
      <c r="A253" s="10" t="s">
        <v>1787</v>
      </c>
      <c r="B253" s="10" t="s">
        <v>2395</v>
      </c>
      <c r="C253" s="10"/>
      <c r="D253" s="10"/>
      <c r="E253" s="10"/>
      <c r="F253" s="21" t="s">
        <v>2396</v>
      </c>
      <c r="G253" s="11"/>
      <c r="H253" s="11"/>
      <c r="I253" s="18" t="s">
        <v>2397</v>
      </c>
      <c r="J253" s="19" t="s">
        <v>29</v>
      </c>
      <c r="K253" s="8"/>
      <c r="L253" s="8"/>
      <c r="M253" s="8"/>
      <c r="N253" s="9" t="str">
        <f t="shared" si="11"/>
        <v/>
      </c>
      <c r="O253" s="10"/>
      <c r="P253" s="10"/>
      <c r="Q253" s="10"/>
      <c r="R253" s="10"/>
      <c r="S253" s="10"/>
      <c r="T253" s="10"/>
    </row>
    <row r="254" ht="42.75" customHeight="1" spans="1:20">
      <c r="A254" s="6" t="s">
        <v>1787</v>
      </c>
      <c r="B254" s="6" t="s">
        <v>2398</v>
      </c>
      <c r="C254" s="6"/>
      <c r="D254" s="6"/>
      <c r="E254" s="6"/>
      <c r="F254" s="22" t="s">
        <v>2399</v>
      </c>
      <c r="G254" s="7"/>
      <c r="H254" s="7"/>
      <c r="I254" s="16" t="s">
        <v>2400</v>
      </c>
      <c r="J254" s="17" t="s">
        <v>29</v>
      </c>
      <c r="K254" s="12">
        <v>1350000</v>
      </c>
      <c r="L254" s="13">
        <v>1450000</v>
      </c>
      <c r="M254" s="14">
        <v>1550000</v>
      </c>
      <c r="N254" s="9">
        <f t="shared" si="11"/>
        <v>1705000</v>
      </c>
      <c r="O254" s="6"/>
      <c r="P254" s="6"/>
      <c r="Q254" s="6"/>
      <c r="R254" s="6"/>
      <c r="S254" s="6"/>
      <c r="T254" s="6"/>
    </row>
    <row r="255" ht="57" customHeight="1" spans="1:20">
      <c r="A255" s="10" t="s">
        <v>1787</v>
      </c>
      <c r="B255" s="10" t="s">
        <v>2401</v>
      </c>
      <c r="C255" s="10"/>
      <c r="D255" s="10"/>
      <c r="E255" s="10"/>
      <c r="F255" s="21" t="s">
        <v>2402</v>
      </c>
      <c r="G255" s="11"/>
      <c r="H255" s="11"/>
      <c r="I255" s="18" t="s">
        <v>2403</v>
      </c>
      <c r="J255" s="19" t="s">
        <v>29</v>
      </c>
      <c r="K255" s="12">
        <v>1350000</v>
      </c>
      <c r="L255" s="13">
        <v>1450000</v>
      </c>
      <c r="M255" s="14">
        <v>1550000</v>
      </c>
      <c r="N255" s="9">
        <f t="shared" si="11"/>
        <v>1705000</v>
      </c>
      <c r="O255" s="10"/>
      <c r="P255" s="10"/>
      <c r="Q255" s="10"/>
      <c r="R255" s="10"/>
      <c r="S255" s="10"/>
      <c r="T255" s="10"/>
    </row>
    <row r="256" ht="42.75" customHeight="1" spans="1:20">
      <c r="A256" s="6" t="s">
        <v>1787</v>
      </c>
      <c r="B256" s="6" t="s">
        <v>2404</v>
      </c>
      <c r="C256" s="6"/>
      <c r="D256" s="6"/>
      <c r="E256" s="6"/>
      <c r="F256" s="22" t="s">
        <v>2405</v>
      </c>
      <c r="G256" s="7"/>
      <c r="H256" s="7"/>
      <c r="I256" s="16" t="s">
        <v>2406</v>
      </c>
      <c r="J256" s="17" t="s">
        <v>29</v>
      </c>
      <c r="K256" s="8"/>
      <c r="L256" s="8"/>
      <c r="M256" s="8"/>
      <c r="N256" s="9" t="str">
        <f t="shared" si="11"/>
        <v/>
      </c>
      <c r="O256" s="6"/>
      <c r="P256" s="6"/>
      <c r="Q256" s="6"/>
      <c r="R256" s="6"/>
      <c r="S256" s="6"/>
      <c r="T256" s="6"/>
    </row>
    <row r="257" ht="57" customHeight="1" spans="1:20">
      <c r="A257" s="10" t="s">
        <v>1787</v>
      </c>
      <c r="B257" s="10" t="s">
        <v>2407</v>
      </c>
      <c r="C257" s="10"/>
      <c r="D257" s="10"/>
      <c r="E257" s="10"/>
      <c r="F257" s="21" t="s">
        <v>2408</v>
      </c>
      <c r="G257" s="11"/>
      <c r="H257" s="11"/>
      <c r="I257" s="18" t="s">
        <v>2409</v>
      </c>
      <c r="J257" s="19" t="s">
        <v>29</v>
      </c>
      <c r="K257" s="12">
        <v>2200000</v>
      </c>
      <c r="L257" s="13">
        <v>2400000</v>
      </c>
      <c r="M257" s="14">
        <v>2600000</v>
      </c>
      <c r="N257" s="9">
        <f t="shared" si="11"/>
        <v>2860000</v>
      </c>
      <c r="O257" s="10"/>
      <c r="P257" s="10"/>
      <c r="Q257" s="10"/>
      <c r="R257" s="10"/>
      <c r="S257" s="10"/>
      <c r="T257" s="10"/>
    </row>
    <row r="258" ht="42.75" customHeight="1" spans="1:20">
      <c r="A258" s="6" t="s">
        <v>1787</v>
      </c>
      <c r="B258" s="6" t="s">
        <v>2410</v>
      </c>
      <c r="C258" s="6"/>
      <c r="D258" s="6"/>
      <c r="E258" s="6"/>
      <c r="F258" s="22" t="s">
        <v>2411</v>
      </c>
      <c r="G258" s="7"/>
      <c r="H258" s="7"/>
      <c r="I258" s="16" t="s">
        <v>2412</v>
      </c>
      <c r="J258" s="17" t="s">
        <v>29</v>
      </c>
      <c r="K258" s="12">
        <v>1100000</v>
      </c>
      <c r="L258" s="13">
        <v>1200000</v>
      </c>
      <c r="M258" s="14">
        <v>1300000</v>
      </c>
      <c r="N258" s="9">
        <f t="shared" si="11"/>
        <v>1430000</v>
      </c>
      <c r="O258" s="6"/>
      <c r="P258" s="6"/>
      <c r="Q258" s="6"/>
      <c r="R258" s="6"/>
      <c r="S258" s="6"/>
      <c r="T258" s="6"/>
    </row>
    <row r="259" ht="42.75" customHeight="1" spans="1:20">
      <c r="A259" s="10" t="s">
        <v>1787</v>
      </c>
      <c r="B259" s="10" t="s">
        <v>2413</v>
      </c>
      <c r="C259" s="10"/>
      <c r="D259" s="10"/>
      <c r="E259" s="10"/>
      <c r="F259" s="21" t="s">
        <v>1796</v>
      </c>
      <c r="G259" s="11"/>
      <c r="H259" s="11"/>
      <c r="I259" s="18" t="s">
        <v>2414</v>
      </c>
      <c r="J259" s="19" t="s">
        <v>29</v>
      </c>
      <c r="K259" s="12">
        <v>1500000</v>
      </c>
      <c r="L259" s="13">
        <v>1600000</v>
      </c>
      <c r="M259" s="14">
        <v>1700000</v>
      </c>
      <c r="N259" s="9">
        <f t="shared" si="11"/>
        <v>1870000</v>
      </c>
      <c r="O259" s="10"/>
      <c r="P259" s="10"/>
      <c r="Q259" s="10"/>
      <c r="R259" s="10"/>
      <c r="S259" s="10"/>
      <c r="T259" s="10"/>
    </row>
    <row r="260" ht="57" customHeight="1" spans="1:20">
      <c r="A260" s="6" t="s">
        <v>1787</v>
      </c>
      <c r="B260" s="6" t="s">
        <v>2415</v>
      </c>
      <c r="C260" s="6"/>
      <c r="D260" s="6"/>
      <c r="E260" s="6"/>
      <c r="F260" s="22" t="s">
        <v>2416</v>
      </c>
      <c r="G260" s="7"/>
      <c r="H260" s="7"/>
      <c r="I260" s="16" t="s">
        <v>2417</v>
      </c>
      <c r="J260" s="17" t="s">
        <v>29</v>
      </c>
      <c r="K260" s="12">
        <v>1250000</v>
      </c>
      <c r="L260" s="13">
        <v>1350000</v>
      </c>
      <c r="M260" s="14">
        <v>1450000</v>
      </c>
      <c r="N260" s="9">
        <f t="shared" si="11"/>
        <v>1595000</v>
      </c>
      <c r="O260" s="6"/>
      <c r="P260" s="6"/>
      <c r="Q260" s="6"/>
      <c r="R260" s="6"/>
      <c r="S260" s="6"/>
      <c r="T260" s="6"/>
    </row>
    <row r="261" ht="57" customHeight="1" spans="1:20">
      <c r="A261" s="10" t="s">
        <v>1787</v>
      </c>
      <c r="B261" s="10" t="s">
        <v>2418</v>
      </c>
      <c r="C261" s="10"/>
      <c r="D261" s="10"/>
      <c r="E261" s="10"/>
      <c r="F261" s="21" t="s">
        <v>2419</v>
      </c>
      <c r="G261" s="11"/>
      <c r="H261" s="11"/>
      <c r="I261" s="18" t="s">
        <v>2420</v>
      </c>
      <c r="J261" s="19" t="s">
        <v>29</v>
      </c>
      <c r="K261" s="8"/>
      <c r="L261" s="8"/>
      <c r="M261" s="8"/>
      <c r="N261" s="9" t="str">
        <f t="shared" si="11"/>
        <v/>
      </c>
      <c r="O261" s="10"/>
      <c r="P261" s="10"/>
      <c r="Q261" s="10"/>
      <c r="R261" s="10"/>
      <c r="S261" s="10"/>
      <c r="T261" s="10"/>
    </row>
    <row r="262" ht="42.75" customHeight="1" spans="1:20">
      <c r="A262" s="6" t="s">
        <v>1787</v>
      </c>
      <c r="B262" s="6" t="s">
        <v>2421</v>
      </c>
      <c r="C262" s="6"/>
      <c r="D262" s="6"/>
      <c r="E262" s="6"/>
      <c r="F262" s="7"/>
      <c r="G262" s="7"/>
      <c r="H262" s="7"/>
      <c r="I262" s="16" t="s">
        <v>2422</v>
      </c>
      <c r="J262" s="17" t="s">
        <v>33</v>
      </c>
      <c r="K262" s="8"/>
      <c r="L262" s="8"/>
      <c r="M262" s="8"/>
      <c r="N262" s="9" t="str">
        <f t="shared" si="11"/>
        <v/>
      </c>
      <c r="O262" s="6"/>
      <c r="P262" s="6"/>
      <c r="Q262" s="6"/>
      <c r="R262" s="6"/>
      <c r="S262" s="6"/>
      <c r="T262" s="6"/>
    </row>
    <row r="263" ht="86.25" customHeight="1" spans="1:20">
      <c r="A263" s="10" t="s">
        <v>1827</v>
      </c>
      <c r="B263" s="10"/>
      <c r="C263" s="10"/>
      <c r="D263" s="10"/>
      <c r="E263" s="10"/>
      <c r="F263" s="11"/>
      <c r="G263" s="11"/>
      <c r="H263" s="11"/>
      <c r="I263" s="18"/>
      <c r="J263" s="19"/>
      <c r="K263" s="8"/>
      <c r="L263" s="8"/>
      <c r="M263" s="8"/>
      <c r="N263" s="9"/>
      <c r="O263" s="10"/>
      <c r="P263" s="10"/>
      <c r="Q263" s="10"/>
      <c r="R263" s="10"/>
      <c r="S263" s="10"/>
      <c r="T263" s="10"/>
    </row>
    <row r="264" ht="42.75" customHeight="1" spans="1:20">
      <c r="A264" s="6" t="s">
        <v>23</v>
      </c>
      <c r="B264" s="6"/>
      <c r="C264" s="6" t="s">
        <v>35</v>
      </c>
      <c r="D264" s="6" t="s">
        <v>169</v>
      </c>
      <c r="E264" s="6" t="s">
        <v>170</v>
      </c>
      <c r="F264" s="7" t="s">
        <v>171</v>
      </c>
      <c r="G264" s="7" t="s">
        <v>2423</v>
      </c>
      <c r="H264" s="7" t="s">
        <v>173</v>
      </c>
      <c r="I264" s="16" t="s">
        <v>1859</v>
      </c>
      <c r="J264" s="17"/>
      <c r="K264" s="8"/>
      <c r="L264" s="8"/>
      <c r="M264" s="8"/>
      <c r="N264" s="9"/>
      <c r="O264" s="6"/>
      <c r="P264" s="6"/>
      <c r="Q264" s="6"/>
      <c r="R264" s="6"/>
      <c r="S264" s="6"/>
      <c r="T264" s="6"/>
    </row>
    <row r="265" ht="42.75" customHeight="1" spans="1:20">
      <c r="A265" s="10" t="s">
        <v>23</v>
      </c>
      <c r="B265" s="10"/>
      <c r="C265" s="10" t="s">
        <v>61</v>
      </c>
      <c r="D265" s="10" t="s">
        <v>176</v>
      </c>
      <c r="E265" s="10" t="s">
        <v>68</v>
      </c>
      <c r="F265" s="11" t="s">
        <v>177</v>
      </c>
      <c r="G265" s="11" t="s">
        <v>178</v>
      </c>
      <c r="H265" s="11" t="s">
        <v>2424</v>
      </c>
      <c r="I265" s="18" t="s">
        <v>1859</v>
      </c>
      <c r="J265" s="19"/>
      <c r="K265" s="8"/>
      <c r="L265" s="8"/>
      <c r="M265" s="8"/>
      <c r="N265" s="9"/>
      <c r="O265" s="10">
        <v>86.4</v>
      </c>
      <c r="P265" s="10">
        <v>59.1</v>
      </c>
      <c r="Q265" s="10" t="s">
        <v>65</v>
      </c>
      <c r="R265" s="10">
        <v>87</v>
      </c>
      <c r="S265" s="10">
        <v>79.5</v>
      </c>
      <c r="T265" s="10">
        <v>10</v>
      </c>
    </row>
    <row r="266" ht="142.5" customHeight="1" spans="1:20">
      <c r="A266" s="6" t="s">
        <v>1828</v>
      </c>
      <c r="B266" s="6"/>
      <c r="C266" s="6" t="s">
        <v>25</v>
      </c>
      <c r="D266" s="6" t="s">
        <v>1829</v>
      </c>
      <c r="E266" s="6"/>
      <c r="F266" s="7" t="s">
        <v>1830</v>
      </c>
      <c r="G266" s="7"/>
      <c r="H266" s="7" t="s">
        <v>1831</v>
      </c>
      <c r="I266" s="16" t="s">
        <v>1859</v>
      </c>
      <c r="J266" s="17"/>
      <c r="K266" s="8"/>
      <c r="L266" s="8"/>
      <c r="M266" s="8"/>
      <c r="N266" s="9"/>
      <c r="O266" s="6">
        <v>49</v>
      </c>
      <c r="P266" s="6">
        <v>36.3</v>
      </c>
      <c r="Q266" s="6" t="s">
        <v>99</v>
      </c>
      <c r="R266" s="6">
        <v>40.9</v>
      </c>
      <c r="S266" s="6">
        <v>35.6</v>
      </c>
      <c r="T266" s="6">
        <v>9</v>
      </c>
    </row>
    <row r="267" ht="142.5" customHeight="1" spans="1:20">
      <c r="A267" s="10" t="s">
        <v>188</v>
      </c>
      <c r="B267" s="10"/>
      <c r="C267" s="10" t="s">
        <v>190</v>
      </c>
      <c r="D267" s="10" t="s">
        <v>252</v>
      </c>
      <c r="E267" s="10" t="s">
        <v>316</v>
      </c>
      <c r="F267" s="11" t="s">
        <v>1838</v>
      </c>
      <c r="G267" s="11"/>
      <c r="H267" s="11" t="s">
        <v>1839</v>
      </c>
      <c r="I267" s="18" t="s">
        <v>1859</v>
      </c>
      <c r="J267" s="19"/>
      <c r="K267" s="8"/>
      <c r="L267" s="8"/>
      <c r="M267" s="8"/>
      <c r="N267" s="9"/>
      <c r="O267" s="10">
        <v>83</v>
      </c>
      <c r="P267" s="10">
        <v>58</v>
      </c>
      <c r="Q267" s="10" t="s">
        <v>30</v>
      </c>
      <c r="R267" s="10">
        <v>76</v>
      </c>
      <c r="S267" s="10">
        <v>64</v>
      </c>
      <c r="T267" s="10">
        <v>12</v>
      </c>
    </row>
    <row r="268" ht="42.75" customHeight="1" spans="1:20">
      <c r="A268" s="6" t="s">
        <v>188</v>
      </c>
      <c r="B268" s="6"/>
      <c r="C268" s="6" t="s">
        <v>190</v>
      </c>
      <c r="D268" s="6" t="s">
        <v>252</v>
      </c>
      <c r="E268" s="6" t="s">
        <v>316</v>
      </c>
      <c r="F268" s="7" t="s">
        <v>1840</v>
      </c>
      <c r="G268" s="7"/>
      <c r="H268" s="7" t="s">
        <v>1839</v>
      </c>
      <c r="I268" s="16" t="s">
        <v>1859</v>
      </c>
      <c r="J268" s="17"/>
      <c r="K268" s="8"/>
      <c r="L268" s="8"/>
      <c r="M268" s="8"/>
      <c r="N268" s="9"/>
      <c r="O268" s="6"/>
      <c r="P268" s="6"/>
      <c r="Q268" s="6"/>
      <c r="R268" s="6"/>
      <c r="S268" s="6"/>
      <c r="T268" s="6"/>
    </row>
    <row r="269" ht="15.75" customHeight="1" spans="1:20">
      <c r="A269" s="10" t="s">
        <v>188</v>
      </c>
      <c r="B269" s="10"/>
      <c r="C269" s="10" t="s">
        <v>190</v>
      </c>
      <c r="D269" s="10" t="s">
        <v>286</v>
      </c>
      <c r="E269" s="10"/>
      <c r="F269" s="11" t="s">
        <v>1836</v>
      </c>
      <c r="G269" s="11"/>
      <c r="H269" s="11"/>
      <c r="I269" s="18" t="s">
        <v>1859</v>
      </c>
      <c r="J269" s="19"/>
      <c r="K269" s="8"/>
      <c r="L269" s="8"/>
      <c r="M269" s="8"/>
      <c r="N269" s="9"/>
      <c r="O269" s="10">
        <v>56</v>
      </c>
      <c r="P269" s="10">
        <v>38.4</v>
      </c>
      <c r="Q269" s="10" t="s">
        <v>99</v>
      </c>
      <c r="R269" s="10">
        <v>52</v>
      </c>
      <c r="S269" s="10">
        <v>45.6</v>
      </c>
      <c r="T269" s="10">
        <v>12</v>
      </c>
    </row>
    <row r="270" ht="42.75" customHeight="1" spans="1:20">
      <c r="A270" s="6" t="s">
        <v>188</v>
      </c>
      <c r="B270" s="6"/>
      <c r="C270" s="6" t="s">
        <v>190</v>
      </c>
      <c r="D270" s="6" t="s">
        <v>246</v>
      </c>
      <c r="E270" s="6"/>
      <c r="F270" s="7" t="s">
        <v>1841</v>
      </c>
      <c r="G270" s="7"/>
      <c r="H270" s="7"/>
      <c r="I270" s="16" t="s">
        <v>1859</v>
      </c>
      <c r="J270" s="17"/>
      <c r="K270" s="8"/>
      <c r="L270" s="8"/>
      <c r="M270" s="8"/>
      <c r="N270" s="9"/>
      <c r="O270" s="6"/>
      <c r="P270" s="6"/>
      <c r="Q270" s="6"/>
      <c r="R270" s="6"/>
      <c r="S270" s="6"/>
      <c r="T270" s="6"/>
    </row>
    <row r="271" ht="29.25" customHeight="1" spans="1:20">
      <c r="A271" s="10" t="s">
        <v>188</v>
      </c>
      <c r="B271" s="10"/>
      <c r="C271" s="10" t="s">
        <v>190</v>
      </c>
      <c r="D271" s="10" t="s">
        <v>1832</v>
      </c>
      <c r="E271" s="10" t="s">
        <v>286</v>
      </c>
      <c r="F271" s="11" t="s">
        <v>1833</v>
      </c>
      <c r="G271" s="11"/>
      <c r="H271" s="11"/>
      <c r="I271" s="18" t="s">
        <v>2425</v>
      </c>
      <c r="J271" s="19"/>
      <c r="K271" s="8"/>
      <c r="L271" s="8"/>
      <c r="M271" s="8"/>
      <c r="N271" s="9"/>
      <c r="O271" s="10"/>
      <c r="P271" s="10"/>
      <c r="Q271" s="10"/>
      <c r="R271" s="10"/>
      <c r="S271" s="10"/>
      <c r="T271" s="10"/>
    </row>
    <row r="272" ht="28.5" customHeight="1" spans="1:20">
      <c r="A272" s="6" t="s">
        <v>379</v>
      </c>
      <c r="B272" s="6"/>
      <c r="C272" s="6" t="s">
        <v>61</v>
      </c>
      <c r="D272" s="6" t="s">
        <v>451</v>
      </c>
      <c r="E272" s="6" t="s">
        <v>2426</v>
      </c>
      <c r="F272" s="7" t="s">
        <v>453</v>
      </c>
      <c r="G272" s="7"/>
      <c r="H272" s="7"/>
      <c r="I272" s="16" t="s">
        <v>1859</v>
      </c>
      <c r="J272" s="17"/>
      <c r="K272" s="8"/>
      <c r="L272" s="8"/>
      <c r="M272" s="8"/>
      <c r="N272" s="9"/>
      <c r="O272" s="6">
        <v>53</v>
      </c>
      <c r="P272" s="6">
        <v>35.7</v>
      </c>
      <c r="Q272" s="6" t="s">
        <v>99</v>
      </c>
      <c r="R272" s="6">
        <v>53</v>
      </c>
      <c r="S272" s="6">
        <v>45.7</v>
      </c>
      <c r="T272" s="6">
        <v>9</v>
      </c>
    </row>
    <row r="273" ht="15.75" customHeight="1" spans="1:20">
      <c r="A273" s="10" t="s">
        <v>460</v>
      </c>
      <c r="B273" s="10"/>
      <c r="C273" s="10" t="s">
        <v>25</v>
      </c>
      <c r="D273" s="10" t="s">
        <v>462</v>
      </c>
      <c r="E273" s="10"/>
      <c r="F273" s="11" t="s">
        <v>1845</v>
      </c>
      <c r="G273" s="11"/>
      <c r="H273" s="11" t="s">
        <v>2427</v>
      </c>
      <c r="I273" s="18" t="s">
        <v>1859</v>
      </c>
      <c r="J273" s="19"/>
      <c r="K273" s="8"/>
      <c r="L273" s="8"/>
      <c r="M273" s="8"/>
      <c r="N273" s="9"/>
      <c r="O273" s="10"/>
      <c r="P273" s="10"/>
      <c r="Q273" s="10"/>
      <c r="R273" s="10"/>
      <c r="S273" s="10"/>
      <c r="T273" s="10"/>
    </row>
    <row r="274" ht="156.75" customHeight="1" spans="1:20">
      <c r="A274" s="6" t="s">
        <v>460</v>
      </c>
      <c r="B274" s="6"/>
      <c r="C274" s="6" t="s">
        <v>85</v>
      </c>
      <c r="D274" s="6" t="s">
        <v>86</v>
      </c>
      <c r="E274" s="6" t="s">
        <v>1042</v>
      </c>
      <c r="F274" s="7" t="s">
        <v>1133</v>
      </c>
      <c r="G274" s="7"/>
      <c r="H274" s="7" t="s">
        <v>2428</v>
      </c>
      <c r="I274" s="16" t="s">
        <v>1859</v>
      </c>
      <c r="J274" s="17"/>
      <c r="K274" s="8"/>
      <c r="L274" s="8"/>
      <c r="M274" s="8"/>
      <c r="N274" s="9"/>
      <c r="O274" s="6">
        <v>46</v>
      </c>
      <c r="P274" s="6">
        <v>31.1</v>
      </c>
      <c r="Q274" s="6" t="s">
        <v>90</v>
      </c>
      <c r="R274" s="6">
        <v>46.5</v>
      </c>
      <c r="S274" s="6">
        <v>35.4</v>
      </c>
      <c r="T274" s="6">
        <v>9</v>
      </c>
    </row>
    <row r="275" ht="28.5" customHeight="1" spans="1:20">
      <c r="A275" s="10" t="s">
        <v>460</v>
      </c>
      <c r="B275" s="10"/>
      <c r="C275" s="10" t="s">
        <v>25</v>
      </c>
      <c r="D275" s="10" t="s">
        <v>1846</v>
      </c>
      <c r="E275" s="10" t="s">
        <v>1847</v>
      </c>
      <c r="F275" s="11" t="s">
        <v>1848</v>
      </c>
      <c r="G275" s="11"/>
      <c r="H275" s="11" t="s">
        <v>2429</v>
      </c>
      <c r="I275" s="18" t="s">
        <v>1859</v>
      </c>
      <c r="J275" s="19"/>
      <c r="K275" s="8"/>
      <c r="L275" s="8"/>
      <c r="M275" s="8"/>
      <c r="N275" s="9"/>
      <c r="O275" s="10">
        <v>76.1</v>
      </c>
      <c r="P275" s="10">
        <v>52.8</v>
      </c>
      <c r="Q275" s="10" t="s">
        <v>99</v>
      </c>
      <c r="R275" s="10">
        <v>74.26</v>
      </c>
      <c r="S275" s="10">
        <v>64.6</v>
      </c>
      <c r="T275" s="10">
        <v>11</v>
      </c>
    </row>
    <row r="276" ht="72" customHeight="1" spans="1:20">
      <c r="A276" s="6" t="s">
        <v>1849</v>
      </c>
      <c r="B276" s="6"/>
      <c r="C276" s="6" t="s">
        <v>25</v>
      </c>
      <c r="D276" s="6" t="s">
        <v>339</v>
      </c>
      <c r="E276" s="6" t="s">
        <v>1850</v>
      </c>
      <c r="F276" s="7" t="s">
        <v>1851</v>
      </c>
      <c r="G276" s="7" t="s">
        <v>693</v>
      </c>
      <c r="H276" s="7" t="s">
        <v>1839</v>
      </c>
      <c r="I276" s="16" t="s">
        <v>2430</v>
      </c>
      <c r="J276" s="17"/>
      <c r="K276" s="8"/>
      <c r="L276" s="8"/>
      <c r="M276" s="8"/>
      <c r="N276" s="9"/>
      <c r="O276" s="6"/>
      <c r="P276" s="6"/>
      <c r="Q276" s="6"/>
      <c r="R276" s="6"/>
      <c r="S276" s="6"/>
      <c r="T276" s="6"/>
    </row>
    <row r="277" ht="256.5" customHeight="1" spans="1:20">
      <c r="A277" s="10" t="s">
        <v>490</v>
      </c>
      <c r="B277" s="10"/>
      <c r="C277" s="10" t="s">
        <v>85</v>
      </c>
      <c r="D277" s="10" t="s">
        <v>550</v>
      </c>
      <c r="E277" s="10" t="s">
        <v>551</v>
      </c>
      <c r="F277" s="11" t="s">
        <v>552</v>
      </c>
      <c r="G277" s="11" t="s">
        <v>2431</v>
      </c>
      <c r="H277" s="11" t="s">
        <v>2432</v>
      </c>
      <c r="I277" s="18" t="s">
        <v>2433</v>
      </c>
      <c r="J277" s="19"/>
      <c r="K277" s="8"/>
      <c r="L277" s="8"/>
      <c r="M277" s="8"/>
      <c r="N277" s="9"/>
      <c r="O277" s="10"/>
      <c r="P277" s="10"/>
      <c r="Q277" s="10"/>
      <c r="R277" s="10"/>
      <c r="S277" s="10"/>
      <c r="T277" s="10"/>
    </row>
    <row r="278" ht="128.25" customHeight="1" spans="1:20">
      <c r="A278" s="6" t="s">
        <v>490</v>
      </c>
      <c r="B278" s="6"/>
      <c r="C278" s="6" t="s">
        <v>35</v>
      </c>
      <c r="D278" s="6" t="s">
        <v>848</v>
      </c>
      <c r="E278" s="6"/>
      <c r="F278" s="7" t="s">
        <v>1861</v>
      </c>
      <c r="G278" s="7" t="s">
        <v>1862</v>
      </c>
      <c r="H278" s="7" t="s">
        <v>1863</v>
      </c>
      <c r="I278" s="16" t="s">
        <v>1859</v>
      </c>
      <c r="J278" s="17"/>
      <c r="K278" s="8"/>
      <c r="L278" s="8"/>
      <c r="M278" s="8"/>
      <c r="N278" s="9"/>
      <c r="O278" s="6">
        <v>44</v>
      </c>
      <c r="P278" s="6">
        <v>35.1</v>
      </c>
      <c r="Q278" s="6" t="s">
        <v>99</v>
      </c>
      <c r="R278" s="6">
        <v>40.2</v>
      </c>
      <c r="S278" s="6">
        <v>35.1</v>
      </c>
      <c r="T278" s="6">
        <v>11</v>
      </c>
    </row>
    <row r="279" ht="29.25" customHeight="1" spans="1:20">
      <c r="A279" s="10" t="s">
        <v>490</v>
      </c>
      <c r="B279" s="10"/>
      <c r="C279" s="10"/>
      <c r="D279" s="10"/>
      <c r="E279" s="10" t="s">
        <v>523</v>
      </c>
      <c r="F279" s="11" t="s">
        <v>1853</v>
      </c>
      <c r="G279" s="11"/>
      <c r="H279" s="11" t="s">
        <v>1854</v>
      </c>
      <c r="I279" s="18" t="s">
        <v>1855</v>
      </c>
      <c r="J279" s="19"/>
      <c r="K279" s="8"/>
      <c r="L279" s="8"/>
      <c r="M279" s="8"/>
      <c r="N279" s="9"/>
      <c r="O279" s="10"/>
      <c r="P279" s="10"/>
      <c r="Q279" s="10"/>
      <c r="R279" s="10"/>
      <c r="S279" s="10"/>
      <c r="T279" s="10"/>
    </row>
    <row r="280" ht="28.5" customHeight="1" spans="1:20">
      <c r="A280" s="6" t="s">
        <v>490</v>
      </c>
      <c r="B280" s="6"/>
      <c r="C280" s="6"/>
      <c r="D280" s="6"/>
      <c r="E280" s="6" t="s">
        <v>1856</v>
      </c>
      <c r="F280" s="7" t="s">
        <v>1857</v>
      </c>
      <c r="G280" s="7" t="s">
        <v>869</v>
      </c>
      <c r="H280" s="7" t="s">
        <v>1858</v>
      </c>
      <c r="I280" s="16" t="s">
        <v>1859</v>
      </c>
      <c r="J280" s="17"/>
      <c r="K280" s="8"/>
      <c r="L280" s="8"/>
      <c r="M280" s="8"/>
      <c r="N280" s="9"/>
      <c r="O280" s="6"/>
      <c r="P280" s="6"/>
      <c r="Q280" s="6"/>
      <c r="R280" s="6"/>
      <c r="S280" s="6"/>
      <c r="T280" s="6"/>
    </row>
    <row r="281" ht="15.75" customHeight="1" spans="1:20">
      <c r="A281" s="10" t="s">
        <v>571</v>
      </c>
      <c r="B281" s="10"/>
      <c r="C281" s="10" t="s">
        <v>85</v>
      </c>
      <c r="D281" s="10" t="s">
        <v>1867</v>
      </c>
      <c r="E281" s="10" t="s">
        <v>583</v>
      </c>
      <c r="F281" s="11" t="s">
        <v>1868</v>
      </c>
      <c r="G281" s="11"/>
      <c r="H281" s="11"/>
      <c r="I281" s="18" t="s">
        <v>1859</v>
      </c>
      <c r="J281" s="19"/>
      <c r="K281" s="8"/>
      <c r="L281" s="8"/>
      <c r="M281" s="8"/>
      <c r="N281" s="9"/>
      <c r="O281" s="10"/>
      <c r="P281" s="10"/>
      <c r="Q281" s="10"/>
      <c r="R281" s="10"/>
      <c r="S281" s="10"/>
      <c r="T281" s="10"/>
    </row>
    <row r="282" ht="43.5" customHeight="1" spans="1:20">
      <c r="A282" s="6" t="s">
        <v>636</v>
      </c>
      <c r="B282" s="6"/>
      <c r="C282" s="6" t="s">
        <v>85</v>
      </c>
      <c r="D282" s="6" t="s">
        <v>1873</v>
      </c>
      <c r="E282" s="6" t="s">
        <v>1874</v>
      </c>
      <c r="F282" s="7" t="s">
        <v>1875</v>
      </c>
      <c r="G282" s="7" t="s">
        <v>869</v>
      </c>
      <c r="H282" s="7" t="s">
        <v>1876</v>
      </c>
      <c r="I282" s="16" t="s">
        <v>1877</v>
      </c>
      <c r="J282" s="17"/>
      <c r="K282" s="8"/>
      <c r="L282" s="8"/>
      <c r="M282" s="8"/>
      <c r="N282" s="9"/>
      <c r="O282" s="6"/>
      <c r="P282" s="6"/>
      <c r="Q282" s="6"/>
      <c r="R282" s="6"/>
      <c r="S282" s="6"/>
      <c r="T282" s="6"/>
    </row>
    <row r="283" ht="15.75" customHeight="1" spans="1:20">
      <c r="A283" s="10" t="s">
        <v>636</v>
      </c>
      <c r="B283" s="10"/>
      <c r="C283" s="10" t="s">
        <v>25</v>
      </c>
      <c r="D283" s="10" t="s">
        <v>2434</v>
      </c>
      <c r="E283" s="10" t="s">
        <v>712</v>
      </c>
      <c r="F283" s="11" t="s">
        <v>2435</v>
      </c>
      <c r="G283" s="11"/>
      <c r="H283" s="11" t="s">
        <v>2436</v>
      </c>
      <c r="I283" s="11" t="s">
        <v>1859</v>
      </c>
      <c r="J283" s="10"/>
      <c r="K283" s="8"/>
      <c r="L283" s="8"/>
      <c r="M283" s="8"/>
      <c r="N283" s="9"/>
      <c r="O283" s="10"/>
      <c r="P283" s="10"/>
      <c r="Q283" s="10"/>
      <c r="R283" s="10"/>
      <c r="S283" s="10"/>
      <c r="T283" s="10"/>
    </row>
    <row r="284" ht="42.75" customHeight="1" spans="1:20">
      <c r="A284" s="6" t="s">
        <v>636</v>
      </c>
      <c r="B284" s="6"/>
      <c r="C284" s="6" t="s">
        <v>25</v>
      </c>
      <c r="D284" s="6" t="s">
        <v>1807</v>
      </c>
      <c r="E284" s="6" t="s">
        <v>712</v>
      </c>
      <c r="F284" s="7" t="s">
        <v>1808</v>
      </c>
      <c r="G284" s="7"/>
      <c r="H284" s="7" t="s">
        <v>2437</v>
      </c>
      <c r="I284" s="16" t="s">
        <v>1859</v>
      </c>
      <c r="J284" s="17"/>
      <c r="K284" s="8"/>
      <c r="L284" s="8"/>
      <c r="M284" s="8"/>
      <c r="N284" s="9"/>
      <c r="O284" s="6"/>
      <c r="P284" s="6"/>
      <c r="Q284" s="6"/>
      <c r="R284" s="6"/>
      <c r="S284" s="6"/>
      <c r="T284" s="6"/>
    </row>
    <row r="285" ht="42.75" customHeight="1" spans="1:20">
      <c r="A285" s="10" t="s">
        <v>636</v>
      </c>
      <c r="B285" s="10"/>
      <c r="C285" s="10" t="s">
        <v>85</v>
      </c>
      <c r="D285" s="10" t="s">
        <v>144</v>
      </c>
      <c r="E285" s="10" t="s">
        <v>1869</v>
      </c>
      <c r="F285" s="11" t="s">
        <v>2438</v>
      </c>
      <c r="G285" s="11"/>
      <c r="H285" s="11" t="s">
        <v>1871</v>
      </c>
      <c r="I285" s="18" t="s">
        <v>1859</v>
      </c>
      <c r="J285" s="19"/>
      <c r="K285" s="8"/>
      <c r="L285" s="8"/>
      <c r="M285" s="8"/>
      <c r="N285" s="9"/>
      <c r="O285" s="10"/>
      <c r="P285" s="10"/>
      <c r="Q285" s="10"/>
      <c r="R285" s="10"/>
      <c r="S285" s="10"/>
      <c r="T285" s="10"/>
    </row>
    <row r="286" ht="15.75" customHeight="1" spans="1:20">
      <c r="A286" s="6" t="s">
        <v>636</v>
      </c>
      <c r="B286" s="6"/>
      <c r="C286" s="6" t="s">
        <v>35</v>
      </c>
      <c r="D286" s="6" t="s">
        <v>2439</v>
      </c>
      <c r="E286" s="6" t="s">
        <v>649</v>
      </c>
      <c r="F286" s="7" t="s">
        <v>1142</v>
      </c>
      <c r="G286" s="7"/>
      <c r="H286" s="7" t="s">
        <v>2440</v>
      </c>
      <c r="I286" s="16" t="s">
        <v>1859</v>
      </c>
      <c r="J286" s="17"/>
      <c r="K286" s="8"/>
      <c r="L286" s="8"/>
      <c r="M286" s="8"/>
      <c r="N286" s="9"/>
      <c r="O286" s="6"/>
      <c r="P286" s="6"/>
      <c r="Q286" s="6"/>
      <c r="R286" s="6"/>
      <c r="S286" s="6"/>
      <c r="T286" s="6"/>
    </row>
    <row r="287" ht="28.5" customHeight="1" spans="1:20">
      <c r="A287" s="10" t="s">
        <v>636</v>
      </c>
      <c r="B287" s="10"/>
      <c r="C287" s="10" t="s">
        <v>85</v>
      </c>
      <c r="D287" s="10" t="s">
        <v>144</v>
      </c>
      <c r="E287" s="10" t="s">
        <v>1795</v>
      </c>
      <c r="F287" s="11" t="s">
        <v>1872</v>
      </c>
      <c r="G287" s="11" t="s">
        <v>1550</v>
      </c>
      <c r="H287" s="11" t="s">
        <v>1797</v>
      </c>
      <c r="I287" s="18" t="s">
        <v>1859</v>
      </c>
      <c r="J287" s="19"/>
      <c r="K287" s="8"/>
      <c r="L287" s="8"/>
      <c r="M287" s="8"/>
      <c r="N287" s="9"/>
      <c r="O287" s="10">
        <v>77.6</v>
      </c>
      <c r="P287" s="10">
        <v>59</v>
      </c>
      <c r="Q287" s="10" t="s">
        <v>99</v>
      </c>
      <c r="R287" s="10">
        <v>74</v>
      </c>
      <c r="S287" s="10">
        <v>67</v>
      </c>
      <c r="T287" s="10">
        <v>11</v>
      </c>
    </row>
    <row r="288" ht="42.75" customHeight="1" spans="1:20">
      <c r="A288" s="6" t="s">
        <v>789</v>
      </c>
      <c r="B288" s="6"/>
      <c r="C288" s="6" t="s">
        <v>35</v>
      </c>
      <c r="D288" s="6" t="s">
        <v>1814</v>
      </c>
      <c r="E288" s="6" t="s">
        <v>1815</v>
      </c>
      <c r="F288" s="7" t="s">
        <v>2441</v>
      </c>
      <c r="G288" s="7"/>
      <c r="H288" s="7" t="s">
        <v>2442</v>
      </c>
      <c r="I288" s="16" t="s">
        <v>1859</v>
      </c>
      <c r="J288" s="17"/>
      <c r="K288" s="8"/>
      <c r="L288" s="8"/>
      <c r="M288" s="8"/>
      <c r="N288" s="9"/>
      <c r="O288" s="6"/>
      <c r="P288" s="6"/>
      <c r="Q288" s="6"/>
      <c r="R288" s="6"/>
      <c r="S288" s="6"/>
      <c r="T288" s="6"/>
    </row>
    <row r="289" ht="57" customHeight="1" spans="1:20">
      <c r="A289" s="10" t="s">
        <v>789</v>
      </c>
      <c r="B289" s="10"/>
      <c r="C289" s="10"/>
      <c r="D289" s="10"/>
      <c r="E289" s="10"/>
      <c r="F289" s="11" t="s">
        <v>2443</v>
      </c>
      <c r="G289" s="11"/>
      <c r="H289" s="11" t="s">
        <v>2444</v>
      </c>
      <c r="I289" s="18" t="s">
        <v>1859</v>
      </c>
      <c r="J289" s="19"/>
      <c r="K289" s="8"/>
      <c r="L289" s="8"/>
      <c r="M289" s="8"/>
      <c r="N289" s="9"/>
      <c r="O289" s="10">
        <v>44</v>
      </c>
      <c r="P289" s="10">
        <v>31</v>
      </c>
      <c r="Q289" s="10" t="s">
        <v>99</v>
      </c>
      <c r="R289" s="10">
        <v>38.9</v>
      </c>
      <c r="S289" s="10">
        <v>33</v>
      </c>
      <c r="T289" s="10" t="s">
        <v>597</v>
      </c>
    </row>
    <row r="290" ht="71.25" customHeight="1" spans="1:20">
      <c r="A290" s="6" t="s">
        <v>789</v>
      </c>
      <c r="B290" s="6"/>
      <c r="C290" s="6" t="s">
        <v>35</v>
      </c>
      <c r="D290" s="6" t="s">
        <v>982</v>
      </c>
      <c r="E290" s="6" t="s">
        <v>814</v>
      </c>
      <c r="F290" s="7" t="s">
        <v>1907</v>
      </c>
      <c r="G290" s="7"/>
      <c r="H290" s="7" t="s">
        <v>1908</v>
      </c>
      <c r="I290" s="16" t="s">
        <v>1859</v>
      </c>
      <c r="J290" s="17"/>
      <c r="K290" s="8"/>
      <c r="L290" s="8"/>
      <c r="M290" s="8"/>
      <c r="N290" s="9"/>
      <c r="O290" s="6">
        <v>49</v>
      </c>
      <c r="P290" s="6">
        <v>35.5</v>
      </c>
      <c r="Q290" s="6" t="s">
        <v>99</v>
      </c>
      <c r="R290" s="6">
        <v>42.7</v>
      </c>
      <c r="S290" s="6">
        <v>36</v>
      </c>
      <c r="T290" s="6">
        <v>11</v>
      </c>
    </row>
    <row r="291" ht="28.5" customHeight="1" spans="1:20">
      <c r="A291" s="10" t="s">
        <v>789</v>
      </c>
      <c r="B291" s="10"/>
      <c r="C291" s="10" t="s">
        <v>85</v>
      </c>
      <c r="D291" s="10" t="s">
        <v>1886</v>
      </c>
      <c r="E291" s="10"/>
      <c r="F291" s="11" t="s">
        <v>1887</v>
      </c>
      <c r="G291" s="11"/>
      <c r="H291" s="11" t="s">
        <v>1888</v>
      </c>
      <c r="I291" s="18" t="s">
        <v>1859</v>
      </c>
      <c r="J291" s="19"/>
      <c r="K291" s="8"/>
      <c r="L291" s="8"/>
      <c r="M291" s="8"/>
      <c r="N291" s="9"/>
      <c r="O291" s="10"/>
      <c r="P291" s="10"/>
      <c r="Q291" s="10"/>
      <c r="R291" s="10"/>
      <c r="S291" s="10"/>
      <c r="T291" s="10"/>
    </row>
    <row r="292" ht="28.5" customHeight="1" spans="1:20">
      <c r="A292" s="6" t="s">
        <v>789</v>
      </c>
      <c r="B292" s="6"/>
      <c r="C292" s="6" t="s">
        <v>25</v>
      </c>
      <c r="D292" s="6" t="s">
        <v>1884</v>
      </c>
      <c r="E292" s="6"/>
      <c r="F292" s="7" t="s">
        <v>1885</v>
      </c>
      <c r="G292" s="7"/>
      <c r="H292" s="7"/>
      <c r="I292" s="16" t="s">
        <v>1859</v>
      </c>
      <c r="J292" s="17"/>
      <c r="K292" s="8"/>
      <c r="L292" s="8"/>
      <c r="M292" s="8"/>
      <c r="N292" s="9"/>
      <c r="O292" s="6">
        <v>44</v>
      </c>
      <c r="P292" s="6">
        <v>31</v>
      </c>
      <c r="Q292" s="6" t="s">
        <v>99</v>
      </c>
      <c r="R292" s="6">
        <v>38.9</v>
      </c>
      <c r="S292" s="6">
        <v>33</v>
      </c>
      <c r="T292" s="6" t="s">
        <v>597</v>
      </c>
    </row>
    <row r="293" ht="15.75" customHeight="1" spans="1:20">
      <c r="A293" s="10" t="s">
        <v>789</v>
      </c>
      <c r="B293" s="10"/>
      <c r="C293" s="10" t="s">
        <v>25</v>
      </c>
      <c r="D293" s="10" t="s">
        <v>1881</v>
      </c>
      <c r="E293" s="10"/>
      <c r="F293" s="11" t="s">
        <v>1882</v>
      </c>
      <c r="G293" s="11"/>
      <c r="H293" s="11" t="s">
        <v>1883</v>
      </c>
      <c r="I293" s="18" t="s">
        <v>1859</v>
      </c>
      <c r="J293" s="19"/>
      <c r="K293" s="8"/>
      <c r="L293" s="8"/>
      <c r="M293" s="8"/>
      <c r="N293" s="9"/>
      <c r="O293" s="10"/>
      <c r="P293" s="10"/>
      <c r="Q293" s="10"/>
      <c r="R293" s="10"/>
      <c r="S293" s="10"/>
      <c r="T293" s="10"/>
    </row>
    <row r="294" ht="15.75" customHeight="1" spans="1:20">
      <c r="A294" s="6" t="s">
        <v>789</v>
      </c>
      <c r="B294" s="6"/>
      <c r="C294" s="6" t="s">
        <v>35</v>
      </c>
      <c r="D294" s="6" t="s">
        <v>1901</v>
      </c>
      <c r="E294" s="6" t="s">
        <v>1902</v>
      </c>
      <c r="F294" s="7" t="s">
        <v>986</v>
      </c>
      <c r="G294" s="7"/>
      <c r="H294" s="7" t="s">
        <v>1903</v>
      </c>
      <c r="I294" s="7" t="s">
        <v>1859</v>
      </c>
      <c r="J294" s="6"/>
      <c r="K294" s="8"/>
      <c r="L294" s="8"/>
      <c r="M294" s="8"/>
      <c r="N294" s="9"/>
      <c r="O294" s="6">
        <v>60</v>
      </c>
      <c r="P294" s="6">
        <v>42.5</v>
      </c>
      <c r="Q294" s="6" t="s">
        <v>99</v>
      </c>
      <c r="R294" s="6">
        <v>56</v>
      </c>
      <c r="S294" s="6">
        <v>49</v>
      </c>
      <c r="T294" s="6">
        <v>12</v>
      </c>
    </row>
    <row r="295" ht="42.75" customHeight="1" spans="1:20">
      <c r="A295" s="10" t="s">
        <v>789</v>
      </c>
      <c r="B295" s="10"/>
      <c r="C295" s="10" t="s">
        <v>61</v>
      </c>
      <c r="D295" s="10" t="s">
        <v>858</v>
      </c>
      <c r="E295" s="10" t="s">
        <v>1878</v>
      </c>
      <c r="F295" s="11" t="s">
        <v>1879</v>
      </c>
      <c r="G295" s="11"/>
      <c r="H295" s="11" t="s">
        <v>1880</v>
      </c>
      <c r="I295" s="18" t="s">
        <v>1859</v>
      </c>
      <c r="J295" s="19"/>
      <c r="K295" s="8"/>
      <c r="L295" s="8"/>
      <c r="M295" s="8"/>
      <c r="N295" s="9"/>
      <c r="O295" s="10">
        <v>53</v>
      </c>
      <c r="P295" s="10">
        <v>37.9</v>
      </c>
      <c r="Q295" s="10" t="s">
        <v>99</v>
      </c>
      <c r="R295" s="10">
        <v>42.5</v>
      </c>
      <c r="S295" s="10">
        <v>39.1</v>
      </c>
      <c r="T295" s="10">
        <v>9</v>
      </c>
    </row>
    <row r="296" ht="28.5" customHeight="1" spans="1:20">
      <c r="A296" s="6" t="s">
        <v>789</v>
      </c>
      <c r="B296" s="6"/>
      <c r="C296" s="6" t="s">
        <v>85</v>
      </c>
      <c r="D296" s="6" t="s">
        <v>1891</v>
      </c>
      <c r="E296" s="6" t="s">
        <v>1892</v>
      </c>
      <c r="F296" s="7" t="s">
        <v>1893</v>
      </c>
      <c r="G296" s="7"/>
      <c r="H296" s="7" t="s">
        <v>1894</v>
      </c>
      <c r="I296" s="16" t="s">
        <v>1859</v>
      </c>
      <c r="J296" s="17"/>
      <c r="K296" s="8"/>
      <c r="L296" s="8"/>
      <c r="M296" s="8"/>
      <c r="N296" s="9"/>
      <c r="O296" s="6">
        <v>52.5</v>
      </c>
      <c r="P296" s="6">
        <v>38.7</v>
      </c>
      <c r="Q296" s="6" t="s">
        <v>99</v>
      </c>
      <c r="R296" s="6">
        <v>44.6</v>
      </c>
      <c r="S296" s="6">
        <v>41.6</v>
      </c>
      <c r="T296" s="6">
        <v>9</v>
      </c>
    </row>
    <row r="297" ht="42.75" customHeight="1" spans="1:20">
      <c r="A297" s="10" t="s">
        <v>789</v>
      </c>
      <c r="B297" s="10"/>
      <c r="C297" s="10"/>
      <c r="D297" s="10"/>
      <c r="E297" s="10"/>
      <c r="F297" s="11" t="s">
        <v>2445</v>
      </c>
      <c r="G297" s="11"/>
      <c r="H297" s="11" t="s">
        <v>2446</v>
      </c>
      <c r="I297" s="18" t="s">
        <v>1859</v>
      </c>
      <c r="J297" s="19"/>
      <c r="K297" s="8"/>
      <c r="L297" s="8"/>
      <c r="M297" s="8"/>
      <c r="N297" s="9"/>
      <c r="O297" s="10">
        <v>49</v>
      </c>
      <c r="P297" s="10">
        <v>36.3</v>
      </c>
      <c r="Q297" s="10" t="s">
        <v>99</v>
      </c>
      <c r="R297" s="10">
        <v>40.9</v>
      </c>
      <c r="S297" s="10">
        <v>34.7</v>
      </c>
      <c r="T297" s="10" t="s">
        <v>505</v>
      </c>
    </row>
    <row r="298" ht="42.75" customHeight="1" spans="1:20">
      <c r="A298" s="6" t="s">
        <v>789</v>
      </c>
      <c r="B298" s="6"/>
      <c r="C298" s="6"/>
      <c r="D298" s="6"/>
      <c r="E298" s="6"/>
      <c r="F298" s="7" t="s">
        <v>2447</v>
      </c>
      <c r="G298" s="7"/>
      <c r="H298" s="7" t="s">
        <v>2448</v>
      </c>
      <c r="I298" s="16" t="s">
        <v>1859</v>
      </c>
      <c r="J298" s="17"/>
      <c r="K298" s="8"/>
      <c r="L298" s="8"/>
      <c r="M298" s="8"/>
      <c r="N298" s="9"/>
      <c r="O298" s="6">
        <v>47.6</v>
      </c>
      <c r="P298" s="6">
        <v>35.5</v>
      </c>
      <c r="Q298" s="6" t="s">
        <v>99</v>
      </c>
      <c r="R298" s="6">
        <v>39</v>
      </c>
      <c r="S298" s="6">
        <v>34.8</v>
      </c>
      <c r="T298" s="6">
        <v>8</v>
      </c>
    </row>
    <row r="299" ht="57" customHeight="1" spans="1:20">
      <c r="A299" s="10" t="s">
        <v>702</v>
      </c>
      <c r="B299" s="10"/>
      <c r="C299" s="10" t="s">
        <v>85</v>
      </c>
      <c r="D299" s="10" t="s">
        <v>670</v>
      </c>
      <c r="E299" s="10" t="s">
        <v>1923</v>
      </c>
      <c r="F299" s="11" t="s">
        <v>1924</v>
      </c>
      <c r="G299" s="11" t="s">
        <v>1925</v>
      </c>
      <c r="H299" s="11" t="s">
        <v>1031</v>
      </c>
      <c r="I299" s="18" t="s">
        <v>1855</v>
      </c>
      <c r="J299" s="19"/>
      <c r="K299" s="8"/>
      <c r="L299" s="8"/>
      <c r="M299" s="8"/>
      <c r="N299" s="9"/>
      <c r="O299" s="10">
        <v>60</v>
      </c>
      <c r="P299" s="10">
        <v>45</v>
      </c>
      <c r="Q299" s="10" t="s">
        <v>90</v>
      </c>
      <c r="R299" s="10">
        <v>56</v>
      </c>
      <c r="S299" s="10">
        <v>50</v>
      </c>
      <c r="T299" s="10">
        <v>11</v>
      </c>
    </row>
    <row r="300" ht="29.25" customHeight="1" spans="1:20">
      <c r="A300" s="6" t="s">
        <v>702</v>
      </c>
      <c r="B300" s="6"/>
      <c r="C300" s="6" t="s">
        <v>85</v>
      </c>
      <c r="D300" s="6" t="s">
        <v>678</v>
      </c>
      <c r="E300" s="6" t="s">
        <v>1003</v>
      </c>
      <c r="F300" s="7" t="s">
        <v>1921</v>
      </c>
      <c r="G300" s="7"/>
      <c r="H300" s="7" t="s">
        <v>1006</v>
      </c>
      <c r="I300" s="16" t="s">
        <v>1855</v>
      </c>
      <c r="J300" s="17"/>
      <c r="K300" s="8"/>
      <c r="L300" s="8"/>
      <c r="M300" s="8"/>
      <c r="N300" s="9"/>
      <c r="O300" s="6"/>
      <c r="P300" s="6"/>
      <c r="Q300" s="6"/>
      <c r="R300" s="6"/>
      <c r="S300" s="6"/>
      <c r="T300" s="6"/>
    </row>
    <row r="301" ht="15.75" customHeight="1" spans="1:20">
      <c r="A301" s="10" t="s">
        <v>702</v>
      </c>
      <c r="B301" s="10"/>
      <c r="C301" s="10" t="s">
        <v>85</v>
      </c>
      <c r="D301" s="10" t="s">
        <v>86</v>
      </c>
      <c r="E301" s="10" t="s">
        <v>1918</v>
      </c>
      <c r="F301" s="11" t="s">
        <v>1130</v>
      </c>
      <c r="G301" s="11" t="s">
        <v>647</v>
      </c>
      <c r="H301" s="11"/>
      <c r="I301" s="18" t="s">
        <v>1859</v>
      </c>
      <c r="J301" s="19"/>
      <c r="K301" s="8"/>
      <c r="L301" s="8"/>
      <c r="M301" s="8"/>
      <c r="N301" s="9"/>
      <c r="O301" s="10">
        <v>47</v>
      </c>
      <c r="P301" s="10">
        <v>35.3</v>
      </c>
      <c r="Q301" s="10" t="s">
        <v>99</v>
      </c>
      <c r="R301" s="10">
        <v>44.3</v>
      </c>
      <c r="S301" s="10">
        <v>37.7</v>
      </c>
      <c r="T301" s="10">
        <v>8</v>
      </c>
    </row>
    <row r="302" ht="29.25" customHeight="1" spans="1:20">
      <c r="A302" s="6" t="s">
        <v>1165</v>
      </c>
      <c r="B302" s="6"/>
      <c r="C302" s="6" t="s">
        <v>35</v>
      </c>
      <c r="D302" s="6" t="s">
        <v>1926</v>
      </c>
      <c r="E302" s="6" t="s">
        <v>1927</v>
      </c>
      <c r="F302" s="7" t="s">
        <v>1928</v>
      </c>
      <c r="G302" s="7"/>
      <c r="H302" s="7" t="s">
        <v>1929</v>
      </c>
      <c r="I302" s="16" t="s">
        <v>1855</v>
      </c>
      <c r="J302" s="17"/>
      <c r="K302" s="8"/>
      <c r="L302" s="8"/>
      <c r="M302" s="8"/>
      <c r="N302" s="9"/>
      <c r="O302" s="6"/>
      <c r="P302" s="6"/>
      <c r="Q302" s="6"/>
      <c r="R302" s="6"/>
      <c r="S302" s="6"/>
      <c r="T302" s="6"/>
    </row>
    <row r="303" ht="85.5" customHeight="1" spans="1:20">
      <c r="A303" s="10" t="s">
        <v>1165</v>
      </c>
      <c r="B303" s="10"/>
      <c r="C303" s="10" t="s">
        <v>35</v>
      </c>
      <c r="D303" s="10" t="s">
        <v>1930</v>
      </c>
      <c r="E303" s="10" t="s">
        <v>1931</v>
      </c>
      <c r="F303" s="11" t="s">
        <v>1932</v>
      </c>
      <c r="G303" s="11" t="s">
        <v>1933</v>
      </c>
      <c r="H303" s="11" t="s">
        <v>1934</v>
      </c>
      <c r="I303" s="18" t="s">
        <v>1935</v>
      </c>
      <c r="J303" s="19"/>
      <c r="K303" s="8"/>
      <c r="L303" s="8"/>
      <c r="M303" s="8"/>
      <c r="N303" s="9"/>
      <c r="O303" s="10"/>
      <c r="P303" s="10"/>
      <c r="Q303" s="10"/>
      <c r="R303" s="10"/>
      <c r="S303" s="10"/>
      <c r="T303" s="10"/>
    </row>
    <row r="304" ht="28.5" customHeight="1" spans="1:20">
      <c r="A304" s="6" t="s">
        <v>1262</v>
      </c>
      <c r="B304" s="6"/>
      <c r="C304" s="6" t="s">
        <v>190</v>
      </c>
      <c r="D304" s="6" t="s">
        <v>1380</v>
      </c>
      <c r="E304" s="6" t="s">
        <v>1936</v>
      </c>
      <c r="F304" s="7" t="s">
        <v>1937</v>
      </c>
      <c r="G304" s="7" t="s">
        <v>1206</v>
      </c>
      <c r="H304" s="7" t="s">
        <v>1938</v>
      </c>
      <c r="I304" s="16" t="s">
        <v>1859</v>
      </c>
      <c r="J304" s="17"/>
      <c r="K304" s="8"/>
      <c r="L304" s="8"/>
      <c r="M304" s="8"/>
      <c r="N304" s="9"/>
      <c r="O304" s="6">
        <v>73</v>
      </c>
      <c r="P304" s="6">
        <v>44</v>
      </c>
      <c r="Q304" s="6" t="s">
        <v>65</v>
      </c>
      <c r="R304" s="6">
        <v>70</v>
      </c>
      <c r="S304" s="6">
        <v>60</v>
      </c>
      <c r="T304" s="6">
        <v>12</v>
      </c>
    </row>
    <row r="305" ht="15.75" customHeight="1" spans="1:20">
      <c r="A305" s="10" t="s">
        <v>1262</v>
      </c>
      <c r="B305" s="10"/>
      <c r="C305" s="10" t="s">
        <v>190</v>
      </c>
      <c r="D305" s="10" t="s">
        <v>1380</v>
      </c>
      <c r="E305" s="10" t="s">
        <v>192</v>
      </c>
      <c r="F305" s="11" t="s">
        <v>1939</v>
      </c>
      <c r="G305" s="11" t="s">
        <v>1206</v>
      </c>
      <c r="H305" s="11"/>
      <c r="I305" s="18" t="s">
        <v>1859</v>
      </c>
      <c r="J305" s="19"/>
      <c r="K305" s="8"/>
      <c r="L305" s="8"/>
      <c r="M305" s="8"/>
      <c r="N305" s="9"/>
      <c r="O305" s="10"/>
      <c r="P305" s="10"/>
      <c r="Q305" s="10"/>
      <c r="R305" s="10"/>
      <c r="S305" s="10"/>
      <c r="T305" s="10"/>
    </row>
    <row r="306" ht="15.75" customHeight="1" spans="1:20">
      <c r="A306" s="6" t="s">
        <v>1262</v>
      </c>
      <c r="B306" s="6"/>
      <c r="C306" s="6" t="s">
        <v>190</v>
      </c>
      <c r="D306" s="6" t="s">
        <v>1380</v>
      </c>
      <c r="E306" s="6" t="s">
        <v>1940</v>
      </c>
      <c r="F306" s="7" t="s">
        <v>1941</v>
      </c>
      <c r="G306" s="7" t="s">
        <v>1206</v>
      </c>
      <c r="H306" s="7"/>
      <c r="I306" s="16" t="s">
        <v>1859</v>
      </c>
      <c r="J306" s="17"/>
      <c r="K306" s="8"/>
      <c r="L306" s="8"/>
      <c r="M306" s="8"/>
      <c r="N306" s="9"/>
      <c r="O306" s="6"/>
      <c r="P306" s="6"/>
      <c r="Q306" s="6"/>
      <c r="R306" s="6"/>
      <c r="S306" s="6"/>
      <c r="T306" s="6"/>
    </row>
    <row r="307" ht="28.5" customHeight="1" spans="1:20">
      <c r="A307" s="10" t="s">
        <v>1262</v>
      </c>
      <c r="B307" s="10"/>
      <c r="C307" s="10" t="s">
        <v>190</v>
      </c>
      <c r="D307" s="10" t="s">
        <v>1350</v>
      </c>
      <c r="E307" s="10"/>
      <c r="F307" s="11" t="s">
        <v>1947</v>
      </c>
      <c r="G307" s="11" t="s">
        <v>1206</v>
      </c>
      <c r="H307" s="11" t="s">
        <v>1948</v>
      </c>
      <c r="I307" s="18" t="s">
        <v>1859</v>
      </c>
      <c r="J307" s="19"/>
      <c r="K307" s="8"/>
      <c r="L307" s="8"/>
      <c r="M307" s="8"/>
      <c r="N307" s="9"/>
      <c r="O307" s="10"/>
      <c r="P307" s="10"/>
      <c r="Q307" s="10"/>
      <c r="R307" s="10"/>
      <c r="S307" s="10"/>
      <c r="T307" s="10"/>
    </row>
    <row r="308" ht="57" customHeight="1" spans="1:20">
      <c r="A308" s="6" t="s">
        <v>1262</v>
      </c>
      <c r="B308" s="6"/>
      <c r="C308" s="6" t="s">
        <v>190</v>
      </c>
      <c r="D308" s="6" t="s">
        <v>1350</v>
      </c>
      <c r="E308" s="6" t="s">
        <v>1949</v>
      </c>
      <c r="F308" s="7" t="s">
        <v>1950</v>
      </c>
      <c r="G308" s="7" t="s">
        <v>1951</v>
      </c>
      <c r="H308" s="7" t="s">
        <v>1952</v>
      </c>
      <c r="I308" s="16" t="s">
        <v>1859</v>
      </c>
      <c r="J308" s="17"/>
      <c r="K308" s="8"/>
      <c r="L308" s="8"/>
      <c r="M308" s="8"/>
      <c r="N308" s="9"/>
      <c r="O308" s="6">
        <v>83</v>
      </c>
      <c r="P308" s="6">
        <v>54</v>
      </c>
      <c r="Q308" s="6" t="s">
        <v>65</v>
      </c>
      <c r="R308" s="6">
        <v>70</v>
      </c>
      <c r="S308" s="6">
        <v>60</v>
      </c>
      <c r="T308" s="6">
        <v>12</v>
      </c>
    </row>
    <row r="309" ht="42.75" customHeight="1" spans="1:20">
      <c r="A309" s="10" t="s">
        <v>1262</v>
      </c>
      <c r="B309" s="10"/>
      <c r="C309" s="10" t="s">
        <v>190</v>
      </c>
      <c r="D309" s="10" t="s">
        <v>469</v>
      </c>
      <c r="E309" s="10" t="s">
        <v>1823</v>
      </c>
      <c r="F309" s="11" t="s">
        <v>1824</v>
      </c>
      <c r="G309" s="11" t="s">
        <v>1946</v>
      </c>
      <c r="H309" s="11" t="s">
        <v>1826</v>
      </c>
      <c r="I309" s="18" t="s">
        <v>1859</v>
      </c>
      <c r="J309" s="19"/>
      <c r="K309" s="8"/>
      <c r="L309" s="8"/>
      <c r="M309" s="8"/>
      <c r="N309" s="9"/>
      <c r="O309" s="10">
        <v>83</v>
      </c>
      <c r="P309" s="10">
        <v>52</v>
      </c>
      <c r="Q309" s="10" t="s">
        <v>30</v>
      </c>
      <c r="R309" s="10">
        <v>70</v>
      </c>
      <c r="S309" s="10">
        <v>60</v>
      </c>
      <c r="T309" s="10">
        <v>12</v>
      </c>
    </row>
    <row r="310" ht="42.75" customHeight="1" spans="1:20">
      <c r="A310" s="6" t="s">
        <v>1262</v>
      </c>
      <c r="B310" s="6"/>
      <c r="C310" s="6" t="s">
        <v>190</v>
      </c>
      <c r="D310" s="6" t="s">
        <v>1942</v>
      </c>
      <c r="E310" s="6" t="s">
        <v>1943</v>
      </c>
      <c r="F310" s="7" t="s">
        <v>1944</v>
      </c>
      <c r="G310" s="7"/>
      <c r="H310" s="7"/>
      <c r="I310" s="16" t="s">
        <v>1945</v>
      </c>
      <c r="J310" s="17"/>
      <c r="K310" s="8"/>
      <c r="L310" s="8"/>
      <c r="M310" s="8"/>
      <c r="N310" s="9"/>
      <c r="O310" s="6">
        <v>86</v>
      </c>
      <c r="P310" s="6">
        <v>58</v>
      </c>
      <c r="Q310" s="6" t="s">
        <v>65</v>
      </c>
      <c r="R310" s="6">
        <v>70</v>
      </c>
      <c r="S310" s="6">
        <v>60</v>
      </c>
      <c r="T310" s="6">
        <v>12</v>
      </c>
    </row>
    <row r="311" ht="15.75" customHeight="1" spans="1:20">
      <c r="A311" s="10" t="s">
        <v>1262</v>
      </c>
      <c r="B311" s="10"/>
      <c r="C311" s="10" t="s">
        <v>190</v>
      </c>
      <c r="D311" s="10" t="s">
        <v>1350</v>
      </c>
      <c r="E311" s="10"/>
      <c r="F311" s="11" t="s">
        <v>1953</v>
      </c>
      <c r="G311" s="11" t="s">
        <v>1206</v>
      </c>
      <c r="H311" s="11" t="s">
        <v>1954</v>
      </c>
      <c r="I311" s="18" t="s">
        <v>1859</v>
      </c>
      <c r="J311" s="19"/>
      <c r="K311" s="8"/>
      <c r="L311" s="8"/>
      <c r="M311" s="8"/>
      <c r="N311" s="9"/>
      <c r="O311" s="10"/>
      <c r="P311" s="10"/>
      <c r="Q311" s="10"/>
      <c r="R311" s="10"/>
      <c r="S311" s="10"/>
      <c r="T311" s="10"/>
    </row>
    <row r="312" ht="71.25" customHeight="1" spans="1:20">
      <c r="A312" s="6" t="s">
        <v>1262</v>
      </c>
      <c r="B312" s="6"/>
      <c r="C312" s="6" t="s">
        <v>190</v>
      </c>
      <c r="D312" s="6" t="s">
        <v>1350</v>
      </c>
      <c r="E312" s="6" t="s">
        <v>340</v>
      </c>
      <c r="F312" s="7" t="s">
        <v>1955</v>
      </c>
      <c r="G312" s="7" t="s">
        <v>1956</v>
      </c>
      <c r="H312" s="7" t="s">
        <v>1957</v>
      </c>
      <c r="I312" s="16" t="s">
        <v>1859</v>
      </c>
      <c r="J312" s="17"/>
      <c r="K312" s="8"/>
      <c r="L312" s="8"/>
      <c r="M312" s="8"/>
      <c r="N312" s="9"/>
      <c r="O312" s="6">
        <v>83</v>
      </c>
      <c r="P312" s="6">
        <v>52</v>
      </c>
      <c r="Q312" s="6" t="s">
        <v>30</v>
      </c>
      <c r="R312" s="6">
        <v>70</v>
      </c>
      <c r="S312" s="6">
        <v>60</v>
      </c>
      <c r="T312" s="6">
        <v>12</v>
      </c>
    </row>
    <row r="313" ht="15.75" customHeight="1" spans="1:20">
      <c r="A313" s="10" t="s">
        <v>1437</v>
      </c>
      <c r="B313" s="10"/>
      <c r="C313" s="10" t="s">
        <v>35</v>
      </c>
      <c r="D313" s="10" t="s">
        <v>848</v>
      </c>
      <c r="E313" s="10" t="s">
        <v>1959</v>
      </c>
      <c r="F313" s="11" t="s">
        <v>1960</v>
      </c>
      <c r="G313" s="11"/>
      <c r="H313" s="11"/>
      <c r="I313" s="18" t="s">
        <v>1859</v>
      </c>
      <c r="J313" s="19"/>
      <c r="K313" s="8"/>
      <c r="L313" s="8"/>
      <c r="M313" s="8"/>
      <c r="N313" s="9"/>
      <c r="O313" s="10"/>
      <c r="P313" s="10"/>
      <c r="Q313" s="10"/>
      <c r="R313" s="10"/>
      <c r="S313" s="10"/>
      <c r="T313" s="10"/>
    </row>
    <row r="314" ht="15.75" customHeight="1" spans="1:20">
      <c r="A314" s="6" t="s">
        <v>1521</v>
      </c>
      <c r="B314" s="6"/>
      <c r="C314" s="6" t="s">
        <v>35</v>
      </c>
      <c r="D314" s="6" t="s">
        <v>1819</v>
      </c>
      <c r="E314" s="6" t="s">
        <v>1820</v>
      </c>
      <c r="F314" s="7" t="s">
        <v>1821</v>
      </c>
      <c r="G314" s="7"/>
      <c r="H314" s="7"/>
      <c r="I314" s="16" t="s">
        <v>1859</v>
      </c>
      <c r="J314" s="17"/>
      <c r="K314" s="8"/>
      <c r="L314" s="8"/>
      <c r="M314" s="8"/>
      <c r="N314" s="9"/>
      <c r="O314" s="6"/>
      <c r="P314" s="6"/>
      <c r="Q314" s="6"/>
      <c r="R314" s="6"/>
      <c r="S314" s="6"/>
      <c r="T314" s="6"/>
    </row>
    <row r="315" ht="15.75" customHeight="1" spans="1:20">
      <c r="A315" s="10" t="s">
        <v>1561</v>
      </c>
      <c r="B315" s="10"/>
      <c r="C315" s="10" t="s">
        <v>85</v>
      </c>
      <c r="D315" s="10" t="s">
        <v>1599</v>
      </c>
      <c r="E315" s="10" t="s">
        <v>1600</v>
      </c>
      <c r="F315" s="11" t="s">
        <v>1966</v>
      </c>
      <c r="G315" s="11"/>
      <c r="H315" s="11"/>
      <c r="I315" s="18" t="s">
        <v>1859</v>
      </c>
      <c r="J315" s="19"/>
      <c r="K315" s="8"/>
      <c r="L315" s="8"/>
      <c r="M315" s="8"/>
      <c r="N315" s="9"/>
      <c r="O315" s="10"/>
      <c r="P315" s="10"/>
      <c r="Q315" s="10"/>
      <c r="R315" s="10"/>
      <c r="S315" s="10"/>
      <c r="T315" s="10"/>
    </row>
    <row r="316" ht="15.75" customHeight="1" spans="1:20">
      <c r="A316" s="6" t="s">
        <v>1561</v>
      </c>
      <c r="B316" s="6"/>
      <c r="C316" s="6" t="s">
        <v>25</v>
      </c>
      <c r="D316" s="6" t="s">
        <v>1967</v>
      </c>
      <c r="E316" s="6" t="s">
        <v>1968</v>
      </c>
      <c r="F316" s="7" t="s">
        <v>1969</v>
      </c>
      <c r="G316" s="7"/>
      <c r="H316" s="7"/>
      <c r="I316" s="16" t="s">
        <v>1859</v>
      </c>
      <c r="J316" s="17"/>
      <c r="K316" s="8"/>
      <c r="L316" s="8"/>
      <c r="M316" s="8"/>
      <c r="N316" s="9"/>
      <c r="O316" s="6"/>
      <c r="P316" s="6"/>
      <c r="Q316" s="6"/>
      <c r="R316" s="6"/>
      <c r="S316" s="6"/>
      <c r="T316" s="6"/>
    </row>
    <row r="317" ht="15.75" customHeight="1" spans="1:20">
      <c r="A317" s="10" t="s">
        <v>1972</v>
      </c>
      <c r="B317" s="10"/>
      <c r="C317" s="10" t="s">
        <v>61</v>
      </c>
      <c r="D317" s="10" t="s">
        <v>1973</v>
      </c>
      <c r="E317" s="10"/>
      <c r="F317" s="11" t="s">
        <v>1974</v>
      </c>
      <c r="G317" s="11"/>
      <c r="H317" s="11"/>
      <c r="I317" s="18" t="s">
        <v>1859</v>
      </c>
      <c r="J317" s="19"/>
      <c r="K317" s="8"/>
      <c r="L317" s="8"/>
      <c r="M317" s="8"/>
      <c r="N317" s="9"/>
      <c r="O317" s="10"/>
      <c r="P317" s="10"/>
      <c r="Q317" s="10"/>
      <c r="R317" s="10"/>
      <c r="S317" s="10"/>
      <c r="T317" s="10"/>
    </row>
    <row r="318" ht="29.25" customHeight="1" spans="1:20">
      <c r="A318" s="6" t="s">
        <v>1647</v>
      </c>
      <c r="B318" s="6"/>
      <c r="C318" s="6" t="s">
        <v>85</v>
      </c>
      <c r="D318" s="6" t="s">
        <v>670</v>
      </c>
      <c r="E318" s="6" t="s">
        <v>671</v>
      </c>
      <c r="F318" s="7" t="s">
        <v>1975</v>
      </c>
      <c r="G318" s="7"/>
      <c r="H318" s="7" t="s">
        <v>1976</v>
      </c>
      <c r="I318" s="16" t="s">
        <v>1977</v>
      </c>
      <c r="J318" s="17"/>
      <c r="K318" s="8"/>
      <c r="L318" s="8"/>
      <c r="M318" s="8"/>
      <c r="N318" s="9"/>
      <c r="O318" s="6">
        <v>60</v>
      </c>
      <c r="P318" s="6">
        <v>43</v>
      </c>
      <c r="Q318" s="6" t="s">
        <v>99</v>
      </c>
      <c r="R318" s="6">
        <v>56</v>
      </c>
      <c r="S318" s="6">
        <v>50.9</v>
      </c>
      <c r="T318" s="6">
        <v>11</v>
      </c>
    </row>
    <row r="319" ht="42.75" customHeight="1" spans="1:20">
      <c r="A319" s="10" t="s">
        <v>1679</v>
      </c>
      <c r="B319" s="10"/>
      <c r="C319" s="10" t="s">
        <v>25</v>
      </c>
      <c r="D319" s="10" t="s">
        <v>1978</v>
      </c>
      <c r="E319" s="10"/>
      <c r="F319" s="11" t="s">
        <v>1979</v>
      </c>
      <c r="G319" s="11"/>
      <c r="H319" s="11" t="s">
        <v>1980</v>
      </c>
      <c r="I319" s="18" t="s">
        <v>1859</v>
      </c>
      <c r="J319" s="19"/>
      <c r="K319" s="8"/>
      <c r="L319" s="8"/>
      <c r="M319" s="8"/>
      <c r="N319" s="9"/>
      <c r="O319" s="10">
        <v>59.5</v>
      </c>
      <c r="P319" s="10">
        <v>44.5</v>
      </c>
      <c r="Q319" s="10" t="s">
        <v>99</v>
      </c>
      <c r="R319" s="10">
        <v>51.2</v>
      </c>
      <c r="S319" s="10">
        <v>47.1</v>
      </c>
      <c r="T319" s="10">
        <v>9</v>
      </c>
    </row>
    <row r="320" ht="28.5" customHeight="1" spans="1:20">
      <c r="A320" s="6" t="s">
        <v>1719</v>
      </c>
      <c r="B320" s="6"/>
      <c r="C320" s="6" t="s">
        <v>25</v>
      </c>
      <c r="D320" s="6" t="s">
        <v>1983</v>
      </c>
      <c r="E320" s="6" t="s">
        <v>1984</v>
      </c>
      <c r="F320" s="7" t="s">
        <v>1985</v>
      </c>
      <c r="G320" s="7"/>
      <c r="H320" s="7" t="s">
        <v>1986</v>
      </c>
      <c r="I320" s="16" t="s">
        <v>1859</v>
      </c>
      <c r="J320" s="17"/>
      <c r="K320" s="8"/>
      <c r="L320" s="8"/>
      <c r="M320" s="8"/>
      <c r="N320" s="9"/>
      <c r="O320" s="6"/>
      <c r="P320" s="6"/>
      <c r="Q320" s="6"/>
      <c r="R320" s="6"/>
      <c r="S320" s="6"/>
      <c r="T320" s="6"/>
    </row>
    <row r="321" ht="42.75" customHeight="1" spans="1:20">
      <c r="A321" s="10" t="s">
        <v>1719</v>
      </c>
      <c r="B321" s="10"/>
      <c r="C321" s="10" t="s">
        <v>85</v>
      </c>
      <c r="D321" s="10" t="s">
        <v>1730</v>
      </c>
      <c r="E321" s="10" t="s">
        <v>1981</v>
      </c>
      <c r="F321" s="11" t="s">
        <v>1732</v>
      </c>
      <c r="G321" s="11"/>
      <c r="H321" s="11" t="s">
        <v>1982</v>
      </c>
      <c r="I321" s="18" t="s">
        <v>1859</v>
      </c>
      <c r="J321" s="19"/>
      <c r="K321" s="8"/>
      <c r="L321" s="8"/>
      <c r="M321" s="8"/>
      <c r="N321" s="9"/>
      <c r="O321" s="10"/>
      <c r="P321" s="10"/>
      <c r="Q321" s="10"/>
      <c r="R321" s="10"/>
      <c r="S321" s="10"/>
      <c r="T321" s="10"/>
    </row>
    <row r="322" ht="28.5" customHeight="1" spans="1:20">
      <c r="A322" s="6" t="s">
        <v>1736</v>
      </c>
      <c r="B322" s="6"/>
      <c r="C322" s="6" t="s">
        <v>25</v>
      </c>
      <c r="D322" s="6" t="s">
        <v>339</v>
      </c>
      <c r="E322" s="6" t="s">
        <v>1987</v>
      </c>
      <c r="F322" s="7" t="s">
        <v>1988</v>
      </c>
      <c r="G322" s="7" t="s">
        <v>1989</v>
      </c>
      <c r="H322" s="7" t="s">
        <v>1839</v>
      </c>
      <c r="I322" s="16" t="s">
        <v>1859</v>
      </c>
      <c r="J322" s="17"/>
      <c r="K322" s="8"/>
      <c r="L322" s="8"/>
      <c r="M322" s="8"/>
      <c r="N322" s="9"/>
      <c r="O322" s="6"/>
      <c r="P322" s="6"/>
      <c r="Q322" s="6"/>
      <c r="R322" s="6"/>
      <c r="S322" s="6"/>
      <c r="T322" s="6"/>
    </row>
    <row r="323" ht="15.75" customHeight="1" spans="1:20">
      <c r="A323" s="10" t="s">
        <v>1787</v>
      </c>
      <c r="B323" s="10" t="s">
        <v>1729</v>
      </c>
      <c r="C323" s="10"/>
      <c r="D323" s="10"/>
      <c r="E323" s="10"/>
      <c r="F323" s="11"/>
      <c r="G323" s="11"/>
      <c r="H323" s="11"/>
      <c r="I323" s="18" t="s">
        <v>2449</v>
      </c>
      <c r="J323" s="19"/>
      <c r="K323" s="8"/>
      <c r="L323" s="8"/>
      <c r="M323" s="8"/>
      <c r="N323" s="9" t="str">
        <f>IF($M323="","",ROUND($M323*1.1,0))</f>
        <v/>
      </c>
      <c r="O323" s="10"/>
      <c r="P323" s="10"/>
      <c r="Q323" s="10"/>
      <c r="R323" s="10"/>
      <c r="S323" s="10"/>
      <c r="T323" s="10"/>
    </row>
    <row r="324" ht="72" customHeight="1" spans="1:20">
      <c r="A324" s="6" t="s">
        <v>2450</v>
      </c>
      <c r="B324" s="6"/>
      <c r="C324" s="6"/>
      <c r="D324" s="6"/>
      <c r="E324" s="6"/>
      <c r="F324" s="7"/>
      <c r="G324" s="7"/>
      <c r="H324" s="7"/>
      <c r="I324" s="16"/>
      <c r="J324" s="17"/>
      <c r="K324" s="8"/>
      <c r="L324" s="8"/>
      <c r="M324" s="8"/>
      <c r="N324" s="9"/>
      <c r="O324" s="6"/>
      <c r="P324" s="6"/>
      <c r="Q324" s="6"/>
      <c r="R324" s="6"/>
      <c r="S324" s="6"/>
      <c r="T324" s="6"/>
    </row>
    <row r="325" ht="42.75" customHeight="1" spans="1:20">
      <c r="A325" s="10" t="s">
        <v>1521</v>
      </c>
      <c r="B325" s="10" t="s">
        <v>2451</v>
      </c>
      <c r="C325" s="10"/>
      <c r="D325" s="10"/>
      <c r="E325" s="10"/>
      <c r="F325" s="11"/>
      <c r="G325" s="11"/>
      <c r="H325" s="11"/>
      <c r="I325" s="18" t="s">
        <v>2452</v>
      </c>
      <c r="J325" s="19" t="s">
        <v>29</v>
      </c>
      <c r="K325" s="12">
        <v>1050000</v>
      </c>
      <c r="L325" s="13">
        <v>1080000</v>
      </c>
      <c r="M325" s="14">
        <v>1150000</v>
      </c>
      <c r="N325" s="9">
        <f>IF($M325="","",ROUND($M325*1.1,0))</f>
        <v>1265000</v>
      </c>
      <c r="O325" s="10"/>
      <c r="P325" s="10"/>
      <c r="Q325" s="10"/>
      <c r="R325" s="10"/>
      <c r="S325" s="10"/>
      <c r="T325" s="10"/>
    </row>
    <row r="326" ht="28.5" customHeight="1" spans="1:20">
      <c r="A326" s="6" t="s">
        <v>702</v>
      </c>
      <c r="B326" s="6" t="s">
        <v>2453</v>
      </c>
      <c r="C326" s="6"/>
      <c r="D326" s="6"/>
      <c r="E326" s="6"/>
      <c r="F326" s="7"/>
      <c r="G326" s="7"/>
      <c r="H326" s="7"/>
      <c r="I326" s="16" t="s">
        <v>2454</v>
      </c>
      <c r="J326" s="17" t="s">
        <v>129</v>
      </c>
      <c r="K326" s="8"/>
      <c r="L326" s="8"/>
      <c r="M326" s="8"/>
      <c r="N326" s="9" t="str">
        <f>IF($M326="","",ROUND($M326*1.1,0))</f>
        <v/>
      </c>
      <c r="O326" s="6"/>
      <c r="P326" s="6"/>
      <c r="Q326" s="6"/>
      <c r="R326" s="6"/>
      <c r="S326" s="6"/>
      <c r="T326" s="6"/>
    </row>
    <row r="327" ht="42.75" customHeight="1" spans="1:20">
      <c r="A327" s="10" t="s">
        <v>753</v>
      </c>
      <c r="B327" s="10" t="s">
        <v>2455</v>
      </c>
      <c r="C327" s="10"/>
      <c r="D327" s="10"/>
      <c r="E327" s="10"/>
      <c r="F327" s="11"/>
      <c r="G327" s="11"/>
      <c r="H327" s="11"/>
      <c r="I327" s="18" t="s">
        <v>2456</v>
      </c>
      <c r="J327" s="19" t="s">
        <v>129</v>
      </c>
      <c r="K327" s="8"/>
      <c r="L327" s="8"/>
      <c r="M327" s="8"/>
      <c r="N327" s="9" t="str">
        <f>IF($M327="","",ROUND($M327*1.1,0))</f>
        <v/>
      </c>
      <c r="O327" s="10"/>
      <c r="P327" s="10"/>
      <c r="Q327" s="10"/>
      <c r="R327" s="10"/>
      <c r="S327" s="10"/>
      <c r="T327" s="10"/>
    </row>
    <row r="328" ht="42.75" customHeight="1" spans="1:20">
      <c r="A328" s="6" t="s">
        <v>2457</v>
      </c>
      <c r="B328" s="6" t="s">
        <v>2458</v>
      </c>
      <c r="C328" s="6"/>
      <c r="D328" s="6"/>
      <c r="E328" s="6"/>
      <c r="F328" s="22" t="s">
        <v>2459</v>
      </c>
      <c r="G328" s="7"/>
      <c r="H328" s="7"/>
      <c r="I328" s="16" t="s">
        <v>2460</v>
      </c>
      <c r="J328" s="17" t="s">
        <v>33</v>
      </c>
      <c r="K328" s="12">
        <v>1500000</v>
      </c>
      <c r="L328" s="13">
        <v>1600000</v>
      </c>
      <c r="M328" s="14">
        <v>1700000</v>
      </c>
      <c r="N328" s="9">
        <f>IF($M328="","",ROUND($M328*1.1,0))</f>
        <v>1870000</v>
      </c>
      <c r="O328" s="6"/>
      <c r="P328" s="6"/>
      <c r="Q328" s="6"/>
      <c r="R328" s="6"/>
      <c r="S328" s="6"/>
      <c r="T328" s="6"/>
    </row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9.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9.5" customHeight="1"/>
    <row r="460" ht="15.75" customHeight="1"/>
    <row r="461" ht="19.5" customHeight="1"/>
    <row r="462" ht="15.75" customHeight="1"/>
    <row r="463" ht="15.75" customHeight="1"/>
    <row r="464" ht="15.75" customHeight="1"/>
    <row r="465" ht="19.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9.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9.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9.5" customHeight="1"/>
    <row r="582" ht="15.75" customHeight="1"/>
    <row r="583" ht="15.75" customHeight="1"/>
    <row r="584" ht="19.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9.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9.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9.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9.5" customHeight="1"/>
    <row r="644" ht="15.75" customHeight="1"/>
    <row r="645" ht="19.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9.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9.5" customHeight="1"/>
    <row r="669" ht="15.75" customHeight="1"/>
    <row r="670" ht="19.5" customHeight="1"/>
    <row r="671" ht="15.75" customHeight="1"/>
    <row r="672" ht="15.75" customHeight="1"/>
    <row r="673" ht="19.5" customHeight="1"/>
    <row r="674" ht="15.75" customHeight="1"/>
    <row r="675" ht="15.75" customHeight="1"/>
    <row r="676" ht="15.75" customHeight="1"/>
    <row r="677" ht="15.75" customHeight="1"/>
    <row r="678" ht="19.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42.75" customHeight="1"/>
    <row r="887" ht="71.25" customHeight="1"/>
    <row r="888" ht="57" customHeight="1"/>
    <row r="889" ht="99.75" customHeight="1"/>
    <row r="890" ht="57" customHeight="1"/>
    <row r="891" ht="85.5" customHeight="1"/>
    <row r="892" ht="71.25" customHeight="1"/>
  </sheetData>
  <mergeCells count="2">
    <mergeCell ref="A1:T1"/>
    <mergeCell ref="A2:T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8080"/>
  </sheetPr>
  <dimension ref="A1:T47"/>
  <sheetViews>
    <sheetView tabSelected="1" workbookViewId="0">
      <pane ySplit="3" topLeftCell="A12" activePane="bottomLeft" state="frozen"/>
      <selection/>
      <selection pane="bottomLeft" activeCell="G11" sqref="G11"/>
    </sheetView>
  </sheetViews>
  <sheetFormatPr defaultColWidth="8.67619047619048" defaultRowHeight="15"/>
  <cols>
    <col min="1" max="1" width="15" style="1" customWidth="1"/>
    <col min="2" max="3" width="13" style="1" customWidth="1"/>
    <col min="4" max="5" width="17" style="1" customWidth="1"/>
    <col min="6" max="6" width="32" style="1" customWidth="1"/>
    <col min="7" max="7" width="30" style="1" customWidth="1"/>
    <col min="8" max="8" width="22" style="1" customWidth="1"/>
    <col min="9" max="9" width="26" style="1" customWidth="1"/>
    <col min="10" max="14" width="13" style="1" customWidth="1"/>
    <col min="15" max="16" width="11" style="1" customWidth="1"/>
    <col min="17" max="17" width="10" style="1" customWidth="1"/>
    <col min="18" max="19" width="11" style="1" customWidth="1"/>
    <col min="20" max="20" width="10" style="1" customWidth="1"/>
  </cols>
  <sheetData>
    <row r="1" ht="30" customHeight="1" spans="1:20">
      <c r="A1" s="2" t="s">
        <v>2461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9.5" customHeight="1" spans="1:20">
      <c r="A2" s="3" t="s">
        <v>2462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33.75" customHeight="1" spans="1:20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</row>
    <row r="4" ht="21.75" customHeight="1" spans="1:20">
      <c r="A4" s="5" t="s">
        <v>2463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42.75" customHeight="1" spans="1:20">
      <c r="A5" s="6" t="s">
        <v>188</v>
      </c>
      <c r="B5" s="6" t="s">
        <v>2464</v>
      </c>
      <c r="C5" s="6" t="s">
        <v>190</v>
      </c>
      <c r="D5" s="6" t="s">
        <v>272</v>
      </c>
      <c r="E5" s="6" t="s">
        <v>273</v>
      </c>
      <c r="F5" s="7" t="s">
        <v>278</v>
      </c>
      <c r="G5" s="7" t="s">
        <v>279</v>
      </c>
      <c r="H5" s="7"/>
      <c r="I5" s="7"/>
      <c r="J5" s="6"/>
      <c r="K5" s="8"/>
      <c r="L5" s="8"/>
      <c r="M5" s="8"/>
      <c r="N5" s="9" t="str">
        <f>IF($M5="","",ROUND($M5*1.1,0))</f>
        <v/>
      </c>
      <c r="O5" s="6">
        <v>69</v>
      </c>
      <c r="P5" s="6">
        <v>40.2</v>
      </c>
      <c r="Q5" s="6" t="s">
        <v>99</v>
      </c>
      <c r="R5" s="6">
        <v>65.4</v>
      </c>
      <c r="S5" s="6">
        <v>52</v>
      </c>
      <c r="T5" s="6">
        <v>12</v>
      </c>
    </row>
    <row r="6" ht="42.75" customHeight="1" spans="1:20">
      <c r="A6" s="10" t="s">
        <v>188</v>
      </c>
      <c r="B6" s="10" t="s">
        <v>2465</v>
      </c>
      <c r="C6" s="10" t="s">
        <v>190</v>
      </c>
      <c r="D6" s="10" t="s">
        <v>226</v>
      </c>
      <c r="E6" s="10" t="s">
        <v>227</v>
      </c>
      <c r="F6" s="11" t="s">
        <v>228</v>
      </c>
      <c r="G6" s="11"/>
      <c r="H6" s="11" t="s">
        <v>226</v>
      </c>
      <c r="I6" s="11" t="s">
        <v>229</v>
      </c>
      <c r="J6" s="10" t="s">
        <v>29</v>
      </c>
      <c r="K6" s="8"/>
      <c r="L6" s="8"/>
      <c r="M6" s="8"/>
      <c r="N6" s="9" t="str">
        <f>IF($M6="","",ROUND($M6*1.1,0))</f>
        <v/>
      </c>
      <c r="O6" s="10">
        <v>141</v>
      </c>
      <c r="P6" s="10">
        <v>91.6</v>
      </c>
      <c r="Q6" s="10" t="s">
        <v>30</v>
      </c>
      <c r="R6" s="10">
        <v>129</v>
      </c>
      <c r="S6" s="10">
        <v>95.85</v>
      </c>
      <c r="T6" s="10">
        <v>11</v>
      </c>
    </row>
    <row r="7" ht="43.5" customHeight="1" spans="1:20">
      <c r="A7" s="6" t="s">
        <v>188</v>
      </c>
      <c r="B7" s="6" t="s">
        <v>2466</v>
      </c>
      <c r="C7" s="6" t="s">
        <v>190</v>
      </c>
      <c r="D7" s="6" t="s">
        <v>246</v>
      </c>
      <c r="E7" s="6" t="s">
        <v>247</v>
      </c>
      <c r="F7" s="7" t="s">
        <v>248</v>
      </c>
      <c r="G7" s="7" t="s">
        <v>249</v>
      </c>
      <c r="H7" s="7" t="s">
        <v>250</v>
      </c>
      <c r="I7" s="7"/>
      <c r="J7" s="6" t="s">
        <v>29</v>
      </c>
      <c r="K7" s="8"/>
      <c r="L7" s="8"/>
      <c r="M7" s="8"/>
      <c r="N7" s="9" t="str">
        <f>IF($M7="","",ROUND($M7*1.1,0))</f>
        <v/>
      </c>
      <c r="O7" s="6">
        <v>99</v>
      </c>
      <c r="P7" s="6">
        <v>65</v>
      </c>
      <c r="Q7" s="6" t="s">
        <v>65</v>
      </c>
      <c r="R7" s="6">
        <v>86</v>
      </c>
      <c r="S7" s="6">
        <v>77</v>
      </c>
      <c r="T7" s="6">
        <v>12</v>
      </c>
    </row>
    <row r="8" ht="21.75" customHeight="1" spans="1:20">
      <c r="A8" s="5" t="s">
        <v>2467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ht="57.75" customHeight="1" spans="1:20">
      <c r="A9" s="6" t="s">
        <v>460</v>
      </c>
      <c r="B9" s="6" t="s">
        <v>2468</v>
      </c>
      <c r="C9" s="6" t="s">
        <v>25</v>
      </c>
      <c r="D9" s="6" t="s">
        <v>476</v>
      </c>
      <c r="E9" s="6" t="s">
        <v>477</v>
      </c>
      <c r="F9" s="7" t="s">
        <v>478</v>
      </c>
      <c r="G9" s="7" t="s">
        <v>479</v>
      </c>
      <c r="H9" s="7" t="s">
        <v>480</v>
      </c>
      <c r="I9" s="7"/>
      <c r="J9" s="6" t="s">
        <v>29</v>
      </c>
      <c r="K9" s="8"/>
      <c r="L9" s="8"/>
      <c r="M9" s="8"/>
      <c r="N9" s="9" t="str">
        <f>IF($M9="","",ROUND($M9*1.1,0))</f>
        <v/>
      </c>
      <c r="O9" s="6">
        <v>88</v>
      </c>
      <c r="P9" s="6">
        <v>60.8</v>
      </c>
      <c r="Q9" s="6" t="s">
        <v>99</v>
      </c>
      <c r="R9" s="6">
        <v>82</v>
      </c>
      <c r="S9" s="6">
        <v>72.4</v>
      </c>
      <c r="T9" s="6">
        <v>10</v>
      </c>
    </row>
    <row r="10" ht="21.75" customHeight="1" spans="1:20">
      <c r="A10" s="5" t="s">
        <v>2469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ht="57.75" customHeight="1" spans="1:20">
      <c r="A11" s="6" t="s">
        <v>490</v>
      </c>
      <c r="B11" s="6" t="s">
        <v>2470</v>
      </c>
      <c r="C11" s="6"/>
      <c r="D11" s="6"/>
      <c r="E11" s="6"/>
      <c r="F11" s="7"/>
      <c r="G11" s="7"/>
      <c r="H11" s="7"/>
      <c r="I11" s="7" t="s">
        <v>2471</v>
      </c>
      <c r="J11" s="6" t="s">
        <v>29</v>
      </c>
      <c r="K11" s="8"/>
      <c r="L11" s="8"/>
      <c r="M11" s="8"/>
      <c r="N11" s="9" t="str">
        <f>IF($M11="","",ROUND($M11*1.1,0))</f>
        <v/>
      </c>
      <c r="O11" s="6"/>
      <c r="P11" s="6"/>
      <c r="Q11" s="6"/>
      <c r="R11" s="6"/>
      <c r="S11" s="6"/>
      <c r="T11" s="6"/>
    </row>
    <row r="12" ht="21.75" customHeight="1" spans="1:20">
      <c r="A12" s="5" t="s">
        <v>2472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ht="29.25" customHeight="1" spans="1:20">
      <c r="A13" s="6" t="s">
        <v>636</v>
      </c>
      <c r="B13" s="6" t="s">
        <v>2473</v>
      </c>
      <c r="C13" s="6" t="s">
        <v>35</v>
      </c>
      <c r="D13" s="6" t="s">
        <v>2091</v>
      </c>
      <c r="E13" s="6" t="s">
        <v>2092</v>
      </c>
      <c r="F13" s="7" t="s">
        <v>2093</v>
      </c>
      <c r="G13" s="7" t="s">
        <v>656</v>
      </c>
      <c r="H13" s="7" t="s">
        <v>2094</v>
      </c>
      <c r="I13" s="7"/>
      <c r="J13" s="6" t="s">
        <v>29</v>
      </c>
      <c r="K13" s="12">
        <v>2200000</v>
      </c>
      <c r="L13" s="13">
        <v>2350000</v>
      </c>
      <c r="M13" s="14">
        <v>2500000</v>
      </c>
      <c r="N13" s="9">
        <f>IF($M13="","",ROUND($M13*1.1,0))</f>
        <v>2750000</v>
      </c>
      <c r="O13" s="6">
        <v>56</v>
      </c>
      <c r="P13" s="6">
        <v>43</v>
      </c>
      <c r="Q13" s="6" t="s">
        <v>99</v>
      </c>
      <c r="R13" s="6">
        <v>52</v>
      </c>
      <c r="S13" s="6">
        <v>45.6</v>
      </c>
      <c r="T13" s="6">
        <v>12</v>
      </c>
    </row>
    <row r="14" ht="21.75" customHeight="1" spans="1:20">
      <c r="A14" s="5" t="s">
        <v>2474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ht="28.5" customHeight="1" spans="1:20">
      <c r="A15" s="6" t="s">
        <v>789</v>
      </c>
      <c r="B15" s="6" t="s">
        <v>2475</v>
      </c>
      <c r="C15" s="6" t="s">
        <v>35</v>
      </c>
      <c r="D15" s="6" t="s">
        <v>795</v>
      </c>
      <c r="E15" s="6" t="s">
        <v>802</v>
      </c>
      <c r="F15" s="7" t="s">
        <v>803</v>
      </c>
      <c r="G15" s="7"/>
      <c r="H15" s="7" t="s">
        <v>1915</v>
      </c>
      <c r="I15" s="7" t="s">
        <v>2476</v>
      </c>
      <c r="J15" s="6" t="s">
        <v>129</v>
      </c>
      <c r="K15" s="8"/>
      <c r="L15" s="8"/>
      <c r="M15" s="8"/>
      <c r="N15" s="9" t="str">
        <f>IF($M15="","",ROUND($M15*1.1,0))</f>
        <v/>
      </c>
      <c r="O15" s="6"/>
      <c r="P15" s="6"/>
      <c r="Q15" s="6"/>
      <c r="R15" s="6"/>
      <c r="S15" s="6"/>
      <c r="T15" s="6"/>
    </row>
    <row r="16" ht="28.5" customHeight="1" spans="1:20">
      <c r="A16" s="10" t="s">
        <v>789</v>
      </c>
      <c r="B16" s="10" t="s">
        <v>2477</v>
      </c>
      <c r="C16" s="10" t="s">
        <v>25</v>
      </c>
      <c r="D16" s="10" t="s">
        <v>963</v>
      </c>
      <c r="E16" s="10" t="s">
        <v>964</v>
      </c>
      <c r="F16" s="11" t="s">
        <v>965</v>
      </c>
      <c r="G16" s="11"/>
      <c r="H16" s="11" t="s">
        <v>966</v>
      </c>
      <c r="I16" s="11"/>
      <c r="J16" s="10" t="s">
        <v>29</v>
      </c>
      <c r="K16" s="8"/>
      <c r="L16" s="8"/>
      <c r="M16" s="8"/>
      <c r="N16" s="9" t="str">
        <f>IF($M16="","",ROUND($M16*1.1,0))</f>
        <v/>
      </c>
      <c r="O16" s="10"/>
      <c r="P16" s="10"/>
      <c r="Q16" s="10"/>
      <c r="R16" s="10"/>
      <c r="S16" s="10"/>
      <c r="T16" s="10"/>
    </row>
    <row r="17" ht="99.75" customHeight="1" spans="1:20">
      <c r="A17" s="6" t="s">
        <v>789</v>
      </c>
      <c r="B17" s="6" t="s">
        <v>2478</v>
      </c>
      <c r="C17" s="6" t="s">
        <v>25</v>
      </c>
      <c r="D17" s="6" t="s">
        <v>633</v>
      </c>
      <c r="E17" s="6" t="s">
        <v>872</v>
      </c>
      <c r="F17" s="7" t="s">
        <v>873</v>
      </c>
      <c r="G17" s="7"/>
      <c r="H17" s="7" t="s">
        <v>874</v>
      </c>
      <c r="I17" s="7"/>
      <c r="J17" s="6" t="s">
        <v>29</v>
      </c>
      <c r="K17" s="8"/>
      <c r="L17" s="8"/>
      <c r="M17" s="8"/>
      <c r="N17" s="9" t="str">
        <f>IF($M17="","",ROUND($M17*1.1,0))</f>
        <v/>
      </c>
      <c r="O17" s="6">
        <v>71</v>
      </c>
      <c r="P17" s="6">
        <v>51.2</v>
      </c>
      <c r="Q17" s="6" t="s">
        <v>99</v>
      </c>
      <c r="R17" s="6">
        <v>64.4</v>
      </c>
      <c r="S17" s="6">
        <v>54.6</v>
      </c>
      <c r="T17" s="6">
        <v>10</v>
      </c>
    </row>
    <row r="18" ht="57" customHeight="1" spans="1:20">
      <c r="A18" s="10" t="s">
        <v>789</v>
      </c>
      <c r="B18" s="10" t="s">
        <v>2479</v>
      </c>
      <c r="C18" s="10" t="s">
        <v>35</v>
      </c>
      <c r="D18" s="10" t="s">
        <v>848</v>
      </c>
      <c r="E18" s="10" t="s">
        <v>849</v>
      </c>
      <c r="F18" s="11" t="s">
        <v>850</v>
      </c>
      <c r="G18" s="11" t="s">
        <v>811</v>
      </c>
      <c r="H18" s="11" t="s">
        <v>851</v>
      </c>
      <c r="I18" s="11"/>
      <c r="J18" s="10" t="s">
        <v>29</v>
      </c>
      <c r="K18" s="8"/>
      <c r="L18" s="8"/>
      <c r="M18" s="8"/>
      <c r="N18" s="9" t="str">
        <f>IF($M18="","",ROUND($M18*1.1,0))</f>
        <v/>
      </c>
      <c r="O18" s="10">
        <v>46</v>
      </c>
      <c r="P18" s="10">
        <v>35.6</v>
      </c>
      <c r="Q18" s="10" t="s">
        <v>99</v>
      </c>
      <c r="R18" s="10">
        <v>40.2</v>
      </c>
      <c r="S18" s="10">
        <v>35.1</v>
      </c>
      <c r="T18" s="10">
        <v>11</v>
      </c>
    </row>
    <row r="19" ht="57.75" customHeight="1" spans="1:20">
      <c r="A19" s="6" t="s">
        <v>789</v>
      </c>
      <c r="B19" s="6" t="s">
        <v>2480</v>
      </c>
      <c r="C19" s="6" t="s">
        <v>25</v>
      </c>
      <c r="D19" s="6" t="s">
        <v>888</v>
      </c>
      <c r="E19" s="6" t="s">
        <v>849</v>
      </c>
      <c r="F19" s="7" t="s">
        <v>889</v>
      </c>
      <c r="G19" s="7"/>
      <c r="H19" s="7" t="s">
        <v>890</v>
      </c>
      <c r="I19" s="7"/>
      <c r="J19" s="6" t="s">
        <v>29</v>
      </c>
      <c r="K19" s="8"/>
      <c r="L19" s="8"/>
      <c r="M19" s="8"/>
      <c r="N19" s="9" t="str">
        <f>IF($M19="","",ROUND($M19*1.1,0))</f>
        <v/>
      </c>
      <c r="O19" s="6">
        <v>52</v>
      </c>
      <c r="P19" s="6">
        <v>38.4</v>
      </c>
      <c r="Q19" s="6" t="s">
        <v>99</v>
      </c>
      <c r="R19" s="6">
        <v>43</v>
      </c>
      <c r="S19" s="6">
        <v>37.5</v>
      </c>
      <c r="T19" s="6" t="s">
        <v>505</v>
      </c>
    </row>
    <row r="20" ht="21.75" customHeight="1" spans="1:20">
      <c r="A20" s="5" t="s">
        <v>2481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ht="156.75" customHeight="1" spans="1:20">
      <c r="A21" s="6" t="s">
        <v>702</v>
      </c>
      <c r="B21" s="6" t="s">
        <v>2482</v>
      </c>
      <c r="C21" s="6" t="s">
        <v>85</v>
      </c>
      <c r="D21" s="6" t="s">
        <v>86</v>
      </c>
      <c r="E21" s="6" t="s">
        <v>1018</v>
      </c>
      <c r="F21" s="7" t="s">
        <v>2213</v>
      </c>
      <c r="G21" s="7" t="s">
        <v>1020</v>
      </c>
      <c r="H21" s="7" t="s">
        <v>1021</v>
      </c>
      <c r="I21" s="7"/>
      <c r="J21" s="6" t="s">
        <v>29</v>
      </c>
      <c r="K21" s="8"/>
      <c r="L21" s="8"/>
      <c r="M21" s="8"/>
      <c r="N21" s="9" t="str">
        <f>IF($M21="","",ROUND($M21*1.1,0))</f>
        <v/>
      </c>
      <c r="O21" s="6">
        <v>52.5</v>
      </c>
      <c r="P21" s="6">
        <v>38.1</v>
      </c>
      <c r="Q21" s="6" t="s">
        <v>100</v>
      </c>
      <c r="R21" s="6">
        <v>44.3</v>
      </c>
      <c r="S21" s="6">
        <v>37.7</v>
      </c>
      <c r="T21" s="6">
        <v>8</v>
      </c>
    </row>
    <row r="22" ht="57" customHeight="1" spans="1:20">
      <c r="A22" s="10" t="s">
        <v>702</v>
      </c>
      <c r="B22" s="10" t="s">
        <v>2483</v>
      </c>
      <c r="C22" s="10" t="s">
        <v>85</v>
      </c>
      <c r="D22" s="10" t="s">
        <v>1002</v>
      </c>
      <c r="E22" s="10" t="s">
        <v>1009</v>
      </c>
      <c r="F22" s="11" t="s">
        <v>1010</v>
      </c>
      <c r="G22" s="11" t="s">
        <v>869</v>
      </c>
      <c r="H22" s="11" t="s">
        <v>1011</v>
      </c>
      <c r="I22" s="11" t="s">
        <v>1012</v>
      </c>
      <c r="J22" s="10" t="s">
        <v>29</v>
      </c>
      <c r="K22" s="8"/>
      <c r="L22" s="8"/>
      <c r="M22" s="8"/>
      <c r="N22" s="9" t="str">
        <f>IF($M22="","",ROUND($M22*1.1,0))</f>
        <v/>
      </c>
      <c r="O22" s="10">
        <v>65</v>
      </c>
      <c r="P22" s="10">
        <v>48.6</v>
      </c>
      <c r="Q22" s="10" t="s">
        <v>99</v>
      </c>
      <c r="R22" s="10">
        <v>56</v>
      </c>
      <c r="S22" s="10">
        <v>48.8</v>
      </c>
      <c r="T22" s="10">
        <v>11</v>
      </c>
    </row>
    <row r="23" ht="57" customHeight="1" spans="1:20">
      <c r="A23" s="6" t="s">
        <v>1025</v>
      </c>
      <c r="B23" s="6" t="s">
        <v>2484</v>
      </c>
      <c r="C23" s="6" t="s">
        <v>85</v>
      </c>
      <c r="D23" s="6" t="s">
        <v>1002</v>
      </c>
      <c r="E23" s="6" t="s">
        <v>1009</v>
      </c>
      <c r="F23" s="7" t="s">
        <v>1010</v>
      </c>
      <c r="G23" s="7" t="s">
        <v>869</v>
      </c>
      <c r="H23" s="7" t="s">
        <v>1011</v>
      </c>
      <c r="I23" s="7" t="s">
        <v>1012</v>
      </c>
      <c r="J23" s="6" t="s">
        <v>29</v>
      </c>
      <c r="K23" s="8"/>
      <c r="L23" s="8"/>
      <c r="M23" s="8"/>
      <c r="N23" s="9" t="str">
        <f>IF($M23="","",ROUND($M23*1.1,0))</f>
        <v/>
      </c>
      <c r="O23" s="6">
        <v>65</v>
      </c>
      <c r="P23" s="6">
        <v>48.6</v>
      </c>
      <c r="Q23" s="6" t="s">
        <v>99</v>
      </c>
      <c r="R23" s="6">
        <v>56</v>
      </c>
      <c r="S23" s="6">
        <v>48.8</v>
      </c>
      <c r="T23" s="6">
        <v>11</v>
      </c>
    </row>
    <row r="24" ht="29.25" customHeight="1" spans="1:20">
      <c r="A24" s="10" t="s">
        <v>702</v>
      </c>
      <c r="B24" s="10" t="s">
        <v>2485</v>
      </c>
      <c r="C24" s="10" t="s">
        <v>85</v>
      </c>
      <c r="D24" s="10" t="s">
        <v>697</v>
      </c>
      <c r="E24" s="10" t="s">
        <v>649</v>
      </c>
      <c r="F24" s="11" t="s">
        <v>2486</v>
      </c>
      <c r="G24" s="11" t="s">
        <v>2487</v>
      </c>
      <c r="H24" s="11"/>
      <c r="I24" s="11"/>
      <c r="J24" s="10" t="s">
        <v>129</v>
      </c>
      <c r="K24" s="8"/>
      <c r="L24" s="8"/>
      <c r="M24" s="8"/>
      <c r="N24" s="9" t="str">
        <f>IF($M24="","",ROUND($M24*1.1,0))</f>
        <v/>
      </c>
      <c r="O24" s="10"/>
      <c r="P24" s="10"/>
      <c r="Q24" s="10"/>
      <c r="R24" s="10"/>
      <c r="S24" s="10"/>
      <c r="T24" s="10"/>
    </row>
    <row r="25" ht="21.75" customHeight="1" spans="1:20">
      <c r="A25" s="5" t="s">
        <v>2488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ht="28.5" customHeight="1" spans="1:20">
      <c r="A26" s="6" t="s">
        <v>1521</v>
      </c>
      <c r="B26" s="6" t="s">
        <v>2489</v>
      </c>
      <c r="C26" s="6" t="s">
        <v>35</v>
      </c>
      <c r="D26" s="6" t="s">
        <v>1962</v>
      </c>
      <c r="E26" s="6" t="s">
        <v>1963</v>
      </c>
      <c r="F26" s="7" t="s">
        <v>2300</v>
      </c>
      <c r="G26" s="7" t="s">
        <v>2301</v>
      </c>
      <c r="H26" s="7" t="s">
        <v>2302</v>
      </c>
      <c r="I26" s="7"/>
      <c r="J26" s="6" t="s">
        <v>29</v>
      </c>
      <c r="K26" s="8"/>
      <c r="L26" s="8"/>
      <c r="M26" s="8"/>
      <c r="N26" s="9" t="str">
        <f>IF($M26="","",ROUND($M26*1.1,0))</f>
        <v/>
      </c>
      <c r="O26" s="6">
        <v>160.2</v>
      </c>
      <c r="P26" s="6">
        <v>100</v>
      </c>
      <c r="Q26" s="6" t="s">
        <v>2303</v>
      </c>
      <c r="R26" s="6">
        <v>149.7</v>
      </c>
      <c r="S26" s="6">
        <v>131</v>
      </c>
      <c r="T26" s="6">
        <v>12</v>
      </c>
    </row>
    <row r="27" ht="29.25" customHeight="1" spans="1:20">
      <c r="A27" s="10" t="s">
        <v>1557</v>
      </c>
      <c r="B27" s="10" t="s">
        <v>2490</v>
      </c>
      <c r="C27" s="10" t="s">
        <v>35</v>
      </c>
      <c r="D27" s="10" t="s">
        <v>1962</v>
      </c>
      <c r="E27" s="10" t="s">
        <v>1963</v>
      </c>
      <c r="F27" s="11" t="s">
        <v>2300</v>
      </c>
      <c r="G27" s="11" t="s">
        <v>2301</v>
      </c>
      <c r="H27" s="11" t="s">
        <v>2302</v>
      </c>
      <c r="I27" s="11"/>
      <c r="J27" s="10" t="s">
        <v>29</v>
      </c>
      <c r="K27" s="8"/>
      <c r="L27" s="8"/>
      <c r="M27" s="8"/>
      <c r="N27" s="9" t="str">
        <f>IF($M27="","",ROUND($M27*1.1,0))</f>
        <v/>
      </c>
      <c r="O27" s="10">
        <v>160.2</v>
      </c>
      <c r="P27" s="10">
        <v>100</v>
      </c>
      <c r="Q27" s="10" t="s">
        <v>2303</v>
      </c>
      <c r="R27" s="10">
        <v>149.7</v>
      </c>
      <c r="S27" s="10">
        <v>131</v>
      </c>
      <c r="T27" s="10">
        <v>12</v>
      </c>
    </row>
    <row r="28" ht="21.75" customHeight="1" spans="1:20">
      <c r="A28" s="5" t="s">
        <v>2491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customHeight="1" spans="1:20">
      <c r="A29" s="6" t="s">
        <v>1561</v>
      </c>
      <c r="B29" s="6" t="s">
        <v>2492</v>
      </c>
      <c r="C29" s="6" t="s">
        <v>61</v>
      </c>
      <c r="D29" s="6" t="s">
        <v>352</v>
      </c>
      <c r="E29" s="6"/>
      <c r="F29" s="7" t="s">
        <v>1578</v>
      </c>
      <c r="G29" s="7"/>
      <c r="H29" s="7" t="s">
        <v>1576</v>
      </c>
      <c r="I29" s="7"/>
      <c r="J29" s="6" t="s">
        <v>29</v>
      </c>
      <c r="K29" s="8"/>
      <c r="L29" s="8"/>
      <c r="M29" s="8"/>
      <c r="N29" s="9" t="str">
        <f>IF($M29="","",ROUND($M29*1.1,0))</f>
        <v/>
      </c>
      <c r="O29" s="6">
        <v>52.9</v>
      </c>
      <c r="P29" s="6">
        <v>41</v>
      </c>
      <c r="Q29" s="6" t="s">
        <v>99</v>
      </c>
      <c r="R29" s="6">
        <v>45</v>
      </c>
      <c r="S29" s="6">
        <v>40</v>
      </c>
      <c r="T29" s="6" t="s">
        <v>100</v>
      </c>
    </row>
    <row r="30" ht="29.25" customHeight="1" spans="1:20">
      <c r="A30" s="10" t="s">
        <v>1561</v>
      </c>
      <c r="B30" s="10" t="s">
        <v>2493</v>
      </c>
      <c r="C30" s="10" t="s">
        <v>25</v>
      </c>
      <c r="D30" s="10" t="s">
        <v>1580</v>
      </c>
      <c r="E30" s="10" t="s">
        <v>1581</v>
      </c>
      <c r="F30" s="11" t="s">
        <v>1582</v>
      </c>
      <c r="G30" s="11"/>
      <c r="H30" s="11"/>
      <c r="I30" s="11"/>
      <c r="J30" s="10" t="s">
        <v>29</v>
      </c>
      <c r="K30" s="8"/>
      <c r="L30" s="8"/>
      <c r="M30" s="8"/>
      <c r="N30" s="9" t="str">
        <f>IF($M30="","",ROUND($M30*1.1,0))</f>
        <v/>
      </c>
      <c r="O30" s="10">
        <v>60.2</v>
      </c>
      <c r="P30" s="10">
        <v>46.4</v>
      </c>
      <c r="Q30" s="10" t="s">
        <v>99</v>
      </c>
      <c r="R30" s="10">
        <v>53</v>
      </c>
      <c r="S30" s="10">
        <v>47.3</v>
      </c>
      <c r="T30" s="10">
        <v>10</v>
      </c>
    </row>
    <row r="31" ht="21.75" customHeight="1" spans="1:20">
      <c r="A31" s="5" t="s">
        <v>2494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ht="57.75" customHeight="1" spans="1:20">
      <c r="A32" s="6" t="s">
        <v>1679</v>
      </c>
      <c r="B32" s="6" t="s">
        <v>2495</v>
      </c>
      <c r="C32" s="6"/>
      <c r="D32" s="6"/>
      <c r="E32" s="6"/>
      <c r="F32" s="7"/>
      <c r="G32" s="7"/>
      <c r="H32" s="7"/>
      <c r="I32" s="7" t="s">
        <v>2496</v>
      </c>
      <c r="J32" s="6" t="s">
        <v>29</v>
      </c>
      <c r="K32" s="8"/>
      <c r="L32" s="8"/>
      <c r="M32" s="8"/>
      <c r="N32" s="9" t="str">
        <f>IF($M32="","",ROUND($M32*1.1,0))</f>
        <v/>
      </c>
      <c r="O32" s="6"/>
      <c r="P32" s="6"/>
      <c r="Q32" s="6"/>
      <c r="R32" s="6"/>
      <c r="S32" s="6"/>
      <c r="T32" s="6"/>
    </row>
    <row r="33" ht="21.75" customHeight="1" spans="1:20">
      <c r="A33" s="5" t="s">
        <v>2497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ht="57" customHeight="1" spans="1:20">
      <c r="A34" s="6" t="s">
        <v>1787</v>
      </c>
      <c r="B34" s="6" t="s">
        <v>2498</v>
      </c>
      <c r="C34" s="6"/>
      <c r="D34" s="6"/>
      <c r="E34" s="6"/>
      <c r="F34" s="7"/>
      <c r="G34" s="7"/>
      <c r="H34" s="7"/>
      <c r="I34" s="7" t="s">
        <v>2499</v>
      </c>
      <c r="J34" s="6" t="s">
        <v>29</v>
      </c>
      <c r="K34" s="8"/>
      <c r="L34" s="8"/>
      <c r="M34" s="8"/>
      <c r="N34" s="9" t="str">
        <f t="shared" ref="N34:N47" si="0">IF($M34="","",ROUND($M34*1.1,0))</f>
        <v/>
      </c>
      <c r="O34" s="6"/>
      <c r="P34" s="6"/>
      <c r="Q34" s="6"/>
      <c r="R34" s="6"/>
      <c r="S34" s="6"/>
      <c r="T34" s="6"/>
    </row>
    <row r="35" ht="28.5" customHeight="1" spans="1:20">
      <c r="A35" s="10" t="s">
        <v>1787</v>
      </c>
      <c r="B35" s="10" t="s">
        <v>2500</v>
      </c>
      <c r="C35" s="10"/>
      <c r="D35" s="10"/>
      <c r="E35" s="10"/>
      <c r="F35" s="11"/>
      <c r="G35" s="11"/>
      <c r="H35" s="11"/>
      <c r="I35" s="11" t="s">
        <v>2501</v>
      </c>
      <c r="J35" s="10"/>
      <c r="K35" s="12">
        <v>950000</v>
      </c>
      <c r="L35" s="13">
        <v>1000000</v>
      </c>
      <c r="M35" s="14">
        <v>1100000</v>
      </c>
      <c r="N35" s="9">
        <f t="shared" si="0"/>
        <v>1210000</v>
      </c>
      <c r="O35" s="10"/>
      <c r="P35" s="10"/>
      <c r="Q35" s="10"/>
      <c r="R35" s="10"/>
      <c r="S35" s="10"/>
      <c r="T35" s="10"/>
    </row>
    <row r="36" ht="42.75" customHeight="1" spans="1:20">
      <c r="A36" s="6" t="s">
        <v>1787</v>
      </c>
      <c r="B36" s="6" t="s">
        <v>2502</v>
      </c>
      <c r="C36" s="6"/>
      <c r="D36" s="6"/>
      <c r="E36" s="6"/>
      <c r="F36" s="7"/>
      <c r="G36" s="7"/>
      <c r="H36" s="7"/>
      <c r="I36" s="7" t="s">
        <v>2503</v>
      </c>
      <c r="J36" s="6" t="s">
        <v>29</v>
      </c>
      <c r="K36" s="8"/>
      <c r="L36" s="8"/>
      <c r="M36" s="8"/>
      <c r="N36" s="9" t="str">
        <f t="shared" si="0"/>
        <v/>
      </c>
      <c r="O36" s="6"/>
      <c r="P36" s="6"/>
      <c r="Q36" s="6"/>
      <c r="R36" s="6"/>
      <c r="S36" s="6"/>
      <c r="T36" s="6"/>
    </row>
    <row r="37" ht="42.75" customHeight="1" spans="1:20">
      <c r="A37" s="10" t="s">
        <v>1787</v>
      </c>
      <c r="B37" s="10" t="s">
        <v>2504</v>
      </c>
      <c r="C37" s="10"/>
      <c r="D37" s="10"/>
      <c r="E37" s="10"/>
      <c r="F37" s="11"/>
      <c r="G37" s="11"/>
      <c r="H37" s="11"/>
      <c r="I37" s="11" t="s">
        <v>2505</v>
      </c>
      <c r="J37" s="10" t="s">
        <v>29</v>
      </c>
      <c r="K37" s="8"/>
      <c r="L37" s="8"/>
      <c r="M37" s="8"/>
      <c r="N37" s="9" t="str">
        <f t="shared" si="0"/>
        <v/>
      </c>
      <c r="O37" s="10"/>
      <c r="P37" s="10"/>
      <c r="Q37" s="10"/>
      <c r="R37" s="10"/>
      <c r="S37" s="10"/>
      <c r="T37" s="10"/>
    </row>
    <row r="38" ht="28.5" customHeight="1" spans="1:20">
      <c r="A38" s="6" t="s">
        <v>1787</v>
      </c>
      <c r="B38" s="6" t="s">
        <v>2506</v>
      </c>
      <c r="C38" s="6"/>
      <c r="D38" s="6"/>
      <c r="E38" s="6"/>
      <c r="F38" s="7"/>
      <c r="G38" s="7"/>
      <c r="H38" s="7"/>
      <c r="I38" s="7" t="s">
        <v>2507</v>
      </c>
      <c r="J38" s="6" t="s">
        <v>29</v>
      </c>
      <c r="K38" s="8"/>
      <c r="L38" s="8"/>
      <c r="M38" s="8"/>
      <c r="N38" s="9" t="str">
        <f t="shared" si="0"/>
        <v/>
      </c>
      <c r="O38" s="6"/>
      <c r="P38" s="6"/>
      <c r="Q38" s="6"/>
      <c r="R38" s="6"/>
      <c r="S38" s="6"/>
      <c r="T38" s="6"/>
    </row>
    <row r="39" ht="57" customHeight="1" spans="1:20">
      <c r="A39" s="10" t="s">
        <v>1787</v>
      </c>
      <c r="B39" s="10" t="s">
        <v>2508</v>
      </c>
      <c r="C39" s="10"/>
      <c r="D39" s="10"/>
      <c r="E39" s="10"/>
      <c r="F39" s="11"/>
      <c r="G39" s="11"/>
      <c r="H39" s="11"/>
      <c r="I39" s="11" t="s">
        <v>2509</v>
      </c>
      <c r="J39" s="10" t="s">
        <v>29</v>
      </c>
      <c r="K39" s="8"/>
      <c r="L39" s="8"/>
      <c r="M39" s="8"/>
      <c r="N39" s="9" t="str">
        <f t="shared" si="0"/>
        <v/>
      </c>
      <c r="O39" s="10"/>
      <c r="P39" s="10"/>
      <c r="Q39" s="10"/>
      <c r="R39" s="10"/>
      <c r="S39" s="10"/>
      <c r="T39" s="10"/>
    </row>
    <row r="40" ht="28.5" customHeight="1" spans="1:20">
      <c r="A40" s="6" t="s">
        <v>1787</v>
      </c>
      <c r="B40" s="6" t="s">
        <v>2510</v>
      </c>
      <c r="C40" s="6"/>
      <c r="D40" s="6"/>
      <c r="E40" s="6"/>
      <c r="F40" s="7"/>
      <c r="G40" s="7"/>
      <c r="H40" s="7"/>
      <c r="I40" s="7" t="s">
        <v>2511</v>
      </c>
      <c r="J40" s="6"/>
      <c r="K40" s="12">
        <v>10800000</v>
      </c>
      <c r="L40" s="13">
        <v>11400000</v>
      </c>
      <c r="M40" s="14">
        <v>11900000</v>
      </c>
      <c r="N40" s="9">
        <f t="shared" si="0"/>
        <v>13090000</v>
      </c>
      <c r="O40" s="6"/>
      <c r="P40" s="6"/>
      <c r="Q40" s="6"/>
      <c r="R40" s="6"/>
      <c r="S40" s="6"/>
      <c r="T40" s="6"/>
    </row>
    <row r="41" ht="42.75" customHeight="1" spans="1:20">
      <c r="A41" s="10" t="s">
        <v>1787</v>
      </c>
      <c r="B41" s="10" t="s">
        <v>2512</v>
      </c>
      <c r="C41" s="10"/>
      <c r="D41" s="10"/>
      <c r="E41" s="10"/>
      <c r="F41" s="11"/>
      <c r="G41" s="11"/>
      <c r="H41" s="11"/>
      <c r="I41" s="11" t="s">
        <v>2513</v>
      </c>
      <c r="J41" s="10" t="s">
        <v>29</v>
      </c>
      <c r="K41" s="8"/>
      <c r="L41" s="8"/>
      <c r="M41" s="8"/>
      <c r="N41" s="9" t="str">
        <f t="shared" si="0"/>
        <v/>
      </c>
      <c r="O41" s="10"/>
      <c r="P41" s="10"/>
      <c r="Q41" s="10"/>
      <c r="R41" s="10"/>
      <c r="S41" s="10"/>
      <c r="T41" s="10"/>
    </row>
    <row r="42" ht="57" customHeight="1" spans="1:20">
      <c r="A42" s="6" t="s">
        <v>1787</v>
      </c>
      <c r="B42" s="6" t="s">
        <v>2514</v>
      </c>
      <c r="C42" s="6"/>
      <c r="D42" s="6"/>
      <c r="E42" s="6"/>
      <c r="F42" s="7"/>
      <c r="G42" s="7"/>
      <c r="H42" s="7"/>
      <c r="I42" s="7" t="s">
        <v>2515</v>
      </c>
      <c r="J42" s="6" t="s">
        <v>29</v>
      </c>
      <c r="K42" s="8"/>
      <c r="L42" s="8"/>
      <c r="M42" s="8"/>
      <c r="N42" s="9" t="str">
        <f t="shared" si="0"/>
        <v/>
      </c>
      <c r="O42" s="6"/>
      <c r="P42" s="6"/>
      <c r="Q42" s="6"/>
      <c r="R42" s="6"/>
      <c r="S42" s="6"/>
      <c r="T42" s="6"/>
    </row>
    <row r="43" ht="42.75" customHeight="1" spans="1:20">
      <c r="A43" s="10" t="s">
        <v>1787</v>
      </c>
      <c r="B43" s="10" t="s">
        <v>2516</v>
      </c>
      <c r="C43" s="10"/>
      <c r="D43" s="10"/>
      <c r="E43" s="10"/>
      <c r="F43" s="11"/>
      <c r="G43" s="11"/>
      <c r="H43" s="11"/>
      <c r="I43" s="11" t="s">
        <v>2517</v>
      </c>
      <c r="J43" s="10" t="s">
        <v>29</v>
      </c>
      <c r="K43" s="8"/>
      <c r="L43" s="8"/>
      <c r="M43" s="8"/>
      <c r="N43" s="9" t="str">
        <f t="shared" si="0"/>
        <v/>
      </c>
      <c r="O43" s="10"/>
      <c r="P43" s="10"/>
      <c r="Q43" s="10"/>
      <c r="R43" s="10"/>
      <c r="S43" s="10"/>
      <c r="T43" s="10"/>
    </row>
    <row r="44" ht="42.75" customHeight="1" spans="1:20">
      <c r="A44" s="6" t="s">
        <v>1787</v>
      </c>
      <c r="B44" s="6" t="s">
        <v>2518</v>
      </c>
      <c r="C44" s="6"/>
      <c r="D44" s="6"/>
      <c r="E44" s="6"/>
      <c r="F44" s="7"/>
      <c r="G44" s="7"/>
      <c r="H44" s="7"/>
      <c r="I44" s="7" t="s">
        <v>2519</v>
      </c>
      <c r="J44" s="6" t="s">
        <v>29</v>
      </c>
      <c r="K44" s="8"/>
      <c r="L44" s="8"/>
      <c r="M44" s="8"/>
      <c r="N44" s="9" t="str">
        <f t="shared" si="0"/>
        <v/>
      </c>
      <c r="O44" s="6"/>
      <c r="P44" s="6"/>
      <c r="Q44" s="6"/>
      <c r="R44" s="6"/>
      <c r="S44" s="6"/>
      <c r="T44" s="6"/>
    </row>
    <row r="45" ht="71.25" customHeight="1" spans="1:20">
      <c r="A45" s="10" t="s">
        <v>1787</v>
      </c>
      <c r="B45" s="10" t="s">
        <v>2520</v>
      </c>
      <c r="C45" s="10"/>
      <c r="D45" s="10"/>
      <c r="E45" s="10"/>
      <c r="F45" s="11"/>
      <c r="G45" s="11"/>
      <c r="H45" s="11"/>
      <c r="I45" s="11" t="s">
        <v>2521</v>
      </c>
      <c r="J45" s="10" t="s">
        <v>29</v>
      </c>
      <c r="K45" s="8"/>
      <c r="L45" s="8"/>
      <c r="M45" s="8"/>
      <c r="N45" s="9" t="str">
        <f t="shared" si="0"/>
        <v/>
      </c>
      <c r="O45" s="10"/>
      <c r="P45" s="10"/>
      <c r="Q45" s="10"/>
      <c r="R45" s="10"/>
      <c r="S45" s="10"/>
      <c r="T45" s="10"/>
    </row>
    <row r="46" ht="28.5" customHeight="1" spans="1:20">
      <c r="A46" s="6" t="s">
        <v>1787</v>
      </c>
      <c r="B46" s="6" t="s">
        <v>2522</v>
      </c>
      <c r="C46" s="6" t="s">
        <v>61</v>
      </c>
      <c r="D46" s="6" t="s">
        <v>2523</v>
      </c>
      <c r="E46" s="6" t="s">
        <v>2288</v>
      </c>
      <c r="F46" s="7" t="s">
        <v>2524</v>
      </c>
      <c r="G46" s="7" t="s">
        <v>2525</v>
      </c>
      <c r="H46" s="7"/>
      <c r="I46" s="7"/>
      <c r="J46" s="6" t="s">
        <v>82</v>
      </c>
      <c r="K46" s="8"/>
      <c r="L46" s="8"/>
      <c r="M46" s="8"/>
      <c r="N46" s="9" t="str">
        <f t="shared" si="0"/>
        <v/>
      </c>
      <c r="O46" s="6"/>
      <c r="P46" s="6"/>
      <c r="Q46" s="6"/>
      <c r="R46" s="6"/>
      <c r="S46" s="6"/>
      <c r="T46" s="6"/>
    </row>
    <row r="47" ht="28.5" customHeight="1" spans="1:20">
      <c r="A47" s="10" t="s">
        <v>1787</v>
      </c>
      <c r="B47" s="10" t="s">
        <v>2526</v>
      </c>
      <c r="C47" s="10" t="s">
        <v>61</v>
      </c>
      <c r="D47" s="10" t="s">
        <v>2523</v>
      </c>
      <c r="E47" s="10" t="s">
        <v>2288</v>
      </c>
      <c r="F47" s="11" t="s">
        <v>2527</v>
      </c>
      <c r="G47" s="11" t="s">
        <v>2487</v>
      </c>
      <c r="H47" s="11"/>
      <c r="I47" s="11"/>
      <c r="J47" s="10" t="s">
        <v>82</v>
      </c>
      <c r="K47" s="8"/>
      <c r="L47" s="8"/>
      <c r="M47" s="8"/>
      <c r="N47" s="9" t="str">
        <f t="shared" si="0"/>
        <v/>
      </c>
      <c r="O47" s="10"/>
      <c r="P47" s="10"/>
      <c r="Q47" s="10"/>
      <c r="R47" s="10"/>
      <c r="S47" s="10"/>
      <c r="T47" s="10"/>
    </row>
  </sheetData>
  <mergeCells count="2">
    <mergeCell ref="A1:T1"/>
    <mergeCell ref="A2:T2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🚗 BÁO GIÁ TURBO </vt:lpstr>
      <vt:lpstr>🔧 RUỘT TURBO (CHRA) </vt:lpstr>
      <vt:lpstr>🔩 SÒ &amp; LINH KIỆN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win10</cp:lastModifiedBy>
  <cp:revision>0</cp:revision>
  <dcterms:created xsi:type="dcterms:W3CDTF">2026-04-17T03:14:00Z</dcterms:created>
  <dcterms:modified xsi:type="dcterms:W3CDTF">2026-07-27T04:05:22Z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21E9E77294624AD9A975AE3FA67E44E0_12</vt:lpwstr>
  </property>
  <property fmtid="{D5CDD505-2E9C-101B-9397-08002B2CF9AE}" pid="4" name="KSOProductBuildVer">
    <vt:lpwstr>1033-12.1.0.27458</vt:lpwstr>
  </property>
</Properties>
</file>